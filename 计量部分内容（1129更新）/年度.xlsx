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policy-diffusion\计量部分内容（1129更新）\"/>
    </mc:Choice>
  </mc:AlternateContent>
  <xr:revisionPtr revIDLastSave="0" documentId="13_ncr:1_{41F50DB6-8BDA-4E71-9303-7E9629275CE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3" r:id="rId1"/>
    <sheet name="变量表" sheetId="8" r:id="rId2"/>
    <sheet name="Sheet5" sheetId="9" r:id="rId3"/>
    <sheet name="sheet2" sheetId="7" r:id="rId4"/>
    <sheet name="sheet3" sheetId="6" r:id="rId5"/>
  </sheets>
  <definedNames>
    <definedName name="_xlnm._FilterDatabase" localSheetId="0" hidden="1">sheet1!$A$1:$P$241</definedName>
    <definedName name="_xlnm._FilterDatabase" localSheetId="2" hidden="1">Sheet5!$G$1:$G$222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35" i="3" l="1"/>
  <c r="AR235" i="3"/>
  <c r="AS235" i="3"/>
  <c r="AT235" i="3" a="1"/>
  <c r="AT235" i="3" s="1"/>
  <c r="AU235" i="3" a="1"/>
  <c r="AU235" i="3" s="1"/>
  <c r="AV235" i="3" a="1"/>
  <c r="AV235" i="3"/>
  <c r="AW235" i="3" a="1"/>
  <c r="AW235" i="3"/>
  <c r="AX235" i="3" a="1"/>
  <c r="AX235" i="3"/>
  <c r="AQ236" i="3"/>
  <c r="AR236" i="3"/>
  <c r="AS236" i="3"/>
  <c r="AT236" i="3" a="1"/>
  <c r="AT236" i="3"/>
  <c r="AU236" i="3" a="1"/>
  <c r="AU236" i="3"/>
  <c r="AV236" i="3" a="1"/>
  <c r="AV236" i="3" s="1"/>
  <c r="AW236" i="3" a="1"/>
  <c r="AW236" i="3"/>
  <c r="AX236" i="3" a="1"/>
  <c r="AX236" i="3"/>
  <c r="AQ237" i="3"/>
  <c r="AR237" i="3"/>
  <c r="AS237" i="3"/>
  <c r="AT237" i="3" a="1"/>
  <c r="AT237" i="3"/>
  <c r="AU237" i="3" a="1"/>
  <c r="AU237" i="3"/>
  <c r="AV237" i="3" a="1"/>
  <c r="AV237" i="3"/>
  <c r="AW237" i="3" a="1"/>
  <c r="AW237" i="3"/>
  <c r="AX237" i="3" a="1"/>
  <c r="AX237" i="3"/>
  <c r="AQ238" i="3"/>
  <c r="AR238" i="3"/>
  <c r="AS238" i="3"/>
  <c r="AT238" i="3" a="1"/>
  <c r="AT238" i="3"/>
  <c r="AU238" i="3" a="1"/>
  <c r="AU238" i="3"/>
  <c r="AV238" i="3" a="1"/>
  <c r="AV238" i="3" s="1"/>
  <c r="AW238" i="3" a="1"/>
  <c r="AW238" i="3"/>
  <c r="AX238" i="3" a="1"/>
  <c r="AX238" i="3"/>
  <c r="AQ239" i="3"/>
  <c r="AR239" i="3"/>
  <c r="AS239" i="3"/>
  <c r="AT239" i="3" a="1"/>
  <c r="AT239" i="3"/>
  <c r="AU239" i="3" a="1"/>
  <c r="AU239" i="3"/>
  <c r="AV239" i="3" a="1"/>
  <c r="AV239" i="3" s="1"/>
  <c r="AW239" i="3" a="1"/>
  <c r="AW239" i="3"/>
  <c r="AX239" i="3" a="1"/>
  <c r="AX239" i="3" s="1"/>
  <c r="AQ240" i="3"/>
  <c r="AR240" i="3"/>
  <c r="AS240" i="3"/>
  <c r="AT240" i="3" a="1"/>
  <c r="AT240" i="3"/>
  <c r="AU240" i="3" a="1"/>
  <c r="AU240" i="3"/>
  <c r="AV240" i="3" a="1"/>
  <c r="AV240" i="3"/>
  <c r="AW240" i="3" a="1"/>
  <c r="AW240" i="3"/>
  <c r="AX240" i="3" a="1"/>
  <c r="AX240" i="3"/>
  <c r="AQ241" i="3"/>
  <c r="AR241" i="3"/>
  <c r="AS241" i="3"/>
  <c r="AT241" i="3" a="1"/>
  <c r="AT241" i="3"/>
  <c r="AU241" i="3" a="1"/>
  <c r="AU241" i="3" s="1"/>
  <c r="AV241" i="3" a="1"/>
  <c r="AV241" i="3" s="1"/>
  <c r="AW241" i="3" a="1"/>
  <c r="AW241" i="3"/>
  <c r="AX241" i="3" a="1"/>
  <c r="AX241" i="3"/>
  <c r="AQ227" i="3"/>
  <c r="AR227" i="3"/>
  <c r="AS227" i="3"/>
  <c r="AT227" i="3" a="1"/>
  <c r="AT227" i="3" s="1"/>
  <c r="AU227" i="3" a="1"/>
  <c r="AU227" i="3" s="1"/>
  <c r="AV227" i="3" a="1"/>
  <c r="AV227" i="3"/>
  <c r="AW227" i="3" a="1"/>
  <c r="AW227" i="3" s="1"/>
  <c r="AX227" i="3" a="1"/>
  <c r="AX227" i="3"/>
  <c r="AQ228" i="3"/>
  <c r="AR228" i="3"/>
  <c r="AS228" i="3"/>
  <c r="AT228" i="3" a="1"/>
  <c r="AT228" i="3"/>
  <c r="AU228" i="3" a="1"/>
  <c r="AU228" i="3"/>
  <c r="AV228" i="3" a="1"/>
  <c r="AV228" i="3"/>
  <c r="AW228" i="3" a="1"/>
  <c r="AW228" i="3"/>
  <c r="AX228" i="3" a="1"/>
  <c r="AX228" i="3"/>
  <c r="AQ229" i="3"/>
  <c r="AR229" i="3"/>
  <c r="AS229" i="3"/>
  <c r="AT229" i="3" a="1"/>
  <c r="AT229" i="3" s="1"/>
  <c r="AU229" i="3" a="1"/>
  <c r="AU229" i="3"/>
  <c r="AV229" i="3" a="1"/>
  <c r="AV229" i="3"/>
  <c r="AW229" i="3" a="1"/>
  <c r="AW229" i="3"/>
  <c r="AX229" i="3" a="1"/>
  <c r="AX229" i="3"/>
  <c r="AQ230" i="3"/>
  <c r="AR230" i="3"/>
  <c r="AS230" i="3"/>
  <c r="AT230" i="3" a="1"/>
  <c r="AT230" i="3"/>
  <c r="AU230" i="3" a="1"/>
  <c r="AU230" i="3" s="1"/>
  <c r="AV230" i="3" a="1"/>
  <c r="AV230" i="3"/>
  <c r="AW230" i="3" a="1"/>
  <c r="AW230" i="3"/>
  <c r="AX230" i="3" a="1"/>
  <c r="AX230" i="3"/>
  <c r="AQ231" i="3"/>
  <c r="AR231" i="3"/>
  <c r="AS231" i="3"/>
  <c r="AT231" i="3" a="1"/>
  <c r="AT231" i="3"/>
  <c r="AU231" i="3" a="1"/>
  <c r="AU231" i="3"/>
  <c r="AV231" i="3" a="1"/>
  <c r="AV231" i="3" s="1"/>
  <c r="AW231" i="3" a="1"/>
  <c r="AW231" i="3"/>
  <c r="AX231" i="3" a="1"/>
  <c r="AX231" i="3" s="1"/>
  <c r="AQ232" i="3"/>
  <c r="AR232" i="3"/>
  <c r="AS232" i="3"/>
  <c r="AT232" i="3" a="1"/>
  <c r="AT232" i="3"/>
  <c r="AU232" i="3" a="1"/>
  <c r="AU232" i="3"/>
  <c r="AV232" i="3" a="1"/>
  <c r="AV232" i="3"/>
  <c r="AW232" i="3" a="1"/>
  <c r="AW232" i="3"/>
  <c r="AX232" i="3" a="1"/>
  <c r="AX232" i="3"/>
  <c r="AQ233" i="3"/>
  <c r="AR233" i="3"/>
  <c r="AS233" i="3"/>
  <c r="AT233" i="3" a="1"/>
  <c r="AT233" i="3" s="1"/>
  <c r="AU233" i="3" a="1"/>
  <c r="AU233" i="3" s="1"/>
  <c r="AV233" i="3" a="1"/>
  <c r="AV233" i="3" s="1"/>
  <c r="AW233" i="3" a="1"/>
  <c r="AW233" i="3"/>
  <c r="AX233" i="3" a="1"/>
  <c r="AX233" i="3" s="1"/>
  <c r="AQ219" i="3"/>
  <c r="AR219" i="3"/>
  <c r="AS219" i="3"/>
  <c r="AT219" i="3" a="1"/>
  <c r="AT219" i="3" s="1"/>
  <c r="AU219" i="3" a="1"/>
  <c r="AU219" i="3" s="1"/>
  <c r="AV219" i="3" a="1"/>
  <c r="AV219" i="3"/>
  <c r="AW219" i="3" a="1"/>
  <c r="AW219" i="3"/>
  <c r="AX219" i="3" a="1"/>
  <c r="AX219" i="3"/>
  <c r="AQ220" i="3"/>
  <c r="AR220" i="3"/>
  <c r="AS220" i="3"/>
  <c r="AT220" i="3" a="1"/>
  <c r="AT220" i="3"/>
  <c r="AU220" i="3" a="1"/>
  <c r="AU220" i="3"/>
  <c r="AV220" i="3" a="1"/>
  <c r="AV220" i="3" s="1"/>
  <c r="AW220" i="3" a="1"/>
  <c r="AW220" i="3"/>
  <c r="AX220" i="3" a="1"/>
  <c r="AX220" i="3" s="1"/>
  <c r="AQ221" i="3"/>
  <c r="AR221" i="3"/>
  <c r="AS221" i="3"/>
  <c r="AT221" i="3" a="1"/>
  <c r="AT221" i="3"/>
  <c r="AU221" i="3" a="1"/>
  <c r="AU221" i="3"/>
  <c r="AV221" i="3" a="1"/>
  <c r="AV221" i="3"/>
  <c r="AW221" i="3" a="1"/>
  <c r="AW221" i="3"/>
  <c r="AX221" i="3" a="1"/>
  <c r="AX221" i="3" s="1"/>
  <c r="AQ222" i="3"/>
  <c r="AR222" i="3"/>
  <c r="AS222" i="3"/>
  <c r="AT222" i="3" a="1"/>
  <c r="AT222" i="3"/>
  <c r="AU222" i="3" a="1"/>
  <c r="AU222" i="3" s="1"/>
  <c r="AV222" i="3" a="1"/>
  <c r="AV222" i="3"/>
  <c r="AW222" i="3" a="1"/>
  <c r="AW222" i="3"/>
  <c r="AX222" i="3" a="1"/>
  <c r="AX222" i="3"/>
  <c r="AQ223" i="3"/>
  <c r="AR223" i="3"/>
  <c r="AS223" i="3"/>
  <c r="AT223" i="3" a="1"/>
  <c r="AT223" i="3"/>
  <c r="AU223" i="3" a="1"/>
  <c r="AU223" i="3" s="1"/>
  <c r="AV223" i="3" a="1"/>
  <c r="AV223" i="3" s="1"/>
  <c r="AW223" i="3" a="1"/>
  <c r="AW223" i="3" s="1"/>
  <c r="AX223" i="3" a="1"/>
  <c r="AX223" i="3"/>
  <c r="AQ224" i="3"/>
  <c r="AR224" i="3"/>
  <c r="AS224" i="3"/>
  <c r="AT224" i="3" a="1"/>
  <c r="AT224" i="3"/>
  <c r="AU224" i="3" a="1"/>
  <c r="AU224" i="3"/>
  <c r="AV224" i="3" a="1"/>
  <c r="AV224" i="3"/>
  <c r="AW224" i="3" a="1"/>
  <c r="AW224" i="3"/>
  <c r="AX224" i="3" a="1"/>
  <c r="AX224" i="3"/>
  <c r="AQ225" i="3"/>
  <c r="AR225" i="3"/>
  <c r="AS225" i="3"/>
  <c r="AT225" i="3" a="1"/>
  <c r="AT225" i="3" s="1"/>
  <c r="AU225" i="3" a="1"/>
  <c r="AU225" i="3"/>
  <c r="AV225" i="3" a="1"/>
  <c r="AV225" i="3" s="1"/>
  <c r="AW225" i="3" a="1"/>
  <c r="AW225" i="3"/>
  <c r="AX225" i="3" a="1"/>
  <c r="AX225" i="3"/>
  <c r="AQ211" i="3"/>
  <c r="AR211" i="3"/>
  <c r="AS211" i="3"/>
  <c r="AT211" i="3" a="1"/>
  <c r="AT211" i="3"/>
  <c r="AU211" i="3" a="1"/>
  <c r="AU211" i="3"/>
  <c r="AV211" i="3" a="1"/>
  <c r="AV211" i="3"/>
  <c r="AW211" i="3" a="1"/>
  <c r="AW211" i="3" s="1"/>
  <c r="AX211" i="3" a="1"/>
  <c r="AX211" i="3"/>
  <c r="AQ212" i="3"/>
  <c r="AR212" i="3"/>
  <c r="AS212" i="3"/>
  <c r="AT212" i="3" a="1"/>
  <c r="AT212" i="3"/>
  <c r="AU212" i="3" a="1"/>
  <c r="AU212" i="3"/>
  <c r="AV212" i="3" a="1"/>
  <c r="AV212" i="3" s="1"/>
  <c r="AW212" i="3" a="1"/>
  <c r="AW212" i="3"/>
  <c r="AX212" i="3" a="1"/>
  <c r="AX212" i="3" s="1"/>
  <c r="AQ213" i="3"/>
  <c r="AR213" i="3"/>
  <c r="AS213" i="3"/>
  <c r="AT213" i="3" a="1"/>
  <c r="AT213" i="3" s="1"/>
  <c r="AU213" i="3" a="1"/>
  <c r="AU213" i="3"/>
  <c r="AV213" i="3" a="1"/>
  <c r="AV213" i="3"/>
  <c r="AW213" i="3" a="1"/>
  <c r="AW213" i="3"/>
  <c r="AX213" i="3" a="1"/>
  <c r="AX213" i="3"/>
  <c r="AQ214" i="3"/>
  <c r="AR214" i="3"/>
  <c r="AS214" i="3"/>
  <c r="AT214" i="3" a="1"/>
  <c r="AT214" i="3"/>
  <c r="AU214" i="3" a="1"/>
  <c r="AU214" i="3" s="1"/>
  <c r="AV214" i="3" a="1"/>
  <c r="AV214" i="3"/>
  <c r="AW214" i="3" a="1"/>
  <c r="AW214" i="3"/>
  <c r="AX214" i="3" a="1"/>
  <c r="AX214" i="3"/>
  <c r="AQ215" i="3"/>
  <c r="AR215" i="3"/>
  <c r="AS215" i="3"/>
  <c r="AT215" i="3" a="1"/>
  <c r="AT215" i="3"/>
  <c r="AU215" i="3" a="1"/>
  <c r="AU215" i="3"/>
  <c r="AV215" i="3" a="1"/>
  <c r="AV215" i="3" s="1"/>
  <c r="AW215" i="3" a="1"/>
  <c r="AW215" i="3"/>
  <c r="AX215" i="3" a="1"/>
  <c r="AX215" i="3"/>
  <c r="AQ216" i="3"/>
  <c r="AR216" i="3"/>
  <c r="AS216" i="3"/>
  <c r="AT216" i="3" a="1"/>
  <c r="AT216" i="3"/>
  <c r="AU216" i="3" a="1"/>
  <c r="AU216" i="3"/>
  <c r="AV216" i="3" a="1"/>
  <c r="AV216" i="3"/>
  <c r="AW216" i="3" a="1"/>
  <c r="AW216" i="3"/>
  <c r="AX216" i="3" a="1"/>
  <c r="AX216" i="3"/>
  <c r="AQ217" i="3"/>
  <c r="AR217" i="3"/>
  <c r="AS217" i="3"/>
  <c r="AT217" i="3" a="1"/>
  <c r="AT217" i="3"/>
  <c r="AU217" i="3" a="1"/>
  <c r="AU217" i="3"/>
  <c r="AV217" i="3" a="1"/>
  <c r="AV217" i="3"/>
  <c r="AW217" i="3" a="1"/>
  <c r="AW217" i="3"/>
  <c r="AX217" i="3" a="1"/>
  <c r="AX217" i="3" s="1"/>
  <c r="AQ203" i="3"/>
  <c r="AR203" i="3"/>
  <c r="AS203" i="3"/>
  <c r="AT203" i="3" a="1"/>
  <c r="AT203" i="3" s="1"/>
  <c r="AU203" i="3" a="1"/>
  <c r="AU203" i="3" s="1"/>
  <c r="AV203" i="3" a="1"/>
  <c r="AV203" i="3"/>
  <c r="AW203" i="3" a="1"/>
  <c r="AW203" i="3" s="1"/>
  <c r="AX203" i="3" a="1"/>
  <c r="AX203" i="3"/>
  <c r="AQ204" i="3"/>
  <c r="AR204" i="3"/>
  <c r="AS204" i="3"/>
  <c r="AT204" i="3" a="1"/>
  <c r="AT204" i="3"/>
  <c r="AU204" i="3" a="1"/>
  <c r="AU204" i="3"/>
  <c r="AV204" i="3" a="1"/>
  <c r="AV204" i="3"/>
  <c r="AW204" i="3" a="1"/>
  <c r="AW204" i="3"/>
  <c r="AX204" i="3" a="1"/>
  <c r="AX204" i="3"/>
  <c r="AQ205" i="3"/>
  <c r="AR205" i="3"/>
  <c r="AS205" i="3"/>
  <c r="AT205" i="3" a="1"/>
  <c r="AT205" i="3" s="1"/>
  <c r="AU205" i="3" a="1"/>
  <c r="AU205" i="3"/>
  <c r="AV205" i="3" a="1"/>
  <c r="AV205" i="3"/>
  <c r="AW205" i="3" a="1"/>
  <c r="AW205" i="3"/>
  <c r="AX205" i="3" a="1"/>
  <c r="AX205" i="3"/>
  <c r="AQ206" i="3"/>
  <c r="AR206" i="3"/>
  <c r="AS206" i="3"/>
  <c r="AT206" i="3" a="1"/>
  <c r="AT206" i="3"/>
  <c r="AU206" i="3" a="1"/>
  <c r="AU206" i="3"/>
  <c r="AV206" i="3" a="1"/>
  <c r="AV206" i="3"/>
  <c r="AW206" i="3" a="1"/>
  <c r="AW206" i="3"/>
  <c r="AX206" i="3" a="1"/>
  <c r="AX206" i="3"/>
  <c r="AQ207" i="3"/>
  <c r="AR207" i="3"/>
  <c r="AS207" i="3"/>
  <c r="AT207" i="3" a="1"/>
  <c r="AT207" i="3"/>
  <c r="AU207" i="3" a="1"/>
  <c r="AU207" i="3"/>
  <c r="AV207" i="3" a="1"/>
  <c r="AV207" i="3" s="1"/>
  <c r="AW207" i="3" a="1"/>
  <c r="AW207" i="3"/>
  <c r="AX207" i="3" a="1"/>
  <c r="AX207" i="3" s="1"/>
  <c r="AQ208" i="3"/>
  <c r="AR208" i="3"/>
  <c r="AS208" i="3"/>
  <c r="AT208" i="3" a="1"/>
  <c r="AT208" i="3"/>
  <c r="AU208" i="3" a="1"/>
  <c r="AU208" i="3"/>
  <c r="AV208" i="3" a="1"/>
  <c r="AV208" i="3"/>
  <c r="AW208" i="3" a="1"/>
  <c r="AW208" i="3"/>
  <c r="AX208" i="3" a="1"/>
  <c r="AX208" i="3"/>
  <c r="AQ209" i="3"/>
  <c r="AR209" i="3"/>
  <c r="AS209" i="3"/>
  <c r="AT209" i="3" a="1"/>
  <c r="AT209" i="3" s="1"/>
  <c r="AU209" i="3" a="1"/>
  <c r="AU209" i="3" s="1"/>
  <c r="AV209" i="3" a="1"/>
  <c r="AV209" i="3" s="1"/>
  <c r="AW209" i="3" a="1"/>
  <c r="AW209" i="3"/>
  <c r="AX209" i="3" a="1"/>
  <c r="AX209" i="3" s="1"/>
  <c r="AQ195" i="3"/>
  <c r="AR195" i="3"/>
  <c r="AS195" i="3"/>
  <c r="AT195" i="3" a="1"/>
  <c r="AT195" i="3" s="1"/>
  <c r="AU195" i="3" a="1"/>
  <c r="AU195" i="3" s="1"/>
  <c r="AV195" i="3" a="1"/>
  <c r="AV195" i="3"/>
  <c r="AW195" i="3" a="1"/>
  <c r="AW195" i="3" s="1"/>
  <c r="AX195" i="3" a="1"/>
  <c r="AX195" i="3"/>
  <c r="AQ196" i="3"/>
  <c r="AR196" i="3"/>
  <c r="AS196" i="3"/>
  <c r="AT196" i="3" a="1"/>
  <c r="AT196" i="3"/>
  <c r="AU196" i="3" a="1"/>
  <c r="AU196" i="3"/>
  <c r="AV196" i="3" a="1"/>
  <c r="AV196" i="3"/>
  <c r="AW196" i="3" a="1"/>
  <c r="AW196" i="3"/>
  <c r="AX196" i="3" a="1"/>
  <c r="AX196" i="3"/>
  <c r="AQ197" i="3"/>
  <c r="AR197" i="3"/>
  <c r="AS197" i="3"/>
  <c r="AT197" i="3" a="1"/>
  <c r="AT197" i="3" s="1"/>
  <c r="AU197" i="3" a="1"/>
  <c r="AU197" i="3"/>
  <c r="AV197" i="3" a="1"/>
  <c r="AV197" i="3"/>
  <c r="AW197" i="3" a="1"/>
  <c r="AW197" i="3"/>
  <c r="AX197" i="3" a="1"/>
  <c r="AX197" i="3"/>
  <c r="AQ198" i="3"/>
  <c r="AR198" i="3"/>
  <c r="AS198" i="3"/>
  <c r="AT198" i="3" a="1"/>
  <c r="AT198" i="3"/>
  <c r="AU198" i="3" a="1"/>
  <c r="AU198" i="3"/>
  <c r="AV198" i="3" a="1"/>
  <c r="AV198" i="3"/>
  <c r="AW198" i="3" a="1"/>
  <c r="AW198" i="3"/>
  <c r="AX198" i="3" a="1"/>
  <c r="AX198" i="3"/>
  <c r="AQ199" i="3"/>
  <c r="AR199" i="3"/>
  <c r="AS199" i="3"/>
  <c r="AT199" i="3" a="1"/>
  <c r="AT199" i="3"/>
  <c r="AU199" i="3" a="1"/>
  <c r="AU199" i="3"/>
  <c r="AV199" i="3" a="1"/>
  <c r="AV199" i="3" s="1"/>
  <c r="AW199" i="3" a="1"/>
  <c r="AW199" i="3" s="1"/>
  <c r="AX199" i="3" a="1"/>
  <c r="AX199" i="3" s="1"/>
  <c r="AQ200" i="3"/>
  <c r="AR200" i="3"/>
  <c r="AS200" i="3"/>
  <c r="AT200" i="3" a="1"/>
  <c r="AT200" i="3"/>
  <c r="AU200" i="3" a="1"/>
  <c r="AU200" i="3"/>
  <c r="AV200" i="3" a="1"/>
  <c r="AV200" i="3"/>
  <c r="AW200" i="3" a="1"/>
  <c r="AW200" i="3"/>
  <c r="AX200" i="3" a="1"/>
  <c r="AX200" i="3"/>
  <c r="AQ201" i="3"/>
  <c r="AR201" i="3"/>
  <c r="AS201" i="3"/>
  <c r="AT201" i="3" a="1"/>
  <c r="AT201" i="3" s="1"/>
  <c r="AU201" i="3" a="1"/>
  <c r="AU201" i="3"/>
  <c r="AV201" i="3" a="1"/>
  <c r="AV201" i="3" s="1"/>
  <c r="AW201" i="3" a="1"/>
  <c r="AW201" i="3"/>
  <c r="AX201" i="3" a="1"/>
  <c r="AX201" i="3" s="1"/>
  <c r="AQ187" i="3"/>
  <c r="AR187" i="3"/>
  <c r="AS187" i="3"/>
  <c r="AT187" i="3" a="1"/>
  <c r="AT187" i="3"/>
  <c r="AU187" i="3" a="1"/>
  <c r="AU187" i="3" s="1"/>
  <c r="AV187" i="3" a="1"/>
  <c r="AV187" i="3"/>
  <c r="AW187" i="3" a="1"/>
  <c r="AW187" i="3" s="1"/>
  <c r="AX187" i="3" a="1"/>
  <c r="AX187" i="3"/>
  <c r="AQ188" i="3"/>
  <c r="AR188" i="3"/>
  <c r="AS188" i="3"/>
  <c r="AT188" i="3" a="1"/>
  <c r="AT188" i="3"/>
  <c r="AU188" i="3" a="1"/>
  <c r="AU188" i="3"/>
  <c r="AV188" i="3" a="1"/>
  <c r="AV188" i="3"/>
  <c r="AW188" i="3" a="1"/>
  <c r="AW188" i="3"/>
  <c r="AX188" i="3" a="1"/>
  <c r="AX188" i="3" s="1"/>
  <c r="AQ189" i="3"/>
  <c r="AR189" i="3"/>
  <c r="AS189" i="3"/>
  <c r="AT189" i="3" a="1"/>
  <c r="AT189" i="3" s="1"/>
  <c r="AU189" i="3" a="1"/>
  <c r="AU189" i="3"/>
  <c r="AV189" i="3" a="1"/>
  <c r="AV189" i="3"/>
  <c r="AW189" i="3" a="1"/>
  <c r="AW189" i="3"/>
  <c r="AX189" i="3" a="1"/>
  <c r="AX189" i="3"/>
  <c r="AQ190" i="3"/>
  <c r="AR190" i="3"/>
  <c r="AS190" i="3"/>
  <c r="AT190" i="3" a="1"/>
  <c r="AT190" i="3"/>
  <c r="AU190" i="3" a="1"/>
  <c r="AU190" i="3" s="1"/>
  <c r="AV190" i="3" a="1"/>
  <c r="AV190" i="3"/>
  <c r="AW190" i="3" a="1"/>
  <c r="AW190" i="3"/>
  <c r="AX190" i="3" a="1"/>
  <c r="AX190" i="3"/>
  <c r="AQ191" i="3"/>
  <c r="AR191" i="3"/>
  <c r="AS191" i="3"/>
  <c r="AT191" i="3" a="1"/>
  <c r="AT191" i="3"/>
  <c r="AU191" i="3" a="1"/>
  <c r="AU191" i="3"/>
  <c r="AV191" i="3" a="1"/>
  <c r="AV191" i="3" s="1"/>
  <c r="AW191" i="3" a="1"/>
  <c r="AW191" i="3" s="1"/>
  <c r="AX191" i="3" a="1"/>
  <c r="AX191" i="3"/>
  <c r="AQ192" i="3"/>
  <c r="AR192" i="3"/>
  <c r="AS192" i="3"/>
  <c r="AT192" i="3" a="1"/>
  <c r="AT192" i="3"/>
  <c r="AU192" i="3" a="1"/>
  <c r="AU192" i="3"/>
  <c r="AV192" i="3" a="1"/>
  <c r="AV192" i="3"/>
  <c r="AW192" i="3" a="1"/>
  <c r="AW192" i="3"/>
  <c r="AX192" i="3" a="1"/>
  <c r="AX192" i="3"/>
  <c r="AQ193" i="3"/>
  <c r="AR193" i="3"/>
  <c r="AS193" i="3"/>
  <c r="AT193" i="3" a="1"/>
  <c r="AT193" i="3" s="1"/>
  <c r="AU193" i="3" a="1"/>
  <c r="AU193" i="3"/>
  <c r="AV193" i="3" a="1"/>
  <c r="AV193" i="3"/>
  <c r="AW193" i="3" a="1"/>
  <c r="AW193" i="3"/>
  <c r="AX193" i="3" a="1"/>
  <c r="AX193" i="3" s="1"/>
  <c r="AQ179" i="3"/>
  <c r="AR179" i="3"/>
  <c r="AS179" i="3"/>
  <c r="AT179" i="3" a="1"/>
  <c r="AT179" i="3" s="1"/>
  <c r="AU179" i="3" a="1"/>
  <c r="AU179" i="3"/>
  <c r="AV179" i="3" a="1"/>
  <c r="AV179" i="3"/>
  <c r="AW179" i="3" a="1"/>
  <c r="AW179" i="3" s="1"/>
  <c r="AX179" i="3" a="1"/>
  <c r="AX179" i="3"/>
  <c r="AQ180" i="3"/>
  <c r="AR180" i="3"/>
  <c r="AS180" i="3"/>
  <c r="AT180" i="3" a="1"/>
  <c r="AT180" i="3"/>
  <c r="AU180" i="3" a="1"/>
  <c r="AU180" i="3"/>
  <c r="AV180" i="3" a="1"/>
  <c r="AV180" i="3"/>
  <c r="AW180" i="3" a="1"/>
  <c r="AW180" i="3"/>
  <c r="AX180" i="3" a="1"/>
  <c r="AX180" i="3"/>
  <c r="AQ181" i="3"/>
  <c r="AR181" i="3"/>
  <c r="AS181" i="3"/>
  <c r="AT181" i="3" a="1"/>
  <c r="AT181" i="3" s="1"/>
  <c r="AU181" i="3" a="1"/>
  <c r="AU181" i="3"/>
  <c r="AV181" i="3" a="1"/>
  <c r="AV181" i="3"/>
  <c r="AW181" i="3" a="1"/>
  <c r="AW181" i="3"/>
  <c r="AX181" i="3" a="1"/>
  <c r="AX181" i="3"/>
  <c r="AQ182" i="3"/>
  <c r="AR182" i="3"/>
  <c r="AS182" i="3"/>
  <c r="AT182" i="3" a="1"/>
  <c r="AT182" i="3"/>
  <c r="AU182" i="3" a="1"/>
  <c r="AU182" i="3"/>
  <c r="AV182" i="3" a="1"/>
  <c r="AV182" i="3" s="1"/>
  <c r="AW182" i="3" a="1"/>
  <c r="AW182" i="3"/>
  <c r="AX182" i="3" a="1"/>
  <c r="AX182" i="3"/>
  <c r="AQ183" i="3"/>
  <c r="AR183" i="3"/>
  <c r="AS183" i="3"/>
  <c r="AT183" i="3" a="1"/>
  <c r="AT183" i="3"/>
  <c r="AU183" i="3" a="1"/>
  <c r="AU183" i="3"/>
  <c r="AV183" i="3" a="1"/>
  <c r="AV183" i="3" s="1"/>
  <c r="AW183" i="3" a="1"/>
  <c r="AW183" i="3" s="1"/>
  <c r="AX183" i="3" a="1"/>
  <c r="AX183" i="3" s="1"/>
  <c r="AQ184" i="3"/>
  <c r="AR184" i="3"/>
  <c r="AS184" i="3"/>
  <c r="AT184" i="3" a="1"/>
  <c r="AT184" i="3"/>
  <c r="AU184" i="3" a="1"/>
  <c r="AU184" i="3"/>
  <c r="AV184" i="3" a="1"/>
  <c r="AV184" i="3"/>
  <c r="AW184" i="3" a="1"/>
  <c r="AW184" i="3"/>
  <c r="AX184" i="3" a="1"/>
  <c r="AX184" i="3"/>
  <c r="AQ185" i="3"/>
  <c r="AR185" i="3"/>
  <c r="AS185" i="3"/>
  <c r="AT185" i="3" a="1"/>
  <c r="AT185" i="3" s="1"/>
  <c r="AU185" i="3" a="1"/>
  <c r="AU185" i="3" s="1"/>
  <c r="AV185" i="3" a="1"/>
  <c r="AV185" i="3"/>
  <c r="AW185" i="3" a="1"/>
  <c r="AW185" i="3"/>
  <c r="AX185" i="3" a="1"/>
  <c r="AX185" i="3" s="1"/>
  <c r="AQ171" i="3"/>
  <c r="AR171" i="3"/>
  <c r="AS171" i="3"/>
  <c r="AT171" i="3" a="1"/>
  <c r="AT171" i="3" s="1"/>
  <c r="AU171" i="3" a="1"/>
  <c r="AU171" i="3" s="1"/>
  <c r="AV171" i="3" a="1"/>
  <c r="AV171" i="3"/>
  <c r="AW171" i="3" a="1"/>
  <c r="AW171" i="3" s="1"/>
  <c r="AX171" i="3" a="1"/>
  <c r="AX171" i="3"/>
  <c r="AQ172" i="3"/>
  <c r="AR172" i="3"/>
  <c r="AS172" i="3"/>
  <c r="AT172" i="3" a="1"/>
  <c r="AT172" i="3"/>
  <c r="AU172" i="3" a="1"/>
  <c r="AU172" i="3"/>
  <c r="AV172" i="3" a="1"/>
  <c r="AV172" i="3"/>
  <c r="AW172" i="3" a="1"/>
  <c r="AW172" i="3"/>
  <c r="AX172" i="3" a="1"/>
  <c r="AX172" i="3" s="1"/>
  <c r="AQ173" i="3"/>
  <c r="AR173" i="3"/>
  <c r="AS173" i="3"/>
  <c r="AT173" i="3" a="1"/>
  <c r="AT173" i="3" s="1"/>
  <c r="AU173" i="3" a="1"/>
  <c r="AU173" i="3"/>
  <c r="AV173" i="3" a="1"/>
  <c r="AV173" i="3"/>
  <c r="AW173" i="3" a="1"/>
  <c r="AW173" i="3"/>
  <c r="AX173" i="3" a="1"/>
  <c r="AX173" i="3"/>
  <c r="AQ174" i="3"/>
  <c r="AR174" i="3"/>
  <c r="AS174" i="3"/>
  <c r="AT174" i="3" a="1"/>
  <c r="AT174" i="3"/>
  <c r="AU174" i="3" a="1"/>
  <c r="AU174" i="3" s="1"/>
  <c r="AV174" i="3" a="1"/>
  <c r="AV174" i="3"/>
  <c r="AW174" i="3" a="1"/>
  <c r="AW174" i="3"/>
  <c r="AX174" i="3" a="1"/>
  <c r="AX174" i="3"/>
  <c r="AQ175" i="3"/>
  <c r="AR175" i="3"/>
  <c r="AS175" i="3"/>
  <c r="AT175" i="3" a="1"/>
  <c r="AT175" i="3"/>
  <c r="AU175" i="3" a="1"/>
  <c r="AU175" i="3"/>
  <c r="AV175" i="3" a="1"/>
  <c r="AV175" i="3" s="1"/>
  <c r="AW175" i="3" a="1"/>
  <c r="AW175" i="3" s="1"/>
  <c r="AX175" i="3" a="1"/>
  <c r="AX175" i="3" s="1"/>
  <c r="AQ176" i="3"/>
  <c r="AR176" i="3"/>
  <c r="AS176" i="3"/>
  <c r="AT176" i="3" a="1"/>
  <c r="AT176" i="3"/>
  <c r="AU176" i="3" a="1"/>
  <c r="AU176" i="3"/>
  <c r="AV176" i="3" a="1"/>
  <c r="AV176" i="3"/>
  <c r="AW176" i="3" a="1"/>
  <c r="AW176" i="3"/>
  <c r="AX176" i="3" a="1"/>
  <c r="AX176" i="3"/>
  <c r="AQ177" i="3"/>
  <c r="AR177" i="3"/>
  <c r="AS177" i="3"/>
  <c r="AT177" i="3" a="1"/>
  <c r="AT177" i="3" s="1"/>
  <c r="AU177" i="3" a="1"/>
  <c r="AU177" i="3" s="1"/>
  <c r="AV177" i="3" a="1"/>
  <c r="AV177" i="3" s="1"/>
  <c r="AW177" i="3" a="1"/>
  <c r="AW177" i="3"/>
  <c r="AX177" i="3" a="1"/>
  <c r="AX177" i="3" s="1"/>
  <c r="AQ163" i="3"/>
  <c r="AR163" i="3"/>
  <c r="AS163" i="3"/>
  <c r="AT163" i="3" a="1"/>
  <c r="AT163" i="3" s="1"/>
  <c r="AU163" i="3" a="1"/>
  <c r="AU163" i="3" s="1"/>
  <c r="AV163" i="3" a="1"/>
  <c r="AV163" i="3"/>
  <c r="AW163" i="3" a="1"/>
  <c r="AW163" i="3" s="1"/>
  <c r="AX163" i="3" a="1"/>
  <c r="AX163" i="3"/>
  <c r="AQ164" i="3"/>
  <c r="AR164" i="3"/>
  <c r="AS164" i="3"/>
  <c r="AT164" i="3" a="1"/>
  <c r="AT164" i="3"/>
  <c r="AU164" i="3" a="1"/>
  <c r="AU164" i="3"/>
  <c r="AV164" i="3" a="1"/>
  <c r="AV164" i="3" s="1"/>
  <c r="AW164" i="3" a="1"/>
  <c r="AW164" i="3"/>
  <c r="AX164" i="3" a="1"/>
  <c r="AX164" i="3"/>
  <c r="AQ165" i="3"/>
  <c r="AR165" i="3"/>
  <c r="AS165" i="3"/>
  <c r="AT165" i="3" a="1"/>
  <c r="AT165" i="3" s="1"/>
  <c r="AU165" i="3" a="1"/>
  <c r="AU165" i="3"/>
  <c r="AV165" i="3" a="1"/>
  <c r="AV165" i="3"/>
  <c r="AW165" i="3" a="1"/>
  <c r="AW165" i="3"/>
  <c r="AX165" i="3" a="1"/>
  <c r="AX165" i="3"/>
  <c r="AQ166" i="3"/>
  <c r="AR166" i="3"/>
  <c r="AS166" i="3"/>
  <c r="AT166" i="3" a="1"/>
  <c r="AT166" i="3"/>
  <c r="AU166" i="3" a="1"/>
  <c r="AU166" i="3" s="1"/>
  <c r="AV166" i="3" a="1"/>
  <c r="AV166" i="3"/>
  <c r="AW166" i="3" a="1"/>
  <c r="AW166" i="3"/>
  <c r="AX166" i="3" a="1"/>
  <c r="AX166" i="3"/>
  <c r="AQ167" i="3"/>
  <c r="AR167" i="3"/>
  <c r="AS167" i="3"/>
  <c r="AT167" i="3" a="1"/>
  <c r="AT167" i="3"/>
  <c r="AU167" i="3" a="1"/>
  <c r="AU167" i="3"/>
  <c r="AV167" i="3" a="1"/>
  <c r="AV167" i="3" s="1"/>
  <c r="AW167" i="3" a="1"/>
  <c r="AW167" i="3"/>
  <c r="AX167" i="3" a="1"/>
  <c r="AX167" i="3"/>
  <c r="AQ168" i="3"/>
  <c r="AR168" i="3"/>
  <c r="AS168" i="3"/>
  <c r="AT168" i="3" a="1"/>
  <c r="AT168" i="3"/>
  <c r="AU168" i="3" a="1"/>
  <c r="AU168" i="3"/>
  <c r="AV168" i="3" a="1"/>
  <c r="AV168" i="3"/>
  <c r="AW168" i="3" a="1"/>
  <c r="AW168" i="3"/>
  <c r="AX168" i="3" a="1"/>
  <c r="AX168" i="3"/>
  <c r="AQ169" i="3"/>
  <c r="AR169" i="3"/>
  <c r="AS169" i="3"/>
  <c r="AT169" i="3" a="1"/>
  <c r="AT169" i="3"/>
  <c r="AU169" i="3" a="1"/>
  <c r="AU169" i="3"/>
  <c r="AV169" i="3" a="1"/>
  <c r="AV169" i="3" s="1"/>
  <c r="AW169" i="3" a="1"/>
  <c r="AW169" i="3"/>
  <c r="AX169" i="3" a="1"/>
  <c r="AX169" i="3" s="1"/>
  <c r="AQ155" i="3"/>
  <c r="AR155" i="3"/>
  <c r="AS155" i="3"/>
  <c r="AT155" i="3" a="1"/>
  <c r="AT155" i="3"/>
  <c r="AU155" i="3" a="1"/>
  <c r="AU155" i="3"/>
  <c r="AV155" i="3" a="1"/>
  <c r="AV155" i="3"/>
  <c r="AW155" i="3" a="1"/>
  <c r="AW155" i="3"/>
  <c r="AX155" i="3" a="1"/>
  <c r="AX155" i="3"/>
  <c r="AQ156" i="3"/>
  <c r="AR156" i="3"/>
  <c r="AS156" i="3"/>
  <c r="AT156" i="3" a="1"/>
  <c r="AT156" i="3"/>
  <c r="AU156" i="3" a="1"/>
  <c r="AU156" i="3"/>
  <c r="AV156" i="3" a="1"/>
  <c r="AV156" i="3" s="1"/>
  <c r="AW156" i="3" a="1"/>
  <c r="AW156" i="3"/>
  <c r="AX156" i="3" a="1"/>
  <c r="AX156" i="3"/>
  <c r="AQ157" i="3"/>
  <c r="AR157" i="3"/>
  <c r="AS157" i="3"/>
  <c r="AT157" i="3" a="1"/>
  <c r="AT157" i="3"/>
  <c r="AU157" i="3" a="1"/>
  <c r="AU157" i="3"/>
  <c r="AV157" i="3" a="1"/>
  <c r="AV157" i="3"/>
  <c r="AW157" i="3" a="1"/>
  <c r="AW157" i="3"/>
  <c r="AX157" i="3" a="1"/>
  <c r="AX157" i="3"/>
  <c r="AQ158" i="3"/>
  <c r="AR158" i="3"/>
  <c r="AS158" i="3"/>
  <c r="AT158" i="3" a="1"/>
  <c r="AT158" i="3"/>
  <c r="AU158" i="3" a="1"/>
  <c r="AU158" i="3"/>
  <c r="AV158" i="3" a="1"/>
  <c r="AV158" i="3" s="1"/>
  <c r="AW158" i="3" a="1"/>
  <c r="AW158" i="3"/>
  <c r="AX158" i="3" a="1"/>
  <c r="AX158" i="3"/>
  <c r="AQ159" i="3"/>
  <c r="AR159" i="3"/>
  <c r="AS159" i="3"/>
  <c r="AT159" i="3" a="1"/>
  <c r="AT159" i="3"/>
  <c r="AU159" i="3" a="1"/>
  <c r="AU159" i="3"/>
  <c r="AV159" i="3" a="1"/>
  <c r="AV159" i="3" s="1"/>
  <c r="AW159" i="3" a="1"/>
  <c r="AW159" i="3" s="1"/>
  <c r="AX159" i="3" a="1"/>
  <c r="AX159" i="3"/>
  <c r="AQ160" i="3"/>
  <c r="AR160" i="3"/>
  <c r="AS160" i="3"/>
  <c r="AT160" i="3" a="1"/>
  <c r="AT160" i="3"/>
  <c r="AU160" i="3" a="1"/>
  <c r="AU160" i="3"/>
  <c r="AV160" i="3" a="1"/>
  <c r="AV160" i="3"/>
  <c r="AW160" i="3" a="1"/>
  <c r="AW160" i="3"/>
  <c r="AX160" i="3" a="1"/>
  <c r="AX160" i="3"/>
  <c r="AQ161" i="3"/>
  <c r="AR161" i="3"/>
  <c r="AS161" i="3"/>
  <c r="AT161" i="3" a="1"/>
  <c r="AT161" i="3" s="1"/>
  <c r="AU161" i="3" a="1"/>
  <c r="AU161" i="3"/>
  <c r="AV161" i="3" a="1"/>
  <c r="AV161" i="3"/>
  <c r="AW161" i="3" a="1"/>
  <c r="AW161" i="3"/>
  <c r="AX161" i="3" a="1"/>
  <c r="AX161" i="3"/>
  <c r="AQ147" i="3"/>
  <c r="AR147" i="3"/>
  <c r="AS147" i="3"/>
  <c r="AT147" i="3" a="1"/>
  <c r="AT147" i="3" s="1"/>
  <c r="AU147" i="3" a="1"/>
  <c r="AU147" i="3" s="1"/>
  <c r="AV147" i="3" a="1"/>
  <c r="AV147" i="3"/>
  <c r="AW147" i="3" a="1"/>
  <c r="AW147" i="3"/>
  <c r="AX147" i="3" a="1"/>
  <c r="AX147" i="3"/>
  <c r="AQ148" i="3"/>
  <c r="AR148" i="3"/>
  <c r="AS148" i="3"/>
  <c r="AT148" i="3" a="1"/>
  <c r="AT148" i="3"/>
  <c r="AU148" i="3" a="1"/>
  <c r="AU148" i="3"/>
  <c r="AV148" i="3" a="1"/>
  <c r="AV148" i="3" s="1"/>
  <c r="AW148" i="3" a="1"/>
  <c r="AW148" i="3"/>
  <c r="AX148" i="3" a="1"/>
  <c r="AX148" i="3"/>
  <c r="AQ149" i="3"/>
  <c r="AR149" i="3"/>
  <c r="AS149" i="3"/>
  <c r="AT149" i="3" a="1"/>
  <c r="AT149" i="3"/>
  <c r="AU149" i="3" a="1"/>
  <c r="AU149" i="3"/>
  <c r="AV149" i="3" a="1"/>
  <c r="AV149" i="3"/>
  <c r="AW149" i="3" a="1"/>
  <c r="AW149" i="3"/>
  <c r="AX149" i="3" a="1"/>
  <c r="AX149" i="3"/>
  <c r="AQ150" i="3"/>
  <c r="AR150" i="3"/>
  <c r="AS150" i="3"/>
  <c r="AT150" i="3" a="1"/>
  <c r="AT150" i="3"/>
  <c r="AU150" i="3" a="1"/>
  <c r="AU150" i="3"/>
  <c r="AV150" i="3" a="1"/>
  <c r="AV150" i="3"/>
  <c r="AW150" i="3" a="1"/>
  <c r="AW150" i="3" s="1"/>
  <c r="AX150" i="3" a="1"/>
  <c r="AX150" i="3"/>
  <c r="AQ151" i="3"/>
  <c r="AR151" i="3"/>
  <c r="AS151" i="3"/>
  <c r="AT151" i="3" a="1"/>
  <c r="AT151" i="3"/>
  <c r="AU151" i="3" a="1"/>
  <c r="AU151" i="3"/>
  <c r="AV151" i="3" a="1"/>
  <c r="AV151" i="3" s="1"/>
  <c r="AW151" i="3" a="1"/>
  <c r="AW151" i="3"/>
  <c r="AX151" i="3" a="1"/>
  <c r="AX151" i="3" s="1"/>
  <c r="AQ152" i="3"/>
  <c r="AR152" i="3"/>
  <c r="AS152" i="3"/>
  <c r="AT152" i="3" a="1"/>
  <c r="AT152" i="3" s="1"/>
  <c r="AU152" i="3" a="1"/>
  <c r="AU152" i="3"/>
  <c r="AV152" i="3" a="1"/>
  <c r="AV152" i="3"/>
  <c r="AW152" i="3" a="1"/>
  <c r="AW152" i="3"/>
  <c r="AX152" i="3" a="1"/>
  <c r="AX152" i="3"/>
  <c r="AQ153" i="3"/>
  <c r="AR153" i="3"/>
  <c r="AS153" i="3"/>
  <c r="AT153" i="3" a="1"/>
  <c r="AT153" i="3"/>
  <c r="AU153" i="3" a="1"/>
  <c r="AU153" i="3" s="1"/>
  <c r="AV153" i="3" a="1"/>
  <c r="AV153" i="3" s="1"/>
  <c r="AW153" i="3" a="1"/>
  <c r="AW153" i="3"/>
  <c r="AX153" i="3" a="1"/>
  <c r="AX153" i="3"/>
  <c r="AQ139" i="3"/>
  <c r="AR139" i="3"/>
  <c r="AS139" i="3"/>
  <c r="AT139" i="3" a="1"/>
  <c r="AT139" i="3"/>
  <c r="AU139" i="3" a="1"/>
  <c r="AU139" i="3"/>
  <c r="AV139" i="3" a="1"/>
  <c r="AV139" i="3"/>
  <c r="AW139" i="3" a="1"/>
  <c r="AW139" i="3" s="1"/>
  <c r="AX139" i="3" a="1"/>
  <c r="AX139" i="3"/>
  <c r="AQ140" i="3"/>
  <c r="AR140" i="3"/>
  <c r="AS140" i="3"/>
  <c r="AT140" i="3" a="1"/>
  <c r="AT140" i="3"/>
  <c r="AU140" i="3" a="1"/>
  <c r="AU140" i="3"/>
  <c r="AV140" i="3" a="1"/>
  <c r="AV140" i="3"/>
  <c r="AW140" i="3" a="1"/>
  <c r="AW140" i="3"/>
  <c r="AX140" i="3" a="1"/>
  <c r="AX140" i="3"/>
  <c r="AQ141" i="3"/>
  <c r="AR141" i="3"/>
  <c r="AS141" i="3"/>
  <c r="AT141" i="3" a="1"/>
  <c r="AT141" i="3" s="1"/>
  <c r="AU141" i="3" a="1"/>
  <c r="AU141" i="3"/>
  <c r="AV141" i="3" a="1"/>
  <c r="AV141" i="3"/>
  <c r="AW141" i="3" a="1"/>
  <c r="AW141" i="3"/>
  <c r="AX141" i="3" a="1"/>
  <c r="AX141" i="3"/>
  <c r="AQ142" i="3"/>
  <c r="AR142" i="3"/>
  <c r="AS142" i="3"/>
  <c r="AT142" i="3" a="1"/>
  <c r="AT142" i="3"/>
  <c r="AU142" i="3" a="1"/>
  <c r="AU142" i="3"/>
  <c r="AV142" i="3" a="1"/>
  <c r="AV142" i="3"/>
  <c r="AW142" i="3" a="1"/>
  <c r="AW142" i="3"/>
  <c r="AX142" i="3" a="1"/>
  <c r="AX142" i="3"/>
  <c r="AQ143" i="3"/>
  <c r="AR143" i="3"/>
  <c r="AS143" i="3"/>
  <c r="AT143" i="3" a="1"/>
  <c r="AT143" i="3"/>
  <c r="AU143" i="3" a="1"/>
  <c r="AU143" i="3"/>
  <c r="AV143" i="3" a="1"/>
  <c r="AV143" i="3" s="1"/>
  <c r="AW143" i="3" a="1"/>
  <c r="AW143" i="3" s="1"/>
  <c r="AX143" i="3" a="1"/>
  <c r="AX143" i="3"/>
  <c r="AQ144" i="3"/>
  <c r="AR144" i="3"/>
  <c r="AS144" i="3"/>
  <c r="AT144" i="3" a="1"/>
  <c r="AT144" i="3"/>
  <c r="AU144" i="3" a="1"/>
  <c r="AU144" i="3"/>
  <c r="AV144" i="3" a="1"/>
  <c r="AV144" i="3"/>
  <c r="AW144" i="3" a="1"/>
  <c r="AW144" i="3"/>
  <c r="AX144" i="3" a="1"/>
  <c r="AX144" i="3"/>
  <c r="AQ145" i="3"/>
  <c r="AR145" i="3"/>
  <c r="AS145" i="3"/>
  <c r="AT145" i="3" a="1"/>
  <c r="AT145" i="3" s="1"/>
  <c r="AU145" i="3" a="1"/>
  <c r="AU145" i="3"/>
  <c r="AV145" i="3" a="1"/>
  <c r="AV145" i="3"/>
  <c r="AW145" i="3" a="1"/>
  <c r="AW145" i="3"/>
  <c r="AX145" i="3" a="1"/>
  <c r="AX145" i="3" s="1"/>
  <c r="AQ137" i="3"/>
  <c r="AR137" i="3"/>
  <c r="AS137" i="3"/>
  <c r="AT137" i="3" a="1"/>
  <c r="AT137" i="3" s="1"/>
  <c r="AU137" i="3" a="1"/>
  <c r="AU137" i="3"/>
  <c r="AV137" i="3" a="1"/>
  <c r="AV137" i="3"/>
  <c r="AW137" i="3" a="1"/>
  <c r="AW137" i="3"/>
  <c r="AX137" i="3" a="1"/>
  <c r="AX137" i="3"/>
  <c r="AQ131" i="3"/>
  <c r="AR131" i="3"/>
  <c r="AS131" i="3"/>
  <c r="AT131" i="3" a="1"/>
  <c r="AT131" i="3"/>
  <c r="AU131" i="3" a="1"/>
  <c r="AU131" i="3"/>
  <c r="AV131" i="3" a="1"/>
  <c r="AV131" i="3"/>
  <c r="AW131" i="3" a="1"/>
  <c r="AW131" i="3" s="1"/>
  <c r="AX131" i="3" a="1"/>
  <c r="AX131" i="3"/>
  <c r="AQ132" i="3"/>
  <c r="AR132" i="3"/>
  <c r="AS132" i="3"/>
  <c r="AT132" i="3" a="1"/>
  <c r="AT132" i="3"/>
  <c r="AU132" i="3" a="1"/>
  <c r="AU132" i="3"/>
  <c r="AV132" i="3" a="1"/>
  <c r="AV132" i="3"/>
  <c r="AW132" i="3" a="1"/>
  <c r="AW132" i="3" s="1"/>
  <c r="AX132" i="3" a="1"/>
  <c r="AX132" i="3" s="1"/>
  <c r="AQ133" i="3"/>
  <c r="AR133" i="3"/>
  <c r="AS133" i="3"/>
  <c r="AT133" i="3" a="1"/>
  <c r="AT133" i="3"/>
  <c r="AU133" i="3" a="1"/>
  <c r="AU133" i="3"/>
  <c r="AV133" i="3" a="1"/>
  <c r="AV133" i="3"/>
  <c r="AW133" i="3" a="1"/>
  <c r="AW133" i="3"/>
  <c r="AX133" i="3" a="1"/>
  <c r="AX133" i="3" s="1"/>
  <c r="AQ134" i="3"/>
  <c r="AR134" i="3"/>
  <c r="AS134" i="3"/>
  <c r="AT134" i="3" a="1"/>
  <c r="AT134" i="3" s="1"/>
  <c r="AU134" i="3" a="1"/>
  <c r="AU134" i="3" s="1"/>
  <c r="AV134" i="3" a="1"/>
  <c r="AV134" i="3"/>
  <c r="AW134" i="3" a="1"/>
  <c r="AW134" i="3"/>
  <c r="AX134" i="3" a="1"/>
  <c r="AX134" i="3"/>
  <c r="AQ135" i="3"/>
  <c r="AR135" i="3"/>
  <c r="AS135" i="3"/>
  <c r="AT135" i="3" a="1"/>
  <c r="AT135" i="3"/>
  <c r="AU135" i="3" a="1"/>
  <c r="AU135" i="3" s="1"/>
  <c r="AV135" i="3" a="1"/>
  <c r="AV135" i="3" s="1"/>
  <c r="AW135" i="3" a="1"/>
  <c r="AW135" i="3"/>
  <c r="AX135" i="3" a="1"/>
  <c r="AX135" i="3"/>
  <c r="AQ136" i="3"/>
  <c r="AR136" i="3"/>
  <c r="AS136" i="3"/>
  <c r="AT136" i="3" a="1"/>
  <c r="AT136" i="3"/>
  <c r="AU136" i="3" a="1"/>
  <c r="AU136" i="3"/>
  <c r="AV136" i="3" a="1"/>
  <c r="AV136" i="3"/>
  <c r="AW136" i="3" a="1"/>
  <c r="AW136" i="3"/>
  <c r="AX136" i="3" a="1"/>
  <c r="AX136" i="3"/>
  <c r="AQ123" i="3"/>
  <c r="AR123" i="3"/>
  <c r="AS123" i="3"/>
  <c r="AT123" i="3" a="1"/>
  <c r="AT123" i="3" s="1"/>
  <c r="AU123" i="3" a="1"/>
  <c r="AU123" i="3"/>
  <c r="AV123" i="3" a="1"/>
  <c r="AV123" i="3"/>
  <c r="AW123" i="3" a="1"/>
  <c r="AW123" i="3"/>
  <c r="AX123" i="3" a="1"/>
  <c r="AX123" i="3"/>
  <c r="AQ124" i="3"/>
  <c r="AR124" i="3"/>
  <c r="AS124" i="3"/>
  <c r="AT124" i="3" a="1"/>
  <c r="AT124" i="3"/>
  <c r="AU124" i="3" a="1"/>
  <c r="AU124" i="3" s="1"/>
  <c r="AV124" i="3" a="1"/>
  <c r="AV124" i="3"/>
  <c r="AW124" i="3" a="1"/>
  <c r="AW124" i="3" s="1"/>
  <c r="AX124" i="3" a="1"/>
  <c r="AX124" i="3" s="1"/>
  <c r="AQ125" i="3"/>
  <c r="AR125" i="3"/>
  <c r="AS125" i="3"/>
  <c r="AT125" i="3" a="1"/>
  <c r="AT125" i="3"/>
  <c r="AU125" i="3" a="1"/>
  <c r="AU125" i="3"/>
  <c r="AV125" i="3" a="1"/>
  <c r="AV125" i="3"/>
  <c r="AW125" i="3" a="1"/>
  <c r="AW125" i="3"/>
  <c r="AX125" i="3" a="1"/>
  <c r="AX125" i="3" s="1"/>
  <c r="AQ126" i="3"/>
  <c r="AR126" i="3"/>
  <c r="AS126" i="3"/>
  <c r="AT126" i="3" a="1"/>
  <c r="AT126" i="3" s="1"/>
  <c r="AU126" i="3" a="1"/>
  <c r="AU126" i="3" s="1"/>
  <c r="AV126" i="3" a="1"/>
  <c r="AV126" i="3"/>
  <c r="AW126" i="3" a="1"/>
  <c r="AW126" i="3"/>
  <c r="AX126" i="3" a="1"/>
  <c r="AX126" i="3"/>
  <c r="AQ127" i="3"/>
  <c r="AR127" i="3"/>
  <c r="AS127" i="3"/>
  <c r="AT127" i="3" a="1"/>
  <c r="AT127" i="3"/>
  <c r="AU127" i="3" a="1"/>
  <c r="AU127" i="3" s="1"/>
  <c r="AV127" i="3" a="1"/>
  <c r="AV127" i="3"/>
  <c r="AW127" i="3" a="1"/>
  <c r="AW127" i="3"/>
  <c r="AX127" i="3" a="1"/>
  <c r="AX127" i="3" s="1"/>
  <c r="AQ128" i="3"/>
  <c r="AR128" i="3"/>
  <c r="AS128" i="3"/>
  <c r="AT128" i="3" a="1"/>
  <c r="AT128" i="3"/>
  <c r="AU128" i="3" a="1"/>
  <c r="AU128" i="3"/>
  <c r="AV128" i="3" a="1"/>
  <c r="AV128" i="3"/>
  <c r="AW128" i="3" a="1"/>
  <c r="AW128" i="3"/>
  <c r="AX128" i="3" a="1"/>
  <c r="AX128" i="3"/>
  <c r="AQ129" i="3"/>
  <c r="AR129" i="3"/>
  <c r="AS129" i="3"/>
  <c r="AT129" i="3" a="1"/>
  <c r="AT129" i="3"/>
  <c r="AU129" i="3" a="1"/>
  <c r="AU129" i="3" s="1"/>
  <c r="AV129" i="3" a="1"/>
  <c r="AV129" i="3"/>
  <c r="AW129" i="3" a="1"/>
  <c r="AW129" i="3"/>
  <c r="AX129" i="3" a="1"/>
  <c r="AX129" i="3"/>
  <c r="AQ115" i="3"/>
  <c r="AR115" i="3"/>
  <c r="AS115" i="3"/>
  <c r="AT115" i="3" a="1"/>
  <c r="AT115" i="3" s="1"/>
  <c r="AU115" i="3" a="1"/>
  <c r="AU115" i="3" s="1"/>
  <c r="AV115" i="3" a="1"/>
  <c r="AV115" i="3"/>
  <c r="AW115" i="3" a="1"/>
  <c r="AW115" i="3" s="1"/>
  <c r="AX115" i="3" a="1"/>
  <c r="AX115" i="3"/>
  <c r="AQ116" i="3"/>
  <c r="AR116" i="3"/>
  <c r="AS116" i="3"/>
  <c r="AT116" i="3" a="1"/>
  <c r="AT116" i="3"/>
  <c r="AU116" i="3" a="1"/>
  <c r="AU116" i="3"/>
  <c r="AV116" i="3" a="1"/>
  <c r="AV116" i="3" s="1"/>
  <c r="AW116" i="3" a="1"/>
  <c r="AW116" i="3"/>
  <c r="AX116" i="3" a="1"/>
  <c r="AX116" i="3" s="1"/>
  <c r="AQ117" i="3"/>
  <c r="AR117" i="3"/>
  <c r="AS117" i="3"/>
  <c r="AT117" i="3" a="1"/>
  <c r="AT117" i="3" s="1"/>
  <c r="AU117" i="3" a="1"/>
  <c r="AU117" i="3"/>
  <c r="AV117" i="3" a="1"/>
  <c r="AV117" i="3"/>
  <c r="AW117" i="3" a="1"/>
  <c r="AW117" i="3"/>
  <c r="AX117" i="3" a="1"/>
  <c r="AX117" i="3"/>
  <c r="AQ118" i="3"/>
  <c r="AR118" i="3"/>
  <c r="AS118" i="3"/>
  <c r="AT118" i="3" a="1"/>
  <c r="AT118" i="3"/>
  <c r="AU118" i="3" a="1"/>
  <c r="AU118" i="3" s="1"/>
  <c r="AV118" i="3" a="1"/>
  <c r="AV118" i="3"/>
  <c r="AW118" i="3" a="1"/>
  <c r="AW118" i="3"/>
  <c r="AX118" i="3" a="1"/>
  <c r="AX118" i="3"/>
  <c r="AQ119" i="3"/>
  <c r="AR119" i="3"/>
  <c r="AS119" i="3"/>
  <c r="AT119" i="3" a="1"/>
  <c r="AT119" i="3"/>
  <c r="AU119" i="3" a="1"/>
  <c r="AU119" i="3"/>
  <c r="AV119" i="3" a="1"/>
  <c r="AV119" i="3" s="1"/>
  <c r="AW119" i="3" a="1"/>
  <c r="AW119" i="3"/>
  <c r="AX119" i="3" a="1"/>
  <c r="AX119" i="3"/>
  <c r="AQ120" i="3"/>
  <c r="AR120" i="3"/>
  <c r="AS120" i="3"/>
  <c r="AT120" i="3" a="1"/>
  <c r="AT120" i="3"/>
  <c r="AU120" i="3" a="1"/>
  <c r="AU120" i="3"/>
  <c r="AV120" i="3" a="1"/>
  <c r="AV120" i="3"/>
  <c r="AW120" i="3" a="1"/>
  <c r="AW120" i="3"/>
  <c r="AX120" i="3" a="1"/>
  <c r="AX120" i="3"/>
  <c r="AQ121" i="3"/>
  <c r="AR121" i="3"/>
  <c r="AS121" i="3"/>
  <c r="AT121" i="3" a="1"/>
  <c r="AT121" i="3"/>
  <c r="AU121" i="3" a="1"/>
  <c r="AU121" i="3"/>
  <c r="AV121" i="3" a="1"/>
  <c r="AV121" i="3" s="1"/>
  <c r="AW121" i="3" a="1"/>
  <c r="AW121" i="3"/>
  <c r="AX121" i="3" a="1"/>
  <c r="AX121" i="3" s="1"/>
  <c r="AQ107" i="3"/>
  <c r="AR107" i="3"/>
  <c r="AS107" i="3"/>
  <c r="AT107" i="3" a="1"/>
  <c r="AT107" i="3" s="1"/>
  <c r="AU107" i="3" a="1"/>
  <c r="AU107" i="3" s="1"/>
  <c r="AV107" i="3" a="1"/>
  <c r="AV107" i="3"/>
  <c r="AW107" i="3" a="1"/>
  <c r="AW107" i="3" s="1"/>
  <c r="AX107" i="3" a="1"/>
  <c r="AX107" i="3"/>
  <c r="AQ108" i="3"/>
  <c r="AR108" i="3"/>
  <c r="AS108" i="3"/>
  <c r="AT108" i="3" a="1"/>
  <c r="AT108" i="3"/>
  <c r="AU108" i="3" a="1"/>
  <c r="AU108" i="3"/>
  <c r="AV108" i="3" a="1"/>
  <c r="AV108" i="3"/>
  <c r="AW108" i="3" a="1"/>
  <c r="AW108" i="3"/>
  <c r="AX108" i="3" a="1"/>
  <c r="AX108" i="3" s="1"/>
  <c r="AQ109" i="3"/>
  <c r="AR109" i="3"/>
  <c r="AS109" i="3"/>
  <c r="AT109" i="3" a="1"/>
  <c r="AT109" i="3" s="1"/>
  <c r="AU109" i="3" a="1"/>
  <c r="AU109" i="3"/>
  <c r="AV109" i="3" a="1"/>
  <c r="AV109" i="3"/>
  <c r="AW109" i="3" a="1"/>
  <c r="AW109" i="3"/>
  <c r="AX109" i="3" a="1"/>
  <c r="AX109" i="3"/>
  <c r="AQ110" i="3"/>
  <c r="AR110" i="3"/>
  <c r="AS110" i="3"/>
  <c r="AT110" i="3" a="1"/>
  <c r="AT110" i="3"/>
  <c r="AU110" i="3" a="1"/>
  <c r="AU110" i="3" s="1"/>
  <c r="AV110" i="3" a="1"/>
  <c r="AV110" i="3"/>
  <c r="AW110" i="3" a="1"/>
  <c r="AW110" i="3"/>
  <c r="AX110" i="3" a="1"/>
  <c r="AX110" i="3"/>
  <c r="AQ111" i="3"/>
  <c r="AR111" i="3"/>
  <c r="AS111" i="3"/>
  <c r="AT111" i="3" a="1"/>
  <c r="AT111" i="3"/>
  <c r="AU111" i="3" a="1"/>
  <c r="AU111" i="3"/>
  <c r="AV111" i="3" a="1"/>
  <c r="AV111" i="3" s="1"/>
  <c r="AW111" i="3" a="1"/>
  <c r="AW111" i="3"/>
  <c r="AX111" i="3" a="1"/>
  <c r="AX111" i="3"/>
  <c r="AQ112" i="3"/>
  <c r="AR112" i="3"/>
  <c r="AS112" i="3"/>
  <c r="AT112" i="3" a="1"/>
  <c r="AT112" i="3"/>
  <c r="AU112" i="3" a="1"/>
  <c r="AU112" i="3"/>
  <c r="AV112" i="3" a="1"/>
  <c r="AV112" i="3"/>
  <c r="AW112" i="3" a="1"/>
  <c r="AW112" i="3"/>
  <c r="AX112" i="3" a="1"/>
  <c r="AX112" i="3"/>
  <c r="AQ113" i="3"/>
  <c r="AR113" i="3"/>
  <c r="AS113" i="3"/>
  <c r="AT113" i="3" a="1"/>
  <c r="AT113" i="3"/>
  <c r="AU113" i="3" a="1"/>
  <c r="AU113" i="3" s="1"/>
  <c r="AV113" i="3" a="1"/>
  <c r="AV113" i="3" s="1"/>
  <c r="AW113" i="3" a="1"/>
  <c r="AW113" i="3"/>
  <c r="AX113" i="3" a="1"/>
  <c r="AX113" i="3" s="1"/>
  <c r="AQ99" i="3"/>
  <c r="AR99" i="3"/>
  <c r="AS99" i="3"/>
  <c r="AT99" i="3" a="1"/>
  <c r="AT99" i="3" s="1"/>
  <c r="AU99" i="3" a="1"/>
  <c r="AU99" i="3" s="1"/>
  <c r="AV99" i="3" a="1"/>
  <c r="AV99" i="3"/>
  <c r="AW99" i="3" a="1"/>
  <c r="AW99" i="3"/>
  <c r="AX99" i="3" a="1"/>
  <c r="AX99" i="3"/>
  <c r="AQ100" i="3"/>
  <c r="AR100" i="3"/>
  <c r="AS100" i="3"/>
  <c r="AT100" i="3" a="1"/>
  <c r="AT100" i="3"/>
  <c r="AU100" i="3" a="1"/>
  <c r="AU100" i="3"/>
  <c r="AV100" i="3" a="1"/>
  <c r="AV100" i="3" s="1"/>
  <c r="AW100" i="3" a="1"/>
  <c r="AW100" i="3" s="1"/>
  <c r="AX100" i="3" a="1"/>
  <c r="AX100" i="3"/>
  <c r="AQ101" i="3"/>
  <c r="AR101" i="3"/>
  <c r="AS101" i="3"/>
  <c r="AT101" i="3" a="1"/>
  <c r="AT101" i="3"/>
  <c r="AU101" i="3" a="1"/>
  <c r="AU101" i="3"/>
  <c r="AV101" i="3" a="1"/>
  <c r="AV101" i="3"/>
  <c r="AW101" i="3" a="1"/>
  <c r="AW101" i="3"/>
  <c r="AX101" i="3" a="1"/>
  <c r="AX101" i="3" s="1"/>
  <c r="AQ102" i="3"/>
  <c r="AR102" i="3"/>
  <c r="AS102" i="3"/>
  <c r="AT102" i="3" a="1"/>
  <c r="AT102" i="3" s="1"/>
  <c r="AU102" i="3" a="1"/>
  <c r="AU102" i="3"/>
  <c r="AV102" i="3" a="1"/>
  <c r="AV102" i="3"/>
  <c r="AW102" i="3" a="1"/>
  <c r="AW102" i="3"/>
  <c r="AX102" i="3" a="1"/>
  <c r="AX102" i="3"/>
  <c r="AQ103" i="3"/>
  <c r="AR103" i="3"/>
  <c r="AS103" i="3"/>
  <c r="AT103" i="3" a="1"/>
  <c r="AT103" i="3"/>
  <c r="AU103" i="3" a="1"/>
  <c r="AU103" i="3" s="1"/>
  <c r="AV103" i="3" a="1"/>
  <c r="AV103" i="3"/>
  <c r="AW103" i="3" a="1"/>
  <c r="AW103" i="3"/>
  <c r="AX103" i="3" a="1"/>
  <c r="AX103" i="3" s="1"/>
  <c r="AQ104" i="3"/>
  <c r="AR104" i="3"/>
  <c r="AS104" i="3"/>
  <c r="AT104" i="3" a="1"/>
  <c r="AT104" i="3"/>
  <c r="AU104" i="3" a="1"/>
  <c r="AU104" i="3"/>
  <c r="AV104" i="3" a="1"/>
  <c r="AV104" i="3"/>
  <c r="AW104" i="3" a="1"/>
  <c r="AW104" i="3"/>
  <c r="AX104" i="3" a="1"/>
  <c r="AX104" i="3"/>
  <c r="AQ105" i="3"/>
  <c r="AR105" i="3"/>
  <c r="AS105" i="3"/>
  <c r="AT105" i="3" a="1"/>
  <c r="AT105" i="3"/>
  <c r="AU105" i="3" a="1"/>
  <c r="AU105" i="3" s="1"/>
  <c r="AV105" i="3" a="1"/>
  <c r="AV105" i="3" s="1"/>
  <c r="AW105" i="3" a="1"/>
  <c r="AW105" i="3"/>
  <c r="AX105" i="3" a="1"/>
  <c r="AX105" i="3"/>
  <c r="AQ91" i="3"/>
  <c r="AR91" i="3"/>
  <c r="AS91" i="3"/>
  <c r="AT91" i="3" a="1"/>
  <c r="AT91" i="3"/>
  <c r="AU91" i="3" a="1"/>
  <c r="AU91" i="3"/>
  <c r="AV91" i="3" a="1"/>
  <c r="AV91" i="3"/>
  <c r="AW91" i="3" a="1"/>
  <c r="AW91" i="3" s="1"/>
  <c r="AX91" i="3" a="1"/>
  <c r="AX91" i="3"/>
  <c r="AQ92" i="3"/>
  <c r="AR92" i="3"/>
  <c r="AS92" i="3"/>
  <c r="AT92" i="3" a="1"/>
  <c r="AT92" i="3"/>
  <c r="AU92" i="3" a="1"/>
  <c r="AU92" i="3"/>
  <c r="AV92" i="3" a="1"/>
  <c r="AV92" i="3"/>
  <c r="AW92" i="3" a="1"/>
  <c r="AW92" i="3"/>
  <c r="AX92" i="3" a="1"/>
  <c r="AX92" i="3"/>
  <c r="AQ93" i="3"/>
  <c r="AR93" i="3"/>
  <c r="AS93" i="3"/>
  <c r="AT93" i="3" a="1"/>
  <c r="AT93" i="3" s="1"/>
  <c r="AU93" i="3" a="1"/>
  <c r="AU93" i="3"/>
  <c r="AV93" i="3" a="1"/>
  <c r="AV93" i="3"/>
  <c r="AW93" i="3" a="1"/>
  <c r="AW93" i="3"/>
  <c r="AX93" i="3" a="1"/>
  <c r="AX93" i="3"/>
  <c r="AQ94" i="3"/>
  <c r="AR94" i="3"/>
  <c r="AS94" i="3"/>
  <c r="AT94" i="3" a="1"/>
  <c r="AT94" i="3"/>
  <c r="AU94" i="3" a="1"/>
  <c r="AU94" i="3"/>
  <c r="AV94" i="3" a="1"/>
  <c r="AV94" i="3"/>
  <c r="AW94" i="3" a="1"/>
  <c r="AW94" i="3"/>
  <c r="AX94" i="3" a="1"/>
  <c r="AX94" i="3"/>
  <c r="AQ95" i="3"/>
  <c r="AR95" i="3"/>
  <c r="AS95" i="3"/>
  <c r="AT95" i="3" a="1"/>
  <c r="AT95" i="3"/>
  <c r="AU95" i="3" a="1"/>
  <c r="AU95" i="3"/>
  <c r="AV95" i="3" a="1"/>
  <c r="AV95" i="3" s="1"/>
  <c r="AW95" i="3" a="1"/>
  <c r="AW95" i="3" s="1"/>
  <c r="AX95" i="3" a="1"/>
  <c r="AX95" i="3"/>
  <c r="AQ96" i="3"/>
  <c r="AR96" i="3"/>
  <c r="AS96" i="3"/>
  <c r="AT96" i="3" a="1"/>
  <c r="AT96" i="3"/>
  <c r="AU96" i="3" a="1"/>
  <c r="AU96" i="3"/>
  <c r="AV96" i="3" a="1"/>
  <c r="AV96" i="3"/>
  <c r="AW96" i="3" a="1"/>
  <c r="AW96" i="3"/>
  <c r="AX96" i="3" a="1"/>
  <c r="AX96" i="3"/>
  <c r="AQ97" i="3"/>
  <c r="AR97" i="3"/>
  <c r="AS97" i="3"/>
  <c r="AT97" i="3" a="1"/>
  <c r="AT97" i="3" s="1"/>
  <c r="AU97" i="3" a="1"/>
  <c r="AU97" i="3"/>
  <c r="AV97" i="3" a="1"/>
  <c r="AV97" i="3"/>
  <c r="AW97" i="3" a="1"/>
  <c r="AW97" i="3"/>
  <c r="AX97" i="3" a="1"/>
  <c r="AX97" i="3" s="1"/>
  <c r="AQ83" i="3"/>
  <c r="AR83" i="3"/>
  <c r="AS83" i="3"/>
  <c r="AT83" i="3" a="1"/>
  <c r="AT83" i="3"/>
  <c r="AU83" i="3" a="1"/>
  <c r="AU83" i="3" s="1"/>
  <c r="AV83" i="3" a="1"/>
  <c r="AV83" i="3"/>
  <c r="AW83" i="3" a="1"/>
  <c r="AW83" i="3"/>
  <c r="AX83" i="3" a="1"/>
  <c r="AX83" i="3" s="1"/>
  <c r="AQ84" i="3"/>
  <c r="AR84" i="3"/>
  <c r="AS84" i="3"/>
  <c r="AT84" i="3" a="1"/>
  <c r="AT84" i="3"/>
  <c r="AU84" i="3" a="1"/>
  <c r="AU84" i="3"/>
  <c r="AV84" i="3" a="1"/>
  <c r="AV84" i="3"/>
  <c r="AW84" i="3" a="1"/>
  <c r="AW84" i="3"/>
  <c r="AX84" i="3" a="1"/>
  <c r="AX84" i="3"/>
  <c r="AQ85" i="3"/>
  <c r="AR85" i="3"/>
  <c r="AS85" i="3"/>
  <c r="AT85" i="3" a="1"/>
  <c r="AT85" i="3"/>
  <c r="AU85" i="3" a="1"/>
  <c r="AU85" i="3" s="1"/>
  <c r="AV85" i="3" a="1"/>
  <c r="AV85" i="3"/>
  <c r="AW85" i="3" a="1"/>
  <c r="AW85" i="3"/>
  <c r="AX85" i="3" a="1"/>
  <c r="AX85" i="3" s="1"/>
  <c r="AQ86" i="3"/>
  <c r="AR86" i="3"/>
  <c r="AS86" i="3"/>
  <c r="AT86" i="3" a="1"/>
  <c r="AT86" i="3"/>
  <c r="AU86" i="3" a="1"/>
  <c r="AU86" i="3"/>
  <c r="AV86" i="3" a="1"/>
  <c r="AV86" i="3"/>
  <c r="AW86" i="3" a="1"/>
  <c r="AW86" i="3"/>
  <c r="AX86" i="3" a="1"/>
  <c r="AX86" i="3"/>
  <c r="AQ87" i="3"/>
  <c r="AR87" i="3"/>
  <c r="AS87" i="3"/>
  <c r="AT87" i="3" a="1"/>
  <c r="AT87" i="3"/>
  <c r="AU87" i="3" a="1"/>
  <c r="AU87" i="3" s="1"/>
  <c r="AV87" i="3" a="1"/>
  <c r="AV87" i="3" s="1"/>
  <c r="AW87" i="3" a="1"/>
  <c r="AW87" i="3" s="1"/>
  <c r="AX87" i="3" a="1"/>
  <c r="AX87" i="3"/>
  <c r="AQ88" i="3"/>
  <c r="AR88" i="3"/>
  <c r="AS88" i="3"/>
  <c r="AT88" i="3" a="1"/>
  <c r="AT88" i="3"/>
  <c r="AU88" i="3" a="1"/>
  <c r="AU88" i="3"/>
  <c r="AV88" i="3" a="1"/>
  <c r="AV88" i="3"/>
  <c r="AW88" i="3" a="1"/>
  <c r="AW88" i="3"/>
  <c r="AX88" i="3" a="1"/>
  <c r="AX88" i="3"/>
  <c r="AQ89" i="3"/>
  <c r="AR89" i="3"/>
  <c r="AS89" i="3"/>
  <c r="AT89" i="3" a="1"/>
  <c r="AT89" i="3" s="1"/>
  <c r="AU89" i="3" a="1"/>
  <c r="AU89" i="3"/>
  <c r="AV89" i="3" a="1"/>
  <c r="AV89" i="3" s="1"/>
  <c r="AW89" i="3" a="1"/>
  <c r="AW89" i="3"/>
  <c r="AX89" i="3" a="1"/>
  <c r="AX89" i="3"/>
  <c r="AQ75" i="3"/>
  <c r="AR75" i="3"/>
  <c r="AS75" i="3"/>
  <c r="AT75" i="3" a="1"/>
  <c r="AT75" i="3"/>
  <c r="AU75" i="3" a="1"/>
  <c r="AU75" i="3"/>
  <c r="AV75" i="3" a="1"/>
  <c r="AV75" i="3"/>
  <c r="AW75" i="3" a="1"/>
  <c r="AW75" i="3" s="1"/>
  <c r="AX75" i="3" a="1"/>
  <c r="AX75" i="3"/>
  <c r="AQ76" i="3"/>
  <c r="AR76" i="3"/>
  <c r="AS76" i="3"/>
  <c r="AT76" i="3" a="1"/>
  <c r="AT76" i="3"/>
  <c r="AU76" i="3" a="1"/>
  <c r="AU76" i="3"/>
  <c r="AV76" i="3" a="1"/>
  <c r="AV76" i="3"/>
  <c r="AW76" i="3" a="1"/>
  <c r="AW76" i="3"/>
  <c r="AX76" i="3" a="1"/>
  <c r="AX76" i="3"/>
  <c r="AQ77" i="3"/>
  <c r="AR77" i="3"/>
  <c r="AS77" i="3"/>
  <c r="AT77" i="3" a="1"/>
  <c r="AT77" i="3" s="1"/>
  <c r="AU77" i="3" a="1"/>
  <c r="AU77" i="3"/>
  <c r="AV77" i="3" a="1"/>
  <c r="AV77" i="3"/>
  <c r="AW77" i="3" a="1"/>
  <c r="AW77" i="3"/>
  <c r="AX77" i="3" a="1"/>
  <c r="AX77" i="3"/>
  <c r="AQ78" i="3"/>
  <c r="AR78" i="3"/>
  <c r="AS78" i="3"/>
  <c r="AT78" i="3" a="1"/>
  <c r="AT78" i="3"/>
  <c r="AU78" i="3" a="1"/>
  <c r="AU78" i="3"/>
  <c r="AV78" i="3" a="1"/>
  <c r="AV78" i="3"/>
  <c r="AW78" i="3" a="1"/>
  <c r="AW78" i="3"/>
  <c r="AX78" i="3" a="1"/>
  <c r="AX78" i="3"/>
  <c r="AQ79" i="3"/>
  <c r="AR79" i="3"/>
  <c r="AS79" i="3"/>
  <c r="AT79" i="3" a="1"/>
  <c r="AT79" i="3"/>
  <c r="AU79" i="3" a="1"/>
  <c r="AU79" i="3"/>
  <c r="AV79" i="3" a="1"/>
  <c r="AV79" i="3" s="1"/>
  <c r="AW79" i="3" a="1"/>
  <c r="AW79" i="3" s="1"/>
  <c r="AX79" i="3" a="1"/>
  <c r="AX79" i="3"/>
  <c r="AQ80" i="3"/>
  <c r="AR80" i="3"/>
  <c r="AS80" i="3"/>
  <c r="AT80" i="3" a="1"/>
  <c r="AT80" i="3"/>
  <c r="AU80" i="3" a="1"/>
  <c r="AU80" i="3"/>
  <c r="AV80" i="3" a="1"/>
  <c r="AV80" i="3"/>
  <c r="AW80" i="3" a="1"/>
  <c r="AW80" i="3"/>
  <c r="AX80" i="3" a="1"/>
  <c r="AX80" i="3"/>
  <c r="AQ81" i="3"/>
  <c r="AR81" i="3"/>
  <c r="AS81" i="3"/>
  <c r="AT81" i="3" a="1"/>
  <c r="AT81" i="3" s="1"/>
  <c r="AU81" i="3" a="1"/>
  <c r="AU81" i="3"/>
  <c r="AV81" i="3" a="1"/>
  <c r="AV81" i="3"/>
  <c r="AW81" i="3" a="1"/>
  <c r="AW81" i="3"/>
  <c r="AX81" i="3" a="1"/>
  <c r="AX81" i="3" s="1"/>
  <c r="AQ67" i="3"/>
  <c r="AR67" i="3"/>
  <c r="AS67" i="3"/>
  <c r="AT67" i="3" a="1"/>
  <c r="AT67" i="3" s="1"/>
  <c r="AU67" i="3" a="1"/>
  <c r="AU67" i="3" s="1"/>
  <c r="AV67" i="3" a="1"/>
  <c r="AV67" i="3"/>
  <c r="AW67" i="3" a="1"/>
  <c r="AW67" i="3"/>
  <c r="AX67" i="3" a="1"/>
  <c r="AX67" i="3"/>
  <c r="AQ68" i="3"/>
  <c r="AR68" i="3"/>
  <c r="AS68" i="3"/>
  <c r="AT68" i="3" a="1"/>
  <c r="AT68" i="3"/>
  <c r="AU68" i="3" a="1"/>
  <c r="AU68" i="3"/>
  <c r="AV68" i="3" a="1"/>
  <c r="AV68" i="3"/>
  <c r="AW68" i="3" a="1"/>
  <c r="AW68" i="3"/>
  <c r="AX68" i="3" a="1"/>
  <c r="AX68" i="3"/>
  <c r="AQ69" i="3"/>
  <c r="AR69" i="3"/>
  <c r="AS69" i="3"/>
  <c r="AT69" i="3" a="1"/>
  <c r="AT69" i="3"/>
  <c r="AU69" i="3" a="1"/>
  <c r="AU69" i="3"/>
  <c r="AV69" i="3" a="1"/>
  <c r="AV69" i="3"/>
  <c r="AW69" i="3" a="1"/>
  <c r="AW69" i="3"/>
  <c r="AX69" i="3" a="1"/>
  <c r="AX69" i="3" s="1"/>
  <c r="AQ70" i="3"/>
  <c r="AR70" i="3"/>
  <c r="AS70" i="3"/>
  <c r="AT70" i="3" a="1"/>
  <c r="AT70" i="3"/>
  <c r="AU70" i="3" a="1"/>
  <c r="AU70" i="3"/>
  <c r="AV70" i="3" a="1"/>
  <c r="AV70" i="3"/>
  <c r="AW70" i="3" a="1"/>
  <c r="AW70" i="3"/>
  <c r="AX70" i="3" a="1"/>
  <c r="AX70" i="3"/>
  <c r="AQ71" i="3"/>
  <c r="AR71" i="3"/>
  <c r="AS71" i="3"/>
  <c r="AT71" i="3" a="1"/>
  <c r="AT71" i="3" s="1"/>
  <c r="AU71" i="3" a="1"/>
  <c r="AU71" i="3" s="1"/>
  <c r="AV71" i="3" a="1"/>
  <c r="AV71" i="3"/>
  <c r="AW71" i="3" a="1"/>
  <c r="AW71" i="3"/>
  <c r="AX71" i="3" a="1"/>
  <c r="AX71" i="3" s="1"/>
  <c r="AQ72" i="3"/>
  <c r="AR72" i="3"/>
  <c r="AS72" i="3"/>
  <c r="AT72" i="3" a="1"/>
  <c r="AT72" i="3"/>
  <c r="AU72" i="3" a="1"/>
  <c r="AU72" i="3"/>
  <c r="AV72" i="3" a="1"/>
  <c r="AV72" i="3"/>
  <c r="AW72" i="3" a="1"/>
  <c r="AW72" i="3" s="1"/>
  <c r="AX72" i="3" a="1"/>
  <c r="AX72" i="3"/>
  <c r="AQ73" i="3"/>
  <c r="AR73" i="3"/>
  <c r="AS73" i="3"/>
  <c r="AT73" i="3" a="1"/>
  <c r="AT73" i="3"/>
  <c r="AU73" i="3" a="1"/>
  <c r="AU73" i="3" s="1"/>
  <c r="AV73" i="3" a="1"/>
  <c r="AV73" i="3" s="1"/>
  <c r="AW73" i="3" a="1"/>
  <c r="AW73" i="3"/>
  <c r="AX73" i="3" a="1"/>
  <c r="AX73" i="3"/>
  <c r="AQ59" i="3"/>
  <c r="AR59" i="3"/>
  <c r="AS59" i="3"/>
  <c r="AT59" i="3" a="1"/>
  <c r="AT59" i="3"/>
  <c r="AU59" i="3" a="1"/>
  <c r="AU59" i="3" s="1"/>
  <c r="AV59" i="3" a="1"/>
  <c r="AV59" i="3"/>
  <c r="AW59" i="3" a="1"/>
  <c r="AW59" i="3" s="1"/>
  <c r="AX59" i="3" a="1"/>
  <c r="AX59" i="3"/>
  <c r="AQ60" i="3"/>
  <c r="AR60" i="3"/>
  <c r="AS60" i="3"/>
  <c r="AT60" i="3" a="1"/>
  <c r="AT60" i="3"/>
  <c r="AU60" i="3" a="1"/>
  <c r="AU60" i="3"/>
  <c r="AV60" i="3" a="1"/>
  <c r="AV60" i="3" s="1"/>
  <c r="AW60" i="3" a="1"/>
  <c r="AW60" i="3"/>
  <c r="AX60" i="3" a="1"/>
  <c r="AX60" i="3"/>
  <c r="AQ61" i="3"/>
  <c r="AR61" i="3"/>
  <c r="AS61" i="3"/>
  <c r="AT61" i="3" a="1"/>
  <c r="AT61" i="3" s="1"/>
  <c r="AU61" i="3" a="1"/>
  <c r="AU61" i="3"/>
  <c r="AV61" i="3" a="1"/>
  <c r="AV61" i="3"/>
  <c r="AW61" i="3" a="1"/>
  <c r="AW61" i="3"/>
  <c r="AX61" i="3" a="1"/>
  <c r="AX61" i="3"/>
  <c r="AQ62" i="3"/>
  <c r="AR62" i="3"/>
  <c r="AS62" i="3"/>
  <c r="AT62" i="3" a="1"/>
  <c r="AT62" i="3"/>
  <c r="AU62" i="3" a="1"/>
  <c r="AU62" i="3"/>
  <c r="AV62" i="3" a="1"/>
  <c r="AV62" i="3"/>
  <c r="AW62" i="3" a="1"/>
  <c r="AW62" i="3"/>
  <c r="AX62" i="3" a="1"/>
  <c r="AX62" i="3"/>
  <c r="AQ63" i="3"/>
  <c r="AR63" i="3"/>
  <c r="AS63" i="3"/>
  <c r="AT63" i="3" a="1"/>
  <c r="AT63" i="3"/>
  <c r="AU63" i="3" a="1"/>
  <c r="AU63" i="3"/>
  <c r="AV63" i="3" a="1"/>
  <c r="AV63" i="3" s="1"/>
  <c r="AW63" i="3" a="1"/>
  <c r="AW63" i="3"/>
  <c r="AX63" i="3" a="1"/>
  <c r="AX63" i="3"/>
  <c r="AQ64" i="3"/>
  <c r="AR64" i="3"/>
  <c r="AS64" i="3"/>
  <c r="AT64" i="3" a="1"/>
  <c r="AT64" i="3"/>
  <c r="AU64" i="3" a="1"/>
  <c r="AU64" i="3"/>
  <c r="AV64" i="3" a="1"/>
  <c r="AV64" i="3"/>
  <c r="AW64" i="3" a="1"/>
  <c r="AW64" i="3"/>
  <c r="AX64" i="3" a="1"/>
  <c r="AX64" i="3"/>
  <c r="AQ65" i="3"/>
  <c r="AR65" i="3"/>
  <c r="AS65" i="3"/>
  <c r="AT65" i="3" a="1"/>
  <c r="AT65" i="3"/>
  <c r="AU65" i="3" a="1"/>
  <c r="AU65" i="3"/>
  <c r="AV65" i="3" a="1"/>
  <c r="AV65" i="3" s="1"/>
  <c r="AW65" i="3" a="1"/>
  <c r="AW65" i="3"/>
  <c r="AX65" i="3" a="1"/>
  <c r="AX65" i="3" s="1"/>
  <c r="AQ51" i="3"/>
  <c r="AR51" i="3"/>
  <c r="AS51" i="3"/>
  <c r="AT51" i="3" a="1"/>
  <c r="AT51" i="3"/>
  <c r="AU51" i="3" a="1"/>
  <c r="AU51" i="3" s="1"/>
  <c r="AV51" i="3" a="1"/>
  <c r="AV51" i="3"/>
  <c r="AW51" i="3" a="1"/>
  <c r="AW51" i="3" s="1"/>
  <c r="AX51" i="3" a="1"/>
  <c r="AX51" i="3"/>
  <c r="AQ52" i="3"/>
  <c r="AR52" i="3"/>
  <c r="AS52" i="3"/>
  <c r="AT52" i="3" a="1"/>
  <c r="AT52" i="3"/>
  <c r="AU52" i="3" a="1"/>
  <c r="AU52" i="3"/>
  <c r="AV52" i="3" a="1"/>
  <c r="AV52" i="3" s="1"/>
  <c r="AW52" i="3" a="1"/>
  <c r="AW52" i="3" s="1"/>
  <c r="AX52" i="3" a="1"/>
  <c r="AX52" i="3" s="1"/>
  <c r="AQ53" i="3"/>
  <c r="AR53" i="3"/>
  <c r="AS53" i="3"/>
  <c r="AT53" i="3" a="1"/>
  <c r="AT53" i="3" s="1"/>
  <c r="AU53" i="3" a="1"/>
  <c r="AU53" i="3"/>
  <c r="AV53" i="3" a="1"/>
  <c r="AV53" i="3"/>
  <c r="AW53" i="3" a="1"/>
  <c r="AW53" i="3"/>
  <c r="AX53" i="3" a="1"/>
  <c r="AX53" i="3"/>
  <c r="AQ54" i="3"/>
  <c r="AR54" i="3"/>
  <c r="AS54" i="3"/>
  <c r="AT54" i="3" a="1"/>
  <c r="AT54" i="3" s="1"/>
  <c r="AU54" i="3" a="1"/>
  <c r="AU54" i="3" s="1"/>
  <c r="AV54" i="3" a="1"/>
  <c r="AV54" i="3"/>
  <c r="AW54" i="3" a="1"/>
  <c r="AW54" i="3"/>
  <c r="AX54" i="3" a="1"/>
  <c r="AX54" i="3"/>
  <c r="AQ55" i="3"/>
  <c r="AR55" i="3"/>
  <c r="AS55" i="3"/>
  <c r="AT55" i="3" a="1"/>
  <c r="AT55" i="3"/>
  <c r="AU55" i="3" a="1"/>
  <c r="AU55" i="3"/>
  <c r="AV55" i="3" a="1"/>
  <c r="AV55" i="3" s="1"/>
  <c r="AW55" i="3" a="1"/>
  <c r="AW55" i="3"/>
  <c r="AX55" i="3" a="1"/>
  <c r="AX55" i="3"/>
  <c r="AQ56" i="3"/>
  <c r="AR56" i="3"/>
  <c r="AS56" i="3"/>
  <c r="AT56" i="3" a="1"/>
  <c r="AT56" i="3"/>
  <c r="AU56" i="3" a="1"/>
  <c r="AU56" i="3"/>
  <c r="AV56" i="3" a="1"/>
  <c r="AV56" i="3"/>
  <c r="AW56" i="3" a="1"/>
  <c r="AW56" i="3"/>
  <c r="AX56" i="3" a="1"/>
  <c r="AX56" i="3"/>
  <c r="AQ57" i="3"/>
  <c r="AR57" i="3"/>
  <c r="AS57" i="3"/>
  <c r="AT57" i="3" a="1"/>
  <c r="AT57" i="3"/>
  <c r="AU57" i="3" a="1"/>
  <c r="AU57" i="3"/>
  <c r="AV57" i="3" a="1"/>
  <c r="AV57" i="3" s="1"/>
  <c r="AW57" i="3" a="1"/>
  <c r="AW57" i="3"/>
  <c r="AX57" i="3" a="1"/>
  <c r="AX57" i="3" s="1"/>
  <c r="AQ43" i="3"/>
  <c r="AR43" i="3"/>
  <c r="AS43" i="3"/>
  <c r="AT43" i="3" a="1"/>
  <c r="AT43" i="3"/>
  <c r="AU43" i="3" a="1"/>
  <c r="AU43" i="3" s="1"/>
  <c r="AV43" i="3" a="1"/>
  <c r="AV43" i="3"/>
  <c r="AW43" i="3" a="1"/>
  <c r="AW43" i="3" s="1"/>
  <c r="AX43" i="3" a="1"/>
  <c r="AX43" i="3"/>
  <c r="AQ44" i="3"/>
  <c r="AR44" i="3"/>
  <c r="AS44" i="3"/>
  <c r="AT44" i="3" a="1"/>
  <c r="AT44" i="3"/>
  <c r="AU44" i="3" a="1"/>
  <c r="AU44" i="3"/>
  <c r="AV44" i="3" a="1"/>
  <c r="AV44" i="3"/>
  <c r="AW44" i="3" a="1"/>
  <c r="AW44" i="3"/>
  <c r="AX44" i="3" a="1"/>
  <c r="AX44" i="3"/>
  <c r="AQ45" i="3"/>
  <c r="AR45" i="3"/>
  <c r="AS45" i="3"/>
  <c r="AT45" i="3" a="1"/>
  <c r="AT45" i="3" s="1"/>
  <c r="AU45" i="3" a="1"/>
  <c r="AU45" i="3"/>
  <c r="AV45" i="3" a="1"/>
  <c r="AV45" i="3"/>
  <c r="AW45" i="3" a="1"/>
  <c r="AW45" i="3"/>
  <c r="AX45" i="3" a="1"/>
  <c r="AX45" i="3"/>
  <c r="AQ46" i="3"/>
  <c r="AR46" i="3"/>
  <c r="AS46" i="3"/>
  <c r="AT46" i="3" a="1"/>
  <c r="AT46" i="3"/>
  <c r="AU46" i="3" a="1"/>
  <c r="AU46" i="3"/>
  <c r="AV46" i="3" a="1"/>
  <c r="AV46" i="3"/>
  <c r="AW46" i="3" a="1"/>
  <c r="AW46" i="3"/>
  <c r="AX46" i="3" a="1"/>
  <c r="AX46" i="3"/>
  <c r="AQ47" i="3"/>
  <c r="AR47" i="3"/>
  <c r="AS47" i="3"/>
  <c r="AT47" i="3" a="1"/>
  <c r="AT47" i="3"/>
  <c r="AU47" i="3" a="1"/>
  <c r="AU47" i="3"/>
  <c r="AV47" i="3" a="1"/>
  <c r="AV47" i="3" s="1"/>
  <c r="AW47" i="3" a="1"/>
  <c r="AW47" i="3" s="1"/>
  <c r="AX47" i="3" a="1"/>
  <c r="AX47" i="3"/>
  <c r="AQ48" i="3"/>
  <c r="AR48" i="3"/>
  <c r="AS48" i="3"/>
  <c r="AT48" i="3" a="1"/>
  <c r="AT48" i="3"/>
  <c r="AU48" i="3" a="1"/>
  <c r="AU48" i="3"/>
  <c r="AV48" i="3" a="1"/>
  <c r="AV48" i="3"/>
  <c r="AW48" i="3" a="1"/>
  <c r="AW48" i="3"/>
  <c r="AX48" i="3" a="1"/>
  <c r="AX48" i="3"/>
  <c r="AQ49" i="3"/>
  <c r="AR49" i="3"/>
  <c r="AS49" i="3"/>
  <c r="AT49" i="3" a="1"/>
  <c r="AT49" i="3" s="1"/>
  <c r="AU49" i="3" a="1"/>
  <c r="AU49" i="3"/>
  <c r="AV49" i="3" a="1"/>
  <c r="AV49" i="3"/>
  <c r="AW49" i="3" a="1"/>
  <c r="AW49" i="3"/>
  <c r="AX49" i="3" a="1"/>
  <c r="AX49" i="3" s="1"/>
  <c r="AQ35" i="3"/>
  <c r="AR35" i="3"/>
  <c r="AS35" i="3"/>
  <c r="AT35" i="3" a="1"/>
  <c r="AT35" i="3"/>
  <c r="AU35" i="3" a="1"/>
  <c r="AU35" i="3"/>
  <c r="AV35" i="3" a="1"/>
  <c r="AV35" i="3"/>
  <c r="AW35" i="3" a="1"/>
  <c r="AW35" i="3" s="1"/>
  <c r="AX35" i="3" a="1"/>
  <c r="AX35" i="3"/>
  <c r="AQ36" i="3"/>
  <c r="AR36" i="3"/>
  <c r="AS36" i="3"/>
  <c r="AT36" i="3" a="1"/>
  <c r="AT36" i="3"/>
  <c r="AU36" i="3" a="1"/>
  <c r="AU36" i="3"/>
  <c r="AV36" i="3" a="1"/>
  <c r="AV36" i="3" s="1"/>
  <c r="AW36" i="3" a="1"/>
  <c r="AW36" i="3"/>
  <c r="AX36" i="3" a="1"/>
  <c r="AX36" i="3"/>
  <c r="AQ37" i="3"/>
  <c r="AR37" i="3"/>
  <c r="AS37" i="3"/>
  <c r="AT37" i="3" a="1"/>
  <c r="AT37" i="3" s="1"/>
  <c r="AU37" i="3" a="1"/>
  <c r="AU37" i="3"/>
  <c r="AV37" i="3" a="1"/>
  <c r="AV37" i="3"/>
  <c r="AW37" i="3" a="1"/>
  <c r="AW37" i="3"/>
  <c r="AX37" i="3" a="1"/>
  <c r="AX37" i="3"/>
  <c r="AQ38" i="3"/>
  <c r="AR38" i="3"/>
  <c r="AS38" i="3"/>
  <c r="AT38" i="3" a="1"/>
  <c r="AT38" i="3"/>
  <c r="AU38" i="3" a="1"/>
  <c r="AU38" i="3"/>
  <c r="AV38" i="3" a="1"/>
  <c r="AV38" i="3"/>
  <c r="AW38" i="3" a="1"/>
  <c r="AW38" i="3"/>
  <c r="AX38" i="3" a="1"/>
  <c r="AX38" i="3"/>
  <c r="AQ39" i="3"/>
  <c r="AR39" i="3"/>
  <c r="AS39" i="3"/>
  <c r="AT39" i="3" a="1"/>
  <c r="AT39" i="3"/>
  <c r="AU39" i="3" a="1"/>
  <c r="AU39" i="3"/>
  <c r="AV39" i="3" a="1"/>
  <c r="AV39" i="3" s="1"/>
  <c r="AW39" i="3" a="1"/>
  <c r="AW39" i="3" s="1"/>
  <c r="AX39" i="3" a="1"/>
  <c r="AX39" i="3"/>
  <c r="AQ40" i="3"/>
  <c r="AR40" i="3"/>
  <c r="AS40" i="3"/>
  <c r="AT40" i="3" a="1"/>
  <c r="AT40" i="3"/>
  <c r="AU40" i="3" a="1"/>
  <c r="AU40" i="3"/>
  <c r="AV40" i="3" a="1"/>
  <c r="AV40" i="3"/>
  <c r="AW40" i="3" a="1"/>
  <c r="AW40" i="3"/>
  <c r="AX40" i="3" a="1"/>
  <c r="AX40" i="3"/>
  <c r="AQ41" i="3"/>
  <c r="AR41" i="3"/>
  <c r="AS41" i="3"/>
  <c r="AT41" i="3" a="1"/>
  <c r="AT41" i="3" s="1"/>
  <c r="AU41" i="3" a="1"/>
  <c r="AU41" i="3"/>
  <c r="AV41" i="3" a="1"/>
  <c r="AV41" i="3"/>
  <c r="AW41" i="3" a="1"/>
  <c r="AW41" i="3"/>
  <c r="AX41" i="3" a="1"/>
  <c r="AX41" i="3" s="1"/>
  <c r="AQ27" i="3"/>
  <c r="AR27" i="3"/>
  <c r="AS27" i="3"/>
  <c r="AT27" i="3" a="1"/>
  <c r="AT27" i="3" s="1"/>
  <c r="AU27" i="3" a="1"/>
  <c r="AU27" i="3"/>
  <c r="AV27" i="3" a="1"/>
  <c r="AV27" i="3"/>
  <c r="AW27" i="3" a="1"/>
  <c r="AW27" i="3"/>
  <c r="AX27" i="3" a="1"/>
  <c r="AX27" i="3"/>
  <c r="AQ28" i="3"/>
  <c r="AR28" i="3"/>
  <c r="AS28" i="3"/>
  <c r="AT28" i="3" a="1"/>
  <c r="AT28" i="3"/>
  <c r="AU28" i="3" a="1"/>
  <c r="AU28" i="3"/>
  <c r="AV28" i="3" a="1"/>
  <c r="AV28" i="3"/>
  <c r="AW28" i="3" a="1"/>
  <c r="AW28" i="3"/>
  <c r="AX28" i="3" a="1"/>
  <c r="AX28" i="3"/>
  <c r="AQ29" i="3"/>
  <c r="AR29" i="3"/>
  <c r="AS29" i="3"/>
  <c r="AT29" i="3" a="1"/>
  <c r="AT29" i="3"/>
  <c r="AU29" i="3" a="1"/>
  <c r="AU29" i="3"/>
  <c r="AV29" i="3" a="1"/>
  <c r="AV29" i="3"/>
  <c r="AW29" i="3" a="1"/>
  <c r="AW29" i="3"/>
  <c r="AX29" i="3" a="1"/>
  <c r="AX29" i="3"/>
  <c r="AQ30" i="3"/>
  <c r="AR30" i="3"/>
  <c r="AS30" i="3"/>
  <c r="AT30" i="3" a="1"/>
  <c r="AT30" i="3"/>
  <c r="AU30" i="3" a="1"/>
  <c r="AU30" i="3"/>
  <c r="AV30" i="3" a="1"/>
  <c r="AV30" i="3" s="1"/>
  <c r="AW30" i="3" a="1"/>
  <c r="AW30" i="3"/>
  <c r="AX30" i="3" a="1"/>
  <c r="AX30" i="3"/>
  <c r="AQ31" i="3"/>
  <c r="AR31" i="3"/>
  <c r="AS31" i="3"/>
  <c r="AT31" i="3" a="1"/>
  <c r="AT31" i="3"/>
  <c r="AU31" i="3" a="1"/>
  <c r="AU31" i="3"/>
  <c r="AV31" i="3" a="1"/>
  <c r="AV31" i="3" s="1"/>
  <c r="AW31" i="3" a="1"/>
  <c r="AW31" i="3"/>
  <c r="AX31" i="3" a="1"/>
  <c r="AX31" i="3" s="1"/>
  <c r="AQ32" i="3"/>
  <c r="AR32" i="3"/>
  <c r="AS32" i="3"/>
  <c r="AT32" i="3" a="1"/>
  <c r="AT32" i="3"/>
  <c r="AU32" i="3" a="1"/>
  <c r="AU32" i="3"/>
  <c r="AV32" i="3" a="1"/>
  <c r="AV32" i="3"/>
  <c r="AW32" i="3" a="1"/>
  <c r="AW32" i="3"/>
  <c r="AX32" i="3" a="1"/>
  <c r="AX32" i="3"/>
  <c r="AQ33" i="3"/>
  <c r="AR33" i="3"/>
  <c r="AS33" i="3"/>
  <c r="AT33" i="3" a="1"/>
  <c r="AT33" i="3"/>
  <c r="AU33" i="3" a="1"/>
  <c r="AU33" i="3" s="1"/>
  <c r="AV33" i="3" a="1"/>
  <c r="AV33" i="3"/>
  <c r="AW33" i="3" a="1"/>
  <c r="AW33" i="3"/>
  <c r="AX33" i="3" a="1"/>
  <c r="AX33" i="3"/>
  <c r="AQ19" i="3"/>
  <c r="AR19" i="3"/>
  <c r="AS19" i="3"/>
  <c r="AT19" i="3" a="1"/>
  <c r="AT19" i="3"/>
  <c r="AU19" i="3" a="1"/>
  <c r="AU19" i="3" s="1"/>
  <c r="AV19" i="3" a="1"/>
  <c r="AV19" i="3"/>
  <c r="AW19" i="3" a="1"/>
  <c r="AW19" i="3"/>
  <c r="AX19" i="3" a="1"/>
  <c r="AX19" i="3"/>
  <c r="AQ20" i="3"/>
  <c r="AR20" i="3"/>
  <c r="AS20" i="3"/>
  <c r="AT20" i="3" a="1"/>
  <c r="AT20" i="3"/>
  <c r="AU20" i="3" a="1"/>
  <c r="AU20" i="3"/>
  <c r="AV20" i="3" a="1"/>
  <c r="AV20" i="3" s="1"/>
  <c r="AW20" i="3" a="1"/>
  <c r="AW20" i="3"/>
  <c r="AX20" i="3" a="1"/>
  <c r="AX20" i="3"/>
  <c r="AQ21" i="3"/>
  <c r="AR21" i="3"/>
  <c r="AS21" i="3"/>
  <c r="AT21" i="3" a="1"/>
  <c r="AT21" i="3"/>
  <c r="AU21" i="3" a="1"/>
  <c r="AU21" i="3"/>
  <c r="AV21" i="3" a="1"/>
  <c r="AV21" i="3"/>
  <c r="AW21" i="3" a="1"/>
  <c r="AW21" i="3" s="1"/>
  <c r="AX21" i="3" a="1"/>
  <c r="AX21" i="3" s="1"/>
  <c r="AQ22" i="3"/>
  <c r="AR22" i="3"/>
  <c r="AS22" i="3"/>
  <c r="AT22" i="3" a="1"/>
  <c r="AT22" i="3"/>
  <c r="AU22" i="3" a="1"/>
  <c r="AU22" i="3"/>
  <c r="AV22" i="3" a="1"/>
  <c r="AV22" i="3"/>
  <c r="AW22" i="3" a="1"/>
  <c r="AW22" i="3"/>
  <c r="AX22" i="3" a="1"/>
  <c r="AX22" i="3"/>
  <c r="AQ23" i="3"/>
  <c r="AR23" i="3"/>
  <c r="AS23" i="3"/>
  <c r="AT23" i="3" a="1"/>
  <c r="AT23" i="3"/>
  <c r="AU23" i="3" a="1"/>
  <c r="AU23" i="3"/>
  <c r="AV23" i="3" a="1"/>
  <c r="AV23" i="3" s="1"/>
  <c r="AW23" i="3" a="1"/>
  <c r="AW23" i="3"/>
  <c r="AX23" i="3" a="1"/>
  <c r="AX23" i="3"/>
  <c r="AQ24" i="3"/>
  <c r="AR24" i="3"/>
  <c r="AS24" i="3"/>
  <c r="AT24" i="3" a="1"/>
  <c r="AT24" i="3"/>
  <c r="AU24" i="3" a="1"/>
  <c r="AU24" i="3"/>
  <c r="AV24" i="3" a="1"/>
  <c r="AV24" i="3"/>
  <c r="AW24" i="3" a="1"/>
  <c r="AW24" i="3"/>
  <c r="AX24" i="3" a="1"/>
  <c r="AX24" i="3"/>
  <c r="AQ25" i="3"/>
  <c r="AR25" i="3"/>
  <c r="AS25" i="3"/>
  <c r="AT25" i="3" a="1"/>
  <c r="AT25" i="3"/>
  <c r="AU25" i="3" a="1"/>
  <c r="AU25" i="3"/>
  <c r="AV25" i="3" a="1"/>
  <c r="AV25" i="3" s="1"/>
  <c r="AW25" i="3" a="1"/>
  <c r="AW25" i="3"/>
  <c r="AX25" i="3" a="1"/>
  <c r="AX25" i="3"/>
  <c r="Y11" i="3"/>
  <c r="Z11" i="3" a="1"/>
  <c r="Z11" i="3"/>
  <c r="AA11" i="3" a="1"/>
  <c r="AA11" i="3"/>
  <c r="AB11" i="3" a="1"/>
  <c r="AB11" i="3"/>
  <c r="AC11" i="3" a="1"/>
  <c r="AC11" i="3"/>
  <c r="AD11" i="3" a="1"/>
  <c r="AD11" i="3" s="1"/>
  <c r="AE11" i="3" a="1"/>
  <c r="AE11" i="3"/>
  <c r="AF11" i="3" a="1"/>
  <c r="AF11" i="3"/>
  <c r="AQ11" i="3"/>
  <c r="AR11" i="3"/>
  <c r="AS11" i="3"/>
  <c r="AT11" i="3" a="1"/>
  <c r="AT11" i="3"/>
  <c r="AU11" i="3" a="1"/>
  <c r="AU11" i="3"/>
  <c r="AV11" i="3" a="1"/>
  <c r="AV11" i="3"/>
  <c r="AW11" i="3" a="1"/>
  <c r="AW11" i="3"/>
  <c r="AX11" i="3" a="1"/>
  <c r="AX11" i="3"/>
  <c r="Y12" i="3"/>
  <c r="Z12" i="3" a="1"/>
  <c r="Z12" i="3" s="1"/>
  <c r="AA12" i="3" a="1"/>
  <c r="AA12" i="3" s="1"/>
  <c r="AB12" i="3" a="1"/>
  <c r="AB12" i="3"/>
  <c r="AC12" i="3" a="1"/>
  <c r="AC12" i="3"/>
  <c r="AD12" i="3" a="1"/>
  <c r="AD12" i="3"/>
  <c r="AE12" i="3" a="1"/>
  <c r="AE12" i="3" s="1"/>
  <c r="AF12" i="3" a="1"/>
  <c r="AF12" i="3"/>
  <c r="AQ12" i="3"/>
  <c r="AR12" i="3"/>
  <c r="AS12" i="3"/>
  <c r="AT12" i="3" a="1"/>
  <c r="AT12" i="3"/>
  <c r="AU12" i="3" a="1"/>
  <c r="AU12" i="3"/>
  <c r="AV12" i="3" a="1"/>
  <c r="AV12" i="3"/>
  <c r="AW12" i="3" a="1"/>
  <c r="AW12" i="3"/>
  <c r="AX12" i="3" a="1"/>
  <c r="AX12" i="3"/>
  <c r="Y13" i="3"/>
  <c r="Z13" i="3" a="1"/>
  <c r="Z13" i="3" s="1"/>
  <c r="AA13" i="3" a="1"/>
  <c r="AA13" i="3" s="1"/>
  <c r="AB13" i="3" a="1"/>
  <c r="AB13" i="3"/>
  <c r="AC13" i="3" a="1"/>
  <c r="AC13" i="3"/>
  <c r="AD13" i="3" a="1"/>
  <c r="AD13" i="3"/>
  <c r="AE13" i="3" a="1"/>
  <c r="AE13" i="3"/>
  <c r="AF13" i="3" a="1"/>
  <c r="AF13" i="3" s="1"/>
  <c r="AQ13" i="3"/>
  <c r="AR13" i="3"/>
  <c r="AS13" i="3"/>
  <c r="AT13" i="3" a="1"/>
  <c r="AT13" i="3"/>
  <c r="AU13" i="3" a="1"/>
  <c r="AU13" i="3"/>
  <c r="AV13" i="3" a="1"/>
  <c r="AV13" i="3"/>
  <c r="AW13" i="3" a="1"/>
  <c r="AW13" i="3"/>
  <c r="AX13" i="3" a="1"/>
  <c r="AX13" i="3"/>
  <c r="Y14" i="3"/>
  <c r="Z14" i="3" a="1"/>
  <c r="Z14" i="3"/>
  <c r="AA14" i="3" a="1"/>
  <c r="AA14" i="3"/>
  <c r="AB14" i="3" a="1"/>
  <c r="AB14" i="3" s="1"/>
  <c r="AC14" i="3" a="1"/>
  <c r="AC14" i="3"/>
  <c r="AD14" i="3" a="1"/>
  <c r="AD14" i="3"/>
  <c r="AE14" i="3" a="1"/>
  <c r="AE14" i="3" s="1"/>
  <c r="AF14" i="3" a="1"/>
  <c r="AF14" i="3"/>
  <c r="AQ14" i="3"/>
  <c r="AR14" i="3"/>
  <c r="AS14" i="3"/>
  <c r="AT14" i="3" a="1"/>
  <c r="AT14" i="3"/>
  <c r="AU14" i="3" a="1"/>
  <c r="AU14" i="3"/>
  <c r="AV14" i="3" a="1"/>
  <c r="AV14" i="3"/>
  <c r="AW14" i="3" a="1"/>
  <c r="AW14" i="3"/>
  <c r="AX14" i="3" a="1"/>
  <c r="AX14" i="3"/>
  <c r="Y15" i="3"/>
  <c r="Z15" i="3" a="1"/>
  <c r="Z15" i="3"/>
  <c r="AA15" i="3" a="1"/>
  <c r="AA15" i="3" s="1"/>
  <c r="AB15" i="3" a="1"/>
  <c r="AB15" i="3"/>
  <c r="AC15" i="3" a="1"/>
  <c r="AC15" i="3" s="1"/>
  <c r="AD15" i="3" a="1"/>
  <c r="AD15" i="3" s="1"/>
  <c r="AE15" i="3" a="1"/>
  <c r="AE15" i="3"/>
  <c r="AF15" i="3" a="1"/>
  <c r="AF15" i="3"/>
  <c r="AQ15" i="3"/>
  <c r="AR15" i="3"/>
  <c r="AS15" i="3"/>
  <c r="AT15" i="3" a="1"/>
  <c r="AT15" i="3"/>
  <c r="AU15" i="3" a="1"/>
  <c r="AU15" i="3"/>
  <c r="AV15" i="3" a="1"/>
  <c r="AV15" i="3"/>
  <c r="AW15" i="3" a="1"/>
  <c r="AW15" i="3"/>
  <c r="AX15" i="3" a="1"/>
  <c r="AX15" i="3"/>
  <c r="Y16" i="3"/>
  <c r="Z16" i="3" a="1"/>
  <c r="Z16" i="3" s="1"/>
  <c r="AA16" i="3" a="1"/>
  <c r="AA16" i="3"/>
  <c r="AB16" i="3" a="1"/>
  <c r="AB16" i="3"/>
  <c r="AC16" i="3" a="1"/>
  <c r="AC16" i="3"/>
  <c r="AD16" i="3" a="1"/>
  <c r="AD16" i="3" s="1"/>
  <c r="AE16" i="3" a="1"/>
  <c r="AE16" i="3"/>
  <c r="AF16" i="3" a="1"/>
  <c r="AF16" i="3"/>
  <c r="AQ16" i="3"/>
  <c r="AR16" i="3"/>
  <c r="AS16" i="3"/>
  <c r="AT16" i="3" a="1"/>
  <c r="AT16" i="3"/>
  <c r="AU16" i="3" a="1"/>
  <c r="AU16" i="3"/>
  <c r="AV16" i="3" a="1"/>
  <c r="AV16" i="3"/>
  <c r="AW16" i="3" a="1"/>
  <c r="AW16" i="3"/>
  <c r="AX16" i="3" a="1"/>
  <c r="AX16" i="3" s="1"/>
  <c r="Y17" i="3"/>
  <c r="Z17" i="3" a="1"/>
  <c r="Z17" i="3" s="1"/>
  <c r="AA17" i="3" a="1"/>
  <c r="AA17" i="3"/>
  <c r="AB17" i="3" a="1"/>
  <c r="AB17" i="3"/>
  <c r="AC17" i="3" a="1"/>
  <c r="AC17" i="3"/>
  <c r="AD17" i="3" a="1"/>
  <c r="AD17" i="3"/>
  <c r="AE17" i="3" a="1"/>
  <c r="AE17" i="3" s="1"/>
  <c r="AF17" i="3" a="1"/>
  <c r="AF17" i="3" s="1"/>
  <c r="AQ17" i="3"/>
  <c r="AR17" i="3"/>
  <c r="AS17" i="3"/>
  <c r="AT17" i="3" a="1"/>
  <c r="AT17" i="3"/>
  <c r="AU17" i="3" a="1"/>
  <c r="AU17" i="3"/>
  <c r="AV17" i="3" a="1"/>
  <c r="AV17" i="3"/>
  <c r="AW17" i="3" a="1"/>
  <c r="AW17" i="3"/>
  <c r="AX17" i="3" a="1"/>
  <c r="AX17" i="3"/>
  <c r="AQ3" i="3"/>
  <c r="AR3" i="3"/>
  <c r="AS3" i="3"/>
  <c r="AT3" i="3" a="1"/>
  <c r="AT3" i="3" s="1"/>
  <c r="AU3" i="3" a="1"/>
  <c r="AU3" i="3" s="1"/>
  <c r="AV3" i="3" a="1"/>
  <c r="AV3" i="3"/>
  <c r="AW3" i="3" a="1"/>
  <c r="AW3" i="3"/>
  <c r="AX3" i="3" a="1"/>
  <c r="AX3" i="3"/>
  <c r="AQ4" i="3"/>
  <c r="AR4" i="3"/>
  <c r="AS4" i="3"/>
  <c r="AT4" i="3" a="1"/>
  <c r="AT4" i="3"/>
  <c r="AU4" i="3" a="1"/>
  <c r="AU4" i="3"/>
  <c r="AV4" i="3" a="1"/>
  <c r="AV4" i="3" s="1"/>
  <c r="AW4" i="3" a="1"/>
  <c r="AW4" i="3"/>
  <c r="AX4" i="3" a="1"/>
  <c r="AX4" i="3" s="1"/>
  <c r="AQ5" i="3"/>
  <c r="AR5" i="3"/>
  <c r="AS5" i="3"/>
  <c r="AT5" i="3" a="1"/>
  <c r="AT5" i="3"/>
  <c r="AU5" i="3" a="1"/>
  <c r="AU5" i="3"/>
  <c r="AV5" i="3" a="1"/>
  <c r="AV5" i="3"/>
  <c r="AW5" i="3" a="1"/>
  <c r="AW5" i="3"/>
  <c r="AX5" i="3" a="1"/>
  <c r="AX5" i="3"/>
  <c r="AQ6" i="3"/>
  <c r="AR6" i="3"/>
  <c r="AS6" i="3"/>
  <c r="AT6" i="3" a="1"/>
  <c r="AT6" i="3" s="1"/>
  <c r="AU6" i="3" a="1"/>
  <c r="AU6" i="3"/>
  <c r="AV6" i="3" a="1"/>
  <c r="AV6" i="3"/>
  <c r="AW6" i="3" a="1"/>
  <c r="AW6" i="3"/>
  <c r="AX6" i="3" a="1"/>
  <c r="AX6" i="3"/>
  <c r="AQ7" i="3"/>
  <c r="AR7" i="3"/>
  <c r="AS7" i="3"/>
  <c r="AT7" i="3" a="1"/>
  <c r="AT7" i="3"/>
  <c r="AU7" i="3" a="1"/>
  <c r="AU7" i="3"/>
  <c r="AV7" i="3" a="1"/>
  <c r="AV7" i="3"/>
  <c r="AW7" i="3" a="1"/>
  <c r="AW7" i="3"/>
  <c r="AX7" i="3" a="1"/>
  <c r="AX7" i="3"/>
  <c r="AQ8" i="3"/>
  <c r="AR8" i="3"/>
  <c r="AS8" i="3"/>
  <c r="AT8" i="3" a="1"/>
  <c r="AT8" i="3"/>
  <c r="AU8" i="3" a="1"/>
  <c r="AU8" i="3"/>
  <c r="AV8" i="3" a="1"/>
  <c r="AV8" i="3"/>
  <c r="AW8" i="3" a="1"/>
  <c r="AW8" i="3"/>
  <c r="AX8" i="3" a="1"/>
  <c r="AX8" i="3"/>
  <c r="AQ9" i="3"/>
  <c r="AR9" i="3"/>
  <c r="AS9" i="3"/>
  <c r="AT9" i="3" a="1"/>
  <c r="AT9" i="3"/>
  <c r="AU9" i="3" a="1"/>
  <c r="AU9" i="3"/>
  <c r="AV9" i="3" a="1"/>
  <c r="AV9" i="3" s="1"/>
  <c r="AW9" i="3" a="1"/>
  <c r="AW9" i="3"/>
  <c r="AX9" i="3" a="1"/>
  <c r="AX9" i="3"/>
  <c r="K241" i="3" l="1"/>
  <c r="K7" i="3"/>
  <c r="K8" i="3"/>
  <c r="L8" i="3" s="1"/>
  <c r="K9" i="3"/>
  <c r="L9" i="3" s="1"/>
  <c r="K10" i="3"/>
  <c r="K11" i="3"/>
  <c r="K12" i="3"/>
  <c r="L12" i="3" s="1"/>
  <c r="K13" i="3"/>
  <c r="L13" i="3" s="1"/>
  <c r="K14" i="3"/>
  <c r="K15" i="3"/>
  <c r="L15" i="3" s="1"/>
  <c r="K16" i="3"/>
  <c r="K17" i="3"/>
  <c r="L17" i="3" s="1"/>
  <c r="K18" i="3"/>
  <c r="K19" i="3"/>
  <c r="K20" i="3"/>
  <c r="K21" i="3"/>
  <c r="K22" i="3"/>
  <c r="K23" i="3"/>
  <c r="K24" i="3"/>
  <c r="K25" i="3"/>
  <c r="L25" i="3" s="1"/>
  <c r="K26" i="3"/>
  <c r="K27" i="3"/>
  <c r="K28" i="3"/>
  <c r="L28" i="3" s="1"/>
  <c r="K29" i="3"/>
  <c r="L29" i="3" s="1"/>
  <c r="K30" i="3"/>
  <c r="L30" i="3" s="1"/>
  <c r="K31" i="3"/>
  <c r="K32" i="3"/>
  <c r="L32" i="3" s="1"/>
  <c r="K33" i="3"/>
  <c r="L33" i="3" s="1"/>
  <c r="K34" i="3"/>
  <c r="K35" i="3"/>
  <c r="L35" i="3" s="1"/>
  <c r="K36" i="3"/>
  <c r="K37" i="3"/>
  <c r="L37" i="3" s="1"/>
  <c r="K38" i="3"/>
  <c r="K39" i="3"/>
  <c r="K40" i="3"/>
  <c r="K41" i="3"/>
  <c r="K42" i="3"/>
  <c r="K43" i="3"/>
  <c r="K44" i="3"/>
  <c r="K45" i="3"/>
  <c r="L45" i="3" s="1"/>
  <c r="K46" i="3"/>
  <c r="K47" i="3"/>
  <c r="K48" i="3"/>
  <c r="L48" i="3" s="1"/>
  <c r="K49" i="3"/>
  <c r="L49" i="3" s="1"/>
  <c r="K50" i="3"/>
  <c r="K51" i="3"/>
  <c r="K52" i="3"/>
  <c r="L52" i="3" s="1"/>
  <c r="K53" i="3"/>
  <c r="L53" i="3" s="1"/>
  <c r="K54" i="3"/>
  <c r="K55" i="3"/>
  <c r="L55" i="3" s="1"/>
  <c r="K56" i="3"/>
  <c r="K57" i="3"/>
  <c r="L57" i="3" s="1"/>
  <c r="K58" i="3"/>
  <c r="K59" i="3"/>
  <c r="K60" i="3"/>
  <c r="K61" i="3"/>
  <c r="K62" i="3"/>
  <c r="L62" i="3" s="1"/>
  <c r="K63" i="3"/>
  <c r="K64" i="3"/>
  <c r="K65" i="3"/>
  <c r="L65" i="3" s="1"/>
  <c r="K66" i="3"/>
  <c r="K67" i="3"/>
  <c r="K68" i="3"/>
  <c r="L68" i="3" s="1"/>
  <c r="K69" i="3"/>
  <c r="L69" i="3" s="1"/>
  <c r="K70" i="3"/>
  <c r="K71" i="3"/>
  <c r="K72" i="3"/>
  <c r="L72" i="3" s="1"/>
  <c r="K73" i="3"/>
  <c r="L73" i="3" s="1"/>
  <c r="K74" i="3"/>
  <c r="K75" i="3"/>
  <c r="L75" i="3" s="1"/>
  <c r="K76" i="3"/>
  <c r="K77" i="3"/>
  <c r="L77" i="3" s="1"/>
  <c r="K78" i="3"/>
  <c r="K79" i="3"/>
  <c r="K80" i="3"/>
  <c r="K81" i="3"/>
  <c r="K82" i="3"/>
  <c r="K83" i="3"/>
  <c r="K84" i="3"/>
  <c r="K85" i="3"/>
  <c r="L85" i="3" s="1"/>
  <c r="K86" i="3"/>
  <c r="K87" i="3"/>
  <c r="K88" i="3"/>
  <c r="L88" i="3" s="1"/>
  <c r="K89" i="3"/>
  <c r="L89" i="3" s="1"/>
  <c r="K90" i="3"/>
  <c r="K91" i="3"/>
  <c r="K92" i="3"/>
  <c r="L92" i="3" s="1"/>
  <c r="K93" i="3"/>
  <c r="L93" i="3" s="1"/>
  <c r="K94" i="3"/>
  <c r="K95" i="3"/>
  <c r="L95" i="3" s="1"/>
  <c r="K96" i="3"/>
  <c r="K97" i="3"/>
  <c r="L97" i="3" s="1"/>
  <c r="K98" i="3"/>
  <c r="K99" i="3"/>
  <c r="K100" i="3"/>
  <c r="K101" i="3"/>
  <c r="K102" i="3"/>
  <c r="L102" i="3" s="1"/>
  <c r="K103" i="3"/>
  <c r="K104" i="3"/>
  <c r="K105" i="3"/>
  <c r="L105" i="3" s="1"/>
  <c r="K106" i="3"/>
  <c r="K107" i="3"/>
  <c r="K108" i="3"/>
  <c r="L108" i="3" s="1"/>
  <c r="K109" i="3"/>
  <c r="L109" i="3" s="1"/>
  <c r="K110" i="3"/>
  <c r="K111" i="3"/>
  <c r="K112" i="3"/>
  <c r="L112" i="3" s="1"/>
  <c r="K113" i="3"/>
  <c r="L113" i="3" s="1"/>
  <c r="K114" i="3"/>
  <c r="K115" i="3"/>
  <c r="L115" i="3" s="1"/>
  <c r="K116" i="3"/>
  <c r="K117" i="3"/>
  <c r="L117" i="3" s="1"/>
  <c r="K118" i="3"/>
  <c r="K119" i="3"/>
  <c r="K120" i="3"/>
  <c r="K121" i="3"/>
  <c r="K122" i="3"/>
  <c r="K123" i="3"/>
  <c r="K124" i="3"/>
  <c r="K125" i="3"/>
  <c r="L125" i="3" s="1"/>
  <c r="K126" i="3"/>
  <c r="K127" i="3"/>
  <c r="K128" i="3"/>
  <c r="L128" i="3" s="1"/>
  <c r="K129" i="3"/>
  <c r="L129" i="3" s="1"/>
  <c r="K130" i="3"/>
  <c r="K131" i="3"/>
  <c r="K132" i="3"/>
  <c r="L132" i="3" s="1"/>
  <c r="K133" i="3"/>
  <c r="L133" i="3" s="1"/>
  <c r="K134" i="3"/>
  <c r="K135" i="3"/>
  <c r="K136" i="3"/>
  <c r="K137" i="3"/>
  <c r="L137" i="3" s="1"/>
  <c r="K138" i="3"/>
  <c r="K139" i="3"/>
  <c r="K140" i="3"/>
  <c r="K141" i="3"/>
  <c r="K142" i="3"/>
  <c r="L142" i="3" s="1"/>
  <c r="K143" i="3"/>
  <c r="K144" i="3"/>
  <c r="K145" i="3"/>
  <c r="L145" i="3" s="1"/>
  <c r="K146" i="3"/>
  <c r="K147" i="3"/>
  <c r="K148" i="3"/>
  <c r="K149" i="3"/>
  <c r="L149" i="3" s="1"/>
  <c r="K150" i="3"/>
  <c r="L150" i="3" s="1"/>
  <c r="K151" i="3"/>
  <c r="K152" i="3"/>
  <c r="L152" i="3" s="1"/>
  <c r="K153" i="3"/>
  <c r="L153" i="3" s="1"/>
  <c r="K154" i="3"/>
  <c r="K155" i="3"/>
  <c r="L155" i="3" s="1"/>
  <c r="K156" i="3"/>
  <c r="K157" i="3"/>
  <c r="L157" i="3" s="1"/>
  <c r="K158" i="3"/>
  <c r="K159" i="3"/>
  <c r="K160" i="3"/>
  <c r="K161" i="3"/>
  <c r="K162" i="3"/>
  <c r="K163" i="3"/>
  <c r="K164" i="3"/>
  <c r="K165" i="3"/>
  <c r="L165" i="3" s="1"/>
  <c r="K166" i="3"/>
  <c r="K167" i="3"/>
  <c r="K168" i="3"/>
  <c r="L168" i="3" s="1"/>
  <c r="K169" i="3"/>
  <c r="L169" i="3" s="1"/>
  <c r="K170" i="3"/>
  <c r="K171" i="3"/>
  <c r="K172" i="3"/>
  <c r="L172" i="3" s="1"/>
  <c r="K173" i="3"/>
  <c r="L173" i="3" s="1"/>
  <c r="K174" i="3"/>
  <c r="K175" i="3"/>
  <c r="L175" i="3" s="1"/>
  <c r="K176" i="3"/>
  <c r="K177" i="3"/>
  <c r="L177" i="3" s="1"/>
  <c r="K178" i="3"/>
  <c r="K179" i="3"/>
  <c r="K180" i="3"/>
  <c r="K181" i="3"/>
  <c r="K182" i="3"/>
  <c r="K183" i="3"/>
  <c r="K184" i="3"/>
  <c r="K185" i="3"/>
  <c r="L185" i="3" s="1"/>
  <c r="K186" i="3"/>
  <c r="K187" i="3"/>
  <c r="K188" i="3"/>
  <c r="L188" i="3" s="1"/>
  <c r="K189" i="3"/>
  <c r="L189" i="3" s="1"/>
  <c r="K190" i="3"/>
  <c r="L190" i="3" s="1"/>
  <c r="K191" i="3"/>
  <c r="K192" i="3"/>
  <c r="L192" i="3" s="1"/>
  <c r="K193" i="3"/>
  <c r="L193" i="3" s="1"/>
  <c r="K194" i="3"/>
  <c r="K195" i="3"/>
  <c r="L195" i="3" s="1"/>
  <c r="K196" i="3"/>
  <c r="K197" i="3"/>
  <c r="L197" i="3" s="1"/>
  <c r="K198" i="3"/>
  <c r="K199" i="3"/>
  <c r="K200" i="3"/>
  <c r="K201" i="3"/>
  <c r="K202" i="3"/>
  <c r="K203" i="3"/>
  <c r="K204" i="3"/>
  <c r="L204" i="3" s="1"/>
  <c r="K205" i="3"/>
  <c r="L205" i="3" s="1"/>
  <c r="K206" i="3"/>
  <c r="K207" i="3"/>
  <c r="K208" i="3"/>
  <c r="L208" i="3" s="1"/>
  <c r="K209" i="3"/>
  <c r="L209" i="3" s="1"/>
  <c r="K210" i="3"/>
  <c r="K211" i="3"/>
  <c r="K212" i="3"/>
  <c r="L212" i="3" s="1"/>
  <c r="K213" i="3"/>
  <c r="L213" i="3" s="1"/>
  <c r="K214" i="3"/>
  <c r="K215" i="3"/>
  <c r="L215" i="3" s="1"/>
  <c r="K216" i="3"/>
  <c r="K217" i="3"/>
  <c r="L217" i="3" s="1"/>
  <c r="K218" i="3"/>
  <c r="K219" i="3"/>
  <c r="K220" i="3"/>
  <c r="K221" i="3"/>
  <c r="K222" i="3"/>
  <c r="L222" i="3" s="1"/>
  <c r="K223" i="3"/>
  <c r="K224" i="3"/>
  <c r="K225" i="3"/>
  <c r="L225" i="3" s="1"/>
  <c r="K226" i="3"/>
  <c r="K227" i="3"/>
  <c r="K228" i="3"/>
  <c r="L228" i="3" s="1"/>
  <c r="K229" i="3"/>
  <c r="L229" i="3" s="1"/>
  <c r="K230" i="3"/>
  <c r="K231" i="3"/>
  <c r="K232" i="3"/>
  <c r="L232" i="3" s="1"/>
  <c r="K233" i="3"/>
  <c r="L233" i="3" s="1"/>
  <c r="K234" i="3"/>
  <c r="K235" i="3"/>
  <c r="L235" i="3" s="1"/>
  <c r="K236" i="3"/>
  <c r="K237" i="3"/>
  <c r="L237" i="3" s="1"/>
  <c r="K238" i="3"/>
  <c r="K239" i="3"/>
  <c r="K240" i="3"/>
  <c r="K3" i="3"/>
  <c r="K4" i="3"/>
  <c r="L4" i="3" s="1"/>
  <c r="K5" i="3"/>
  <c r="K6" i="3"/>
  <c r="L7" i="3" s="1"/>
  <c r="K2" i="3"/>
  <c r="H161" i="3"/>
  <c r="G241" i="3"/>
  <c r="G240" i="3"/>
  <c r="H241" i="3" s="1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H225" i="3" s="1"/>
  <c r="G223" i="3"/>
  <c r="G222" i="3"/>
  <c r="H223" i="3" s="1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H189" i="3" s="1"/>
  <c r="G187" i="3"/>
  <c r="G186" i="3"/>
  <c r="G185" i="3"/>
  <c r="G184" i="3"/>
  <c r="G183" i="3"/>
  <c r="H183" i="3" s="1"/>
  <c r="G182" i="3"/>
  <c r="H182" i="3" s="1"/>
  <c r="G181" i="3"/>
  <c r="G180" i="3"/>
  <c r="H181" i="3" s="1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H163" i="3" s="1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H145" i="3" s="1"/>
  <c r="G143" i="3"/>
  <c r="G142" i="3"/>
  <c r="H142" i="3" s="1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H110" i="3" s="1"/>
  <c r="G108" i="3"/>
  <c r="H109" i="3" s="1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H81" i="3" s="1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H29" i="3" s="1"/>
  <c r="G27" i="3"/>
  <c r="H28" i="3" s="1"/>
  <c r="G26" i="3"/>
  <c r="G25" i="3"/>
  <c r="G24" i="3"/>
  <c r="H25" i="3" s="1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3" i="3"/>
  <c r="G4" i="3"/>
  <c r="G5" i="3"/>
  <c r="G6" i="3"/>
  <c r="G7" i="3"/>
  <c r="G8" i="3"/>
  <c r="G9" i="3"/>
  <c r="G2" i="3"/>
  <c r="E240" i="3"/>
  <c r="E104" i="3"/>
  <c r="AQ106" i="3"/>
  <c r="AR106" i="3"/>
  <c r="AS106" i="3"/>
  <c r="AT106" i="3" a="1"/>
  <c r="AT106" i="3" s="1"/>
  <c r="AU106" i="3" a="1"/>
  <c r="AU106" i="3" s="1"/>
  <c r="AV106" i="3" a="1"/>
  <c r="AV106" i="3" s="1"/>
  <c r="AW106" i="3" a="1"/>
  <c r="AW106" i="3" s="1"/>
  <c r="AX106" i="3" a="1"/>
  <c r="AX106" i="3" s="1"/>
  <c r="AA222" i="9" a="1"/>
  <c r="AA222" i="9" s="1"/>
  <c r="Z222" i="9" a="1"/>
  <c r="Z222" i="9" s="1"/>
  <c r="Y222" i="9" a="1"/>
  <c r="Y222" i="9" s="1"/>
  <c r="X222" i="9" a="1"/>
  <c r="X222" i="9" s="1"/>
  <c r="W222" i="9" a="1"/>
  <c r="W222" i="9" s="1"/>
  <c r="V222" i="9"/>
  <c r="U222" i="9"/>
  <c r="T222" i="9"/>
  <c r="AA221" i="9" a="1"/>
  <c r="AA221" i="9" s="1"/>
  <c r="Z221" i="9" a="1"/>
  <c r="Z221" i="9" s="1"/>
  <c r="Y221" i="9" a="1"/>
  <c r="Y221" i="9" s="1"/>
  <c r="X221" i="9" a="1"/>
  <c r="X221" i="9" s="1"/>
  <c r="W221" i="9" a="1"/>
  <c r="W221" i="9" s="1"/>
  <c r="V221" i="9"/>
  <c r="U221" i="9"/>
  <c r="T221" i="9"/>
  <c r="I221" i="9"/>
  <c r="AA220" i="9" a="1"/>
  <c r="AA220" i="9" s="1"/>
  <c r="Z220" i="9" a="1"/>
  <c r="Z220" i="9" s="1"/>
  <c r="Y220" i="9" a="1"/>
  <c r="Y220" i="9" s="1"/>
  <c r="X220" i="9" a="1"/>
  <c r="X220" i="9" s="1"/>
  <c r="W220" i="9" a="1"/>
  <c r="W220" i="9" s="1"/>
  <c r="V220" i="9"/>
  <c r="U220" i="9"/>
  <c r="T220" i="9"/>
  <c r="I220" i="9"/>
  <c r="AA219" i="9" a="1"/>
  <c r="AA219" i="9" s="1"/>
  <c r="Z219" i="9" a="1"/>
  <c r="Z219" i="9" s="1"/>
  <c r="Y219" i="9" a="1"/>
  <c r="Y219" i="9" s="1"/>
  <c r="X219" i="9" a="1"/>
  <c r="X219" i="9" s="1"/>
  <c r="W219" i="9" a="1"/>
  <c r="W219" i="9" s="1"/>
  <c r="V219" i="9"/>
  <c r="U219" i="9"/>
  <c r="T219" i="9"/>
  <c r="I219" i="9"/>
  <c r="AA218" i="9" a="1"/>
  <c r="AA218" i="9" s="1"/>
  <c r="Z218" i="9" a="1"/>
  <c r="Z218" i="9" s="1"/>
  <c r="Y218" i="9" a="1"/>
  <c r="Y218" i="9" s="1"/>
  <c r="X218" i="9" a="1"/>
  <c r="X218" i="9" s="1"/>
  <c r="W218" i="9" a="1"/>
  <c r="W218" i="9" s="1"/>
  <c r="V218" i="9"/>
  <c r="U218" i="9"/>
  <c r="T218" i="9"/>
  <c r="I218" i="9"/>
  <c r="AA217" i="9" a="1"/>
  <c r="AA217" i="9" s="1"/>
  <c r="Z217" i="9" a="1"/>
  <c r="Z217" i="9" s="1"/>
  <c r="Y217" i="9" a="1"/>
  <c r="Y217" i="9" s="1"/>
  <c r="X217" i="9" a="1"/>
  <c r="X217" i="9" s="1"/>
  <c r="W217" i="9" a="1"/>
  <c r="W217" i="9" s="1"/>
  <c r="V217" i="9"/>
  <c r="U217" i="9"/>
  <c r="T217" i="9"/>
  <c r="AA216" i="9" a="1"/>
  <c r="AA216" i="9" s="1"/>
  <c r="Z216" i="9" a="1"/>
  <c r="Z216" i="9" s="1"/>
  <c r="Y216" i="9" a="1"/>
  <c r="Y216" i="9" s="1"/>
  <c r="X216" i="9" a="1"/>
  <c r="X216" i="9" s="1"/>
  <c r="W216" i="9" a="1"/>
  <c r="W216" i="9" s="1"/>
  <c r="V216" i="9"/>
  <c r="U216" i="9"/>
  <c r="T216" i="9"/>
  <c r="I216" i="9"/>
  <c r="AA215" i="9" a="1"/>
  <c r="AA215" i="9" s="1"/>
  <c r="Z215" i="9" a="1"/>
  <c r="Z215" i="9" s="1"/>
  <c r="Y215" i="9" a="1"/>
  <c r="Y215" i="9" s="1"/>
  <c r="X215" i="9" a="1"/>
  <c r="X215" i="9" s="1"/>
  <c r="W215" i="9" a="1"/>
  <c r="W215" i="9" s="1"/>
  <c r="V215" i="9"/>
  <c r="U215" i="9"/>
  <c r="T215" i="9"/>
  <c r="I215" i="9"/>
  <c r="AA214" i="9" a="1"/>
  <c r="AA214" i="9" s="1"/>
  <c r="Z214" i="9" a="1"/>
  <c r="Z214" i="9" s="1"/>
  <c r="Y214" i="9" a="1"/>
  <c r="Y214" i="9" s="1"/>
  <c r="X214" i="9" a="1"/>
  <c r="X214" i="9" s="1"/>
  <c r="W214" i="9" a="1"/>
  <c r="W214" i="9" s="1"/>
  <c r="V214" i="9"/>
  <c r="U214" i="9"/>
  <c r="T214" i="9"/>
  <c r="I214" i="9"/>
  <c r="AA213" i="9" a="1"/>
  <c r="AA213" i="9" s="1"/>
  <c r="Z213" i="9" a="1"/>
  <c r="Z213" i="9" s="1"/>
  <c r="Y213" i="9" a="1"/>
  <c r="Y213" i="9" s="1"/>
  <c r="X213" i="9" a="1"/>
  <c r="X213" i="9" s="1"/>
  <c r="W213" i="9" a="1"/>
  <c r="W213" i="9" s="1"/>
  <c r="V213" i="9"/>
  <c r="U213" i="9"/>
  <c r="T213" i="9"/>
  <c r="I213" i="9"/>
  <c r="AA212" i="9" a="1"/>
  <c r="AA212" i="9" s="1"/>
  <c r="Z212" i="9" a="1"/>
  <c r="Z212" i="9" s="1"/>
  <c r="Y212" i="9" a="1"/>
  <c r="Y212" i="9" s="1"/>
  <c r="X212" i="9" a="1"/>
  <c r="X212" i="9" s="1"/>
  <c r="W212" i="9" a="1"/>
  <c r="W212" i="9" s="1"/>
  <c r="V212" i="9"/>
  <c r="U212" i="9"/>
  <c r="T212" i="9"/>
  <c r="I212" i="9"/>
  <c r="AA211" i="9" a="1"/>
  <c r="AA211" i="9" s="1"/>
  <c r="Z211" i="9" a="1"/>
  <c r="Z211" i="9" s="1"/>
  <c r="Y211" i="9" a="1"/>
  <c r="Y211" i="9" s="1"/>
  <c r="X211" i="9" a="1"/>
  <c r="X211" i="9" s="1"/>
  <c r="W211" i="9" a="1"/>
  <c r="W211" i="9" s="1"/>
  <c r="V211" i="9"/>
  <c r="U211" i="9"/>
  <c r="T211" i="9"/>
  <c r="I211" i="9"/>
  <c r="AA210" i="9" a="1"/>
  <c r="AA210" i="9" s="1"/>
  <c r="Z210" i="9" a="1"/>
  <c r="Z210" i="9" s="1"/>
  <c r="Y210" i="9" a="1"/>
  <c r="Y210" i="9" s="1"/>
  <c r="X210" i="9" a="1"/>
  <c r="X210" i="9" s="1"/>
  <c r="W210" i="9" a="1"/>
  <c r="W210" i="9" s="1"/>
  <c r="V210" i="9"/>
  <c r="U210" i="9"/>
  <c r="T210" i="9"/>
  <c r="AA209" i="9" a="1"/>
  <c r="AA209" i="9" s="1"/>
  <c r="Z209" i="9" a="1"/>
  <c r="Z209" i="9" s="1"/>
  <c r="Y209" i="9" a="1"/>
  <c r="Y209" i="9" s="1"/>
  <c r="X209" i="9" a="1"/>
  <c r="X209" i="9" s="1"/>
  <c r="W209" i="9" a="1"/>
  <c r="W209" i="9" s="1"/>
  <c r="V209" i="9"/>
  <c r="U209" i="9"/>
  <c r="T209" i="9"/>
  <c r="AA208" i="9" a="1"/>
  <c r="AA208" i="9" s="1"/>
  <c r="Z208" i="9" a="1"/>
  <c r="Z208" i="9" s="1"/>
  <c r="Y208" i="9" a="1"/>
  <c r="Y208" i="9" s="1"/>
  <c r="X208" i="9" a="1"/>
  <c r="X208" i="9" s="1"/>
  <c r="W208" i="9" a="1"/>
  <c r="W208" i="9" s="1"/>
  <c r="V208" i="9"/>
  <c r="U208" i="9"/>
  <c r="T208" i="9"/>
  <c r="AA207" i="9" a="1"/>
  <c r="AA207" i="9" s="1"/>
  <c r="Z207" i="9" a="1"/>
  <c r="Z207" i="9" s="1"/>
  <c r="Y207" i="9" a="1"/>
  <c r="Y207" i="9" s="1"/>
  <c r="X207" i="9" a="1"/>
  <c r="X207" i="9" s="1"/>
  <c r="W207" i="9" a="1"/>
  <c r="W207" i="9" s="1"/>
  <c r="V207" i="9"/>
  <c r="U207" i="9"/>
  <c r="T207" i="9"/>
  <c r="I207" i="9"/>
  <c r="AA206" i="9" a="1"/>
  <c r="AA206" i="9" s="1"/>
  <c r="Z206" i="9" a="1"/>
  <c r="Z206" i="9" s="1"/>
  <c r="Y206" i="9" a="1"/>
  <c r="Y206" i="9" s="1"/>
  <c r="X206" i="9" a="1"/>
  <c r="X206" i="9" s="1"/>
  <c r="W206" i="9" a="1"/>
  <c r="W206" i="9" s="1"/>
  <c r="V206" i="9"/>
  <c r="U206" i="9"/>
  <c r="T206" i="9"/>
  <c r="I206" i="9"/>
  <c r="AA205" i="9" a="1"/>
  <c r="AA205" i="9" s="1"/>
  <c r="Z205" i="9" a="1"/>
  <c r="Z205" i="9" s="1"/>
  <c r="Y205" i="9" a="1"/>
  <c r="Y205" i="9" s="1"/>
  <c r="X205" i="9" a="1"/>
  <c r="X205" i="9" s="1"/>
  <c r="W205" i="9" a="1"/>
  <c r="W205" i="9" s="1"/>
  <c r="V205" i="9"/>
  <c r="U205" i="9"/>
  <c r="T205" i="9"/>
  <c r="I205" i="9"/>
  <c r="AA204" i="9" a="1"/>
  <c r="AA204" i="9" s="1"/>
  <c r="Z204" i="9" a="1"/>
  <c r="Z204" i="9" s="1"/>
  <c r="Y204" i="9" a="1"/>
  <c r="Y204" i="9" s="1"/>
  <c r="X204" i="9" a="1"/>
  <c r="X204" i="9" s="1"/>
  <c r="W204" i="9" a="1"/>
  <c r="W204" i="9" s="1"/>
  <c r="V204" i="9"/>
  <c r="U204" i="9"/>
  <c r="T204" i="9"/>
  <c r="I204" i="9"/>
  <c r="AA203" i="9" a="1"/>
  <c r="AA203" i="9" s="1"/>
  <c r="Z203" i="9" a="1"/>
  <c r="Z203" i="9" s="1"/>
  <c r="Y203" i="9" a="1"/>
  <c r="Y203" i="9" s="1"/>
  <c r="X203" i="9" a="1"/>
  <c r="X203" i="9" s="1"/>
  <c r="W203" i="9" a="1"/>
  <c r="W203" i="9" s="1"/>
  <c r="V203" i="9"/>
  <c r="U203" i="9"/>
  <c r="T203" i="9"/>
  <c r="I203" i="9"/>
  <c r="AA202" i="9" a="1"/>
  <c r="AA202" i="9" s="1"/>
  <c r="Z202" i="9" a="1"/>
  <c r="Z202" i="9" s="1"/>
  <c r="Y202" i="9" a="1"/>
  <c r="Y202" i="9" s="1"/>
  <c r="X202" i="9" a="1"/>
  <c r="X202" i="9" s="1"/>
  <c r="W202" i="9" a="1"/>
  <c r="W202" i="9" s="1"/>
  <c r="V202" i="9"/>
  <c r="U202" i="9"/>
  <c r="T202" i="9"/>
  <c r="AA201" i="9" a="1"/>
  <c r="AA201" i="9" s="1"/>
  <c r="Z201" i="9" a="1"/>
  <c r="Z201" i="9" s="1"/>
  <c r="Y201" i="9" a="1"/>
  <c r="Y201" i="9" s="1"/>
  <c r="X201" i="9" a="1"/>
  <c r="X201" i="9" s="1"/>
  <c r="W201" i="9" a="1"/>
  <c r="W201" i="9" s="1"/>
  <c r="V201" i="9"/>
  <c r="U201" i="9"/>
  <c r="T201" i="9"/>
  <c r="AA200" i="9" a="1"/>
  <c r="AA200" i="9" s="1"/>
  <c r="Z200" i="9" a="1"/>
  <c r="Z200" i="9" s="1"/>
  <c r="Y200" i="9" a="1"/>
  <c r="Y200" i="9" s="1"/>
  <c r="X200" i="9" a="1"/>
  <c r="X200" i="9" s="1"/>
  <c r="W200" i="9" a="1"/>
  <c r="W200" i="9" s="1"/>
  <c r="V200" i="9"/>
  <c r="U200" i="9"/>
  <c r="T200" i="9"/>
  <c r="AA199" i="9" a="1"/>
  <c r="AA199" i="9" s="1"/>
  <c r="Z199" i="9" a="1"/>
  <c r="Z199" i="9" s="1"/>
  <c r="Y199" i="9" a="1"/>
  <c r="Y199" i="9" s="1"/>
  <c r="X199" i="9" a="1"/>
  <c r="X199" i="9" s="1"/>
  <c r="W199" i="9" a="1"/>
  <c r="W199" i="9" s="1"/>
  <c r="V199" i="9"/>
  <c r="U199" i="9"/>
  <c r="T199" i="9"/>
  <c r="I199" i="9"/>
  <c r="AA198" i="9" a="1"/>
  <c r="AA198" i="9" s="1"/>
  <c r="Z198" i="9" a="1"/>
  <c r="Z198" i="9" s="1"/>
  <c r="Y198" i="9" a="1"/>
  <c r="Y198" i="9" s="1"/>
  <c r="X198" i="9" a="1"/>
  <c r="X198" i="9" s="1"/>
  <c r="W198" i="9" a="1"/>
  <c r="W198" i="9" s="1"/>
  <c r="V198" i="9"/>
  <c r="U198" i="9"/>
  <c r="T198" i="9"/>
  <c r="I198" i="9"/>
  <c r="AA197" i="9" a="1"/>
  <c r="AA197" i="9" s="1"/>
  <c r="Z197" i="9" a="1"/>
  <c r="Z197" i="9" s="1"/>
  <c r="Y197" i="9" a="1"/>
  <c r="Y197" i="9" s="1"/>
  <c r="X197" i="9" a="1"/>
  <c r="X197" i="9" s="1"/>
  <c r="W197" i="9" a="1"/>
  <c r="W197" i="9" s="1"/>
  <c r="V197" i="9"/>
  <c r="U197" i="9"/>
  <c r="T197" i="9"/>
  <c r="I197" i="9"/>
  <c r="AA196" i="9" a="1"/>
  <c r="AA196" i="9" s="1"/>
  <c r="Z196" i="9" a="1"/>
  <c r="Z196" i="9" s="1"/>
  <c r="Y196" i="9" a="1"/>
  <c r="Y196" i="9" s="1"/>
  <c r="X196" i="9" a="1"/>
  <c r="X196" i="9" s="1"/>
  <c r="W196" i="9" a="1"/>
  <c r="W196" i="9" s="1"/>
  <c r="V196" i="9"/>
  <c r="U196" i="9"/>
  <c r="T196" i="9"/>
  <c r="I196" i="9"/>
  <c r="AA195" i="9" a="1"/>
  <c r="AA195" i="9" s="1"/>
  <c r="Z195" i="9" a="1"/>
  <c r="Z195" i="9" s="1"/>
  <c r="Y195" i="9" a="1"/>
  <c r="Y195" i="9" s="1"/>
  <c r="X195" i="9" a="1"/>
  <c r="X195" i="9" s="1"/>
  <c r="W195" i="9" a="1"/>
  <c r="W195" i="9" s="1"/>
  <c r="V195" i="9"/>
  <c r="U195" i="9"/>
  <c r="T195" i="9"/>
  <c r="I195" i="9"/>
  <c r="AA194" i="9" a="1"/>
  <c r="AA194" i="9" s="1"/>
  <c r="Z194" i="9" a="1"/>
  <c r="Z194" i="9" s="1"/>
  <c r="Y194" i="9" a="1"/>
  <c r="Y194" i="9" s="1"/>
  <c r="X194" i="9" a="1"/>
  <c r="X194" i="9" s="1"/>
  <c r="W194" i="9" a="1"/>
  <c r="W194" i="9" s="1"/>
  <c r="V194" i="9"/>
  <c r="U194" i="9"/>
  <c r="T194" i="9"/>
  <c r="AA193" i="9" a="1"/>
  <c r="AA193" i="9" s="1"/>
  <c r="Z193" i="9" a="1"/>
  <c r="Z193" i="9" s="1"/>
  <c r="Y193" i="9" a="1"/>
  <c r="Y193" i="9" s="1"/>
  <c r="X193" i="9" a="1"/>
  <c r="X193" i="9" s="1"/>
  <c r="W193" i="9" a="1"/>
  <c r="W193" i="9" s="1"/>
  <c r="V193" i="9"/>
  <c r="U193" i="9"/>
  <c r="T193" i="9"/>
  <c r="AA192" i="9" a="1"/>
  <c r="AA192" i="9" s="1"/>
  <c r="Z192" i="9" a="1"/>
  <c r="Z192" i="9" s="1"/>
  <c r="Y192" i="9" a="1"/>
  <c r="Y192" i="9" s="1"/>
  <c r="X192" i="9" a="1"/>
  <c r="X192" i="9" s="1"/>
  <c r="W192" i="9" a="1"/>
  <c r="W192" i="9" s="1"/>
  <c r="V192" i="9"/>
  <c r="U192" i="9"/>
  <c r="T192" i="9"/>
  <c r="AA191" i="9" a="1"/>
  <c r="AA191" i="9" s="1"/>
  <c r="Z191" i="9" a="1"/>
  <c r="Z191" i="9" s="1"/>
  <c r="Y191" i="9" a="1"/>
  <c r="Y191" i="9" s="1"/>
  <c r="X191" i="9" a="1"/>
  <c r="X191" i="9" s="1"/>
  <c r="W191" i="9" a="1"/>
  <c r="W191" i="9" s="1"/>
  <c r="V191" i="9"/>
  <c r="U191" i="9"/>
  <c r="T191" i="9"/>
  <c r="I191" i="9"/>
  <c r="AA190" i="9" a="1"/>
  <c r="AA190" i="9" s="1"/>
  <c r="Z190" i="9" a="1"/>
  <c r="Z190" i="9" s="1"/>
  <c r="Y190" i="9" a="1"/>
  <c r="Y190" i="9" s="1"/>
  <c r="X190" i="9" a="1"/>
  <c r="X190" i="9" s="1"/>
  <c r="W190" i="9" a="1"/>
  <c r="W190" i="9" s="1"/>
  <c r="V190" i="9"/>
  <c r="U190" i="9"/>
  <c r="T190" i="9"/>
  <c r="I190" i="9"/>
  <c r="AA189" i="9" a="1"/>
  <c r="AA189" i="9" s="1"/>
  <c r="Z189" i="9" a="1"/>
  <c r="Z189" i="9" s="1"/>
  <c r="Y189" i="9" a="1"/>
  <c r="Y189" i="9" s="1"/>
  <c r="X189" i="9" a="1"/>
  <c r="X189" i="9" s="1"/>
  <c r="W189" i="9" a="1"/>
  <c r="W189" i="9" s="1"/>
  <c r="V189" i="9"/>
  <c r="U189" i="9"/>
  <c r="T189" i="9"/>
  <c r="I189" i="9"/>
  <c r="AA188" i="9" a="1"/>
  <c r="AA188" i="9" s="1"/>
  <c r="Z188" i="9" a="1"/>
  <c r="Z188" i="9" s="1"/>
  <c r="Y188" i="9" a="1"/>
  <c r="Y188" i="9" s="1"/>
  <c r="X188" i="9" a="1"/>
  <c r="X188" i="9" s="1"/>
  <c r="W188" i="9" a="1"/>
  <c r="W188" i="9" s="1"/>
  <c r="V188" i="9"/>
  <c r="U188" i="9"/>
  <c r="T188" i="9"/>
  <c r="I188" i="9"/>
  <c r="AA187" i="9" a="1"/>
  <c r="AA187" i="9" s="1"/>
  <c r="Z187" i="9" a="1"/>
  <c r="Z187" i="9" s="1"/>
  <c r="Y187" i="9" a="1"/>
  <c r="Y187" i="9" s="1"/>
  <c r="X187" i="9" a="1"/>
  <c r="X187" i="9" s="1"/>
  <c r="W187" i="9" a="1"/>
  <c r="W187" i="9" s="1"/>
  <c r="V187" i="9"/>
  <c r="U187" i="9"/>
  <c r="T187" i="9"/>
  <c r="I187" i="9"/>
  <c r="AA186" i="9" a="1"/>
  <c r="AA186" i="9" s="1"/>
  <c r="Z186" i="9" a="1"/>
  <c r="Z186" i="9" s="1"/>
  <c r="Y186" i="9" a="1"/>
  <c r="Y186" i="9" s="1"/>
  <c r="X186" i="9" a="1"/>
  <c r="X186" i="9" s="1"/>
  <c r="W186" i="9" a="1"/>
  <c r="W186" i="9" s="1"/>
  <c r="V186" i="9"/>
  <c r="U186" i="9"/>
  <c r="T186" i="9"/>
  <c r="AA185" i="9" a="1"/>
  <c r="AA185" i="9" s="1"/>
  <c r="Z185" i="9" a="1"/>
  <c r="Z185" i="9" s="1"/>
  <c r="Y185" i="9" a="1"/>
  <c r="Y185" i="9" s="1"/>
  <c r="X185" i="9" a="1"/>
  <c r="X185" i="9" s="1"/>
  <c r="W185" i="9" a="1"/>
  <c r="W185" i="9" s="1"/>
  <c r="V185" i="9"/>
  <c r="U185" i="9"/>
  <c r="T185" i="9"/>
  <c r="I185" i="9"/>
  <c r="AA184" i="9" a="1"/>
  <c r="AA184" i="9" s="1"/>
  <c r="Z184" i="9" a="1"/>
  <c r="Z184" i="9" s="1"/>
  <c r="Y184" i="9" a="1"/>
  <c r="Y184" i="9" s="1"/>
  <c r="X184" i="9" a="1"/>
  <c r="X184" i="9" s="1"/>
  <c r="W184" i="9" a="1"/>
  <c r="W184" i="9" s="1"/>
  <c r="V184" i="9"/>
  <c r="U184" i="9"/>
  <c r="T184" i="9"/>
  <c r="I184" i="9"/>
  <c r="AA183" i="9" a="1"/>
  <c r="AA183" i="9" s="1"/>
  <c r="Z183" i="9" a="1"/>
  <c r="Z183" i="9" s="1"/>
  <c r="Y183" i="9" a="1"/>
  <c r="Y183" i="9" s="1"/>
  <c r="X183" i="9" a="1"/>
  <c r="X183" i="9" s="1"/>
  <c r="W183" i="9" a="1"/>
  <c r="W183" i="9" s="1"/>
  <c r="V183" i="9"/>
  <c r="U183" i="9"/>
  <c r="T183" i="9"/>
  <c r="I183" i="9"/>
  <c r="AA182" i="9" a="1"/>
  <c r="AA182" i="9" s="1"/>
  <c r="Z182" i="9" a="1"/>
  <c r="Z182" i="9" s="1"/>
  <c r="Y182" i="9" a="1"/>
  <c r="Y182" i="9" s="1"/>
  <c r="X182" i="9" a="1"/>
  <c r="X182" i="9" s="1"/>
  <c r="W182" i="9" a="1"/>
  <c r="W182" i="9" s="1"/>
  <c r="V182" i="9"/>
  <c r="U182" i="9"/>
  <c r="T182" i="9"/>
  <c r="I182" i="9"/>
  <c r="AA181" i="9" a="1"/>
  <c r="AA181" i="9" s="1"/>
  <c r="Z181" i="9" a="1"/>
  <c r="Z181" i="9" s="1"/>
  <c r="Y181" i="9" a="1"/>
  <c r="Y181" i="9" s="1"/>
  <c r="X181" i="9" a="1"/>
  <c r="X181" i="9" s="1"/>
  <c r="W181" i="9" a="1"/>
  <c r="W181" i="9" s="1"/>
  <c r="V181" i="9"/>
  <c r="U181" i="9"/>
  <c r="T181" i="9"/>
  <c r="I181" i="9"/>
  <c r="AA180" i="9" a="1"/>
  <c r="AA180" i="9" s="1"/>
  <c r="Z180" i="9" a="1"/>
  <c r="Z180" i="9" s="1"/>
  <c r="Y180" i="9" a="1"/>
  <c r="Y180" i="9" s="1"/>
  <c r="X180" i="9" a="1"/>
  <c r="X180" i="9" s="1"/>
  <c r="W180" i="9" a="1"/>
  <c r="W180" i="9" s="1"/>
  <c r="V180" i="9"/>
  <c r="U180" i="9"/>
  <c r="T180" i="9"/>
  <c r="I180" i="9"/>
  <c r="AA179" i="9" a="1"/>
  <c r="AA179" i="9" s="1"/>
  <c r="Z179" i="9" a="1"/>
  <c r="Z179" i="9" s="1"/>
  <c r="Y179" i="9" a="1"/>
  <c r="Y179" i="9" s="1"/>
  <c r="X179" i="9" a="1"/>
  <c r="X179" i="9" s="1"/>
  <c r="W179" i="9" a="1"/>
  <c r="W179" i="9" s="1"/>
  <c r="V179" i="9"/>
  <c r="U179" i="9"/>
  <c r="T179" i="9"/>
  <c r="AA178" i="9" a="1"/>
  <c r="AA178" i="9" s="1"/>
  <c r="Z178" i="9" a="1"/>
  <c r="Z178" i="9" s="1"/>
  <c r="Y178" i="9" a="1"/>
  <c r="Y178" i="9" s="1"/>
  <c r="X178" i="9" a="1"/>
  <c r="X178" i="9" s="1"/>
  <c r="W178" i="9" a="1"/>
  <c r="W178" i="9" s="1"/>
  <c r="V178" i="9"/>
  <c r="U178" i="9"/>
  <c r="T178" i="9"/>
  <c r="I178" i="9"/>
  <c r="AA177" i="9" a="1"/>
  <c r="AA177" i="9" s="1"/>
  <c r="Z177" i="9" a="1"/>
  <c r="Z177" i="9" s="1"/>
  <c r="Y177" i="9" a="1"/>
  <c r="Y177" i="9" s="1"/>
  <c r="X177" i="9" a="1"/>
  <c r="X177" i="9" s="1"/>
  <c r="W177" i="9" a="1"/>
  <c r="W177" i="9" s="1"/>
  <c r="V177" i="9"/>
  <c r="U177" i="9"/>
  <c r="T177" i="9"/>
  <c r="I177" i="9"/>
  <c r="AA176" i="9" a="1"/>
  <c r="AA176" i="9" s="1"/>
  <c r="Z176" i="9" a="1"/>
  <c r="Z176" i="9" s="1"/>
  <c r="Y176" i="9" a="1"/>
  <c r="Y176" i="9" s="1"/>
  <c r="X176" i="9" a="1"/>
  <c r="X176" i="9" s="1"/>
  <c r="W176" i="9" a="1"/>
  <c r="W176" i="9" s="1"/>
  <c r="V176" i="9"/>
  <c r="U176" i="9"/>
  <c r="T176" i="9"/>
  <c r="I176" i="9"/>
  <c r="AA175" i="9" a="1"/>
  <c r="AA175" i="9" s="1"/>
  <c r="Z175" i="9" a="1"/>
  <c r="Z175" i="9" s="1"/>
  <c r="Y175" i="9" a="1"/>
  <c r="Y175" i="9" s="1"/>
  <c r="X175" i="9" a="1"/>
  <c r="X175" i="9" s="1"/>
  <c r="W175" i="9" a="1"/>
  <c r="W175" i="9" s="1"/>
  <c r="V175" i="9"/>
  <c r="U175" i="9"/>
  <c r="T175" i="9"/>
  <c r="I175" i="9"/>
  <c r="AA174" i="9" a="1"/>
  <c r="AA174" i="9" s="1"/>
  <c r="Z174" i="9" a="1"/>
  <c r="Z174" i="9" s="1"/>
  <c r="Y174" i="9" a="1"/>
  <c r="Y174" i="9" s="1"/>
  <c r="X174" i="9" a="1"/>
  <c r="X174" i="9" s="1"/>
  <c r="W174" i="9" a="1"/>
  <c r="W174" i="9" s="1"/>
  <c r="V174" i="9"/>
  <c r="U174" i="9"/>
  <c r="T174" i="9"/>
  <c r="I174" i="9"/>
  <c r="AA173" i="9" a="1"/>
  <c r="AA173" i="9" s="1"/>
  <c r="Z173" i="9" a="1"/>
  <c r="Z173" i="9" s="1"/>
  <c r="Y173" i="9" a="1"/>
  <c r="Y173" i="9" s="1"/>
  <c r="X173" i="9" a="1"/>
  <c r="X173" i="9" s="1"/>
  <c r="W173" i="9" a="1"/>
  <c r="W173" i="9" s="1"/>
  <c r="V173" i="9"/>
  <c r="U173" i="9"/>
  <c r="T173" i="9"/>
  <c r="I173" i="9"/>
  <c r="AA172" i="9" a="1"/>
  <c r="AA172" i="9" s="1"/>
  <c r="Z172" i="9" a="1"/>
  <c r="Z172" i="9" s="1"/>
  <c r="Y172" i="9" a="1"/>
  <c r="Y172" i="9" s="1"/>
  <c r="X172" i="9" a="1"/>
  <c r="X172" i="9" s="1"/>
  <c r="W172" i="9" a="1"/>
  <c r="W172" i="9" s="1"/>
  <c r="V172" i="9"/>
  <c r="U172" i="9"/>
  <c r="T172" i="9"/>
  <c r="AA171" i="9" a="1"/>
  <c r="AA171" i="9" s="1"/>
  <c r="Z171" i="9" a="1"/>
  <c r="Z171" i="9" s="1"/>
  <c r="Y171" i="9" a="1"/>
  <c r="Y171" i="9" s="1"/>
  <c r="X171" i="9" a="1"/>
  <c r="X171" i="9" s="1"/>
  <c r="W171" i="9" a="1"/>
  <c r="W171" i="9" s="1"/>
  <c r="V171" i="9"/>
  <c r="U171" i="9"/>
  <c r="T171" i="9"/>
  <c r="I171" i="9"/>
  <c r="AA170" i="9" a="1"/>
  <c r="AA170" i="9" s="1"/>
  <c r="Z170" i="9" a="1"/>
  <c r="Z170" i="9" s="1"/>
  <c r="Y170" i="9" a="1"/>
  <c r="Y170" i="9" s="1"/>
  <c r="X170" i="9" a="1"/>
  <c r="X170" i="9" s="1"/>
  <c r="W170" i="9" a="1"/>
  <c r="W170" i="9" s="1"/>
  <c r="V170" i="9"/>
  <c r="U170" i="9"/>
  <c r="T170" i="9"/>
  <c r="I170" i="9"/>
  <c r="AA169" i="9" a="1"/>
  <c r="AA169" i="9" s="1"/>
  <c r="Z169" i="9" a="1"/>
  <c r="Z169" i="9" s="1"/>
  <c r="Y169" i="9" a="1"/>
  <c r="Y169" i="9" s="1"/>
  <c r="X169" i="9" a="1"/>
  <c r="X169" i="9" s="1"/>
  <c r="W169" i="9" a="1"/>
  <c r="W169" i="9" s="1"/>
  <c r="V169" i="9"/>
  <c r="U169" i="9"/>
  <c r="T169" i="9"/>
  <c r="I169" i="9"/>
  <c r="AA168" i="9" a="1"/>
  <c r="AA168" i="9" s="1"/>
  <c r="Z168" i="9" a="1"/>
  <c r="Z168" i="9" s="1"/>
  <c r="Y168" i="9" a="1"/>
  <c r="Y168" i="9" s="1"/>
  <c r="X168" i="9" a="1"/>
  <c r="X168" i="9" s="1"/>
  <c r="W168" i="9" a="1"/>
  <c r="W168" i="9" s="1"/>
  <c r="V168" i="9"/>
  <c r="U168" i="9"/>
  <c r="T168" i="9"/>
  <c r="I168" i="9"/>
  <c r="AA167" i="9" a="1"/>
  <c r="AA167" i="9" s="1"/>
  <c r="Z167" i="9" a="1"/>
  <c r="Z167" i="9" s="1"/>
  <c r="Y167" i="9" a="1"/>
  <c r="Y167" i="9" s="1"/>
  <c r="X167" i="9" a="1"/>
  <c r="X167" i="9" s="1"/>
  <c r="W167" i="9" a="1"/>
  <c r="W167" i="9" s="1"/>
  <c r="V167" i="9"/>
  <c r="U167" i="9"/>
  <c r="T167" i="9"/>
  <c r="I167" i="9"/>
  <c r="AA166" i="9" a="1"/>
  <c r="AA166" i="9" s="1"/>
  <c r="Z166" i="9" a="1"/>
  <c r="Z166" i="9" s="1"/>
  <c r="Y166" i="9" a="1"/>
  <c r="Y166" i="9" s="1"/>
  <c r="X166" i="9" a="1"/>
  <c r="X166" i="9" s="1"/>
  <c r="W166" i="9" a="1"/>
  <c r="W166" i="9" s="1"/>
  <c r="V166" i="9"/>
  <c r="U166" i="9"/>
  <c r="T166" i="9"/>
  <c r="I166" i="9"/>
  <c r="AA165" i="9" a="1"/>
  <c r="AA165" i="9" s="1"/>
  <c r="Z165" i="9" a="1"/>
  <c r="Z165" i="9" s="1"/>
  <c r="Y165" i="9" a="1"/>
  <c r="Y165" i="9" s="1"/>
  <c r="X165" i="9" a="1"/>
  <c r="X165" i="9" s="1"/>
  <c r="W165" i="9" a="1"/>
  <c r="W165" i="9" s="1"/>
  <c r="V165" i="9"/>
  <c r="U165" i="9"/>
  <c r="T165" i="9"/>
  <c r="AA164" i="9" a="1"/>
  <c r="AA164" i="9" s="1"/>
  <c r="Z164" i="9" a="1"/>
  <c r="Z164" i="9" s="1"/>
  <c r="Y164" i="9" a="1"/>
  <c r="Y164" i="9" s="1"/>
  <c r="X164" i="9" a="1"/>
  <c r="X164" i="9" s="1"/>
  <c r="W164" i="9" a="1"/>
  <c r="W164" i="9" s="1"/>
  <c r="V164" i="9"/>
  <c r="U164" i="9"/>
  <c r="T164" i="9"/>
  <c r="I164" i="9"/>
  <c r="AA163" i="9" a="1"/>
  <c r="AA163" i="9" s="1"/>
  <c r="Z163" i="9" a="1"/>
  <c r="Z163" i="9" s="1"/>
  <c r="Y163" i="9" a="1"/>
  <c r="Y163" i="9" s="1"/>
  <c r="X163" i="9" a="1"/>
  <c r="X163" i="9" s="1"/>
  <c r="W163" i="9" a="1"/>
  <c r="W163" i="9" s="1"/>
  <c r="V163" i="9"/>
  <c r="U163" i="9"/>
  <c r="T163" i="9"/>
  <c r="I163" i="9"/>
  <c r="AA162" i="9" a="1"/>
  <c r="AA162" i="9" s="1"/>
  <c r="Z162" i="9" a="1"/>
  <c r="Z162" i="9" s="1"/>
  <c r="Y162" i="9" a="1"/>
  <c r="Y162" i="9" s="1"/>
  <c r="X162" i="9" a="1"/>
  <c r="X162" i="9" s="1"/>
  <c r="W162" i="9" a="1"/>
  <c r="W162" i="9" s="1"/>
  <c r="V162" i="9"/>
  <c r="U162" i="9"/>
  <c r="T162" i="9"/>
  <c r="I162" i="9"/>
  <c r="AA161" i="9" a="1"/>
  <c r="AA161" i="9" s="1"/>
  <c r="Z161" i="9" a="1"/>
  <c r="Z161" i="9" s="1"/>
  <c r="Y161" i="9" a="1"/>
  <c r="Y161" i="9" s="1"/>
  <c r="X161" i="9" a="1"/>
  <c r="X161" i="9" s="1"/>
  <c r="W161" i="9" a="1"/>
  <c r="W161" i="9" s="1"/>
  <c r="V161" i="9"/>
  <c r="U161" i="9"/>
  <c r="T161" i="9"/>
  <c r="I161" i="9"/>
  <c r="AA160" i="9" a="1"/>
  <c r="AA160" i="9" s="1"/>
  <c r="Z160" i="9" a="1"/>
  <c r="Z160" i="9" s="1"/>
  <c r="Y160" i="9" a="1"/>
  <c r="Y160" i="9" s="1"/>
  <c r="X160" i="9" a="1"/>
  <c r="X160" i="9" s="1"/>
  <c r="W160" i="9" a="1"/>
  <c r="W160" i="9" s="1"/>
  <c r="V160" i="9"/>
  <c r="U160" i="9"/>
  <c r="T160" i="9"/>
  <c r="I160" i="9"/>
  <c r="AA159" i="9" a="1"/>
  <c r="AA159" i="9" s="1"/>
  <c r="Z159" i="9" a="1"/>
  <c r="Z159" i="9" s="1"/>
  <c r="Y159" i="9" a="1"/>
  <c r="Y159" i="9" s="1"/>
  <c r="X159" i="9" a="1"/>
  <c r="X159" i="9" s="1"/>
  <c r="W159" i="9" a="1"/>
  <c r="W159" i="9" s="1"/>
  <c r="V159" i="9"/>
  <c r="U159" i="9"/>
  <c r="T159" i="9"/>
  <c r="I159" i="9"/>
  <c r="AA158" i="9" a="1"/>
  <c r="AA158" i="9" s="1"/>
  <c r="Z158" i="9" a="1"/>
  <c r="Z158" i="9" s="1"/>
  <c r="Y158" i="9" a="1"/>
  <c r="Y158" i="9" s="1"/>
  <c r="X158" i="9" a="1"/>
  <c r="X158" i="9" s="1"/>
  <c r="W158" i="9" a="1"/>
  <c r="W158" i="9" s="1"/>
  <c r="V158" i="9"/>
  <c r="U158" i="9"/>
  <c r="T158" i="9"/>
  <c r="AA157" i="9" a="1"/>
  <c r="AA157" i="9" s="1"/>
  <c r="Z157" i="9" a="1"/>
  <c r="Z157" i="9" s="1"/>
  <c r="Y157" i="9" a="1"/>
  <c r="Y157" i="9" s="1"/>
  <c r="X157" i="9" a="1"/>
  <c r="X157" i="9" s="1"/>
  <c r="W157" i="9" a="1"/>
  <c r="W157" i="9" s="1"/>
  <c r="V157" i="9"/>
  <c r="U157" i="9"/>
  <c r="T157" i="9"/>
  <c r="AA156" i="9" a="1"/>
  <c r="AA156" i="9" s="1"/>
  <c r="Z156" i="9" a="1"/>
  <c r="Z156" i="9" s="1"/>
  <c r="Y156" i="9" a="1"/>
  <c r="Y156" i="9" s="1"/>
  <c r="X156" i="9" a="1"/>
  <c r="X156" i="9" s="1"/>
  <c r="W156" i="9" a="1"/>
  <c r="W156" i="9" s="1"/>
  <c r="V156" i="9"/>
  <c r="U156" i="9"/>
  <c r="T156" i="9"/>
  <c r="I156" i="9"/>
  <c r="AA155" i="9" a="1"/>
  <c r="AA155" i="9" s="1"/>
  <c r="Z155" i="9" a="1"/>
  <c r="Z155" i="9" s="1"/>
  <c r="Y155" i="9" a="1"/>
  <c r="Y155" i="9" s="1"/>
  <c r="X155" i="9" a="1"/>
  <c r="X155" i="9" s="1"/>
  <c r="W155" i="9" a="1"/>
  <c r="W155" i="9" s="1"/>
  <c r="V155" i="9"/>
  <c r="U155" i="9"/>
  <c r="T155" i="9"/>
  <c r="I155" i="9"/>
  <c r="AA154" i="9" a="1"/>
  <c r="AA154" i="9" s="1"/>
  <c r="Z154" i="9" a="1"/>
  <c r="Z154" i="9" s="1"/>
  <c r="Y154" i="9" a="1"/>
  <c r="Y154" i="9" s="1"/>
  <c r="X154" i="9" a="1"/>
  <c r="X154" i="9" s="1"/>
  <c r="W154" i="9" a="1"/>
  <c r="W154" i="9" s="1"/>
  <c r="V154" i="9"/>
  <c r="U154" i="9"/>
  <c r="T154" i="9"/>
  <c r="I154" i="9"/>
  <c r="AA153" i="9" a="1"/>
  <c r="AA153" i="9" s="1"/>
  <c r="Z153" i="9" a="1"/>
  <c r="Z153" i="9" s="1"/>
  <c r="Y153" i="9" a="1"/>
  <c r="Y153" i="9" s="1"/>
  <c r="X153" i="9" a="1"/>
  <c r="X153" i="9" s="1"/>
  <c r="W153" i="9" a="1"/>
  <c r="W153" i="9" s="1"/>
  <c r="V153" i="9"/>
  <c r="U153" i="9"/>
  <c r="T153" i="9"/>
  <c r="I153" i="9"/>
  <c r="AA152" i="9" a="1"/>
  <c r="AA152" i="9" s="1"/>
  <c r="Z152" i="9" a="1"/>
  <c r="Z152" i="9" s="1"/>
  <c r="Y152" i="9" a="1"/>
  <c r="Y152" i="9" s="1"/>
  <c r="X152" i="9" a="1"/>
  <c r="X152" i="9" s="1"/>
  <c r="W152" i="9" a="1"/>
  <c r="W152" i="9" s="1"/>
  <c r="V152" i="9"/>
  <c r="U152" i="9"/>
  <c r="T152" i="9"/>
  <c r="I152" i="9"/>
  <c r="AA151" i="9" a="1"/>
  <c r="AA151" i="9" s="1"/>
  <c r="Z151" i="9" a="1"/>
  <c r="Z151" i="9" s="1"/>
  <c r="Y151" i="9" a="1"/>
  <c r="Y151" i="9" s="1"/>
  <c r="X151" i="9" a="1"/>
  <c r="X151" i="9" s="1"/>
  <c r="W151" i="9" a="1"/>
  <c r="W151" i="9" s="1"/>
  <c r="V151" i="9"/>
  <c r="U151" i="9"/>
  <c r="T151" i="9"/>
  <c r="I151" i="9"/>
  <c r="AA150" i="9" a="1"/>
  <c r="AA150" i="9" s="1"/>
  <c r="Z150" i="9" a="1"/>
  <c r="Z150" i="9" s="1"/>
  <c r="Y150" i="9" a="1"/>
  <c r="Y150" i="9" s="1"/>
  <c r="X150" i="9" a="1"/>
  <c r="X150" i="9" s="1"/>
  <c r="W150" i="9" a="1"/>
  <c r="W150" i="9" s="1"/>
  <c r="V150" i="9"/>
  <c r="U150" i="9"/>
  <c r="T150" i="9"/>
  <c r="AA149" i="9" a="1"/>
  <c r="AA149" i="9" s="1"/>
  <c r="Z149" i="9" a="1"/>
  <c r="Z149" i="9" s="1"/>
  <c r="Y149" i="9" a="1"/>
  <c r="Y149" i="9" s="1"/>
  <c r="X149" i="9" a="1"/>
  <c r="X149" i="9" s="1"/>
  <c r="W149" i="9" a="1"/>
  <c r="W149" i="9" s="1"/>
  <c r="V149" i="9"/>
  <c r="U149" i="9"/>
  <c r="T149" i="9"/>
  <c r="I149" i="9"/>
  <c r="AA148" i="9" a="1"/>
  <c r="AA148" i="9" s="1"/>
  <c r="Z148" i="9" a="1"/>
  <c r="Z148" i="9" s="1"/>
  <c r="Y148" i="9" a="1"/>
  <c r="Y148" i="9" s="1"/>
  <c r="X148" i="9" a="1"/>
  <c r="X148" i="9" s="1"/>
  <c r="W148" i="9" a="1"/>
  <c r="W148" i="9" s="1"/>
  <c r="V148" i="9"/>
  <c r="U148" i="9"/>
  <c r="T148" i="9"/>
  <c r="I148" i="9"/>
  <c r="AA147" i="9" a="1"/>
  <c r="AA147" i="9" s="1"/>
  <c r="Z147" i="9" a="1"/>
  <c r="Z147" i="9" s="1"/>
  <c r="Y147" i="9" a="1"/>
  <c r="Y147" i="9" s="1"/>
  <c r="X147" i="9" a="1"/>
  <c r="X147" i="9" s="1"/>
  <c r="W147" i="9" a="1"/>
  <c r="W147" i="9" s="1"/>
  <c r="V147" i="9"/>
  <c r="U147" i="9"/>
  <c r="T147" i="9"/>
  <c r="I147" i="9"/>
  <c r="AA146" i="9" a="1"/>
  <c r="AA146" i="9" s="1"/>
  <c r="Z146" i="9" a="1"/>
  <c r="Z146" i="9" s="1"/>
  <c r="Y146" i="9" a="1"/>
  <c r="Y146" i="9" s="1"/>
  <c r="X146" i="9" a="1"/>
  <c r="X146" i="9" s="1"/>
  <c r="W146" i="9" a="1"/>
  <c r="W146" i="9" s="1"/>
  <c r="V146" i="9"/>
  <c r="U146" i="9"/>
  <c r="T146" i="9"/>
  <c r="I146" i="9"/>
  <c r="AA145" i="9" a="1"/>
  <c r="AA145" i="9" s="1"/>
  <c r="Z145" i="9" a="1"/>
  <c r="Z145" i="9" s="1"/>
  <c r="Y145" i="9" a="1"/>
  <c r="Y145" i="9" s="1"/>
  <c r="X145" i="9" a="1"/>
  <c r="X145" i="9" s="1"/>
  <c r="W145" i="9" a="1"/>
  <c r="W145" i="9" s="1"/>
  <c r="V145" i="9"/>
  <c r="U145" i="9"/>
  <c r="T145" i="9"/>
  <c r="I145" i="9"/>
  <c r="AA144" i="9" a="1"/>
  <c r="AA144" i="9" s="1"/>
  <c r="Z144" i="9" a="1"/>
  <c r="Z144" i="9" s="1"/>
  <c r="Y144" i="9" a="1"/>
  <c r="Y144" i="9" s="1"/>
  <c r="X144" i="9" a="1"/>
  <c r="X144" i="9" s="1"/>
  <c r="W144" i="9" a="1"/>
  <c r="W144" i="9" s="1"/>
  <c r="V144" i="9"/>
  <c r="U144" i="9"/>
  <c r="T144" i="9"/>
  <c r="I144" i="9"/>
  <c r="AA143" i="9" a="1"/>
  <c r="AA143" i="9" s="1"/>
  <c r="Z143" i="9" a="1"/>
  <c r="Z143" i="9" s="1"/>
  <c r="Y143" i="9" a="1"/>
  <c r="Y143" i="9" s="1"/>
  <c r="X143" i="9" a="1"/>
  <c r="X143" i="9" s="1"/>
  <c r="W143" i="9" a="1"/>
  <c r="W143" i="9" s="1"/>
  <c r="V143" i="9"/>
  <c r="U143" i="9"/>
  <c r="T143" i="9"/>
  <c r="AA142" i="9" a="1"/>
  <c r="AA142" i="9" s="1"/>
  <c r="Z142" i="9" a="1"/>
  <c r="Z142" i="9" s="1"/>
  <c r="Y142" i="9" a="1"/>
  <c r="Y142" i="9" s="1"/>
  <c r="X142" i="9" a="1"/>
  <c r="X142" i="9" s="1"/>
  <c r="W142" i="9" a="1"/>
  <c r="W142" i="9" s="1"/>
  <c r="V142" i="9"/>
  <c r="U142" i="9"/>
  <c r="T142" i="9"/>
  <c r="I142" i="9"/>
  <c r="AA141" i="9" a="1"/>
  <c r="AA141" i="9" s="1"/>
  <c r="Z141" i="9" a="1"/>
  <c r="Z141" i="9" s="1"/>
  <c r="Y141" i="9" a="1"/>
  <c r="Y141" i="9" s="1"/>
  <c r="X141" i="9" a="1"/>
  <c r="X141" i="9" s="1"/>
  <c r="W141" i="9" a="1"/>
  <c r="W141" i="9" s="1"/>
  <c r="V141" i="9"/>
  <c r="U141" i="9"/>
  <c r="T141" i="9"/>
  <c r="I141" i="9"/>
  <c r="AA140" i="9" a="1"/>
  <c r="AA140" i="9" s="1"/>
  <c r="Z140" i="9" a="1"/>
  <c r="Z140" i="9" s="1"/>
  <c r="Y140" i="9" a="1"/>
  <c r="Y140" i="9" s="1"/>
  <c r="X140" i="9" a="1"/>
  <c r="X140" i="9" s="1"/>
  <c r="W140" i="9" a="1"/>
  <c r="W140" i="9" s="1"/>
  <c r="V140" i="9"/>
  <c r="U140" i="9"/>
  <c r="T140" i="9"/>
  <c r="I140" i="9"/>
  <c r="AA139" i="9" a="1"/>
  <c r="AA139" i="9" s="1"/>
  <c r="Z139" i="9" a="1"/>
  <c r="Z139" i="9" s="1"/>
  <c r="Y139" i="9" a="1"/>
  <c r="Y139" i="9" s="1"/>
  <c r="X139" i="9" a="1"/>
  <c r="X139" i="9" s="1"/>
  <c r="W139" i="9" a="1"/>
  <c r="W139" i="9" s="1"/>
  <c r="V139" i="9"/>
  <c r="U139" i="9"/>
  <c r="T139" i="9"/>
  <c r="I139" i="9"/>
  <c r="AA138" i="9" a="1"/>
  <c r="AA138" i="9" s="1"/>
  <c r="Z138" i="9" a="1"/>
  <c r="Z138" i="9" s="1"/>
  <c r="Y138" i="9" a="1"/>
  <c r="Y138" i="9" s="1"/>
  <c r="X138" i="9" a="1"/>
  <c r="X138" i="9" s="1"/>
  <c r="W138" i="9" a="1"/>
  <c r="W138" i="9" s="1"/>
  <c r="V138" i="9"/>
  <c r="U138" i="9"/>
  <c r="T138" i="9"/>
  <c r="I138" i="9"/>
  <c r="AA137" i="9" a="1"/>
  <c r="AA137" i="9" s="1"/>
  <c r="Z137" i="9" a="1"/>
  <c r="Z137" i="9" s="1"/>
  <c r="Y137" i="9" a="1"/>
  <c r="Y137" i="9" s="1"/>
  <c r="X137" i="9" a="1"/>
  <c r="X137" i="9" s="1"/>
  <c r="W137" i="9" a="1"/>
  <c r="W137" i="9" s="1"/>
  <c r="V137" i="9"/>
  <c r="U137" i="9"/>
  <c r="T137" i="9"/>
  <c r="I137" i="9"/>
  <c r="AA136" i="9" a="1"/>
  <c r="AA136" i="9" s="1"/>
  <c r="Z136" i="9" a="1"/>
  <c r="Z136" i="9" s="1"/>
  <c r="Y136" i="9" a="1"/>
  <c r="Y136" i="9" s="1"/>
  <c r="X136" i="9" a="1"/>
  <c r="X136" i="9" s="1"/>
  <c r="W136" i="9" a="1"/>
  <c r="W136" i="9" s="1"/>
  <c r="V136" i="9"/>
  <c r="U136" i="9"/>
  <c r="T136" i="9"/>
  <c r="AA135" i="9" a="1"/>
  <c r="AA135" i="9" s="1"/>
  <c r="Z135" i="9" a="1"/>
  <c r="Z135" i="9" s="1"/>
  <c r="Y135" i="9" a="1"/>
  <c r="Y135" i="9" s="1"/>
  <c r="X135" i="9" a="1"/>
  <c r="X135" i="9" s="1"/>
  <c r="W135" i="9" a="1"/>
  <c r="W135" i="9" s="1"/>
  <c r="V135" i="9"/>
  <c r="U135" i="9"/>
  <c r="T135" i="9"/>
  <c r="I135" i="9"/>
  <c r="AA134" i="9" a="1"/>
  <c r="AA134" i="9" s="1"/>
  <c r="Z134" i="9" a="1"/>
  <c r="Z134" i="9" s="1"/>
  <c r="Y134" i="9" a="1"/>
  <c r="Y134" i="9" s="1"/>
  <c r="X134" i="9" a="1"/>
  <c r="X134" i="9" s="1"/>
  <c r="W134" i="9" a="1"/>
  <c r="W134" i="9" s="1"/>
  <c r="V134" i="9"/>
  <c r="U134" i="9"/>
  <c r="T134" i="9"/>
  <c r="I134" i="9"/>
  <c r="AA133" i="9" a="1"/>
  <c r="AA133" i="9" s="1"/>
  <c r="Z133" i="9" a="1"/>
  <c r="Z133" i="9" s="1"/>
  <c r="Y133" i="9" a="1"/>
  <c r="Y133" i="9" s="1"/>
  <c r="X133" i="9" a="1"/>
  <c r="X133" i="9" s="1"/>
  <c r="W133" i="9" a="1"/>
  <c r="W133" i="9" s="1"/>
  <c r="V133" i="9"/>
  <c r="U133" i="9"/>
  <c r="T133" i="9"/>
  <c r="I133" i="9"/>
  <c r="AA132" i="9" a="1"/>
  <c r="AA132" i="9" s="1"/>
  <c r="Z132" i="9" a="1"/>
  <c r="Z132" i="9" s="1"/>
  <c r="Y132" i="9" a="1"/>
  <c r="Y132" i="9" s="1"/>
  <c r="X132" i="9" a="1"/>
  <c r="X132" i="9" s="1"/>
  <c r="W132" i="9" a="1"/>
  <c r="W132" i="9" s="1"/>
  <c r="V132" i="9"/>
  <c r="U132" i="9"/>
  <c r="T132" i="9"/>
  <c r="I132" i="9"/>
  <c r="AA131" i="9" a="1"/>
  <c r="AA131" i="9" s="1"/>
  <c r="Z131" i="9" a="1"/>
  <c r="Z131" i="9" s="1"/>
  <c r="Y131" i="9" a="1"/>
  <c r="Y131" i="9" s="1"/>
  <c r="X131" i="9" a="1"/>
  <c r="X131" i="9" s="1"/>
  <c r="W131" i="9" a="1"/>
  <c r="W131" i="9" s="1"/>
  <c r="V131" i="9"/>
  <c r="U131" i="9"/>
  <c r="T131" i="9"/>
  <c r="I131" i="9"/>
  <c r="AA130" i="9" a="1"/>
  <c r="AA130" i="9" s="1"/>
  <c r="Z130" i="9" a="1"/>
  <c r="Z130" i="9" s="1"/>
  <c r="Y130" i="9" a="1"/>
  <c r="Y130" i="9" s="1"/>
  <c r="X130" i="9" a="1"/>
  <c r="X130" i="9" s="1"/>
  <c r="W130" i="9" a="1"/>
  <c r="W130" i="9" s="1"/>
  <c r="V130" i="9"/>
  <c r="U130" i="9"/>
  <c r="T130" i="9"/>
  <c r="I130" i="9"/>
  <c r="AA129" i="9" a="1"/>
  <c r="AA129" i="9" s="1"/>
  <c r="Z129" i="9" a="1"/>
  <c r="Z129" i="9" s="1"/>
  <c r="Y129" i="9" a="1"/>
  <c r="Y129" i="9" s="1"/>
  <c r="X129" i="9" a="1"/>
  <c r="X129" i="9" s="1"/>
  <c r="W129" i="9" a="1"/>
  <c r="W129" i="9" s="1"/>
  <c r="V129" i="9"/>
  <c r="U129" i="9"/>
  <c r="T129" i="9"/>
  <c r="AA128" i="9" a="1"/>
  <c r="AA128" i="9" s="1"/>
  <c r="Z128" i="9" a="1"/>
  <c r="Z128" i="9" s="1"/>
  <c r="Y128" i="9" a="1"/>
  <c r="Y128" i="9" s="1"/>
  <c r="X128" i="9" a="1"/>
  <c r="X128" i="9" s="1"/>
  <c r="W128" i="9" a="1"/>
  <c r="W128" i="9" s="1"/>
  <c r="V128" i="9"/>
  <c r="U128" i="9"/>
  <c r="T128" i="9"/>
  <c r="I128" i="9"/>
  <c r="AA127" i="9" a="1"/>
  <c r="AA127" i="9" s="1"/>
  <c r="Z127" i="9" a="1"/>
  <c r="Z127" i="9" s="1"/>
  <c r="Y127" i="9" a="1"/>
  <c r="Y127" i="9" s="1"/>
  <c r="X127" i="9" a="1"/>
  <c r="X127" i="9" s="1"/>
  <c r="W127" i="9" a="1"/>
  <c r="W127" i="9" s="1"/>
  <c r="V127" i="9"/>
  <c r="U127" i="9"/>
  <c r="T127" i="9"/>
  <c r="I127" i="9"/>
  <c r="AA126" i="9" a="1"/>
  <c r="AA126" i="9" s="1"/>
  <c r="Z126" i="9" a="1"/>
  <c r="Z126" i="9" s="1"/>
  <c r="Y126" i="9" a="1"/>
  <c r="Y126" i="9" s="1"/>
  <c r="X126" i="9" a="1"/>
  <c r="X126" i="9" s="1"/>
  <c r="W126" i="9" a="1"/>
  <c r="W126" i="9" s="1"/>
  <c r="V126" i="9"/>
  <c r="U126" i="9"/>
  <c r="T126" i="9"/>
  <c r="I126" i="9"/>
  <c r="AA125" i="9" a="1"/>
  <c r="AA125" i="9" s="1"/>
  <c r="Z125" i="9" a="1"/>
  <c r="Z125" i="9" s="1"/>
  <c r="Y125" i="9" a="1"/>
  <c r="Y125" i="9" s="1"/>
  <c r="X125" i="9" a="1"/>
  <c r="X125" i="9" s="1"/>
  <c r="W125" i="9" a="1"/>
  <c r="W125" i="9" s="1"/>
  <c r="V125" i="9"/>
  <c r="U125" i="9"/>
  <c r="T125" i="9"/>
  <c r="I125" i="9"/>
  <c r="AA124" i="9" a="1"/>
  <c r="AA124" i="9" s="1"/>
  <c r="Z124" i="9" a="1"/>
  <c r="Z124" i="9" s="1"/>
  <c r="Y124" i="9" a="1"/>
  <c r="Y124" i="9" s="1"/>
  <c r="X124" i="9" a="1"/>
  <c r="X124" i="9" s="1"/>
  <c r="W124" i="9" a="1"/>
  <c r="W124" i="9" s="1"/>
  <c r="V124" i="9"/>
  <c r="U124" i="9"/>
  <c r="T124" i="9"/>
  <c r="I124" i="9"/>
  <c r="AA123" i="9" a="1"/>
  <c r="AA123" i="9" s="1"/>
  <c r="Z123" i="9" a="1"/>
  <c r="Z123" i="9" s="1"/>
  <c r="Y123" i="9" a="1"/>
  <c r="Y123" i="9" s="1"/>
  <c r="X123" i="9" a="1"/>
  <c r="X123" i="9" s="1"/>
  <c r="W123" i="9" a="1"/>
  <c r="W123" i="9" s="1"/>
  <c r="V123" i="9"/>
  <c r="U123" i="9"/>
  <c r="T123" i="9"/>
  <c r="I123" i="9"/>
  <c r="AA122" i="9" a="1"/>
  <c r="AA122" i="9" s="1"/>
  <c r="Z122" i="9" a="1"/>
  <c r="Z122" i="9" s="1"/>
  <c r="Y122" i="9" a="1"/>
  <c r="Y122" i="9" s="1"/>
  <c r="X122" i="9" a="1"/>
  <c r="X122" i="9" s="1"/>
  <c r="W122" i="9" a="1"/>
  <c r="W122" i="9" s="1"/>
  <c r="V122" i="9"/>
  <c r="U122" i="9"/>
  <c r="T122" i="9"/>
  <c r="AA121" i="9" a="1"/>
  <c r="AA121" i="9" s="1"/>
  <c r="Z121" i="9" a="1"/>
  <c r="Z121" i="9" s="1"/>
  <c r="Y121" i="9" a="1"/>
  <c r="Y121" i="9" s="1"/>
  <c r="X121" i="9" a="1"/>
  <c r="X121" i="9" s="1"/>
  <c r="W121" i="9" a="1"/>
  <c r="W121" i="9" s="1"/>
  <c r="V121" i="9"/>
  <c r="U121" i="9"/>
  <c r="T121" i="9"/>
  <c r="I121" i="9"/>
  <c r="AA120" i="9" a="1"/>
  <c r="AA120" i="9" s="1"/>
  <c r="Z120" i="9" a="1"/>
  <c r="Z120" i="9" s="1"/>
  <c r="Y120" i="9" a="1"/>
  <c r="Y120" i="9" s="1"/>
  <c r="X120" i="9" a="1"/>
  <c r="X120" i="9" s="1"/>
  <c r="W120" i="9" a="1"/>
  <c r="W120" i="9" s="1"/>
  <c r="V120" i="9"/>
  <c r="U120" i="9"/>
  <c r="T120" i="9"/>
  <c r="I120" i="9"/>
  <c r="AA119" i="9" a="1"/>
  <c r="AA119" i="9" s="1"/>
  <c r="Z119" i="9" a="1"/>
  <c r="Z119" i="9" s="1"/>
  <c r="Y119" i="9" a="1"/>
  <c r="Y119" i="9" s="1"/>
  <c r="X119" i="9" a="1"/>
  <c r="X119" i="9" s="1"/>
  <c r="W119" i="9" a="1"/>
  <c r="W119" i="9" s="1"/>
  <c r="V119" i="9"/>
  <c r="U119" i="9"/>
  <c r="T119" i="9"/>
  <c r="I119" i="9"/>
  <c r="AA118" i="9" a="1"/>
  <c r="AA118" i="9" s="1"/>
  <c r="Z118" i="9" a="1"/>
  <c r="Z118" i="9" s="1"/>
  <c r="Y118" i="9" a="1"/>
  <c r="Y118" i="9" s="1"/>
  <c r="X118" i="9" a="1"/>
  <c r="X118" i="9" s="1"/>
  <c r="W118" i="9" a="1"/>
  <c r="W118" i="9" s="1"/>
  <c r="V118" i="9"/>
  <c r="U118" i="9"/>
  <c r="T118" i="9"/>
  <c r="I118" i="9"/>
  <c r="AA117" i="9" a="1"/>
  <c r="AA117" i="9" s="1"/>
  <c r="Z117" i="9" a="1"/>
  <c r="Z117" i="9" s="1"/>
  <c r="Y117" i="9" a="1"/>
  <c r="Y117" i="9" s="1"/>
  <c r="X117" i="9" a="1"/>
  <c r="X117" i="9" s="1"/>
  <c r="W117" i="9" a="1"/>
  <c r="W117" i="9" s="1"/>
  <c r="V117" i="9"/>
  <c r="U117" i="9"/>
  <c r="T117" i="9"/>
  <c r="I117" i="9"/>
  <c r="AA116" i="9" a="1"/>
  <c r="AA116" i="9" s="1"/>
  <c r="Z116" i="9" a="1"/>
  <c r="Z116" i="9" s="1"/>
  <c r="Y116" i="9" a="1"/>
  <c r="Y116" i="9" s="1"/>
  <c r="X116" i="9" a="1"/>
  <c r="X116" i="9" s="1"/>
  <c r="W116" i="9" a="1"/>
  <c r="W116" i="9" s="1"/>
  <c r="V116" i="9"/>
  <c r="U116" i="9"/>
  <c r="T116" i="9"/>
  <c r="I116" i="9"/>
  <c r="AA115" i="9" a="1"/>
  <c r="AA115" i="9" s="1"/>
  <c r="Z115" i="9" a="1"/>
  <c r="Z115" i="9" s="1"/>
  <c r="Y115" i="9" a="1"/>
  <c r="Y115" i="9" s="1"/>
  <c r="X115" i="9" a="1"/>
  <c r="X115" i="9" s="1"/>
  <c r="W115" i="9" a="1"/>
  <c r="W115" i="9" s="1"/>
  <c r="V115" i="9"/>
  <c r="U115" i="9"/>
  <c r="T115" i="9"/>
  <c r="AA114" i="9" a="1"/>
  <c r="AA114" i="9" s="1"/>
  <c r="Z114" i="9" a="1"/>
  <c r="Z114" i="9" s="1"/>
  <c r="Y114" i="9" a="1"/>
  <c r="Y114" i="9" s="1"/>
  <c r="X114" i="9" a="1"/>
  <c r="X114" i="9" s="1"/>
  <c r="W114" i="9" a="1"/>
  <c r="W114" i="9" s="1"/>
  <c r="V114" i="9"/>
  <c r="U114" i="9"/>
  <c r="T114" i="9"/>
  <c r="AA113" i="9" a="1"/>
  <c r="AA113" i="9" s="1"/>
  <c r="Z113" i="9" a="1"/>
  <c r="Z113" i="9" s="1"/>
  <c r="Y113" i="9" a="1"/>
  <c r="Y113" i="9" s="1"/>
  <c r="X113" i="9" a="1"/>
  <c r="X113" i="9" s="1"/>
  <c r="W113" i="9" a="1"/>
  <c r="W113" i="9" s="1"/>
  <c r="V113" i="9"/>
  <c r="U113" i="9"/>
  <c r="T113" i="9"/>
  <c r="I113" i="9"/>
  <c r="AA112" i="9" a="1"/>
  <c r="AA112" i="9" s="1"/>
  <c r="Z112" i="9" a="1"/>
  <c r="Z112" i="9" s="1"/>
  <c r="Y112" i="9" a="1"/>
  <c r="Y112" i="9" s="1"/>
  <c r="X112" i="9" a="1"/>
  <c r="X112" i="9" s="1"/>
  <c r="W112" i="9" a="1"/>
  <c r="W112" i="9" s="1"/>
  <c r="V112" i="9"/>
  <c r="U112" i="9"/>
  <c r="T112" i="9"/>
  <c r="I112" i="9"/>
  <c r="AA111" i="9" a="1"/>
  <c r="AA111" i="9" s="1"/>
  <c r="Z111" i="9" a="1"/>
  <c r="Z111" i="9" s="1"/>
  <c r="Y111" i="9" a="1"/>
  <c r="Y111" i="9" s="1"/>
  <c r="X111" i="9" a="1"/>
  <c r="X111" i="9" s="1"/>
  <c r="W111" i="9" a="1"/>
  <c r="W111" i="9" s="1"/>
  <c r="V111" i="9"/>
  <c r="U111" i="9"/>
  <c r="T111" i="9"/>
  <c r="I111" i="9"/>
  <c r="AA110" i="9" a="1"/>
  <c r="AA110" i="9" s="1"/>
  <c r="Z110" i="9" a="1"/>
  <c r="Z110" i="9" s="1"/>
  <c r="Y110" i="9" a="1"/>
  <c r="Y110" i="9" s="1"/>
  <c r="X110" i="9" a="1"/>
  <c r="X110" i="9" s="1"/>
  <c r="W110" i="9" a="1"/>
  <c r="W110" i="9" s="1"/>
  <c r="V110" i="9"/>
  <c r="U110" i="9"/>
  <c r="T110" i="9"/>
  <c r="I110" i="9"/>
  <c r="AA109" i="9" a="1"/>
  <c r="AA109" i="9" s="1"/>
  <c r="Z109" i="9" a="1"/>
  <c r="Z109" i="9" s="1"/>
  <c r="Y109" i="9" a="1"/>
  <c r="Y109" i="9" s="1"/>
  <c r="X109" i="9" a="1"/>
  <c r="X109" i="9" s="1"/>
  <c r="W109" i="9" a="1"/>
  <c r="W109" i="9" s="1"/>
  <c r="V109" i="9"/>
  <c r="U109" i="9"/>
  <c r="T109" i="9"/>
  <c r="I109" i="9"/>
  <c r="AA108" i="9" a="1"/>
  <c r="AA108" i="9" s="1"/>
  <c r="Z108" i="9" a="1"/>
  <c r="Z108" i="9" s="1"/>
  <c r="Y108" i="9" a="1"/>
  <c r="Y108" i="9" s="1"/>
  <c r="X108" i="9" a="1"/>
  <c r="X108" i="9" s="1"/>
  <c r="W108" i="9" a="1"/>
  <c r="W108" i="9" s="1"/>
  <c r="V108" i="9"/>
  <c r="U108" i="9"/>
  <c r="T108" i="9"/>
  <c r="I108" i="9"/>
  <c r="AA107" i="9" a="1"/>
  <c r="AA107" i="9" s="1"/>
  <c r="Z107" i="9" a="1"/>
  <c r="Z107" i="9" s="1"/>
  <c r="Y107" i="9" a="1"/>
  <c r="Y107" i="9" s="1"/>
  <c r="X107" i="9" a="1"/>
  <c r="X107" i="9" s="1"/>
  <c r="W107" i="9" a="1"/>
  <c r="W107" i="9" s="1"/>
  <c r="V107" i="9"/>
  <c r="U107" i="9"/>
  <c r="T107" i="9"/>
  <c r="AA106" i="9" a="1"/>
  <c r="AA106" i="9" s="1"/>
  <c r="Z106" i="9" a="1"/>
  <c r="Z106" i="9" s="1"/>
  <c r="Y106" i="9" a="1"/>
  <c r="Y106" i="9" s="1"/>
  <c r="X106" i="9" a="1"/>
  <c r="X106" i="9" s="1"/>
  <c r="W106" i="9" a="1"/>
  <c r="W106" i="9" s="1"/>
  <c r="V106" i="9"/>
  <c r="U106" i="9"/>
  <c r="T106" i="9"/>
  <c r="AA105" i="9" a="1"/>
  <c r="AA105" i="9" s="1"/>
  <c r="Z105" i="9" a="1"/>
  <c r="Z105" i="9" s="1"/>
  <c r="Y105" i="9" a="1"/>
  <c r="Y105" i="9" s="1"/>
  <c r="X105" i="9" a="1"/>
  <c r="X105" i="9" s="1"/>
  <c r="W105" i="9" a="1"/>
  <c r="W105" i="9" s="1"/>
  <c r="V105" i="9"/>
  <c r="U105" i="9"/>
  <c r="T105" i="9"/>
  <c r="I105" i="9"/>
  <c r="AA104" i="9" a="1"/>
  <c r="AA104" i="9" s="1"/>
  <c r="Z104" i="9" a="1"/>
  <c r="Z104" i="9" s="1"/>
  <c r="Y104" i="9" a="1"/>
  <c r="Y104" i="9" s="1"/>
  <c r="X104" i="9" a="1"/>
  <c r="X104" i="9" s="1"/>
  <c r="W104" i="9" a="1"/>
  <c r="W104" i="9" s="1"/>
  <c r="V104" i="9"/>
  <c r="U104" i="9"/>
  <c r="T104" i="9"/>
  <c r="I104" i="9"/>
  <c r="AA103" i="9" a="1"/>
  <c r="AA103" i="9" s="1"/>
  <c r="Z103" i="9" a="1"/>
  <c r="Z103" i="9" s="1"/>
  <c r="Y103" i="9" a="1"/>
  <c r="Y103" i="9" s="1"/>
  <c r="X103" i="9" a="1"/>
  <c r="X103" i="9" s="1"/>
  <c r="W103" i="9" a="1"/>
  <c r="W103" i="9" s="1"/>
  <c r="V103" i="9"/>
  <c r="U103" i="9"/>
  <c r="T103" i="9"/>
  <c r="I103" i="9"/>
  <c r="AA102" i="9" a="1"/>
  <c r="AA102" i="9" s="1"/>
  <c r="Z102" i="9" a="1"/>
  <c r="Z102" i="9" s="1"/>
  <c r="Y102" i="9" a="1"/>
  <c r="Y102" i="9" s="1"/>
  <c r="X102" i="9" a="1"/>
  <c r="X102" i="9" s="1"/>
  <c r="W102" i="9" a="1"/>
  <c r="W102" i="9" s="1"/>
  <c r="V102" i="9"/>
  <c r="U102" i="9"/>
  <c r="T102" i="9"/>
  <c r="I102" i="9"/>
  <c r="AA101" i="9" a="1"/>
  <c r="AA101" i="9" s="1"/>
  <c r="Z101" i="9" a="1"/>
  <c r="Z101" i="9" s="1"/>
  <c r="Y101" i="9" a="1"/>
  <c r="Y101" i="9" s="1"/>
  <c r="X101" i="9" a="1"/>
  <c r="X101" i="9" s="1"/>
  <c r="W101" i="9" a="1"/>
  <c r="W101" i="9" s="1"/>
  <c r="V101" i="9"/>
  <c r="U101" i="9"/>
  <c r="T101" i="9"/>
  <c r="I101" i="9"/>
  <c r="AA100" i="9" a="1"/>
  <c r="AA100" i="9" s="1"/>
  <c r="Z100" i="9" a="1"/>
  <c r="Z100" i="9" s="1"/>
  <c r="Y100" i="9" a="1"/>
  <c r="Y100" i="9" s="1"/>
  <c r="X100" i="9" a="1"/>
  <c r="X100" i="9" s="1"/>
  <c r="W100" i="9" a="1"/>
  <c r="W100" i="9" s="1"/>
  <c r="V100" i="9"/>
  <c r="U100" i="9"/>
  <c r="T100" i="9"/>
  <c r="I100" i="9"/>
  <c r="AA99" i="9" a="1"/>
  <c r="AA99" i="9" s="1"/>
  <c r="Z99" i="9" a="1"/>
  <c r="Z99" i="9" s="1"/>
  <c r="Y99" i="9" a="1"/>
  <c r="Y99" i="9" s="1"/>
  <c r="X99" i="9" a="1"/>
  <c r="X99" i="9" s="1"/>
  <c r="W99" i="9" a="1"/>
  <c r="W99" i="9" s="1"/>
  <c r="V99" i="9"/>
  <c r="U99" i="9"/>
  <c r="T99" i="9"/>
  <c r="AA98" i="9" a="1"/>
  <c r="AA98" i="9" s="1"/>
  <c r="Z98" i="9" a="1"/>
  <c r="Z98" i="9" s="1"/>
  <c r="Y98" i="9" a="1"/>
  <c r="Y98" i="9" s="1"/>
  <c r="X98" i="9" a="1"/>
  <c r="X98" i="9" s="1"/>
  <c r="W98" i="9" a="1"/>
  <c r="W98" i="9" s="1"/>
  <c r="V98" i="9"/>
  <c r="U98" i="9"/>
  <c r="T98" i="9"/>
  <c r="I98" i="9"/>
  <c r="AA97" i="9" a="1"/>
  <c r="AA97" i="9" s="1"/>
  <c r="Z97" i="9" a="1"/>
  <c r="Z97" i="9" s="1"/>
  <c r="Y97" i="9" a="1"/>
  <c r="Y97" i="9" s="1"/>
  <c r="X97" i="9" a="1"/>
  <c r="X97" i="9" s="1"/>
  <c r="W97" i="9" a="1"/>
  <c r="W97" i="9" s="1"/>
  <c r="V97" i="9"/>
  <c r="U97" i="9"/>
  <c r="T97" i="9"/>
  <c r="I97" i="9"/>
  <c r="AA96" i="9" a="1"/>
  <c r="AA96" i="9" s="1"/>
  <c r="Z96" i="9" a="1"/>
  <c r="Z96" i="9" s="1"/>
  <c r="Y96" i="9" a="1"/>
  <c r="Y96" i="9" s="1"/>
  <c r="X96" i="9" a="1"/>
  <c r="X96" i="9" s="1"/>
  <c r="W96" i="9" a="1"/>
  <c r="W96" i="9" s="1"/>
  <c r="V96" i="9"/>
  <c r="U96" i="9"/>
  <c r="T96" i="9"/>
  <c r="I96" i="9"/>
  <c r="AA95" i="9" a="1"/>
  <c r="AA95" i="9" s="1"/>
  <c r="Z95" i="9" a="1"/>
  <c r="Z95" i="9" s="1"/>
  <c r="Y95" i="9" a="1"/>
  <c r="Y95" i="9" s="1"/>
  <c r="X95" i="9" a="1"/>
  <c r="X95" i="9" s="1"/>
  <c r="W95" i="9" a="1"/>
  <c r="W95" i="9" s="1"/>
  <c r="V95" i="9"/>
  <c r="U95" i="9"/>
  <c r="T95" i="9"/>
  <c r="I95" i="9"/>
  <c r="AA94" i="9" a="1"/>
  <c r="AA94" i="9" s="1"/>
  <c r="Z94" i="9" a="1"/>
  <c r="Z94" i="9" s="1"/>
  <c r="Y94" i="9" a="1"/>
  <c r="Y94" i="9" s="1"/>
  <c r="X94" i="9" a="1"/>
  <c r="X94" i="9" s="1"/>
  <c r="W94" i="9" a="1"/>
  <c r="W94" i="9" s="1"/>
  <c r="V94" i="9"/>
  <c r="U94" i="9"/>
  <c r="T94" i="9"/>
  <c r="I94" i="9"/>
  <c r="AA93" i="9" a="1"/>
  <c r="AA93" i="9" s="1"/>
  <c r="Z93" i="9" a="1"/>
  <c r="Z93" i="9" s="1"/>
  <c r="Y93" i="9" a="1"/>
  <c r="Y93" i="9" s="1"/>
  <c r="X93" i="9" a="1"/>
  <c r="X93" i="9" s="1"/>
  <c r="W93" i="9" a="1"/>
  <c r="W93" i="9" s="1"/>
  <c r="V93" i="9"/>
  <c r="U93" i="9"/>
  <c r="T93" i="9"/>
  <c r="AA92" i="9" a="1"/>
  <c r="AA92" i="9" s="1"/>
  <c r="Z92" i="9" a="1"/>
  <c r="Z92" i="9" s="1"/>
  <c r="Y92" i="9" a="1"/>
  <c r="Y92" i="9" s="1"/>
  <c r="X92" i="9" a="1"/>
  <c r="X92" i="9" s="1"/>
  <c r="W92" i="9" a="1"/>
  <c r="W92" i="9" s="1"/>
  <c r="V92" i="9"/>
  <c r="U92" i="9"/>
  <c r="T92" i="9"/>
  <c r="I92" i="9"/>
  <c r="AA91" i="9" a="1"/>
  <c r="AA91" i="9" s="1"/>
  <c r="Z91" i="9" a="1"/>
  <c r="Z91" i="9" s="1"/>
  <c r="Y91" i="9" a="1"/>
  <c r="Y91" i="9" s="1"/>
  <c r="X91" i="9" a="1"/>
  <c r="X91" i="9" s="1"/>
  <c r="W91" i="9" a="1"/>
  <c r="W91" i="9" s="1"/>
  <c r="V91" i="9"/>
  <c r="U91" i="9"/>
  <c r="T91" i="9"/>
  <c r="I91" i="9"/>
  <c r="AA90" i="9" a="1"/>
  <c r="AA90" i="9" s="1"/>
  <c r="Z90" i="9" a="1"/>
  <c r="Z90" i="9" s="1"/>
  <c r="Y90" i="9" a="1"/>
  <c r="Y90" i="9" s="1"/>
  <c r="X90" i="9" a="1"/>
  <c r="X90" i="9" s="1"/>
  <c r="W90" i="9" a="1"/>
  <c r="W90" i="9" s="1"/>
  <c r="V90" i="9"/>
  <c r="U90" i="9"/>
  <c r="T90" i="9"/>
  <c r="I90" i="9"/>
  <c r="AA89" i="9" a="1"/>
  <c r="AA89" i="9" s="1"/>
  <c r="Z89" i="9" a="1"/>
  <c r="Z89" i="9" s="1"/>
  <c r="Y89" i="9" a="1"/>
  <c r="Y89" i="9" s="1"/>
  <c r="X89" i="9" a="1"/>
  <c r="X89" i="9" s="1"/>
  <c r="W89" i="9" a="1"/>
  <c r="W89" i="9" s="1"/>
  <c r="V89" i="9"/>
  <c r="U89" i="9"/>
  <c r="T89" i="9"/>
  <c r="I89" i="9"/>
  <c r="AA88" i="9" a="1"/>
  <c r="AA88" i="9" s="1"/>
  <c r="Z88" i="9" a="1"/>
  <c r="Z88" i="9" s="1"/>
  <c r="Y88" i="9" a="1"/>
  <c r="Y88" i="9" s="1"/>
  <c r="X88" i="9" a="1"/>
  <c r="X88" i="9" s="1"/>
  <c r="W88" i="9" a="1"/>
  <c r="W88" i="9" s="1"/>
  <c r="V88" i="9"/>
  <c r="U88" i="9"/>
  <c r="T88" i="9"/>
  <c r="I88" i="9"/>
  <c r="AA87" i="9" a="1"/>
  <c r="AA87" i="9" s="1"/>
  <c r="Z87" i="9" a="1"/>
  <c r="Z87" i="9" s="1"/>
  <c r="Y87" i="9" a="1"/>
  <c r="Y87" i="9" s="1"/>
  <c r="X87" i="9" a="1"/>
  <c r="X87" i="9" s="1"/>
  <c r="W87" i="9" a="1"/>
  <c r="W87" i="9" s="1"/>
  <c r="V87" i="9"/>
  <c r="U87" i="9"/>
  <c r="T87" i="9"/>
  <c r="I87" i="9"/>
  <c r="AA86" i="9" a="1"/>
  <c r="AA86" i="9" s="1"/>
  <c r="Z86" i="9" a="1"/>
  <c r="Z86" i="9" s="1"/>
  <c r="Y86" i="9" a="1"/>
  <c r="Y86" i="9" s="1"/>
  <c r="X86" i="9" a="1"/>
  <c r="X86" i="9" s="1"/>
  <c r="W86" i="9" a="1"/>
  <c r="W86" i="9" s="1"/>
  <c r="V86" i="9"/>
  <c r="U86" i="9"/>
  <c r="T86" i="9"/>
  <c r="AA85" i="9" a="1"/>
  <c r="AA85" i="9" s="1"/>
  <c r="Z85" i="9" a="1"/>
  <c r="Z85" i="9" s="1"/>
  <c r="Y85" i="9" a="1"/>
  <c r="Y85" i="9" s="1"/>
  <c r="X85" i="9" a="1"/>
  <c r="X85" i="9" s="1"/>
  <c r="W85" i="9" a="1"/>
  <c r="W85" i="9" s="1"/>
  <c r="V85" i="9"/>
  <c r="U85" i="9"/>
  <c r="T85" i="9"/>
  <c r="I85" i="9"/>
  <c r="AA84" i="9" a="1"/>
  <c r="AA84" i="9" s="1"/>
  <c r="Z84" i="9" a="1"/>
  <c r="Z84" i="9" s="1"/>
  <c r="Y84" i="9" a="1"/>
  <c r="Y84" i="9" s="1"/>
  <c r="X84" i="9" a="1"/>
  <c r="X84" i="9" s="1"/>
  <c r="W84" i="9" a="1"/>
  <c r="W84" i="9" s="1"/>
  <c r="V84" i="9"/>
  <c r="U84" i="9"/>
  <c r="T84" i="9"/>
  <c r="I84" i="9"/>
  <c r="AA83" i="9" a="1"/>
  <c r="AA83" i="9" s="1"/>
  <c r="Z83" i="9" a="1"/>
  <c r="Z83" i="9" s="1"/>
  <c r="Y83" i="9" a="1"/>
  <c r="Y83" i="9" s="1"/>
  <c r="X83" i="9" a="1"/>
  <c r="X83" i="9" s="1"/>
  <c r="W83" i="9" a="1"/>
  <c r="W83" i="9" s="1"/>
  <c r="V83" i="9"/>
  <c r="U83" i="9"/>
  <c r="T83" i="9"/>
  <c r="I83" i="9"/>
  <c r="AA82" i="9" a="1"/>
  <c r="AA82" i="9" s="1"/>
  <c r="Z82" i="9" a="1"/>
  <c r="Z82" i="9" s="1"/>
  <c r="Y82" i="9" a="1"/>
  <c r="Y82" i="9" s="1"/>
  <c r="X82" i="9" a="1"/>
  <c r="X82" i="9" s="1"/>
  <c r="W82" i="9" a="1"/>
  <c r="W82" i="9" s="1"/>
  <c r="V82" i="9"/>
  <c r="U82" i="9"/>
  <c r="T82" i="9"/>
  <c r="I82" i="9"/>
  <c r="AA81" i="9" a="1"/>
  <c r="AA81" i="9" s="1"/>
  <c r="Z81" i="9" a="1"/>
  <c r="Z81" i="9" s="1"/>
  <c r="Y81" i="9" a="1"/>
  <c r="Y81" i="9" s="1"/>
  <c r="X81" i="9" a="1"/>
  <c r="X81" i="9" s="1"/>
  <c r="W81" i="9" a="1"/>
  <c r="W81" i="9" s="1"/>
  <c r="V81" i="9"/>
  <c r="U81" i="9"/>
  <c r="T81" i="9"/>
  <c r="I81" i="9"/>
  <c r="AA80" i="9" a="1"/>
  <c r="AA80" i="9" s="1"/>
  <c r="Z80" i="9" a="1"/>
  <c r="Z80" i="9" s="1"/>
  <c r="Y80" i="9" a="1"/>
  <c r="Y80" i="9" s="1"/>
  <c r="X80" i="9" a="1"/>
  <c r="X80" i="9" s="1"/>
  <c r="W80" i="9" a="1"/>
  <c r="W80" i="9" s="1"/>
  <c r="V80" i="9"/>
  <c r="U80" i="9"/>
  <c r="T80" i="9"/>
  <c r="I80" i="9"/>
  <c r="AA79" i="9" a="1"/>
  <c r="AA79" i="9" s="1"/>
  <c r="Z79" i="9" a="1"/>
  <c r="Z79" i="9" s="1"/>
  <c r="Y79" i="9" a="1"/>
  <c r="Y79" i="9" s="1"/>
  <c r="X79" i="9" a="1"/>
  <c r="X79" i="9" s="1"/>
  <c r="W79" i="9" a="1"/>
  <c r="W79" i="9" s="1"/>
  <c r="V79" i="9"/>
  <c r="U79" i="9"/>
  <c r="T79" i="9"/>
  <c r="AA78" i="9" a="1"/>
  <c r="AA78" i="9" s="1"/>
  <c r="Z78" i="9" a="1"/>
  <c r="Z78" i="9" s="1"/>
  <c r="Y78" i="9" a="1"/>
  <c r="Y78" i="9" s="1"/>
  <c r="X78" i="9" a="1"/>
  <c r="X78" i="9" s="1"/>
  <c r="W78" i="9" a="1"/>
  <c r="W78" i="9" s="1"/>
  <c r="V78" i="9"/>
  <c r="U78" i="9"/>
  <c r="T78" i="9"/>
  <c r="I78" i="9"/>
  <c r="AA77" i="9" a="1"/>
  <c r="AA77" i="9" s="1"/>
  <c r="Z77" i="9" a="1"/>
  <c r="Z77" i="9" s="1"/>
  <c r="Y77" i="9" a="1"/>
  <c r="Y77" i="9" s="1"/>
  <c r="X77" i="9" a="1"/>
  <c r="X77" i="9" s="1"/>
  <c r="W77" i="9" a="1"/>
  <c r="W77" i="9" s="1"/>
  <c r="V77" i="9"/>
  <c r="U77" i="9"/>
  <c r="T77" i="9"/>
  <c r="I77" i="9"/>
  <c r="AA76" i="9" a="1"/>
  <c r="AA76" i="9" s="1"/>
  <c r="Z76" i="9" a="1"/>
  <c r="Z76" i="9" s="1"/>
  <c r="Y76" i="9" a="1"/>
  <c r="Y76" i="9" s="1"/>
  <c r="X76" i="9" a="1"/>
  <c r="X76" i="9" s="1"/>
  <c r="W76" i="9" a="1"/>
  <c r="W76" i="9" s="1"/>
  <c r="V76" i="9"/>
  <c r="U76" i="9"/>
  <c r="T76" i="9"/>
  <c r="I76" i="9"/>
  <c r="AA75" i="9" a="1"/>
  <c r="AA75" i="9" s="1"/>
  <c r="Z75" i="9" a="1"/>
  <c r="Z75" i="9" s="1"/>
  <c r="Y75" i="9" a="1"/>
  <c r="Y75" i="9" s="1"/>
  <c r="X75" i="9" a="1"/>
  <c r="X75" i="9" s="1"/>
  <c r="W75" i="9" a="1"/>
  <c r="W75" i="9" s="1"/>
  <c r="V75" i="9"/>
  <c r="U75" i="9"/>
  <c r="T75" i="9"/>
  <c r="I75" i="9"/>
  <c r="AA74" i="9" a="1"/>
  <c r="AA74" i="9" s="1"/>
  <c r="Z74" i="9" a="1"/>
  <c r="Z74" i="9" s="1"/>
  <c r="Y74" i="9" a="1"/>
  <c r="Y74" i="9" s="1"/>
  <c r="X74" i="9" a="1"/>
  <c r="X74" i="9" s="1"/>
  <c r="W74" i="9" a="1"/>
  <c r="W74" i="9" s="1"/>
  <c r="V74" i="9"/>
  <c r="U74" i="9"/>
  <c r="T74" i="9"/>
  <c r="I74" i="9"/>
  <c r="AA73" i="9" a="1"/>
  <c r="AA73" i="9" s="1"/>
  <c r="Z73" i="9" a="1"/>
  <c r="Z73" i="9" s="1"/>
  <c r="Y73" i="9" a="1"/>
  <c r="Y73" i="9" s="1"/>
  <c r="X73" i="9" a="1"/>
  <c r="X73" i="9" s="1"/>
  <c r="W73" i="9" a="1"/>
  <c r="W73" i="9" s="1"/>
  <c r="V73" i="9"/>
  <c r="U73" i="9"/>
  <c r="T73" i="9"/>
  <c r="I73" i="9"/>
  <c r="AA72" i="9" a="1"/>
  <c r="AA72" i="9" s="1"/>
  <c r="Z72" i="9" a="1"/>
  <c r="Z72" i="9" s="1"/>
  <c r="Y72" i="9" a="1"/>
  <c r="Y72" i="9" s="1"/>
  <c r="X72" i="9" a="1"/>
  <c r="X72" i="9" s="1"/>
  <c r="W72" i="9" a="1"/>
  <c r="W72" i="9" s="1"/>
  <c r="V72" i="9"/>
  <c r="U72" i="9"/>
  <c r="T72" i="9"/>
  <c r="AA71" i="9" a="1"/>
  <c r="AA71" i="9" s="1"/>
  <c r="Z71" i="9" a="1"/>
  <c r="Z71" i="9" s="1"/>
  <c r="Y71" i="9" a="1"/>
  <c r="Y71" i="9" s="1"/>
  <c r="X71" i="9" a="1"/>
  <c r="X71" i="9" s="1"/>
  <c r="W71" i="9" a="1"/>
  <c r="W71" i="9" s="1"/>
  <c r="V71" i="9"/>
  <c r="U71" i="9"/>
  <c r="T71" i="9"/>
  <c r="AA70" i="9" a="1"/>
  <c r="AA70" i="9" s="1"/>
  <c r="Z70" i="9" a="1"/>
  <c r="Z70" i="9" s="1"/>
  <c r="Y70" i="9" a="1"/>
  <c r="Y70" i="9" s="1"/>
  <c r="X70" i="9" a="1"/>
  <c r="X70" i="9" s="1"/>
  <c r="W70" i="9" a="1"/>
  <c r="W70" i="9" s="1"/>
  <c r="V70" i="9"/>
  <c r="U70" i="9"/>
  <c r="T70" i="9"/>
  <c r="I70" i="9"/>
  <c r="AA69" i="9" a="1"/>
  <c r="AA69" i="9" s="1"/>
  <c r="Z69" i="9" a="1"/>
  <c r="Z69" i="9" s="1"/>
  <c r="Y69" i="9" a="1"/>
  <c r="Y69" i="9" s="1"/>
  <c r="X69" i="9" a="1"/>
  <c r="X69" i="9" s="1"/>
  <c r="W69" i="9" a="1"/>
  <c r="W69" i="9" s="1"/>
  <c r="V69" i="9"/>
  <c r="U69" i="9"/>
  <c r="T69" i="9"/>
  <c r="I69" i="9"/>
  <c r="AA68" i="9" a="1"/>
  <c r="AA68" i="9" s="1"/>
  <c r="Z68" i="9" a="1"/>
  <c r="Z68" i="9" s="1"/>
  <c r="Y68" i="9" a="1"/>
  <c r="Y68" i="9" s="1"/>
  <c r="X68" i="9" a="1"/>
  <c r="X68" i="9" s="1"/>
  <c r="W68" i="9" a="1"/>
  <c r="W68" i="9" s="1"/>
  <c r="V68" i="9"/>
  <c r="U68" i="9"/>
  <c r="T68" i="9"/>
  <c r="I68" i="9"/>
  <c r="AA67" i="9" a="1"/>
  <c r="AA67" i="9" s="1"/>
  <c r="Z67" i="9" a="1"/>
  <c r="Z67" i="9" s="1"/>
  <c r="Y67" i="9" a="1"/>
  <c r="Y67" i="9" s="1"/>
  <c r="X67" i="9" a="1"/>
  <c r="X67" i="9" s="1"/>
  <c r="W67" i="9" a="1"/>
  <c r="W67" i="9" s="1"/>
  <c r="V67" i="9"/>
  <c r="U67" i="9"/>
  <c r="T67" i="9"/>
  <c r="I67" i="9"/>
  <c r="AA66" i="9" a="1"/>
  <c r="AA66" i="9" s="1"/>
  <c r="Z66" i="9" a="1"/>
  <c r="Z66" i="9" s="1"/>
  <c r="Y66" i="9" a="1"/>
  <c r="Y66" i="9" s="1"/>
  <c r="X66" i="9" a="1"/>
  <c r="X66" i="9" s="1"/>
  <c r="W66" i="9" a="1"/>
  <c r="W66" i="9" s="1"/>
  <c r="V66" i="9"/>
  <c r="U66" i="9"/>
  <c r="T66" i="9"/>
  <c r="I66" i="9"/>
  <c r="AA65" i="9" a="1"/>
  <c r="AA65" i="9" s="1"/>
  <c r="Z65" i="9" a="1"/>
  <c r="Z65" i="9" s="1"/>
  <c r="Y65" i="9" a="1"/>
  <c r="Y65" i="9" s="1"/>
  <c r="X65" i="9" a="1"/>
  <c r="X65" i="9" s="1"/>
  <c r="W65" i="9" a="1"/>
  <c r="W65" i="9" s="1"/>
  <c r="V65" i="9"/>
  <c r="U65" i="9"/>
  <c r="T65" i="9"/>
  <c r="I65" i="9"/>
  <c r="AA64" i="9" a="1"/>
  <c r="AA64" i="9" s="1"/>
  <c r="Z64" i="9" a="1"/>
  <c r="Z64" i="9" s="1"/>
  <c r="Y64" i="9" a="1"/>
  <c r="Y64" i="9" s="1"/>
  <c r="X64" i="9" a="1"/>
  <c r="X64" i="9" s="1"/>
  <c r="W64" i="9" a="1"/>
  <c r="W64" i="9" s="1"/>
  <c r="V64" i="9"/>
  <c r="U64" i="9"/>
  <c r="T64" i="9"/>
  <c r="AA63" i="9" a="1"/>
  <c r="AA63" i="9" s="1"/>
  <c r="Z63" i="9" a="1"/>
  <c r="Z63" i="9" s="1"/>
  <c r="Y63" i="9" a="1"/>
  <c r="Y63" i="9" s="1"/>
  <c r="X63" i="9" a="1"/>
  <c r="X63" i="9" s="1"/>
  <c r="W63" i="9" a="1"/>
  <c r="W63" i="9" s="1"/>
  <c r="V63" i="9"/>
  <c r="U63" i="9"/>
  <c r="T63" i="9"/>
  <c r="AA62" i="9" a="1"/>
  <c r="AA62" i="9" s="1"/>
  <c r="Z62" i="9" a="1"/>
  <c r="Z62" i="9" s="1"/>
  <c r="Y62" i="9" a="1"/>
  <c r="Y62" i="9" s="1"/>
  <c r="X62" i="9" a="1"/>
  <c r="X62" i="9" s="1"/>
  <c r="W62" i="9" a="1"/>
  <c r="W62" i="9" s="1"/>
  <c r="V62" i="9"/>
  <c r="U62" i="9"/>
  <c r="T62" i="9"/>
  <c r="I62" i="9"/>
  <c r="AA61" i="9" a="1"/>
  <c r="AA61" i="9" s="1"/>
  <c r="Z61" i="9" a="1"/>
  <c r="Z61" i="9" s="1"/>
  <c r="Y61" i="9" a="1"/>
  <c r="Y61" i="9" s="1"/>
  <c r="X61" i="9" a="1"/>
  <c r="X61" i="9" s="1"/>
  <c r="W61" i="9" a="1"/>
  <c r="W61" i="9" s="1"/>
  <c r="V61" i="9"/>
  <c r="U61" i="9"/>
  <c r="T61" i="9"/>
  <c r="I61" i="9"/>
  <c r="AA60" i="9" a="1"/>
  <c r="AA60" i="9" s="1"/>
  <c r="Z60" i="9" a="1"/>
  <c r="Z60" i="9" s="1"/>
  <c r="Y60" i="9" a="1"/>
  <c r="Y60" i="9" s="1"/>
  <c r="X60" i="9" a="1"/>
  <c r="X60" i="9" s="1"/>
  <c r="W60" i="9" a="1"/>
  <c r="W60" i="9" s="1"/>
  <c r="V60" i="9"/>
  <c r="U60" i="9"/>
  <c r="T60" i="9"/>
  <c r="I60" i="9"/>
  <c r="AA59" i="9" a="1"/>
  <c r="AA59" i="9" s="1"/>
  <c r="Z59" i="9" a="1"/>
  <c r="Z59" i="9" s="1"/>
  <c r="Y59" i="9" a="1"/>
  <c r="Y59" i="9" s="1"/>
  <c r="X59" i="9" a="1"/>
  <c r="X59" i="9" s="1"/>
  <c r="W59" i="9" a="1"/>
  <c r="W59" i="9" s="1"/>
  <c r="V59" i="9"/>
  <c r="U59" i="9"/>
  <c r="T59" i="9"/>
  <c r="I59" i="9"/>
  <c r="AA58" i="9" a="1"/>
  <c r="AA58" i="9" s="1"/>
  <c r="Z58" i="9" a="1"/>
  <c r="Z58" i="9" s="1"/>
  <c r="Y58" i="9" a="1"/>
  <c r="Y58" i="9" s="1"/>
  <c r="X58" i="9" a="1"/>
  <c r="X58" i="9" s="1"/>
  <c r="W58" i="9" a="1"/>
  <c r="W58" i="9" s="1"/>
  <c r="V58" i="9"/>
  <c r="U58" i="9"/>
  <c r="T58" i="9"/>
  <c r="I58" i="9"/>
  <c r="AA57" i="9" a="1"/>
  <c r="AA57" i="9" s="1"/>
  <c r="Z57" i="9" a="1"/>
  <c r="Z57" i="9" s="1"/>
  <c r="Y57" i="9" a="1"/>
  <c r="Y57" i="9" s="1"/>
  <c r="X57" i="9" a="1"/>
  <c r="X57" i="9" s="1"/>
  <c r="W57" i="9" a="1"/>
  <c r="W57" i="9" s="1"/>
  <c r="V57" i="9"/>
  <c r="U57" i="9"/>
  <c r="T57" i="9"/>
  <c r="I57" i="9"/>
  <c r="AA56" i="9" a="1"/>
  <c r="AA56" i="9" s="1"/>
  <c r="Z56" i="9" a="1"/>
  <c r="Z56" i="9" s="1"/>
  <c r="Y56" i="9" a="1"/>
  <c r="Y56" i="9" s="1"/>
  <c r="X56" i="9" a="1"/>
  <c r="X56" i="9" s="1"/>
  <c r="W56" i="9" a="1"/>
  <c r="W56" i="9" s="1"/>
  <c r="V56" i="9"/>
  <c r="U56" i="9"/>
  <c r="T56" i="9"/>
  <c r="AA55" i="9" a="1"/>
  <c r="AA55" i="9" s="1"/>
  <c r="Z55" i="9" a="1"/>
  <c r="Z55" i="9" s="1"/>
  <c r="Y55" i="9" a="1"/>
  <c r="Y55" i="9" s="1"/>
  <c r="X55" i="9" a="1"/>
  <c r="X55" i="9" s="1"/>
  <c r="W55" i="9" a="1"/>
  <c r="W55" i="9" s="1"/>
  <c r="V55" i="9"/>
  <c r="U55" i="9"/>
  <c r="T55" i="9"/>
  <c r="AA54" i="9" a="1"/>
  <c r="AA54" i="9" s="1"/>
  <c r="Z54" i="9" a="1"/>
  <c r="Z54" i="9" s="1"/>
  <c r="Y54" i="9" a="1"/>
  <c r="Y54" i="9" s="1"/>
  <c r="X54" i="9" a="1"/>
  <c r="X54" i="9" s="1"/>
  <c r="W54" i="9" a="1"/>
  <c r="W54" i="9" s="1"/>
  <c r="V54" i="9"/>
  <c r="U54" i="9"/>
  <c r="T54" i="9"/>
  <c r="I54" i="9"/>
  <c r="AA53" i="9" a="1"/>
  <c r="AA53" i="9" s="1"/>
  <c r="Z53" i="9" a="1"/>
  <c r="Z53" i="9" s="1"/>
  <c r="Y53" i="9" a="1"/>
  <c r="Y53" i="9" s="1"/>
  <c r="X53" i="9" a="1"/>
  <c r="X53" i="9" s="1"/>
  <c r="W53" i="9" a="1"/>
  <c r="W53" i="9" s="1"/>
  <c r="V53" i="9"/>
  <c r="U53" i="9"/>
  <c r="T53" i="9"/>
  <c r="I53" i="9"/>
  <c r="AA52" i="9" a="1"/>
  <c r="AA52" i="9" s="1"/>
  <c r="Z52" i="9" a="1"/>
  <c r="Z52" i="9" s="1"/>
  <c r="Y52" i="9" a="1"/>
  <c r="Y52" i="9" s="1"/>
  <c r="X52" i="9" a="1"/>
  <c r="X52" i="9" s="1"/>
  <c r="W52" i="9" a="1"/>
  <c r="W52" i="9" s="1"/>
  <c r="V52" i="9"/>
  <c r="U52" i="9"/>
  <c r="T52" i="9"/>
  <c r="I52" i="9"/>
  <c r="AA51" i="9" a="1"/>
  <c r="AA51" i="9" s="1"/>
  <c r="Z51" i="9" a="1"/>
  <c r="Z51" i="9" s="1"/>
  <c r="Y51" i="9" a="1"/>
  <c r="Y51" i="9" s="1"/>
  <c r="X51" i="9" a="1"/>
  <c r="X51" i="9" s="1"/>
  <c r="W51" i="9" a="1"/>
  <c r="W51" i="9" s="1"/>
  <c r="V51" i="9"/>
  <c r="U51" i="9"/>
  <c r="T51" i="9"/>
  <c r="I51" i="9"/>
  <c r="AA50" i="9" a="1"/>
  <c r="AA50" i="9" s="1"/>
  <c r="Z50" i="9" a="1"/>
  <c r="Z50" i="9" s="1"/>
  <c r="Y50" i="9" a="1"/>
  <c r="Y50" i="9" s="1"/>
  <c r="X50" i="9" a="1"/>
  <c r="X50" i="9" s="1"/>
  <c r="W50" i="9" a="1"/>
  <c r="W50" i="9" s="1"/>
  <c r="V50" i="9"/>
  <c r="U50" i="9"/>
  <c r="T50" i="9"/>
  <c r="I50" i="9"/>
  <c r="AA49" i="9" a="1"/>
  <c r="AA49" i="9" s="1"/>
  <c r="Z49" i="9" a="1"/>
  <c r="Z49" i="9" s="1"/>
  <c r="Y49" i="9" a="1"/>
  <c r="Y49" i="9" s="1"/>
  <c r="X49" i="9" a="1"/>
  <c r="X49" i="9" s="1"/>
  <c r="W49" i="9" a="1"/>
  <c r="W49" i="9" s="1"/>
  <c r="V49" i="9"/>
  <c r="U49" i="9"/>
  <c r="T49" i="9"/>
  <c r="I49" i="9"/>
  <c r="AA48" i="9" a="1"/>
  <c r="AA48" i="9" s="1"/>
  <c r="Z48" i="9" a="1"/>
  <c r="Z48" i="9" s="1"/>
  <c r="Y48" i="9" a="1"/>
  <c r="Y48" i="9" s="1"/>
  <c r="X48" i="9" a="1"/>
  <c r="X48" i="9" s="1"/>
  <c r="W48" i="9" a="1"/>
  <c r="W48" i="9" s="1"/>
  <c r="V48" i="9"/>
  <c r="U48" i="9"/>
  <c r="T48" i="9"/>
  <c r="AA47" i="9" a="1"/>
  <c r="AA47" i="9" s="1"/>
  <c r="Z47" i="9" a="1"/>
  <c r="Z47" i="9" s="1"/>
  <c r="Y47" i="9" a="1"/>
  <c r="Y47" i="9" s="1"/>
  <c r="X47" i="9" a="1"/>
  <c r="X47" i="9" s="1"/>
  <c r="W47" i="9" a="1"/>
  <c r="W47" i="9" s="1"/>
  <c r="V47" i="9"/>
  <c r="U47" i="9"/>
  <c r="T47" i="9"/>
  <c r="I47" i="9"/>
  <c r="AA46" i="9" a="1"/>
  <c r="AA46" i="9" s="1"/>
  <c r="Z46" i="9" a="1"/>
  <c r="Z46" i="9" s="1"/>
  <c r="Y46" i="9" a="1"/>
  <c r="Y46" i="9" s="1"/>
  <c r="X46" i="9" a="1"/>
  <c r="X46" i="9" s="1"/>
  <c r="W46" i="9" a="1"/>
  <c r="W46" i="9" s="1"/>
  <c r="V46" i="9"/>
  <c r="U46" i="9"/>
  <c r="T46" i="9"/>
  <c r="I46" i="9"/>
  <c r="AA45" i="9" a="1"/>
  <c r="AA45" i="9" s="1"/>
  <c r="Z45" i="9" a="1"/>
  <c r="Z45" i="9" s="1"/>
  <c r="Y45" i="9" a="1"/>
  <c r="Y45" i="9" s="1"/>
  <c r="X45" i="9" a="1"/>
  <c r="X45" i="9" s="1"/>
  <c r="W45" i="9" a="1"/>
  <c r="W45" i="9" s="1"/>
  <c r="V45" i="9"/>
  <c r="U45" i="9"/>
  <c r="T45" i="9"/>
  <c r="I45" i="9"/>
  <c r="AA44" i="9" a="1"/>
  <c r="AA44" i="9" s="1"/>
  <c r="Z44" i="9" a="1"/>
  <c r="Z44" i="9" s="1"/>
  <c r="Y44" i="9" a="1"/>
  <c r="Y44" i="9" s="1"/>
  <c r="X44" i="9" a="1"/>
  <c r="X44" i="9" s="1"/>
  <c r="W44" i="9" a="1"/>
  <c r="W44" i="9" s="1"/>
  <c r="V44" i="9"/>
  <c r="U44" i="9"/>
  <c r="T44" i="9"/>
  <c r="I44" i="9"/>
  <c r="AA43" i="9" a="1"/>
  <c r="AA43" i="9" s="1"/>
  <c r="Z43" i="9" a="1"/>
  <c r="Z43" i="9" s="1"/>
  <c r="Y43" i="9" a="1"/>
  <c r="Y43" i="9" s="1"/>
  <c r="X43" i="9" a="1"/>
  <c r="X43" i="9" s="1"/>
  <c r="W43" i="9" a="1"/>
  <c r="W43" i="9" s="1"/>
  <c r="V43" i="9"/>
  <c r="U43" i="9"/>
  <c r="T43" i="9"/>
  <c r="I43" i="9"/>
  <c r="AA42" i="9" a="1"/>
  <c r="AA42" i="9" s="1"/>
  <c r="Z42" i="9" a="1"/>
  <c r="Z42" i="9" s="1"/>
  <c r="Y42" i="9" a="1"/>
  <c r="Y42" i="9" s="1"/>
  <c r="X42" i="9" a="1"/>
  <c r="X42" i="9" s="1"/>
  <c r="W42" i="9" a="1"/>
  <c r="W42" i="9" s="1"/>
  <c r="V42" i="9"/>
  <c r="U42" i="9"/>
  <c r="T42" i="9"/>
  <c r="I42" i="9"/>
  <c r="AA41" i="9" a="1"/>
  <c r="AA41" i="9" s="1"/>
  <c r="Z41" i="9" a="1"/>
  <c r="Z41" i="9" s="1"/>
  <c r="Y41" i="9" a="1"/>
  <c r="Y41" i="9" s="1"/>
  <c r="X41" i="9" a="1"/>
  <c r="X41" i="9" s="1"/>
  <c r="W41" i="9" a="1"/>
  <c r="W41" i="9" s="1"/>
  <c r="V41" i="9"/>
  <c r="U41" i="9"/>
  <c r="T41" i="9"/>
  <c r="AA40" i="9" a="1"/>
  <c r="AA40" i="9" s="1"/>
  <c r="Z40" i="9" a="1"/>
  <c r="Z40" i="9" s="1"/>
  <c r="Y40" i="9" a="1"/>
  <c r="Y40" i="9" s="1"/>
  <c r="X40" i="9" a="1"/>
  <c r="X40" i="9" s="1"/>
  <c r="W40" i="9" a="1"/>
  <c r="W40" i="9" s="1"/>
  <c r="V40" i="9"/>
  <c r="U40" i="9"/>
  <c r="T40" i="9"/>
  <c r="I40" i="9"/>
  <c r="AA39" i="9" a="1"/>
  <c r="AA39" i="9" s="1"/>
  <c r="Z39" i="9" a="1"/>
  <c r="Z39" i="9" s="1"/>
  <c r="Y39" i="9" a="1"/>
  <c r="Y39" i="9" s="1"/>
  <c r="X39" i="9" a="1"/>
  <c r="X39" i="9" s="1"/>
  <c r="W39" i="9" a="1"/>
  <c r="W39" i="9" s="1"/>
  <c r="V39" i="9"/>
  <c r="U39" i="9"/>
  <c r="T39" i="9"/>
  <c r="I39" i="9"/>
  <c r="AA38" i="9" a="1"/>
  <c r="AA38" i="9" s="1"/>
  <c r="Z38" i="9" a="1"/>
  <c r="Z38" i="9" s="1"/>
  <c r="Y38" i="9" a="1"/>
  <c r="Y38" i="9" s="1"/>
  <c r="X38" i="9" a="1"/>
  <c r="X38" i="9" s="1"/>
  <c r="W38" i="9" a="1"/>
  <c r="W38" i="9" s="1"/>
  <c r="V38" i="9"/>
  <c r="U38" i="9"/>
  <c r="T38" i="9"/>
  <c r="I38" i="9"/>
  <c r="AA37" i="9" a="1"/>
  <c r="AA37" i="9" s="1"/>
  <c r="Z37" i="9" a="1"/>
  <c r="Z37" i="9" s="1"/>
  <c r="Y37" i="9" a="1"/>
  <c r="Y37" i="9" s="1"/>
  <c r="X37" i="9" a="1"/>
  <c r="X37" i="9" s="1"/>
  <c r="W37" i="9" a="1"/>
  <c r="W37" i="9" s="1"/>
  <c r="V37" i="9"/>
  <c r="U37" i="9"/>
  <c r="T37" i="9"/>
  <c r="I37" i="9"/>
  <c r="AA36" i="9" a="1"/>
  <c r="AA36" i="9" s="1"/>
  <c r="Z36" i="9" a="1"/>
  <c r="Z36" i="9" s="1"/>
  <c r="Y36" i="9" a="1"/>
  <c r="Y36" i="9" s="1"/>
  <c r="X36" i="9" a="1"/>
  <c r="X36" i="9" s="1"/>
  <c r="W36" i="9" a="1"/>
  <c r="W36" i="9" s="1"/>
  <c r="V36" i="9"/>
  <c r="U36" i="9"/>
  <c r="T36" i="9"/>
  <c r="I36" i="9"/>
  <c r="AA35" i="9" a="1"/>
  <c r="AA35" i="9" s="1"/>
  <c r="Z35" i="9" a="1"/>
  <c r="Z35" i="9" s="1"/>
  <c r="Y35" i="9" a="1"/>
  <c r="Y35" i="9" s="1"/>
  <c r="X35" i="9" a="1"/>
  <c r="X35" i="9" s="1"/>
  <c r="W35" i="9" a="1"/>
  <c r="W35" i="9" s="1"/>
  <c r="V35" i="9"/>
  <c r="U35" i="9"/>
  <c r="T35" i="9"/>
  <c r="I35" i="9"/>
  <c r="AA34" i="9" a="1"/>
  <c r="AA34" i="9" s="1"/>
  <c r="Z34" i="9" a="1"/>
  <c r="Z34" i="9" s="1"/>
  <c r="Y34" i="9" a="1"/>
  <c r="Y34" i="9" s="1"/>
  <c r="X34" i="9" a="1"/>
  <c r="X34" i="9" s="1"/>
  <c r="W34" i="9" a="1"/>
  <c r="W34" i="9" s="1"/>
  <c r="V34" i="9"/>
  <c r="U34" i="9"/>
  <c r="T34" i="9"/>
  <c r="AA33" i="9" a="1"/>
  <c r="AA33" i="9" s="1"/>
  <c r="Z33" i="9" a="1"/>
  <c r="Z33" i="9" s="1"/>
  <c r="Y33" i="9" a="1"/>
  <c r="Y33" i="9" s="1"/>
  <c r="X33" i="9" a="1"/>
  <c r="X33" i="9" s="1"/>
  <c r="W33" i="9" a="1"/>
  <c r="W33" i="9" s="1"/>
  <c r="V33" i="9"/>
  <c r="U33" i="9"/>
  <c r="T33" i="9"/>
  <c r="AA32" i="9" a="1"/>
  <c r="AA32" i="9" s="1"/>
  <c r="Z32" i="9" a="1"/>
  <c r="Z32" i="9" s="1"/>
  <c r="Y32" i="9" a="1"/>
  <c r="Y32" i="9" s="1"/>
  <c r="X32" i="9" a="1"/>
  <c r="X32" i="9" s="1"/>
  <c r="W32" i="9" a="1"/>
  <c r="W32" i="9" s="1"/>
  <c r="V32" i="9"/>
  <c r="U32" i="9"/>
  <c r="T32" i="9"/>
  <c r="I32" i="9"/>
  <c r="AA31" i="9" a="1"/>
  <c r="AA31" i="9" s="1"/>
  <c r="Z31" i="9" a="1"/>
  <c r="Z31" i="9" s="1"/>
  <c r="Y31" i="9" a="1"/>
  <c r="Y31" i="9" s="1"/>
  <c r="X31" i="9" a="1"/>
  <c r="X31" i="9" s="1"/>
  <c r="W31" i="9" a="1"/>
  <c r="W31" i="9" s="1"/>
  <c r="V31" i="9"/>
  <c r="U31" i="9"/>
  <c r="T31" i="9"/>
  <c r="I31" i="9"/>
  <c r="AA30" i="9" a="1"/>
  <c r="AA30" i="9" s="1"/>
  <c r="Z30" i="9" a="1"/>
  <c r="Z30" i="9" s="1"/>
  <c r="Y30" i="9" a="1"/>
  <c r="Y30" i="9" s="1"/>
  <c r="X30" i="9" a="1"/>
  <c r="X30" i="9" s="1"/>
  <c r="W30" i="9" a="1"/>
  <c r="W30" i="9" s="1"/>
  <c r="V30" i="9"/>
  <c r="U30" i="9"/>
  <c r="T30" i="9"/>
  <c r="I30" i="9"/>
  <c r="AA29" i="9" a="1"/>
  <c r="AA29" i="9" s="1"/>
  <c r="Z29" i="9" a="1"/>
  <c r="Z29" i="9" s="1"/>
  <c r="Y29" i="9" a="1"/>
  <c r="Y29" i="9" s="1"/>
  <c r="X29" i="9" a="1"/>
  <c r="X29" i="9" s="1"/>
  <c r="W29" i="9" a="1"/>
  <c r="W29" i="9" s="1"/>
  <c r="V29" i="9"/>
  <c r="U29" i="9"/>
  <c r="T29" i="9"/>
  <c r="I29" i="9"/>
  <c r="AA28" i="9" a="1"/>
  <c r="AA28" i="9" s="1"/>
  <c r="Z28" i="9" a="1"/>
  <c r="Z28" i="9" s="1"/>
  <c r="Y28" i="9" a="1"/>
  <c r="Y28" i="9" s="1"/>
  <c r="X28" i="9" a="1"/>
  <c r="X28" i="9" s="1"/>
  <c r="W28" i="9" a="1"/>
  <c r="W28" i="9" s="1"/>
  <c r="V28" i="9"/>
  <c r="U28" i="9"/>
  <c r="T28" i="9"/>
  <c r="I28" i="9"/>
  <c r="AA27" i="9" a="1"/>
  <c r="AA27" i="9" s="1"/>
  <c r="Z27" i="9" a="1"/>
  <c r="Z27" i="9" s="1"/>
  <c r="Y27" i="9" a="1"/>
  <c r="Y27" i="9" s="1"/>
  <c r="X27" i="9" a="1"/>
  <c r="X27" i="9" s="1"/>
  <c r="W27" i="9" a="1"/>
  <c r="W27" i="9" s="1"/>
  <c r="V27" i="9"/>
  <c r="U27" i="9"/>
  <c r="T27" i="9"/>
  <c r="I27" i="9"/>
  <c r="AA26" i="9" a="1"/>
  <c r="AA26" i="9" s="1"/>
  <c r="Z26" i="9" a="1"/>
  <c r="Z26" i="9" s="1"/>
  <c r="Y26" i="9" a="1"/>
  <c r="Y26" i="9" s="1"/>
  <c r="X26" i="9" a="1"/>
  <c r="X26" i="9" s="1"/>
  <c r="W26" i="9" a="1"/>
  <c r="W26" i="9" s="1"/>
  <c r="V26" i="9"/>
  <c r="U26" i="9"/>
  <c r="T26" i="9"/>
  <c r="AA25" i="9" a="1"/>
  <c r="AA25" i="9" s="1"/>
  <c r="Z25" i="9" a="1"/>
  <c r="Z25" i="9" s="1"/>
  <c r="Y25" i="9" a="1"/>
  <c r="Y25" i="9" s="1"/>
  <c r="X25" i="9" a="1"/>
  <c r="X25" i="9" s="1"/>
  <c r="W25" i="9" a="1"/>
  <c r="W25" i="9" s="1"/>
  <c r="V25" i="9"/>
  <c r="U25" i="9"/>
  <c r="T25" i="9"/>
  <c r="AA24" i="9" a="1"/>
  <c r="AA24" i="9" s="1"/>
  <c r="Z24" i="9" a="1"/>
  <c r="Z24" i="9" s="1"/>
  <c r="Y24" i="9" a="1"/>
  <c r="Y24" i="9" s="1"/>
  <c r="X24" i="9" a="1"/>
  <c r="X24" i="9" s="1"/>
  <c r="W24" i="9" a="1"/>
  <c r="W24" i="9" s="1"/>
  <c r="V24" i="9"/>
  <c r="U24" i="9"/>
  <c r="T24" i="9"/>
  <c r="I24" i="9"/>
  <c r="AA23" i="9" a="1"/>
  <c r="AA23" i="9" s="1"/>
  <c r="Z23" i="9" a="1"/>
  <c r="Z23" i="9" s="1"/>
  <c r="Y23" i="9" a="1"/>
  <c r="Y23" i="9" s="1"/>
  <c r="X23" i="9" a="1"/>
  <c r="X23" i="9" s="1"/>
  <c r="W23" i="9" a="1"/>
  <c r="W23" i="9" s="1"/>
  <c r="V23" i="9"/>
  <c r="U23" i="9"/>
  <c r="T23" i="9"/>
  <c r="I23" i="9"/>
  <c r="AA22" i="9" a="1"/>
  <c r="AA22" i="9" s="1"/>
  <c r="Z22" i="9" a="1"/>
  <c r="Z22" i="9" s="1"/>
  <c r="Y22" i="9" a="1"/>
  <c r="Y22" i="9" s="1"/>
  <c r="X22" i="9" a="1"/>
  <c r="X22" i="9" s="1"/>
  <c r="W22" i="9" a="1"/>
  <c r="W22" i="9" s="1"/>
  <c r="V22" i="9"/>
  <c r="U22" i="9"/>
  <c r="T22" i="9"/>
  <c r="I22" i="9"/>
  <c r="AA21" i="9" a="1"/>
  <c r="AA21" i="9" s="1"/>
  <c r="Z21" i="9" a="1"/>
  <c r="Z21" i="9" s="1"/>
  <c r="Y21" i="9" a="1"/>
  <c r="Y21" i="9" s="1"/>
  <c r="X21" i="9" a="1"/>
  <c r="X21" i="9" s="1"/>
  <c r="W21" i="9" a="1"/>
  <c r="W21" i="9" s="1"/>
  <c r="V21" i="9"/>
  <c r="U21" i="9"/>
  <c r="T21" i="9"/>
  <c r="I21" i="9"/>
  <c r="AA20" i="9" a="1"/>
  <c r="AA20" i="9" s="1"/>
  <c r="Z20" i="9" a="1"/>
  <c r="Z20" i="9" s="1"/>
  <c r="Y20" i="9" a="1"/>
  <c r="Y20" i="9" s="1"/>
  <c r="X20" i="9" a="1"/>
  <c r="X20" i="9" s="1"/>
  <c r="W20" i="9" a="1"/>
  <c r="W20" i="9" s="1"/>
  <c r="V20" i="9"/>
  <c r="U20" i="9"/>
  <c r="T20" i="9"/>
  <c r="I20" i="9"/>
  <c r="AA19" i="9" a="1"/>
  <c r="AA19" i="9" s="1"/>
  <c r="Z19" i="9" a="1"/>
  <c r="Z19" i="9" s="1"/>
  <c r="Y19" i="9" a="1"/>
  <c r="Y19" i="9" s="1"/>
  <c r="X19" i="9" a="1"/>
  <c r="X19" i="9" s="1"/>
  <c r="W19" i="9" a="1"/>
  <c r="W19" i="9" s="1"/>
  <c r="V19" i="9"/>
  <c r="U19" i="9"/>
  <c r="T19" i="9"/>
  <c r="I19" i="9"/>
  <c r="AA18" i="9" a="1"/>
  <c r="AA18" i="9" s="1"/>
  <c r="Z18" i="9" a="1"/>
  <c r="Z18" i="9" s="1"/>
  <c r="Y18" i="9" a="1"/>
  <c r="Y18" i="9" s="1"/>
  <c r="X18" i="9" a="1"/>
  <c r="X18" i="9" s="1"/>
  <c r="W18" i="9" a="1"/>
  <c r="W18" i="9" s="1"/>
  <c r="V18" i="9"/>
  <c r="U18" i="9"/>
  <c r="T18" i="9"/>
  <c r="AA17" i="9" a="1"/>
  <c r="AA17" i="9" s="1"/>
  <c r="Z17" i="9" a="1"/>
  <c r="Z17" i="9" s="1"/>
  <c r="Y17" i="9" a="1"/>
  <c r="Y17" i="9" s="1"/>
  <c r="X17" i="9" a="1"/>
  <c r="X17" i="9" s="1"/>
  <c r="W17" i="9" a="1"/>
  <c r="W17" i="9" s="1"/>
  <c r="V17" i="9"/>
  <c r="U17" i="9"/>
  <c r="T17" i="9"/>
  <c r="AA16" i="9" a="1"/>
  <c r="AA16" i="9" s="1"/>
  <c r="Z16" i="9" a="1"/>
  <c r="Z16" i="9" s="1"/>
  <c r="Y16" i="9" a="1"/>
  <c r="Y16" i="9" s="1"/>
  <c r="X16" i="9" a="1"/>
  <c r="X16" i="9" s="1"/>
  <c r="W16" i="9" a="1"/>
  <c r="W16" i="9" s="1"/>
  <c r="V16" i="9"/>
  <c r="U16" i="9"/>
  <c r="T16" i="9"/>
  <c r="I16" i="9"/>
  <c r="AA15" i="9" a="1"/>
  <c r="AA15" i="9" s="1"/>
  <c r="Z15" i="9" a="1"/>
  <c r="Z15" i="9" s="1"/>
  <c r="Y15" i="9" a="1"/>
  <c r="Y15" i="9" s="1"/>
  <c r="X15" i="9" a="1"/>
  <c r="X15" i="9" s="1"/>
  <c r="W15" i="9" a="1"/>
  <c r="W15" i="9" s="1"/>
  <c r="V15" i="9"/>
  <c r="U15" i="9"/>
  <c r="T15" i="9"/>
  <c r="I15" i="9"/>
  <c r="AA14" i="9" a="1"/>
  <c r="AA14" i="9" s="1"/>
  <c r="Z14" i="9" a="1"/>
  <c r="Z14" i="9" s="1"/>
  <c r="Y14" i="9" a="1"/>
  <c r="Y14" i="9" s="1"/>
  <c r="X14" i="9" a="1"/>
  <c r="X14" i="9" s="1"/>
  <c r="W14" i="9" a="1"/>
  <c r="W14" i="9" s="1"/>
  <c r="V14" i="9"/>
  <c r="U14" i="9"/>
  <c r="T14" i="9"/>
  <c r="I14" i="9"/>
  <c r="AA13" i="9" a="1"/>
  <c r="AA13" i="9" s="1"/>
  <c r="Z13" i="9" a="1"/>
  <c r="Z13" i="9" s="1"/>
  <c r="Y13" i="9" a="1"/>
  <c r="Y13" i="9" s="1"/>
  <c r="X13" i="9" a="1"/>
  <c r="X13" i="9" s="1"/>
  <c r="W13" i="9" a="1"/>
  <c r="W13" i="9" s="1"/>
  <c r="V13" i="9"/>
  <c r="U13" i="9"/>
  <c r="T13" i="9"/>
  <c r="I13" i="9"/>
  <c r="AA12" i="9" a="1"/>
  <c r="AA12" i="9" s="1"/>
  <c r="Z12" i="9" a="1"/>
  <c r="Z12" i="9" s="1"/>
  <c r="Y12" i="9" a="1"/>
  <c r="Y12" i="9" s="1"/>
  <c r="X12" i="9" a="1"/>
  <c r="X12" i="9" s="1"/>
  <c r="W12" i="9" a="1"/>
  <c r="W12" i="9" s="1"/>
  <c r="V12" i="9"/>
  <c r="U12" i="9"/>
  <c r="T12" i="9"/>
  <c r="I12" i="9"/>
  <c r="AA11" i="9" a="1"/>
  <c r="AA11" i="9" s="1"/>
  <c r="Z11" i="9" a="1"/>
  <c r="Z11" i="9" s="1"/>
  <c r="Y11" i="9" a="1"/>
  <c r="Y11" i="9" s="1"/>
  <c r="X11" i="9" a="1"/>
  <c r="X11" i="9" s="1"/>
  <c r="W11" i="9" a="1"/>
  <c r="W11" i="9" s="1"/>
  <c r="V11" i="9"/>
  <c r="U11" i="9"/>
  <c r="T11" i="9"/>
  <c r="I11" i="9"/>
  <c r="AA10" i="9" a="1"/>
  <c r="AA10" i="9" s="1"/>
  <c r="Z10" i="9" a="1"/>
  <c r="Z10" i="9" s="1"/>
  <c r="Y10" i="9" a="1"/>
  <c r="Y10" i="9" s="1"/>
  <c r="X10" i="9" a="1"/>
  <c r="X10" i="9" s="1"/>
  <c r="W10" i="9" a="1"/>
  <c r="W10" i="9" s="1"/>
  <c r="V10" i="9"/>
  <c r="U10" i="9"/>
  <c r="T10" i="9"/>
  <c r="AA9" i="9" a="1"/>
  <c r="AA9" i="9" s="1"/>
  <c r="Z9" i="9" a="1"/>
  <c r="Z9" i="9" s="1"/>
  <c r="Y9" i="9" a="1"/>
  <c r="Y9" i="9" s="1"/>
  <c r="X9" i="9" a="1"/>
  <c r="X9" i="9" s="1"/>
  <c r="W9" i="9" a="1"/>
  <c r="W9" i="9" s="1"/>
  <c r="V9" i="9"/>
  <c r="U9" i="9"/>
  <c r="T9" i="9"/>
  <c r="AA8" i="9" a="1"/>
  <c r="AA8" i="9" s="1"/>
  <c r="Z8" i="9" a="1"/>
  <c r="Z8" i="9" s="1"/>
  <c r="Y8" i="9" a="1"/>
  <c r="Y8" i="9" s="1"/>
  <c r="X8" i="9" a="1"/>
  <c r="X8" i="9" s="1"/>
  <c r="W8" i="9" a="1"/>
  <c r="W8" i="9" s="1"/>
  <c r="V8" i="9"/>
  <c r="U8" i="9"/>
  <c r="T8" i="9"/>
  <c r="I8" i="9"/>
  <c r="AA7" i="9" a="1"/>
  <c r="AA7" i="9" s="1"/>
  <c r="Z7" i="9" a="1"/>
  <c r="Z7" i="9" s="1"/>
  <c r="Y7" i="9" a="1"/>
  <c r="Y7" i="9" s="1"/>
  <c r="X7" i="9" a="1"/>
  <c r="X7" i="9" s="1"/>
  <c r="W7" i="9" a="1"/>
  <c r="W7" i="9" s="1"/>
  <c r="V7" i="9"/>
  <c r="U7" i="9"/>
  <c r="T7" i="9"/>
  <c r="I7" i="9"/>
  <c r="AA6" i="9" a="1"/>
  <c r="AA6" i="9" s="1"/>
  <c r="Z6" i="9" a="1"/>
  <c r="Z6" i="9" s="1"/>
  <c r="Y6" i="9" a="1"/>
  <c r="Y6" i="9" s="1"/>
  <c r="X6" i="9" a="1"/>
  <c r="X6" i="9" s="1"/>
  <c r="W6" i="9" a="1"/>
  <c r="W6" i="9" s="1"/>
  <c r="V6" i="9"/>
  <c r="U6" i="9"/>
  <c r="T6" i="9"/>
  <c r="I6" i="9"/>
  <c r="AA5" i="9" a="1"/>
  <c r="AA5" i="9" s="1"/>
  <c r="Z5" i="9" a="1"/>
  <c r="Z5" i="9" s="1"/>
  <c r="Y5" i="9" a="1"/>
  <c r="Y5" i="9" s="1"/>
  <c r="X5" i="9" a="1"/>
  <c r="X5" i="9" s="1"/>
  <c r="W5" i="9" a="1"/>
  <c r="W5" i="9" s="1"/>
  <c r="V5" i="9"/>
  <c r="U5" i="9"/>
  <c r="T5" i="9"/>
  <c r="I5" i="9"/>
  <c r="AA4" i="9" a="1"/>
  <c r="AA4" i="9" s="1"/>
  <c r="Z4" i="9" a="1"/>
  <c r="Z4" i="9" s="1"/>
  <c r="Y4" i="9" a="1"/>
  <c r="Y4" i="9" s="1"/>
  <c r="X4" i="9" a="1"/>
  <c r="X4" i="9" s="1"/>
  <c r="W4" i="9" a="1"/>
  <c r="W4" i="9" s="1"/>
  <c r="V4" i="9"/>
  <c r="U4" i="9"/>
  <c r="T4" i="9"/>
  <c r="I4" i="9"/>
  <c r="AA3" i="9" a="1"/>
  <c r="AA3" i="9" s="1"/>
  <c r="Z3" i="9" a="1"/>
  <c r="Z3" i="9" s="1"/>
  <c r="Y3" i="9" a="1"/>
  <c r="Y3" i="9" s="1"/>
  <c r="X3" i="9" a="1"/>
  <c r="X3" i="9" s="1"/>
  <c r="W3" i="9" a="1"/>
  <c r="W3" i="9" s="1"/>
  <c r="V3" i="9"/>
  <c r="U3" i="9"/>
  <c r="T3" i="9"/>
  <c r="I3" i="9"/>
  <c r="AA2" i="9" a="1"/>
  <c r="AA2" i="9" s="1"/>
  <c r="Z2" i="9" a="1"/>
  <c r="Z2" i="9" s="1"/>
  <c r="Y2" i="9" a="1"/>
  <c r="Y2" i="9" s="1"/>
  <c r="X2" i="9" a="1"/>
  <c r="X2" i="9" s="1"/>
  <c r="W2" i="9" a="1"/>
  <c r="W2" i="9" s="1"/>
  <c r="V2" i="9"/>
  <c r="U2" i="9"/>
  <c r="T2" i="9"/>
  <c r="AX10" i="3" a="1"/>
  <c r="AX10" i="3" s="1"/>
  <c r="AX18" i="3" a="1"/>
  <c r="AX18" i="3" s="1"/>
  <c r="AX26" i="3" a="1"/>
  <c r="AX26" i="3" s="1"/>
  <c r="AX34" i="3" a="1"/>
  <c r="AX34" i="3" s="1"/>
  <c r="AX42" i="3" a="1"/>
  <c r="AX42" i="3" s="1"/>
  <c r="AX50" i="3" a="1"/>
  <c r="AX50" i="3" s="1"/>
  <c r="AX58" i="3" a="1"/>
  <c r="AX58" i="3" s="1"/>
  <c r="AX66" i="3" a="1"/>
  <c r="AX66" i="3" s="1"/>
  <c r="AX74" i="3" a="1"/>
  <c r="AX74" i="3" s="1"/>
  <c r="AX82" i="3" a="1"/>
  <c r="AX82" i="3" s="1"/>
  <c r="AX90" i="3" a="1"/>
  <c r="AX90" i="3" s="1"/>
  <c r="AX98" i="3" a="1"/>
  <c r="AX98" i="3" s="1"/>
  <c r="AX114" i="3" a="1"/>
  <c r="AX114" i="3" s="1"/>
  <c r="AX122" i="3" a="1"/>
  <c r="AX122" i="3" s="1"/>
  <c r="AX130" i="3" a="1"/>
  <c r="AX130" i="3" s="1"/>
  <c r="AX138" i="3" a="1"/>
  <c r="AX138" i="3" s="1"/>
  <c r="AX146" i="3" a="1"/>
  <c r="AX146" i="3" s="1"/>
  <c r="AX154" i="3" a="1"/>
  <c r="AX154" i="3" s="1"/>
  <c r="AX162" i="3" a="1"/>
  <c r="AX162" i="3" s="1"/>
  <c r="AX170" i="3" a="1"/>
  <c r="AX170" i="3" s="1"/>
  <c r="AX178" i="3" a="1"/>
  <c r="AX178" i="3" s="1"/>
  <c r="AX186" i="3" a="1"/>
  <c r="AX186" i="3" s="1"/>
  <c r="AX194" i="3" a="1"/>
  <c r="AX194" i="3" s="1"/>
  <c r="AX202" i="3" a="1"/>
  <c r="AX202" i="3" s="1"/>
  <c r="AX210" i="3" a="1"/>
  <c r="AX210" i="3" s="1"/>
  <c r="AX218" i="3" a="1"/>
  <c r="AX218" i="3" s="1"/>
  <c r="AX226" i="3" a="1"/>
  <c r="AX226" i="3" s="1"/>
  <c r="AX234" i="3" a="1"/>
  <c r="AX234" i="3" s="1"/>
  <c r="AX2" i="3" a="1"/>
  <c r="AX2" i="3" s="1"/>
  <c r="AW10" i="3" a="1"/>
  <c r="AW10" i="3" s="1"/>
  <c r="AW18" i="3" a="1"/>
  <c r="AW18" i="3" s="1"/>
  <c r="AW26" i="3" a="1"/>
  <c r="AW26" i="3" s="1"/>
  <c r="AW34" i="3" a="1"/>
  <c r="AW34" i="3" s="1"/>
  <c r="AW42" i="3" a="1"/>
  <c r="AW42" i="3" s="1"/>
  <c r="AW50" i="3" a="1"/>
  <c r="AW50" i="3" s="1"/>
  <c r="AW58" i="3" a="1"/>
  <c r="AW58" i="3" s="1"/>
  <c r="AW66" i="3" a="1"/>
  <c r="AW66" i="3" s="1"/>
  <c r="AW74" i="3" a="1"/>
  <c r="AW74" i="3" s="1"/>
  <c r="AW82" i="3" a="1"/>
  <c r="AW82" i="3" s="1"/>
  <c r="AW90" i="3" a="1"/>
  <c r="AW90" i="3" s="1"/>
  <c r="AW98" i="3" a="1"/>
  <c r="AW98" i="3" s="1"/>
  <c r="AW114" i="3" a="1"/>
  <c r="AW114" i="3" s="1"/>
  <c r="AW122" i="3" a="1"/>
  <c r="AW122" i="3" s="1"/>
  <c r="AW130" i="3" a="1"/>
  <c r="AW130" i="3" s="1"/>
  <c r="AW138" i="3" a="1"/>
  <c r="AW138" i="3" s="1"/>
  <c r="AW146" i="3" a="1"/>
  <c r="AW146" i="3" s="1"/>
  <c r="AW154" i="3" a="1"/>
  <c r="AW154" i="3" s="1"/>
  <c r="AW162" i="3" a="1"/>
  <c r="AW162" i="3" s="1"/>
  <c r="AW170" i="3" a="1"/>
  <c r="AW170" i="3" s="1"/>
  <c r="AW178" i="3" a="1"/>
  <c r="AW178" i="3" s="1"/>
  <c r="AW186" i="3" a="1"/>
  <c r="AW186" i="3" s="1"/>
  <c r="AW194" i="3" a="1"/>
  <c r="AW194" i="3" s="1"/>
  <c r="AW202" i="3" a="1"/>
  <c r="AW202" i="3" s="1"/>
  <c r="AW210" i="3" a="1"/>
  <c r="AW210" i="3" s="1"/>
  <c r="AW218" i="3" a="1"/>
  <c r="AW218" i="3" s="1"/>
  <c r="AW226" i="3" a="1"/>
  <c r="AW226" i="3" s="1"/>
  <c r="AW234" i="3" a="1"/>
  <c r="AW234" i="3" s="1"/>
  <c r="AW2" i="3" a="1"/>
  <c r="AW2" i="3" s="1"/>
  <c r="AV10" i="3" a="1"/>
  <c r="AV10" i="3" s="1"/>
  <c r="AV18" i="3" a="1"/>
  <c r="AV18" i="3" s="1"/>
  <c r="AV26" i="3" a="1"/>
  <c r="AV26" i="3" s="1"/>
  <c r="AV34" i="3" a="1"/>
  <c r="AV34" i="3" s="1"/>
  <c r="AV42" i="3" a="1"/>
  <c r="AV42" i="3" s="1"/>
  <c r="AV50" i="3" a="1"/>
  <c r="AV50" i="3" s="1"/>
  <c r="AV58" i="3" a="1"/>
  <c r="AV58" i="3" s="1"/>
  <c r="AV66" i="3" a="1"/>
  <c r="AV66" i="3" s="1"/>
  <c r="AV74" i="3" a="1"/>
  <c r="AV74" i="3" s="1"/>
  <c r="AV82" i="3" a="1"/>
  <c r="AV82" i="3" s="1"/>
  <c r="AV90" i="3" a="1"/>
  <c r="AV90" i="3" s="1"/>
  <c r="AV98" i="3" a="1"/>
  <c r="AV98" i="3" s="1"/>
  <c r="AV114" i="3" a="1"/>
  <c r="AV114" i="3" s="1"/>
  <c r="AV122" i="3" a="1"/>
  <c r="AV122" i="3" s="1"/>
  <c r="AV130" i="3" a="1"/>
  <c r="AV130" i="3" s="1"/>
  <c r="AV138" i="3" a="1"/>
  <c r="AV138" i="3" s="1"/>
  <c r="AV146" i="3" a="1"/>
  <c r="AV146" i="3" s="1"/>
  <c r="AV154" i="3" a="1"/>
  <c r="AV154" i="3" s="1"/>
  <c r="AV162" i="3" a="1"/>
  <c r="AV162" i="3" s="1"/>
  <c r="AV170" i="3" a="1"/>
  <c r="AV170" i="3" s="1"/>
  <c r="AV178" i="3" a="1"/>
  <c r="AV178" i="3" s="1"/>
  <c r="AV186" i="3" a="1"/>
  <c r="AV186" i="3" s="1"/>
  <c r="AV194" i="3" a="1"/>
  <c r="AV194" i="3" s="1"/>
  <c r="AV202" i="3" a="1"/>
  <c r="AV202" i="3" s="1"/>
  <c r="AV210" i="3" a="1"/>
  <c r="AV210" i="3" s="1"/>
  <c r="AV218" i="3" a="1"/>
  <c r="AV218" i="3" s="1"/>
  <c r="AV226" i="3" a="1"/>
  <c r="AV226" i="3" s="1"/>
  <c r="AV234" i="3" a="1"/>
  <c r="AV234" i="3" s="1"/>
  <c r="AV2" i="3" a="1"/>
  <c r="AV2" i="3" s="1"/>
  <c r="AU10" i="3" a="1"/>
  <c r="AU10" i="3" s="1"/>
  <c r="AU18" i="3" a="1"/>
  <c r="AU18" i="3" s="1"/>
  <c r="AU26" i="3" a="1"/>
  <c r="AU26" i="3" s="1"/>
  <c r="AU34" i="3" a="1"/>
  <c r="AU34" i="3" s="1"/>
  <c r="AU42" i="3" a="1"/>
  <c r="AU42" i="3" s="1"/>
  <c r="AU50" i="3" a="1"/>
  <c r="AU50" i="3" s="1"/>
  <c r="AU58" i="3" a="1"/>
  <c r="AU58" i="3" s="1"/>
  <c r="AU66" i="3" a="1"/>
  <c r="AU66" i="3" s="1"/>
  <c r="AU74" i="3" a="1"/>
  <c r="AU74" i="3" s="1"/>
  <c r="AU82" i="3" a="1"/>
  <c r="AU82" i="3" s="1"/>
  <c r="AU90" i="3" a="1"/>
  <c r="AU90" i="3" s="1"/>
  <c r="AU98" i="3" a="1"/>
  <c r="AU98" i="3" s="1"/>
  <c r="AU114" i="3" a="1"/>
  <c r="AU114" i="3" s="1"/>
  <c r="AU122" i="3" a="1"/>
  <c r="AU122" i="3" s="1"/>
  <c r="AU130" i="3" a="1"/>
  <c r="AU130" i="3" s="1"/>
  <c r="AU138" i="3" a="1"/>
  <c r="AU138" i="3" s="1"/>
  <c r="AU146" i="3" a="1"/>
  <c r="AU146" i="3" s="1"/>
  <c r="AU154" i="3" a="1"/>
  <c r="AU154" i="3" s="1"/>
  <c r="AU162" i="3" a="1"/>
  <c r="AU162" i="3" s="1"/>
  <c r="AU170" i="3" a="1"/>
  <c r="AU170" i="3" s="1"/>
  <c r="AU178" i="3" a="1"/>
  <c r="AU178" i="3" s="1"/>
  <c r="AU186" i="3" a="1"/>
  <c r="AU186" i="3" s="1"/>
  <c r="AU194" i="3" a="1"/>
  <c r="AU194" i="3" s="1"/>
  <c r="AU202" i="3" a="1"/>
  <c r="AU202" i="3" s="1"/>
  <c r="AU210" i="3" a="1"/>
  <c r="AU210" i="3" s="1"/>
  <c r="AU218" i="3" a="1"/>
  <c r="AU218" i="3" s="1"/>
  <c r="AU226" i="3" a="1"/>
  <c r="AU226" i="3" s="1"/>
  <c r="AU234" i="3" a="1"/>
  <c r="AU234" i="3" s="1"/>
  <c r="AU2" i="3" a="1"/>
  <c r="AU2" i="3" s="1"/>
  <c r="AT10" i="3" a="1"/>
  <c r="AT10" i="3" s="1"/>
  <c r="AT18" i="3" a="1"/>
  <c r="AT18" i="3" s="1"/>
  <c r="AT26" i="3" a="1"/>
  <c r="AT26" i="3" s="1"/>
  <c r="AT34" i="3" a="1"/>
  <c r="AT34" i="3" s="1"/>
  <c r="AT42" i="3" a="1"/>
  <c r="AT42" i="3" s="1"/>
  <c r="AT50" i="3" a="1"/>
  <c r="AT50" i="3" s="1"/>
  <c r="AT58" i="3" a="1"/>
  <c r="AT58" i="3" s="1"/>
  <c r="AT66" i="3" a="1"/>
  <c r="AT66" i="3" s="1"/>
  <c r="AT74" i="3" a="1"/>
  <c r="AT74" i="3" s="1"/>
  <c r="AT82" i="3" a="1"/>
  <c r="AT82" i="3" s="1"/>
  <c r="AT90" i="3" a="1"/>
  <c r="AT90" i="3" s="1"/>
  <c r="AT98" i="3" a="1"/>
  <c r="AT98" i="3" s="1"/>
  <c r="AT114" i="3" a="1"/>
  <c r="AT114" i="3" s="1"/>
  <c r="AT122" i="3" a="1"/>
  <c r="AT122" i="3" s="1"/>
  <c r="AT130" i="3" a="1"/>
  <c r="AT130" i="3" s="1"/>
  <c r="AT138" i="3" a="1"/>
  <c r="AT138" i="3" s="1"/>
  <c r="AT146" i="3" a="1"/>
  <c r="AT146" i="3" s="1"/>
  <c r="AT154" i="3" a="1"/>
  <c r="AT154" i="3" s="1"/>
  <c r="AT162" i="3" a="1"/>
  <c r="AT162" i="3" s="1"/>
  <c r="AT170" i="3" a="1"/>
  <c r="AT170" i="3" s="1"/>
  <c r="AT178" i="3" a="1"/>
  <c r="AT178" i="3" s="1"/>
  <c r="AT186" i="3" a="1"/>
  <c r="AT186" i="3" s="1"/>
  <c r="AT194" i="3" a="1"/>
  <c r="AT194" i="3" s="1"/>
  <c r="AT202" i="3" a="1"/>
  <c r="AT202" i="3" s="1"/>
  <c r="AT210" i="3" a="1"/>
  <c r="AT210" i="3" s="1"/>
  <c r="AT218" i="3" a="1"/>
  <c r="AT218" i="3" s="1"/>
  <c r="AT226" i="3" a="1"/>
  <c r="AT226" i="3" s="1"/>
  <c r="AT234" i="3" a="1"/>
  <c r="AT234" i="3" s="1"/>
  <c r="AT2" i="3" a="1"/>
  <c r="AT2" i="3" s="1"/>
  <c r="AQ10" i="3"/>
  <c r="AR10" i="3"/>
  <c r="AS10" i="3"/>
  <c r="AQ18" i="3"/>
  <c r="AR18" i="3"/>
  <c r="AS18" i="3"/>
  <c r="AQ26" i="3"/>
  <c r="AR26" i="3"/>
  <c r="AS26" i="3"/>
  <c r="AQ34" i="3"/>
  <c r="AR34" i="3"/>
  <c r="AS34" i="3"/>
  <c r="AQ42" i="3"/>
  <c r="AR42" i="3"/>
  <c r="AS42" i="3"/>
  <c r="AQ50" i="3"/>
  <c r="AR50" i="3"/>
  <c r="AS50" i="3"/>
  <c r="AQ58" i="3"/>
  <c r="AR58" i="3"/>
  <c r="AS58" i="3"/>
  <c r="AQ66" i="3"/>
  <c r="AR66" i="3"/>
  <c r="AS66" i="3"/>
  <c r="AQ74" i="3"/>
  <c r="AR74" i="3"/>
  <c r="AS74" i="3"/>
  <c r="AQ82" i="3"/>
  <c r="AR82" i="3"/>
  <c r="AS82" i="3"/>
  <c r="AQ90" i="3"/>
  <c r="AR90" i="3"/>
  <c r="AS90" i="3"/>
  <c r="AQ98" i="3"/>
  <c r="AR98" i="3"/>
  <c r="AS98" i="3"/>
  <c r="AQ114" i="3"/>
  <c r="AR114" i="3"/>
  <c r="AS114" i="3"/>
  <c r="AQ122" i="3"/>
  <c r="AR122" i="3"/>
  <c r="AS122" i="3"/>
  <c r="AQ130" i="3"/>
  <c r="AR130" i="3"/>
  <c r="AS130" i="3"/>
  <c r="AQ138" i="3"/>
  <c r="AR138" i="3"/>
  <c r="AS138" i="3"/>
  <c r="AQ146" i="3"/>
  <c r="AR146" i="3"/>
  <c r="AS146" i="3"/>
  <c r="AQ154" i="3"/>
  <c r="AR154" i="3"/>
  <c r="AS154" i="3"/>
  <c r="AQ162" i="3"/>
  <c r="AR162" i="3"/>
  <c r="AS162" i="3"/>
  <c r="AQ170" i="3"/>
  <c r="AR170" i="3"/>
  <c r="AS170" i="3"/>
  <c r="AQ178" i="3"/>
  <c r="AR178" i="3"/>
  <c r="AS178" i="3"/>
  <c r="AQ186" i="3"/>
  <c r="AR186" i="3"/>
  <c r="AS186" i="3"/>
  <c r="AQ194" i="3"/>
  <c r="AR194" i="3"/>
  <c r="AS194" i="3"/>
  <c r="AQ202" i="3"/>
  <c r="AR202" i="3"/>
  <c r="AS202" i="3"/>
  <c r="AQ210" i="3"/>
  <c r="AR210" i="3"/>
  <c r="AS210" i="3"/>
  <c r="AQ218" i="3"/>
  <c r="AR218" i="3"/>
  <c r="AS218" i="3"/>
  <c r="AQ226" i="3"/>
  <c r="AR226" i="3"/>
  <c r="AS226" i="3"/>
  <c r="AQ234" i="3"/>
  <c r="AR234" i="3"/>
  <c r="AS234" i="3"/>
  <c r="AS2" i="3"/>
  <c r="AR2" i="3"/>
  <c r="AQ2" i="3"/>
  <c r="I2" i="7"/>
  <c r="J2" i="7"/>
  <c r="K2" i="7"/>
  <c r="L2" i="7"/>
  <c r="I3" i="7"/>
  <c r="J3" i="7"/>
  <c r="K3" i="7"/>
  <c r="L3" i="7"/>
  <c r="I4" i="7"/>
  <c r="J4" i="7"/>
  <c r="K4" i="7"/>
  <c r="L4" i="7"/>
  <c r="I5" i="7"/>
  <c r="J5" i="7"/>
  <c r="K5" i="7"/>
  <c r="L5" i="7"/>
  <c r="I6" i="7"/>
  <c r="J6" i="7"/>
  <c r="K6" i="7"/>
  <c r="L6" i="7"/>
  <c r="I7" i="7"/>
  <c r="J7" i="7"/>
  <c r="K7" i="7"/>
  <c r="L7" i="7"/>
  <c r="I8" i="7"/>
  <c r="J8" i="7"/>
  <c r="K8" i="7"/>
  <c r="L8" i="7"/>
  <c r="I9" i="7"/>
  <c r="J9" i="7"/>
  <c r="K9" i="7"/>
  <c r="L9" i="7"/>
  <c r="I10" i="7"/>
  <c r="J10" i="7"/>
  <c r="K10" i="7"/>
  <c r="L10" i="7"/>
  <c r="I11" i="7"/>
  <c r="J11" i="7"/>
  <c r="K11" i="7"/>
  <c r="L11" i="7"/>
  <c r="I12" i="7"/>
  <c r="J12" i="7"/>
  <c r="K12" i="7"/>
  <c r="L12" i="7"/>
  <c r="I13" i="7"/>
  <c r="J13" i="7"/>
  <c r="K13" i="7"/>
  <c r="L13" i="7"/>
  <c r="I14" i="7"/>
  <c r="J14" i="7"/>
  <c r="K14" i="7"/>
  <c r="L14" i="7"/>
  <c r="I15" i="7"/>
  <c r="J15" i="7"/>
  <c r="K15" i="7"/>
  <c r="L15" i="7"/>
  <c r="I16" i="7"/>
  <c r="J16" i="7"/>
  <c r="K16" i="7"/>
  <c r="L16" i="7"/>
  <c r="I17" i="7"/>
  <c r="J17" i="7"/>
  <c r="K17" i="7"/>
  <c r="L17" i="7"/>
  <c r="I18" i="7"/>
  <c r="J18" i="7"/>
  <c r="K18" i="7"/>
  <c r="L18" i="7"/>
  <c r="I19" i="7"/>
  <c r="J19" i="7"/>
  <c r="K19" i="7"/>
  <c r="L19" i="7"/>
  <c r="I20" i="7"/>
  <c r="J20" i="7"/>
  <c r="K20" i="7"/>
  <c r="L20" i="7"/>
  <c r="I21" i="7"/>
  <c r="J21" i="7"/>
  <c r="K21" i="7"/>
  <c r="L21" i="7"/>
  <c r="I22" i="7"/>
  <c r="J22" i="7"/>
  <c r="K22" i="7"/>
  <c r="L22" i="7"/>
  <c r="I23" i="7"/>
  <c r="J23" i="7"/>
  <c r="K23" i="7"/>
  <c r="L23" i="7"/>
  <c r="I24" i="7"/>
  <c r="J24" i="7"/>
  <c r="K24" i="7"/>
  <c r="L24" i="7"/>
  <c r="I25" i="7"/>
  <c r="J25" i="7"/>
  <c r="K25" i="7"/>
  <c r="L25" i="7"/>
  <c r="I26" i="7"/>
  <c r="J26" i="7"/>
  <c r="K26" i="7"/>
  <c r="L26" i="7"/>
  <c r="I27" i="7"/>
  <c r="J27" i="7"/>
  <c r="K27" i="7"/>
  <c r="L27" i="7"/>
  <c r="I28" i="7"/>
  <c r="J28" i="7"/>
  <c r="K28" i="7"/>
  <c r="L28" i="7"/>
  <c r="I29" i="7"/>
  <c r="J29" i="7"/>
  <c r="K29" i="7"/>
  <c r="L29" i="7"/>
  <c r="I30" i="7"/>
  <c r="J30" i="7"/>
  <c r="K30" i="7"/>
  <c r="L30" i="7"/>
  <c r="I31" i="7"/>
  <c r="J31" i="7"/>
  <c r="K31" i="7"/>
  <c r="L31" i="7"/>
  <c r="I32" i="7"/>
  <c r="J32" i="7"/>
  <c r="K32" i="7"/>
  <c r="L3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AF10" i="3" a="1"/>
  <c r="AF10" i="3" s="1"/>
  <c r="AE10" i="3" a="1"/>
  <c r="AE10" i="3" s="1"/>
  <c r="AD10" i="3" a="1"/>
  <c r="AD10" i="3" s="1"/>
  <c r="AC10" i="3" a="1"/>
  <c r="AC10" i="3" s="1"/>
  <c r="AB10" i="3" a="1"/>
  <c r="AB10" i="3" s="1"/>
  <c r="AA10" i="3" a="1"/>
  <c r="AA10" i="3" s="1"/>
  <c r="Z10" i="3" a="1"/>
  <c r="Z10" i="3" s="1"/>
  <c r="Y10" i="3"/>
  <c r="R26" i="6" a="1"/>
  <c r="R26" i="6" s="1"/>
  <c r="R25" i="6" a="1"/>
  <c r="R25" i="6" s="1"/>
  <c r="R24" i="6" a="1"/>
  <c r="R24" i="6" s="1"/>
  <c r="R23" i="6" a="1"/>
  <c r="R23" i="6" s="1"/>
  <c r="R22" i="6"/>
  <c r="R22" i="6" a="1"/>
  <c r="R21" i="6" a="1"/>
  <c r="R21" i="6" s="1"/>
  <c r="R20" i="6" a="1"/>
  <c r="R20" i="6" s="1"/>
  <c r="R19" i="6" a="1"/>
  <c r="R19" i="6" s="1"/>
  <c r="R18" i="6" a="1"/>
  <c r="R18" i="6" s="1"/>
  <c r="R17" i="6" a="1"/>
  <c r="R17" i="6" s="1"/>
  <c r="R16" i="6" a="1"/>
  <c r="R16" i="6" s="1"/>
  <c r="R15" i="6" a="1"/>
  <c r="R15" i="6" s="1"/>
  <c r="R14" i="6" a="1"/>
  <c r="R14" i="6" s="1"/>
  <c r="R13" i="6" a="1"/>
  <c r="R13" i="6" s="1"/>
  <c r="R12" i="6"/>
  <c r="R12" i="6" a="1"/>
  <c r="R11" i="6" a="1"/>
  <c r="R11" i="6" s="1"/>
  <c r="R10" i="6" a="1"/>
  <c r="R10" i="6" s="1"/>
  <c r="R9" i="6" a="1"/>
  <c r="R9" i="6" s="1"/>
  <c r="R8" i="6" a="1"/>
  <c r="R8" i="6" s="1"/>
  <c r="R7" i="6" a="1"/>
  <c r="R7" i="6" s="1"/>
  <c r="R6" i="6" a="1"/>
  <c r="R6" i="6" s="1"/>
  <c r="R5" i="6" a="1"/>
  <c r="R5" i="6" s="1"/>
  <c r="R4" i="6" a="1"/>
  <c r="R4" i="6" s="1"/>
  <c r="R3" i="6" a="1"/>
  <c r="R3" i="6" s="1"/>
  <c r="R2" i="6"/>
  <c r="R2" i="6" a="1"/>
  <c r="Q26" i="6" a="1"/>
  <c r="Q26" i="6" s="1"/>
  <c r="Q25" i="6" a="1"/>
  <c r="Q25" i="6" s="1"/>
  <c r="Q24" i="6" a="1"/>
  <c r="Q24" i="6" s="1"/>
  <c r="Q23" i="6" a="1"/>
  <c r="Q23" i="6" s="1"/>
  <c r="Q22" i="6" a="1"/>
  <c r="Q22" i="6" s="1"/>
  <c r="Q21" i="6" a="1"/>
  <c r="Q21" i="6" s="1"/>
  <c r="Q20" i="6" a="1"/>
  <c r="Q20" i="6" s="1"/>
  <c r="Q19" i="6" a="1"/>
  <c r="Q19" i="6" s="1"/>
  <c r="Q18" i="6" a="1"/>
  <c r="Q18" i="6" s="1"/>
  <c r="Q17" i="6"/>
  <c r="Q17" i="6" a="1"/>
  <c r="Q16" i="6" a="1"/>
  <c r="Q16" i="6" s="1"/>
  <c r="Q15" i="6" a="1"/>
  <c r="Q15" i="6" s="1"/>
  <c r="Q14" i="6" a="1"/>
  <c r="Q14" i="6" s="1"/>
  <c r="Q13" i="6" a="1"/>
  <c r="Q13" i="6" s="1"/>
  <c r="Q12" i="6" a="1"/>
  <c r="Q12" i="6" s="1"/>
  <c r="Q11" i="6" a="1"/>
  <c r="Q11" i="6" s="1"/>
  <c r="Q10" i="6" a="1"/>
  <c r="Q10" i="6" s="1"/>
  <c r="Q9" i="6" a="1"/>
  <c r="Q9" i="6" s="1"/>
  <c r="Q8" i="6" a="1"/>
  <c r="Q8" i="6" s="1"/>
  <c r="Q7" i="6" a="1"/>
  <c r="Q7" i="6" s="1"/>
  <c r="Q6" i="6" a="1"/>
  <c r="Q6" i="6" s="1"/>
  <c r="Q5" i="6" a="1"/>
  <c r="Q5" i="6" s="1"/>
  <c r="Q4" i="6" a="1"/>
  <c r="Q4" i="6" s="1"/>
  <c r="Q3" i="6" a="1"/>
  <c r="Q3" i="6" s="1"/>
  <c r="Q2" i="6" a="1"/>
  <c r="Q2" i="6" s="1"/>
  <c r="P26" i="6" a="1"/>
  <c r="P26" i="6" s="1"/>
  <c r="P25" i="6"/>
  <c r="P25" i="6" a="1"/>
  <c r="P24" i="6"/>
  <c r="P24" i="6" a="1"/>
  <c r="P23" i="6" a="1"/>
  <c r="P23" i="6" s="1"/>
  <c r="P22" i="6" a="1"/>
  <c r="P22" i="6" s="1"/>
  <c r="P21" i="6" a="1"/>
  <c r="P21" i="6" s="1"/>
  <c r="P20" i="6" a="1"/>
  <c r="P20" i="6" s="1"/>
  <c r="P19" i="6" a="1"/>
  <c r="P19" i="6" s="1"/>
  <c r="P18" i="6" a="1"/>
  <c r="P18" i="6" s="1"/>
  <c r="P17" i="6" a="1"/>
  <c r="P17" i="6" s="1"/>
  <c r="P16" i="6" a="1"/>
  <c r="P16" i="6" s="1"/>
  <c r="P15" i="6"/>
  <c r="P15" i="6" a="1"/>
  <c r="P14" i="6"/>
  <c r="P14" i="6" a="1"/>
  <c r="P13" i="6" a="1"/>
  <c r="P13" i="6" s="1"/>
  <c r="P12" i="6" a="1"/>
  <c r="P12" i="6" s="1"/>
  <c r="P11" i="6" a="1"/>
  <c r="P11" i="6" s="1"/>
  <c r="P10" i="6" a="1"/>
  <c r="P10" i="6" s="1"/>
  <c r="P9" i="6" a="1"/>
  <c r="P9" i="6" s="1"/>
  <c r="P8" i="6" a="1"/>
  <c r="P8" i="6" s="1"/>
  <c r="P7" i="6" a="1"/>
  <c r="P7" i="6" s="1"/>
  <c r="P6" i="6" a="1"/>
  <c r="P6" i="6" s="1"/>
  <c r="P5" i="6"/>
  <c r="P5" i="6" a="1"/>
  <c r="P4" i="6"/>
  <c r="P4" i="6" a="1"/>
  <c r="P3" i="6" a="1"/>
  <c r="P3" i="6" s="1"/>
  <c r="P2" i="6" a="1"/>
  <c r="P2" i="6" s="1"/>
  <c r="O3" i="6" a="1"/>
  <c r="O3" i="6"/>
  <c r="O4" i="6" a="1"/>
  <c r="O4" i="6" s="1"/>
  <c r="O5" i="6" a="1"/>
  <c r="O5" i="6"/>
  <c r="O6" i="6" a="1"/>
  <c r="O6" i="6" s="1"/>
  <c r="O7" i="6" a="1"/>
  <c r="O7" i="6" s="1"/>
  <c r="O8" i="6" a="1"/>
  <c r="O8" i="6"/>
  <c r="O9" i="6" a="1"/>
  <c r="O9" i="6" s="1"/>
  <c r="O10" i="6" a="1"/>
  <c r="O10" i="6"/>
  <c r="O11" i="6" a="1"/>
  <c r="O11" i="6" s="1"/>
  <c r="O12" i="6" a="1"/>
  <c r="O12" i="6"/>
  <c r="O13" i="6" a="1"/>
  <c r="O13" i="6"/>
  <c r="O14" i="6" a="1"/>
  <c r="O14" i="6" s="1"/>
  <c r="O15" i="6" a="1"/>
  <c r="O15" i="6"/>
  <c r="O16" i="6" a="1"/>
  <c r="O16" i="6" s="1"/>
  <c r="O17" i="6" a="1"/>
  <c r="O17" i="6" s="1"/>
  <c r="O18" i="6" a="1"/>
  <c r="O18" i="6" s="1"/>
  <c r="O19" i="6" a="1"/>
  <c r="O19" i="6" s="1"/>
  <c r="O20" i="6" a="1"/>
  <c r="O20" i="6"/>
  <c r="O21" i="6" a="1"/>
  <c r="O21" i="6" s="1"/>
  <c r="O22" i="6" a="1"/>
  <c r="O22" i="6"/>
  <c r="O23" i="6" a="1"/>
  <c r="O23" i="6"/>
  <c r="O24" i="6" a="1"/>
  <c r="O24" i="6" s="1"/>
  <c r="O25" i="6" a="1"/>
  <c r="O25" i="6"/>
  <c r="O26" i="6" a="1"/>
  <c r="O26" i="6" s="1"/>
  <c r="O2" i="6"/>
  <c r="O2" i="6" a="1"/>
  <c r="N3" i="6" a="1"/>
  <c r="N3" i="6" s="1"/>
  <c r="N4" i="6" a="1"/>
  <c r="N4" i="6" s="1"/>
  <c r="N5" i="6" a="1"/>
  <c r="N5" i="6" s="1"/>
  <c r="N6" i="6" a="1"/>
  <c r="N6" i="6" s="1"/>
  <c r="N7" i="6" a="1"/>
  <c r="N7" i="6" s="1"/>
  <c r="N8" i="6" a="1"/>
  <c r="N8" i="6" s="1"/>
  <c r="N9" i="6" a="1"/>
  <c r="N9" i="6" s="1"/>
  <c r="N10" i="6" a="1"/>
  <c r="N10" i="6" s="1"/>
  <c r="N11" i="6" a="1"/>
  <c r="N11" i="6" s="1"/>
  <c r="N12" i="6" a="1"/>
  <c r="N12" i="6" s="1"/>
  <c r="N13" i="6" a="1"/>
  <c r="N13" i="6" s="1"/>
  <c r="N14" i="6" a="1"/>
  <c r="N14" i="6" s="1"/>
  <c r="N15" i="6" a="1"/>
  <c r="N15" i="6" s="1"/>
  <c r="N16" i="6" a="1"/>
  <c r="N16" i="6" s="1"/>
  <c r="N17" i="6" a="1"/>
  <c r="N17" i="6" s="1"/>
  <c r="N18" i="6" a="1"/>
  <c r="N18" i="6"/>
  <c r="N19" i="6" a="1"/>
  <c r="N19" i="6" s="1"/>
  <c r="N20" i="6" a="1"/>
  <c r="N20" i="6" s="1"/>
  <c r="N21" i="6" a="1"/>
  <c r="N21" i="6" s="1"/>
  <c r="N22" i="6" a="1"/>
  <c r="N22" i="6" s="1"/>
  <c r="N23" i="6" a="1"/>
  <c r="N23" i="6" s="1"/>
  <c r="N24" i="6" a="1"/>
  <c r="N24" i="6" s="1"/>
  <c r="N25" i="6" a="1"/>
  <c r="N25" i="6" s="1"/>
  <c r="N26" i="6" a="1"/>
  <c r="N26" i="6" s="1"/>
  <c r="N2" i="6" a="1"/>
  <c r="N2" i="6" s="1"/>
  <c r="M3" i="6" a="1"/>
  <c r="M3" i="6" s="1"/>
  <c r="M4" i="6" a="1"/>
  <c r="M4" i="6" s="1"/>
  <c r="M5" i="6" a="1"/>
  <c r="M5" i="6"/>
  <c r="M6" i="6" a="1"/>
  <c r="M6" i="6" s="1"/>
  <c r="M7" i="6" a="1"/>
  <c r="M7" i="6"/>
  <c r="M8" i="6" a="1"/>
  <c r="M8" i="6" s="1"/>
  <c r="M9" i="6" a="1"/>
  <c r="M9" i="6" s="1"/>
  <c r="M10" i="6" a="1"/>
  <c r="M10" i="6" s="1"/>
  <c r="M11" i="6" a="1"/>
  <c r="M11" i="6" s="1"/>
  <c r="M12" i="6" a="1"/>
  <c r="M12" i="6" s="1"/>
  <c r="M13" i="6" a="1"/>
  <c r="M13" i="6" s="1"/>
  <c r="M14" i="6" a="1"/>
  <c r="M14" i="6" s="1"/>
  <c r="M15" i="6" a="1"/>
  <c r="M15" i="6"/>
  <c r="M16" i="6" a="1"/>
  <c r="M16" i="6" s="1"/>
  <c r="M17" i="6" a="1"/>
  <c r="M17" i="6"/>
  <c r="M18" i="6" a="1"/>
  <c r="M18" i="6" s="1"/>
  <c r="M19" i="6" a="1"/>
  <c r="M19" i="6" s="1"/>
  <c r="M20" i="6" a="1"/>
  <c r="M20" i="6" s="1"/>
  <c r="M21" i="6" a="1"/>
  <c r="M21" i="6" s="1"/>
  <c r="M22" i="6" a="1"/>
  <c r="M22" i="6" s="1"/>
  <c r="M23" i="6" a="1"/>
  <c r="M23" i="6" s="1"/>
  <c r="M24" i="6" a="1"/>
  <c r="M24" i="6" s="1"/>
  <c r="M25" i="6" a="1"/>
  <c r="M25" i="6"/>
  <c r="M26" i="6" a="1"/>
  <c r="M26" i="6" s="1"/>
  <c r="M2" i="6" a="1"/>
  <c r="M2" i="6" s="1"/>
  <c r="L3" i="6" a="1"/>
  <c r="L3" i="6"/>
  <c r="L4" i="6" a="1"/>
  <c r="L4" i="6"/>
  <c r="L5" i="6" a="1"/>
  <c r="L5" i="6" s="1"/>
  <c r="L6" i="6" a="1"/>
  <c r="L6" i="6"/>
  <c r="L7" i="6" a="1"/>
  <c r="L7" i="6"/>
  <c r="L8" i="6" a="1"/>
  <c r="L8" i="6" s="1"/>
  <c r="L9" i="6" a="1"/>
  <c r="L9" i="6"/>
  <c r="L10" i="6" a="1"/>
  <c r="L10" i="6"/>
  <c r="L11" i="6" a="1"/>
  <c r="L11" i="6" s="1"/>
  <c r="L12" i="6" a="1"/>
  <c r="L12" i="6"/>
  <c r="L13" i="6" a="1"/>
  <c r="L13" i="6"/>
  <c r="L14" i="6" a="1"/>
  <c r="L14" i="6" s="1"/>
  <c r="L15" i="6" a="1"/>
  <c r="L15" i="6"/>
  <c r="L16" i="6" a="1"/>
  <c r="L16" i="6"/>
  <c r="L17" i="6" a="1"/>
  <c r="L17" i="6" s="1"/>
  <c r="L18" i="6" a="1"/>
  <c r="L18" i="6" s="1"/>
  <c r="L19" i="6" a="1"/>
  <c r="L19" i="6"/>
  <c r="L20" i="6" a="1"/>
  <c r="L20" i="6"/>
  <c r="L21" i="6" a="1"/>
  <c r="L21" i="6" s="1"/>
  <c r="L22" i="6" a="1"/>
  <c r="L22" i="6"/>
  <c r="L23" i="6" a="1"/>
  <c r="L23" i="6"/>
  <c r="L24" i="6" a="1"/>
  <c r="L24" i="6"/>
  <c r="L25" i="6" a="1"/>
  <c r="L25" i="6"/>
  <c r="L26" i="6" a="1"/>
  <c r="L26" i="6"/>
  <c r="L2" i="6" a="1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J238" i="3"/>
  <c r="J237" i="3"/>
  <c r="J236" i="3"/>
  <c r="J235" i="3"/>
  <c r="J232" i="3"/>
  <c r="J231" i="3"/>
  <c r="J230" i="3"/>
  <c r="J229" i="3"/>
  <c r="J228" i="3"/>
  <c r="J227" i="3"/>
  <c r="J223" i="3"/>
  <c r="J222" i="3"/>
  <c r="J221" i="3"/>
  <c r="J220" i="3"/>
  <c r="J219" i="3"/>
  <c r="J215" i="3"/>
  <c r="J214" i="3"/>
  <c r="J213" i="3"/>
  <c r="J212" i="3"/>
  <c r="J211" i="3"/>
  <c r="J207" i="3"/>
  <c r="J206" i="3"/>
  <c r="J205" i="3"/>
  <c r="J204" i="3"/>
  <c r="J203" i="3"/>
  <c r="J200" i="3"/>
  <c r="J199" i="3"/>
  <c r="J198" i="3"/>
  <c r="J197" i="3"/>
  <c r="J196" i="3"/>
  <c r="J195" i="3"/>
  <c r="J192" i="3"/>
  <c r="J191" i="3"/>
  <c r="J190" i="3"/>
  <c r="J189" i="3"/>
  <c r="J188" i="3"/>
  <c r="J187" i="3"/>
  <c r="J184" i="3"/>
  <c r="J183" i="3"/>
  <c r="J182" i="3"/>
  <c r="J181" i="3"/>
  <c r="J180" i="3"/>
  <c r="J179" i="3"/>
  <c r="J176" i="3"/>
  <c r="J175" i="3"/>
  <c r="J174" i="3"/>
  <c r="J173" i="3"/>
  <c r="J172" i="3"/>
  <c r="J171" i="3"/>
  <c r="J168" i="3"/>
  <c r="J167" i="3"/>
  <c r="J166" i="3"/>
  <c r="J165" i="3"/>
  <c r="J164" i="3"/>
  <c r="J163" i="3"/>
  <c r="J160" i="3"/>
  <c r="J159" i="3"/>
  <c r="J158" i="3"/>
  <c r="J157" i="3"/>
  <c r="J156" i="3"/>
  <c r="J155" i="3"/>
  <c r="J152" i="3"/>
  <c r="J151" i="3"/>
  <c r="J150" i="3"/>
  <c r="J149" i="3"/>
  <c r="J148" i="3"/>
  <c r="J147" i="3"/>
  <c r="J144" i="3"/>
  <c r="J143" i="3"/>
  <c r="J142" i="3"/>
  <c r="J141" i="3"/>
  <c r="J140" i="3"/>
  <c r="J139" i="3"/>
  <c r="J136" i="3"/>
  <c r="J135" i="3"/>
  <c r="J134" i="3"/>
  <c r="J133" i="3"/>
  <c r="J132" i="3"/>
  <c r="J131" i="3"/>
  <c r="J128" i="3"/>
  <c r="J127" i="3"/>
  <c r="J126" i="3"/>
  <c r="J125" i="3"/>
  <c r="J124" i="3"/>
  <c r="J123" i="3"/>
  <c r="J120" i="3"/>
  <c r="J119" i="3"/>
  <c r="J118" i="3"/>
  <c r="J117" i="3"/>
  <c r="J116" i="3"/>
  <c r="J115" i="3"/>
  <c r="J112" i="3"/>
  <c r="J111" i="3"/>
  <c r="J110" i="3"/>
  <c r="J109" i="3"/>
  <c r="J108" i="3"/>
  <c r="J107" i="3"/>
  <c r="J103" i="3"/>
  <c r="J102" i="3"/>
  <c r="J101" i="3"/>
  <c r="J100" i="3"/>
  <c r="J99" i="3"/>
  <c r="J96" i="3"/>
  <c r="J95" i="3"/>
  <c r="J94" i="3"/>
  <c r="J93" i="3"/>
  <c r="J92" i="3"/>
  <c r="J91" i="3"/>
  <c r="J88" i="3"/>
  <c r="J87" i="3"/>
  <c r="J86" i="3"/>
  <c r="J85" i="3"/>
  <c r="J84" i="3"/>
  <c r="J83" i="3"/>
  <c r="J80" i="3"/>
  <c r="J79" i="3"/>
  <c r="J78" i="3"/>
  <c r="J77" i="3"/>
  <c r="J76" i="3"/>
  <c r="J75" i="3"/>
  <c r="J72" i="3"/>
  <c r="J71" i="3"/>
  <c r="J70" i="3"/>
  <c r="J69" i="3"/>
  <c r="J68" i="3"/>
  <c r="J67" i="3"/>
  <c r="J64" i="3"/>
  <c r="J63" i="3"/>
  <c r="J62" i="3"/>
  <c r="J61" i="3"/>
  <c r="J60" i="3"/>
  <c r="J59" i="3"/>
  <c r="J56" i="3"/>
  <c r="J55" i="3"/>
  <c r="J54" i="3"/>
  <c r="J53" i="3"/>
  <c r="J52" i="3"/>
  <c r="J51" i="3"/>
  <c r="J48" i="3"/>
  <c r="J47" i="3"/>
  <c r="J46" i="3"/>
  <c r="J45" i="3"/>
  <c r="J44" i="3"/>
  <c r="J43" i="3"/>
  <c r="J40" i="3"/>
  <c r="J39" i="3"/>
  <c r="J38" i="3"/>
  <c r="J37" i="3"/>
  <c r="J36" i="3"/>
  <c r="J35" i="3"/>
  <c r="J28" i="3"/>
  <c r="J29" i="3"/>
  <c r="J30" i="3"/>
  <c r="J31" i="3"/>
  <c r="J32" i="3"/>
  <c r="J27" i="3"/>
  <c r="J20" i="3"/>
  <c r="J21" i="3"/>
  <c r="J22" i="3"/>
  <c r="J23" i="3"/>
  <c r="J24" i="3"/>
  <c r="J19" i="3"/>
  <c r="J12" i="3"/>
  <c r="J13" i="3"/>
  <c r="J14" i="3"/>
  <c r="J15" i="3"/>
  <c r="J16" i="3"/>
  <c r="J11" i="3"/>
  <c r="J4" i="3"/>
  <c r="J5" i="3"/>
  <c r="J6" i="3"/>
  <c r="J7" i="3"/>
  <c r="J8" i="3"/>
  <c r="J3" i="3"/>
  <c r="H40" i="3" l="1"/>
  <c r="L211" i="3"/>
  <c r="L191" i="3"/>
  <c r="L171" i="3"/>
  <c r="L151" i="3"/>
  <c r="L131" i="3"/>
  <c r="L91" i="3"/>
  <c r="L51" i="3"/>
  <c r="L31" i="3"/>
  <c r="L11" i="3"/>
  <c r="H64" i="3"/>
  <c r="H184" i="3"/>
  <c r="H185" i="3"/>
  <c r="L227" i="3"/>
  <c r="L207" i="3"/>
  <c r="L187" i="3"/>
  <c r="L167" i="3"/>
  <c r="L127" i="3"/>
  <c r="L107" i="3"/>
  <c r="L87" i="3"/>
  <c r="L67" i="3"/>
  <c r="L47" i="3"/>
  <c r="L27" i="3"/>
  <c r="L161" i="3"/>
  <c r="H44" i="3"/>
  <c r="H204" i="3"/>
  <c r="H207" i="3"/>
  <c r="L206" i="3"/>
  <c r="L166" i="3"/>
  <c r="L126" i="3"/>
  <c r="L86" i="3"/>
  <c r="L46" i="3"/>
  <c r="H143" i="3"/>
  <c r="H24" i="3"/>
  <c r="H43" i="3"/>
  <c r="H123" i="3"/>
  <c r="H224" i="3"/>
  <c r="H144" i="3"/>
  <c r="H45" i="3"/>
  <c r="H65" i="3"/>
  <c r="H85" i="3"/>
  <c r="H205" i="3"/>
  <c r="L221" i="3"/>
  <c r="L201" i="3"/>
  <c r="L181" i="3"/>
  <c r="L141" i="3"/>
  <c r="L121" i="3"/>
  <c r="L101" i="3"/>
  <c r="L81" i="3"/>
  <c r="L61" i="3"/>
  <c r="L41" i="3"/>
  <c r="L21" i="3"/>
  <c r="H39" i="3"/>
  <c r="H89" i="3"/>
  <c r="H41" i="3"/>
  <c r="H222" i="3"/>
  <c r="L236" i="3"/>
  <c r="L216" i="3"/>
  <c r="L196" i="3"/>
  <c r="L176" i="3"/>
  <c r="L156" i="3"/>
  <c r="L136" i="3"/>
  <c r="L116" i="3"/>
  <c r="L96" i="3"/>
  <c r="L76" i="3"/>
  <c r="L56" i="3"/>
  <c r="L36" i="3"/>
  <c r="L16" i="3"/>
  <c r="H16" i="3"/>
  <c r="H96" i="3"/>
  <c r="H116" i="3"/>
  <c r="H136" i="3"/>
  <c r="H176" i="3"/>
  <c r="H216" i="3"/>
  <c r="H117" i="3"/>
  <c r="H137" i="3"/>
  <c r="H158" i="3"/>
  <c r="H120" i="3"/>
  <c r="H160" i="3"/>
  <c r="H200" i="3"/>
  <c r="H121" i="3"/>
  <c r="H201" i="3"/>
  <c r="H62" i="3"/>
  <c r="H63" i="3"/>
  <c r="H86" i="3"/>
  <c r="H166" i="3"/>
  <c r="H48" i="3"/>
  <c r="H208" i="3"/>
  <c r="L224" i="3"/>
  <c r="L184" i="3"/>
  <c r="L64" i="3"/>
  <c r="L44" i="3"/>
  <c r="H49" i="3"/>
  <c r="H209" i="3"/>
  <c r="H30" i="3"/>
  <c r="L3" i="3"/>
  <c r="H112" i="3"/>
  <c r="L240" i="3"/>
  <c r="L200" i="3"/>
  <c r="L100" i="3"/>
  <c r="L80" i="3"/>
  <c r="L40" i="3"/>
  <c r="H159" i="3"/>
  <c r="H113" i="3"/>
  <c r="L239" i="3"/>
  <c r="L219" i="3"/>
  <c r="L199" i="3"/>
  <c r="L159" i="3"/>
  <c r="L139" i="3"/>
  <c r="L99" i="3"/>
  <c r="L79" i="3"/>
  <c r="L59" i="3"/>
  <c r="L39" i="3"/>
  <c r="H56" i="3"/>
  <c r="H118" i="3"/>
  <c r="H119" i="3"/>
  <c r="H203" i="3"/>
  <c r="L24" i="3"/>
  <c r="L238" i="3"/>
  <c r="L198" i="3"/>
  <c r="L158" i="3"/>
  <c r="L118" i="3"/>
  <c r="L78" i="3"/>
  <c r="L38" i="3"/>
  <c r="H68" i="3"/>
  <c r="H129" i="3"/>
  <c r="L231" i="3"/>
  <c r="L71" i="3"/>
  <c r="H70" i="3"/>
  <c r="H32" i="3"/>
  <c r="H72" i="3"/>
  <c r="H152" i="3"/>
  <c r="H192" i="3"/>
  <c r="H73" i="3"/>
  <c r="H193" i="3"/>
  <c r="H88" i="3"/>
  <c r="H128" i="3"/>
  <c r="H168" i="3"/>
  <c r="H69" i="3"/>
  <c r="H169" i="3"/>
  <c r="L111" i="3"/>
  <c r="H232" i="3"/>
  <c r="H33" i="3"/>
  <c r="H153" i="3"/>
  <c r="H233" i="3"/>
  <c r="H115" i="3"/>
  <c r="L144" i="3"/>
  <c r="L104" i="3"/>
  <c r="H17" i="3"/>
  <c r="H57" i="3"/>
  <c r="H97" i="3"/>
  <c r="H177" i="3"/>
  <c r="H217" i="3"/>
  <c r="L203" i="3"/>
  <c r="L43" i="3"/>
  <c r="H139" i="3"/>
  <c r="H140" i="3"/>
  <c r="L120" i="3"/>
  <c r="H21" i="3"/>
  <c r="H141" i="3"/>
  <c r="L134" i="3"/>
  <c r="H22" i="3"/>
  <c r="H23" i="3"/>
  <c r="H84" i="3"/>
  <c r="H104" i="3"/>
  <c r="H124" i="3"/>
  <c r="H164" i="3"/>
  <c r="H105" i="3"/>
  <c r="H165" i="3"/>
  <c r="L214" i="3"/>
  <c r="L174" i="3"/>
  <c r="L135" i="3"/>
  <c r="L94" i="3"/>
  <c r="L54" i="3"/>
  <c r="L14" i="3"/>
  <c r="H47" i="3"/>
  <c r="H46" i="3"/>
  <c r="H67" i="3"/>
  <c r="H87" i="3"/>
  <c r="H107" i="3"/>
  <c r="H127" i="3"/>
  <c r="H147" i="3"/>
  <c r="H167" i="3"/>
  <c r="H188" i="3"/>
  <c r="H187" i="3"/>
  <c r="H227" i="3"/>
  <c r="L183" i="3"/>
  <c r="L182" i="3"/>
  <c r="L23" i="3"/>
  <c r="L22" i="3"/>
  <c r="H148" i="3"/>
  <c r="H228" i="3"/>
  <c r="H149" i="3"/>
  <c r="H229" i="3"/>
  <c r="H150" i="3"/>
  <c r="H190" i="3"/>
  <c r="H230" i="3"/>
  <c r="L180" i="3"/>
  <c r="L179" i="3"/>
  <c r="L20" i="3"/>
  <c r="H11" i="3"/>
  <c r="H31" i="3"/>
  <c r="H51" i="3"/>
  <c r="H71" i="3"/>
  <c r="H91" i="3"/>
  <c r="H131" i="3"/>
  <c r="H151" i="3"/>
  <c r="H171" i="3"/>
  <c r="H191" i="3"/>
  <c r="H211" i="3"/>
  <c r="H231" i="3"/>
  <c r="H12" i="3"/>
  <c r="H52" i="3"/>
  <c r="H92" i="3"/>
  <c r="H132" i="3"/>
  <c r="H172" i="3"/>
  <c r="H212" i="3"/>
  <c r="H13" i="3"/>
  <c r="H53" i="3"/>
  <c r="H93" i="3"/>
  <c r="H133" i="3"/>
  <c r="H173" i="3"/>
  <c r="H213" i="3"/>
  <c r="H14" i="3"/>
  <c r="H54" i="3"/>
  <c r="H94" i="3"/>
  <c r="H134" i="3"/>
  <c r="H135" i="3"/>
  <c r="H174" i="3"/>
  <c r="H214" i="3"/>
  <c r="H15" i="3"/>
  <c r="H35" i="3"/>
  <c r="H55" i="3"/>
  <c r="H75" i="3"/>
  <c r="H95" i="3"/>
  <c r="H206" i="3"/>
  <c r="H126" i="3"/>
  <c r="H27" i="3"/>
  <c r="H155" i="3"/>
  <c r="H175" i="3"/>
  <c r="H195" i="3"/>
  <c r="H215" i="3"/>
  <c r="H235" i="3"/>
  <c r="H36" i="3"/>
  <c r="H76" i="3"/>
  <c r="H156" i="3"/>
  <c r="H196" i="3"/>
  <c r="H236" i="3"/>
  <c r="L110" i="3"/>
  <c r="H37" i="3"/>
  <c r="H77" i="3"/>
  <c r="H157" i="3"/>
  <c r="H197" i="3"/>
  <c r="H237" i="3"/>
  <c r="H38" i="3"/>
  <c r="H78" i="3"/>
  <c r="H198" i="3"/>
  <c r="H238" i="3"/>
  <c r="H19" i="3"/>
  <c r="H59" i="3"/>
  <c r="H79" i="3"/>
  <c r="H99" i="3"/>
  <c r="H179" i="3"/>
  <c r="H219" i="3"/>
  <c r="H239" i="3"/>
  <c r="L148" i="3"/>
  <c r="H20" i="3"/>
  <c r="H60" i="3"/>
  <c r="H100" i="3"/>
  <c r="H180" i="3"/>
  <c r="H220" i="3"/>
  <c r="L230" i="3"/>
  <c r="H61" i="3"/>
  <c r="H101" i="3"/>
  <c r="H221" i="3"/>
  <c r="H102" i="3"/>
  <c r="L70" i="3"/>
  <c r="H83" i="3"/>
  <c r="H103" i="3"/>
  <c r="H199" i="3"/>
  <c r="L6" i="3"/>
  <c r="L223" i="3"/>
  <c r="L164" i="3"/>
  <c r="L143" i="3"/>
  <c r="L124" i="3"/>
  <c r="L103" i="3"/>
  <c r="L84" i="3"/>
  <c r="L63" i="3"/>
  <c r="H108" i="3"/>
  <c r="L60" i="3"/>
  <c r="L83" i="3"/>
  <c r="L220" i="3"/>
  <c r="H111" i="3"/>
  <c r="L119" i="3"/>
  <c r="L19" i="3"/>
  <c r="L140" i="3"/>
  <c r="H125" i="3"/>
  <c r="L123" i="3"/>
  <c r="L160" i="3"/>
  <c r="H80" i="3"/>
  <c r="H240" i="3"/>
  <c r="L147" i="3"/>
  <c r="L5" i="3"/>
  <c r="L163" i="3"/>
  <c r="L241" i="3"/>
  <c r="H4" i="3"/>
  <c r="H5" i="3"/>
  <c r="H6" i="3"/>
  <c r="H7" i="3"/>
  <c r="H8" i="3"/>
  <c r="H9" i="3"/>
  <c r="H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<sst xmlns="http://schemas.openxmlformats.org/spreadsheetml/2006/main" count="714" uniqueCount="181">
  <si>
    <t>post1</t>
    <phoneticPr fontId="1" type="noConversion"/>
  </si>
  <si>
    <t>treated</t>
    <phoneticPr fontId="1" type="noConversion"/>
  </si>
  <si>
    <t>id</t>
  </si>
  <si>
    <r>
      <rPr>
        <sz val="11"/>
        <color theme="1"/>
        <rFont val="宋体"/>
        <family val="3"/>
        <charset val="134"/>
      </rPr>
      <t>地</t>
    </r>
  </si>
  <si>
    <t>year</t>
  </si>
  <si>
    <r>
      <rPr>
        <sz val="11"/>
        <color theme="1"/>
        <rFont val="宋体"/>
        <family val="3"/>
        <charset val="134"/>
      </rPr>
      <t>能源消费总量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万吨标准煤</t>
    </r>
    <r>
      <rPr>
        <sz val="11"/>
        <color theme="1"/>
        <rFont val="Times New Roman"/>
        <family val="1"/>
      </rPr>
      <t>)</t>
    </r>
  </si>
  <si>
    <t>post2</t>
    <phoneticPr fontId="1" type="noConversion"/>
  </si>
  <si>
    <r>
      <rPr>
        <sz val="11"/>
        <color theme="1"/>
        <rFont val="宋体"/>
        <family val="3"/>
        <charset val="134"/>
      </rPr>
      <t>北京</t>
    </r>
  </si>
  <si>
    <r>
      <rPr>
        <sz val="11"/>
        <color theme="1"/>
        <rFont val="宋体"/>
        <family val="3"/>
        <charset val="134"/>
      </rPr>
      <t>天津</t>
    </r>
  </si>
  <si>
    <r>
      <rPr>
        <sz val="11"/>
        <color theme="1"/>
        <rFont val="宋体"/>
        <family val="3"/>
        <charset val="134"/>
      </rPr>
      <t>河北</t>
    </r>
  </si>
  <si>
    <r>
      <rPr>
        <sz val="11"/>
        <color theme="1"/>
        <rFont val="宋体"/>
        <family val="3"/>
        <charset val="134"/>
      </rPr>
      <t>山西</t>
    </r>
  </si>
  <si>
    <r>
      <rPr>
        <sz val="11"/>
        <color theme="1"/>
        <rFont val="宋体"/>
        <family val="3"/>
        <charset val="134"/>
      </rPr>
      <t>内蒙古</t>
    </r>
  </si>
  <si>
    <t>内蒙古</t>
  </si>
  <si>
    <r>
      <rPr>
        <sz val="11"/>
        <color theme="1"/>
        <rFont val="宋体"/>
        <family val="3"/>
        <charset val="134"/>
      </rPr>
      <t>辽宁</t>
    </r>
  </si>
  <si>
    <t>辽宁</t>
  </si>
  <si>
    <r>
      <rPr>
        <sz val="11"/>
        <color theme="1"/>
        <rFont val="宋体"/>
        <family val="3"/>
        <charset val="134"/>
      </rPr>
      <t>吉林</t>
    </r>
  </si>
  <si>
    <r>
      <rPr>
        <sz val="11"/>
        <color theme="1"/>
        <rFont val="宋体"/>
        <family val="3"/>
        <charset val="134"/>
      </rPr>
      <t>黑龙江</t>
    </r>
  </si>
  <si>
    <t>黑龙江</t>
  </si>
  <si>
    <r>
      <rPr>
        <sz val="11"/>
        <color theme="1"/>
        <rFont val="宋体"/>
        <family val="3"/>
        <charset val="134"/>
      </rPr>
      <t>上海</t>
    </r>
  </si>
  <si>
    <r>
      <rPr>
        <sz val="11"/>
        <color theme="1"/>
        <rFont val="宋体"/>
        <family val="3"/>
        <charset val="134"/>
      </rPr>
      <t>江苏</t>
    </r>
  </si>
  <si>
    <r>
      <rPr>
        <sz val="11"/>
        <color theme="1"/>
        <rFont val="宋体"/>
        <family val="3"/>
        <charset val="134"/>
      </rPr>
      <t>浙江</t>
    </r>
  </si>
  <si>
    <r>
      <rPr>
        <sz val="11"/>
        <color theme="1"/>
        <rFont val="宋体"/>
        <family val="3"/>
        <charset val="134"/>
      </rPr>
      <t>安徽</t>
    </r>
  </si>
  <si>
    <r>
      <rPr>
        <sz val="11"/>
        <color theme="1"/>
        <rFont val="宋体"/>
        <family val="3"/>
        <charset val="134"/>
      </rPr>
      <t>福建</t>
    </r>
  </si>
  <si>
    <r>
      <rPr>
        <sz val="11"/>
        <color theme="1"/>
        <rFont val="宋体"/>
        <family val="3"/>
        <charset val="134"/>
      </rPr>
      <t>江西</t>
    </r>
  </si>
  <si>
    <t>江西</t>
  </si>
  <si>
    <r>
      <rPr>
        <sz val="11"/>
        <color theme="1"/>
        <rFont val="宋体"/>
        <family val="3"/>
        <charset val="134"/>
      </rPr>
      <t>山东</t>
    </r>
  </si>
  <si>
    <t>山东</t>
  </si>
  <si>
    <r>
      <rPr>
        <sz val="11"/>
        <color theme="1"/>
        <rFont val="宋体"/>
        <family val="3"/>
        <charset val="134"/>
      </rPr>
      <t>河南</t>
    </r>
  </si>
  <si>
    <r>
      <rPr>
        <sz val="11"/>
        <color theme="1"/>
        <rFont val="宋体"/>
        <family val="3"/>
        <charset val="134"/>
      </rPr>
      <t>湖北</t>
    </r>
  </si>
  <si>
    <r>
      <rPr>
        <sz val="11"/>
        <color theme="1"/>
        <rFont val="宋体"/>
        <family val="3"/>
        <charset val="134"/>
      </rPr>
      <t>湖南</t>
    </r>
  </si>
  <si>
    <t>湖南</t>
  </si>
  <si>
    <r>
      <rPr>
        <sz val="11"/>
        <color theme="1"/>
        <rFont val="宋体"/>
        <family val="3"/>
        <charset val="134"/>
      </rPr>
      <t>广东</t>
    </r>
  </si>
  <si>
    <r>
      <rPr>
        <sz val="11"/>
        <color theme="1"/>
        <rFont val="宋体"/>
        <family val="3"/>
        <charset val="134"/>
      </rPr>
      <t>广西</t>
    </r>
  </si>
  <si>
    <r>
      <rPr>
        <sz val="11"/>
        <color theme="1"/>
        <rFont val="宋体"/>
        <family val="3"/>
        <charset val="134"/>
      </rPr>
      <t>海南</t>
    </r>
  </si>
  <si>
    <t>海南</t>
  </si>
  <si>
    <r>
      <rPr>
        <sz val="11"/>
        <color theme="1"/>
        <rFont val="宋体"/>
        <family val="3"/>
        <charset val="134"/>
      </rPr>
      <t>重庆</t>
    </r>
  </si>
  <si>
    <r>
      <rPr>
        <sz val="11"/>
        <color theme="1"/>
        <rFont val="宋体"/>
        <family val="3"/>
        <charset val="134"/>
      </rPr>
      <t>四川</t>
    </r>
  </si>
  <si>
    <r>
      <rPr>
        <sz val="11"/>
        <color theme="1"/>
        <rFont val="宋体"/>
        <family val="3"/>
        <charset val="134"/>
      </rPr>
      <t>贵州</t>
    </r>
  </si>
  <si>
    <r>
      <rPr>
        <sz val="11"/>
        <color theme="1"/>
        <rFont val="宋体"/>
        <family val="3"/>
        <charset val="134"/>
      </rPr>
      <t>云南</t>
    </r>
  </si>
  <si>
    <r>
      <rPr>
        <sz val="11"/>
        <color theme="1"/>
        <rFont val="宋体"/>
        <family val="3"/>
        <charset val="134"/>
      </rPr>
      <t>陕西</t>
    </r>
  </si>
  <si>
    <t>陕西</t>
  </si>
  <si>
    <r>
      <rPr>
        <sz val="11"/>
        <color theme="1"/>
        <rFont val="宋体"/>
        <family val="3"/>
        <charset val="134"/>
      </rPr>
      <t>甘肃</t>
    </r>
  </si>
  <si>
    <t>甘肃</t>
  </si>
  <si>
    <r>
      <rPr>
        <sz val="11"/>
        <color theme="1"/>
        <rFont val="宋体"/>
        <family val="3"/>
        <charset val="134"/>
      </rPr>
      <t>青海</t>
    </r>
  </si>
  <si>
    <t>青海</t>
  </si>
  <si>
    <r>
      <rPr>
        <sz val="11"/>
        <color theme="1"/>
        <rFont val="宋体"/>
        <family val="3"/>
        <charset val="134"/>
      </rPr>
      <t>宁夏</t>
    </r>
  </si>
  <si>
    <t>宁夏</t>
  </si>
  <si>
    <r>
      <rPr>
        <sz val="11"/>
        <color theme="1"/>
        <rFont val="宋体"/>
        <family val="3"/>
        <charset val="134"/>
      </rPr>
      <t>新疆</t>
    </r>
  </si>
  <si>
    <r>
      <rPr>
        <sz val="11"/>
        <color theme="1"/>
        <rFont val="宋体"/>
        <family val="3"/>
        <charset val="134"/>
      </rPr>
      <t>单位</t>
    </r>
    <r>
      <rPr>
        <sz val="11"/>
        <color theme="1"/>
        <rFont val="Times New Roman"/>
        <family val="3"/>
      </rPr>
      <t>GDP</t>
    </r>
    <r>
      <rPr>
        <sz val="11"/>
        <color theme="1"/>
        <rFont val="宋体"/>
        <family val="3"/>
        <charset val="134"/>
      </rPr>
      <t>能耗</t>
    </r>
    <phoneticPr fontId="1" type="noConversion"/>
  </si>
  <si>
    <t>上海</t>
    <phoneticPr fontId="1" type="noConversion"/>
  </si>
  <si>
    <t>河北</t>
    <phoneticPr fontId="1" type="noConversion"/>
  </si>
  <si>
    <t>山西</t>
    <phoneticPr fontId="1" type="noConversion"/>
  </si>
  <si>
    <t>std_deg</t>
    <phoneticPr fontId="1" type="noConversion"/>
  </si>
  <si>
    <r>
      <rPr>
        <sz val="11"/>
        <color theme="1"/>
        <rFont val="宋体"/>
        <family val="3"/>
        <charset val="134"/>
      </rPr>
      <t>单位</t>
    </r>
    <r>
      <rPr>
        <sz val="11"/>
        <color theme="1"/>
        <rFont val="Times New Roman"/>
        <family val="3"/>
        <charset val="134"/>
      </rPr>
      <t>GDP</t>
    </r>
    <r>
      <rPr>
        <sz val="11"/>
        <color theme="1"/>
        <rFont val="宋体"/>
        <family val="3"/>
        <charset val="134"/>
      </rPr>
      <t>能耗增长率</t>
    </r>
    <phoneticPr fontId="1" type="noConversion"/>
  </si>
  <si>
    <r>
      <rPr>
        <sz val="10"/>
        <color theme="1"/>
        <rFont val="等线"/>
        <family val="2"/>
      </rPr>
      <t>非化石能源占比</t>
    </r>
    <phoneticPr fontId="1" type="noConversion"/>
  </si>
  <si>
    <r>
      <t>CO2</t>
    </r>
    <r>
      <rPr>
        <sz val="11"/>
        <color theme="1"/>
        <rFont val="等线"/>
        <family val="1"/>
        <charset val="134"/>
      </rPr>
      <t>排放总量(万吨)</t>
    </r>
    <phoneticPr fontId="1" type="noConversion"/>
  </si>
  <si>
    <r>
      <rPr>
        <sz val="10"/>
        <color theme="1"/>
        <rFont val="等线"/>
        <family val="3"/>
        <charset val="134"/>
      </rPr>
      <t>非化石能源占比增长率</t>
    </r>
    <phoneticPr fontId="1" type="noConversion"/>
  </si>
  <si>
    <r>
      <rPr>
        <sz val="10"/>
        <color theme="1"/>
        <rFont val="宋体"/>
        <family val="1"/>
        <charset val="134"/>
      </rPr>
      <t>单位</t>
    </r>
    <r>
      <rPr>
        <sz val="10"/>
        <color theme="1"/>
        <rFont val="Times New Roman"/>
        <family val="1"/>
      </rPr>
      <t>GDP</t>
    </r>
    <r>
      <rPr>
        <sz val="10"/>
        <color theme="1"/>
        <rFont val="宋体"/>
        <family val="1"/>
        <charset val="134"/>
      </rPr>
      <t>碳排放量</t>
    </r>
    <phoneticPr fontId="1" type="noConversion"/>
  </si>
  <si>
    <r>
      <rPr>
        <sz val="10"/>
        <color theme="1"/>
        <rFont val="宋体"/>
        <family val="1"/>
        <charset val="134"/>
      </rPr>
      <t>单位</t>
    </r>
    <r>
      <rPr>
        <sz val="10"/>
        <color theme="1"/>
        <rFont val="Times New Roman"/>
        <family val="1"/>
      </rPr>
      <t>GDP</t>
    </r>
    <r>
      <rPr>
        <sz val="10"/>
        <color theme="1"/>
        <rFont val="宋体"/>
        <family val="1"/>
        <charset val="134"/>
      </rPr>
      <t>碳排放量增长率</t>
    </r>
    <phoneticPr fontId="1" type="noConversion"/>
  </si>
  <si>
    <t>file</t>
  </si>
  <si>
    <t>avg_direct_sim</t>
  </si>
  <si>
    <t>avg_direct_degree</t>
  </si>
  <si>
    <t>avg_hidden_degree</t>
  </si>
  <si>
    <t>2030年前碳达峰行动方案.docx</t>
  </si>
  <si>
    <t>上海市碳达峰实施方案.docx</t>
  </si>
  <si>
    <t>云南省碳达峰实施方案.docx</t>
  </si>
  <si>
    <t>内蒙古自治区碳达峰实施方案.docx</t>
  </si>
  <si>
    <t>北京市碳达峰实施方案.docx</t>
  </si>
  <si>
    <t>吉林省碳达峰实施方案.docx</t>
  </si>
  <si>
    <t>四川省碳达峰实施方案.docx</t>
  </si>
  <si>
    <t>天津市碳达峰实施方案.docx</t>
  </si>
  <si>
    <t>宁夏回族自治区碳达峰实施方案.docx</t>
  </si>
  <si>
    <t>安徽省碳达峰实施方案.docx</t>
  </si>
  <si>
    <t>山东省碳达峰实施方案.docx</t>
  </si>
  <si>
    <t>山西省碳达峰实施方案.docx</t>
  </si>
  <si>
    <t>广东省碳达峰实施方案.docx</t>
  </si>
  <si>
    <t>广西壮族自治区碳达峰实施方案.docx</t>
  </si>
  <si>
    <t>江苏省碳达峰实施方案.docx</t>
  </si>
  <si>
    <t>江西省碳达峰实施方案.docx</t>
  </si>
  <si>
    <t>河北省碳达峰实施方案.docx</t>
  </si>
  <si>
    <t>河南省碳达峰实施方案.docx</t>
  </si>
  <si>
    <t>海南省碳达峰实施方案.docx</t>
  </si>
  <si>
    <t>湖南省碳达峰实施方案.docx</t>
  </si>
  <si>
    <t>甘肃省碳达峰实施方案.docx</t>
  </si>
  <si>
    <t>贵州省碳达峰实施方案.docx</t>
  </si>
  <si>
    <t>辽宁省碳达峰实施方案.docx</t>
  </si>
  <si>
    <t>陕西省碳达峰实施方案.docx</t>
  </si>
  <si>
    <t>青海省碳达峰实施方案.docx</t>
  </si>
  <si>
    <t>主要目标</t>
    <phoneticPr fontId="1" type="noConversion"/>
  </si>
  <si>
    <t>主要目标_hid</t>
    <phoneticPr fontId="1" type="noConversion"/>
  </si>
  <si>
    <t>70相似度</t>
    <phoneticPr fontId="1" type="noConversion"/>
  </si>
  <si>
    <t>80相似度</t>
  </si>
  <si>
    <t>90相似度</t>
  </si>
  <si>
    <t>std_sim</t>
    <phoneticPr fontId="1" type="noConversion"/>
  </si>
  <si>
    <t>std_hid_deg</t>
    <phoneticPr fontId="1" type="noConversion"/>
  </si>
  <si>
    <t>std_主要目标</t>
    <phoneticPr fontId="1" type="noConversion"/>
  </si>
  <si>
    <t>std_hid_主要目标</t>
    <phoneticPr fontId="1" type="noConversion"/>
  </si>
  <si>
    <t>std_70</t>
    <phoneticPr fontId="1" type="noConversion"/>
  </si>
  <si>
    <t>std_80</t>
  </si>
  <si>
    <t>std_80</t>
    <phoneticPr fontId="1" type="noConversion"/>
  </si>
  <si>
    <t>std_90</t>
  </si>
  <si>
    <t>std_90</t>
    <phoneticPr fontId="1" type="noConversion"/>
  </si>
  <si>
    <t>target</t>
    <phoneticPr fontId="1" type="noConversion"/>
  </si>
  <si>
    <t>deg90</t>
    <phoneticPr fontId="1" type="noConversion"/>
  </si>
  <si>
    <t>deg70</t>
    <phoneticPr fontId="1" type="noConversion"/>
  </si>
  <si>
    <t>deg80</t>
    <phoneticPr fontId="1" type="noConversion"/>
  </si>
  <si>
    <r>
      <t>std_</t>
    </r>
    <r>
      <rPr>
        <sz val="11"/>
        <color theme="1"/>
        <rFont val="Times New Roman"/>
        <family val="3"/>
      </rPr>
      <t>target</t>
    </r>
    <phoneticPr fontId="1" type="noConversion"/>
  </si>
  <si>
    <r>
      <t>std_hid_</t>
    </r>
    <r>
      <rPr>
        <sz val="11"/>
        <color theme="1"/>
        <rFont val="Times New Roman"/>
        <family val="3"/>
      </rPr>
      <t>target</t>
    </r>
    <phoneticPr fontId="1" type="noConversion"/>
  </si>
  <si>
    <t>avg_direct_sim</t>
    <phoneticPr fontId="1" type="noConversion"/>
  </si>
  <si>
    <t>avg_direct_degree</t>
    <phoneticPr fontId="1" type="noConversion"/>
  </si>
  <si>
    <t>avg_hidden_degree</t>
    <phoneticPr fontId="1" type="noConversion"/>
  </si>
  <si>
    <r>
      <t>target</t>
    </r>
    <r>
      <rPr>
        <sz val="11"/>
        <color theme="1"/>
        <rFont val="Times New Roman"/>
        <family val="1"/>
      </rPr>
      <t>_hid</t>
    </r>
    <phoneticPr fontId="1" type="noConversion"/>
  </si>
  <si>
    <t>std_70</t>
    <phoneticPr fontId="1" type="noConversion"/>
  </si>
  <si>
    <t>std_hid_deg</t>
    <phoneticPr fontId="1" type="noConversion"/>
  </si>
  <si>
    <t>std_sim</t>
    <phoneticPr fontId="1" type="noConversion"/>
  </si>
  <si>
    <t>中央</t>
    <phoneticPr fontId="1" type="noConversion"/>
  </si>
  <si>
    <t>非化石能源</t>
    <phoneticPr fontId="1" type="noConversion"/>
  </si>
  <si>
    <t>能耗强度</t>
    <phoneticPr fontId="1" type="noConversion"/>
  </si>
  <si>
    <t>碳排强度</t>
    <phoneticPr fontId="1" type="noConversion"/>
  </si>
  <si>
    <t>非化石能源_155</t>
    <phoneticPr fontId="1" type="noConversion"/>
  </si>
  <si>
    <t>碳排强度_155</t>
    <phoneticPr fontId="1" type="noConversion"/>
  </si>
  <si>
    <t>a145</t>
    <phoneticPr fontId="1" type="noConversion"/>
  </si>
  <si>
    <t>b145</t>
    <phoneticPr fontId="1" type="noConversion"/>
  </si>
  <si>
    <t>c145</t>
    <phoneticPr fontId="1" type="noConversion"/>
  </si>
  <si>
    <t>a155</t>
    <phoneticPr fontId="1" type="noConversion"/>
  </si>
  <si>
    <t>c155</t>
    <phoneticPr fontId="1" type="noConversion"/>
  </si>
  <si>
    <t>std_a145</t>
    <phoneticPr fontId="1" type="noConversion"/>
  </si>
  <si>
    <t>std_b145</t>
    <phoneticPr fontId="1" type="noConversion"/>
  </si>
  <si>
    <t>std_c145</t>
    <phoneticPr fontId="1" type="noConversion"/>
  </si>
  <si>
    <t>std_a155</t>
    <phoneticPr fontId="1" type="noConversion"/>
  </si>
  <si>
    <t>std_c155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</si>
  <si>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</si>
  <si>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</si>
  <si>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</si>
  <si>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if_a</t>
    <phoneticPr fontId="1" type="noConversion"/>
  </si>
  <si>
    <t>if_b</t>
    <phoneticPr fontId="1" type="noConversion"/>
  </si>
  <si>
    <t>if_c</t>
    <phoneticPr fontId="1" type="noConversion"/>
  </si>
  <si>
    <t>if_a_155</t>
    <phoneticPr fontId="1" type="noConversion"/>
  </si>
  <si>
    <t>if_c_155</t>
    <phoneticPr fontId="1" type="noConversion"/>
  </si>
  <si>
    <t>解释</t>
    <phoneticPr fontId="1" type="noConversion"/>
  </si>
  <si>
    <t>自变量</t>
    <phoneticPr fontId="1" type="noConversion"/>
  </si>
  <si>
    <t>中央文件发布后地方是否有跟进发布地方文件</t>
    <phoneticPr fontId="1" type="noConversion"/>
  </si>
  <si>
    <t>地方在该年是否出台地方文件</t>
    <phoneticPr fontId="1" type="noConversion"/>
  </si>
  <si>
    <t>中央是否在该年出台中央文件</t>
    <phoneticPr fontId="1" type="noConversion"/>
  </si>
  <si>
    <t>相似度</t>
    <phoneticPr fontId="1" type="noConversion"/>
  </si>
  <si>
    <t>相对语调</t>
    <phoneticPr fontId="1" type="noConversion"/>
  </si>
  <si>
    <t>隐式相对语调（最相近十个句子的平均）</t>
    <phoneticPr fontId="1" type="noConversion"/>
  </si>
  <si>
    <t>“主要目标”段落的相对语调</t>
    <phoneticPr fontId="1" type="noConversion"/>
  </si>
  <si>
    <t>“主要目标”段落的隐式相对语调</t>
    <phoneticPr fontId="1" type="noConversion"/>
  </si>
  <si>
    <t>控制相似度阈值为70的相对语调</t>
    <phoneticPr fontId="1" type="noConversion"/>
  </si>
  <si>
    <t>控制相似度阈值为80的相对语调</t>
    <phoneticPr fontId="1" type="noConversion"/>
  </si>
  <si>
    <t>控制相似度阈值为90的相对语调</t>
    <phoneticPr fontId="1" type="noConversion"/>
  </si>
  <si>
    <t>avg_direct_sim标准化</t>
    <phoneticPr fontId="1" type="noConversion"/>
  </si>
  <si>
    <t>avg_direct_degree标准化</t>
    <phoneticPr fontId="1" type="noConversion"/>
  </si>
  <si>
    <t>avg_hidden_degree标准化</t>
    <phoneticPr fontId="1" type="noConversion"/>
  </si>
  <si>
    <t>deg70标准化</t>
    <phoneticPr fontId="1" type="noConversion"/>
  </si>
  <si>
    <t>deg80标准化</t>
    <phoneticPr fontId="1" type="noConversion"/>
  </si>
  <si>
    <t>deg90标准化</t>
  </si>
  <si>
    <t>target标准化</t>
    <phoneticPr fontId="1" type="noConversion"/>
  </si>
  <si>
    <t>target_hid标准化</t>
    <phoneticPr fontId="1" type="noConversion"/>
  </si>
  <si>
    <t>十四五期间能耗强目标下降百分比</t>
    <phoneticPr fontId="1" type="noConversion"/>
  </si>
  <si>
    <t>十四五期碳排强度目标下降百分比</t>
    <phoneticPr fontId="1" type="noConversion"/>
  </si>
  <si>
    <t>十四五期间目标非化石能源占比</t>
    <phoneticPr fontId="1" type="noConversion"/>
  </si>
  <si>
    <t>十五五期间目标非化石能源占比</t>
    <phoneticPr fontId="1" type="noConversion"/>
  </si>
  <si>
    <t>十五五期碳排强度目标下降百分比</t>
    <phoneticPr fontId="1" type="noConversion"/>
  </si>
  <si>
    <t>地方目标/中央目标</t>
    <phoneticPr fontId="1" type="noConversion"/>
  </si>
  <si>
    <t>十四五、十五五合并结果</t>
    <phoneticPr fontId="1" type="noConversion"/>
  </si>
  <si>
    <t>地方目标是否强于中央（1/0/-1）</t>
    <phoneticPr fontId="1" type="noConversion"/>
  </si>
  <si>
    <t>地方目标是否强于中央（1/0/-2）</t>
  </si>
  <si>
    <t>地方目标是否强于中央（1/0/-3）</t>
  </si>
  <si>
    <t>地方目标是否强于中央（1/0/-4）</t>
  </si>
  <si>
    <t>地方目标是否强于中央（1/0/-5）</t>
  </si>
  <si>
    <t>因变量</t>
    <phoneticPr fontId="1" type="noConversion"/>
  </si>
  <si>
    <t>-</t>
    <phoneticPr fontId="1" type="noConversion"/>
  </si>
  <si>
    <r>
      <rPr>
        <sz val="11"/>
        <rFont val="宋体"/>
        <family val="3"/>
        <charset val="134"/>
      </rPr>
      <t>生产总值（亿元）</t>
    </r>
  </si>
  <si>
    <t>工业结构</t>
  </si>
  <si>
    <t>城市化水平</t>
  </si>
  <si>
    <t>人口密度</t>
  </si>
  <si>
    <t>技术进步</t>
  </si>
  <si>
    <t>财政自给率</t>
  </si>
  <si>
    <t>post0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</si>
</sst>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);[Red]\(0.00\)"/>
    <numFmt numFmtId="178" formatCode="0.00_ "/>
    <numFmt numFmtId="179" formatCode="0.0000_ "/>
  </numFmts>
  <fonts count="2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等线"/>
      <family val="2"/>
    </font>
    <font>
      <sz val="11"/>
      <color theme="1"/>
      <name val="等线"/>
      <family val="1"/>
      <charset val="134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Times New Roman"/>
      <family val="1"/>
      <charset val="134"/>
    </font>
    <font>
      <sz val="10"/>
      <color theme="1"/>
      <name val="宋体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>
      <alignment vertical="center"/>
    </xf>
  </cellStyleXfs>
  <cellXfs count="4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/>
    </xf>
    <xf numFmtId="0" fontId="7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7" fillId="3" borderId="0" xfId="0" applyFont="1" applyFill="1" applyAlignment="1">
      <alignment horizontal="center" vertical="center" wrapText="1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178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77" fontId="9" fillId="0" borderId="1" xfId="2" applyNumberFormat="1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/>
    </xf>
    <xf numFmtId="177" fontId="22" fillId="0" borderId="0" xfId="0" applyNumberFormat="1" applyFont="1" applyAlignment="1">
      <alignment horizontal="left"/>
    </xf>
    <xf numFmtId="178" fontId="21" fillId="5" borderId="0" xfId="0" applyNumberFormat="1" applyFont="1" applyFill="1" applyAlignment="1">
      <alignment horizontal="center"/>
    </xf>
    <xf numFmtId="0" fontId="22" fillId="5" borderId="0" xfId="0" applyFont="1" applyFill="1"/>
    <xf numFmtId="0" fontId="3" fillId="6" borderId="0" xfId="0" applyFont="1" applyFill="1" applyAlignment="1">
      <alignment horizontal="center" vertical="center"/>
    </xf>
    <xf numFmtId="0" fontId="15" fillId="6" borderId="0" xfId="0" applyFont="1" applyFill="1"/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79" fontId="12" fillId="6" borderId="0" xfId="0" applyNumberFormat="1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178" fontId="0" fillId="6" borderId="0" xfId="0" applyNumberFormat="1" applyFill="1"/>
    <xf numFmtId="0" fontId="0" fillId="7" borderId="0" xfId="0" applyFill="1" applyAlignment="1">
      <alignment horizontal="center" vertical="center"/>
    </xf>
  </cellXfs>
  <cellStyles count="3">
    <cellStyle name="常规" xfId="0" builtinId="0"/>
    <cellStyle name="常规 2" xfId="1" xr:uid="{3E388BCC-8E7E-4646-BC21-FF12E3278AC0}"/>
    <cellStyle name="常规 3" xfId="2" xr:uid="{A1169637-08AB-4489-B603-4A772DC8E8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CB0B-A000-407F-B163-14ABA742E5CA}">
  <dimension ref="A1:BC241"/>
  <sheetViews>
    <sheetView tabSelected="1" zoomScale="85" zoomScaleNormal="85" workbookViewId="0">
      <selection activeCell="R8" sqref="R8"/>
    </sheetView>
  </sheetViews>
  <sheetFormatPr defaultRowHeight="13.8" x14ac:dyDescent="0.25"/>
  <cols>
    <col min="5" max="5" width="12.77734375" bestFit="1" customWidth="1"/>
    <col min="6" max="6" width="14" style="34" bestFit="1" customWidth="1"/>
    <col min="7" max="7" width="14" bestFit="1" customWidth="1"/>
    <col min="8" max="8" width="20.5546875" style="13" customWidth="1"/>
    <col min="9" max="9" width="16.5546875" style="16" customWidth="1"/>
    <col min="10" max="12" width="16.5546875" style="2" customWidth="1"/>
    <col min="13" max="32" width="8.88671875" customWidth="1"/>
    <col min="52" max="55" width="13.33203125" bestFit="1" customWidth="1"/>
  </cols>
  <sheetData>
    <row r="1" spans="1:55" ht="57.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55</v>
      </c>
      <c r="F1" s="29" t="s">
        <v>174</v>
      </c>
      <c r="G1" s="11" t="s">
        <v>48</v>
      </c>
      <c r="H1" s="11" t="s">
        <v>53</v>
      </c>
      <c r="I1" s="15" t="s">
        <v>54</v>
      </c>
      <c r="J1" s="15" t="s">
        <v>56</v>
      </c>
      <c r="K1" s="18" t="s">
        <v>57</v>
      </c>
      <c r="L1" s="18" t="s">
        <v>58</v>
      </c>
      <c r="M1" s="12" t="s">
        <v>180</v>
      </c>
      <c r="N1" s="12" t="s">
        <v>0</v>
      </c>
      <c r="O1" s="12" t="s">
        <v>6</v>
      </c>
      <c r="P1" s="12" t="s">
        <v>1</v>
      </c>
      <c r="Q1" s="12" t="s">
        <v>108</v>
      </c>
      <c r="R1" s="12" t="s">
        <v>109</v>
      </c>
      <c r="S1" s="12" t="s">
        <v>110</v>
      </c>
      <c r="T1" s="23" t="s">
        <v>102</v>
      </c>
      <c r="U1" s="23" t="s">
        <v>111</v>
      </c>
      <c r="V1" s="22" t="s">
        <v>104</v>
      </c>
      <c r="W1" s="22" t="s">
        <v>105</v>
      </c>
      <c r="X1" s="22" t="s">
        <v>103</v>
      </c>
      <c r="Y1" s="12" t="s">
        <v>114</v>
      </c>
      <c r="Z1" s="12" t="s">
        <v>52</v>
      </c>
      <c r="AA1" s="12" t="s">
        <v>113</v>
      </c>
      <c r="AB1" s="12" t="s">
        <v>106</v>
      </c>
      <c r="AC1" s="12" t="s">
        <v>107</v>
      </c>
      <c r="AD1" s="12" t="s">
        <v>112</v>
      </c>
      <c r="AE1" s="12" t="s">
        <v>98</v>
      </c>
      <c r="AF1" s="12" t="s">
        <v>100</v>
      </c>
      <c r="AG1" s="12" t="s">
        <v>121</v>
      </c>
      <c r="AH1" s="12" t="s">
        <v>122</v>
      </c>
      <c r="AI1" s="12" t="s">
        <v>123</v>
      </c>
      <c r="AJ1" s="12" t="s">
        <v>124</v>
      </c>
      <c r="AK1" s="12" t="s">
        <v>125</v>
      </c>
      <c r="AL1" s="12" t="s">
        <v>126</v>
      </c>
      <c r="AM1" s="12" t="s">
        <v>127</v>
      </c>
      <c r="AN1" s="12" t="s">
        <v>128</v>
      </c>
      <c r="AO1" s="12" t="s">
        <v>129</v>
      </c>
      <c r="AP1" s="12" t="s">
        <v>130</v>
      </c>
      <c r="AQ1" s="12" t="s">
        <v>131</v>
      </c>
      <c r="AR1" s="12" t="s">
        <v>132</v>
      </c>
      <c r="AS1" s="12" t="s">
        <v>133</v>
      </c>
      <c r="AT1" s="12" t="s">
        <v>134</v>
      </c>
      <c r="AU1" s="12" t="s">
        <v>135</v>
      </c>
      <c r="AV1" s="12" t="s">
        <v>136</v>
      </c>
      <c r="AW1" s="12" t="s">
        <v>137</v>
      </c>
      <c r="AX1" s="12" t="s">
        <v>138</v>
      </c>
      <c r="AY1" s="43" t="s">
        <v>175</v>
      </c>
      <c r="AZ1" s="43" t="s">
        <v>176</v>
      </c>
      <c r="BA1" s="43" t="s">
        <v>177</v>
      </c>
      <c r="BB1" s="43" t="s">
        <v>178</v>
      </c>
      <c r="BC1" s="43" t="s">
        <v>179</v>
      </c>
    </row>
    <row r="2" spans="1:55" s="40" customFormat="1" ht="14.4" x14ac:dyDescent="0.25">
      <c r="A2" s="35">
        <v>1</v>
      </c>
      <c r="B2" s="35" t="s">
        <v>7</v>
      </c>
      <c r="C2" s="35">
        <v>2016</v>
      </c>
      <c r="D2" s="35">
        <v>6917</v>
      </c>
      <c r="E2" s="36">
        <v>7413.4216635208295</v>
      </c>
      <c r="F2" s="37">
        <v>25669.13</v>
      </c>
      <c r="G2" s="38">
        <f>D2/F2</f>
        <v>0.26946764459878458</v>
      </c>
      <c r="H2" s="35"/>
      <c r="I2" s="39">
        <v>0.35776976242132996</v>
      </c>
      <c r="J2" s="35"/>
      <c r="K2" s="40">
        <f>E2/F2</f>
        <v>0.28880689230686157</v>
      </c>
      <c r="M2" s="35">
        <v>0</v>
      </c>
      <c r="N2" s="35">
        <v>0</v>
      </c>
      <c r="O2" s="35">
        <v>0</v>
      </c>
      <c r="P2" s="41">
        <v>1</v>
      </c>
      <c r="Q2" s="40">
        <v>0.75759066304852885</v>
      </c>
      <c r="R2" s="40">
        <v>0.49120234604105573</v>
      </c>
      <c r="S2" s="40">
        <v>0.19192210119629469</v>
      </c>
      <c r="T2" s="40">
        <v>1.1000000000000001</v>
      </c>
      <c r="U2" s="40">
        <v>-2.999999999999994E-2</v>
      </c>
      <c r="V2" s="40">
        <v>0.5178571428571429</v>
      </c>
      <c r="W2" s="40">
        <v>0.243801652892562</v>
      </c>
      <c r="X2" s="40">
        <v>0.8571428571428571</v>
      </c>
      <c r="Y2" s="40">
        <v>0</v>
      </c>
      <c r="Z2" s="42">
        <v>0.35300316122233916</v>
      </c>
      <c r="AA2" s="42">
        <v>0.13763136932874845</v>
      </c>
      <c r="AB2" s="42">
        <v>0.31428571428571433</v>
      </c>
      <c r="AC2" s="42">
        <v>-1.7441860465116244E-2</v>
      </c>
      <c r="AD2" s="42">
        <v>0.41857142857142871</v>
      </c>
      <c r="AE2" s="42">
        <v>0.2606370611485701</v>
      </c>
      <c r="AF2" s="42">
        <v>1</v>
      </c>
      <c r="AG2" s="40">
        <v>0.14400000000000002</v>
      </c>
      <c r="AH2" s="40">
        <v>0.14000000000000001</v>
      </c>
      <c r="AI2" s="40">
        <v>0.18</v>
      </c>
      <c r="AJ2" s="40">
        <v>0.25</v>
      </c>
      <c r="AK2" s="40">
        <v>0.65</v>
      </c>
      <c r="AL2" s="40">
        <v>0.72000000000000008</v>
      </c>
      <c r="AM2" s="40">
        <v>1.037037037037037</v>
      </c>
      <c r="AN2" s="40">
        <v>1</v>
      </c>
      <c r="AO2" s="40">
        <v>1</v>
      </c>
      <c r="AP2" s="40">
        <v>1</v>
      </c>
      <c r="AQ2" s="40">
        <f>AVERAGE(AL2,AO2)</f>
        <v>0.8600000000000001</v>
      </c>
      <c r="AR2" s="40">
        <f>AVERAGE(AM2)</f>
        <v>1.037037037037037</v>
      </c>
      <c r="AS2" s="40">
        <f>AVERAGE(AN2,AP2)</f>
        <v>1</v>
      </c>
      <c r="AT2" s="40" cm="1">
        <f t="array" ref="AT2">_xlfn.IFS(AG2&gt;sheet2!$C$2,1,AG2=sheet2!$C$2,0,AG2&lt;sheet2!$C$2,-1)</f>
        <v>-1</v>
      </c>
      <c r="AU2" s="40" cm="1">
        <f t="array" ref="AU2">_xlfn.IFS(AH2&gt;sheet2!$D$2,1,AH2=sheet2!$D$2,0,AH2&lt;sheet2!$D$2,-1)</f>
        <v>1</v>
      </c>
      <c r="AV2" s="40" cm="1">
        <f t="array" ref="AV2">_xlfn.IFS(AI2&gt;sheet2!$E$2,1,AI2=sheet2!$E$2,0,AI2&lt;sheet2!$E$2,-1)</f>
        <v>0</v>
      </c>
      <c r="AW2" s="40" cm="1">
        <f t="array" ref="AW2">_xlfn.IFS(AJ2&gt;sheet2!$F$2,1,AJ2=sheet2!$F$2,0,AJ2&lt;sheet2!$F$2,-1)</f>
        <v>0</v>
      </c>
      <c r="AX2" s="40" cm="1">
        <f t="array" ref="AX2">_xlfn.IFS(AK2&gt;sheet2!$G$2,1,AK2=sheet2!$G$2,0,AK2&lt;sheet2!$G$2,-1)</f>
        <v>0</v>
      </c>
      <c r="AY2" s="40">
        <v>0.18176697067645067</v>
      </c>
      <c r="AZ2" s="40">
        <v>0.86742596810933936</v>
      </c>
      <c r="BA2" s="40">
        <v>0.1337925149335609</v>
      </c>
      <c r="BB2" s="40">
        <v>9.9280069094667411E-3</v>
      </c>
      <c r="BC2" s="40">
        <v>0.79310791553310012</v>
      </c>
    </row>
    <row r="3" spans="1:55" ht="14.4" x14ac:dyDescent="0.25">
      <c r="A3" s="2">
        <v>1</v>
      </c>
      <c r="B3" s="2" t="s">
        <v>7</v>
      </c>
      <c r="C3" s="2">
        <v>2017</v>
      </c>
      <c r="D3" s="2">
        <v>7088</v>
      </c>
      <c r="E3" s="17">
        <v>7623.3830489121301</v>
      </c>
      <c r="F3" s="5">
        <v>28014.94</v>
      </c>
      <c r="G3" s="3">
        <f t="shared" ref="G3:G66" si="0">D3/F3</f>
        <v>0.25300785937788911</v>
      </c>
      <c r="H3" s="2">
        <f t="shared" ref="H3:H67" si="1">(G3-G2)/G2</f>
        <v>-6.1082603239445518E-2</v>
      </c>
      <c r="I3" s="14">
        <v>0.36853607721180265</v>
      </c>
      <c r="J3" s="2">
        <f t="shared" ref="J3:J8" si="2">(I3-I2)/I2</f>
        <v>3.0092858372401141E-2</v>
      </c>
      <c r="K3">
        <f t="shared" ref="K3:K66" si="3">E3/F3</f>
        <v>0.2721184856691512</v>
      </c>
      <c r="L3">
        <f t="shared" ref="L3:L67" si="4">(K3-K2)/K2</f>
        <v>-5.7783962510072978E-2</v>
      </c>
      <c r="M3" s="2">
        <v>0</v>
      </c>
      <c r="N3" s="2">
        <v>0</v>
      </c>
      <c r="O3" s="2">
        <v>0</v>
      </c>
      <c r="P3" s="4">
        <v>1</v>
      </c>
      <c r="Q3" s="40">
        <v>0.75759066304852885</v>
      </c>
      <c r="R3" s="40">
        <v>0.49120234604105573</v>
      </c>
      <c r="S3" s="40">
        <v>0.19192210119629469</v>
      </c>
      <c r="T3" s="40">
        <v>1.1000000000000001</v>
      </c>
      <c r="U3" s="40">
        <v>-2.999999999999994E-2</v>
      </c>
      <c r="V3" s="40">
        <v>0.5178571428571429</v>
      </c>
      <c r="W3" s="40">
        <v>0.243801652892562</v>
      </c>
      <c r="X3" s="40">
        <v>0.8571428571428571</v>
      </c>
      <c r="Y3" s="40">
        <v>0</v>
      </c>
      <c r="Z3" s="42">
        <v>0.35300316122233916</v>
      </c>
      <c r="AA3" s="42">
        <v>0.13763136932874845</v>
      </c>
      <c r="AB3" s="42">
        <v>0.31428571428571433</v>
      </c>
      <c r="AC3" s="42">
        <v>-1.7441860465116244E-2</v>
      </c>
      <c r="AD3" s="42">
        <v>0.41857142857142871</v>
      </c>
      <c r="AE3" s="42">
        <v>0.2606370611485701</v>
      </c>
      <c r="AF3" s="42">
        <v>1</v>
      </c>
      <c r="AG3" s="40">
        <v>0.14400000000000002</v>
      </c>
      <c r="AH3" s="40">
        <v>0.14000000000000001</v>
      </c>
      <c r="AI3" s="40">
        <v>0.18</v>
      </c>
      <c r="AJ3" s="40">
        <v>0.25</v>
      </c>
      <c r="AK3" s="40">
        <v>0.65</v>
      </c>
      <c r="AL3" s="40">
        <v>0.72000000000000008</v>
      </c>
      <c r="AM3" s="40">
        <v>1.037037037037037</v>
      </c>
      <c r="AN3" s="40">
        <v>1</v>
      </c>
      <c r="AO3" s="40">
        <v>1</v>
      </c>
      <c r="AP3" s="40">
        <v>1</v>
      </c>
      <c r="AQ3" s="40">
        <f t="shared" ref="AQ3:AQ9" si="5">AVERAGE(AL3,AO3)</f>
        <v>0.8600000000000001</v>
      </c>
      <c r="AR3" s="40">
        <f t="shared" ref="AR3:AR9" si="6">AVERAGE(AM3)</f>
        <v>1.037037037037037</v>
      </c>
      <c r="AS3" s="40">
        <f t="shared" ref="AS3:AS9" si="7">AVERAGE(AN3,AP3)</f>
        <v>1</v>
      </c>
      <c r="AT3" s="40" cm="1">
        <f t="array" ref="AT3">_xlfn.IFS(AG3&gt;sheet2!$C$2,1,AG3=sheet2!$C$2,0,AG3&lt;sheet2!$C$2,-1)</f>
        <v>-1</v>
      </c>
      <c r="AU3" s="40" cm="1">
        <f t="array" ref="AU3">_xlfn.IFS(AH3&gt;sheet2!$D$2,1,AH3=sheet2!$D$2,0,AH3&lt;sheet2!$D$2,-1)</f>
        <v>1</v>
      </c>
      <c r="AV3" s="40" cm="1">
        <f t="array" ref="AV3">_xlfn.IFS(AI3&gt;sheet2!$E$2,1,AI3=sheet2!$E$2,0,AI3&lt;sheet2!$E$2,-1)</f>
        <v>0</v>
      </c>
      <c r="AW3" s="40" cm="1">
        <f t="array" ref="AW3">_xlfn.IFS(AJ3&gt;sheet2!$F$2,1,AJ3=sheet2!$F$2,0,AJ3&lt;sheet2!$F$2,-1)</f>
        <v>0</v>
      </c>
      <c r="AX3" s="40" cm="1">
        <f t="array" ref="AX3">_xlfn.IFS(AK3&gt;sheet2!$G$2,1,AK3=sheet2!$G$2,0,AK3&lt;sheet2!$G$2,-1)</f>
        <v>0</v>
      </c>
      <c r="AY3">
        <v>0.1802395436149426</v>
      </c>
      <c r="AZ3">
        <v>0.86918869644484964</v>
      </c>
      <c r="BA3">
        <v>0.13373156162379618</v>
      </c>
      <c r="BB3">
        <v>9.6050571587874192E-3</v>
      </c>
      <c r="BC3">
        <v>0.79577494713921693</v>
      </c>
    </row>
    <row r="4" spans="1:55" ht="14.4" x14ac:dyDescent="0.25">
      <c r="A4" s="2">
        <v>1</v>
      </c>
      <c r="B4" s="2" t="s">
        <v>7</v>
      </c>
      <c r="C4" s="2">
        <v>2018</v>
      </c>
      <c r="D4" s="2">
        <v>7270</v>
      </c>
      <c r="E4" s="17">
        <v>7770.4186717307803</v>
      </c>
      <c r="F4" s="5">
        <v>30319.98</v>
      </c>
      <c r="G4" s="3">
        <f t="shared" si="0"/>
        <v>0.23977588375717926</v>
      </c>
      <c r="H4" s="2">
        <f t="shared" si="1"/>
        <v>-5.2298674251643515E-2</v>
      </c>
      <c r="I4" s="14">
        <v>0.38943710048553515</v>
      </c>
      <c r="J4" s="2">
        <f t="shared" si="2"/>
        <v>5.6713642343678608E-2</v>
      </c>
      <c r="K4">
        <f t="shared" si="3"/>
        <v>0.25628046825000478</v>
      </c>
      <c r="L4">
        <f t="shared" si="4"/>
        <v>-5.8202651614057188E-2</v>
      </c>
      <c r="M4" s="2">
        <v>0</v>
      </c>
      <c r="N4" s="2">
        <v>0</v>
      </c>
      <c r="O4" s="2">
        <v>0</v>
      </c>
      <c r="P4" s="4">
        <v>1</v>
      </c>
      <c r="Q4" s="40">
        <v>0.75759066304852885</v>
      </c>
      <c r="R4" s="40">
        <v>0.49120234604105573</v>
      </c>
      <c r="S4" s="40">
        <v>0.19192210119629469</v>
      </c>
      <c r="T4" s="40">
        <v>1.1000000000000001</v>
      </c>
      <c r="U4" s="40">
        <v>-2.999999999999994E-2</v>
      </c>
      <c r="V4" s="40">
        <v>0.5178571428571429</v>
      </c>
      <c r="W4" s="40">
        <v>0.243801652892562</v>
      </c>
      <c r="X4" s="40">
        <v>0.8571428571428571</v>
      </c>
      <c r="Y4" s="40">
        <v>0</v>
      </c>
      <c r="Z4" s="42">
        <v>0.35300316122233916</v>
      </c>
      <c r="AA4" s="42">
        <v>0.13763136932874845</v>
      </c>
      <c r="AB4" s="42">
        <v>0.31428571428571433</v>
      </c>
      <c r="AC4" s="42">
        <v>-1.7441860465116244E-2</v>
      </c>
      <c r="AD4" s="42">
        <v>0.41857142857142871</v>
      </c>
      <c r="AE4" s="42">
        <v>0.2606370611485701</v>
      </c>
      <c r="AF4" s="42">
        <v>1</v>
      </c>
      <c r="AG4" s="40">
        <v>0.14400000000000002</v>
      </c>
      <c r="AH4" s="40">
        <v>0.14000000000000001</v>
      </c>
      <c r="AI4" s="40">
        <v>0.18</v>
      </c>
      <c r="AJ4" s="40">
        <v>0.25</v>
      </c>
      <c r="AK4" s="40">
        <v>0.65</v>
      </c>
      <c r="AL4" s="40">
        <v>0.72000000000000008</v>
      </c>
      <c r="AM4" s="40">
        <v>1.037037037037037</v>
      </c>
      <c r="AN4" s="40">
        <v>1</v>
      </c>
      <c r="AO4" s="40">
        <v>1</v>
      </c>
      <c r="AP4" s="40">
        <v>1</v>
      </c>
      <c r="AQ4" s="40">
        <f t="shared" si="5"/>
        <v>0.8600000000000001</v>
      </c>
      <c r="AR4" s="40">
        <f t="shared" si="6"/>
        <v>1.037037037037037</v>
      </c>
      <c r="AS4" s="40">
        <f t="shared" si="7"/>
        <v>1</v>
      </c>
      <c r="AT4" s="40" cm="1">
        <f t="array" ref="AT4">_xlfn.IFS(AG4&gt;sheet2!$C$2,1,AG4=sheet2!$C$2,0,AG4&lt;sheet2!$C$2,-1)</f>
        <v>-1</v>
      </c>
      <c r="AU4" s="40" cm="1">
        <f t="array" ref="AU4">_xlfn.IFS(AH4&gt;sheet2!$D$2,1,AH4=sheet2!$D$2,0,AH4&lt;sheet2!$D$2,-1)</f>
        <v>1</v>
      </c>
      <c r="AV4" s="40" cm="1">
        <f t="array" ref="AV4">_xlfn.IFS(AI4&gt;sheet2!$E$2,1,AI4=sheet2!$E$2,0,AI4&lt;sheet2!$E$2,-1)</f>
        <v>0</v>
      </c>
      <c r="AW4" s="40" cm="1">
        <f t="array" ref="AW4">_xlfn.IFS(AJ4&gt;sheet2!$F$2,1,AJ4=sheet2!$F$2,0,AJ4&lt;sheet2!$F$2,-1)</f>
        <v>0</v>
      </c>
      <c r="AX4" s="40" cm="1">
        <f t="array" ref="AX4">_xlfn.IFS(AK4&gt;sheet2!$G$2,1,AK4=sheet2!$G$2,0,AK4&lt;sheet2!$G$2,-1)</f>
        <v>0</v>
      </c>
      <c r="AY4">
        <v>0.1806531534651408</v>
      </c>
      <c r="AZ4">
        <v>0.87089416058394165</v>
      </c>
      <c r="BA4">
        <v>0.13360965500426672</v>
      </c>
      <c r="BB4">
        <v>9.0372849850164812E-3</v>
      </c>
      <c r="BC4">
        <v>0.77440597047686988</v>
      </c>
    </row>
    <row r="5" spans="1:55" ht="14.4" x14ac:dyDescent="0.25">
      <c r="A5" s="2">
        <v>1</v>
      </c>
      <c r="B5" s="2" t="s">
        <v>7</v>
      </c>
      <c r="C5" s="2">
        <v>2019</v>
      </c>
      <c r="D5" s="2">
        <v>7360</v>
      </c>
      <c r="E5" s="17">
        <v>7804.4413078078805</v>
      </c>
      <c r="F5" s="5">
        <v>35371.279999999999</v>
      </c>
      <c r="G5" s="3">
        <f t="shared" si="0"/>
        <v>0.20807841842308222</v>
      </c>
      <c r="H5" s="2">
        <f t="shared" si="1"/>
        <v>-0.13219621939209292</v>
      </c>
      <c r="I5" s="14">
        <v>0.3937850751222417</v>
      </c>
      <c r="J5" s="2">
        <f t="shared" si="2"/>
        <v>1.116476738165333E-2</v>
      </c>
      <c r="K5">
        <f t="shared" si="3"/>
        <v>0.22064345163103741</v>
      </c>
      <c r="L5">
        <f t="shared" si="4"/>
        <v>-0.13905475068901083</v>
      </c>
      <c r="M5" s="2">
        <v>0</v>
      </c>
      <c r="N5" s="2">
        <v>0</v>
      </c>
      <c r="O5" s="2">
        <v>0</v>
      </c>
      <c r="P5" s="4">
        <v>1</v>
      </c>
      <c r="Q5" s="40">
        <v>0.75759066304852885</v>
      </c>
      <c r="R5" s="40">
        <v>0.49120234604105573</v>
      </c>
      <c r="S5" s="40">
        <v>0.19192210119629469</v>
      </c>
      <c r="T5" s="40">
        <v>1.1000000000000001</v>
      </c>
      <c r="U5" s="40">
        <v>-2.999999999999994E-2</v>
      </c>
      <c r="V5" s="40">
        <v>0.5178571428571429</v>
      </c>
      <c r="W5" s="40">
        <v>0.243801652892562</v>
      </c>
      <c r="X5" s="40">
        <v>0.8571428571428571</v>
      </c>
      <c r="Y5" s="40">
        <v>0</v>
      </c>
      <c r="Z5" s="42">
        <v>0.35300316122233916</v>
      </c>
      <c r="AA5" s="42">
        <v>0.13763136932874845</v>
      </c>
      <c r="AB5" s="42">
        <v>0.31428571428571433</v>
      </c>
      <c r="AC5" s="42">
        <v>-1.7441860465116244E-2</v>
      </c>
      <c r="AD5" s="42">
        <v>0.41857142857142871</v>
      </c>
      <c r="AE5" s="42">
        <v>0.2606370611485701</v>
      </c>
      <c r="AF5" s="42">
        <v>1</v>
      </c>
      <c r="AG5" s="40">
        <v>0.14400000000000002</v>
      </c>
      <c r="AH5" s="40">
        <v>0.14000000000000001</v>
      </c>
      <c r="AI5" s="40">
        <v>0.18</v>
      </c>
      <c r="AJ5" s="40">
        <v>0.25</v>
      </c>
      <c r="AK5" s="40">
        <v>0.65</v>
      </c>
      <c r="AL5" s="40">
        <v>0.72000000000000008</v>
      </c>
      <c r="AM5" s="40">
        <v>1.037037037037037</v>
      </c>
      <c r="AN5" s="40">
        <v>1</v>
      </c>
      <c r="AO5" s="40">
        <v>1</v>
      </c>
      <c r="AP5" s="40">
        <v>1</v>
      </c>
      <c r="AQ5" s="40">
        <f t="shared" si="5"/>
        <v>0.8600000000000001</v>
      </c>
      <c r="AR5" s="40">
        <f t="shared" si="6"/>
        <v>1.037037037037037</v>
      </c>
      <c r="AS5" s="40">
        <f t="shared" si="7"/>
        <v>1</v>
      </c>
      <c r="AT5" s="40" cm="1">
        <f t="array" ref="AT5">_xlfn.IFS(AG5&gt;sheet2!$C$2,1,AG5=sheet2!$C$2,0,AG5&lt;sheet2!$C$2,-1)</f>
        <v>-1</v>
      </c>
      <c r="AU5" s="40" cm="1">
        <f t="array" ref="AU5">_xlfn.IFS(AH5&gt;sheet2!$D$2,1,AH5=sheet2!$D$2,0,AH5&lt;sheet2!$D$2,-1)</f>
        <v>1</v>
      </c>
      <c r="AV5" s="40" cm="1">
        <f t="array" ref="AV5">_xlfn.IFS(AI5&gt;sheet2!$E$2,1,AI5=sheet2!$E$2,0,AI5&lt;sheet2!$E$2,-1)</f>
        <v>0</v>
      </c>
      <c r="AW5" s="40" cm="1">
        <f t="array" ref="AW5">_xlfn.IFS(AJ5&gt;sheet2!$F$2,1,AJ5=sheet2!$F$2,0,AJ5&lt;sheet2!$F$2,-1)</f>
        <v>0</v>
      </c>
      <c r="AX5" s="40" cm="1">
        <f t="array" ref="AX5">_xlfn.IFS(AK5&gt;sheet2!$G$2,1,AK5=sheet2!$G$2,0,AK5&lt;sheet2!$G$2,-1)</f>
        <v>0</v>
      </c>
      <c r="AY5">
        <v>0.16433954326787156</v>
      </c>
      <c r="AZ5">
        <v>0.87351598173515976</v>
      </c>
      <c r="BA5">
        <v>0.13348774838473729</v>
      </c>
      <c r="BB5">
        <v>8.0626400854026201E-3</v>
      </c>
      <c r="BC5">
        <v>0.78522554092160168</v>
      </c>
    </row>
    <row r="6" spans="1:55" ht="14.4" x14ac:dyDescent="0.25">
      <c r="A6" s="2">
        <v>1</v>
      </c>
      <c r="B6" s="2" t="s">
        <v>7</v>
      </c>
      <c r="C6" s="2">
        <v>2020</v>
      </c>
      <c r="D6" s="2">
        <v>6762.1</v>
      </c>
      <c r="E6" s="17">
        <v>7763.01371046851</v>
      </c>
      <c r="F6" s="5">
        <v>36102.550000000003</v>
      </c>
      <c r="G6" s="3">
        <f t="shared" si="0"/>
        <v>0.18730255896051665</v>
      </c>
      <c r="H6" s="2">
        <f t="shared" si="1"/>
        <v>-9.9846296506937035E-2</v>
      </c>
      <c r="I6" s="14">
        <v>0.45559969112697413</v>
      </c>
      <c r="J6" s="2">
        <f t="shared" si="2"/>
        <v>0.15697551763622192</v>
      </c>
      <c r="K6">
        <f t="shared" si="3"/>
        <v>0.21502674216830969</v>
      </c>
      <c r="L6">
        <f t="shared" si="4"/>
        <v>-2.5456044225232857E-2</v>
      </c>
      <c r="M6" s="2">
        <v>0</v>
      </c>
      <c r="N6" s="2">
        <v>0</v>
      </c>
      <c r="O6" s="2">
        <v>0</v>
      </c>
      <c r="P6" s="4">
        <v>1</v>
      </c>
      <c r="Q6" s="40">
        <v>0.75759066304852885</v>
      </c>
      <c r="R6" s="40">
        <v>0.49120234604105573</v>
      </c>
      <c r="S6" s="40">
        <v>0.19192210119629469</v>
      </c>
      <c r="T6" s="40">
        <v>1.1000000000000001</v>
      </c>
      <c r="U6" s="40">
        <v>-2.999999999999994E-2</v>
      </c>
      <c r="V6" s="40">
        <v>0.5178571428571429</v>
      </c>
      <c r="W6" s="40">
        <v>0.243801652892562</v>
      </c>
      <c r="X6" s="40">
        <v>0.8571428571428571</v>
      </c>
      <c r="Y6" s="40">
        <v>0</v>
      </c>
      <c r="Z6" s="42">
        <v>0.35300316122233916</v>
      </c>
      <c r="AA6" s="42">
        <v>0.13763136932874845</v>
      </c>
      <c r="AB6" s="42">
        <v>0.31428571428571433</v>
      </c>
      <c r="AC6" s="42">
        <v>-1.7441860465116244E-2</v>
      </c>
      <c r="AD6" s="42">
        <v>0.41857142857142871</v>
      </c>
      <c r="AE6" s="42">
        <v>0.2606370611485701</v>
      </c>
      <c r="AF6" s="42">
        <v>1</v>
      </c>
      <c r="AG6" s="40">
        <v>0.14400000000000002</v>
      </c>
      <c r="AH6" s="40">
        <v>0.14000000000000001</v>
      </c>
      <c r="AI6" s="40">
        <v>0.18</v>
      </c>
      <c r="AJ6" s="40">
        <v>0.25</v>
      </c>
      <c r="AK6" s="40">
        <v>0.65</v>
      </c>
      <c r="AL6" s="40">
        <v>0.72000000000000008</v>
      </c>
      <c r="AM6" s="40">
        <v>1.037037037037037</v>
      </c>
      <c r="AN6" s="40">
        <v>1</v>
      </c>
      <c r="AO6" s="40">
        <v>1</v>
      </c>
      <c r="AP6" s="40">
        <v>1</v>
      </c>
      <c r="AQ6" s="40">
        <f t="shared" si="5"/>
        <v>0.8600000000000001</v>
      </c>
      <c r="AR6" s="40">
        <f t="shared" si="6"/>
        <v>1.037037037037037</v>
      </c>
      <c r="AS6" s="40">
        <f t="shared" si="7"/>
        <v>1</v>
      </c>
      <c r="AT6" s="40" cm="1">
        <f t="array" ref="AT6">_xlfn.IFS(AG6&gt;sheet2!$C$2,1,AG6=sheet2!$C$2,0,AG6&lt;sheet2!$C$2,-1)</f>
        <v>-1</v>
      </c>
      <c r="AU6" s="40" cm="1">
        <f t="array" ref="AU6">_xlfn.IFS(AH6&gt;sheet2!$D$2,1,AH6=sheet2!$D$2,0,AH6&lt;sheet2!$D$2,-1)</f>
        <v>1</v>
      </c>
      <c r="AV6" s="40" cm="1">
        <f t="array" ref="AV6">_xlfn.IFS(AI6&gt;sheet2!$E$2,1,AI6=sheet2!$E$2,0,AI6&lt;sheet2!$E$2,-1)</f>
        <v>0</v>
      </c>
      <c r="AW6" s="40" cm="1">
        <f t="array" ref="AW6">_xlfn.IFS(AJ6&gt;sheet2!$F$2,1,AJ6=sheet2!$F$2,0,AJ6&lt;sheet2!$F$2,-1)</f>
        <v>0</v>
      </c>
      <c r="AX6" s="40" cm="1">
        <f t="array" ref="AX6">_xlfn.IFS(AK6&gt;sheet2!$G$2,1,AK6=sheet2!$G$2,0,AK6&lt;sheet2!$G$2,-1)</f>
        <v>0</v>
      </c>
      <c r="AY6">
        <v>0.16341781951690393</v>
      </c>
      <c r="AZ6">
        <v>0.87528551850159886</v>
      </c>
      <c r="BA6">
        <v>0.13342679507497257</v>
      </c>
      <c r="BB6">
        <v>8.2380801356136887E-3</v>
      </c>
      <c r="BC6">
        <v>0.77062272174115887</v>
      </c>
    </row>
    <row r="7" spans="1:55" ht="14.4" x14ac:dyDescent="0.25">
      <c r="A7" s="2">
        <v>1</v>
      </c>
      <c r="B7" s="2" t="s">
        <v>7</v>
      </c>
      <c r="C7" s="2">
        <v>2021</v>
      </c>
      <c r="D7" s="2">
        <v>7103.62</v>
      </c>
      <c r="E7" s="17">
        <v>8010.2176492781591</v>
      </c>
      <c r="F7" s="30">
        <v>40269.550000000003</v>
      </c>
      <c r="G7" s="3">
        <f t="shared" si="0"/>
        <v>0.17640177255519368</v>
      </c>
      <c r="H7" s="2">
        <f t="shared" si="1"/>
        <v>-5.8198811942664644E-2</v>
      </c>
      <c r="I7" s="14">
        <v>0.44803090590260669</v>
      </c>
      <c r="J7" s="2">
        <f t="shared" si="2"/>
        <v>-1.6612797093091183E-2</v>
      </c>
      <c r="K7">
        <f t="shared" si="3"/>
        <v>0.1989150027571244</v>
      </c>
      <c r="L7">
        <f t="shared" si="4"/>
        <v>-7.4929003010118692E-2</v>
      </c>
      <c r="M7" s="2">
        <v>0</v>
      </c>
      <c r="N7" s="2">
        <v>0</v>
      </c>
      <c r="O7" s="2">
        <v>0</v>
      </c>
      <c r="P7" s="4">
        <v>1</v>
      </c>
      <c r="Q7" s="40">
        <v>0.75759066304852885</v>
      </c>
      <c r="R7" s="40">
        <v>0.49120234604105573</v>
      </c>
      <c r="S7" s="40">
        <v>0.19192210119629469</v>
      </c>
      <c r="T7" s="40">
        <v>1.1000000000000001</v>
      </c>
      <c r="U7" s="40">
        <v>-2.999999999999994E-2</v>
      </c>
      <c r="V7" s="40">
        <v>0.5178571428571429</v>
      </c>
      <c r="W7" s="40">
        <v>0.243801652892562</v>
      </c>
      <c r="X7" s="40">
        <v>0.8571428571428571</v>
      </c>
      <c r="Y7" s="40">
        <v>0</v>
      </c>
      <c r="Z7" s="42">
        <v>0.35300316122233916</v>
      </c>
      <c r="AA7" s="42">
        <v>0.13763136932874845</v>
      </c>
      <c r="AB7" s="42">
        <v>0.31428571428571433</v>
      </c>
      <c r="AC7" s="42">
        <v>-1.7441860465116244E-2</v>
      </c>
      <c r="AD7" s="42">
        <v>0.41857142857142871</v>
      </c>
      <c r="AE7" s="42">
        <v>0.2606370611485701</v>
      </c>
      <c r="AF7" s="42">
        <v>1</v>
      </c>
      <c r="AG7" s="40">
        <v>0.14400000000000002</v>
      </c>
      <c r="AH7" s="40">
        <v>0.14000000000000001</v>
      </c>
      <c r="AI7" s="40">
        <v>0.18</v>
      </c>
      <c r="AJ7" s="40">
        <v>0.25</v>
      </c>
      <c r="AK7" s="40">
        <v>0.65</v>
      </c>
      <c r="AL7" s="40">
        <v>0.72000000000000008</v>
      </c>
      <c r="AM7" s="40">
        <v>1.037037037037037</v>
      </c>
      <c r="AN7" s="40">
        <v>1</v>
      </c>
      <c r="AO7" s="40">
        <v>1</v>
      </c>
      <c r="AP7" s="40">
        <v>1</v>
      </c>
      <c r="AQ7" s="40">
        <f t="shared" si="5"/>
        <v>0.8600000000000001</v>
      </c>
      <c r="AR7" s="40">
        <f t="shared" si="6"/>
        <v>1.037037037037037</v>
      </c>
      <c r="AS7" s="40">
        <f t="shared" si="7"/>
        <v>1</v>
      </c>
      <c r="AT7" s="40" cm="1">
        <f t="array" ref="AT7">_xlfn.IFS(AG7&gt;sheet2!$C$2,1,AG7=sheet2!$C$2,0,AG7&lt;sheet2!$C$2,-1)</f>
        <v>-1</v>
      </c>
      <c r="AU7" s="40" cm="1">
        <f t="array" ref="AU7">_xlfn.IFS(AH7&gt;sheet2!$D$2,1,AH7=sheet2!$D$2,0,AH7&lt;sheet2!$D$2,-1)</f>
        <v>1</v>
      </c>
      <c r="AV7" s="40" cm="1">
        <f t="array" ref="AV7">_xlfn.IFS(AI7&gt;sheet2!$E$2,1,AI7=sheet2!$E$2,0,AI7&lt;sheet2!$E$2,-1)</f>
        <v>0</v>
      </c>
      <c r="AW7" s="40" cm="1">
        <f t="array" ref="AW7">_xlfn.IFS(AJ7&gt;sheet2!$F$2,1,AJ7=sheet2!$F$2,0,AJ7&lt;sheet2!$F$2,-1)</f>
        <v>0</v>
      </c>
      <c r="AX7" s="40" cm="1">
        <f t="array" ref="AX7">_xlfn.IFS(AK7&gt;sheet2!$G$2,1,AK7=sheet2!$G$2,0,AK7&lt;sheet2!$G$2,-1)</f>
        <v>0</v>
      </c>
      <c r="AY7">
        <v>0.19201108529894173</v>
      </c>
      <c r="AZ7">
        <v>0.87528551850159886</v>
      </c>
      <c r="BA7">
        <v>0.13342679507497257</v>
      </c>
      <c r="BB7">
        <v>7.7853961616159099E-3</v>
      </c>
      <c r="BC7">
        <v>0.82334645363297221</v>
      </c>
    </row>
    <row r="8" spans="1:55" ht="14.4" x14ac:dyDescent="0.25">
      <c r="A8" s="2">
        <v>1</v>
      </c>
      <c r="B8" s="2" t="s">
        <v>7</v>
      </c>
      <c r="C8" s="2">
        <v>2022</v>
      </c>
      <c r="D8" s="2">
        <v>6896.89</v>
      </c>
      <c r="E8" s="17">
        <v>7715.7245185721295</v>
      </c>
      <c r="F8" s="30">
        <v>41610.9</v>
      </c>
      <c r="G8" s="3">
        <f t="shared" si="0"/>
        <v>0.16574719604718957</v>
      </c>
      <c r="H8" s="2">
        <f t="shared" si="1"/>
        <v>-6.0399486658618697E-2</v>
      </c>
      <c r="I8" s="14">
        <v>0.49718447849820774</v>
      </c>
      <c r="J8" s="2">
        <f t="shared" si="2"/>
        <v>0.10971022745981299</v>
      </c>
      <c r="K8">
        <f t="shared" si="3"/>
        <v>0.18542556201793592</v>
      </c>
      <c r="L8">
        <f t="shared" si="4"/>
        <v>-6.7815099676815788E-2</v>
      </c>
      <c r="M8" s="2">
        <v>1</v>
      </c>
      <c r="N8" s="2">
        <v>1</v>
      </c>
      <c r="O8" s="2">
        <v>0</v>
      </c>
      <c r="P8" s="4">
        <v>1</v>
      </c>
      <c r="Q8" s="40">
        <v>0.75759066304852885</v>
      </c>
      <c r="R8" s="40">
        <v>0.49120234604105573</v>
      </c>
      <c r="S8" s="40">
        <v>0.19192210119629469</v>
      </c>
      <c r="T8" s="40">
        <v>1.1000000000000001</v>
      </c>
      <c r="U8" s="40">
        <v>-2.999999999999994E-2</v>
      </c>
      <c r="V8" s="40">
        <v>0.5178571428571429</v>
      </c>
      <c r="W8" s="40">
        <v>0.243801652892562</v>
      </c>
      <c r="X8" s="40">
        <v>0.8571428571428571</v>
      </c>
      <c r="Y8" s="40">
        <v>0</v>
      </c>
      <c r="Z8" s="42">
        <v>0.35300316122233916</v>
      </c>
      <c r="AA8" s="42">
        <v>0.13763136932874845</v>
      </c>
      <c r="AB8" s="42">
        <v>0.31428571428571433</v>
      </c>
      <c r="AC8" s="42">
        <v>-1.7441860465116244E-2</v>
      </c>
      <c r="AD8" s="42">
        <v>0.41857142857142871</v>
      </c>
      <c r="AE8" s="42">
        <v>0.2606370611485701</v>
      </c>
      <c r="AF8" s="42">
        <v>1</v>
      </c>
      <c r="AG8" s="40">
        <v>0.14400000000000002</v>
      </c>
      <c r="AH8" s="40">
        <v>0.14000000000000001</v>
      </c>
      <c r="AI8" s="40">
        <v>0.18</v>
      </c>
      <c r="AJ8" s="40">
        <v>0.25</v>
      </c>
      <c r="AK8" s="40">
        <v>0.65</v>
      </c>
      <c r="AL8" s="40">
        <v>0.72000000000000008</v>
      </c>
      <c r="AM8" s="40">
        <v>1.037037037037037</v>
      </c>
      <c r="AN8" s="40">
        <v>1</v>
      </c>
      <c r="AO8" s="40">
        <v>1</v>
      </c>
      <c r="AP8" s="40">
        <v>1</v>
      </c>
      <c r="AQ8" s="40">
        <f t="shared" si="5"/>
        <v>0.8600000000000001</v>
      </c>
      <c r="AR8" s="40">
        <f t="shared" si="6"/>
        <v>1.037037037037037</v>
      </c>
      <c r="AS8" s="40">
        <f t="shared" si="7"/>
        <v>1</v>
      </c>
      <c r="AT8" s="40" cm="1">
        <f t="array" ref="AT8">_xlfn.IFS(AG8&gt;sheet2!$C$2,1,AG8=sheet2!$C$2,0,AG8&lt;sheet2!$C$2,-1)</f>
        <v>-1</v>
      </c>
      <c r="AU8" s="40" cm="1">
        <f t="array" ref="AU8">_xlfn.IFS(AH8&gt;sheet2!$D$2,1,AH8=sheet2!$D$2,0,AH8&lt;sheet2!$D$2,-1)</f>
        <v>1</v>
      </c>
      <c r="AV8" s="40" cm="1">
        <f t="array" ref="AV8">_xlfn.IFS(AI8&gt;sheet2!$E$2,1,AI8=sheet2!$E$2,0,AI8&lt;sheet2!$E$2,-1)</f>
        <v>0</v>
      </c>
      <c r="AW8" s="40" cm="1">
        <f t="array" ref="AW8">_xlfn.IFS(AJ8&gt;sheet2!$F$2,1,AJ8=sheet2!$F$2,0,AJ8&lt;sheet2!$F$2,-1)</f>
        <v>0</v>
      </c>
      <c r="AX8" s="40" cm="1">
        <f t="array" ref="AX8">_xlfn.IFS(AK8&gt;sheet2!$G$2,1,AK8=sheet2!$G$2,0,AK8&lt;sheet2!$G$2,-1)</f>
        <v>0</v>
      </c>
      <c r="AY8">
        <v>0.1672734788240581</v>
      </c>
      <c r="AZ8">
        <v>0.87591575091575091</v>
      </c>
      <c r="BA8">
        <v>0.13312202852614896</v>
      </c>
      <c r="BB8">
        <v>8.3871605757145362E-3</v>
      </c>
      <c r="BC8">
        <v>0.7650616201308047</v>
      </c>
    </row>
    <row r="9" spans="1:55" ht="14.4" x14ac:dyDescent="0.25">
      <c r="A9" s="2">
        <v>1</v>
      </c>
      <c r="B9" s="2" t="s">
        <v>7</v>
      </c>
      <c r="C9" s="2">
        <v>2023</v>
      </c>
      <c r="D9" s="2">
        <v>7571.35</v>
      </c>
      <c r="E9" s="17">
        <v>8227.26599320286</v>
      </c>
      <c r="F9" s="30">
        <v>43760.7</v>
      </c>
      <c r="G9" s="3">
        <f t="shared" si="0"/>
        <v>0.17301711352880556</v>
      </c>
      <c r="H9" s="2">
        <f t="shared" si="1"/>
        <v>4.3861480948046802E-2</v>
      </c>
      <c r="K9">
        <f t="shared" si="3"/>
        <v>0.18800581328001748</v>
      </c>
      <c r="L9">
        <f t="shared" si="4"/>
        <v>1.3915294277668E-2</v>
      </c>
      <c r="M9" s="2">
        <v>1</v>
      </c>
      <c r="N9" s="2">
        <v>1</v>
      </c>
      <c r="O9" s="2">
        <v>1</v>
      </c>
      <c r="P9" s="4">
        <v>1</v>
      </c>
      <c r="Q9" s="40">
        <v>0.75759066304852885</v>
      </c>
      <c r="R9" s="40">
        <v>0.49120234604105573</v>
      </c>
      <c r="S9" s="40">
        <v>0.19192210119629469</v>
      </c>
      <c r="T9" s="40">
        <v>1.1000000000000001</v>
      </c>
      <c r="U9" s="40">
        <v>-2.999999999999994E-2</v>
      </c>
      <c r="V9" s="40">
        <v>0.5178571428571429</v>
      </c>
      <c r="W9" s="40">
        <v>0.243801652892562</v>
      </c>
      <c r="X9" s="40">
        <v>0.8571428571428571</v>
      </c>
      <c r="Y9" s="40">
        <v>0</v>
      </c>
      <c r="Z9" s="42">
        <v>0.35300316122233916</v>
      </c>
      <c r="AA9" s="42">
        <v>0.13763136932874845</v>
      </c>
      <c r="AB9" s="42">
        <v>0.31428571428571433</v>
      </c>
      <c r="AC9" s="42">
        <v>-1.7441860465116244E-2</v>
      </c>
      <c r="AD9" s="42">
        <v>0.41857142857142871</v>
      </c>
      <c r="AE9" s="42">
        <v>0.2606370611485701</v>
      </c>
      <c r="AF9" s="42">
        <v>1</v>
      </c>
      <c r="AG9" s="40">
        <v>0.14400000000000002</v>
      </c>
      <c r="AH9" s="40">
        <v>0.14000000000000001</v>
      </c>
      <c r="AI9" s="40">
        <v>0.18</v>
      </c>
      <c r="AJ9" s="40">
        <v>0.25</v>
      </c>
      <c r="AK9" s="40">
        <v>0.65</v>
      </c>
      <c r="AL9" s="40">
        <v>0.72000000000000008</v>
      </c>
      <c r="AM9" s="40">
        <v>1.037037037037037</v>
      </c>
      <c r="AN9" s="40">
        <v>1</v>
      </c>
      <c r="AO9" s="40">
        <v>1</v>
      </c>
      <c r="AP9" s="40">
        <v>1</v>
      </c>
      <c r="AQ9" s="40">
        <f t="shared" si="5"/>
        <v>0.8600000000000001</v>
      </c>
      <c r="AR9" s="40">
        <f t="shared" si="6"/>
        <v>1.037037037037037</v>
      </c>
      <c r="AS9" s="40">
        <f t="shared" si="7"/>
        <v>1</v>
      </c>
      <c r="AT9" s="40" cm="1">
        <f t="array" ref="AT9">_xlfn.IFS(AG9&gt;sheet2!$C$2,1,AG9=sheet2!$C$2,0,AG9&lt;sheet2!$C$2,-1)</f>
        <v>-1</v>
      </c>
      <c r="AU9" s="40" cm="1">
        <f t="array" ref="AU9">_xlfn.IFS(AH9&gt;sheet2!$D$2,1,AH9=sheet2!$D$2,0,AH9&lt;sheet2!$D$2,-1)</f>
        <v>1</v>
      </c>
      <c r="AV9" s="40" cm="1">
        <f t="array" ref="AV9">_xlfn.IFS(AI9&gt;sheet2!$E$2,1,AI9=sheet2!$E$2,0,AI9&lt;sheet2!$E$2,-1)</f>
        <v>0</v>
      </c>
      <c r="AW9" s="40" cm="1">
        <f t="array" ref="AW9">_xlfn.IFS(AJ9&gt;sheet2!$F$2,1,AJ9=sheet2!$F$2,0,AJ9&lt;sheet2!$F$2,-1)</f>
        <v>0</v>
      </c>
      <c r="AX9" s="40" cm="1">
        <f t="array" ref="AX9">_xlfn.IFS(AK9&gt;sheet2!$G$2,1,AK9=sheet2!$G$2,0,AK9&lt;sheet2!$G$2,-1)</f>
        <v>0</v>
      </c>
      <c r="AY9">
        <v>0.15753404310260122</v>
      </c>
      <c r="AZ9">
        <v>0.87831655992680691</v>
      </c>
      <c r="BA9">
        <v>0.13324393514567842</v>
      </c>
      <c r="BB9">
        <v>1.0077578740742265E-2</v>
      </c>
      <c r="BC9">
        <v>0.77542418064920815</v>
      </c>
    </row>
    <row r="10" spans="1:55" s="40" customFormat="1" ht="14.4" x14ac:dyDescent="0.25">
      <c r="A10" s="35">
        <v>2</v>
      </c>
      <c r="B10" s="35" t="s">
        <v>8</v>
      </c>
      <c r="C10" s="35">
        <v>2016</v>
      </c>
      <c r="D10" s="35">
        <v>8078</v>
      </c>
      <c r="E10" s="36">
        <v>12475.772839838799</v>
      </c>
      <c r="F10" s="37">
        <v>17885.39</v>
      </c>
      <c r="G10" s="38">
        <f t="shared" si="0"/>
        <v>0.45165355633844162</v>
      </c>
      <c r="H10" s="35"/>
      <c r="I10" s="39">
        <v>0.31494388428958991</v>
      </c>
      <c r="J10" s="35"/>
      <c r="K10" s="40">
        <f t="shared" si="3"/>
        <v>0.69753988254317068</v>
      </c>
      <c r="M10" s="35">
        <v>0</v>
      </c>
      <c r="N10" s="35">
        <v>0</v>
      </c>
      <c r="O10" s="35">
        <v>0</v>
      </c>
      <c r="P10" s="41">
        <v>1</v>
      </c>
      <c r="Q10" s="40">
        <v>0.83038969368529114</v>
      </c>
      <c r="R10" s="40">
        <v>1.3914956011730211</v>
      </c>
      <c r="S10" s="40">
        <v>1.3944648093841641</v>
      </c>
      <c r="T10" s="40">
        <v>2.5</v>
      </c>
      <c r="U10" s="40">
        <v>1.72</v>
      </c>
      <c r="V10" s="40">
        <v>1.237201365187713</v>
      </c>
      <c r="W10" s="40">
        <v>0.79904306220095689</v>
      </c>
      <c r="X10" s="40">
        <v>0.33505154639175261</v>
      </c>
      <c r="Y10" s="40">
        <f>(Q10-MIN(Q:Q))/(MAX(Q:Q)-MIN(Q:Q))</f>
        <v>0.30031447143131218</v>
      </c>
      <c r="Z10" s="42" cm="1">
        <f t="array" ref="Z10">R10/MAX(ABS(R$2:R$26))</f>
        <v>1</v>
      </c>
      <c r="AA10" s="42" cm="1">
        <f t="array" ref="AA10">S10/MAX(ABS(S$2:S$26))</f>
        <v>1</v>
      </c>
      <c r="AB10" s="42" cm="1">
        <f t="array" ref="AB10">T10/MAX(ABS(T$2:T$26))</f>
        <v>0.86206896551724144</v>
      </c>
      <c r="AC10" s="42" cm="1">
        <f t="array" ref="AC10">U10/MAX(ABS(U$2:U$26))</f>
        <v>1</v>
      </c>
      <c r="AD10" s="42" cm="1">
        <f t="array" ref="AD10">V10/MAX(ABS(V$2:V$26))</f>
        <v>1</v>
      </c>
      <c r="AE10" s="42" cm="1">
        <f t="array" ref="AE10">W10/MAX(ABS(W$2:W$26))</f>
        <v>1</v>
      </c>
      <c r="AF10" s="42" cm="1">
        <f t="array" ref="AF10">X10/MAX(ABS(X$2:X$26))</f>
        <v>0.39089347079037806</v>
      </c>
      <c r="AG10" s="40">
        <v>0.11699999999999999</v>
      </c>
      <c r="AH10" s="40">
        <v>0.13500000000000001</v>
      </c>
      <c r="AI10" s="40">
        <v>0.18</v>
      </c>
      <c r="AJ10" s="40">
        <v>0.16</v>
      </c>
      <c r="AK10" s="40">
        <v>0.65</v>
      </c>
      <c r="AL10" s="40">
        <v>0.58499999999999996</v>
      </c>
      <c r="AM10" s="40">
        <v>1</v>
      </c>
      <c r="AN10" s="40">
        <v>1</v>
      </c>
      <c r="AO10" s="40">
        <v>0.64</v>
      </c>
      <c r="AP10" s="40">
        <v>1</v>
      </c>
      <c r="AQ10" s="40">
        <f t="shared" ref="AQ10:AQ66" si="8">AVERAGE(AL10,AO10)</f>
        <v>0.61250000000000004</v>
      </c>
      <c r="AR10" s="40">
        <f t="shared" ref="AR10:AR66" si="9">AVERAGE(AM10)</f>
        <v>1</v>
      </c>
      <c r="AS10" s="40">
        <f t="shared" ref="AS10:AS66" si="10">AVERAGE(AN10,AP10)</f>
        <v>1</v>
      </c>
      <c r="AT10" s="40" cm="1">
        <f t="array" ref="AT10">_xlfn.IFS(AG10&gt;sheet2!$C$2,1,AG10=sheet2!$C$2,0,AG10&lt;sheet2!$C$2,-1)</f>
        <v>-1</v>
      </c>
      <c r="AU10" s="40" cm="1">
        <f t="array" ref="AU10">_xlfn.IFS(AH10&gt;sheet2!$D$2,1,AH10=sheet2!$D$2,0,AH10&lt;sheet2!$D$2,-1)</f>
        <v>0</v>
      </c>
      <c r="AV10" s="40" cm="1">
        <f t="array" ref="AV10">_xlfn.IFS(AI10&gt;sheet2!$E$2,1,AI10=sheet2!$E$2,0,AI10&lt;sheet2!$E$2,-1)</f>
        <v>0</v>
      </c>
      <c r="AW10" s="40" cm="1">
        <f t="array" ref="AW10">_xlfn.IFS(AJ10&gt;sheet2!$F$2,1,AJ10=sheet2!$F$2,0,AJ10&lt;sheet2!$F$2,-1)</f>
        <v>-1</v>
      </c>
      <c r="AX10" s="40" cm="1">
        <f t="array" ref="AX10">_xlfn.IFS(AK10&gt;sheet2!$G$2,1,AK10=sheet2!$G$2,0,AK10&lt;sheet2!$G$2,-1)</f>
        <v>0</v>
      </c>
      <c r="AY10" s="40">
        <v>0.24422168037711228</v>
      </c>
      <c r="AZ10" s="40">
        <v>0.83298683298683296</v>
      </c>
      <c r="BA10" s="40">
        <v>0.12108752202735588</v>
      </c>
      <c r="BB10" s="40">
        <v>1.9566534473109059E-2</v>
      </c>
      <c r="BC10" s="40">
        <v>0.73619449482758159</v>
      </c>
    </row>
    <row r="11" spans="1:55" ht="14.4" x14ac:dyDescent="0.25">
      <c r="A11" s="2">
        <v>2</v>
      </c>
      <c r="B11" s="2" t="s">
        <v>8</v>
      </c>
      <c r="C11" s="2">
        <v>2017</v>
      </c>
      <c r="D11" s="2">
        <v>7832</v>
      </c>
      <c r="E11" s="17">
        <v>12589.065230119499</v>
      </c>
      <c r="F11" s="5">
        <v>18549.189999999999</v>
      </c>
      <c r="G11" s="3">
        <f t="shared" si="0"/>
        <v>0.42222867952724624</v>
      </c>
      <c r="H11" s="2">
        <f t="shared" si="1"/>
        <v>-6.5149219790812785E-2</v>
      </c>
      <c r="I11" s="14">
        <v>0.33162626816748303</v>
      </c>
      <c r="J11" s="2">
        <f t="shared" ref="J11:J16" si="11">(I11-I10)/I10</f>
        <v>5.2969385055763506E-2</v>
      </c>
      <c r="K11">
        <f t="shared" si="3"/>
        <v>0.67868544287483712</v>
      </c>
      <c r="L11">
        <f t="shared" si="4"/>
        <v>-2.7029909171059702E-2</v>
      </c>
      <c r="M11" s="2">
        <v>0</v>
      </c>
      <c r="N11" s="2">
        <v>0</v>
      </c>
      <c r="O11" s="2">
        <v>0</v>
      </c>
      <c r="P11" s="4">
        <v>1</v>
      </c>
      <c r="Q11" s="40">
        <v>0.83038969368529114</v>
      </c>
      <c r="R11" s="40">
        <v>1.3914956011730211</v>
      </c>
      <c r="S11" s="40">
        <v>1.3944648093841641</v>
      </c>
      <c r="T11" s="40">
        <v>2.5</v>
      </c>
      <c r="U11" s="40">
        <v>1.72</v>
      </c>
      <c r="V11" s="40">
        <v>1.237201365187713</v>
      </c>
      <c r="W11" s="40">
        <v>0.79904306220095689</v>
      </c>
      <c r="X11" s="40">
        <v>0.33505154639175261</v>
      </c>
      <c r="Y11" s="40">
        <f t="shared" ref="Y11:Y17" si="12">(Q11-MIN(Q:Q))/(MAX(Q:Q)-MIN(Q:Q))</f>
        <v>0.30031447143131218</v>
      </c>
      <c r="Z11" s="42" cm="1">
        <f t="array" ref="Z11">R11/MAX(ABS(R$2:R$26))</f>
        <v>1</v>
      </c>
      <c r="AA11" s="42" cm="1">
        <f t="array" ref="AA11">S11/MAX(ABS(S$2:S$26))</f>
        <v>1</v>
      </c>
      <c r="AB11" s="42" cm="1">
        <f t="array" ref="AB11">T11/MAX(ABS(T$2:T$26))</f>
        <v>0.86206896551724144</v>
      </c>
      <c r="AC11" s="42" cm="1">
        <f t="array" ref="AC11">U11/MAX(ABS(U$2:U$26))</f>
        <v>1</v>
      </c>
      <c r="AD11" s="42" cm="1">
        <f t="array" ref="AD11">V11/MAX(ABS(V$2:V$26))</f>
        <v>1</v>
      </c>
      <c r="AE11" s="42" cm="1">
        <f t="array" ref="AE11">W11/MAX(ABS(W$2:W$26))</f>
        <v>1</v>
      </c>
      <c r="AF11" s="42" cm="1">
        <f t="array" ref="AF11">X11/MAX(ABS(X$2:X$26))</f>
        <v>0.39089347079037806</v>
      </c>
      <c r="AG11" s="40">
        <v>0.11699999999999999</v>
      </c>
      <c r="AH11" s="40">
        <v>0.13500000000000001</v>
      </c>
      <c r="AI11" s="40">
        <v>0.18</v>
      </c>
      <c r="AJ11" s="40">
        <v>0.16</v>
      </c>
      <c r="AK11" s="40">
        <v>0.65</v>
      </c>
      <c r="AL11" s="40">
        <v>0.58499999999999996</v>
      </c>
      <c r="AM11" s="40">
        <v>1</v>
      </c>
      <c r="AN11" s="40">
        <v>1</v>
      </c>
      <c r="AO11" s="40">
        <v>0.64</v>
      </c>
      <c r="AP11" s="40">
        <v>1</v>
      </c>
      <c r="AQ11" s="40">
        <f t="shared" ref="AQ11:AQ17" si="13">AVERAGE(AL11,AO11)</f>
        <v>0.61250000000000004</v>
      </c>
      <c r="AR11" s="40">
        <f t="shared" ref="AR11:AR17" si="14">AVERAGE(AM11)</f>
        <v>1</v>
      </c>
      <c r="AS11" s="40">
        <f t="shared" ref="AS11:AS17" si="15">AVERAGE(AN11,AP11)</f>
        <v>1</v>
      </c>
      <c r="AT11" s="40" cm="1">
        <f t="array" ref="AT11">_xlfn.IFS(AG11&gt;sheet2!$C$2,1,AG11=sheet2!$C$2,0,AG11&lt;sheet2!$C$2,-1)</f>
        <v>-1</v>
      </c>
      <c r="AU11" s="40" cm="1">
        <f t="array" ref="AU11">_xlfn.IFS(AH11&gt;sheet2!$D$2,1,AH11=sheet2!$D$2,0,AH11&lt;sheet2!$D$2,-1)</f>
        <v>0</v>
      </c>
      <c r="AV11" s="40" cm="1">
        <f t="array" ref="AV11">_xlfn.IFS(AI11&gt;sheet2!$E$2,1,AI11=sheet2!$E$2,0,AI11&lt;sheet2!$E$2,-1)</f>
        <v>0</v>
      </c>
      <c r="AW11" s="40" cm="1">
        <f t="array" ref="AW11">_xlfn.IFS(AJ11&gt;sheet2!$F$2,1,AJ11=sheet2!$F$2,0,AJ11&lt;sheet2!$F$2,-1)</f>
        <v>-1</v>
      </c>
      <c r="AX11" s="40" cm="1">
        <f t="array" ref="AX11">_xlfn.IFS(AK11&gt;sheet2!$G$2,1,AK11=sheet2!$G$2,0,AK11&lt;sheet2!$G$2,-1)</f>
        <v>0</v>
      </c>
      <c r="AY11">
        <v>0.24605387081592245</v>
      </c>
      <c r="AZ11">
        <v>0.8354609929078014</v>
      </c>
      <c r="BA11">
        <v>0.11831836871695897</v>
      </c>
      <c r="BB11">
        <v>1.3000125611953945E-2</v>
      </c>
      <c r="BC11">
        <v>0.70383300736624688</v>
      </c>
    </row>
    <row r="12" spans="1:55" ht="14.4" x14ac:dyDescent="0.25">
      <c r="A12" s="2">
        <v>2</v>
      </c>
      <c r="B12" s="2" t="s">
        <v>8</v>
      </c>
      <c r="C12" s="2">
        <v>2018</v>
      </c>
      <c r="D12" s="2">
        <v>7973</v>
      </c>
      <c r="E12" s="17">
        <v>13632.0006172587</v>
      </c>
      <c r="F12" s="5">
        <v>18809.64</v>
      </c>
      <c r="G12" s="3">
        <f t="shared" si="0"/>
        <v>0.4238783942701721</v>
      </c>
      <c r="H12" s="2">
        <f t="shared" si="1"/>
        <v>3.9071593733826428E-3</v>
      </c>
      <c r="I12" s="14">
        <v>0.34692660898639399</v>
      </c>
      <c r="J12" s="2">
        <f t="shared" si="11"/>
        <v>4.6137300592797879E-2</v>
      </c>
      <c r="K12">
        <f t="shared" si="3"/>
        <v>0.72473479647982098</v>
      </c>
      <c r="L12">
        <f t="shared" si="4"/>
        <v>6.7850804947169399E-2</v>
      </c>
      <c r="M12" s="2">
        <v>0</v>
      </c>
      <c r="N12" s="2">
        <v>0</v>
      </c>
      <c r="O12" s="2">
        <v>0</v>
      </c>
      <c r="P12" s="4">
        <v>1</v>
      </c>
      <c r="Q12" s="40">
        <v>0.83038969368529114</v>
      </c>
      <c r="R12" s="40">
        <v>1.3914956011730211</v>
      </c>
      <c r="S12" s="40">
        <v>1.3944648093841641</v>
      </c>
      <c r="T12" s="40">
        <v>2.5</v>
      </c>
      <c r="U12" s="40">
        <v>1.72</v>
      </c>
      <c r="V12" s="40">
        <v>1.237201365187713</v>
      </c>
      <c r="W12" s="40">
        <v>0.79904306220095689</v>
      </c>
      <c r="X12" s="40">
        <v>0.33505154639175261</v>
      </c>
      <c r="Y12" s="40">
        <f t="shared" si="12"/>
        <v>0.30031447143131218</v>
      </c>
      <c r="Z12" s="42" cm="1">
        <f t="array" ref="Z12">R12/MAX(ABS(R$2:R$26))</f>
        <v>1</v>
      </c>
      <c r="AA12" s="42" cm="1">
        <f t="array" ref="AA12">S12/MAX(ABS(S$2:S$26))</f>
        <v>1</v>
      </c>
      <c r="AB12" s="42" cm="1">
        <f t="array" ref="AB12">T12/MAX(ABS(T$2:T$26))</f>
        <v>0.86206896551724144</v>
      </c>
      <c r="AC12" s="42" cm="1">
        <f t="array" ref="AC12">U12/MAX(ABS(U$2:U$26))</f>
        <v>1</v>
      </c>
      <c r="AD12" s="42" cm="1">
        <f t="array" ref="AD12">V12/MAX(ABS(V$2:V$26))</f>
        <v>1</v>
      </c>
      <c r="AE12" s="42" cm="1">
        <f t="array" ref="AE12">W12/MAX(ABS(W$2:W$26))</f>
        <v>1</v>
      </c>
      <c r="AF12" s="42" cm="1">
        <f t="array" ref="AF12">X12/MAX(ABS(X$2:X$26))</f>
        <v>0.39089347079037806</v>
      </c>
      <c r="AG12" s="40">
        <v>0.11699999999999999</v>
      </c>
      <c r="AH12" s="40">
        <v>0.13500000000000001</v>
      </c>
      <c r="AI12" s="40">
        <v>0.18</v>
      </c>
      <c r="AJ12" s="40">
        <v>0.16</v>
      </c>
      <c r="AK12" s="40">
        <v>0.65</v>
      </c>
      <c r="AL12" s="40">
        <v>0.58499999999999996</v>
      </c>
      <c r="AM12" s="40">
        <v>1</v>
      </c>
      <c r="AN12" s="40">
        <v>1</v>
      </c>
      <c r="AO12" s="40">
        <v>0.64</v>
      </c>
      <c r="AP12" s="40">
        <v>1</v>
      </c>
      <c r="AQ12" s="40">
        <f t="shared" si="13"/>
        <v>0.61250000000000004</v>
      </c>
      <c r="AR12" s="40">
        <f t="shared" si="14"/>
        <v>1</v>
      </c>
      <c r="AS12" s="40">
        <f t="shared" si="15"/>
        <v>1</v>
      </c>
      <c r="AT12" s="40" cm="1">
        <f t="array" ref="AT12">_xlfn.IFS(AG12&gt;sheet2!$C$2,1,AG12=sheet2!$C$2,0,AG12&lt;sheet2!$C$2,-1)</f>
        <v>-1</v>
      </c>
      <c r="AU12" s="40" cm="1">
        <f t="array" ref="AU12">_xlfn.IFS(AH12&gt;sheet2!$D$2,1,AH12=sheet2!$D$2,0,AH12&lt;sheet2!$D$2,-1)</f>
        <v>0</v>
      </c>
      <c r="AV12" s="40" cm="1">
        <f t="array" ref="AV12">_xlfn.IFS(AI12&gt;sheet2!$E$2,1,AI12=sheet2!$E$2,0,AI12&lt;sheet2!$E$2,-1)</f>
        <v>0</v>
      </c>
      <c r="AW12" s="40" cm="1">
        <f t="array" ref="AW12">_xlfn.IFS(AJ12&gt;sheet2!$F$2,1,AJ12=sheet2!$F$2,0,AJ12&lt;sheet2!$F$2,-1)</f>
        <v>-1</v>
      </c>
      <c r="AX12" s="40" cm="1">
        <f t="array" ref="AX12">_xlfn.IFS(AK12&gt;sheet2!$G$2,1,AK12=sheet2!$G$2,0,AK12&lt;sheet2!$G$2,-1)</f>
        <v>0</v>
      </c>
      <c r="AY12">
        <v>0.25706499433269325</v>
      </c>
      <c r="AZ12">
        <v>0.83947939262472882</v>
      </c>
      <c r="BA12">
        <v>0.11605269782663422</v>
      </c>
      <c r="BB12">
        <v>1.3443962776533735E-2</v>
      </c>
      <c r="BC12">
        <v>0.67874038077314736</v>
      </c>
    </row>
    <row r="13" spans="1:55" ht="14.4" x14ac:dyDescent="0.25">
      <c r="A13" s="2">
        <v>2</v>
      </c>
      <c r="B13" s="2" t="s">
        <v>8</v>
      </c>
      <c r="C13" s="2">
        <v>2019</v>
      </c>
      <c r="D13" s="2">
        <v>8241</v>
      </c>
      <c r="E13" s="17">
        <v>14204.096360880601</v>
      </c>
      <c r="F13" s="5">
        <v>14104.28</v>
      </c>
      <c r="G13" s="3">
        <f t="shared" si="0"/>
        <v>0.58429072593567344</v>
      </c>
      <c r="H13" s="2">
        <f t="shared" si="1"/>
        <v>0.37843950961854766</v>
      </c>
      <c r="I13" s="14">
        <v>0.35395048252672495</v>
      </c>
      <c r="J13" s="2">
        <f t="shared" si="11"/>
        <v>2.024599254825803E-2</v>
      </c>
      <c r="K13">
        <f t="shared" si="3"/>
        <v>1.007077026326803</v>
      </c>
      <c r="L13">
        <f t="shared" si="4"/>
        <v>0.3895800660025896</v>
      </c>
      <c r="M13" s="2">
        <v>0</v>
      </c>
      <c r="N13" s="2">
        <v>0</v>
      </c>
      <c r="O13" s="2">
        <v>0</v>
      </c>
      <c r="P13" s="4">
        <v>1</v>
      </c>
      <c r="Q13" s="40">
        <v>0.83038969368529114</v>
      </c>
      <c r="R13" s="40">
        <v>1.3914956011730211</v>
      </c>
      <c r="S13" s="40">
        <v>1.3944648093841641</v>
      </c>
      <c r="T13" s="40">
        <v>2.5</v>
      </c>
      <c r="U13" s="40">
        <v>1.72</v>
      </c>
      <c r="V13" s="40">
        <v>1.237201365187713</v>
      </c>
      <c r="W13" s="40">
        <v>0.79904306220095689</v>
      </c>
      <c r="X13" s="40">
        <v>0.33505154639175261</v>
      </c>
      <c r="Y13" s="40">
        <f t="shared" si="12"/>
        <v>0.30031447143131218</v>
      </c>
      <c r="Z13" s="42" cm="1">
        <f t="array" ref="Z13">R13/MAX(ABS(R$2:R$26))</f>
        <v>1</v>
      </c>
      <c r="AA13" s="42" cm="1">
        <f t="array" ref="AA13">S13/MAX(ABS(S$2:S$26))</f>
        <v>1</v>
      </c>
      <c r="AB13" s="42" cm="1">
        <f t="array" ref="AB13">T13/MAX(ABS(T$2:T$26))</f>
        <v>0.86206896551724144</v>
      </c>
      <c r="AC13" s="42" cm="1">
        <f t="array" ref="AC13">U13/MAX(ABS(U$2:U$26))</f>
        <v>1</v>
      </c>
      <c r="AD13" s="42" cm="1">
        <f t="array" ref="AD13">V13/MAX(ABS(V$2:V$26))</f>
        <v>1</v>
      </c>
      <c r="AE13" s="42" cm="1">
        <f t="array" ref="AE13">W13/MAX(ABS(W$2:W$26))</f>
        <v>1</v>
      </c>
      <c r="AF13" s="42" cm="1">
        <f t="array" ref="AF13">X13/MAX(ABS(X$2:X$26))</f>
        <v>0.39089347079037806</v>
      </c>
      <c r="AG13" s="40">
        <v>0.11699999999999999</v>
      </c>
      <c r="AH13" s="40">
        <v>0.13500000000000001</v>
      </c>
      <c r="AI13" s="40">
        <v>0.18</v>
      </c>
      <c r="AJ13" s="40">
        <v>0.16</v>
      </c>
      <c r="AK13" s="40">
        <v>0.65</v>
      </c>
      <c r="AL13" s="40">
        <v>0.58499999999999996</v>
      </c>
      <c r="AM13" s="40">
        <v>1</v>
      </c>
      <c r="AN13" s="40">
        <v>1</v>
      </c>
      <c r="AO13" s="40">
        <v>0.64</v>
      </c>
      <c r="AP13" s="40">
        <v>1</v>
      </c>
      <c r="AQ13" s="40">
        <f t="shared" si="13"/>
        <v>0.61250000000000004</v>
      </c>
      <c r="AR13" s="40">
        <f t="shared" si="14"/>
        <v>1</v>
      </c>
      <c r="AS13" s="40">
        <f t="shared" si="15"/>
        <v>1</v>
      </c>
      <c r="AT13" s="40" cm="1">
        <f t="array" ref="AT13">_xlfn.IFS(AG13&gt;sheet2!$C$2,1,AG13=sheet2!$C$2,0,AG13&lt;sheet2!$C$2,-1)</f>
        <v>-1</v>
      </c>
      <c r="AU13" s="40" cm="1">
        <f t="array" ref="AU13">_xlfn.IFS(AH13&gt;sheet2!$D$2,1,AH13=sheet2!$D$2,0,AH13&lt;sheet2!$D$2,-1)</f>
        <v>0</v>
      </c>
      <c r="AV13" s="40" cm="1">
        <f t="array" ref="AV13">_xlfn.IFS(AI13&gt;sheet2!$E$2,1,AI13=sheet2!$E$2,0,AI13&lt;sheet2!$E$2,-1)</f>
        <v>0</v>
      </c>
      <c r="AW13" s="40" cm="1">
        <f t="array" ref="AW13">_xlfn.IFS(AJ13&gt;sheet2!$F$2,1,AJ13=sheet2!$F$2,0,AJ13&lt;sheet2!$F$2,-1)</f>
        <v>-1</v>
      </c>
      <c r="AX13" s="40" cm="1">
        <f t="array" ref="AX13">_xlfn.IFS(AK13&gt;sheet2!$G$2,1,AK13=sheet2!$G$2,0,AK13&lt;sheet2!$G$2,-1)</f>
        <v>0</v>
      </c>
      <c r="AY13">
        <v>0.35570053912713018</v>
      </c>
      <c r="AZ13">
        <v>0.84332129963898916</v>
      </c>
      <c r="BA13">
        <v>0.11622052529999161</v>
      </c>
      <c r="BB13">
        <v>1.5132427887137806E-2</v>
      </c>
      <c r="BC13">
        <v>0.67789836628971423</v>
      </c>
    </row>
    <row r="14" spans="1:55" ht="14.4" x14ac:dyDescent="0.25">
      <c r="A14" s="2">
        <v>2</v>
      </c>
      <c r="B14" s="2" t="s">
        <v>8</v>
      </c>
      <c r="C14" s="2">
        <v>2020</v>
      </c>
      <c r="D14" s="2">
        <v>8104.6</v>
      </c>
      <c r="E14" s="17">
        <v>13993.578608268201</v>
      </c>
      <c r="F14" s="5">
        <v>14083.73</v>
      </c>
      <c r="G14" s="3">
        <f t="shared" si="0"/>
        <v>0.5754583480370612</v>
      </c>
      <c r="H14" s="2">
        <f t="shared" si="1"/>
        <v>-1.5116409531347977E-2</v>
      </c>
      <c r="I14" s="14">
        <v>0.36016631627607859</v>
      </c>
      <c r="J14" s="2">
        <f t="shared" si="11"/>
        <v>1.7561308872871259E-2</v>
      </c>
      <c r="K14">
        <f t="shared" si="3"/>
        <v>0.99359889803824708</v>
      </c>
      <c r="L14">
        <f t="shared" si="4"/>
        <v>-1.3383413518741257E-2</v>
      </c>
      <c r="M14" s="2">
        <v>0</v>
      </c>
      <c r="N14" s="2">
        <v>0</v>
      </c>
      <c r="O14" s="2">
        <v>0</v>
      </c>
      <c r="P14" s="4">
        <v>1</v>
      </c>
      <c r="Q14" s="40">
        <v>0.83038969368529114</v>
      </c>
      <c r="R14" s="40">
        <v>1.3914956011730211</v>
      </c>
      <c r="S14" s="40">
        <v>1.3944648093841641</v>
      </c>
      <c r="T14" s="40">
        <v>2.5</v>
      </c>
      <c r="U14" s="40">
        <v>1.72</v>
      </c>
      <c r="V14" s="40">
        <v>1.237201365187713</v>
      </c>
      <c r="W14" s="40">
        <v>0.79904306220095689</v>
      </c>
      <c r="X14" s="40">
        <v>0.33505154639175261</v>
      </c>
      <c r="Y14" s="40">
        <f t="shared" si="12"/>
        <v>0.30031447143131218</v>
      </c>
      <c r="Z14" s="42" cm="1">
        <f t="array" ref="Z14">R14/MAX(ABS(R$2:R$26))</f>
        <v>1</v>
      </c>
      <c r="AA14" s="42" cm="1">
        <f t="array" ref="AA14">S14/MAX(ABS(S$2:S$26))</f>
        <v>1</v>
      </c>
      <c r="AB14" s="42" cm="1">
        <f t="array" ref="AB14">T14/MAX(ABS(T$2:T$26))</f>
        <v>0.86206896551724144</v>
      </c>
      <c r="AC14" s="42" cm="1">
        <f t="array" ref="AC14">U14/MAX(ABS(U$2:U$26))</f>
        <v>1</v>
      </c>
      <c r="AD14" s="42" cm="1">
        <f t="array" ref="AD14">V14/MAX(ABS(V$2:V$26))</f>
        <v>1</v>
      </c>
      <c r="AE14" s="42" cm="1">
        <f t="array" ref="AE14">W14/MAX(ABS(W$2:W$26))</f>
        <v>1</v>
      </c>
      <c r="AF14" s="42" cm="1">
        <f t="array" ref="AF14">X14/MAX(ABS(X$2:X$26))</f>
        <v>0.39089347079037806</v>
      </c>
      <c r="AG14" s="40">
        <v>0.11699999999999999</v>
      </c>
      <c r="AH14" s="40">
        <v>0.13500000000000001</v>
      </c>
      <c r="AI14" s="40">
        <v>0.18</v>
      </c>
      <c r="AJ14" s="40">
        <v>0.16</v>
      </c>
      <c r="AK14" s="40">
        <v>0.65</v>
      </c>
      <c r="AL14" s="40">
        <v>0.58499999999999996</v>
      </c>
      <c r="AM14" s="40">
        <v>1</v>
      </c>
      <c r="AN14" s="40">
        <v>1</v>
      </c>
      <c r="AO14" s="40">
        <v>0.64</v>
      </c>
      <c r="AP14" s="40">
        <v>1</v>
      </c>
      <c r="AQ14" s="40">
        <f t="shared" si="13"/>
        <v>0.61250000000000004</v>
      </c>
      <c r="AR14" s="40">
        <f t="shared" si="14"/>
        <v>1</v>
      </c>
      <c r="AS14" s="40">
        <f t="shared" si="15"/>
        <v>1</v>
      </c>
      <c r="AT14" s="40" cm="1">
        <f t="array" ref="AT14">_xlfn.IFS(AG14&gt;sheet2!$C$2,1,AG14=sheet2!$C$2,0,AG14&lt;sheet2!$C$2,-1)</f>
        <v>-1</v>
      </c>
      <c r="AU14" s="40" cm="1">
        <f t="array" ref="AU14">_xlfn.IFS(AH14&gt;sheet2!$D$2,1,AH14=sheet2!$D$2,0,AH14&lt;sheet2!$D$2,-1)</f>
        <v>0</v>
      </c>
      <c r="AV14" s="40" cm="1">
        <f t="array" ref="AV14">_xlfn.IFS(AI14&gt;sheet2!$E$2,1,AI14=sheet2!$E$2,0,AI14&lt;sheet2!$E$2,-1)</f>
        <v>0</v>
      </c>
      <c r="AW14" s="40" cm="1">
        <f t="array" ref="AW14">_xlfn.IFS(AJ14&gt;sheet2!$F$2,1,AJ14=sheet2!$F$2,0,AJ14&lt;sheet2!$F$2,-1)</f>
        <v>-1</v>
      </c>
      <c r="AX14" s="40" cm="1">
        <f t="array" ref="AX14">_xlfn.IFS(AK14&gt;sheet2!$G$2,1,AK14=sheet2!$G$2,0,AK14&lt;sheet2!$G$2,-1)</f>
        <v>0</v>
      </c>
      <c r="AY14">
        <v>0.35264805559322709</v>
      </c>
      <c r="AZ14">
        <v>0.84715212689257391</v>
      </c>
      <c r="BA14">
        <v>0.116388352773349</v>
      </c>
      <c r="BB14">
        <v>1.6243686864204299E-2</v>
      </c>
      <c r="BC14">
        <v>0.61024957557872017</v>
      </c>
    </row>
    <row r="15" spans="1:55" ht="14.4" x14ac:dyDescent="0.25">
      <c r="A15" s="2">
        <v>2</v>
      </c>
      <c r="B15" s="2" t="s">
        <v>8</v>
      </c>
      <c r="C15" s="2">
        <v>2021</v>
      </c>
      <c r="D15" s="2">
        <v>8205.69</v>
      </c>
      <c r="E15" s="17">
        <v>14483.593968867001</v>
      </c>
      <c r="F15" s="30">
        <v>15695.0458</v>
      </c>
      <c r="G15" s="3">
        <f t="shared" si="0"/>
        <v>0.52282039215202547</v>
      </c>
      <c r="H15" s="2">
        <f t="shared" si="1"/>
        <v>-9.1471356814247978E-2</v>
      </c>
      <c r="I15" s="14">
        <v>0.35929796808971892</v>
      </c>
      <c r="J15" s="2">
        <f t="shared" si="11"/>
        <v>-2.4109644548049656E-3</v>
      </c>
      <c r="K15">
        <f t="shared" si="3"/>
        <v>0.92281310634130165</v>
      </c>
      <c r="L15">
        <f t="shared" si="4"/>
        <v>-7.1241817836859803E-2</v>
      </c>
      <c r="M15" s="2">
        <v>0</v>
      </c>
      <c r="N15" s="2">
        <v>0</v>
      </c>
      <c r="O15" s="2">
        <v>0</v>
      </c>
      <c r="P15" s="4">
        <v>1</v>
      </c>
      <c r="Q15" s="40">
        <v>0.83038969368529114</v>
      </c>
      <c r="R15" s="40">
        <v>1.3914956011730211</v>
      </c>
      <c r="S15" s="40">
        <v>1.3944648093841641</v>
      </c>
      <c r="T15" s="40">
        <v>2.5</v>
      </c>
      <c r="U15" s="40">
        <v>1.72</v>
      </c>
      <c r="V15" s="40">
        <v>1.237201365187713</v>
      </c>
      <c r="W15" s="40">
        <v>0.79904306220095689</v>
      </c>
      <c r="X15" s="40">
        <v>0.33505154639175261</v>
      </c>
      <c r="Y15" s="40">
        <f t="shared" si="12"/>
        <v>0.30031447143131218</v>
      </c>
      <c r="Z15" s="42" cm="1">
        <f t="array" ref="Z15">R15/MAX(ABS(R$2:R$26))</f>
        <v>1</v>
      </c>
      <c r="AA15" s="42" cm="1">
        <f t="array" ref="AA15">S15/MAX(ABS(S$2:S$26))</f>
        <v>1</v>
      </c>
      <c r="AB15" s="42" cm="1">
        <f t="array" ref="AB15">T15/MAX(ABS(T$2:T$26))</f>
        <v>0.86206896551724144</v>
      </c>
      <c r="AC15" s="42" cm="1">
        <f t="array" ref="AC15">U15/MAX(ABS(U$2:U$26))</f>
        <v>1</v>
      </c>
      <c r="AD15" s="42" cm="1">
        <f t="array" ref="AD15">V15/MAX(ABS(V$2:V$26))</f>
        <v>1</v>
      </c>
      <c r="AE15" s="42" cm="1">
        <f t="array" ref="AE15">W15/MAX(ABS(W$2:W$26))</f>
        <v>1</v>
      </c>
      <c r="AF15" s="42" cm="1">
        <f t="array" ref="AF15">X15/MAX(ABS(X$2:X$26))</f>
        <v>0.39089347079037806</v>
      </c>
      <c r="AG15" s="40">
        <v>0.11699999999999999</v>
      </c>
      <c r="AH15" s="40">
        <v>0.13500000000000001</v>
      </c>
      <c r="AI15" s="40">
        <v>0.18</v>
      </c>
      <c r="AJ15" s="40">
        <v>0.16</v>
      </c>
      <c r="AK15" s="40">
        <v>0.65</v>
      </c>
      <c r="AL15" s="40">
        <v>0.58499999999999996</v>
      </c>
      <c r="AM15" s="40">
        <v>1</v>
      </c>
      <c r="AN15" s="40">
        <v>1</v>
      </c>
      <c r="AO15" s="40">
        <v>0.64</v>
      </c>
      <c r="AP15" s="40">
        <v>1</v>
      </c>
      <c r="AQ15" s="40">
        <f t="shared" si="13"/>
        <v>0.61250000000000004</v>
      </c>
      <c r="AR15" s="40">
        <f t="shared" si="14"/>
        <v>1</v>
      </c>
      <c r="AS15" s="40">
        <f t="shared" si="15"/>
        <v>1</v>
      </c>
      <c r="AT15" s="40" cm="1">
        <f t="array" ref="AT15">_xlfn.IFS(AG15&gt;sheet2!$C$2,1,AG15=sheet2!$C$2,0,AG15&lt;sheet2!$C$2,-1)</f>
        <v>-1</v>
      </c>
      <c r="AU15" s="40" cm="1">
        <f t="array" ref="AU15">_xlfn.IFS(AH15&gt;sheet2!$D$2,1,AH15=sheet2!$D$2,0,AH15&lt;sheet2!$D$2,-1)</f>
        <v>0</v>
      </c>
      <c r="AV15" s="40" cm="1">
        <f t="array" ref="AV15">_xlfn.IFS(AI15&gt;sheet2!$E$2,1,AI15=sheet2!$E$2,0,AI15&lt;sheet2!$E$2,-1)</f>
        <v>0</v>
      </c>
      <c r="AW15" s="40" cm="1">
        <f t="array" ref="AW15">_xlfn.IFS(AJ15&gt;sheet2!$F$2,1,AJ15=sheet2!$F$2,0,AJ15&lt;sheet2!$F$2,-1)</f>
        <v>-1</v>
      </c>
      <c r="AX15" s="40" cm="1">
        <f t="array" ref="AX15">_xlfn.IFS(AK15&gt;sheet2!$G$2,1,AK15=sheet2!$G$2,0,AK15&lt;sheet2!$G$2,-1)</f>
        <v>0</v>
      </c>
      <c r="AY15">
        <v>0.36830093225978355</v>
      </c>
      <c r="AZ15">
        <v>0.84850691915513476</v>
      </c>
      <c r="BA15">
        <v>0.11521356045984728</v>
      </c>
      <c r="BB15">
        <v>1.6009096322611559E-2</v>
      </c>
      <c r="BC15">
        <v>0.67915179775102685</v>
      </c>
    </row>
    <row r="16" spans="1:55" ht="14.4" x14ac:dyDescent="0.25">
      <c r="A16" s="2">
        <v>2</v>
      </c>
      <c r="B16" s="2" t="s">
        <v>8</v>
      </c>
      <c r="C16" s="2">
        <v>2022</v>
      </c>
      <c r="D16" s="2">
        <v>8121.77</v>
      </c>
      <c r="E16" s="17">
        <v>14301.849814918</v>
      </c>
      <c r="F16" s="30">
        <v>16311.3</v>
      </c>
      <c r="G16" s="3">
        <f t="shared" si="0"/>
        <v>0.49792291233684627</v>
      </c>
      <c r="H16" s="2">
        <f t="shared" si="1"/>
        <v>-4.7621478023641292E-2</v>
      </c>
      <c r="I16" s="14">
        <v>0.39162796527583293</v>
      </c>
      <c r="J16" s="2">
        <f t="shared" si="11"/>
        <v>8.9981018701561402E-2</v>
      </c>
      <c r="K16">
        <f t="shared" si="3"/>
        <v>0.87680625179587157</v>
      </c>
      <c r="L16">
        <f t="shared" si="4"/>
        <v>-4.9855007725057687E-2</v>
      </c>
      <c r="M16" s="2">
        <v>1</v>
      </c>
      <c r="N16" s="2">
        <v>1</v>
      </c>
      <c r="O16" s="2">
        <v>0</v>
      </c>
      <c r="P16" s="4">
        <v>1</v>
      </c>
      <c r="Q16" s="40">
        <v>0.83038969368529114</v>
      </c>
      <c r="R16" s="40">
        <v>1.3914956011730211</v>
      </c>
      <c r="S16" s="40">
        <v>1.3944648093841641</v>
      </c>
      <c r="T16" s="40">
        <v>2.5</v>
      </c>
      <c r="U16" s="40">
        <v>1.72</v>
      </c>
      <c r="V16" s="40">
        <v>1.237201365187713</v>
      </c>
      <c r="W16" s="40">
        <v>0.79904306220095689</v>
      </c>
      <c r="X16" s="40">
        <v>0.33505154639175261</v>
      </c>
      <c r="Y16" s="40">
        <f t="shared" si="12"/>
        <v>0.30031447143131218</v>
      </c>
      <c r="Z16" s="42" cm="1">
        <f t="array" ref="Z16">R16/MAX(ABS(R$2:R$26))</f>
        <v>1</v>
      </c>
      <c r="AA16" s="42" cm="1">
        <f t="array" ref="AA16">S16/MAX(ABS(S$2:S$26))</f>
        <v>1</v>
      </c>
      <c r="AB16" s="42" cm="1">
        <f t="array" ref="AB16">T16/MAX(ABS(T$2:T$26))</f>
        <v>0.86206896551724144</v>
      </c>
      <c r="AC16" s="42" cm="1">
        <f t="array" ref="AC16">U16/MAX(ABS(U$2:U$26))</f>
        <v>1</v>
      </c>
      <c r="AD16" s="42" cm="1">
        <f t="array" ref="AD16">V16/MAX(ABS(V$2:V$26))</f>
        <v>1</v>
      </c>
      <c r="AE16" s="42" cm="1">
        <f t="array" ref="AE16">W16/MAX(ABS(W$2:W$26))</f>
        <v>1</v>
      </c>
      <c r="AF16" s="42" cm="1">
        <f t="array" ref="AF16">X16/MAX(ABS(X$2:X$26))</f>
        <v>0.39089347079037806</v>
      </c>
      <c r="AG16" s="40">
        <v>0.11699999999999999</v>
      </c>
      <c r="AH16" s="40">
        <v>0.13500000000000001</v>
      </c>
      <c r="AI16" s="40">
        <v>0.18</v>
      </c>
      <c r="AJ16" s="40">
        <v>0.16</v>
      </c>
      <c r="AK16" s="40">
        <v>0.65</v>
      </c>
      <c r="AL16" s="40">
        <v>0.58499999999999996</v>
      </c>
      <c r="AM16" s="40">
        <v>1</v>
      </c>
      <c r="AN16" s="40">
        <v>1</v>
      </c>
      <c r="AO16" s="40">
        <v>0.64</v>
      </c>
      <c r="AP16" s="40">
        <v>1</v>
      </c>
      <c r="AQ16" s="40">
        <f t="shared" si="13"/>
        <v>0.61250000000000004</v>
      </c>
      <c r="AR16" s="40">
        <f t="shared" si="14"/>
        <v>1</v>
      </c>
      <c r="AS16" s="40">
        <f t="shared" si="15"/>
        <v>1</v>
      </c>
      <c r="AT16" s="40" cm="1">
        <f t="array" ref="AT16">_xlfn.IFS(AG16&gt;sheet2!$C$2,1,AG16=sheet2!$C$2,0,AG16&lt;sheet2!$C$2,-1)</f>
        <v>-1</v>
      </c>
      <c r="AU16" s="40" cm="1">
        <f t="array" ref="AU16">_xlfn.IFS(AH16&gt;sheet2!$D$2,1,AH16=sheet2!$D$2,0,AH16&lt;sheet2!$D$2,-1)</f>
        <v>0</v>
      </c>
      <c r="AV16" s="40" cm="1">
        <f t="array" ref="AV16">_xlfn.IFS(AI16&gt;sheet2!$E$2,1,AI16=sheet2!$E$2,0,AI16&lt;sheet2!$E$2,-1)</f>
        <v>0</v>
      </c>
      <c r="AW16" s="40" cm="1">
        <f t="array" ref="AW16">_xlfn.IFS(AJ16&gt;sheet2!$F$2,1,AJ16=sheet2!$F$2,0,AJ16&lt;sheet2!$F$2,-1)</f>
        <v>-1</v>
      </c>
      <c r="AX16" s="40" cm="1">
        <f t="array" ref="AX16">_xlfn.IFS(AK16&gt;sheet2!$G$2,1,AK16=sheet2!$G$2,0,AK16&lt;sheet2!$G$2,-1)</f>
        <v>0</v>
      </c>
      <c r="AY16">
        <v>0.37352632837358152</v>
      </c>
      <c r="AZ16">
        <v>0.85106382978723405</v>
      </c>
      <c r="BA16">
        <v>0.11437442309306034</v>
      </c>
      <c r="BB16">
        <v>1.7446248919460741E-2</v>
      </c>
      <c r="BC16">
        <v>0.67648534890451062</v>
      </c>
    </row>
    <row r="17" spans="1:55" ht="14.4" x14ac:dyDescent="0.25">
      <c r="A17" s="2">
        <v>2</v>
      </c>
      <c r="B17" s="2" t="s">
        <v>8</v>
      </c>
      <c r="C17" s="2">
        <v>2023</v>
      </c>
      <c r="D17" s="2">
        <v>8493.1200000000008</v>
      </c>
      <c r="E17" s="17">
        <v>15167.832513354999</v>
      </c>
      <c r="F17" s="30">
        <v>16737.3</v>
      </c>
      <c r="G17" s="3">
        <f t="shared" si="0"/>
        <v>0.50743668333602199</v>
      </c>
      <c r="H17" s="2">
        <f t="shared" si="1"/>
        <v>1.9106915475180276E-2</v>
      </c>
      <c r="K17">
        <f t="shared" si="3"/>
        <v>0.9062293508125564</v>
      </c>
      <c r="L17">
        <f t="shared" si="4"/>
        <v>3.355712730882169E-2</v>
      </c>
      <c r="M17" s="2">
        <v>1</v>
      </c>
      <c r="N17" s="2">
        <v>1</v>
      </c>
      <c r="O17" s="2">
        <v>1</v>
      </c>
      <c r="P17" s="4">
        <v>1</v>
      </c>
      <c r="Q17" s="40">
        <v>0.83038969368529114</v>
      </c>
      <c r="R17" s="40">
        <v>1.3914956011730211</v>
      </c>
      <c r="S17" s="40">
        <v>1.3944648093841641</v>
      </c>
      <c r="T17" s="40">
        <v>2.5</v>
      </c>
      <c r="U17" s="40">
        <v>1.72</v>
      </c>
      <c r="V17" s="40">
        <v>1.237201365187713</v>
      </c>
      <c r="W17" s="40">
        <v>0.79904306220095689</v>
      </c>
      <c r="X17" s="40">
        <v>0.33505154639175261</v>
      </c>
      <c r="Y17" s="40">
        <f t="shared" si="12"/>
        <v>0.30031447143131218</v>
      </c>
      <c r="Z17" s="42" cm="1">
        <f t="array" ref="Z17">R17/MAX(ABS(R$2:R$26))</f>
        <v>1</v>
      </c>
      <c r="AA17" s="42" cm="1">
        <f t="array" ref="AA17">S17/MAX(ABS(S$2:S$26))</f>
        <v>1</v>
      </c>
      <c r="AB17" s="42" cm="1">
        <f t="array" ref="AB17">T17/MAX(ABS(T$2:T$26))</f>
        <v>0.86206896551724144</v>
      </c>
      <c r="AC17" s="42" cm="1">
        <f t="array" ref="AC17">U17/MAX(ABS(U$2:U$26))</f>
        <v>1</v>
      </c>
      <c r="AD17" s="42" cm="1">
        <f t="array" ref="AD17">V17/MAX(ABS(V$2:V$26))</f>
        <v>1</v>
      </c>
      <c r="AE17" s="42" cm="1">
        <f t="array" ref="AE17">W17/MAX(ABS(W$2:W$26))</f>
        <v>1</v>
      </c>
      <c r="AF17" s="42" cm="1">
        <f t="array" ref="AF17">X17/MAX(ABS(X$2:X$26))</f>
        <v>0.39089347079037806</v>
      </c>
      <c r="AG17" s="40">
        <v>0.11699999999999999</v>
      </c>
      <c r="AH17" s="40">
        <v>0.13500000000000001</v>
      </c>
      <c r="AI17" s="40">
        <v>0.18</v>
      </c>
      <c r="AJ17" s="40">
        <v>0.16</v>
      </c>
      <c r="AK17" s="40">
        <v>0.65</v>
      </c>
      <c r="AL17" s="40">
        <v>0.58499999999999996</v>
      </c>
      <c r="AM17" s="40">
        <v>1</v>
      </c>
      <c r="AN17" s="40">
        <v>1</v>
      </c>
      <c r="AO17" s="40">
        <v>0.64</v>
      </c>
      <c r="AP17" s="40">
        <v>1</v>
      </c>
      <c r="AQ17" s="40">
        <f t="shared" si="13"/>
        <v>0.61250000000000004</v>
      </c>
      <c r="AR17" s="40">
        <f t="shared" si="14"/>
        <v>1</v>
      </c>
      <c r="AS17" s="40">
        <f t="shared" si="15"/>
        <v>1</v>
      </c>
      <c r="AT17" s="40" cm="1">
        <f t="array" ref="AT17">_xlfn.IFS(AG17&gt;sheet2!$C$2,1,AG17=sheet2!$C$2,0,AG17&lt;sheet2!$C$2,-1)</f>
        <v>-1</v>
      </c>
      <c r="AU17" s="40" cm="1">
        <f t="array" ref="AU17">_xlfn.IFS(AH17&gt;sheet2!$D$2,1,AH17=sheet2!$D$2,0,AH17&lt;sheet2!$D$2,-1)</f>
        <v>0</v>
      </c>
      <c r="AV17" s="40" cm="1">
        <f t="array" ref="AV17">_xlfn.IFS(AI17&gt;sheet2!$E$2,1,AI17=sheet2!$E$2,0,AI17&lt;sheet2!$E$2,-1)</f>
        <v>0</v>
      </c>
      <c r="AW17" s="40" cm="1">
        <f t="array" ref="AW17">_xlfn.IFS(AJ17&gt;sheet2!$F$2,1,AJ17=sheet2!$F$2,0,AJ17&lt;sheet2!$F$2,-1)</f>
        <v>-1</v>
      </c>
      <c r="AX17" s="40" cm="1">
        <f t="array" ref="AX17">_xlfn.IFS(AK17&gt;sheet2!$G$2,1,AK17=sheet2!$G$2,0,AK17&lt;sheet2!$G$2,-1)</f>
        <v>0</v>
      </c>
      <c r="AY17">
        <v>0.3632963500684101</v>
      </c>
      <c r="AZ17">
        <v>0.85483870967741937</v>
      </c>
      <c r="BA17">
        <v>0.11445833682973902</v>
      </c>
      <c r="BB17">
        <v>1.7684728122218041E-2</v>
      </c>
      <c r="BC17">
        <v>0.61806415032221484</v>
      </c>
    </row>
    <row r="18" spans="1:55" s="40" customFormat="1" ht="14.4" x14ac:dyDescent="0.25">
      <c r="A18" s="35">
        <v>3</v>
      </c>
      <c r="B18" s="35" t="s">
        <v>9</v>
      </c>
      <c r="C18" s="35">
        <v>2016</v>
      </c>
      <c r="D18" s="35">
        <v>31458</v>
      </c>
      <c r="E18" s="36">
        <v>74877.961217163203</v>
      </c>
      <c r="F18" s="37">
        <v>32070.45</v>
      </c>
      <c r="G18" s="38">
        <f t="shared" si="0"/>
        <v>0.9809029807813735</v>
      </c>
      <c r="H18" s="35"/>
      <c r="I18" s="39">
        <v>0.22307135076962681</v>
      </c>
      <c r="J18" s="35"/>
      <c r="K18" s="40">
        <f t="shared" si="3"/>
        <v>2.3347960885227117</v>
      </c>
      <c r="M18" s="35">
        <v>0</v>
      </c>
      <c r="N18" s="35">
        <v>0</v>
      </c>
      <c r="O18" s="35">
        <v>0</v>
      </c>
      <c r="P18" s="41">
        <v>1</v>
      </c>
      <c r="Q18" s="40">
        <v>0.86522323557358682</v>
      </c>
      <c r="R18" s="40">
        <v>3.2258064516129031E-2</v>
      </c>
      <c r="S18" s="40">
        <v>-0.2202695154308057</v>
      </c>
      <c r="T18" s="40">
        <v>1.3</v>
      </c>
      <c r="U18" s="40">
        <v>-0.15999999999999989</v>
      </c>
      <c r="V18" s="40">
        <v>-3.5143769968051117E-2</v>
      </c>
      <c r="W18" s="40">
        <v>-5.1999999999999998E-2</v>
      </c>
      <c r="X18" s="40">
        <v>-0.12949640287769781</v>
      </c>
      <c r="Y18" s="40">
        <v>0.44401166944017406</v>
      </c>
      <c r="Z18" s="40">
        <v>2.3182297154899886E-2</v>
      </c>
      <c r="AA18" s="40">
        <v>-0.15795989540107727</v>
      </c>
      <c r="AB18" s="40">
        <v>0.37142857142857144</v>
      </c>
      <c r="AC18" s="40">
        <v>-9.3023255813953432E-2</v>
      </c>
      <c r="AD18" s="40">
        <v>-2.8405860967279945E-2</v>
      </c>
      <c r="AE18" s="40">
        <v>-5.5590792838874678E-2</v>
      </c>
      <c r="AF18" s="40">
        <v>-0.15107913669064746</v>
      </c>
      <c r="AG18" s="40">
        <v>0.13</v>
      </c>
      <c r="AH18" s="40">
        <v>0.13500000000000001</v>
      </c>
      <c r="AI18" s="40">
        <v>0.18</v>
      </c>
      <c r="AJ18" s="40">
        <v>0.19</v>
      </c>
      <c r="AK18" s="40">
        <v>0.65</v>
      </c>
      <c r="AL18" s="40">
        <v>0.65</v>
      </c>
      <c r="AM18" s="40">
        <v>1</v>
      </c>
      <c r="AN18" s="40">
        <v>1</v>
      </c>
      <c r="AO18" s="40">
        <v>0.76</v>
      </c>
      <c r="AP18" s="40">
        <v>1</v>
      </c>
      <c r="AQ18" s="40">
        <f t="shared" si="8"/>
        <v>0.70500000000000007</v>
      </c>
      <c r="AR18" s="40">
        <f t="shared" si="9"/>
        <v>1</v>
      </c>
      <c r="AS18" s="40">
        <f t="shared" si="10"/>
        <v>1</v>
      </c>
      <c r="AT18" s="40" cm="1">
        <f t="array" ref="AT18">_xlfn.IFS(AG18&gt;sheet2!$C$2,1,AG18=sheet2!$C$2,0,AG18&lt;sheet2!$C$2,-1)</f>
        <v>-1</v>
      </c>
      <c r="AU18" s="40" cm="1">
        <f t="array" ref="AU18">_xlfn.IFS(AH18&gt;sheet2!$D$2,1,AH18=sheet2!$D$2,0,AH18&lt;sheet2!$D$2,-1)</f>
        <v>0</v>
      </c>
      <c r="AV18" s="40" cm="1">
        <f t="array" ref="AV18">_xlfn.IFS(AI18&gt;sheet2!$E$2,1,AI18=sheet2!$E$2,0,AI18&lt;sheet2!$E$2,-1)</f>
        <v>0</v>
      </c>
      <c r="AW18" s="40" cm="1">
        <f t="array" ref="AW18">_xlfn.IFS(AJ18&gt;sheet2!$F$2,1,AJ18=sheet2!$F$2,0,AJ18&lt;sheet2!$F$2,-1)</f>
        <v>-1</v>
      </c>
      <c r="AX18" s="40" cm="1">
        <f t="array" ref="AX18">_xlfn.IFS(AK18&gt;sheet2!$G$2,1,AK18=sheet2!$G$2,0,AK18&lt;sheet2!$G$2,-1)</f>
        <v>0</v>
      </c>
      <c r="AY18" s="40">
        <v>0.38453779101945867</v>
      </c>
      <c r="AZ18" s="40">
        <v>0.53871186440677965</v>
      </c>
      <c r="BA18" s="40">
        <v>3.9115330557691799E-2</v>
      </c>
      <c r="BB18" s="40">
        <v>9.6244611472554951E-3</v>
      </c>
      <c r="BC18" s="40">
        <v>0.47108948959671249</v>
      </c>
    </row>
    <row r="19" spans="1:55" ht="14.4" x14ac:dyDescent="0.25">
      <c r="A19" s="2">
        <v>3</v>
      </c>
      <c r="B19" s="2" t="s">
        <v>9</v>
      </c>
      <c r="C19" s="2">
        <v>2017</v>
      </c>
      <c r="D19" s="2">
        <v>32083</v>
      </c>
      <c r="E19" s="17">
        <v>75443.371608535905</v>
      </c>
      <c r="F19" s="5">
        <v>34016.32</v>
      </c>
      <c r="G19" s="3">
        <f t="shared" si="0"/>
        <v>0.94316492789343465</v>
      </c>
      <c r="H19" s="2">
        <f t="shared" si="1"/>
        <v>-3.8472768079343848E-2</v>
      </c>
      <c r="I19" s="14">
        <v>0.24563240781170934</v>
      </c>
      <c r="J19" s="2">
        <f t="shared" ref="J19:J24" si="16">(I19-I18)/I18</f>
        <v>0.1011382993120532</v>
      </c>
      <c r="K19">
        <f t="shared" si="3"/>
        <v>2.2178581224699174</v>
      </c>
      <c r="L19">
        <f t="shared" si="4"/>
        <v>-5.0084873204830523E-2</v>
      </c>
      <c r="M19" s="2">
        <v>0</v>
      </c>
      <c r="N19" s="2">
        <v>0</v>
      </c>
      <c r="O19" s="2">
        <v>0</v>
      </c>
      <c r="P19" s="4">
        <v>1</v>
      </c>
      <c r="Q19" s="40">
        <v>0.86522323557358682</v>
      </c>
      <c r="R19" s="40">
        <v>3.2258064516129031E-2</v>
      </c>
      <c r="S19" s="40">
        <v>-0.2202695154308057</v>
      </c>
      <c r="T19" s="40">
        <v>1.3</v>
      </c>
      <c r="U19" s="40">
        <v>-0.15999999999999989</v>
      </c>
      <c r="V19" s="40">
        <v>-3.5143769968051117E-2</v>
      </c>
      <c r="W19" s="40">
        <v>-5.1999999999999998E-2</v>
      </c>
      <c r="X19" s="40">
        <v>-0.12949640287769781</v>
      </c>
      <c r="Y19" s="40">
        <v>0.44401166944017406</v>
      </c>
      <c r="Z19" s="40">
        <v>2.3182297154899886E-2</v>
      </c>
      <c r="AA19" s="40">
        <v>-0.15795989540107727</v>
      </c>
      <c r="AB19" s="40">
        <v>0.37142857142857144</v>
      </c>
      <c r="AC19" s="40">
        <v>-9.3023255813953432E-2</v>
      </c>
      <c r="AD19" s="40">
        <v>-2.8405860967279945E-2</v>
      </c>
      <c r="AE19" s="40">
        <v>-5.5590792838874678E-2</v>
      </c>
      <c r="AF19" s="40">
        <v>-0.15107913669064746</v>
      </c>
      <c r="AG19" s="40">
        <v>0.13</v>
      </c>
      <c r="AH19" s="40">
        <v>0.13500000000000001</v>
      </c>
      <c r="AI19" s="40">
        <v>0.18</v>
      </c>
      <c r="AJ19" s="40">
        <v>0.19</v>
      </c>
      <c r="AK19" s="40">
        <v>0.65</v>
      </c>
      <c r="AL19" s="40">
        <v>0.65</v>
      </c>
      <c r="AM19" s="40">
        <v>1</v>
      </c>
      <c r="AN19" s="40">
        <v>1</v>
      </c>
      <c r="AO19" s="40">
        <v>0.76</v>
      </c>
      <c r="AP19" s="40">
        <v>1</v>
      </c>
      <c r="AQ19" s="40">
        <f t="shared" ref="AQ19:AQ25" si="17">AVERAGE(AL19,AO19)</f>
        <v>0.70500000000000007</v>
      </c>
      <c r="AR19" s="40">
        <f t="shared" ref="AR19:AR25" si="18">AVERAGE(AM19)</f>
        <v>1</v>
      </c>
      <c r="AS19" s="40">
        <f t="shared" ref="AS19:AS25" si="19">AVERAGE(AN19,AP19)</f>
        <v>1</v>
      </c>
      <c r="AT19" s="40" cm="1">
        <f t="array" ref="AT19">_xlfn.IFS(AG19&gt;sheet2!$C$2,1,AG19=sheet2!$C$2,0,AG19&lt;sheet2!$C$2,-1)</f>
        <v>-1</v>
      </c>
      <c r="AU19" s="40" cm="1">
        <f t="array" ref="AU19">_xlfn.IFS(AH19&gt;sheet2!$D$2,1,AH19=sheet2!$D$2,0,AH19&lt;sheet2!$D$2,-1)</f>
        <v>0</v>
      </c>
      <c r="AV19" s="40" cm="1">
        <f t="array" ref="AV19">_xlfn.IFS(AI19&gt;sheet2!$E$2,1,AI19=sheet2!$E$2,0,AI19&lt;sheet2!$E$2,-1)</f>
        <v>0</v>
      </c>
      <c r="AW19" s="40" cm="1">
        <f t="array" ref="AW19">_xlfn.IFS(AJ19&gt;sheet2!$F$2,1,AJ19=sheet2!$F$2,0,AJ19&lt;sheet2!$F$2,-1)</f>
        <v>-1</v>
      </c>
      <c r="AX19" s="40" cm="1">
        <f t="array" ref="AX19">_xlfn.IFS(AK19&gt;sheet2!$G$2,1,AK19=sheet2!$G$2,0,AK19&lt;sheet2!$G$2,-1)</f>
        <v>0</v>
      </c>
      <c r="AY19">
        <v>0.3756432206658451</v>
      </c>
      <c r="AZ19">
        <v>0.55743015251720884</v>
      </c>
      <c r="BA19">
        <v>3.9295658861279802E-2</v>
      </c>
      <c r="BB19">
        <v>1.0317647529185989E-2</v>
      </c>
      <c r="BC19">
        <v>0.48708274214586739</v>
      </c>
    </row>
    <row r="20" spans="1:55" ht="14.4" x14ac:dyDescent="0.25">
      <c r="A20" s="2">
        <v>3</v>
      </c>
      <c r="B20" s="2" t="s">
        <v>9</v>
      </c>
      <c r="C20" s="2">
        <v>2018</v>
      </c>
      <c r="D20" s="2">
        <v>32185</v>
      </c>
      <c r="E20" s="17">
        <v>79620.28000973571</v>
      </c>
      <c r="F20" s="5">
        <v>36010.269999999997</v>
      </c>
      <c r="G20" s="3">
        <f t="shared" si="0"/>
        <v>0.89377280425834083</v>
      </c>
      <c r="H20" s="2">
        <f t="shared" si="1"/>
        <v>-5.2368490572917578E-2</v>
      </c>
      <c r="I20" s="14">
        <v>0.28301300705448984</v>
      </c>
      <c r="J20" s="2">
        <f t="shared" si="16"/>
        <v>0.15218105613911817</v>
      </c>
      <c r="K20">
        <f t="shared" si="3"/>
        <v>2.2110436830864004</v>
      </c>
      <c r="L20">
        <f t="shared" si="4"/>
        <v>-3.0725316982531336E-3</v>
      </c>
      <c r="M20" s="2">
        <v>0</v>
      </c>
      <c r="N20" s="2">
        <v>0</v>
      </c>
      <c r="O20" s="2">
        <v>0</v>
      </c>
      <c r="P20" s="4">
        <v>1</v>
      </c>
      <c r="Q20" s="40">
        <v>0.86522323557358682</v>
      </c>
      <c r="R20" s="40">
        <v>3.2258064516129031E-2</v>
      </c>
      <c r="S20" s="40">
        <v>-0.2202695154308057</v>
      </c>
      <c r="T20" s="40">
        <v>1.3</v>
      </c>
      <c r="U20" s="40">
        <v>-0.15999999999999989</v>
      </c>
      <c r="V20" s="40">
        <v>-3.5143769968051117E-2</v>
      </c>
      <c r="W20" s="40">
        <v>-5.1999999999999998E-2</v>
      </c>
      <c r="X20" s="40">
        <v>-0.12949640287769781</v>
      </c>
      <c r="Y20" s="40">
        <v>0.44401166944017406</v>
      </c>
      <c r="Z20" s="40">
        <v>2.3182297154899886E-2</v>
      </c>
      <c r="AA20" s="40">
        <v>-0.15795989540107727</v>
      </c>
      <c r="AB20" s="40">
        <v>0.37142857142857144</v>
      </c>
      <c r="AC20" s="40">
        <v>-9.3023255813953432E-2</v>
      </c>
      <c r="AD20" s="40">
        <v>-2.8405860967279945E-2</v>
      </c>
      <c r="AE20" s="40">
        <v>-5.5590792838874678E-2</v>
      </c>
      <c r="AF20" s="40">
        <v>-0.15107913669064746</v>
      </c>
      <c r="AG20" s="40">
        <v>0.13</v>
      </c>
      <c r="AH20" s="40">
        <v>0.13500000000000001</v>
      </c>
      <c r="AI20" s="40">
        <v>0.18</v>
      </c>
      <c r="AJ20" s="40">
        <v>0.19</v>
      </c>
      <c r="AK20" s="40">
        <v>0.65</v>
      </c>
      <c r="AL20" s="40">
        <v>0.65</v>
      </c>
      <c r="AM20" s="40">
        <v>1</v>
      </c>
      <c r="AN20" s="40">
        <v>1</v>
      </c>
      <c r="AO20" s="40">
        <v>0.76</v>
      </c>
      <c r="AP20" s="40">
        <v>1</v>
      </c>
      <c r="AQ20" s="40">
        <f t="shared" si="17"/>
        <v>0.70500000000000007</v>
      </c>
      <c r="AR20" s="40">
        <f t="shared" si="18"/>
        <v>1</v>
      </c>
      <c r="AS20" s="40">
        <f t="shared" si="19"/>
        <v>1</v>
      </c>
      <c r="AT20" s="40" cm="1">
        <f t="array" ref="AT20">_xlfn.IFS(AG20&gt;sheet2!$C$2,1,AG20=sheet2!$C$2,0,AG20&lt;sheet2!$C$2,-1)</f>
        <v>-1</v>
      </c>
      <c r="AU20" s="40" cm="1">
        <f t="array" ref="AU20">_xlfn.IFS(AH20&gt;sheet2!$D$2,1,AH20=sheet2!$D$2,0,AH20&lt;sheet2!$D$2,-1)</f>
        <v>0</v>
      </c>
      <c r="AV20" s="40" cm="1">
        <f t="array" ref="AV20">_xlfn.IFS(AI20&gt;sheet2!$E$2,1,AI20=sheet2!$E$2,0,AI20&lt;sheet2!$E$2,-1)</f>
        <v>0</v>
      </c>
      <c r="AW20" s="40" cm="1">
        <f t="array" ref="AW20">_xlfn.IFS(AJ20&gt;sheet2!$F$2,1,AJ20=sheet2!$F$2,0,AJ20&lt;sheet2!$F$2,-1)</f>
        <v>-1</v>
      </c>
      <c r="AX20" s="40" cm="1">
        <f t="array" ref="AX20">_xlfn.IFS(AK20&gt;sheet2!$G$2,1,AK20=sheet2!$G$2,0,AK20&lt;sheet2!$G$2,-1)</f>
        <v>0</v>
      </c>
      <c r="AY20">
        <v>0.35834499435855388</v>
      </c>
      <c r="AZ20">
        <v>0.57325612712092644</v>
      </c>
      <c r="BA20">
        <v>3.9385823013073799E-2</v>
      </c>
      <c r="BB20">
        <v>1.0607851593448204E-2</v>
      </c>
      <c r="BC20">
        <v>0.45479737154439243</v>
      </c>
    </row>
    <row r="21" spans="1:55" ht="14.4" x14ac:dyDescent="0.25">
      <c r="A21" s="2">
        <v>3</v>
      </c>
      <c r="B21" s="2" t="s">
        <v>9</v>
      </c>
      <c r="C21" s="2">
        <v>2019</v>
      </c>
      <c r="D21" s="2">
        <v>32545</v>
      </c>
      <c r="E21" s="17">
        <v>82819.719953986889</v>
      </c>
      <c r="F21" s="5">
        <v>35104.519999999997</v>
      </c>
      <c r="G21" s="3">
        <f t="shared" si="0"/>
        <v>0.92708859144064648</v>
      </c>
      <c r="H21" s="2">
        <f t="shared" si="1"/>
        <v>3.7275454146259615E-2</v>
      </c>
      <c r="I21" s="14">
        <v>0.26492563650582834</v>
      </c>
      <c r="J21" s="2">
        <f t="shared" si="16"/>
        <v>-6.3910032746936782E-2</v>
      </c>
      <c r="K21">
        <f t="shared" si="3"/>
        <v>2.3592323710447229</v>
      </c>
      <c r="L21">
        <f t="shared" si="4"/>
        <v>6.7022053472713672E-2</v>
      </c>
      <c r="M21" s="2">
        <v>0</v>
      </c>
      <c r="N21" s="2">
        <v>0</v>
      </c>
      <c r="O21" s="2">
        <v>0</v>
      </c>
      <c r="P21" s="4">
        <v>1</v>
      </c>
      <c r="Q21" s="40">
        <v>0.86522323557358682</v>
      </c>
      <c r="R21" s="40">
        <v>3.2258064516129031E-2</v>
      </c>
      <c r="S21" s="40">
        <v>-0.2202695154308057</v>
      </c>
      <c r="T21" s="40">
        <v>1.3</v>
      </c>
      <c r="U21" s="40">
        <v>-0.15999999999999989</v>
      </c>
      <c r="V21" s="40">
        <v>-3.5143769968051117E-2</v>
      </c>
      <c r="W21" s="40">
        <v>-5.1999999999999998E-2</v>
      </c>
      <c r="X21" s="40">
        <v>-0.12949640287769781</v>
      </c>
      <c r="Y21" s="40">
        <v>0.44401166944017406</v>
      </c>
      <c r="Z21" s="40">
        <v>2.3182297154899886E-2</v>
      </c>
      <c r="AA21" s="40">
        <v>-0.15795989540107727</v>
      </c>
      <c r="AB21" s="40">
        <v>0.37142857142857144</v>
      </c>
      <c r="AC21" s="40">
        <v>-9.3023255813953432E-2</v>
      </c>
      <c r="AD21" s="40">
        <v>-2.8405860967279945E-2</v>
      </c>
      <c r="AE21" s="40">
        <v>-5.5590792838874678E-2</v>
      </c>
      <c r="AF21" s="40">
        <v>-0.15107913669064746</v>
      </c>
      <c r="AG21" s="40">
        <v>0.13</v>
      </c>
      <c r="AH21" s="40">
        <v>0.13500000000000001</v>
      </c>
      <c r="AI21" s="40">
        <v>0.18</v>
      </c>
      <c r="AJ21" s="40">
        <v>0.19</v>
      </c>
      <c r="AK21" s="40">
        <v>0.65</v>
      </c>
      <c r="AL21" s="40">
        <v>0.65</v>
      </c>
      <c r="AM21" s="40">
        <v>1</v>
      </c>
      <c r="AN21" s="40">
        <v>1</v>
      </c>
      <c r="AO21" s="40">
        <v>0.76</v>
      </c>
      <c r="AP21" s="40">
        <v>1</v>
      </c>
      <c r="AQ21" s="40">
        <f t="shared" si="17"/>
        <v>0.70500000000000007</v>
      </c>
      <c r="AR21" s="40">
        <f t="shared" si="18"/>
        <v>1</v>
      </c>
      <c r="AS21" s="40">
        <f t="shared" si="19"/>
        <v>1</v>
      </c>
      <c r="AT21" s="40" cm="1">
        <f t="array" ref="AT21">_xlfn.IFS(AG21&gt;sheet2!$C$2,1,AG21=sheet2!$C$2,0,AG21&lt;sheet2!$C$2,-1)</f>
        <v>-1</v>
      </c>
      <c r="AU21" s="40" cm="1">
        <f t="array" ref="AU21">_xlfn.IFS(AH21&gt;sheet2!$D$2,1,AH21=sheet2!$D$2,0,AH21&lt;sheet2!$D$2,-1)</f>
        <v>0</v>
      </c>
      <c r="AV21" s="40" cm="1">
        <f t="array" ref="AV21">_xlfn.IFS(AI21&gt;sheet2!$E$2,1,AI21=sheet2!$E$2,0,AI21&lt;sheet2!$E$2,-1)</f>
        <v>0</v>
      </c>
      <c r="AW21" s="40" cm="1">
        <f t="array" ref="AW21">_xlfn.IFS(AJ21&gt;sheet2!$F$2,1,AJ21=sheet2!$F$2,0,AJ21&lt;sheet2!$F$2,-1)</f>
        <v>-1</v>
      </c>
      <c r="AX21" s="40" cm="1">
        <f t="array" ref="AX21">_xlfn.IFS(AK21&gt;sheet2!$G$2,1,AK21=sheet2!$G$2,0,AK21&lt;sheet2!$G$2,-1)</f>
        <v>0</v>
      </c>
      <c r="AY21">
        <v>0.38744013591412163</v>
      </c>
      <c r="AZ21">
        <v>0.58775345776822885</v>
      </c>
      <c r="BA21">
        <v>3.9497202259407567E-2</v>
      </c>
      <c r="BB21">
        <v>1.2493621903959947E-2</v>
      </c>
      <c r="BC21">
        <v>0.4499906126339504</v>
      </c>
    </row>
    <row r="22" spans="1:55" ht="14.4" x14ac:dyDescent="0.25">
      <c r="A22" s="2">
        <v>3</v>
      </c>
      <c r="B22" s="2" t="s">
        <v>9</v>
      </c>
      <c r="C22" s="2">
        <v>2020</v>
      </c>
      <c r="D22" s="2">
        <v>32782.76</v>
      </c>
      <c r="E22" s="17">
        <v>82674.328761434997</v>
      </c>
      <c r="F22" s="5">
        <v>36206.89</v>
      </c>
      <c r="G22" s="3">
        <f t="shared" si="0"/>
        <v>0.90542877336330196</v>
      </c>
      <c r="H22" s="2">
        <f t="shared" si="1"/>
        <v>-2.3363266765785897E-2</v>
      </c>
      <c r="I22" s="14">
        <v>0.27888529188448369</v>
      </c>
      <c r="J22" s="2">
        <f t="shared" si="16"/>
        <v>5.2692731299140365E-2</v>
      </c>
      <c r="K22">
        <f t="shared" si="3"/>
        <v>2.2833866361191197</v>
      </c>
      <c r="L22">
        <f t="shared" si="4"/>
        <v>-3.2148480097370376E-2</v>
      </c>
      <c r="M22" s="2">
        <v>0</v>
      </c>
      <c r="N22" s="2">
        <v>0</v>
      </c>
      <c r="O22" s="2">
        <v>0</v>
      </c>
      <c r="P22" s="4">
        <v>1</v>
      </c>
      <c r="Q22" s="40">
        <v>0.86522323557358682</v>
      </c>
      <c r="R22" s="40">
        <v>3.2258064516129031E-2</v>
      </c>
      <c r="S22" s="40">
        <v>-0.2202695154308057</v>
      </c>
      <c r="T22" s="40">
        <v>1.3</v>
      </c>
      <c r="U22" s="40">
        <v>-0.15999999999999989</v>
      </c>
      <c r="V22" s="40">
        <v>-3.5143769968051117E-2</v>
      </c>
      <c r="W22" s="40">
        <v>-5.1999999999999998E-2</v>
      </c>
      <c r="X22" s="40">
        <v>-0.12949640287769781</v>
      </c>
      <c r="Y22" s="40">
        <v>0.44401166944017406</v>
      </c>
      <c r="Z22" s="40">
        <v>2.3182297154899886E-2</v>
      </c>
      <c r="AA22" s="40">
        <v>-0.15795989540107727</v>
      </c>
      <c r="AB22" s="40">
        <v>0.37142857142857144</v>
      </c>
      <c r="AC22" s="40">
        <v>-9.3023255813953432E-2</v>
      </c>
      <c r="AD22" s="40">
        <v>-2.8405860967279945E-2</v>
      </c>
      <c r="AE22" s="40">
        <v>-5.5590792838874678E-2</v>
      </c>
      <c r="AF22" s="40">
        <v>-0.15107913669064746</v>
      </c>
      <c r="AG22" s="40">
        <v>0.13</v>
      </c>
      <c r="AH22" s="40">
        <v>0.13500000000000001</v>
      </c>
      <c r="AI22" s="40">
        <v>0.18</v>
      </c>
      <c r="AJ22" s="40">
        <v>0.19</v>
      </c>
      <c r="AK22" s="40">
        <v>0.65</v>
      </c>
      <c r="AL22" s="40">
        <v>0.65</v>
      </c>
      <c r="AM22" s="40">
        <v>1</v>
      </c>
      <c r="AN22" s="40">
        <v>1</v>
      </c>
      <c r="AO22" s="40">
        <v>0.76</v>
      </c>
      <c r="AP22" s="40">
        <v>1</v>
      </c>
      <c r="AQ22" s="40">
        <f t="shared" si="17"/>
        <v>0.70500000000000007</v>
      </c>
      <c r="AR22" s="40">
        <f t="shared" si="18"/>
        <v>1</v>
      </c>
      <c r="AS22" s="40">
        <f t="shared" si="19"/>
        <v>1</v>
      </c>
      <c r="AT22" s="40" cm="1">
        <f t="array" ref="AT22">_xlfn.IFS(AG22&gt;sheet2!$C$2,1,AG22=sheet2!$C$2,0,AG22&lt;sheet2!$C$2,-1)</f>
        <v>-1</v>
      </c>
      <c r="AU22" s="40" cm="1">
        <f t="array" ref="AU22">_xlfn.IFS(AH22&gt;sheet2!$D$2,1,AH22=sheet2!$D$2,0,AH22&lt;sheet2!$D$2,-1)</f>
        <v>0</v>
      </c>
      <c r="AV22" s="40" cm="1">
        <f t="array" ref="AV22">_xlfn.IFS(AI22&gt;sheet2!$E$2,1,AI22=sheet2!$E$2,0,AI22&lt;sheet2!$E$2,-1)</f>
        <v>0</v>
      </c>
      <c r="AW22" s="40" cm="1">
        <f t="array" ref="AW22">_xlfn.IFS(AJ22&gt;sheet2!$F$2,1,AJ22=sheet2!$F$2,0,AJ22&lt;sheet2!$F$2,-1)</f>
        <v>-1</v>
      </c>
      <c r="AX22" s="40" cm="1">
        <f t="array" ref="AX22">_xlfn.IFS(AK22&gt;sheet2!$G$2,1,AK22=sheet2!$G$2,0,AK22&lt;sheet2!$G$2,-1)</f>
        <v>0</v>
      </c>
      <c r="AY22">
        <v>0.3849543553726929</v>
      </c>
      <c r="AZ22">
        <v>0.60075026795284026</v>
      </c>
      <c r="BA22">
        <v>3.9587366411201572E-2</v>
      </c>
      <c r="BB22">
        <v>1.3407790616647828E-2</v>
      </c>
      <c r="BC22">
        <v>0.42408833631282561</v>
      </c>
    </row>
    <row r="23" spans="1:55" ht="14.4" x14ac:dyDescent="0.25">
      <c r="A23" s="2">
        <v>3</v>
      </c>
      <c r="B23" s="2" t="s">
        <v>9</v>
      </c>
      <c r="C23" s="2">
        <v>2021</v>
      </c>
      <c r="D23" s="5">
        <v>33085.851559841103</v>
      </c>
      <c r="E23" s="17">
        <v>82061.504784799399</v>
      </c>
      <c r="F23" s="30">
        <v>40391.269999999997</v>
      </c>
      <c r="G23" s="3">
        <f t="shared" si="0"/>
        <v>0.81913372765553316</v>
      </c>
      <c r="H23" s="2">
        <f t="shared" si="1"/>
        <v>-9.5308486152055436E-2</v>
      </c>
      <c r="I23" s="14">
        <v>0.31943667789638319</v>
      </c>
      <c r="J23" s="2">
        <f t="shared" si="16"/>
        <v>0.14540525152074418</v>
      </c>
      <c r="K23">
        <f t="shared" si="3"/>
        <v>2.0316643865072677</v>
      </c>
      <c r="L23">
        <f t="shared" si="4"/>
        <v>-0.1102407475063808</v>
      </c>
      <c r="M23" s="2">
        <v>0</v>
      </c>
      <c r="N23" s="2">
        <v>0</v>
      </c>
      <c r="O23" s="2">
        <v>0</v>
      </c>
      <c r="P23" s="4">
        <v>1</v>
      </c>
      <c r="Q23" s="40">
        <v>0.86522323557358682</v>
      </c>
      <c r="R23" s="40">
        <v>3.2258064516129031E-2</v>
      </c>
      <c r="S23" s="40">
        <v>-0.2202695154308057</v>
      </c>
      <c r="T23" s="40">
        <v>1.3</v>
      </c>
      <c r="U23" s="40">
        <v>-0.15999999999999989</v>
      </c>
      <c r="V23" s="40">
        <v>-3.5143769968051117E-2</v>
      </c>
      <c r="W23" s="40">
        <v>-5.1999999999999998E-2</v>
      </c>
      <c r="X23" s="40">
        <v>-0.12949640287769781</v>
      </c>
      <c r="Y23" s="40">
        <v>0.44401166944017406</v>
      </c>
      <c r="Z23" s="40">
        <v>2.3182297154899886E-2</v>
      </c>
      <c r="AA23" s="40">
        <v>-0.15795989540107727</v>
      </c>
      <c r="AB23" s="40">
        <v>0.37142857142857144</v>
      </c>
      <c r="AC23" s="40">
        <v>-9.3023255813953432E-2</v>
      </c>
      <c r="AD23" s="40">
        <v>-2.8405860967279945E-2</v>
      </c>
      <c r="AE23" s="40">
        <v>-5.5590792838874678E-2</v>
      </c>
      <c r="AF23" s="40">
        <v>-0.15107913669064746</v>
      </c>
      <c r="AG23" s="40">
        <v>0.13</v>
      </c>
      <c r="AH23" s="40">
        <v>0.13500000000000001</v>
      </c>
      <c r="AI23" s="40">
        <v>0.18</v>
      </c>
      <c r="AJ23" s="40">
        <v>0.19</v>
      </c>
      <c r="AK23" s="40">
        <v>0.65</v>
      </c>
      <c r="AL23" s="40">
        <v>0.65</v>
      </c>
      <c r="AM23" s="40">
        <v>1</v>
      </c>
      <c r="AN23" s="40">
        <v>1</v>
      </c>
      <c r="AO23" s="40">
        <v>0.76</v>
      </c>
      <c r="AP23" s="40">
        <v>1</v>
      </c>
      <c r="AQ23" s="40">
        <f t="shared" si="17"/>
        <v>0.70500000000000007</v>
      </c>
      <c r="AR23" s="40">
        <f t="shared" si="18"/>
        <v>1</v>
      </c>
      <c r="AS23" s="40">
        <f t="shared" si="19"/>
        <v>1</v>
      </c>
      <c r="AT23" s="40" cm="1">
        <f t="array" ref="AT23">_xlfn.IFS(AG23&gt;sheet2!$C$2,1,AG23=sheet2!$C$2,0,AG23&lt;sheet2!$C$2,-1)</f>
        <v>-1</v>
      </c>
      <c r="AU23" s="40" cm="1">
        <f t="array" ref="AU23">_xlfn.IFS(AH23&gt;sheet2!$D$2,1,AH23=sheet2!$D$2,0,AH23&lt;sheet2!$D$2,-1)</f>
        <v>0</v>
      </c>
      <c r="AV23" s="40" cm="1">
        <f t="array" ref="AV23">_xlfn.IFS(AI23&gt;sheet2!$E$2,1,AI23=sheet2!$E$2,0,AI23&lt;sheet2!$E$2,-1)</f>
        <v>0</v>
      </c>
      <c r="AW23" s="40" cm="1">
        <f t="array" ref="AW23">_xlfn.IFS(AJ23&gt;sheet2!$F$2,1,AJ23=sheet2!$F$2,0,AJ23&lt;sheet2!$F$2,-1)</f>
        <v>-1</v>
      </c>
      <c r="AX23" s="40" cm="1">
        <f t="array" ref="AX23">_xlfn.IFS(AK23&gt;sheet2!$G$2,1,AK23=sheet2!$G$2,0,AK23&lt;sheet2!$G$2,-1)</f>
        <v>0</v>
      </c>
      <c r="AY23">
        <v>0.40728602987724827</v>
      </c>
      <c r="AZ23">
        <v>0.61143931256713213</v>
      </c>
      <c r="BA23">
        <v>3.9502506033042513E-2</v>
      </c>
      <c r="BB23">
        <v>1.4121675302608707E-2</v>
      </c>
      <c r="BC23">
        <v>0.47101278111618061</v>
      </c>
    </row>
    <row r="24" spans="1:55" ht="14.4" x14ac:dyDescent="0.25">
      <c r="A24" s="2">
        <v>3</v>
      </c>
      <c r="B24" s="2" t="s">
        <v>9</v>
      </c>
      <c r="C24" s="2">
        <v>2022</v>
      </c>
      <c r="D24" s="5">
        <v>32538.48</v>
      </c>
      <c r="E24" s="17">
        <v>78668.401819440609</v>
      </c>
      <c r="F24" s="30">
        <v>42370.400000000001</v>
      </c>
      <c r="G24" s="3">
        <f t="shared" si="0"/>
        <v>0.76795309933349698</v>
      </c>
      <c r="H24" s="2">
        <f t="shared" si="1"/>
        <v>-6.248140760669417E-2</v>
      </c>
      <c r="I24" s="14">
        <v>0.32134808865302389</v>
      </c>
      <c r="J24" s="2">
        <f t="shared" si="16"/>
        <v>5.9836921959872998E-3</v>
      </c>
      <c r="K24">
        <f t="shared" si="3"/>
        <v>1.8566830102958813</v>
      </c>
      <c r="L24">
        <f t="shared" si="4"/>
        <v>-8.6127107101682893E-2</v>
      </c>
      <c r="M24" s="2">
        <v>1</v>
      </c>
      <c r="N24" s="2">
        <v>1</v>
      </c>
      <c r="O24" s="2">
        <v>0</v>
      </c>
      <c r="P24" s="4">
        <v>1</v>
      </c>
      <c r="Q24" s="40">
        <v>0.86522323557358682</v>
      </c>
      <c r="R24" s="40">
        <v>3.2258064516129031E-2</v>
      </c>
      <c r="S24" s="40">
        <v>-0.2202695154308057</v>
      </c>
      <c r="T24" s="40">
        <v>1.3</v>
      </c>
      <c r="U24" s="40">
        <v>-0.15999999999999989</v>
      </c>
      <c r="V24" s="40">
        <v>-3.5143769968051117E-2</v>
      </c>
      <c r="W24" s="40">
        <v>-5.1999999999999998E-2</v>
      </c>
      <c r="X24" s="40">
        <v>-0.12949640287769781</v>
      </c>
      <c r="Y24" s="40">
        <v>0.44401166944017406</v>
      </c>
      <c r="Z24" s="40">
        <v>2.3182297154899886E-2</v>
      </c>
      <c r="AA24" s="40">
        <v>-0.15795989540107727</v>
      </c>
      <c r="AB24" s="40">
        <v>0.37142857142857144</v>
      </c>
      <c r="AC24" s="40">
        <v>-9.3023255813953432E-2</v>
      </c>
      <c r="AD24" s="40">
        <v>-2.8405860967279945E-2</v>
      </c>
      <c r="AE24" s="40">
        <v>-5.5590792838874678E-2</v>
      </c>
      <c r="AF24" s="40">
        <v>-0.15107913669064746</v>
      </c>
      <c r="AG24" s="40">
        <v>0.13</v>
      </c>
      <c r="AH24" s="40">
        <v>0.13500000000000001</v>
      </c>
      <c r="AI24" s="40">
        <v>0.18</v>
      </c>
      <c r="AJ24" s="40">
        <v>0.19</v>
      </c>
      <c r="AK24" s="40">
        <v>0.65</v>
      </c>
      <c r="AL24" s="40">
        <v>0.65</v>
      </c>
      <c r="AM24" s="40">
        <v>1</v>
      </c>
      <c r="AN24" s="40">
        <v>1</v>
      </c>
      <c r="AO24" s="40">
        <v>0.76</v>
      </c>
      <c r="AP24" s="40">
        <v>1</v>
      </c>
      <c r="AQ24" s="40">
        <f t="shared" si="17"/>
        <v>0.70500000000000007</v>
      </c>
      <c r="AR24" s="40">
        <f t="shared" si="18"/>
        <v>1</v>
      </c>
      <c r="AS24" s="40">
        <f t="shared" si="19"/>
        <v>1</v>
      </c>
      <c r="AT24" s="40" cm="1">
        <f t="array" ref="AT24">_xlfn.IFS(AG24&gt;sheet2!$C$2,1,AG24=sheet2!$C$2,0,AG24&lt;sheet2!$C$2,-1)</f>
        <v>-1</v>
      </c>
      <c r="AU24" s="40" cm="1">
        <f t="array" ref="AU24">_xlfn.IFS(AH24&gt;sheet2!$D$2,1,AH24=sheet2!$D$2,0,AH24&lt;sheet2!$D$2,-1)</f>
        <v>0</v>
      </c>
      <c r="AV24" s="40" cm="1">
        <f t="array" ref="AV24">_xlfn.IFS(AI24&gt;sheet2!$E$2,1,AI24=sheet2!$E$2,0,AI24&lt;sheet2!$E$2,-1)</f>
        <v>0</v>
      </c>
      <c r="AW24" s="40" cm="1">
        <f t="array" ref="AW24">_xlfn.IFS(AJ24&gt;sheet2!$F$2,1,AJ24=sheet2!$F$2,0,AJ24&lt;sheet2!$F$2,-1)</f>
        <v>-1</v>
      </c>
      <c r="AX24" s="40" cm="1">
        <f t="array" ref="AX24">_xlfn.IFS(AK24&gt;sheet2!$G$2,1,AK24=sheet2!$G$2,0,AK24&lt;sheet2!$G$2,-1)</f>
        <v>0</v>
      </c>
      <c r="AY24">
        <v>0.38722079564979328</v>
      </c>
      <c r="AZ24">
        <v>0.61657681940700804</v>
      </c>
      <c r="BA24">
        <v>3.9354000371264151E-2</v>
      </c>
      <c r="BB24">
        <v>1.5007351830523194E-2</v>
      </c>
      <c r="BC24">
        <v>0.43589693992030643</v>
      </c>
    </row>
    <row r="25" spans="1:55" ht="14.4" x14ac:dyDescent="0.25">
      <c r="A25" s="2">
        <v>3</v>
      </c>
      <c r="B25" s="9" t="s">
        <v>50</v>
      </c>
      <c r="C25" s="2">
        <v>2023</v>
      </c>
      <c r="D25" s="5">
        <v>33615.32</v>
      </c>
      <c r="E25" s="17">
        <v>81030.318853294099</v>
      </c>
      <c r="F25" s="30">
        <v>43944.1</v>
      </c>
      <c r="G25" s="3">
        <f t="shared" si="0"/>
        <v>0.76495638777446806</v>
      </c>
      <c r="H25" s="2">
        <f t="shared" si="1"/>
        <v>-3.9022064780124617E-3</v>
      </c>
      <c r="K25">
        <f t="shared" si="3"/>
        <v>1.8439407987259746</v>
      </c>
      <c r="L25">
        <f t="shared" si="4"/>
        <v>-6.8628901644746214E-3</v>
      </c>
      <c r="M25" s="2">
        <v>1</v>
      </c>
      <c r="N25" s="2">
        <v>1</v>
      </c>
      <c r="O25" s="2">
        <v>1</v>
      </c>
      <c r="P25" s="4">
        <v>1</v>
      </c>
      <c r="Q25" s="40">
        <v>0.86522323557358682</v>
      </c>
      <c r="R25" s="40">
        <v>3.2258064516129031E-2</v>
      </c>
      <c r="S25" s="40">
        <v>-0.2202695154308057</v>
      </c>
      <c r="T25" s="40">
        <v>1.3</v>
      </c>
      <c r="U25" s="40">
        <v>-0.15999999999999989</v>
      </c>
      <c r="V25" s="40">
        <v>-3.5143769968051117E-2</v>
      </c>
      <c r="W25" s="40">
        <v>-5.1999999999999998E-2</v>
      </c>
      <c r="X25" s="40">
        <v>-0.12949640287769781</v>
      </c>
      <c r="Y25" s="40">
        <v>0.44401166944017406</v>
      </c>
      <c r="Z25" s="40">
        <v>2.3182297154899886E-2</v>
      </c>
      <c r="AA25" s="40">
        <v>-0.15795989540107727</v>
      </c>
      <c r="AB25" s="40">
        <v>0.37142857142857144</v>
      </c>
      <c r="AC25" s="40">
        <v>-9.3023255813953432E-2</v>
      </c>
      <c r="AD25" s="40">
        <v>-2.8405860967279945E-2</v>
      </c>
      <c r="AE25" s="40">
        <v>-5.5590792838874678E-2</v>
      </c>
      <c r="AF25" s="40">
        <v>-0.15107913669064746</v>
      </c>
      <c r="AG25" s="40">
        <v>0.13</v>
      </c>
      <c r="AH25" s="40">
        <v>0.13500000000000001</v>
      </c>
      <c r="AI25" s="40">
        <v>0.18</v>
      </c>
      <c r="AJ25" s="40">
        <v>0.19</v>
      </c>
      <c r="AK25" s="40">
        <v>0.65</v>
      </c>
      <c r="AL25" s="40">
        <v>0.65</v>
      </c>
      <c r="AM25" s="40">
        <v>1</v>
      </c>
      <c r="AN25" s="40">
        <v>1</v>
      </c>
      <c r="AO25" s="40">
        <v>0.76</v>
      </c>
      <c r="AP25" s="40">
        <v>1</v>
      </c>
      <c r="AQ25" s="40">
        <f t="shared" si="17"/>
        <v>0.70500000000000007</v>
      </c>
      <c r="AR25" s="40">
        <f t="shared" si="18"/>
        <v>1</v>
      </c>
      <c r="AS25" s="40">
        <f t="shared" si="19"/>
        <v>1</v>
      </c>
      <c r="AT25" s="40" cm="1">
        <f t="array" ref="AT25">_xlfn.IFS(AG25&gt;sheet2!$C$2,1,AG25=sheet2!$C$2,0,AG25&lt;sheet2!$C$2,-1)</f>
        <v>-1</v>
      </c>
      <c r="AU25" s="40" cm="1">
        <f t="array" ref="AU25">_xlfn.IFS(AH25&gt;sheet2!$D$2,1,AH25=sheet2!$D$2,0,AH25&lt;sheet2!$D$2,-1)</f>
        <v>0</v>
      </c>
      <c r="AV25" s="40" cm="1">
        <f t="array" ref="AV25">_xlfn.IFS(AI25&gt;sheet2!$E$2,1,AI25=sheet2!$E$2,0,AI25&lt;sheet2!$E$2,-1)</f>
        <v>0</v>
      </c>
      <c r="AW25" s="40" cm="1">
        <f t="array" ref="AW25">_xlfn.IFS(AJ25&gt;sheet2!$F$2,1,AJ25=sheet2!$F$2,0,AJ25&lt;sheet2!$F$2,-1)</f>
        <v>-1</v>
      </c>
      <c r="AX25" s="40" cm="1">
        <f t="array" ref="AX25">_xlfn.IFS(AK25&gt;sheet2!$G$2,1,AK25=sheet2!$G$2,0,AK25&lt;sheet2!$G$2,-1)</f>
        <v>0</v>
      </c>
      <c r="AY25">
        <v>0.389408361987161</v>
      </c>
      <c r="AZ25">
        <v>0.62775598539158661</v>
      </c>
      <c r="BA25">
        <v>3.9210798483120743E-2</v>
      </c>
      <c r="BB25">
        <v>1.6009043307292675E-2</v>
      </c>
      <c r="BC25">
        <v>0.44623217689390515</v>
      </c>
    </row>
    <row r="26" spans="1:55" s="40" customFormat="1" ht="14.4" x14ac:dyDescent="0.25">
      <c r="A26" s="35">
        <v>4</v>
      </c>
      <c r="B26" s="35" t="s">
        <v>10</v>
      </c>
      <c r="C26" s="35">
        <v>2016</v>
      </c>
      <c r="D26" s="35">
        <v>18974</v>
      </c>
      <c r="E26" s="36">
        <v>50115.1417156483</v>
      </c>
      <c r="F26" s="37">
        <v>13050.41</v>
      </c>
      <c r="G26" s="38">
        <f t="shared" si="0"/>
        <v>1.4539006820475373</v>
      </c>
      <c r="H26" s="35"/>
      <c r="I26" s="39">
        <v>0.24061152917585291</v>
      </c>
      <c r="J26" s="35"/>
      <c r="K26" s="40">
        <f t="shared" si="3"/>
        <v>3.840120097042798</v>
      </c>
      <c r="M26" s="35">
        <v>0</v>
      </c>
      <c r="N26" s="35">
        <v>0</v>
      </c>
      <c r="O26" s="35">
        <v>0</v>
      </c>
      <c r="P26" s="41">
        <v>1</v>
      </c>
      <c r="Q26" s="40">
        <v>0.83606885814946419</v>
      </c>
      <c r="R26" s="40">
        <v>0.81818181818181823</v>
      </c>
      <c r="S26" s="40">
        <v>0.63020120560443138</v>
      </c>
      <c r="T26" s="40">
        <v>2.9</v>
      </c>
      <c r="U26" s="40">
        <v>0.82</v>
      </c>
      <c r="V26" s="40">
        <v>0.4726027397260274</v>
      </c>
      <c r="W26" s="40">
        <v>0.39013452914798208</v>
      </c>
      <c r="X26" s="40">
        <v>9.1743119266055051E-2</v>
      </c>
      <c r="Y26" s="40">
        <v>0.3237424657234283</v>
      </c>
      <c r="Z26" s="40">
        <v>0.5879873551106426</v>
      </c>
      <c r="AA26" s="40">
        <v>0.45193051941034384</v>
      </c>
      <c r="AB26" s="40">
        <v>0.82857142857142851</v>
      </c>
      <c r="AC26" s="40">
        <v>0.47674418604651159</v>
      </c>
      <c r="AD26" s="40">
        <v>0.38199338686820983</v>
      </c>
      <c r="AE26" s="40">
        <v>0.41707476517610359</v>
      </c>
      <c r="AF26" s="40">
        <v>0.1070336391437309</v>
      </c>
      <c r="AG26" s="40">
        <v>0.12</v>
      </c>
      <c r="AH26" s="40">
        <v>0.13500000000000001</v>
      </c>
      <c r="AI26" s="40">
        <v>0.18</v>
      </c>
      <c r="AJ26" s="40">
        <v>0.18</v>
      </c>
      <c r="AK26" s="40">
        <v>0.65</v>
      </c>
      <c r="AL26" s="40">
        <v>0.6</v>
      </c>
      <c r="AM26" s="40">
        <v>1</v>
      </c>
      <c r="AN26" s="40">
        <v>1</v>
      </c>
      <c r="AO26" s="40">
        <v>0.72</v>
      </c>
      <c r="AP26" s="40">
        <v>1</v>
      </c>
      <c r="AQ26" s="40">
        <f t="shared" si="8"/>
        <v>0.65999999999999992</v>
      </c>
      <c r="AR26" s="40">
        <f t="shared" si="9"/>
        <v>1</v>
      </c>
      <c r="AS26" s="40">
        <f t="shared" si="10"/>
        <v>1</v>
      </c>
      <c r="AT26" s="40" cm="1">
        <f t="array" ref="AT26">_xlfn.IFS(AG26&gt;sheet2!$C$2,1,AG26=sheet2!$C$2,0,AG26&lt;sheet2!$C$2,-1)</f>
        <v>-1</v>
      </c>
      <c r="AU26" s="40" cm="1">
        <f t="array" ref="AU26">_xlfn.IFS(AH26&gt;sheet2!$D$2,1,AH26=sheet2!$D$2,0,AH26&lt;sheet2!$D$2,-1)</f>
        <v>0</v>
      </c>
      <c r="AV26" s="40" cm="1">
        <f t="array" ref="AV26">_xlfn.IFS(AI26&gt;sheet2!$E$2,1,AI26=sheet2!$E$2,0,AI26&lt;sheet2!$E$2,-1)</f>
        <v>0</v>
      </c>
      <c r="AW26" s="40" cm="1">
        <f t="array" ref="AW26">_xlfn.IFS(AJ26&gt;sheet2!$F$2,1,AJ26=sheet2!$F$2,0,AJ26&lt;sheet2!$F$2,-1)</f>
        <v>-1</v>
      </c>
      <c r="AX26" s="40" cm="1">
        <f t="array" ref="AX26">_xlfn.IFS(AK26&gt;sheet2!$G$2,1,AK26=sheet2!$G$2,0,AK26&lt;sheet2!$G$2,-1)</f>
        <v>0</v>
      </c>
      <c r="AY26" s="40">
        <v>0.39183443278793545</v>
      </c>
      <c r="AZ26" s="40">
        <v>0.57256687535571993</v>
      </c>
      <c r="BA26" s="40">
        <v>2.2425302173607831E-2</v>
      </c>
      <c r="BB26" s="40">
        <v>7.4808607545663319E-3</v>
      </c>
      <c r="BC26" s="40">
        <v>0.45408678102926336</v>
      </c>
    </row>
    <row r="27" spans="1:55" ht="14.4" x14ac:dyDescent="0.25">
      <c r="A27" s="2">
        <v>4</v>
      </c>
      <c r="B27" s="2" t="s">
        <v>10</v>
      </c>
      <c r="C27" s="2">
        <v>2017</v>
      </c>
      <c r="D27" s="2">
        <v>19581</v>
      </c>
      <c r="E27" s="17">
        <v>50653.638905173204</v>
      </c>
      <c r="F27" s="5">
        <v>15528.42</v>
      </c>
      <c r="G27" s="3">
        <f t="shared" si="0"/>
        <v>1.2609782579296542</v>
      </c>
      <c r="H27" s="2">
        <f t="shared" si="1"/>
        <v>-0.13269298687320871</v>
      </c>
      <c r="I27" s="14">
        <v>0.26312939212758013</v>
      </c>
      <c r="J27" s="2">
        <f t="shared" ref="J27:J32" si="20">(I27-I26)/I26</f>
        <v>9.3585968340153231E-2</v>
      </c>
      <c r="K27">
        <f t="shared" si="3"/>
        <v>3.2619956766479272</v>
      </c>
      <c r="L27">
        <f t="shared" si="4"/>
        <v>-0.15054852603179603</v>
      </c>
      <c r="M27" s="2">
        <v>0</v>
      </c>
      <c r="N27" s="2">
        <v>0</v>
      </c>
      <c r="O27" s="2">
        <v>0</v>
      </c>
      <c r="P27" s="4">
        <v>1</v>
      </c>
      <c r="Q27" s="40">
        <v>0.83606885814946419</v>
      </c>
      <c r="R27" s="40">
        <v>0.81818181818181823</v>
      </c>
      <c r="S27" s="40">
        <v>0.63020120560443138</v>
      </c>
      <c r="T27" s="40">
        <v>2.9</v>
      </c>
      <c r="U27" s="40">
        <v>0.82</v>
      </c>
      <c r="V27" s="40">
        <v>0.4726027397260274</v>
      </c>
      <c r="W27" s="40">
        <v>0.39013452914798208</v>
      </c>
      <c r="X27" s="40">
        <v>9.1743119266055051E-2</v>
      </c>
      <c r="Y27" s="40">
        <v>0.3237424657234283</v>
      </c>
      <c r="Z27" s="40">
        <v>0.5879873551106426</v>
      </c>
      <c r="AA27" s="40">
        <v>0.45193051941034384</v>
      </c>
      <c r="AB27" s="40">
        <v>0.82857142857142851</v>
      </c>
      <c r="AC27" s="40">
        <v>0.47674418604651159</v>
      </c>
      <c r="AD27" s="40">
        <v>0.38199338686820983</v>
      </c>
      <c r="AE27" s="40">
        <v>0.41707476517610359</v>
      </c>
      <c r="AF27" s="40">
        <v>0.1070336391437309</v>
      </c>
      <c r="AG27" s="40">
        <v>0.12</v>
      </c>
      <c r="AH27" s="40">
        <v>0.13500000000000001</v>
      </c>
      <c r="AI27" s="40">
        <v>0.18</v>
      </c>
      <c r="AJ27" s="40">
        <v>0.18</v>
      </c>
      <c r="AK27" s="40">
        <v>0.65</v>
      </c>
      <c r="AL27" s="40">
        <v>0.6</v>
      </c>
      <c r="AM27" s="40">
        <v>1</v>
      </c>
      <c r="AN27" s="40">
        <v>1</v>
      </c>
      <c r="AO27" s="40">
        <v>0.72</v>
      </c>
      <c r="AP27" s="40">
        <v>1</v>
      </c>
      <c r="AQ27" s="40">
        <f t="shared" ref="AQ27:AQ33" si="21">AVERAGE(AL27,AO27)</f>
        <v>0.65999999999999992</v>
      </c>
      <c r="AR27" s="40">
        <f t="shared" ref="AR27:AR33" si="22">AVERAGE(AM27)</f>
        <v>1</v>
      </c>
      <c r="AS27" s="40">
        <f t="shared" ref="AS27:AS33" si="23">AVERAGE(AN27,AP27)</f>
        <v>1</v>
      </c>
      <c r="AT27" s="40" cm="1">
        <f t="array" ref="AT27">_xlfn.IFS(AG27&gt;sheet2!$C$2,1,AG27=sheet2!$C$2,0,AG27&lt;sheet2!$C$2,-1)</f>
        <v>-1</v>
      </c>
      <c r="AU27" s="40" cm="1">
        <f t="array" ref="AU27">_xlfn.IFS(AH27&gt;sheet2!$D$2,1,AH27=sheet2!$D$2,0,AH27&lt;sheet2!$D$2,-1)</f>
        <v>0</v>
      </c>
      <c r="AV27" s="40" cm="1">
        <f t="array" ref="AV27">_xlfn.IFS(AI27&gt;sheet2!$E$2,1,AI27=sheet2!$E$2,0,AI27&lt;sheet2!$E$2,-1)</f>
        <v>0</v>
      </c>
      <c r="AW27" s="40" cm="1">
        <f t="array" ref="AW27">_xlfn.IFS(AJ27&gt;sheet2!$F$2,1,AJ27=sheet2!$F$2,0,AJ27&lt;sheet2!$F$2,-1)</f>
        <v>-1</v>
      </c>
      <c r="AX27" s="40" cm="1">
        <f t="array" ref="AX27">_xlfn.IFS(AK27&gt;sheet2!$G$2,1,AK27=sheet2!$G$2,0,AK27&lt;sheet2!$G$2,-1)</f>
        <v>0</v>
      </c>
      <c r="AY27">
        <v>0.42730039501765149</v>
      </c>
      <c r="AZ27">
        <v>0.58603988603988599</v>
      </c>
      <c r="BA27">
        <v>2.239977536407612E-2</v>
      </c>
      <c r="BB27">
        <v>7.2275415013246672E-3</v>
      </c>
      <c r="BC27">
        <v>0.49701577565873889</v>
      </c>
    </row>
    <row r="28" spans="1:55" ht="14.4" x14ac:dyDescent="0.25">
      <c r="A28" s="2">
        <v>4</v>
      </c>
      <c r="B28" s="2" t="s">
        <v>10</v>
      </c>
      <c r="C28" s="2">
        <v>2018</v>
      </c>
      <c r="D28" s="2">
        <v>20199</v>
      </c>
      <c r="E28" s="17">
        <v>52257.304261224403</v>
      </c>
      <c r="F28" s="5">
        <v>16818.11</v>
      </c>
      <c r="G28" s="3">
        <f t="shared" si="0"/>
        <v>1.2010267503304473</v>
      </c>
      <c r="H28" s="2">
        <f t="shared" si="1"/>
        <v>-4.7543648926698205E-2</v>
      </c>
      <c r="I28" s="14">
        <v>0.29171651797939768</v>
      </c>
      <c r="J28" s="2">
        <f t="shared" si="20"/>
        <v>0.10864284533427145</v>
      </c>
      <c r="K28">
        <f t="shared" si="3"/>
        <v>3.1072043327831964</v>
      </c>
      <c r="L28">
        <f t="shared" si="4"/>
        <v>-4.7452958007533776E-2</v>
      </c>
      <c r="M28" s="2">
        <v>0</v>
      </c>
      <c r="N28" s="2">
        <v>0</v>
      </c>
      <c r="O28" s="2">
        <v>0</v>
      </c>
      <c r="P28" s="4">
        <v>1</v>
      </c>
      <c r="Q28" s="40">
        <v>0.83606885814946419</v>
      </c>
      <c r="R28" s="40">
        <v>0.81818181818181823</v>
      </c>
      <c r="S28" s="40">
        <v>0.63020120560443138</v>
      </c>
      <c r="T28" s="40">
        <v>2.9</v>
      </c>
      <c r="U28" s="40">
        <v>0.82</v>
      </c>
      <c r="V28" s="40">
        <v>0.4726027397260274</v>
      </c>
      <c r="W28" s="40">
        <v>0.39013452914798208</v>
      </c>
      <c r="X28" s="40">
        <v>9.1743119266055051E-2</v>
      </c>
      <c r="Y28" s="40">
        <v>0.3237424657234283</v>
      </c>
      <c r="Z28" s="40">
        <v>0.5879873551106426</v>
      </c>
      <c r="AA28" s="40">
        <v>0.45193051941034384</v>
      </c>
      <c r="AB28" s="40">
        <v>0.82857142857142851</v>
      </c>
      <c r="AC28" s="40">
        <v>0.47674418604651159</v>
      </c>
      <c r="AD28" s="40">
        <v>0.38199338686820983</v>
      </c>
      <c r="AE28" s="40">
        <v>0.41707476517610359</v>
      </c>
      <c r="AF28" s="40">
        <v>0.1070336391437309</v>
      </c>
      <c r="AG28" s="40">
        <v>0.12</v>
      </c>
      <c r="AH28" s="40">
        <v>0.13500000000000001</v>
      </c>
      <c r="AI28" s="40">
        <v>0.18</v>
      </c>
      <c r="AJ28" s="40">
        <v>0.18</v>
      </c>
      <c r="AK28" s="40">
        <v>0.65</v>
      </c>
      <c r="AL28" s="40">
        <v>0.6</v>
      </c>
      <c r="AM28" s="40">
        <v>1</v>
      </c>
      <c r="AN28" s="40">
        <v>1</v>
      </c>
      <c r="AO28" s="40">
        <v>0.72</v>
      </c>
      <c r="AP28" s="40">
        <v>1</v>
      </c>
      <c r="AQ28" s="40">
        <f t="shared" si="21"/>
        <v>0.65999999999999992</v>
      </c>
      <c r="AR28" s="40">
        <f t="shared" si="22"/>
        <v>1</v>
      </c>
      <c r="AS28" s="40">
        <f t="shared" si="23"/>
        <v>1</v>
      </c>
      <c r="AT28" s="40" cm="1">
        <f t="array" ref="AT28">_xlfn.IFS(AG28&gt;sheet2!$C$2,1,AG28=sheet2!$C$2,0,AG28&lt;sheet2!$C$2,-1)</f>
        <v>-1</v>
      </c>
      <c r="AU28" s="40" cm="1">
        <f t="array" ref="AU28">_xlfn.IFS(AH28&gt;sheet2!$D$2,1,AH28=sheet2!$D$2,0,AH28&lt;sheet2!$D$2,-1)</f>
        <v>0</v>
      </c>
      <c r="AV28" s="40" cm="1">
        <f t="array" ref="AV28">_xlfn.IFS(AI28&gt;sheet2!$E$2,1,AI28=sheet2!$E$2,0,AI28&lt;sheet2!$E$2,-1)</f>
        <v>0</v>
      </c>
      <c r="AW28" s="40" cm="1">
        <f t="array" ref="AW28">_xlfn.IFS(AJ28&gt;sheet2!$F$2,1,AJ28=sheet2!$F$2,0,AJ28&lt;sheet2!$F$2,-1)</f>
        <v>-1</v>
      </c>
      <c r="AX28" s="40" cm="1">
        <f t="array" ref="AX28">_xlfn.IFS(AK28&gt;sheet2!$G$2,1,AK28=sheet2!$G$2,0,AK28&lt;sheet2!$G$2,-1)</f>
        <v>0</v>
      </c>
      <c r="AY28">
        <v>0.42064774222549384</v>
      </c>
      <c r="AZ28">
        <v>0.59851513420902347</v>
      </c>
      <c r="BA28">
        <v>2.2348721745012699E-2</v>
      </c>
      <c r="BB28">
        <v>7.8042717047278201E-3</v>
      </c>
      <c r="BC28">
        <v>0.53518864775403774</v>
      </c>
    </row>
    <row r="29" spans="1:55" ht="14.4" x14ac:dyDescent="0.25">
      <c r="A29" s="2">
        <v>4</v>
      </c>
      <c r="B29" s="2" t="s">
        <v>10</v>
      </c>
      <c r="C29" s="2">
        <v>2019</v>
      </c>
      <c r="D29" s="2">
        <v>20859</v>
      </c>
      <c r="E29" s="17">
        <v>52940.152020508998</v>
      </c>
      <c r="F29" s="5">
        <v>17026.68</v>
      </c>
      <c r="G29" s="3">
        <f t="shared" si="0"/>
        <v>1.2250773491954978</v>
      </c>
      <c r="H29" s="2">
        <f t="shared" si="1"/>
        <v>2.0025031797529364E-2</v>
      </c>
      <c r="I29" s="14">
        <v>0.29011883670198452</v>
      </c>
      <c r="J29" s="2">
        <f t="shared" si="20"/>
        <v>-5.4768282868575885E-3</v>
      </c>
      <c r="K29">
        <f t="shared" si="3"/>
        <v>3.109246900776252</v>
      </c>
      <c r="L29">
        <f t="shared" si="4"/>
        <v>6.5736519851785898E-4</v>
      </c>
      <c r="M29" s="2">
        <v>0</v>
      </c>
      <c r="N29" s="2">
        <v>0</v>
      </c>
      <c r="O29" s="2">
        <v>0</v>
      </c>
      <c r="P29" s="4">
        <v>1</v>
      </c>
      <c r="Q29" s="40">
        <v>0.83606885814946419</v>
      </c>
      <c r="R29" s="40">
        <v>0.81818181818181823</v>
      </c>
      <c r="S29" s="40">
        <v>0.63020120560443138</v>
      </c>
      <c r="T29" s="40">
        <v>2.9</v>
      </c>
      <c r="U29" s="40">
        <v>0.82</v>
      </c>
      <c r="V29" s="40">
        <v>0.4726027397260274</v>
      </c>
      <c r="W29" s="40">
        <v>0.39013452914798208</v>
      </c>
      <c r="X29" s="40">
        <v>9.1743119266055051E-2</v>
      </c>
      <c r="Y29" s="40">
        <v>0.3237424657234283</v>
      </c>
      <c r="Z29" s="40">
        <v>0.5879873551106426</v>
      </c>
      <c r="AA29" s="40">
        <v>0.45193051941034384</v>
      </c>
      <c r="AB29" s="40">
        <v>0.82857142857142851</v>
      </c>
      <c r="AC29" s="40">
        <v>0.47674418604651159</v>
      </c>
      <c r="AD29" s="40">
        <v>0.38199338686820983</v>
      </c>
      <c r="AE29" s="40">
        <v>0.41707476517610359</v>
      </c>
      <c r="AF29" s="40">
        <v>0.1070336391437309</v>
      </c>
      <c r="AG29" s="40">
        <v>0.12</v>
      </c>
      <c r="AH29" s="40">
        <v>0.13500000000000001</v>
      </c>
      <c r="AI29" s="40">
        <v>0.18</v>
      </c>
      <c r="AJ29" s="40">
        <v>0.18</v>
      </c>
      <c r="AK29" s="40">
        <v>0.65</v>
      </c>
      <c r="AL29" s="40">
        <v>0.6</v>
      </c>
      <c r="AM29" s="40">
        <v>1</v>
      </c>
      <c r="AN29" s="40">
        <v>1</v>
      </c>
      <c r="AO29" s="40">
        <v>0.72</v>
      </c>
      <c r="AP29" s="40">
        <v>1</v>
      </c>
      <c r="AQ29" s="40">
        <f t="shared" si="21"/>
        <v>0.65999999999999992</v>
      </c>
      <c r="AR29" s="40">
        <f t="shared" si="22"/>
        <v>1</v>
      </c>
      <c r="AS29" s="40">
        <f t="shared" si="23"/>
        <v>1</v>
      </c>
      <c r="AT29" s="40" cm="1">
        <f t="array" ref="AT29">_xlfn.IFS(AG29&gt;sheet2!$C$2,1,AG29=sheet2!$C$2,0,AG29&lt;sheet2!$C$2,-1)</f>
        <v>-1</v>
      </c>
      <c r="AU29" s="40" cm="1">
        <f t="array" ref="AU29">_xlfn.IFS(AH29&gt;sheet2!$D$2,1,AH29=sheet2!$D$2,0,AH29&lt;sheet2!$D$2,-1)</f>
        <v>0</v>
      </c>
      <c r="AV29" s="40" cm="1">
        <f t="array" ref="AV29">_xlfn.IFS(AI29&gt;sheet2!$E$2,1,AI29=sheet2!$E$2,0,AI29&lt;sheet2!$E$2,-1)</f>
        <v>0</v>
      </c>
      <c r="AW29" s="40" cm="1">
        <f t="array" ref="AW29">_xlfn.IFS(AJ29&gt;sheet2!$F$2,1,AJ29=sheet2!$F$2,0,AJ29&lt;sheet2!$F$2,-1)</f>
        <v>-1</v>
      </c>
      <c r="AX29" s="40" cm="1">
        <f t="array" ref="AX29">_xlfn.IFS(AK29&gt;sheet2!$G$2,1,AK29=sheet2!$G$2,0,AK29&lt;sheet2!$G$2,-1)</f>
        <v>0</v>
      </c>
      <c r="AY29">
        <v>0.43478235334193155</v>
      </c>
      <c r="AZ29">
        <v>0.61281098084072061</v>
      </c>
      <c r="BA29">
        <v>2.231681323309806E-2</v>
      </c>
      <c r="BB29">
        <v>8.109701950115936E-3</v>
      </c>
      <c r="BC29">
        <v>0.49838030381509563</v>
      </c>
    </row>
    <row r="30" spans="1:55" ht="14.4" x14ac:dyDescent="0.25">
      <c r="A30" s="2">
        <v>4</v>
      </c>
      <c r="B30" s="2" t="s">
        <v>10</v>
      </c>
      <c r="C30" s="2">
        <v>2020</v>
      </c>
      <c r="D30" s="2">
        <v>20980.55</v>
      </c>
      <c r="E30" s="17">
        <v>53023.822335002398</v>
      </c>
      <c r="F30" s="5">
        <v>17651.93</v>
      </c>
      <c r="G30" s="3">
        <f t="shared" si="0"/>
        <v>1.1885697484637656</v>
      </c>
      <c r="H30" s="2">
        <f t="shared" si="1"/>
        <v>-2.9800241393497778E-2</v>
      </c>
      <c r="I30" s="14">
        <v>0.30115491169383812</v>
      </c>
      <c r="J30" s="2">
        <f t="shared" si="20"/>
        <v>3.8039842973691736E-2</v>
      </c>
      <c r="K30">
        <f t="shared" si="3"/>
        <v>3.0038541017895719</v>
      </c>
      <c r="L30">
        <f t="shared" si="4"/>
        <v>-3.3896567995410014E-2</v>
      </c>
      <c r="M30" s="2">
        <v>0</v>
      </c>
      <c r="N30" s="2">
        <v>0</v>
      </c>
      <c r="O30" s="2">
        <v>0</v>
      </c>
      <c r="P30" s="4">
        <v>1</v>
      </c>
      <c r="Q30" s="40">
        <v>0.83606885814946419</v>
      </c>
      <c r="R30" s="40">
        <v>0.81818181818181823</v>
      </c>
      <c r="S30" s="40">
        <v>0.63020120560443138</v>
      </c>
      <c r="T30" s="40">
        <v>2.9</v>
      </c>
      <c r="U30" s="40">
        <v>0.82</v>
      </c>
      <c r="V30" s="40">
        <v>0.4726027397260274</v>
      </c>
      <c r="W30" s="40">
        <v>0.39013452914798208</v>
      </c>
      <c r="X30" s="40">
        <v>9.1743119266055051E-2</v>
      </c>
      <c r="Y30" s="40">
        <v>0.3237424657234283</v>
      </c>
      <c r="Z30" s="40">
        <v>0.5879873551106426</v>
      </c>
      <c r="AA30" s="40">
        <v>0.45193051941034384</v>
      </c>
      <c r="AB30" s="40">
        <v>0.82857142857142851</v>
      </c>
      <c r="AC30" s="40">
        <v>0.47674418604651159</v>
      </c>
      <c r="AD30" s="40">
        <v>0.38199338686820983</v>
      </c>
      <c r="AE30" s="40">
        <v>0.41707476517610359</v>
      </c>
      <c r="AF30" s="40">
        <v>0.1070336391437309</v>
      </c>
      <c r="AG30" s="40">
        <v>0.12</v>
      </c>
      <c r="AH30" s="40">
        <v>0.13500000000000001</v>
      </c>
      <c r="AI30" s="40">
        <v>0.18</v>
      </c>
      <c r="AJ30" s="40">
        <v>0.18</v>
      </c>
      <c r="AK30" s="40">
        <v>0.65</v>
      </c>
      <c r="AL30" s="40">
        <v>0.6</v>
      </c>
      <c r="AM30" s="40">
        <v>1</v>
      </c>
      <c r="AN30" s="40">
        <v>1</v>
      </c>
      <c r="AO30" s="40">
        <v>0.72</v>
      </c>
      <c r="AP30" s="40">
        <v>1</v>
      </c>
      <c r="AQ30" s="40">
        <f t="shared" si="21"/>
        <v>0.65999999999999992</v>
      </c>
      <c r="AR30" s="40">
        <f t="shared" si="22"/>
        <v>1</v>
      </c>
      <c r="AS30" s="40">
        <f t="shared" si="23"/>
        <v>1</v>
      </c>
      <c r="AT30" s="40" cm="1">
        <f t="array" ref="AT30">_xlfn.IFS(AG30&gt;sheet2!$C$2,1,AG30=sheet2!$C$2,0,AG30&lt;sheet2!$C$2,-1)</f>
        <v>-1</v>
      </c>
      <c r="AU30" s="40" cm="1">
        <f t="array" ref="AU30">_xlfn.IFS(AH30&gt;sheet2!$D$2,1,AH30=sheet2!$D$2,0,AH30&lt;sheet2!$D$2,-1)</f>
        <v>0</v>
      </c>
      <c r="AV30" s="40" cm="1">
        <f t="array" ref="AV30">_xlfn.IFS(AI30&gt;sheet2!$E$2,1,AI30=sheet2!$E$2,0,AI30&lt;sheet2!$E$2,-1)</f>
        <v>0</v>
      </c>
      <c r="AW30" s="40" cm="1">
        <f t="array" ref="AW30">_xlfn.IFS(AJ30&gt;sheet2!$F$2,1,AJ30=sheet2!$F$2,0,AJ30&lt;sheet2!$F$2,-1)</f>
        <v>-1</v>
      </c>
      <c r="AX30" s="40" cm="1">
        <f t="array" ref="AX30">_xlfn.IFS(AK30&gt;sheet2!$G$2,1,AK30=sheet2!$G$2,0,AK30&lt;sheet2!$G$2,-1)</f>
        <v>0</v>
      </c>
      <c r="AY30">
        <v>0.42149498666718027</v>
      </c>
      <c r="AZ30">
        <v>0.625214899713467</v>
      </c>
      <c r="BA30">
        <v>2.2272141316417568E-2</v>
      </c>
      <c r="BB30">
        <v>8.8477010729138394E-3</v>
      </c>
      <c r="BC30">
        <v>0.44935011064652403</v>
      </c>
    </row>
    <row r="31" spans="1:55" ht="14.4" x14ac:dyDescent="0.25">
      <c r="A31" s="2">
        <v>4</v>
      </c>
      <c r="B31" s="2" t="s">
        <v>10</v>
      </c>
      <c r="C31" s="2">
        <v>2021</v>
      </c>
      <c r="D31" s="2">
        <v>21643.94</v>
      </c>
      <c r="E31" s="17">
        <v>57900.729570894298</v>
      </c>
      <c r="F31" s="30">
        <v>22590.160800000001</v>
      </c>
      <c r="G31" s="3">
        <f t="shared" si="0"/>
        <v>0.95811358722156581</v>
      </c>
      <c r="H31" s="2">
        <f t="shared" si="1"/>
        <v>-0.19389367897009488</v>
      </c>
      <c r="I31" s="14">
        <v>0.309443679404592</v>
      </c>
      <c r="J31" s="2">
        <f t="shared" si="20"/>
        <v>2.7523269217606023E-2</v>
      </c>
      <c r="K31">
        <f t="shared" si="3"/>
        <v>2.5630950608768703</v>
      </c>
      <c r="L31">
        <f t="shared" si="4"/>
        <v>-0.14673117467659816</v>
      </c>
      <c r="M31" s="2">
        <v>0</v>
      </c>
      <c r="N31" s="2">
        <v>0</v>
      </c>
      <c r="O31" s="2">
        <v>0</v>
      </c>
      <c r="P31" s="4">
        <v>1</v>
      </c>
      <c r="Q31" s="40">
        <v>0.83606885814946419</v>
      </c>
      <c r="R31" s="40">
        <v>0.81818181818181823</v>
      </c>
      <c r="S31" s="40">
        <v>0.63020120560443138</v>
      </c>
      <c r="T31" s="40">
        <v>2.9</v>
      </c>
      <c r="U31" s="40">
        <v>0.82</v>
      </c>
      <c r="V31" s="40">
        <v>0.4726027397260274</v>
      </c>
      <c r="W31" s="40">
        <v>0.39013452914798208</v>
      </c>
      <c r="X31" s="40">
        <v>9.1743119266055051E-2</v>
      </c>
      <c r="Y31" s="40">
        <v>0.3237424657234283</v>
      </c>
      <c r="Z31" s="40">
        <v>0.5879873551106426</v>
      </c>
      <c r="AA31" s="40">
        <v>0.45193051941034384</v>
      </c>
      <c r="AB31" s="40">
        <v>0.82857142857142851</v>
      </c>
      <c r="AC31" s="40">
        <v>0.47674418604651159</v>
      </c>
      <c r="AD31" s="40">
        <v>0.38199338686820983</v>
      </c>
      <c r="AE31" s="40">
        <v>0.41707476517610359</v>
      </c>
      <c r="AF31" s="40">
        <v>0.1070336391437309</v>
      </c>
      <c r="AG31" s="40">
        <v>0.12</v>
      </c>
      <c r="AH31" s="40">
        <v>0.13500000000000001</v>
      </c>
      <c r="AI31" s="40">
        <v>0.18</v>
      </c>
      <c r="AJ31" s="40">
        <v>0.18</v>
      </c>
      <c r="AK31" s="40">
        <v>0.65</v>
      </c>
      <c r="AL31" s="40">
        <v>0.6</v>
      </c>
      <c r="AM31" s="40">
        <v>1</v>
      </c>
      <c r="AN31" s="40">
        <v>1</v>
      </c>
      <c r="AO31" s="40">
        <v>0.72</v>
      </c>
      <c r="AP31" s="40">
        <v>1</v>
      </c>
      <c r="AQ31" s="40">
        <f t="shared" si="21"/>
        <v>0.65999999999999992</v>
      </c>
      <c r="AR31" s="40">
        <f t="shared" si="22"/>
        <v>1</v>
      </c>
      <c r="AS31" s="40">
        <f t="shared" si="23"/>
        <v>1</v>
      </c>
      <c r="AT31" s="40" cm="1">
        <f t="array" ref="AT31">_xlfn.IFS(AG31&gt;sheet2!$C$2,1,AG31=sheet2!$C$2,0,AG31&lt;sheet2!$C$2,-1)</f>
        <v>-1</v>
      </c>
      <c r="AU31" s="40" cm="1">
        <f t="array" ref="AU31">_xlfn.IFS(AH31&gt;sheet2!$D$2,1,AH31=sheet2!$D$2,0,AH31&lt;sheet2!$D$2,-1)</f>
        <v>0</v>
      </c>
      <c r="AV31" s="40" cm="1">
        <f t="array" ref="AV31">_xlfn.IFS(AI31&gt;sheet2!$E$2,1,AI31=sheet2!$E$2,0,AI31&lt;sheet2!$E$2,-1)</f>
        <v>0</v>
      </c>
      <c r="AW31" s="40" cm="1">
        <f t="array" ref="AW31">_xlfn.IFS(AJ31&gt;sheet2!$F$2,1,AJ31=sheet2!$F$2,0,AJ31&lt;sheet2!$F$2,-1)</f>
        <v>-1</v>
      </c>
      <c r="AX31" s="40" cm="1">
        <f t="array" ref="AX31">_xlfn.IFS(AK31&gt;sheet2!$G$2,1,AK31=sheet2!$G$2,0,AK31&lt;sheet2!$G$2,-1)</f>
        <v>0</v>
      </c>
      <c r="AY31">
        <v>0.48217894934152039</v>
      </c>
      <c r="AZ31">
        <v>0.63419540229885063</v>
      </c>
      <c r="BA31">
        <v>2.2208324292588292E-2</v>
      </c>
      <c r="BB31">
        <v>8.2445097070756573E-3</v>
      </c>
      <c r="BC31">
        <v>0.5616571091146153</v>
      </c>
    </row>
    <row r="32" spans="1:55" ht="14.4" x14ac:dyDescent="0.25">
      <c r="A32" s="2">
        <v>4</v>
      </c>
      <c r="B32" s="2" t="s">
        <v>10</v>
      </c>
      <c r="C32" s="2">
        <v>2022</v>
      </c>
      <c r="D32" s="2">
        <v>21918.5</v>
      </c>
      <c r="E32" s="17">
        <v>58957.833808602401</v>
      </c>
      <c r="F32" s="30">
        <v>25642.6</v>
      </c>
      <c r="G32" s="3">
        <f t="shared" si="0"/>
        <v>0.8547690171823451</v>
      </c>
      <c r="H32" s="2">
        <f t="shared" si="1"/>
        <v>-0.10786254512777518</v>
      </c>
      <c r="I32" s="14">
        <v>0.37664799873694499</v>
      </c>
      <c r="J32" s="2">
        <f t="shared" si="20"/>
        <v>0.21717787049863946</v>
      </c>
      <c r="K32">
        <f t="shared" si="3"/>
        <v>2.299214346774602</v>
      </c>
      <c r="L32">
        <f t="shared" si="4"/>
        <v>-0.10295393180305652</v>
      </c>
      <c r="M32" s="2">
        <v>1</v>
      </c>
      <c r="N32" s="2">
        <v>1</v>
      </c>
      <c r="O32" s="2">
        <v>0</v>
      </c>
      <c r="P32" s="4">
        <v>1</v>
      </c>
      <c r="Q32" s="40">
        <v>0.83606885814946419</v>
      </c>
      <c r="R32" s="40">
        <v>0.81818181818181823</v>
      </c>
      <c r="S32" s="40">
        <v>0.63020120560443138</v>
      </c>
      <c r="T32" s="40">
        <v>2.9</v>
      </c>
      <c r="U32" s="40">
        <v>0.82</v>
      </c>
      <c r="V32" s="40">
        <v>0.4726027397260274</v>
      </c>
      <c r="W32" s="40">
        <v>0.39013452914798208</v>
      </c>
      <c r="X32" s="40">
        <v>9.1743119266055051E-2</v>
      </c>
      <c r="Y32" s="40">
        <v>0.3237424657234283</v>
      </c>
      <c r="Z32" s="40">
        <v>0.5879873551106426</v>
      </c>
      <c r="AA32" s="40">
        <v>0.45193051941034384</v>
      </c>
      <c r="AB32" s="40">
        <v>0.82857142857142851</v>
      </c>
      <c r="AC32" s="40">
        <v>0.47674418604651159</v>
      </c>
      <c r="AD32" s="40">
        <v>0.38199338686820983</v>
      </c>
      <c r="AE32" s="40">
        <v>0.41707476517610359</v>
      </c>
      <c r="AF32" s="40">
        <v>0.1070336391437309</v>
      </c>
      <c r="AG32" s="40">
        <v>0.12</v>
      </c>
      <c r="AH32" s="40">
        <v>0.13500000000000001</v>
      </c>
      <c r="AI32" s="40">
        <v>0.18</v>
      </c>
      <c r="AJ32" s="40">
        <v>0.18</v>
      </c>
      <c r="AK32" s="40">
        <v>0.65</v>
      </c>
      <c r="AL32" s="40">
        <v>0.6</v>
      </c>
      <c r="AM32" s="40">
        <v>1</v>
      </c>
      <c r="AN32" s="40">
        <v>1</v>
      </c>
      <c r="AO32" s="40">
        <v>0.72</v>
      </c>
      <c r="AP32" s="40">
        <v>1</v>
      </c>
      <c r="AQ32" s="40">
        <f t="shared" si="21"/>
        <v>0.65999999999999992</v>
      </c>
      <c r="AR32" s="40">
        <f t="shared" si="22"/>
        <v>1</v>
      </c>
      <c r="AS32" s="40">
        <f t="shared" si="23"/>
        <v>1</v>
      </c>
      <c r="AT32" s="40" cm="1">
        <f t="array" ref="AT32">_xlfn.IFS(AG32&gt;sheet2!$C$2,1,AG32=sheet2!$C$2,0,AG32&lt;sheet2!$C$2,-1)</f>
        <v>-1</v>
      </c>
      <c r="AU32" s="40" cm="1">
        <f t="array" ref="AU32">_xlfn.IFS(AH32&gt;sheet2!$D$2,1,AH32=sheet2!$D$2,0,AH32&lt;sheet2!$D$2,-1)</f>
        <v>0</v>
      </c>
      <c r="AV32" s="40" cm="1">
        <f t="array" ref="AV32">_xlfn.IFS(AI32&gt;sheet2!$E$2,1,AI32=sheet2!$E$2,0,AI32&lt;sheet2!$E$2,-1)</f>
        <v>0</v>
      </c>
      <c r="AW32" s="40" cm="1">
        <f t="array" ref="AW32">_xlfn.IFS(AJ32&gt;sheet2!$F$2,1,AJ32=sheet2!$F$2,0,AJ32&lt;sheet2!$F$2,-1)</f>
        <v>-1</v>
      </c>
      <c r="AX32" s="40" cm="1">
        <f t="array" ref="AX32">_xlfn.IFS(AK32&gt;sheet2!$G$2,1,AK32=sheet2!$G$2,0,AK32&lt;sheet2!$G$2,-1)</f>
        <v>0</v>
      </c>
      <c r="AY32">
        <v>0.49398656922464967</v>
      </c>
      <c r="AZ32">
        <v>0.6394714162596955</v>
      </c>
      <c r="BA32">
        <v>2.2214705994971218E-2</v>
      </c>
      <c r="BB32">
        <v>7.8895392822880689E-3</v>
      </c>
      <c r="BC32">
        <v>0.58776312430868716</v>
      </c>
    </row>
    <row r="33" spans="1:55" ht="14.4" x14ac:dyDescent="0.25">
      <c r="A33" s="2">
        <v>4</v>
      </c>
      <c r="B33" s="9" t="s">
        <v>51</v>
      </c>
      <c r="C33" s="2">
        <v>2023</v>
      </c>
      <c r="D33" s="8">
        <v>8426.2800000000007</v>
      </c>
      <c r="E33" s="17">
        <v>62909.476418189093</v>
      </c>
      <c r="F33" s="31">
        <v>25698.184499999999</v>
      </c>
      <c r="G33" s="3">
        <f t="shared" si="0"/>
        <v>0.32789398021482807</v>
      </c>
      <c r="H33" s="2">
        <f t="shared" si="1"/>
        <v>-0.61639463571609598</v>
      </c>
      <c r="K33">
        <f t="shared" si="3"/>
        <v>2.4480124819007778</v>
      </c>
      <c r="L33">
        <f t="shared" si="4"/>
        <v>6.4716947915236217E-2</v>
      </c>
      <c r="M33" s="2">
        <v>1</v>
      </c>
      <c r="N33" s="2">
        <v>1</v>
      </c>
      <c r="O33" s="2">
        <v>1</v>
      </c>
      <c r="P33" s="4">
        <v>1</v>
      </c>
      <c r="Q33" s="40">
        <v>0.83606885814946419</v>
      </c>
      <c r="R33" s="40">
        <v>0.81818181818181823</v>
      </c>
      <c r="S33" s="40">
        <v>0.63020120560443138</v>
      </c>
      <c r="T33" s="40">
        <v>2.9</v>
      </c>
      <c r="U33" s="40">
        <v>0.82</v>
      </c>
      <c r="V33" s="40">
        <v>0.4726027397260274</v>
      </c>
      <c r="W33" s="40">
        <v>0.39013452914798208</v>
      </c>
      <c r="X33" s="40">
        <v>9.1743119266055051E-2</v>
      </c>
      <c r="Y33" s="40">
        <v>0.3237424657234283</v>
      </c>
      <c r="Z33" s="40">
        <v>0.5879873551106426</v>
      </c>
      <c r="AA33" s="40">
        <v>0.45193051941034384</v>
      </c>
      <c r="AB33" s="40">
        <v>0.82857142857142851</v>
      </c>
      <c r="AC33" s="40">
        <v>0.47674418604651159</v>
      </c>
      <c r="AD33" s="40">
        <v>0.38199338686820983</v>
      </c>
      <c r="AE33" s="40">
        <v>0.41707476517610359</v>
      </c>
      <c r="AF33" s="40">
        <v>0.1070336391437309</v>
      </c>
      <c r="AG33" s="40">
        <v>0.12</v>
      </c>
      <c r="AH33" s="40">
        <v>0.13500000000000001</v>
      </c>
      <c r="AI33" s="40">
        <v>0.18</v>
      </c>
      <c r="AJ33" s="40">
        <v>0.18</v>
      </c>
      <c r="AK33" s="40">
        <v>0.65</v>
      </c>
      <c r="AL33" s="40">
        <v>0.6</v>
      </c>
      <c r="AM33" s="40">
        <v>1</v>
      </c>
      <c r="AN33" s="40">
        <v>1</v>
      </c>
      <c r="AO33" s="40">
        <v>0.72</v>
      </c>
      <c r="AP33" s="40">
        <v>1</v>
      </c>
      <c r="AQ33" s="40">
        <f t="shared" si="21"/>
        <v>0.65999999999999992</v>
      </c>
      <c r="AR33" s="40">
        <f t="shared" si="22"/>
        <v>1</v>
      </c>
      <c r="AS33" s="40">
        <f t="shared" si="23"/>
        <v>1</v>
      </c>
      <c r="AT33" s="40" cm="1">
        <f t="array" ref="AT33">_xlfn.IFS(AG33&gt;sheet2!$C$2,1,AG33=sheet2!$C$2,0,AG33&lt;sheet2!$C$2,-1)</f>
        <v>-1</v>
      </c>
      <c r="AU33" s="40" cm="1">
        <f t="array" ref="AU33">_xlfn.IFS(AH33&gt;sheet2!$D$2,1,AH33=sheet2!$D$2,0,AH33&lt;sheet2!$D$2,-1)</f>
        <v>0</v>
      </c>
      <c r="AV33" s="40" cm="1">
        <f t="array" ref="AV33">_xlfn.IFS(AI33&gt;sheet2!$E$2,1,AI33=sheet2!$E$2,0,AI33&lt;sheet2!$E$2,-1)</f>
        <v>0</v>
      </c>
      <c r="AW33" s="40" cm="1">
        <f t="array" ref="AW33">_xlfn.IFS(AJ33&gt;sheet2!$F$2,1,AJ33=sheet2!$F$2,0,AJ33&lt;sheet2!$F$2,-1)</f>
        <v>-1</v>
      </c>
      <c r="AX33" s="40" cm="1">
        <f t="array" ref="AX33">_xlfn.IFS(AK33&gt;sheet2!$G$2,1,AK33=sheet2!$G$2,0,AK33&lt;sheet2!$G$2,-1)</f>
        <v>0</v>
      </c>
      <c r="AY33">
        <v>0.46462815301213206</v>
      </c>
      <c r="AZ33">
        <v>0.64974033467974612</v>
      </c>
      <c r="BA33">
        <v>2.2118980459227302E-2</v>
      </c>
      <c r="BB33">
        <v>8.4670767306538729E-3</v>
      </c>
      <c r="BC33">
        <v>0.54831135225770256</v>
      </c>
    </row>
    <row r="34" spans="1:55" s="40" customFormat="1" ht="14.4" x14ac:dyDescent="0.25">
      <c r="A34" s="35">
        <v>5</v>
      </c>
      <c r="B34" s="35" t="s">
        <v>11</v>
      </c>
      <c r="C34" s="35">
        <v>2016</v>
      </c>
      <c r="D34" s="35">
        <v>19310</v>
      </c>
      <c r="E34" s="36">
        <v>54592.200104314492</v>
      </c>
      <c r="F34" s="37">
        <v>18128.099999999999</v>
      </c>
      <c r="G34" s="38">
        <f t="shared" si="0"/>
        <v>1.0651971249055334</v>
      </c>
      <c r="H34" s="35"/>
      <c r="I34" s="39">
        <v>0.32668047922991056</v>
      </c>
      <c r="J34" s="35"/>
      <c r="K34" s="40">
        <f t="shared" si="3"/>
        <v>3.0114683890928724</v>
      </c>
      <c r="M34" s="35">
        <v>0</v>
      </c>
      <c r="N34" s="35">
        <v>0</v>
      </c>
      <c r="O34" s="35">
        <v>0</v>
      </c>
      <c r="P34" s="41">
        <v>1</v>
      </c>
      <c r="Q34" s="40">
        <v>0.82466688184094916</v>
      </c>
      <c r="R34" s="40">
        <v>-0.76539589442815248</v>
      </c>
      <c r="S34" s="40">
        <v>-0.99324524042265971</v>
      </c>
      <c r="T34" s="40">
        <v>1.9</v>
      </c>
      <c r="U34" s="40">
        <v>-0.6</v>
      </c>
      <c r="V34" s="40">
        <v>-0.87123745819397991</v>
      </c>
      <c r="W34" s="40">
        <v>-0.93540669856459335</v>
      </c>
      <c r="X34" s="40">
        <v>-0.56914893617021278</v>
      </c>
      <c r="Y34" s="40">
        <v>0.27670642062209577</v>
      </c>
      <c r="Z34" s="40">
        <v>-0.55005268703898813</v>
      </c>
      <c r="AA34" s="40">
        <v>-0.71227702107542279</v>
      </c>
      <c r="AB34" s="40">
        <v>0.54285714285714282</v>
      </c>
      <c r="AC34" s="40">
        <v>-0.34883720930232559</v>
      </c>
      <c r="AD34" s="40">
        <v>-0.70420020758851365</v>
      </c>
      <c r="AE34" s="40">
        <v>-1</v>
      </c>
      <c r="AF34" s="40">
        <v>-0.66400709219858156</v>
      </c>
      <c r="AG34" s="40">
        <v>0.18</v>
      </c>
      <c r="AH34" s="40">
        <v>0.13500000000000001</v>
      </c>
      <c r="AI34" s="40">
        <v>0.18</v>
      </c>
      <c r="AJ34" s="40">
        <v>0.25</v>
      </c>
      <c r="AK34" s="40">
        <v>0.65</v>
      </c>
      <c r="AL34" s="40">
        <v>0.89999999999999991</v>
      </c>
      <c r="AM34" s="40">
        <v>1</v>
      </c>
      <c r="AN34" s="40">
        <v>1</v>
      </c>
      <c r="AO34" s="40">
        <v>1</v>
      </c>
      <c r="AP34" s="40">
        <v>1</v>
      </c>
      <c r="AQ34" s="40">
        <f t="shared" si="8"/>
        <v>0.95</v>
      </c>
      <c r="AR34" s="40">
        <f t="shared" si="9"/>
        <v>1</v>
      </c>
      <c r="AS34" s="40">
        <f t="shared" si="10"/>
        <v>1</v>
      </c>
      <c r="AT34" s="40" cm="1">
        <f t="array" ref="AT34">_xlfn.IFS(AG34&gt;sheet2!$C$2,1,AG34=sheet2!$C$2,0,AG34&lt;sheet2!$C$2,-1)</f>
        <v>-1</v>
      </c>
      <c r="AU34" s="40" cm="1">
        <f t="array" ref="AU34">_xlfn.IFS(AH34&gt;sheet2!$D$2,1,AH34=sheet2!$D$2,0,AH34&lt;sheet2!$D$2,-1)</f>
        <v>0</v>
      </c>
      <c r="AV34" s="40" cm="1">
        <f t="array" ref="AV34">_xlfn.IFS(AI34&gt;sheet2!$E$2,1,AI34=sheet2!$E$2,0,AI34&lt;sheet2!$E$2,-1)</f>
        <v>0</v>
      </c>
      <c r="AW34" s="40" cm="1">
        <f t="array" ref="AW34">_xlfn.IFS(AJ34&gt;sheet2!$F$2,1,AJ34=sheet2!$F$2,0,AJ34&lt;sheet2!$F$2,-1)</f>
        <v>0</v>
      </c>
      <c r="AX34" s="40" cm="1">
        <f t="array" ref="AX34">_xlfn.IFS(AK34&gt;sheet2!$G$2,1,AK34=sheet2!$G$2,0,AK34&lt;sheet2!$G$2,-1)</f>
        <v>0</v>
      </c>
      <c r="AY34" s="40">
        <v>0.3077983903442722</v>
      </c>
      <c r="AZ34" s="40">
        <v>0.63382594417077176</v>
      </c>
      <c r="BA34" s="40">
        <v>2.1265841349490484E-3</v>
      </c>
      <c r="BB34" s="40">
        <v>7.0600504189628271E-3</v>
      </c>
      <c r="BC34" s="40">
        <v>0.44683349916125786</v>
      </c>
    </row>
    <row r="35" spans="1:55" ht="14.4" x14ac:dyDescent="0.25">
      <c r="A35" s="2">
        <v>5</v>
      </c>
      <c r="B35" s="2" t="s">
        <v>11</v>
      </c>
      <c r="C35" s="2">
        <v>2017</v>
      </c>
      <c r="D35" s="2">
        <v>19763</v>
      </c>
      <c r="E35" s="17">
        <v>57761.392699345197</v>
      </c>
      <c r="F35" s="5">
        <v>16096.21</v>
      </c>
      <c r="G35" s="3">
        <f t="shared" si="0"/>
        <v>1.2278045577188668</v>
      </c>
      <c r="H35" s="2">
        <f t="shared" si="1"/>
        <v>0.15265478005092636</v>
      </c>
      <c r="I35" s="14">
        <v>0.35588348557152888</v>
      </c>
      <c r="J35" s="2">
        <f t="shared" ref="J35:J39" si="24">(I35-I34)/I34</f>
        <v>8.9393178344965893E-2</v>
      </c>
      <c r="K35">
        <f t="shared" si="3"/>
        <v>3.5885088911827814</v>
      </c>
      <c r="L35">
        <f t="shared" si="4"/>
        <v>0.19161433146031714</v>
      </c>
      <c r="M35" s="2">
        <v>0</v>
      </c>
      <c r="N35" s="2">
        <v>0</v>
      </c>
      <c r="O35" s="2">
        <v>0</v>
      </c>
      <c r="P35" s="4">
        <v>1</v>
      </c>
      <c r="Q35" s="40">
        <v>0.82466688184094916</v>
      </c>
      <c r="R35" s="40">
        <v>-0.76539589442815248</v>
      </c>
      <c r="S35" s="40">
        <v>-0.99324524042265971</v>
      </c>
      <c r="T35" s="40">
        <v>1.9</v>
      </c>
      <c r="U35" s="40">
        <v>-0.6</v>
      </c>
      <c r="V35" s="40">
        <v>-0.87123745819397991</v>
      </c>
      <c r="W35" s="40">
        <v>-0.93540669856459335</v>
      </c>
      <c r="X35" s="40">
        <v>-0.56914893617021278</v>
      </c>
      <c r="Y35" s="40">
        <v>0.27670642062209577</v>
      </c>
      <c r="Z35" s="40">
        <v>-0.55005268703898813</v>
      </c>
      <c r="AA35" s="40">
        <v>-0.71227702107542279</v>
      </c>
      <c r="AB35" s="40">
        <v>0.54285714285714282</v>
      </c>
      <c r="AC35" s="40">
        <v>-0.34883720930232559</v>
      </c>
      <c r="AD35" s="40">
        <v>-0.70420020758851365</v>
      </c>
      <c r="AE35" s="40">
        <v>-1</v>
      </c>
      <c r="AF35" s="40">
        <v>-0.66400709219858156</v>
      </c>
      <c r="AG35" s="40">
        <v>0.18</v>
      </c>
      <c r="AH35" s="40">
        <v>0.13500000000000001</v>
      </c>
      <c r="AI35" s="40">
        <v>0.18</v>
      </c>
      <c r="AJ35" s="40">
        <v>0.25</v>
      </c>
      <c r="AK35" s="40">
        <v>0.65</v>
      </c>
      <c r="AL35" s="40">
        <v>0.89999999999999991</v>
      </c>
      <c r="AM35" s="40">
        <v>1</v>
      </c>
      <c r="AN35" s="40">
        <v>1</v>
      </c>
      <c r="AO35" s="40">
        <v>1</v>
      </c>
      <c r="AP35" s="40">
        <v>1</v>
      </c>
      <c r="AQ35" s="40">
        <f t="shared" ref="AQ35:AQ41" si="25">AVERAGE(AL35,AO35)</f>
        <v>0.95</v>
      </c>
      <c r="AR35" s="40">
        <f t="shared" ref="AR35:AR41" si="26">AVERAGE(AM35)</f>
        <v>1</v>
      </c>
      <c r="AS35" s="40">
        <f t="shared" ref="AS35:AS41" si="27">AVERAGE(AN35,AP35)</f>
        <v>1</v>
      </c>
      <c r="AT35" s="40" cm="1">
        <f t="array" ref="AT35">_xlfn.IFS(AG35&gt;sheet2!$C$2,1,AG35=sheet2!$C$2,0,AG35&lt;sheet2!$C$2,-1)</f>
        <v>-1</v>
      </c>
      <c r="AU35" s="40" cm="1">
        <f t="array" ref="AU35">_xlfn.IFS(AH35&gt;sheet2!$D$2,1,AH35=sheet2!$D$2,0,AH35&lt;sheet2!$D$2,-1)</f>
        <v>0</v>
      </c>
      <c r="AV35" s="40" cm="1">
        <f t="array" ref="AV35">_xlfn.IFS(AI35&gt;sheet2!$E$2,1,AI35=sheet2!$E$2,0,AI35&lt;sheet2!$E$2,-1)</f>
        <v>0</v>
      </c>
      <c r="AW35" s="40" cm="1">
        <f t="array" ref="AW35">_xlfn.IFS(AJ35&gt;sheet2!$F$2,1,AJ35=sheet2!$F$2,0,AJ35&lt;sheet2!$F$2,-1)</f>
        <v>0</v>
      </c>
      <c r="AX35" s="40" cm="1">
        <f t="array" ref="AX35">_xlfn.IFS(AK35&gt;sheet2!$G$2,1,AK35=sheet2!$G$2,0,AK35&lt;sheet2!$G$2,-1)</f>
        <v>0</v>
      </c>
      <c r="AY35">
        <v>0.36494305181157555</v>
      </c>
      <c r="AZ35">
        <v>0.64611590628853266</v>
      </c>
      <c r="BA35">
        <v>2.1239651889700473E-3</v>
      </c>
      <c r="BB35">
        <v>6.7260553881938676E-3</v>
      </c>
      <c r="BC35">
        <v>0.37599035746689241</v>
      </c>
    </row>
    <row r="36" spans="1:55" ht="14.4" x14ac:dyDescent="0.25">
      <c r="A36" s="2">
        <v>5</v>
      </c>
      <c r="B36" s="2" t="s">
        <v>11</v>
      </c>
      <c r="C36" s="2">
        <v>2018</v>
      </c>
      <c r="D36" s="2">
        <v>23068</v>
      </c>
      <c r="E36" s="17">
        <v>60493.934630250391</v>
      </c>
      <c r="F36" s="5">
        <v>17289.22</v>
      </c>
      <c r="G36" s="3">
        <f t="shared" si="0"/>
        <v>1.3342417992251818</v>
      </c>
      <c r="H36" s="2">
        <f t="shared" si="1"/>
        <v>8.6689075095196258E-2</v>
      </c>
      <c r="I36" s="14">
        <v>0.35655924672837475</v>
      </c>
      <c r="J36" s="2">
        <f t="shared" si="24"/>
        <v>1.8988269595051092E-3</v>
      </c>
      <c r="K36">
        <f t="shared" si="3"/>
        <v>3.4989394912118872</v>
      </c>
      <c r="L36">
        <f t="shared" si="4"/>
        <v>-2.4960060762555865E-2</v>
      </c>
      <c r="M36" s="2">
        <v>0</v>
      </c>
      <c r="N36" s="2">
        <v>0</v>
      </c>
      <c r="O36" s="2">
        <v>0</v>
      </c>
      <c r="P36" s="4">
        <v>1</v>
      </c>
      <c r="Q36" s="40">
        <v>0.82466688184094916</v>
      </c>
      <c r="R36" s="40">
        <v>-0.76539589442815248</v>
      </c>
      <c r="S36" s="40">
        <v>-0.99324524042265971</v>
      </c>
      <c r="T36" s="40">
        <v>1.9</v>
      </c>
      <c r="U36" s="40">
        <v>-0.6</v>
      </c>
      <c r="V36" s="40">
        <v>-0.87123745819397991</v>
      </c>
      <c r="W36" s="40">
        <v>-0.93540669856459335</v>
      </c>
      <c r="X36" s="40">
        <v>-0.56914893617021278</v>
      </c>
      <c r="Y36" s="40">
        <v>0.27670642062209577</v>
      </c>
      <c r="Z36" s="40">
        <v>-0.55005268703898813</v>
      </c>
      <c r="AA36" s="40">
        <v>-0.71227702107542279</v>
      </c>
      <c r="AB36" s="40">
        <v>0.54285714285714282</v>
      </c>
      <c r="AC36" s="40">
        <v>-0.34883720930232559</v>
      </c>
      <c r="AD36" s="40">
        <v>-0.70420020758851365</v>
      </c>
      <c r="AE36" s="40">
        <v>-1</v>
      </c>
      <c r="AF36" s="40">
        <v>-0.66400709219858156</v>
      </c>
      <c r="AG36" s="40">
        <v>0.18</v>
      </c>
      <c r="AH36" s="40">
        <v>0.13500000000000001</v>
      </c>
      <c r="AI36" s="40">
        <v>0.18</v>
      </c>
      <c r="AJ36" s="40">
        <v>0.25</v>
      </c>
      <c r="AK36" s="40">
        <v>0.65</v>
      </c>
      <c r="AL36" s="40">
        <v>0.89999999999999991</v>
      </c>
      <c r="AM36" s="40">
        <v>1</v>
      </c>
      <c r="AN36" s="40">
        <v>1</v>
      </c>
      <c r="AO36" s="40">
        <v>1</v>
      </c>
      <c r="AP36" s="40">
        <v>1</v>
      </c>
      <c r="AQ36" s="40">
        <f t="shared" si="25"/>
        <v>0.95</v>
      </c>
      <c r="AR36" s="40">
        <f t="shared" si="26"/>
        <v>1</v>
      </c>
      <c r="AS36" s="40">
        <f t="shared" si="27"/>
        <v>1</v>
      </c>
      <c r="AT36" s="40" cm="1">
        <f t="array" ref="AT36">_xlfn.IFS(AG36&gt;sheet2!$C$2,1,AG36=sheet2!$C$2,0,AG36&lt;sheet2!$C$2,-1)</f>
        <v>-1</v>
      </c>
      <c r="AU36" s="40" cm="1">
        <f t="array" ref="AU36">_xlfn.IFS(AH36&gt;sheet2!$D$2,1,AH36=sheet2!$D$2,0,AH36&lt;sheet2!$D$2,-1)</f>
        <v>0</v>
      </c>
      <c r="AV36" s="40" cm="1">
        <f t="array" ref="AV36">_xlfn.IFS(AI36&gt;sheet2!$E$2,1,AI36=sheet2!$E$2,0,AI36&lt;sheet2!$E$2,-1)</f>
        <v>0</v>
      </c>
      <c r="AW36" s="40" cm="1">
        <f t="array" ref="AW36">_xlfn.IFS(AJ36&gt;sheet2!$F$2,1,AJ36=sheet2!$F$2,0,AJ36&lt;sheet2!$F$2,-1)</f>
        <v>0</v>
      </c>
      <c r="AX36" s="40" cm="1">
        <f t="array" ref="AX36">_xlfn.IFS(AK36&gt;sheet2!$G$2,1,AK36=sheet2!$G$2,0,AK36&lt;sheet2!$G$2,-1)</f>
        <v>0</v>
      </c>
      <c r="AY36">
        <v>0.36643642686020533</v>
      </c>
      <c r="AZ36">
        <v>0.65524360033030549</v>
      </c>
      <c r="BA36">
        <v>2.1143623870470423E-3</v>
      </c>
      <c r="BB36">
        <v>5.9782569716852465E-3</v>
      </c>
      <c r="BC36">
        <v>0.38449040248703292</v>
      </c>
    </row>
    <row r="37" spans="1:55" ht="14.4" x14ac:dyDescent="0.25">
      <c r="A37" s="2">
        <v>5</v>
      </c>
      <c r="B37" s="2" t="s">
        <v>11</v>
      </c>
      <c r="C37" s="2">
        <v>2019</v>
      </c>
      <c r="D37" s="2">
        <v>25346</v>
      </c>
      <c r="E37" s="17">
        <v>63563.319497910205</v>
      </c>
      <c r="F37" s="5">
        <v>17212.53</v>
      </c>
      <c r="G37" s="3">
        <f t="shared" si="0"/>
        <v>1.4725319287751424</v>
      </c>
      <c r="H37" s="2">
        <f t="shared" si="1"/>
        <v>0.10364697735468048</v>
      </c>
      <c r="I37" s="14">
        <v>0.35899209638703028</v>
      </c>
      <c r="J37" s="2">
        <f t="shared" si="24"/>
        <v>6.8231287814809298E-3</v>
      </c>
      <c r="K37">
        <f t="shared" si="3"/>
        <v>3.692851631800218</v>
      </c>
      <c r="L37">
        <f t="shared" si="4"/>
        <v>5.5420261217826242E-2</v>
      </c>
      <c r="M37" s="2">
        <v>0</v>
      </c>
      <c r="N37" s="2">
        <v>0</v>
      </c>
      <c r="O37" s="2">
        <v>0</v>
      </c>
      <c r="P37" s="4">
        <v>1</v>
      </c>
      <c r="Q37" s="40">
        <v>0.82466688184094916</v>
      </c>
      <c r="R37" s="40">
        <v>-0.76539589442815248</v>
      </c>
      <c r="S37" s="40">
        <v>-0.99324524042265971</v>
      </c>
      <c r="T37" s="40">
        <v>1.9</v>
      </c>
      <c r="U37" s="40">
        <v>-0.6</v>
      </c>
      <c r="V37" s="40">
        <v>-0.87123745819397991</v>
      </c>
      <c r="W37" s="40">
        <v>-0.93540669856459335</v>
      </c>
      <c r="X37" s="40">
        <v>-0.56914893617021278</v>
      </c>
      <c r="Y37" s="40">
        <v>0.27670642062209577</v>
      </c>
      <c r="Z37" s="40">
        <v>-0.55005268703898813</v>
      </c>
      <c r="AA37" s="40">
        <v>-0.71227702107542279</v>
      </c>
      <c r="AB37" s="40">
        <v>0.54285714285714282</v>
      </c>
      <c r="AC37" s="40">
        <v>-0.34883720930232559</v>
      </c>
      <c r="AD37" s="40">
        <v>-0.70420020758851365</v>
      </c>
      <c r="AE37" s="40">
        <v>-1</v>
      </c>
      <c r="AF37" s="40">
        <v>-0.66400709219858156</v>
      </c>
      <c r="AG37" s="40">
        <v>0.18</v>
      </c>
      <c r="AH37" s="40">
        <v>0.13500000000000001</v>
      </c>
      <c r="AI37" s="40">
        <v>0.18</v>
      </c>
      <c r="AJ37" s="40">
        <v>0.25</v>
      </c>
      <c r="AK37" s="40">
        <v>0.65</v>
      </c>
      <c r="AL37" s="40">
        <v>0.89999999999999991</v>
      </c>
      <c r="AM37" s="40">
        <v>1</v>
      </c>
      <c r="AN37" s="40">
        <v>1</v>
      </c>
      <c r="AO37" s="40">
        <v>1</v>
      </c>
      <c r="AP37" s="40">
        <v>1</v>
      </c>
      <c r="AQ37" s="40">
        <f t="shared" si="25"/>
        <v>0.95</v>
      </c>
      <c r="AR37" s="40">
        <f t="shared" si="26"/>
        <v>1</v>
      </c>
      <c r="AS37" s="40">
        <f t="shared" si="27"/>
        <v>1</v>
      </c>
      <c r="AT37" s="40" cm="1">
        <f t="array" ref="AT37">_xlfn.IFS(AG37&gt;sheet2!$C$2,1,AG37=sheet2!$C$2,0,AG37&lt;sheet2!$C$2,-1)</f>
        <v>-1</v>
      </c>
      <c r="AU37" s="40" cm="1">
        <f t="array" ref="AU37">_xlfn.IFS(AH37&gt;sheet2!$D$2,1,AH37=sheet2!$D$2,0,AH37&lt;sheet2!$D$2,-1)</f>
        <v>0</v>
      </c>
      <c r="AV37" s="40" cm="1">
        <f t="array" ref="AV37">_xlfn.IFS(AI37&gt;sheet2!$E$2,1,AI37=sheet2!$E$2,0,AI37&lt;sheet2!$E$2,-1)</f>
        <v>0</v>
      </c>
      <c r="AW37" s="40" cm="1">
        <f t="array" ref="AW37">_xlfn.IFS(AJ37&gt;sheet2!$F$2,1,AJ37=sheet2!$F$2,0,AJ37&lt;sheet2!$F$2,-1)</f>
        <v>0</v>
      </c>
      <c r="AX37" s="40" cm="1">
        <f t="array" ref="AX37">_xlfn.IFS(AK37&gt;sheet2!$G$2,1,AK37=sheet2!$G$2,0,AK37&lt;sheet2!$G$2,-1)</f>
        <v>0</v>
      </c>
      <c r="AY37">
        <v>0.39355051233026178</v>
      </c>
      <c r="AZ37">
        <v>0.6645962732919255</v>
      </c>
      <c r="BA37">
        <v>2.1082515130960394E-3</v>
      </c>
      <c r="BB37">
        <v>6.8765312246369366E-3</v>
      </c>
      <c r="BC37">
        <v>0.40378873573538843</v>
      </c>
    </row>
    <row r="38" spans="1:55" ht="14.4" x14ac:dyDescent="0.25">
      <c r="A38" s="2">
        <v>5</v>
      </c>
      <c r="B38" s="2" t="s">
        <v>11</v>
      </c>
      <c r="C38" s="2">
        <v>2020</v>
      </c>
      <c r="D38" s="2">
        <v>27133.65</v>
      </c>
      <c r="E38" s="17">
        <v>65228.3065666845</v>
      </c>
      <c r="F38" s="5">
        <v>17359.82</v>
      </c>
      <c r="G38" s="3">
        <f t="shared" si="0"/>
        <v>1.5630144782607194</v>
      </c>
      <c r="H38" s="2">
        <f t="shared" si="1"/>
        <v>6.1446918547186084E-2</v>
      </c>
      <c r="I38" s="14">
        <v>0.37054340387154944</v>
      </c>
      <c r="J38" s="2">
        <f t="shared" si="24"/>
        <v>3.2177052366260631E-2</v>
      </c>
      <c r="K38">
        <f t="shared" si="3"/>
        <v>3.7574298907871455</v>
      </c>
      <c r="L38">
        <f t="shared" si="4"/>
        <v>1.7487368956506495E-2</v>
      </c>
      <c r="M38" s="2">
        <v>0</v>
      </c>
      <c r="N38" s="2">
        <v>0</v>
      </c>
      <c r="O38" s="2">
        <v>0</v>
      </c>
      <c r="P38" s="4">
        <v>1</v>
      </c>
      <c r="Q38" s="40">
        <v>0.82466688184094916</v>
      </c>
      <c r="R38" s="40">
        <v>-0.76539589442815248</v>
      </c>
      <c r="S38" s="40">
        <v>-0.99324524042265971</v>
      </c>
      <c r="T38" s="40">
        <v>1.9</v>
      </c>
      <c r="U38" s="40">
        <v>-0.6</v>
      </c>
      <c r="V38" s="40">
        <v>-0.87123745819397991</v>
      </c>
      <c r="W38" s="40">
        <v>-0.93540669856459335</v>
      </c>
      <c r="X38" s="40">
        <v>-0.56914893617021278</v>
      </c>
      <c r="Y38" s="40">
        <v>0.27670642062209577</v>
      </c>
      <c r="Z38" s="40">
        <v>-0.55005268703898813</v>
      </c>
      <c r="AA38" s="40">
        <v>-0.71227702107542279</v>
      </c>
      <c r="AB38" s="40">
        <v>0.54285714285714282</v>
      </c>
      <c r="AC38" s="40">
        <v>-0.34883720930232559</v>
      </c>
      <c r="AD38" s="40">
        <v>-0.70420020758851365</v>
      </c>
      <c r="AE38" s="40">
        <v>-1</v>
      </c>
      <c r="AF38" s="40">
        <v>-0.66400709219858156</v>
      </c>
      <c r="AG38" s="40">
        <v>0.18</v>
      </c>
      <c r="AH38" s="40">
        <v>0.13500000000000001</v>
      </c>
      <c r="AI38" s="40">
        <v>0.18</v>
      </c>
      <c r="AJ38" s="40">
        <v>0.25</v>
      </c>
      <c r="AK38" s="40">
        <v>0.65</v>
      </c>
      <c r="AL38" s="40">
        <v>0.89999999999999991</v>
      </c>
      <c r="AM38" s="40">
        <v>1</v>
      </c>
      <c r="AN38" s="40">
        <v>1</v>
      </c>
      <c r="AO38" s="40">
        <v>1</v>
      </c>
      <c r="AP38" s="40">
        <v>1</v>
      </c>
      <c r="AQ38" s="40">
        <f t="shared" si="25"/>
        <v>0.95</v>
      </c>
      <c r="AR38" s="40">
        <f t="shared" si="26"/>
        <v>1</v>
      </c>
      <c r="AS38" s="40">
        <f t="shared" si="27"/>
        <v>1</v>
      </c>
      <c r="AT38" s="40" cm="1">
        <f t="array" ref="AT38">_xlfn.IFS(AG38&gt;sheet2!$C$2,1,AG38=sheet2!$C$2,0,AG38&lt;sheet2!$C$2,-1)</f>
        <v>-1</v>
      </c>
      <c r="AU38" s="40" cm="1">
        <f t="array" ref="AU38">_xlfn.IFS(AH38&gt;sheet2!$D$2,1,AH38=sheet2!$D$2,0,AH38&lt;sheet2!$D$2,-1)</f>
        <v>0</v>
      </c>
      <c r="AV38" s="40" cm="1">
        <f t="array" ref="AV38">_xlfn.IFS(AI38&gt;sheet2!$E$2,1,AI38=sheet2!$E$2,0,AI38&lt;sheet2!$E$2,-1)</f>
        <v>0</v>
      </c>
      <c r="AW38" s="40" cm="1">
        <f t="array" ref="AW38">_xlfn.IFS(AJ38&gt;sheet2!$F$2,1,AJ38=sheet2!$F$2,0,AJ38&lt;sheet2!$F$2,-1)</f>
        <v>0</v>
      </c>
      <c r="AX38" s="40" cm="1">
        <f t="array" ref="AX38">_xlfn.IFS(AK38&gt;sheet2!$G$2,1,AK38=sheet2!$G$2,0,AK38&lt;sheet2!$G$2,-1)</f>
        <v>0</v>
      </c>
      <c r="AY38">
        <v>0.39111580650029781</v>
      </c>
      <c r="AZ38">
        <v>0.67498959633791089</v>
      </c>
      <c r="BA38">
        <v>2.0977757291800341E-3</v>
      </c>
      <c r="BB38">
        <v>7.4523468561309971E-3</v>
      </c>
      <c r="BC38">
        <v>0.38921019475689539</v>
      </c>
    </row>
    <row r="39" spans="1:55" ht="14.4" x14ac:dyDescent="0.25">
      <c r="A39" s="2">
        <v>5</v>
      </c>
      <c r="B39" s="2" t="s">
        <v>11</v>
      </c>
      <c r="C39" s="2">
        <v>2021</v>
      </c>
      <c r="D39" s="2">
        <v>26900.46</v>
      </c>
      <c r="E39" s="17">
        <v>72847.093929839</v>
      </c>
      <c r="F39" s="30">
        <v>20514.1947</v>
      </c>
      <c r="G39" s="3">
        <f t="shared" si="0"/>
        <v>1.3113095782404756</v>
      </c>
      <c r="H39" s="2">
        <f t="shared" si="1"/>
        <v>-0.16103811162410619</v>
      </c>
      <c r="I39" s="14">
        <v>0.40318423226954997</v>
      </c>
      <c r="J39" s="2">
        <f t="shared" si="24"/>
        <v>8.8089082296322896E-2</v>
      </c>
      <c r="K39">
        <f t="shared" si="3"/>
        <v>3.5510579379379195</v>
      </c>
      <c r="L39">
        <f t="shared" si="4"/>
        <v>-5.4923700201361073E-2</v>
      </c>
      <c r="M39" s="2">
        <v>0</v>
      </c>
      <c r="N39" s="2">
        <v>0</v>
      </c>
      <c r="O39" s="2">
        <v>0</v>
      </c>
      <c r="P39" s="4">
        <v>1</v>
      </c>
      <c r="Q39" s="40">
        <v>0.82466688184094916</v>
      </c>
      <c r="R39" s="40">
        <v>-0.76539589442815248</v>
      </c>
      <c r="S39" s="40">
        <v>-0.99324524042265971</v>
      </c>
      <c r="T39" s="40">
        <v>1.9</v>
      </c>
      <c r="U39" s="40">
        <v>-0.6</v>
      </c>
      <c r="V39" s="40">
        <v>-0.87123745819397991</v>
      </c>
      <c r="W39" s="40">
        <v>-0.93540669856459335</v>
      </c>
      <c r="X39" s="40">
        <v>-0.56914893617021278</v>
      </c>
      <c r="Y39" s="40">
        <v>0.27670642062209577</v>
      </c>
      <c r="Z39" s="40">
        <v>-0.55005268703898813</v>
      </c>
      <c r="AA39" s="40">
        <v>-0.71227702107542279</v>
      </c>
      <c r="AB39" s="40">
        <v>0.54285714285714282</v>
      </c>
      <c r="AC39" s="40">
        <v>-0.34883720930232559</v>
      </c>
      <c r="AD39" s="40">
        <v>-0.70420020758851365</v>
      </c>
      <c r="AE39" s="40">
        <v>-1</v>
      </c>
      <c r="AF39" s="40">
        <v>-0.66400709219858156</v>
      </c>
      <c r="AG39" s="40">
        <v>0.18</v>
      </c>
      <c r="AH39" s="40">
        <v>0.13500000000000001</v>
      </c>
      <c r="AI39" s="40">
        <v>0.18</v>
      </c>
      <c r="AJ39" s="40">
        <v>0.25</v>
      </c>
      <c r="AK39" s="40">
        <v>0.65</v>
      </c>
      <c r="AL39" s="40">
        <v>0.89999999999999991</v>
      </c>
      <c r="AM39" s="40">
        <v>1</v>
      </c>
      <c r="AN39" s="40">
        <v>1</v>
      </c>
      <c r="AO39" s="40">
        <v>1</v>
      </c>
      <c r="AP39" s="40">
        <v>1</v>
      </c>
      <c r="AQ39" s="40">
        <f t="shared" si="25"/>
        <v>0.95</v>
      </c>
      <c r="AR39" s="40">
        <f t="shared" si="26"/>
        <v>1</v>
      </c>
      <c r="AS39" s="40">
        <f t="shared" si="27"/>
        <v>1</v>
      </c>
      <c r="AT39" s="40" cm="1">
        <f t="array" ref="AT39">_xlfn.IFS(AG39&gt;sheet2!$C$2,1,AG39=sheet2!$C$2,0,AG39&lt;sheet2!$C$2,-1)</f>
        <v>-1</v>
      </c>
      <c r="AU39" s="40" cm="1">
        <f t="array" ref="AU39">_xlfn.IFS(AH39&gt;sheet2!$D$2,1,AH39=sheet2!$D$2,0,AH39&lt;sheet2!$D$2,-1)</f>
        <v>0</v>
      </c>
      <c r="AV39" s="40" cm="1">
        <f t="array" ref="AV39">_xlfn.IFS(AI39&gt;sheet2!$E$2,1,AI39=sheet2!$E$2,0,AI39&lt;sheet2!$E$2,-1)</f>
        <v>0</v>
      </c>
      <c r="AW39" s="40" cm="1">
        <f t="array" ref="AW39">_xlfn.IFS(AJ39&gt;sheet2!$F$2,1,AJ39=sheet2!$F$2,0,AJ39&lt;sheet2!$F$2,-1)</f>
        <v>0</v>
      </c>
      <c r="AX39" s="40" cm="1">
        <f t="array" ref="AX39">_xlfn.IFS(AK39&gt;sheet2!$G$2,1,AK39=sheet2!$G$2,0,AK39&lt;sheet2!$G$2,-1)</f>
        <v>0</v>
      </c>
      <c r="AY39">
        <v>0.47023537316821901</v>
      </c>
      <c r="AZ39">
        <v>0.68208333333333337</v>
      </c>
      <c r="BA39">
        <v>2.095156783201033E-3</v>
      </c>
      <c r="BB39">
        <v>7.5447465651673866E-3</v>
      </c>
      <c r="BC39">
        <v>0.44850054489204266</v>
      </c>
    </row>
    <row r="40" spans="1:55" ht="14.4" x14ac:dyDescent="0.25">
      <c r="A40" s="2">
        <v>5</v>
      </c>
      <c r="B40" s="6" t="s">
        <v>12</v>
      </c>
      <c r="C40" s="2">
        <v>2022</v>
      </c>
      <c r="D40" s="2">
        <v>27980.98</v>
      </c>
      <c r="E40" s="17">
        <v>75702.872296358997</v>
      </c>
      <c r="F40" s="30">
        <v>23158.6</v>
      </c>
      <c r="G40" s="3">
        <f t="shared" si="0"/>
        <v>1.2082327947285243</v>
      </c>
      <c r="H40" s="2">
        <f t="shared" si="1"/>
        <v>-7.8605986886986987E-2</v>
      </c>
      <c r="I40" s="14">
        <v>0.4110277056618617</v>
      </c>
      <c r="J40" s="2">
        <f>(I40-I39)/I39</f>
        <v>1.9453819779013462E-2</v>
      </c>
      <c r="K40">
        <f t="shared" si="3"/>
        <v>3.2688881148410958</v>
      </c>
      <c r="L40">
        <f t="shared" si="4"/>
        <v>-7.9460777049635584E-2</v>
      </c>
      <c r="M40" s="2">
        <v>1</v>
      </c>
      <c r="N40" s="2">
        <v>1</v>
      </c>
      <c r="O40" s="2">
        <v>0</v>
      </c>
      <c r="P40" s="4">
        <v>1</v>
      </c>
      <c r="Q40" s="40">
        <v>0.82466688184094916</v>
      </c>
      <c r="R40" s="40">
        <v>-0.76539589442815248</v>
      </c>
      <c r="S40" s="40">
        <v>-0.99324524042265971</v>
      </c>
      <c r="T40" s="40">
        <v>1.9</v>
      </c>
      <c r="U40" s="40">
        <v>-0.6</v>
      </c>
      <c r="V40" s="40">
        <v>-0.87123745819397991</v>
      </c>
      <c r="W40" s="40">
        <v>-0.93540669856459335</v>
      </c>
      <c r="X40" s="40">
        <v>-0.56914893617021278</v>
      </c>
      <c r="Y40" s="40">
        <v>0.27670642062209577</v>
      </c>
      <c r="Z40" s="40">
        <v>-0.55005268703898813</v>
      </c>
      <c r="AA40" s="40">
        <v>-0.71227702107542279</v>
      </c>
      <c r="AB40" s="40">
        <v>0.54285714285714282</v>
      </c>
      <c r="AC40" s="40">
        <v>-0.34883720930232559</v>
      </c>
      <c r="AD40" s="40">
        <v>-0.70420020758851365</v>
      </c>
      <c r="AE40" s="40">
        <v>-1</v>
      </c>
      <c r="AF40" s="40">
        <v>-0.66400709219858156</v>
      </c>
      <c r="AG40" s="40">
        <v>0.18</v>
      </c>
      <c r="AH40" s="40">
        <v>0.13500000000000001</v>
      </c>
      <c r="AI40" s="40">
        <v>0.18</v>
      </c>
      <c r="AJ40" s="40">
        <v>0.25</v>
      </c>
      <c r="AK40" s="40">
        <v>0.65</v>
      </c>
      <c r="AL40" s="40">
        <v>0.89999999999999991</v>
      </c>
      <c r="AM40" s="40">
        <v>1</v>
      </c>
      <c r="AN40" s="40">
        <v>1</v>
      </c>
      <c r="AO40" s="40">
        <v>1</v>
      </c>
      <c r="AP40" s="40">
        <v>1</v>
      </c>
      <c r="AQ40" s="40">
        <f t="shared" si="25"/>
        <v>0.95</v>
      </c>
      <c r="AR40" s="40">
        <f t="shared" si="26"/>
        <v>1</v>
      </c>
      <c r="AS40" s="40">
        <f t="shared" si="27"/>
        <v>1</v>
      </c>
      <c r="AT40" s="40" cm="1">
        <f t="array" ref="AT40">_xlfn.IFS(AG40&gt;sheet2!$C$2,1,AG40=sheet2!$C$2,0,AG40&lt;sheet2!$C$2,-1)</f>
        <v>-1</v>
      </c>
      <c r="AU40" s="40" cm="1">
        <f t="array" ref="AU40">_xlfn.IFS(AH40&gt;sheet2!$D$2,1,AH40=sheet2!$D$2,0,AH40&lt;sheet2!$D$2,-1)</f>
        <v>0</v>
      </c>
      <c r="AV40" s="40" cm="1">
        <f t="array" ref="AV40">_xlfn.IFS(AI40&gt;sheet2!$E$2,1,AI40=sheet2!$E$2,0,AI40&lt;sheet2!$E$2,-1)</f>
        <v>0</v>
      </c>
      <c r="AW40" s="40" cm="1">
        <f t="array" ref="AW40">_xlfn.IFS(AJ40&gt;sheet2!$F$2,1,AJ40=sheet2!$F$2,0,AJ40&lt;sheet2!$F$2,-1)</f>
        <v>0</v>
      </c>
      <c r="AX40" s="40" cm="1">
        <f t="array" ref="AX40">_xlfn.IFS(AK40&gt;sheet2!$G$2,1,AK40=sheet2!$G$2,0,AK40&lt;sheet2!$G$2,-1)</f>
        <v>0</v>
      </c>
      <c r="AY40">
        <v>0.47139291667026506</v>
      </c>
      <c r="AZ40">
        <v>0.6859641815910037</v>
      </c>
      <c r="BA40">
        <v>2.0960297651940333E-3</v>
      </c>
      <c r="BB40">
        <v>7.3775660013990487E-3</v>
      </c>
      <c r="BC40">
        <v>0.47971024338875962</v>
      </c>
    </row>
    <row r="41" spans="1:55" ht="14.4" x14ac:dyDescent="0.25">
      <c r="A41" s="2">
        <v>5</v>
      </c>
      <c r="B41" s="6" t="s">
        <v>12</v>
      </c>
      <c r="C41" s="2">
        <v>2023</v>
      </c>
      <c r="D41" s="2">
        <v>28377.942981643999</v>
      </c>
      <c r="E41">
        <v>83796.668784472306</v>
      </c>
      <c r="F41" s="32">
        <v>24626.959999999999</v>
      </c>
      <c r="G41" s="3">
        <f t="shared" si="0"/>
        <v>1.1523120588835976</v>
      </c>
      <c r="H41" s="2">
        <f t="shared" si="1"/>
        <v>-4.6283080618989052E-2</v>
      </c>
      <c r="I41" s="14"/>
      <c r="K41">
        <f t="shared" si="3"/>
        <v>3.4026395781075824</v>
      </c>
      <c r="L41">
        <f t="shared" si="4"/>
        <v>4.0916500830738431E-2</v>
      </c>
      <c r="M41" s="2">
        <v>1</v>
      </c>
      <c r="N41" s="2">
        <v>1</v>
      </c>
      <c r="O41" s="2">
        <v>1</v>
      </c>
      <c r="P41" s="4">
        <v>1</v>
      </c>
      <c r="Q41" s="40">
        <v>0.82466688184094916</v>
      </c>
      <c r="R41" s="40">
        <v>-0.76539589442815248</v>
      </c>
      <c r="S41" s="40">
        <v>-0.99324524042265971</v>
      </c>
      <c r="T41" s="40">
        <v>1.9</v>
      </c>
      <c r="U41" s="40">
        <v>-0.6</v>
      </c>
      <c r="V41" s="40">
        <v>-0.87123745819397991</v>
      </c>
      <c r="W41" s="40">
        <v>-0.93540669856459335</v>
      </c>
      <c r="X41" s="40">
        <v>-0.56914893617021278</v>
      </c>
      <c r="Y41" s="40">
        <v>0.27670642062209577</v>
      </c>
      <c r="Z41" s="40">
        <v>-0.55005268703898813</v>
      </c>
      <c r="AA41" s="40">
        <v>-0.71227702107542279</v>
      </c>
      <c r="AB41" s="40">
        <v>0.54285714285714282</v>
      </c>
      <c r="AC41" s="40">
        <v>-0.34883720930232559</v>
      </c>
      <c r="AD41" s="40">
        <v>-0.70420020758851365</v>
      </c>
      <c r="AE41" s="40">
        <v>-1</v>
      </c>
      <c r="AF41" s="40">
        <v>-0.66400709219858156</v>
      </c>
      <c r="AG41" s="40">
        <v>0.18</v>
      </c>
      <c r="AH41" s="40">
        <v>0.13500000000000001</v>
      </c>
      <c r="AI41" s="40">
        <v>0.18</v>
      </c>
      <c r="AJ41" s="40">
        <v>0.25</v>
      </c>
      <c r="AK41" s="40">
        <v>0.65</v>
      </c>
      <c r="AL41" s="40">
        <v>0.89999999999999991</v>
      </c>
      <c r="AM41" s="40">
        <v>1</v>
      </c>
      <c r="AN41" s="40">
        <v>1</v>
      </c>
      <c r="AO41" s="40">
        <v>1</v>
      </c>
      <c r="AP41" s="40">
        <v>1</v>
      </c>
      <c r="AQ41" s="40">
        <f t="shared" si="25"/>
        <v>0.95</v>
      </c>
      <c r="AR41" s="40">
        <f t="shared" si="26"/>
        <v>1</v>
      </c>
      <c r="AS41" s="40">
        <f t="shared" si="27"/>
        <v>1</v>
      </c>
      <c r="AT41" s="40" cm="1">
        <f t="array" ref="AT41">_xlfn.IFS(AG41&gt;sheet2!$C$2,1,AG41=sheet2!$C$2,0,AG41&lt;sheet2!$C$2,-1)</f>
        <v>-1</v>
      </c>
      <c r="AU41" s="40" cm="1">
        <f t="array" ref="AU41">_xlfn.IFS(AH41&gt;sheet2!$D$2,1,AH41=sheet2!$D$2,0,AH41&lt;sheet2!$D$2,-1)</f>
        <v>0</v>
      </c>
      <c r="AV41" s="40" cm="1">
        <f t="array" ref="AV41">_xlfn.IFS(AI41&gt;sheet2!$E$2,1,AI41=sheet2!$E$2,0,AI41&lt;sheet2!$E$2,-1)</f>
        <v>0</v>
      </c>
      <c r="AW41" s="40" cm="1">
        <f t="array" ref="AW41">_xlfn.IFS(AJ41&gt;sheet2!$F$2,1,AJ41=sheet2!$F$2,0,AJ41&lt;sheet2!$F$2,-1)</f>
        <v>0</v>
      </c>
      <c r="AX41" s="40" cm="1">
        <f t="array" ref="AX41">_xlfn.IFS(AK41&gt;sheet2!$G$2,1,AK41=sheet2!$G$2,0,AK41&lt;sheet2!$G$2,-1)</f>
        <v>0</v>
      </c>
      <c r="AY41">
        <v>0.45195996582607029</v>
      </c>
      <c r="AZ41">
        <v>0.69574290484140233</v>
      </c>
      <c r="BA41">
        <v>2.0916648552290313E-3</v>
      </c>
      <c r="BB41">
        <v>7.7952942628728853E-3</v>
      </c>
      <c r="BC41">
        <v>0.4510725193966274</v>
      </c>
    </row>
    <row r="42" spans="1:55" s="40" customFormat="1" ht="14.4" x14ac:dyDescent="0.25">
      <c r="A42" s="35">
        <v>6</v>
      </c>
      <c r="B42" s="35" t="s">
        <v>13</v>
      </c>
      <c r="C42" s="35">
        <v>2016</v>
      </c>
      <c r="D42" s="35">
        <v>20847</v>
      </c>
      <c r="E42" s="36">
        <v>39857.294693443102</v>
      </c>
      <c r="F42" s="37">
        <v>22246.9</v>
      </c>
      <c r="G42" s="38">
        <f t="shared" si="0"/>
        <v>0.937074378902229</v>
      </c>
      <c r="H42" s="35"/>
      <c r="I42" s="39">
        <v>0.28841748271327849</v>
      </c>
      <c r="J42" s="35"/>
      <c r="K42" s="40">
        <f t="shared" si="3"/>
        <v>1.7915887019514225</v>
      </c>
      <c r="M42" s="35">
        <v>0</v>
      </c>
      <c r="N42" s="35">
        <v>0</v>
      </c>
      <c r="O42" s="35">
        <v>0</v>
      </c>
      <c r="P42" s="41">
        <v>1</v>
      </c>
      <c r="Q42" s="40">
        <v>0.83076049715193134</v>
      </c>
      <c r="R42" s="40">
        <v>0.85190615835777128</v>
      </c>
      <c r="S42" s="40">
        <v>0.85626891030116836</v>
      </c>
      <c r="T42" s="40">
        <v>3.5</v>
      </c>
      <c r="U42" s="40">
        <v>1.5</v>
      </c>
      <c r="V42" s="40">
        <v>0.65066225165562919</v>
      </c>
      <c r="W42" s="40">
        <v>0.41855203619909498</v>
      </c>
      <c r="X42" s="40">
        <v>0.1741573033707865</v>
      </c>
      <c r="Y42" s="40">
        <v>0.30184412980883385</v>
      </c>
      <c r="Z42" s="40">
        <v>0.61222339304531059</v>
      </c>
      <c r="AA42" s="40">
        <v>0.61404841810193933</v>
      </c>
      <c r="AB42" s="40">
        <v>1</v>
      </c>
      <c r="AC42" s="40">
        <v>0.87209302325581395</v>
      </c>
      <c r="AD42" s="40">
        <v>0.52591459237268801</v>
      </c>
      <c r="AE42" s="40">
        <v>0.44745460647371277</v>
      </c>
      <c r="AF42" s="40">
        <v>0.20318352059925093</v>
      </c>
      <c r="AG42" s="40">
        <v>0.13699999999999998</v>
      </c>
      <c r="AH42" s="40">
        <v>0.14499999999999999</v>
      </c>
      <c r="AI42" s="40">
        <v>0.18</v>
      </c>
      <c r="AJ42" s="40">
        <v>0.2</v>
      </c>
      <c r="AK42" s="40">
        <v>0.65</v>
      </c>
      <c r="AL42" s="40">
        <v>0.68499999999999983</v>
      </c>
      <c r="AM42" s="40">
        <v>1.074074074074074</v>
      </c>
      <c r="AN42" s="40">
        <v>1</v>
      </c>
      <c r="AO42" s="40">
        <v>0.8</v>
      </c>
      <c r="AP42" s="40">
        <v>1</v>
      </c>
      <c r="AQ42" s="40">
        <f t="shared" si="8"/>
        <v>0.74249999999999994</v>
      </c>
      <c r="AR42" s="40">
        <f t="shared" si="9"/>
        <v>1.074074074074074</v>
      </c>
      <c r="AS42" s="40">
        <f t="shared" si="10"/>
        <v>1</v>
      </c>
      <c r="AT42" s="40" cm="1">
        <f t="array" ref="AT42">_xlfn.IFS(AG42&gt;sheet2!$C$2,1,AG42=sheet2!$C$2,0,AG42&lt;sheet2!$C$2,-1)</f>
        <v>-1</v>
      </c>
      <c r="AU42" s="40" cm="1">
        <f t="array" ref="AU42">_xlfn.IFS(AH42&gt;sheet2!$D$2,1,AH42=sheet2!$D$2,0,AH42&lt;sheet2!$D$2,-1)</f>
        <v>1</v>
      </c>
      <c r="AV42" s="40" cm="1">
        <f t="array" ref="AV42">_xlfn.IFS(AI42&gt;sheet2!$E$2,1,AI42=sheet2!$E$2,0,AI42&lt;sheet2!$E$2,-1)</f>
        <v>0</v>
      </c>
      <c r="AW42" s="40" cm="1">
        <f t="array" ref="AW42">_xlfn.IFS(AJ42&gt;sheet2!$F$2,1,AJ42=sheet2!$F$2,0,AJ42&lt;sheet2!$F$2,-1)</f>
        <v>-1</v>
      </c>
      <c r="AX42" s="40" cm="1">
        <f t="array" ref="AX42">_xlfn.IFS(AK42&gt;sheet2!$G$2,1,AK42=sheet2!$G$2,0,AK42&lt;sheet2!$G$2,-1)</f>
        <v>0</v>
      </c>
      <c r="AY42" s="40">
        <v>0.35356386732533518</v>
      </c>
      <c r="AZ42" s="40">
        <v>0.68869886757568755</v>
      </c>
      <c r="BA42" s="40">
        <v>2.9161808611730771E-2</v>
      </c>
      <c r="BB42" s="40">
        <v>1.0880783390045355E-2</v>
      </c>
      <c r="BC42" s="40">
        <v>0.48072188348585565</v>
      </c>
    </row>
    <row r="43" spans="1:55" ht="14.4" x14ac:dyDescent="0.25">
      <c r="A43" s="2">
        <v>6</v>
      </c>
      <c r="B43" s="2" t="s">
        <v>13</v>
      </c>
      <c r="C43" s="2">
        <v>2017</v>
      </c>
      <c r="D43" s="2">
        <v>21365</v>
      </c>
      <c r="E43" s="17">
        <v>41085.318519872999</v>
      </c>
      <c r="F43" s="5">
        <v>23409.24</v>
      </c>
      <c r="G43" s="3">
        <f t="shared" si="0"/>
        <v>0.91267379889308664</v>
      </c>
      <c r="H43" s="2">
        <f t="shared" si="1"/>
        <v>-2.6039106989273718E-2</v>
      </c>
      <c r="I43" s="14">
        <v>0.29456883169284603</v>
      </c>
      <c r="J43" s="2">
        <f t="shared" ref="J43:J48" si="28">(I43-I42)/I42</f>
        <v>2.132793380518724E-2</v>
      </c>
      <c r="K43">
        <f t="shared" si="3"/>
        <v>1.7550898072672585</v>
      </c>
      <c r="L43">
        <f t="shared" si="4"/>
        <v>-2.0372362610016976E-2</v>
      </c>
      <c r="M43" s="2">
        <v>0</v>
      </c>
      <c r="N43" s="2">
        <v>0</v>
      </c>
      <c r="O43" s="2">
        <v>0</v>
      </c>
      <c r="P43" s="4">
        <v>1</v>
      </c>
      <c r="Q43" s="40">
        <v>0.83076049715193134</v>
      </c>
      <c r="R43" s="40">
        <v>0.85190615835777128</v>
      </c>
      <c r="S43" s="40">
        <v>0.85626891030116836</v>
      </c>
      <c r="T43" s="40">
        <v>3.5</v>
      </c>
      <c r="U43" s="40">
        <v>1.5</v>
      </c>
      <c r="V43" s="40">
        <v>0.65066225165562919</v>
      </c>
      <c r="W43" s="40">
        <v>0.41855203619909498</v>
      </c>
      <c r="X43" s="40">
        <v>0.1741573033707865</v>
      </c>
      <c r="Y43" s="40">
        <v>0.30184412980883385</v>
      </c>
      <c r="Z43" s="40">
        <v>0.61222339304531059</v>
      </c>
      <c r="AA43" s="40">
        <v>0.61404841810193933</v>
      </c>
      <c r="AB43" s="40">
        <v>1</v>
      </c>
      <c r="AC43" s="40">
        <v>0.87209302325581395</v>
      </c>
      <c r="AD43" s="40">
        <v>0.52591459237268801</v>
      </c>
      <c r="AE43" s="40">
        <v>0.44745460647371277</v>
      </c>
      <c r="AF43" s="40">
        <v>0.20318352059925093</v>
      </c>
      <c r="AG43" s="40">
        <v>0.13699999999999998</v>
      </c>
      <c r="AH43" s="40">
        <v>0.14499999999999999</v>
      </c>
      <c r="AI43" s="40">
        <v>0.18</v>
      </c>
      <c r="AJ43" s="40">
        <v>0.2</v>
      </c>
      <c r="AK43" s="40">
        <v>0.65</v>
      </c>
      <c r="AL43" s="40">
        <v>0.68499999999999983</v>
      </c>
      <c r="AM43" s="40">
        <v>1.074074074074074</v>
      </c>
      <c r="AN43" s="40">
        <v>1</v>
      </c>
      <c r="AO43" s="40">
        <v>0.8</v>
      </c>
      <c r="AP43" s="40">
        <v>1</v>
      </c>
      <c r="AQ43" s="40">
        <f t="shared" ref="AQ43:AQ49" si="29">AVERAGE(AL43,AO43)</f>
        <v>0.74249999999999994</v>
      </c>
      <c r="AR43" s="40">
        <f t="shared" ref="AR43:AR49" si="30">AVERAGE(AM43)</f>
        <v>1.074074074074074</v>
      </c>
      <c r="AS43" s="40">
        <f t="shared" ref="AS43:AS49" si="31">AVERAGE(AN43,AP43)</f>
        <v>1</v>
      </c>
      <c r="AT43" s="40" cm="1">
        <f t="array" ref="AT43">_xlfn.IFS(AG43&gt;sheet2!$C$2,1,AG43=sheet2!$C$2,0,AG43&lt;sheet2!$C$2,-1)</f>
        <v>-1</v>
      </c>
      <c r="AU43" s="40" cm="1">
        <f t="array" ref="AU43">_xlfn.IFS(AH43&gt;sheet2!$D$2,1,AH43=sheet2!$D$2,0,AH43&lt;sheet2!$D$2,-1)</f>
        <v>1</v>
      </c>
      <c r="AV43" s="40" cm="1">
        <f t="array" ref="AV43">_xlfn.IFS(AI43&gt;sheet2!$E$2,1,AI43=sheet2!$E$2,0,AI43&lt;sheet2!$E$2,-1)</f>
        <v>0</v>
      </c>
      <c r="AW43" s="40" cm="1">
        <f t="array" ref="AW43">_xlfn.IFS(AJ43&gt;sheet2!$F$2,1,AJ43=sheet2!$F$2,0,AJ43&lt;sheet2!$F$2,-1)</f>
        <v>-1</v>
      </c>
      <c r="AX43" s="40" cm="1">
        <f t="array" ref="AX43">_xlfn.IFS(AK43&gt;sheet2!$G$2,1,AK43=sheet2!$G$2,0,AK43&lt;sheet2!$G$2,-1)</f>
        <v>0</v>
      </c>
      <c r="AY43">
        <v>0.35579540386616565</v>
      </c>
      <c r="AZ43">
        <v>0.69480519480519476</v>
      </c>
      <c r="BA43">
        <v>2.9060716139076286E-2</v>
      </c>
      <c r="BB43">
        <v>1.1745263835989549E-2</v>
      </c>
      <c r="BC43">
        <v>0.49038000418082478</v>
      </c>
    </row>
    <row r="44" spans="1:55" ht="14.4" x14ac:dyDescent="0.25">
      <c r="A44" s="2">
        <v>6</v>
      </c>
      <c r="B44" s="2" t="s">
        <v>13</v>
      </c>
      <c r="C44" s="2">
        <v>2018</v>
      </c>
      <c r="D44" s="2">
        <v>22321</v>
      </c>
      <c r="E44" s="17">
        <v>43458.294770436194</v>
      </c>
      <c r="F44" s="5">
        <v>25315.35</v>
      </c>
      <c r="G44" s="3">
        <f t="shared" si="0"/>
        <v>0.88171800903404463</v>
      </c>
      <c r="H44" s="2">
        <f t="shared" si="1"/>
        <v>-3.3917693152346398E-2</v>
      </c>
      <c r="I44" s="14">
        <v>0.31191125921812479</v>
      </c>
      <c r="J44" s="2">
        <f t="shared" si="28"/>
        <v>5.8873939328931181E-2</v>
      </c>
      <c r="K44">
        <f t="shared" si="3"/>
        <v>1.7166776193272539</v>
      </c>
      <c r="L44">
        <f t="shared" si="4"/>
        <v>-2.1886166611504512E-2</v>
      </c>
      <c r="M44" s="2">
        <v>0</v>
      </c>
      <c r="N44" s="2">
        <v>0</v>
      </c>
      <c r="O44" s="2">
        <v>0</v>
      </c>
      <c r="P44" s="4">
        <v>1</v>
      </c>
      <c r="Q44" s="40">
        <v>0.83076049715193134</v>
      </c>
      <c r="R44" s="40">
        <v>0.85190615835777128</v>
      </c>
      <c r="S44" s="40">
        <v>0.85626891030116836</v>
      </c>
      <c r="T44" s="40">
        <v>3.5</v>
      </c>
      <c r="U44" s="40">
        <v>1.5</v>
      </c>
      <c r="V44" s="40">
        <v>0.65066225165562919</v>
      </c>
      <c r="W44" s="40">
        <v>0.41855203619909498</v>
      </c>
      <c r="X44" s="40">
        <v>0.1741573033707865</v>
      </c>
      <c r="Y44" s="40">
        <v>0.30184412980883385</v>
      </c>
      <c r="Z44" s="40">
        <v>0.61222339304531059</v>
      </c>
      <c r="AA44" s="40">
        <v>0.61404841810193933</v>
      </c>
      <c r="AB44" s="40">
        <v>1</v>
      </c>
      <c r="AC44" s="40">
        <v>0.87209302325581395</v>
      </c>
      <c r="AD44" s="40">
        <v>0.52591459237268801</v>
      </c>
      <c r="AE44" s="40">
        <v>0.44745460647371277</v>
      </c>
      <c r="AF44" s="40">
        <v>0.20318352059925093</v>
      </c>
      <c r="AG44" s="40">
        <v>0.13699999999999998</v>
      </c>
      <c r="AH44" s="40">
        <v>0.14499999999999999</v>
      </c>
      <c r="AI44" s="40">
        <v>0.18</v>
      </c>
      <c r="AJ44" s="40">
        <v>0.2</v>
      </c>
      <c r="AK44" s="40">
        <v>0.65</v>
      </c>
      <c r="AL44" s="40">
        <v>0.68499999999999983</v>
      </c>
      <c r="AM44" s="40">
        <v>1.074074074074074</v>
      </c>
      <c r="AN44" s="40">
        <v>1</v>
      </c>
      <c r="AO44" s="40">
        <v>0.8</v>
      </c>
      <c r="AP44" s="40">
        <v>1</v>
      </c>
      <c r="AQ44" s="40">
        <f t="shared" si="29"/>
        <v>0.74249999999999994</v>
      </c>
      <c r="AR44" s="40">
        <f t="shared" si="30"/>
        <v>1.074074074074074</v>
      </c>
      <c r="AS44" s="40">
        <f t="shared" si="31"/>
        <v>1</v>
      </c>
      <c r="AT44" s="40" cm="1">
        <f t="array" ref="AT44">_xlfn.IFS(AG44&gt;sheet2!$C$2,1,AG44=sheet2!$C$2,0,AG44&lt;sheet2!$C$2,-1)</f>
        <v>-1</v>
      </c>
      <c r="AU44" s="40" cm="1">
        <f t="array" ref="AU44">_xlfn.IFS(AH44&gt;sheet2!$D$2,1,AH44=sheet2!$D$2,0,AH44&lt;sheet2!$D$2,-1)</f>
        <v>1</v>
      </c>
      <c r="AV44" s="40" cm="1">
        <f t="array" ref="AV44">_xlfn.IFS(AI44&gt;sheet2!$E$2,1,AI44=sheet2!$E$2,0,AI44&lt;sheet2!$E$2,-1)</f>
        <v>0</v>
      </c>
      <c r="AW44" s="40" cm="1">
        <f t="array" ref="AW44">_xlfn.IFS(AJ44&gt;sheet2!$F$2,1,AJ44=sheet2!$F$2,0,AJ44&lt;sheet2!$F$2,-1)</f>
        <v>-1</v>
      </c>
      <c r="AX44" s="40" cm="1">
        <f t="array" ref="AX44">_xlfn.IFS(AK44&gt;sheet2!$G$2,1,AK44=sheet2!$G$2,0,AK44&lt;sheet2!$G$2,-1)</f>
        <v>0</v>
      </c>
      <c r="AY44">
        <v>0.35745111167730254</v>
      </c>
      <c r="AZ44">
        <v>0.70263341878350039</v>
      </c>
      <c r="BA44">
        <v>2.8919186677360004E-2</v>
      </c>
      <c r="BB44">
        <v>1.1874273908912972E-2</v>
      </c>
      <c r="BC44">
        <v>0.49011188297625202</v>
      </c>
    </row>
    <row r="45" spans="1:55" ht="14.4" x14ac:dyDescent="0.25">
      <c r="A45" s="2">
        <v>6</v>
      </c>
      <c r="B45" s="2" t="s">
        <v>13</v>
      </c>
      <c r="C45" s="2">
        <v>2019</v>
      </c>
      <c r="D45" s="2">
        <v>23749</v>
      </c>
      <c r="E45" s="17">
        <v>44569.194894324304</v>
      </c>
      <c r="F45" s="5">
        <v>24909.45</v>
      </c>
      <c r="G45" s="3">
        <f t="shared" si="0"/>
        <v>0.95341326283799921</v>
      </c>
      <c r="H45" s="2">
        <f t="shared" si="1"/>
        <v>8.1313133075845243E-2</v>
      </c>
      <c r="I45" s="14">
        <v>0.3120078845551354</v>
      </c>
      <c r="J45" s="2">
        <f t="shared" si="28"/>
        <v>3.0978470367762909E-4</v>
      </c>
      <c r="K45">
        <f t="shared" si="3"/>
        <v>1.7892484536721727</v>
      </c>
      <c r="L45">
        <f t="shared" si="4"/>
        <v>4.2274002717737069E-2</v>
      </c>
      <c r="M45" s="2">
        <v>0</v>
      </c>
      <c r="N45" s="2">
        <v>0</v>
      </c>
      <c r="O45" s="2">
        <v>0</v>
      </c>
      <c r="P45" s="4">
        <v>1</v>
      </c>
      <c r="Q45" s="40">
        <v>0.83076049715193134</v>
      </c>
      <c r="R45" s="40">
        <v>0.85190615835777128</v>
      </c>
      <c r="S45" s="40">
        <v>0.85626891030116836</v>
      </c>
      <c r="T45" s="40">
        <v>3.5</v>
      </c>
      <c r="U45" s="40">
        <v>1.5</v>
      </c>
      <c r="V45" s="40">
        <v>0.65066225165562919</v>
      </c>
      <c r="W45" s="40">
        <v>0.41855203619909498</v>
      </c>
      <c r="X45" s="40">
        <v>0.1741573033707865</v>
      </c>
      <c r="Y45" s="40">
        <v>0.30184412980883385</v>
      </c>
      <c r="Z45" s="40">
        <v>0.61222339304531059</v>
      </c>
      <c r="AA45" s="40">
        <v>0.61404841810193933</v>
      </c>
      <c r="AB45" s="40">
        <v>1</v>
      </c>
      <c r="AC45" s="40">
        <v>0.87209302325581395</v>
      </c>
      <c r="AD45" s="40">
        <v>0.52591459237268801</v>
      </c>
      <c r="AE45" s="40">
        <v>0.44745460647371277</v>
      </c>
      <c r="AF45" s="40">
        <v>0.20318352059925093</v>
      </c>
      <c r="AG45" s="40">
        <v>0.13699999999999998</v>
      </c>
      <c r="AH45" s="40">
        <v>0.14499999999999999</v>
      </c>
      <c r="AI45" s="40">
        <v>0.18</v>
      </c>
      <c r="AJ45" s="40">
        <v>0.2</v>
      </c>
      <c r="AK45" s="40">
        <v>0.65</v>
      </c>
      <c r="AL45" s="40">
        <v>0.68499999999999983</v>
      </c>
      <c r="AM45" s="40">
        <v>1.074074074074074</v>
      </c>
      <c r="AN45" s="40">
        <v>1</v>
      </c>
      <c r="AO45" s="40">
        <v>0.8</v>
      </c>
      <c r="AP45" s="40">
        <v>1</v>
      </c>
      <c r="AQ45" s="40">
        <f t="shared" si="29"/>
        <v>0.74249999999999994</v>
      </c>
      <c r="AR45" s="40">
        <f t="shared" si="30"/>
        <v>1.074074074074074</v>
      </c>
      <c r="AS45" s="40">
        <f t="shared" si="31"/>
        <v>1</v>
      </c>
      <c r="AT45" s="40" cm="1">
        <f t="array" ref="AT45">_xlfn.IFS(AG45&gt;sheet2!$C$2,1,AG45=sheet2!$C$2,0,AG45&lt;sheet2!$C$2,-1)</f>
        <v>-1</v>
      </c>
      <c r="AU45" s="40" cm="1">
        <f t="array" ref="AU45">_xlfn.IFS(AH45&gt;sheet2!$D$2,1,AH45=sheet2!$D$2,0,AH45&lt;sheet2!$D$2,-1)</f>
        <v>1</v>
      </c>
      <c r="AV45" s="40" cm="1">
        <f t="array" ref="AV45">_xlfn.IFS(AI45&gt;sheet2!$E$2,1,AI45=sheet2!$E$2,0,AI45&lt;sheet2!$E$2,-1)</f>
        <v>0</v>
      </c>
      <c r="AW45" s="40" cm="1">
        <f t="array" ref="AW45">_xlfn.IFS(AJ45&gt;sheet2!$F$2,1,AJ45=sheet2!$F$2,0,AJ45&lt;sheet2!$F$2,-1)</f>
        <v>-1</v>
      </c>
      <c r="AX45" s="40" cm="1">
        <f t="array" ref="AX45">_xlfn.IFS(AK45&gt;sheet2!$G$2,1,AK45=sheet2!$G$2,0,AK45&lt;sheet2!$G$2,-1)</f>
        <v>0</v>
      </c>
      <c r="AY45">
        <v>0.38179486098649301</v>
      </c>
      <c r="AZ45">
        <v>0.71218143558569091</v>
      </c>
      <c r="BA45">
        <v>2.8824833702882482E-2</v>
      </c>
      <c r="BB45">
        <v>1.2455040155443013E-2</v>
      </c>
      <c r="BC45">
        <v>0.46168119211361353</v>
      </c>
    </row>
    <row r="46" spans="1:55" ht="14.4" x14ac:dyDescent="0.25">
      <c r="A46" s="2">
        <v>6</v>
      </c>
      <c r="B46" s="2" t="s">
        <v>13</v>
      </c>
      <c r="C46" s="2">
        <v>2020</v>
      </c>
      <c r="D46" s="2">
        <v>24849.5</v>
      </c>
      <c r="E46" s="17">
        <v>44280.624368991899</v>
      </c>
      <c r="F46" s="5">
        <v>25114.959999999999</v>
      </c>
      <c r="G46" s="3">
        <f t="shared" si="0"/>
        <v>0.98943020414924021</v>
      </c>
      <c r="H46" s="2">
        <f t="shared" si="1"/>
        <v>3.7776841077320822E-2</v>
      </c>
      <c r="I46" s="14">
        <v>0.31899534459106288</v>
      </c>
      <c r="J46" s="2">
        <f t="shared" si="28"/>
        <v>2.2395139295567128E-2</v>
      </c>
      <c r="K46">
        <f t="shared" si="3"/>
        <v>1.7631174554525231</v>
      </c>
      <c r="L46">
        <f t="shared" si="4"/>
        <v>-1.4604454829076147E-2</v>
      </c>
      <c r="M46" s="2">
        <v>0</v>
      </c>
      <c r="N46" s="2">
        <v>0</v>
      </c>
      <c r="O46" s="2">
        <v>0</v>
      </c>
      <c r="P46" s="4">
        <v>1</v>
      </c>
      <c r="Q46" s="40">
        <v>0.83076049715193134</v>
      </c>
      <c r="R46" s="40">
        <v>0.85190615835777128</v>
      </c>
      <c r="S46" s="40">
        <v>0.85626891030116836</v>
      </c>
      <c r="T46" s="40">
        <v>3.5</v>
      </c>
      <c r="U46" s="40">
        <v>1.5</v>
      </c>
      <c r="V46" s="40">
        <v>0.65066225165562919</v>
      </c>
      <c r="W46" s="40">
        <v>0.41855203619909498</v>
      </c>
      <c r="X46" s="40">
        <v>0.1741573033707865</v>
      </c>
      <c r="Y46" s="40">
        <v>0.30184412980883385</v>
      </c>
      <c r="Z46" s="40">
        <v>0.61222339304531059</v>
      </c>
      <c r="AA46" s="40">
        <v>0.61404841810193933</v>
      </c>
      <c r="AB46" s="40">
        <v>1</v>
      </c>
      <c r="AC46" s="40">
        <v>0.87209302325581395</v>
      </c>
      <c r="AD46" s="40">
        <v>0.52591459237268801</v>
      </c>
      <c r="AE46" s="40">
        <v>0.44745460647371277</v>
      </c>
      <c r="AF46" s="40">
        <v>0.20318352059925093</v>
      </c>
      <c r="AG46" s="40">
        <v>0.13699999999999998</v>
      </c>
      <c r="AH46" s="40">
        <v>0.14499999999999999</v>
      </c>
      <c r="AI46" s="40">
        <v>0.18</v>
      </c>
      <c r="AJ46" s="40">
        <v>0.2</v>
      </c>
      <c r="AK46" s="40">
        <v>0.65</v>
      </c>
      <c r="AL46" s="40">
        <v>0.68499999999999983</v>
      </c>
      <c r="AM46" s="40">
        <v>1.074074074074074</v>
      </c>
      <c r="AN46" s="40">
        <v>1</v>
      </c>
      <c r="AO46" s="40">
        <v>0.8</v>
      </c>
      <c r="AP46" s="40">
        <v>1</v>
      </c>
      <c r="AQ46" s="40">
        <f t="shared" si="29"/>
        <v>0.74249999999999994</v>
      </c>
      <c r="AR46" s="40">
        <f t="shared" si="30"/>
        <v>1.074074074074074</v>
      </c>
      <c r="AS46" s="40">
        <f t="shared" si="31"/>
        <v>1</v>
      </c>
      <c r="AT46" s="40" cm="1">
        <f t="array" ref="AT46">_xlfn.IFS(AG46&gt;sheet2!$C$2,1,AG46=sheet2!$C$2,0,AG46&lt;sheet2!$C$2,-1)</f>
        <v>-1</v>
      </c>
      <c r="AU46" s="40" cm="1">
        <f t="array" ref="AU46">_xlfn.IFS(AH46&gt;sheet2!$D$2,1,AH46=sheet2!$D$2,0,AH46&lt;sheet2!$D$2,-1)</f>
        <v>1</v>
      </c>
      <c r="AV46" s="40" cm="1">
        <f t="array" ref="AV46">_xlfn.IFS(AI46&gt;sheet2!$E$2,1,AI46=sheet2!$E$2,0,AI46&lt;sheet2!$E$2,-1)</f>
        <v>0</v>
      </c>
      <c r="AW46" s="40" cm="1">
        <f t="array" ref="AW46">_xlfn.IFS(AJ46&gt;sheet2!$F$2,1,AJ46=sheet2!$F$2,0,AJ46&lt;sheet2!$F$2,-1)</f>
        <v>-1</v>
      </c>
      <c r="AX46" s="40" cm="1">
        <f t="array" ref="AX46">_xlfn.IFS(AK46&gt;sheet2!$G$2,1,AK46=sheet2!$G$2,0,AK46&lt;sheet2!$G$2,-1)</f>
        <v>0</v>
      </c>
      <c r="AY46">
        <v>0.3700702688756024</v>
      </c>
      <c r="AZ46">
        <v>0.72150411280846061</v>
      </c>
      <c r="BA46">
        <v>2.8676564742989238E-2</v>
      </c>
      <c r="BB46">
        <v>1.3351492496902245E-2</v>
      </c>
      <c r="BC46">
        <v>0.44158213020250509</v>
      </c>
    </row>
    <row r="47" spans="1:55" ht="14.4" x14ac:dyDescent="0.25">
      <c r="A47" s="2">
        <v>6</v>
      </c>
      <c r="B47" s="2" t="s">
        <v>13</v>
      </c>
      <c r="C47" s="2">
        <v>2021</v>
      </c>
      <c r="D47" s="2">
        <v>24930.799999999999</v>
      </c>
      <c r="E47" s="17">
        <v>46713.143174695499</v>
      </c>
      <c r="F47" s="30">
        <v>27584.075000000001</v>
      </c>
      <c r="G47" s="3">
        <f t="shared" si="0"/>
        <v>0.90381134767071214</v>
      </c>
      <c r="H47" s="2">
        <f t="shared" si="1"/>
        <v>-8.6533497885429217E-2</v>
      </c>
      <c r="I47" s="14">
        <v>0.33859877593886512</v>
      </c>
      <c r="J47" s="2">
        <f t="shared" si="28"/>
        <v>6.1453659685638734E-2</v>
      </c>
      <c r="K47">
        <f t="shared" si="3"/>
        <v>1.6934823145128302</v>
      </c>
      <c r="L47">
        <f t="shared" si="4"/>
        <v>-3.949546340451851E-2</v>
      </c>
      <c r="M47" s="2">
        <v>0</v>
      </c>
      <c r="N47" s="2">
        <v>0</v>
      </c>
      <c r="O47" s="2">
        <v>0</v>
      </c>
      <c r="P47" s="4">
        <v>1</v>
      </c>
      <c r="Q47" s="40">
        <v>0.83076049715193134</v>
      </c>
      <c r="R47" s="40">
        <v>0.85190615835777128</v>
      </c>
      <c r="S47" s="40">
        <v>0.85626891030116836</v>
      </c>
      <c r="T47" s="40">
        <v>3.5</v>
      </c>
      <c r="U47" s="40">
        <v>1.5</v>
      </c>
      <c r="V47" s="40">
        <v>0.65066225165562919</v>
      </c>
      <c r="W47" s="40">
        <v>0.41855203619909498</v>
      </c>
      <c r="X47" s="40">
        <v>0.1741573033707865</v>
      </c>
      <c r="Y47" s="40">
        <v>0.30184412980883385</v>
      </c>
      <c r="Z47" s="40">
        <v>0.61222339304531059</v>
      </c>
      <c r="AA47" s="40">
        <v>0.61404841810193933</v>
      </c>
      <c r="AB47" s="40">
        <v>1</v>
      </c>
      <c r="AC47" s="40">
        <v>0.87209302325581395</v>
      </c>
      <c r="AD47" s="40">
        <v>0.52591459237268801</v>
      </c>
      <c r="AE47" s="40">
        <v>0.44745460647371277</v>
      </c>
      <c r="AF47" s="40">
        <v>0.20318352059925093</v>
      </c>
      <c r="AG47" s="40">
        <v>0.13699999999999998</v>
      </c>
      <c r="AH47" s="40">
        <v>0.14499999999999999</v>
      </c>
      <c r="AI47" s="40">
        <v>0.18</v>
      </c>
      <c r="AJ47" s="40">
        <v>0.2</v>
      </c>
      <c r="AK47" s="40">
        <v>0.65</v>
      </c>
      <c r="AL47" s="40">
        <v>0.68499999999999983</v>
      </c>
      <c r="AM47" s="40">
        <v>1.074074074074074</v>
      </c>
      <c r="AN47" s="40">
        <v>1</v>
      </c>
      <c r="AO47" s="40">
        <v>0.8</v>
      </c>
      <c r="AP47" s="40">
        <v>1</v>
      </c>
      <c r="AQ47" s="40">
        <f t="shared" si="29"/>
        <v>0.74249999999999994</v>
      </c>
      <c r="AR47" s="40">
        <f t="shared" si="30"/>
        <v>1.074074074074074</v>
      </c>
      <c r="AS47" s="40">
        <f t="shared" si="31"/>
        <v>1</v>
      </c>
      <c r="AT47" s="40" cm="1">
        <f t="array" ref="AT47">_xlfn.IFS(AG47&gt;sheet2!$C$2,1,AG47=sheet2!$C$2,0,AG47&lt;sheet2!$C$2,-1)</f>
        <v>-1</v>
      </c>
      <c r="AU47" s="40" cm="1">
        <f t="array" ref="AU47">_xlfn.IFS(AH47&gt;sheet2!$D$2,1,AH47=sheet2!$D$2,0,AH47&lt;sheet2!$D$2,-1)</f>
        <v>1</v>
      </c>
      <c r="AV47" s="40" cm="1">
        <f t="array" ref="AV47">_xlfn.IFS(AI47&gt;sheet2!$E$2,1,AI47=sheet2!$E$2,0,AI47&lt;sheet2!$E$2,-1)</f>
        <v>0</v>
      </c>
      <c r="AW47" s="40" cm="1">
        <f t="array" ref="AW47">_xlfn.IFS(AJ47&gt;sheet2!$F$2,1,AJ47=sheet2!$F$2,0,AJ47&lt;sheet2!$F$2,-1)</f>
        <v>-1</v>
      </c>
      <c r="AX47" s="40" cm="1">
        <f t="array" ref="AX47">_xlfn.IFS(AK47&gt;sheet2!$G$2,1,AK47=sheet2!$G$2,0,AK47&lt;sheet2!$G$2,-1)</f>
        <v>0</v>
      </c>
      <c r="AY47">
        <v>0.38663250444323399</v>
      </c>
      <c r="AZ47">
        <v>0.72806810120595888</v>
      </c>
      <c r="BA47">
        <v>2.8501337790388128E-2</v>
      </c>
      <c r="BB47">
        <v>1.3314899992115017E-2</v>
      </c>
      <c r="BC47">
        <v>0.47040163559389786</v>
      </c>
    </row>
    <row r="48" spans="1:55" ht="14.4" x14ac:dyDescent="0.25">
      <c r="A48" s="2">
        <v>6</v>
      </c>
      <c r="B48" s="6" t="s">
        <v>14</v>
      </c>
      <c r="C48" s="2">
        <v>2022</v>
      </c>
      <c r="D48" s="2">
        <v>24707.3</v>
      </c>
      <c r="E48" s="17">
        <v>45898.946325047604</v>
      </c>
      <c r="F48" s="30">
        <v>28975.1</v>
      </c>
      <c r="G48" s="3">
        <f t="shared" si="0"/>
        <v>0.85270801481271852</v>
      </c>
      <c r="H48" s="2">
        <f t="shared" si="1"/>
        <v>-5.6542035005088503E-2</v>
      </c>
      <c r="I48" s="14">
        <v>0.34558682063848178</v>
      </c>
      <c r="J48" s="2">
        <f t="shared" si="28"/>
        <v>2.063812747178501E-2</v>
      </c>
      <c r="K48">
        <f t="shared" si="3"/>
        <v>1.5840824130045317</v>
      </c>
      <c r="L48">
        <f t="shared" si="4"/>
        <v>-6.4600557425821076E-2</v>
      </c>
      <c r="M48" s="2">
        <v>1</v>
      </c>
      <c r="N48" s="2">
        <v>1</v>
      </c>
      <c r="O48" s="2">
        <v>0</v>
      </c>
      <c r="P48" s="4">
        <v>1</v>
      </c>
      <c r="Q48" s="40">
        <v>0.83076049715193134</v>
      </c>
      <c r="R48" s="40">
        <v>0.85190615835777128</v>
      </c>
      <c r="S48" s="40">
        <v>0.85626891030116836</v>
      </c>
      <c r="T48" s="40">
        <v>3.5</v>
      </c>
      <c r="U48" s="40">
        <v>1.5</v>
      </c>
      <c r="V48" s="40">
        <v>0.65066225165562919</v>
      </c>
      <c r="W48" s="40">
        <v>0.41855203619909498</v>
      </c>
      <c r="X48" s="40">
        <v>0.1741573033707865</v>
      </c>
      <c r="Y48" s="40">
        <v>0.30184412980883385</v>
      </c>
      <c r="Z48" s="40">
        <v>0.61222339304531059</v>
      </c>
      <c r="AA48" s="40">
        <v>0.61404841810193933</v>
      </c>
      <c r="AB48" s="40">
        <v>1</v>
      </c>
      <c r="AC48" s="40">
        <v>0.87209302325581395</v>
      </c>
      <c r="AD48" s="40">
        <v>0.52591459237268801</v>
      </c>
      <c r="AE48" s="40">
        <v>0.44745460647371277</v>
      </c>
      <c r="AF48" s="40">
        <v>0.20318352059925093</v>
      </c>
      <c r="AG48" s="40">
        <v>0.13699999999999998</v>
      </c>
      <c r="AH48" s="40">
        <v>0.14499999999999999</v>
      </c>
      <c r="AI48" s="40">
        <v>0.18</v>
      </c>
      <c r="AJ48" s="40">
        <v>0.2</v>
      </c>
      <c r="AK48" s="40">
        <v>0.65</v>
      </c>
      <c r="AL48" s="40">
        <v>0.68499999999999983</v>
      </c>
      <c r="AM48" s="40">
        <v>1.074074074074074</v>
      </c>
      <c r="AN48" s="40">
        <v>1</v>
      </c>
      <c r="AO48" s="40">
        <v>0.8</v>
      </c>
      <c r="AP48" s="40">
        <v>1</v>
      </c>
      <c r="AQ48" s="40">
        <f t="shared" si="29"/>
        <v>0.74249999999999994</v>
      </c>
      <c r="AR48" s="40">
        <f t="shared" si="30"/>
        <v>1.074074074074074</v>
      </c>
      <c r="AS48" s="40">
        <f t="shared" si="31"/>
        <v>1</v>
      </c>
      <c r="AT48" s="40" cm="1">
        <f t="array" ref="AT48">_xlfn.IFS(AG48&gt;sheet2!$C$2,1,AG48=sheet2!$C$2,0,AG48&lt;sheet2!$C$2,-1)</f>
        <v>-1</v>
      </c>
      <c r="AU48" s="40" cm="1">
        <f t="array" ref="AU48">_xlfn.IFS(AH48&gt;sheet2!$D$2,1,AH48=sheet2!$D$2,0,AH48&lt;sheet2!$D$2,-1)</f>
        <v>1</v>
      </c>
      <c r="AV48" s="40" cm="1">
        <f t="array" ref="AV48">_xlfn.IFS(AI48&gt;sheet2!$E$2,1,AI48=sheet2!$E$2,0,AI48&lt;sheet2!$E$2,-1)</f>
        <v>0</v>
      </c>
      <c r="AW48" s="40" cm="1">
        <f t="array" ref="AW48">_xlfn.IFS(AJ48&gt;sheet2!$F$2,1,AJ48=sheet2!$F$2,0,AJ48&lt;sheet2!$F$2,-1)</f>
        <v>-1</v>
      </c>
      <c r="AX48" s="40" cm="1">
        <f t="array" ref="AX48">_xlfn.IFS(AK48&gt;sheet2!$G$2,1,AK48=sheet2!$G$2,0,AK48&lt;sheet2!$G$2,-1)</f>
        <v>0</v>
      </c>
      <c r="AY48">
        <v>0.37701681788846286</v>
      </c>
      <c r="AZ48">
        <v>0.73004527043126044</v>
      </c>
      <c r="BA48">
        <v>2.8285673848725223E-2</v>
      </c>
      <c r="BB48">
        <v>1.2965380619911579E-2</v>
      </c>
      <c r="BC48">
        <v>0.4032736930701134</v>
      </c>
    </row>
    <row r="49" spans="1:55" ht="14.4" x14ac:dyDescent="0.25">
      <c r="A49" s="2">
        <v>6</v>
      </c>
      <c r="B49" s="6" t="s">
        <v>14</v>
      </c>
      <c r="C49" s="2">
        <v>2023</v>
      </c>
      <c r="D49" s="2">
        <v>25102.575804399999</v>
      </c>
      <c r="E49">
        <v>47834.361262671504</v>
      </c>
      <c r="F49" s="32">
        <v>30209.4</v>
      </c>
      <c r="G49" s="3">
        <f t="shared" si="0"/>
        <v>0.83095247851331033</v>
      </c>
      <c r="H49" s="2">
        <f t="shared" si="1"/>
        <v>-2.5513465244238833E-2</v>
      </c>
      <c r="I49" s="14"/>
      <c r="K49">
        <f t="shared" si="3"/>
        <v>1.5834263925358167</v>
      </c>
      <c r="L49">
        <f t="shared" si="4"/>
        <v>-4.141327896385517E-4</v>
      </c>
      <c r="M49" s="2">
        <v>1</v>
      </c>
      <c r="N49" s="2">
        <v>1</v>
      </c>
      <c r="O49" s="2">
        <v>1</v>
      </c>
      <c r="P49" s="4">
        <v>1</v>
      </c>
      <c r="Q49" s="40">
        <v>0.83076049715193134</v>
      </c>
      <c r="R49" s="40">
        <v>0.85190615835777128</v>
      </c>
      <c r="S49" s="40">
        <v>0.85626891030116836</v>
      </c>
      <c r="T49" s="40">
        <v>3.5</v>
      </c>
      <c r="U49" s="40">
        <v>1.5</v>
      </c>
      <c r="V49" s="40">
        <v>0.65066225165562919</v>
      </c>
      <c r="W49" s="40">
        <v>0.41855203619909498</v>
      </c>
      <c r="X49" s="40">
        <v>0.1741573033707865</v>
      </c>
      <c r="Y49" s="40">
        <v>0.30184412980883385</v>
      </c>
      <c r="Z49" s="40">
        <v>0.61222339304531059</v>
      </c>
      <c r="AA49" s="40">
        <v>0.61404841810193933</v>
      </c>
      <c r="AB49" s="40">
        <v>1</v>
      </c>
      <c r="AC49" s="40">
        <v>0.87209302325581395</v>
      </c>
      <c r="AD49" s="40">
        <v>0.52591459237268801</v>
      </c>
      <c r="AE49" s="40">
        <v>0.44745460647371277</v>
      </c>
      <c r="AF49" s="40">
        <v>0.20318352059925093</v>
      </c>
      <c r="AG49" s="40">
        <v>0.13699999999999998</v>
      </c>
      <c r="AH49" s="40">
        <v>0.14499999999999999</v>
      </c>
      <c r="AI49" s="40">
        <v>0.18</v>
      </c>
      <c r="AJ49" s="40">
        <v>0.2</v>
      </c>
      <c r="AK49" s="40">
        <v>0.65</v>
      </c>
      <c r="AL49" s="40">
        <v>0.68499999999999983</v>
      </c>
      <c r="AM49" s="40">
        <v>1.074074074074074</v>
      </c>
      <c r="AN49" s="40">
        <v>1</v>
      </c>
      <c r="AO49" s="40">
        <v>0.8</v>
      </c>
      <c r="AP49" s="40">
        <v>1</v>
      </c>
      <c r="AQ49" s="40">
        <f t="shared" si="29"/>
        <v>0.74249999999999994</v>
      </c>
      <c r="AR49" s="40">
        <f t="shared" si="30"/>
        <v>1.074074074074074</v>
      </c>
      <c r="AS49" s="40">
        <f t="shared" si="31"/>
        <v>1</v>
      </c>
      <c r="AT49" s="40" cm="1">
        <f t="array" ref="AT49">_xlfn.IFS(AG49&gt;sheet2!$C$2,1,AG49=sheet2!$C$2,0,AG49&lt;sheet2!$C$2,-1)</f>
        <v>-1</v>
      </c>
      <c r="AU49" s="40" cm="1">
        <f t="array" ref="AU49">_xlfn.IFS(AH49&gt;sheet2!$D$2,1,AH49=sheet2!$D$2,0,AH49&lt;sheet2!$D$2,-1)</f>
        <v>1</v>
      </c>
      <c r="AV49" s="40" cm="1">
        <f t="array" ref="AV49">_xlfn.IFS(AI49&gt;sheet2!$E$2,1,AI49=sheet2!$E$2,0,AI49&lt;sheet2!$E$2,-1)</f>
        <v>0</v>
      </c>
      <c r="AW49" s="40" cm="1">
        <f t="array" ref="AW49">_xlfn.IFS(AJ49&gt;sheet2!$F$2,1,AJ49=sheet2!$F$2,0,AJ49&lt;sheet2!$F$2,-1)</f>
        <v>-1</v>
      </c>
      <c r="AX49" s="40" cm="1">
        <f t="array" ref="AX49">_xlfn.IFS(AK49&gt;sheet2!$G$2,1,AK49=sheet2!$G$2,0,AK49&lt;sheet2!$G$2,-1)</f>
        <v>0</v>
      </c>
      <c r="AY49">
        <v>0.36759419253609799</v>
      </c>
      <c r="AZ49">
        <v>0.73505499760879967</v>
      </c>
      <c r="BA49">
        <v>2.8184581376070737E-2</v>
      </c>
      <c r="BB49">
        <v>1.2983541546670904E-2</v>
      </c>
      <c r="BC49">
        <v>0.41906953540650793</v>
      </c>
    </row>
    <row r="50" spans="1:55" s="40" customFormat="1" ht="14.4" x14ac:dyDescent="0.25">
      <c r="A50" s="35">
        <v>7</v>
      </c>
      <c r="B50" s="35" t="s">
        <v>15</v>
      </c>
      <c r="C50" s="35">
        <v>2016</v>
      </c>
      <c r="D50" s="35">
        <v>6886</v>
      </c>
      <c r="E50" s="36">
        <v>14938.601007400799</v>
      </c>
      <c r="F50" s="37">
        <v>14776.8</v>
      </c>
      <c r="G50" s="38">
        <f t="shared" si="0"/>
        <v>0.4660007579448866</v>
      </c>
      <c r="H50" s="35"/>
      <c r="I50" s="39">
        <v>0.31241226875417277</v>
      </c>
      <c r="J50" s="35"/>
      <c r="K50" s="40">
        <f t="shared" si="3"/>
        <v>1.0109496648395322</v>
      </c>
      <c r="M50" s="35">
        <v>0</v>
      </c>
      <c r="N50" s="35">
        <v>0</v>
      </c>
      <c r="O50" s="35">
        <v>0</v>
      </c>
      <c r="P50" s="41">
        <v>1</v>
      </c>
      <c r="Q50" s="40">
        <v>0.84762755656871624</v>
      </c>
      <c r="R50" s="40">
        <v>0.13196480938416419</v>
      </c>
      <c r="S50" s="40">
        <v>5.7812572731927581E-2</v>
      </c>
      <c r="T50" s="40">
        <v>0.4</v>
      </c>
      <c r="U50" s="40">
        <v>-0.54</v>
      </c>
      <c r="V50" s="40">
        <v>4.472843450479233E-2</v>
      </c>
      <c r="W50" s="40">
        <v>-0.10307017543859651</v>
      </c>
      <c r="X50" s="40">
        <v>-0.112</v>
      </c>
      <c r="Y50" s="40">
        <v>0.37142502929397547</v>
      </c>
      <c r="Z50" s="40">
        <v>9.4836670179135871E-2</v>
      </c>
      <c r="AA50" s="40">
        <v>4.1458610029362651E-2</v>
      </c>
      <c r="AB50" s="40">
        <v>0.1142857142857143</v>
      </c>
      <c r="AC50" s="40">
        <v>-0.31395348837209303</v>
      </c>
      <c r="AD50" s="40">
        <v>3.6152913958356292E-2</v>
      </c>
      <c r="AE50" s="40">
        <v>-0.11018755328218245</v>
      </c>
      <c r="AF50" s="40">
        <v>-0.13066666666666668</v>
      </c>
      <c r="AG50" s="40">
        <v>0.17699999999999999</v>
      </c>
      <c r="AH50" s="40">
        <v>0.13500000000000001</v>
      </c>
      <c r="AI50" s="40">
        <v>0.18</v>
      </c>
      <c r="AJ50" s="40">
        <v>0.2</v>
      </c>
      <c r="AK50" s="40">
        <v>0.65</v>
      </c>
      <c r="AL50" s="40">
        <v>0.8849999999999999</v>
      </c>
      <c r="AM50" s="40">
        <v>1</v>
      </c>
      <c r="AN50" s="40">
        <v>1</v>
      </c>
      <c r="AO50" s="40">
        <v>0.8</v>
      </c>
      <c r="AP50" s="40">
        <v>1</v>
      </c>
      <c r="AQ50" s="40">
        <f t="shared" si="8"/>
        <v>0.84250000000000003</v>
      </c>
      <c r="AR50" s="40">
        <f t="shared" si="9"/>
        <v>1</v>
      </c>
      <c r="AS50" s="40">
        <f t="shared" si="10"/>
        <v>1</v>
      </c>
      <c r="AT50" s="40" cm="1">
        <f t="array" ref="AT50">_xlfn.IFS(AG50&gt;sheet2!$C$2,1,AG50=sheet2!$C$2,0,AG50&lt;sheet2!$C$2,-1)</f>
        <v>-1</v>
      </c>
      <c r="AU50" s="40" cm="1">
        <f t="array" ref="AU50">_xlfn.IFS(AH50&gt;sheet2!$D$2,1,AH50=sheet2!$D$2,0,AH50&lt;sheet2!$D$2,-1)</f>
        <v>0</v>
      </c>
      <c r="AV50" s="40" cm="1">
        <f t="array" ref="AV50">_xlfn.IFS(AI50&gt;sheet2!$E$2,1,AI50=sheet2!$E$2,0,AI50&lt;sheet2!$E$2,-1)</f>
        <v>0</v>
      </c>
      <c r="AW50" s="40" cm="1">
        <f t="array" ref="AW50">_xlfn.IFS(AJ50&gt;sheet2!$F$2,1,AJ50=sheet2!$F$2,0,AJ50&lt;sheet2!$F$2,-1)</f>
        <v>-1</v>
      </c>
      <c r="AX50" s="40" cm="1">
        <f t="array" ref="AX50">_xlfn.IFS(AK50&gt;sheet2!$G$2,1,AK50=sheet2!$G$2,0,AK50&lt;sheet2!$G$2,-1)</f>
        <v>0</v>
      </c>
      <c r="AY50" s="40">
        <v>0.26402198040171082</v>
      </c>
      <c r="AZ50" s="40">
        <v>0.5874561745227892</v>
      </c>
      <c r="BA50" s="40">
        <v>1.3425591782512736E-2</v>
      </c>
      <c r="BB50" s="40">
        <v>6.1488414271019436E-3</v>
      </c>
      <c r="BC50" s="40">
        <v>0.35241167957301683</v>
      </c>
    </row>
    <row r="51" spans="1:55" ht="14.4" x14ac:dyDescent="0.25">
      <c r="A51" s="2">
        <v>7</v>
      </c>
      <c r="B51" s="2" t="s">
        <v>15</v>
      </c>
      <c r="C51" s="2">
        <v>2017</v>
      </c>
      <c r="D51" s="2">
        <v>6881</v>
      </c>
      <c r="E51" s="17">
        <v>15066.6328028599</v>
      </c>
      <c r="F51" s="5">
        <v>14944.53</v>
      </c>
      <c r="G51" s="3">
        <f t="shared" si="0"/>
        <v>0.46043602575658116</v>
      </c>
      <c r="H51" s="2">
        <f t="shared" si="1"/>
        <v>-1.1941465959940731E-2</v>
      </c>
      <c r="I51" s="14">
        <v>0.35822441611780997</v>
      </c>
      <c r="J51" s="2">
        <f t="shared" ref="J51:J56" si="32">(I51-I50)/I50</f>
        <v>0.14664003928631023</v>
      </c>
      <c r="K51">
        <f t="shared" si="3"/>
        <v>1.0081704010002255</v>
      </c>
      <c r="L51">
        <f t="shared" si="4"/>
        <v>-2.7491614429170056E-3</v>
      </c>
      <c r="M51" s="2">
        <v>0</v>
      </c>
      <c r="N51" s="2">
        <v>0</v>
      </c>
      <c r="O51" s="2">
        <v>0</v>
      </c>
      <c r="P51" s="4">
        <v>1</v>
      </c>
      <c r="Q51" s="40">
        <v>0.84762755656871624</v>
      </c>
      <c r="R51" s="40">
        <v>0.13196480938416419</v>
      </c>
      <c r="S51" s="40">
        <v>5.7812572731927581E-2</v>
      </c>
      <c r="T51" s="40">
        <v>0.4</v>
      </c>
      <c r="U51" s="40">
        <v>-0.54</v>
      </c>
      <c r="V51" s="40">
        <v>4.472843450479233E-2</v>
      </c>
      <c r="W51" s="40">
        <v>-0.10307017543859651</v>
      </c>
      <c r="X51" s="40">
        <v>-0.112</v>
      </c>
      <c r="Y51" s="40">
        <v>0.37142502929397547</v>
      </c>
      <c r="Z51" s="40">
        <v>9.4836670179135871E-2</v>
      </c>
      <c r="AA51" s="40">
        <v>4.1458610029362651E-2</v>
      </c>
      <c r="AB51" s="40">
        <v>0.1142857142857143</v>
      </c>
      <c r="AC51" s="40">
        <v>-0.31395348837209303</v>
      </c>
      <c r="AD51" s="40">
        <v>3.6152913958356292E-2</v>
      </c>
      <c r="AE51" s="40">
        <v>-0.11018755328218245</v>
      </c>
      <c r="AF51" s="40">
        <v>-0.13066666666666668</v>
      </c>
      <c r="AG51" s="40">
        <v>0.17699999999999999</v>
      </c>
      <c r="AH51" s="40">
        <v>0.13500000000000001</v>
      </c>
      <c r="AI51" s="40">
        <v>0.18</v>
      </c>
      <c r="AJ51" s="40">
        <v>0.2</v>
      </c>
      <c r="AK51" s="40">
        <v>0.65</v>
      </c>
      <c r="AL51" s="40">
        <v>0.8849999999999999</v>
      </c>
      <c r="AM51" s="40">
        <v>1</v>
      </c>
      <c r="AN51" s="40">
        <v>1</v>
      </c>
      <c r="AO51" s="40">
        <v>0.8</v>
      </c>
      <c r="AP51" s="40">
        <v>1</v>
      </c>
      <c r="AQ51" s="40">
        <f t="shared" ref="AQ51:AQ57" si="33">AVERAGE(AL51,AO51)</f>
        <v>0.84250000000000003</v>
      </c>
      <c r="AR51" s="40">
        <f t="shared" ref="AR51:AR57" si="34">AVERAGE(AM51)</f>
        <v>1</v>
      </c>
      <c r="AS51" s="40">
        <f t="shared" ref="AS51:AS57" si="35">AVERAGE(AN51,AP51)</f>
        <v>1</v>
      </c>
      <c r="AT51" s="40" cm="1">
        <f t="array" ref="AT51">_xlfn.IFS(AG51&gt;sheet2!$C$2,1,AG51=sheet2!$C$2,0,AG51&lt;sheet2!$C$2,-1)</f>
        <v>-1</v>
      </c>
      <c r="AU51" s="40" cm="1">
        <f t="array" ref="AU51">_xlfn.IFS(AH51&gt;sheet2!$D$2,1,AH51=sheet2!$D$2,0,AH51&lt;sheet2!$D$2,-1)</f>
        <v>0</v>
      </c>
      <c r="AV51" s="40" cm="1">
        <f t="array" ref="AV51">_xlfn.IFS(AI51&gt;sheet2!$E$2,1,AI51=sheet2!$E$2,0,AI51&lt;sheet2!$E$2,-1)</f>
        <v>0</v>
      </c>
      <c r="AW51" s="40" cm="1">
        <f t="array" ref="AW51">_xlfn.IFS(AJ51&gt;sheet2!$F$2,1,AJ51=sheet2!$F$2,0,AJ51&lt;sheet2!$F$2,-1)</f>
        <v>-1</v>
      </c>
      <c r="AX51" s="40" cm="1">
        <f t="array" ref="AX51">_xlfn.IFS(AK51&gt;sheet2!$G$2,1,AK51=sheet2!$G$2,0,AK51&lt;sheet2!$G$2,-1)</f>
        <v>0</v>
      </c>
      <c r="AY51">
        <v>0.26735534673890715</v>
      </c>
      <c r="AZ51">
        <v>0.59699129057798894</v>
      </c>
      <c r="BA51">
        <v>1.3211158879091222E-2</v>
      </c>
      <c r="BB51">
        <v>5.0182775905297785E-3</v>
      </c>
      <c r="BC51">
        <v>0.32501368862931196</v>
      </c>
    </row>
    <row r="52" spans="1:55" ht="14.4" x14ac:dyDescent="0.25">
      <c r="A52" s="2">
        <v>7</v>
      </c>
      <c r="B52" s="2" t="s">
        <v>15</v>
      </c>
      <c r="C52" s="2">
        <v>2018</v>
      </c>
      <c r="D52" s="2">
        <v>7000</v>
      </c>
      <c r="E52" s="17">
        <v>15911.7710056865</v>
      </c>
      <c r="F52" s="5">
        <v>15074.62</v>
      </c>
      <c r="G52" s="3">
        <f t="shared" si="0"/>
        <v>0.46435664713273034</v>
      </c>
      <c r="H52" s="2">
        <f t="shared" si="1"/>
        <v>8.5150187145040992E-3</v>
      </c>
      <c r="I52" s="14">
        <v>0.36722919345668964</v>
      </c>
      <c r="J52" s="2">
        <f t="shared" si="32"/>
        <v>2.5137251772135619E-2</v>
      </c>
      <c r="K52">
        <f t="shared" si="3"/>
        <v>1.055533804877768</v>
      </c>
      <c r="L52">
        <f t="shared" si="4"/>
        <v>4.6979562017048317E-2</v>
      </c>
      <c r="M52" s="2">
        <v>0</v>
      </c>
      <c r="N52" s="2">
        <v>0</v>
      </c>
      <c r="O52" s="2">
        <v>0</v>
      </c>
      <c r="P52" s="4">
        <v>1</v>
      </c>
      <c r="Q52" s="40">
        <v>0.84762755656871624</v>
      </c>
      <c r="R52" s="40">
        <v>0.13196480938416419</v>
      </c>
      <c r="S52" s="40">
        <v>5.7812572731927581E-2</v>
      </c>
      <c r="T52" s="40">
        <v>0.4</v>
      </c>
      <c r="U52" s="40">
        <v>-0.54</v>
      </c>
      <c r="V52" s="40">
        <v>4.472843450479233E-2</v>
      </c>
      <c r="W52" s="40">
        <v>-0.10307017543859651</v>
      </c>
      <c r="X52" s="40">
        <v>-0.112</v>
      </c>
      <c r="Y52" s="40">
        <v>0.37142502929397547</v>
      </c>
      <c r="Z52" s="40">
        <v>9.4836670179135871E-2</v>
      </c>
      <c r="AA52" s="40">
        <v>4.1458610029362651E-2</v>
      </c>
      <c r="AB52" s="40">
        <v>0.1142857142857143</v>
      </c>
      <c r="AC52" s="40">
        <v>-0.31395348837209303</v>
      </c>
      <c r="AD52" s="40">
        <v>3.6152913958356292E-2</v>
      </c>
      <c r="AE52" s="40">
        <v>-0.11018755328218245</v>
      </c>
      <c r="AF52" s="40">
        <v>-0.13066666666666668</v>
      </c>
      <c r="AG52" s="40">
        <v>0.17699999999999999</v>
      </c>
      <c r="AH52" s="40">
        <v>0.13500000000000001</v>
      </c>
      <c r="AI52" s="40">
        <v>0.18</v>
      </c>
      <c r="AJ52" s="40">
        <v>0.2</v>
      </c>
      <c r="AK52" s="40">
        <v>0.65</v>
      </c>
      <c r="AL52" s="40">
        <v>0.8849999999999999</v>
      </c>
      <c r="AM52" s="40">
        <v>1</v>
      </c>
      <c r="AN52" s="40">
        <v>1</v>
      </c>
      <c r="AO52" s="40">
        <v>0.8</v>
      </c>
      <c r="AP52" s="40">
        <v>1</v>
      </c>
      <c r="AQ52" s="40">
        <f t="shared" si="33"/>
        <v>0.84250000000000003</v>
      </c>
      <c r="AR52" s="40">
        <f t="shared" si="34"/>
        <v>1</v>
      </c>
      <c r="AS52" s="40">
        <f t="shared" si="35"/>
        <v>1</v>
      </c>
      <c r="AT52" s="40" cm="1">
        <f t="array" ref="AT52">_xlfn.IFS(AG52&gt;sheet2!$C$2,1,AG52=sheet2!$C$2,0,AG52&lt;sheet2!$C$2,-1)</f>
        <v>-1</v>
      </c>
      <c r="AU52" s="40" cm="1">
        <f t="array" ref="AU52">_xlfn.IFS(AH52&gt;sheet2!$D$2,1,AH52=sheet2!$D$2,0,AH52&lt;sheet2!$D$2,-1)</f>
        <v>0</v>
      </c>
      <c r="AV52" s="40" cm="1">
        <f t="array" ref="AV52">_xlfn.IFS(AI52&gt;sheet2!$E$2,1,AI52=sheet2!$E$2,0,AI52&lt;sheet2!$E$2,-1)</f>
        <v>0</v>
      </c>
      <c r="AW52" s="40" cm="1">
        <f t="array" ref="AW52">_xlfn.IFS(AJ52&gt;sheet2!$F$2,1,AJ52=sheet2!$F$2,0,AJ52&lt;sheet2!$F$2,-1)</f>
        <v>-1</v>
      </c>
      <c r="AX52" s="40" cm="1">
        <f t="array" ref="AX52">_xlfn.IFS(AK52&gt;sheet2!$G$2,1,AK52=sheet2!$G$2,0,AK52&lt;sheet2!$G$2,-1)</f>
        <v>0</v>
      </c>
      <c r="AY52">
        <v>0.26876299369403672</v>
      </c>
      <c r="AZ52">
        <v>0.60869565217391308</v>
      </c>
      <c r="BA52">
        <v>1.2991495904854551E-2</v>
      </c>
      <c r="BB52">
        <v>3.8144576778718132E-3</v>
      </c>
      <c r="BC52">
        <v>0.32744703252858492</v>
      </c>
    </row>
    <row r="53" spans="1:55" ht="14.4" x14ac:dyDescent="0.25">
      <c r="A53" s="2">
        <v>7</v>
      </c>
      <c r="B53" s="2" t="s">
        <v>15</v>
      </c>
      <c r="C53" s="2">
        <v>2019</v>
      </c>
      <c r="D53" s="2">
        <v>7132</v>
      </c>
      <c r="E53" s="17">
        <v>15913.342927289001</v>
      </c>
      <c r="F53" s="5">
        <v>11726.82</v>
      </c>
      <c r="G53" s="3">
        <f t="shared" si="0"/>
        <v>0.60817851727919425</v>
      </c>
      <c r="H53" s="2">
        <f t="shared" si="1"/>
        <v>0.30972286287818401</v>
      </c>
      <c r="I53" s="14">
        <v>0.36487620126397707</v>
      </c>
      <c r="J53" s="2">
        <f t="shared" si="32"/>
        <v>-6.4074213996008844E-3</v>
      </c>
      <c r="K53">
        <f t="shared" si="3"/>
        <v>1.3570041091522682</v>
      </c>
      <c r="L53">
        <f t="shared" si="4"/>
        <v>0.28560933139361722</v>
      </c>
      <c r="M53" s="2">
        <v>0</v>
      </c>
      <c r="N53" s="2">
        <v>0</v>
      </c>
      <c r="O53" s="2">
        <v>0</v>
      </c>
      <c r="P53" s="4">
        <v>1</v>
      </c>
      <c r="Q53" s="40">
        <v>0.84762755656871624</v>
      </c>
      <c r="R53" s="40">
        <v>0.13196480938416419</v>
      </c>
      <c r="S53" s="40">
        <v>5.7812572731927581E-2</v>
      </c>
      <c r="T53" s="40">
        <v>0.4</v>
      </c>
      <c r="U53" s="40">
        <v>-0.54</v>
      </c>
      <c r="V53" s="40">
        <v>4.472843450479233E-2</v>
      </c>
      <c r="W53" s="40">
        <v>-0.10307017543859651</v>
      </c>
      <c r="X53" s="40">
        <v>-0.112</v>
      </c>
      <c r="Y53" s="40">
        <v>0.37142502929397547</v>
      </c>
      <c r="Z53" s="40">
        <v>9.4836670179135871E-2</v>
      </c>
      <c r="AA53" s="40">
        <v>4.1458610029362651E-2</v>
      </c>
      <c r="AB53" s="40">
        <v>0.1142857142857143</v>
      </c>
      <c r="AC53" s="40">
        <v>-0.31395348837209303</v>
      </c>
      <c r="AD53" s="40">
        <v>3.6152913958356292E-2</v>
      </c>
      <c r="AE53" s="40">
        <v>-0.11018755328218245</v>
      </c>
      <c r="AF53" s="40">
        <v>-0.13066666666666668</v>
      </c>
      <c r="AG53" s="40">
        <v>0.17699999999999999</v>
      </c>
      <c r="AH53" s="40">
        <v>0.13500000000000001</v>
      </c>
      <c r="AI53" s="40">
        <v>0.18</v>
      </c>
      <c r="AJ53" s="40">
        <v>0.2</v>
      </c>
      <c r="AK53" s="40">
        <v>0.65</v>
      </c>
      <c r="AL53" s="40">
        <v>0.8849999999999999</v>
      </c>
      <c r="AM53" s="40">
        <v>1</v>
      </c>
      <c r="AN53" s="40">
        <v>1</v>
      </c>
      <c r="AO53" s="40">
        <v>0.8</v>
      </c>
      <c r="AP53" s="40">
        <v>1</v>
      </c>
      <c r="AQ53" s="40">
        <f t="shared" si="33"/>
        <v>0.84250000000000003</v>
      </c>
      <c r="AR53" s="40">
        <f t="shared" si="34"/>
        <v>1</v>
      </c>
      <c r="AS53" s="40">
        <f t="shared" si="35"/>
        <v>1</v>
      </c>
      <c r="AT53" s="40" cm="1">
        <f t="array" ref="AT53">_xlfn.IFS(AG53&gt;sheet2!$C$2,1,AG53=sheet2!$C$2,0,AG53&lt;sheet2!$C$2,-1)</f>
        <v>-1</v>
      </c>
      <c r="AU53" s="40" cm="1">
        <f t="array" ref="AU53">_xlfn.IFS(AH53&gt;sheet2!$D$2,1,AH53=sheet2!$D$2,0,AH53&lt;sheet2!$D$2,-1)</f>
        <v>0</v>
      </c>
      <c r="AV53" s="40" cm="1">
        <f t="array" ref="AV53">_xlfn.IFS(AI53&gt;sheet2!$E$2,1,AI53=sheet2!$E$2,0,AI53&lt;sheet2!$E$2,-1)</f>
        <v>0</v>
      </c>
      <c r="AW53" s="40" cm="1">
        <f t="array" ref="AW53">_xlfn.IFS(AJ53&gt;sheet2!$F$2,1,AJ53=sheet2!$F$2,0,AJ53&lt;sheet2!$F$2,-1)</f>
        <v>-1</v>
      </c>
      <c r="AX53" s="40" cm="1">
        <f t="array" ref="AX53">_xlfn.IFS(AK53&gt;sheet2!$G$2,1,AK53=sheet2!$G$2,0,AK53&lt;sheet2!$G$2,-1)</f>
        <v>0</v>
      </c>
      <c r="AY53">
        <v>0.35491292609590663</v>
      </c>
      <c r="AZ53">
        <v>0.61642156862745101</v>
      </c>
      <c r="BA53">
        <v>1.2803213355508833E-2</v>
      </c>
      <c r="BB53">
        <v>5.8335166737444599E-3</v>
      </c>
      <c r="BC53">
        <v>0.28396408214734253</v>
      </c>
    </row>
    <row r="54" spans="1:55" ht="14.4" x14ac:dyDescent="0.25">
      <c r="A54" s="2">
        <v>7</v>
      </c>
      <c r="B54" s="2" t="s">
        <v>15</v>
      </c>
      <c r="C54" s="2">
        <v>2020</v>
      </c>
      <c r="D54" s="2">
        <v>7185.7</v>
      </c>
      <c r="E54" s="17">
        <v>15764.858052379999</v>
      </c>
      <c r="F54" s="5">
        <v>12311.32</v>
      </c>
      <c r="G54" s="3">
        <f t="shared" si="0"/>
        <v>0.58366608942014342</v>
      </c>
      <c r="H54" s="2">
        <f t="shared" si="1"/>
        <v>-4.0304659179202812E-2</v>
      </c>
      <c r="I54" s="14">
        <v>0.39364336670217531</v>
      </c>
      <c r="J54" s="2">
        <f t="shared" si="32"/>
        <v>7.8840892715241931E-2</v>
      </c>
      <c r="K54">
        <f t="shared" si="3"/>
        <v>1.2805172842863315</v>
      </c>
      <c r="L54">
        <f t="shared" si="4"/>
        <v>-5.6364475501639179E-2</v>
      </c>
      <c r="M54" s="2">
        <v>0</v>
      </c>
      <c r="N54" s="2">
        <v>0</v>
      </c>
      <c r="O54" s="2">
        <v>0</v>
      </c>
      <c r="P54" s="4">
        <v>1</v>
      </c>
      <c r="Q54" s="40">
        <v>0.84762755656871624</v>
      </c>
      <c r="R54" s="40">
        <v>0.13196480938416419</v>
      </c>
      <c r="S54" s="40">
        <v>5.7812572731927581E-2</v>
      </c>
      <c r="T54" s="40">
        <v>0.4</v>
      </c>
      <c r="U54" s="40">
        <v>-0.54</v>
      </c>
      <c r="V54" s="40">
        <v>4.472843450479233E-2</v>
      </c>
      <c r="W54" s="40">
        <v>-0.10307017543859651</v>
      </c>
      <c r="X54" s="40">
        <v>-0.112</v>
      </c>
      <c r="Y54" s="40">
        <v>0.37142502929397547</v>
      </c>
      <c r="Z54" s="40">
        <v>9.4836670179135871E-2</v>
      </c>
      <c r="AA54" s="40">
        <v>4.1458610029362651E-2</v>
      </c>
      <c r="AB54" s="40">
        <v>0.1142857142857143</v>
      </c>
      <c r="AC54" s="40">
        <v>-0.31395348837209303</v>
      </c>
      <c r="AD54" s="40">
        <v>3.6152913958356292E-2</v>
      </c>
      <c r="AE54" s="40">
        <v>-0.11018755328218245</v>
      </c>
      <c r="AF54" s="40">
        <v>-0.13066666666666668</v>
      </c>
      <c r="AG54" s="40">
        <v>0.17699999999999999</v>
      </c>
      <c r="AH54" s="40">
        <v>0.13500000000000001</v>
      </c>
      <c r="AI54" s="40">
        <v>0.18</v>
      </c>
      <c r="AJ54" s="40">
        <v>0.2</v>
      </c>
      <c r="AK54" s="40">
        <v>0.65</v>
      </c>
      <c r="AL54" s="40">
        <v>0.8849999999999999</v>
      </c>
      <c r="AM54" s="40">
        <v>1</v>
      </c>
      <c r="AN54" s="40">
        <v>1</v>
      </c>
      <c r="AO54" s="40">
        <v>0.8</v>
      </c>
      <c r="AP54" s="40">
        <v>1</v>
      </c>
      <c r="AQ54" s="40">
        <f t="shared" si="33"/>
        <v>0.84250000000000003</v>
      </c>
      <c r="AR54" s="40">
        <f t="shared" si="34"/>
        <v>1</v>
      </c>
      <c r="AS54" s="40">
        <f t="shared" si="35"/>
        <v>1</v>
      </c>
      <c r="AT54" s="40" cm="1">
        <f t="array" ref="AT54">_xlfn.IFS(AG54&gt;sheet2!$C$2,1,AG54=sheet2!$C$2,0,AG54&lt;sheet2!$C$2,-1)</f>
        <v>-1</v>
      </c>
      <c r="AU54" s="40" cm="1">
        <f t="array" ref="AU54">_xlfn.IFS(AH54&gt;sheet2!$D$2,1,AH54=sheet2!$D$2,0,AH54&lt;sheet2!$D$2,-1)</f>
        <v>0</v>
      </c>
      <c r="AV54" s="40" cm="1">
        <f t="array" ref="AV54">_xlfn.IFS(AI54&gt;sheet2!$E$2,1,AI54=sheet2!$E$2,0,AI54&lt;sheet2!$E$2,-1)</f>
        <v>0</v>
      </c>
      <c r="AW54" s="40" cm="1">
        <f t="array" ref="AW54">_xlfn.IFS(AJ54&gt;sheet2!$F$2,1,AJ54=sheet2!$F$2,0,AJ54&lt;sheet2!$F$2,-1)</f>
        <v>-1</v>
      </c>
      <c r="AX54" s="40" cm="1">
        <f t="array" ref="AX54">_xlfn.IFS(AK54&gt;sheet2!$G$2,1,AK54=sheet2!$G$2,0,AK54&lt;sheet2!$G$2,-1)</f>
        <v>0</v>
      </c>
      <c r="AY54">
        <v>0.35230178404915152</v>
      </c>
      <c r="AZ54">
        <v>0.62651104626927889</v>
      </c>
      <c r="BA54">
        <v>1.2546939885566051E-2</v>
      </c>
      <c r="BB54">
        <v>6.3067810762777671E-3</v>
      </c>
      <c r="BC54">
        <v>0.2628968518379422</v>
      </c>
    </row>
    <row r="55" spans="1:55" ht="14.4" x14ac:dyDescent="0.25">
      <c r="A55" s="2">
        <v>7</v>
      </c>
      <c r="B55" s="2" t="s">
        <v>15</v>
      </c>
      <c r="C55" s="2">
        <v>2021</v>
      </c>
      <c r="D55" s="2">
        <v>7287.6</v>
      </c>
      <c r="E55" s="17">
        <v>16255.551837544701</v>
      </c>
      <c r="F55" s="30">
        <v>13235.5152</v>
      </c>
      <c r="G55" s="3">
        <f t="shared" si="0"/>
        <v>0.55060946928609178</v>
      </c>
      <c r="H55" s="2">
        <f t="shared" si="1"/>
        <v>-5.6636184169775054E-2</v>
      </c>
      <c r="I55" s="14">
        <v>0.39998786739045983</v>
      </c>
      <c r="J55" s="2">
        <f t="shared" si="32"/>
        <v>1.6117382445528849E-2</v>
      </c>
      <c r="K55">
        <f t="shared" si="3"/>
        <v>1.2281767344836489</v>
      </c>
      <c r="L55">
        <f t="shared" si="4"/>
        <v>-4.0874535974618584E-2</v>
      </c>
      <c r="M55" s="2">
        <v>0</v>
      </c>
      <c r="N55" s="2">
        <v>0</v>
      </c>
      <c r="O55" s="2">
        <v>0</v>
      </c>
      <c r="P55" s="4">
        <v>1</v>
      </c>
      <c r="Q55" s="40">
        <v>0.84762755656871624</v>
      </c>
      <c r="R55" s="40">
        <v>0.13196480938416419</v>
      </c>
      <c r="S55" s="40">
        <v>5.7812572731927581E-2</v>
      </c>
      <c r="T55" s="40">
        <v>0.4</v>
      </c>
      <c r="U55" s="40">
        <v>-0.54</v>
      </c>
      <c r="V55" s="40">
        <v>4.472843450479233E-2</v>
      </c>
      <c r="W55" s="40">
        <v>-0.10307017543859651</v>
      </c>
      <c r="X55" s="40">
        <v>-0.112</v>
      </c>
      <c r="Y55" s="40">
        <v>0.37142502929397547</v>
      </c>
      <c r="Z55" s="40">
        <v>9.4836670179135871E-2</v>
      </c>
      <c r="AA55" s="40">
        <v>4.1458610029362651E-2</v>
      </c>
      <c r="AB55" s="40">
        <v>0.1142857142857143</v>
      </c>
      <c r="AC55" s="40">
        <v>-0.31395348837209303</v>
      </c>
      <c r="AD55" s="40">
        <v>3.6152913958356292E-2</v>
      </c>
      <c r="AE55" s="40">
        <v>-0.11018755328218245</v>
      </c>
      <c r="AF55" s="40">
        <v>-0.13066666666666668</v>
      </c>
      <c r="AG55" s="40">
        <v>0.17699999999999999</v>
      </c>
      <c r="AH55" s="40">
        <v>0.13500000000000001</v>
      </c>
      <c r="AI55" s="40">
        <v>0.18</v>
      </c>
      <c r="AJ55" s="40">
        <v>0.2</v>
      </c>
      <c r="AK55" s="40">
        <v>0.65</v>
      </c>
      <c r="AL55" s="40">
        <v>0.8849999999999999</v>
      </c>
      <c r="AM55" s="40">
        <v>1</v>
      </c>
      <c r="AN55" s="40">
        <v>1</v>
      </c>
      <c r="AO55" s="40">
        <v>0.8</v>
      </c>
      <c r="AP55" s="40">
        <v>1</v>
      </c>
      <c r="AQ55" s="40">
        <f t="shared" si="33"/>
        <v>0.84250000000000003</v>
      </c>
      <c r="AR55" s="40">
        <f t="shared" si="34"/>
        <v>1</v>
      </c>
      <c r="AS55" s="40">
        <f t="shared" si="35"/>
        <v>1</v>
      </c>
      <c r="AT55" s="40" cm="1">
        <f t="array" ref="AT55">_xlfn.IFS(AG55&gt;sheet2!$C$2,1,AG55=sheet2!$C$2,0,AG55&lt;sheet2!$C$2,-1)</f>
        <v>-1</v>
      </c>
      <c r="AU55" s="40" cm="1">
        <f t="array" ref="AU55">_xlfn.IFS(AH55&gt;sheet2!$D$2,1,AH55=sheet2!$D$2,0,AH55&lt;sheet2!$D$2,-1)</f>
        <v>0</v>
      </c>
      <c r="AV55" s="40" cm="1">
        <f t="array" ref="AV55">_xlfn.IFS(AI55&gt;sheet2!$E$2,1,AI55=sheet2!$E$2,0,AI55&lt;sheet2!$E$2,-1)</f>
        <v>0</v>
      </c>
      <c r="AW55" s="40" cm="1">
        <f t="array" ref="AW55">_xlfn.IFS(AJ55&gt;sheet2!$F$2,1,AJ55=sheet2!$F$2,0,AJ55&lt;sheet2!$F$2,-1)</f>
        <v>-1</v>
      </c>
      <c r="AX55" s="40" cm="1">
        <f t="array" ref="AX55">_xlfn.IFS(AK55&gt;sheet2!$G$2,1,AK55=sheet2!$G$2,0,AK55&lt;sheet2!$G$2,-1)</f>
        <v>0</v>
      </c>
      <c r="AY55">
        <v>0.35614027325509778</v>
      </c>
      <c r="AZ55">
        <v>0.63368421052631574</v>
      </c>
      <c r="BA55">
        <v>1.2421418186002238E-2</v>
      </c>
      <c r="BB55">
        <v>6.4858298829198573E-3</v>
      </c>
      <c r="BC55">
        <v>0.30944806916177059</v>
      </c>
    </row>
    <row r="56" spans="1:55" ht="14.4" x14ac:dyDescent="0.25">
      <c r="A56" s="2">
        <v>7</v>
      </c>
      <c r="B56" s="2" t="s">
        <v>15</v>
      </c>
      <c r="C56" s="2">
        <v>2022</v>
      </c>
      <c r="D56" s="2">
        <v>7027.8</v>
      </c>
      <c r="E56" s="17">
        <v>16005.1499686551</v>
      </c>
      <c r="F56" s="30">
        <v>13070.2</v>
      </c>
      <c r="G56" s="3">
        <f t="shared" si="0"/>
        <v>0.5376964392281679</v>
      </c>
      <c r="H56" s="2">
        <f t="shared" si="1"/>
        <v>-2.3452248423309233E-2</v>
      </c>
      <c r="I56" s="14">
        <v>0.45648061194143041</v>
      </c>
      <c r="J56" s="2">
        <f t="shared" si="32"/>
        <v>0.14123614528493572</v>
      </c>
      <c r="K56">
        <f t="shared" si="3"/>
        <v>1.2245527970998988</v>
      </c>
      <c r="L56">
        <f t="shared" si="4"/>
        <v>-2.9506644133539032E-3</v>
      </c>
      <c r="M56" s="2">
        <v>1</v>
      </c>
      <c r="N56" s="2">
        <v>1</v>
      </c>
      <c r="O56" s="2">
        <v>0</v>
      </c>
      <c r="P56" s="4">
        <v>1</v>
      </c>
      <c r="Q56" s="40">
        <v>0.84762755656871624</v>
      </c>
      <c r="R56" s="40">
        <v>0.13196480938416419</v>
      </c>
      <c r="S56" s="40">
        <v>5.7812572731927581E-2</v>
      </c>
      <c r="T56" s="40">
        <v>0.4</v>
      </c>
      <c r="U56" s="40">
        <v>-0.54</v>
      </c>
      <c r="V56" s="40">
        <v>4.472843450479233E-2</v>
      </c>
      <c r="W56" s="40">
        <v>-0.10307017543859651</v>
      </c>
      <c r="X56" s="40">
        <v>-0.112</v>
      </c>
      <c r="Y56" s="40">
        <v>0.37142502929397547</v>
      </c>
      <c r="Z56" s="40">
        <v>9.4836670179135871E-2</v>
      </c>
      <c r="AA56" s="40">
        <v>4.1458610029362651E-2</v>
      </c>
      <c r="AB56" s="40">
        <v>0.1142857142857143</v>
      </c>
      <c r="AC56" s="40">
        <v>-0.31395348837209303</v>
      </c>
      <c r="AD56" s="40">
        <v>3.6152913958356292E-2</v>
      </c>
      <c r="AE56" s="40">
        <v>-0.11018755328218245</v>
      </c>
      <c r="AF56" s="40">
        <v>-0.13066666666666668</v>
      </c>
      <c r="AG56" s="40">
        <v>0.17699999999999999</v>
      </c>
      <c r="AH56" s="40">
        <v>0.13500000000000001</v>
      </c>
      <c r="AI56" s="40">
        <v>0.18</v>
      </c>
      <c r="AJ56" s="40">
        <v>0.2</v>
      </c>
      <c r="AK56" s="40">
        <v>0.65</v>
      </c>
      <c r="AL56" s="40">
        <v>0.8849999999999999</v>
      </c>
      <c r="AM56" s="40">
        <v>1</v>
      </c>
      <c r="AN56" s="40">
        <v>1</v>
      </c>
      <c r="AO56" s="40">
        <v>0.8</v>
      </c>
      <c r="AP56" s="40">
        <v>1</v>
      </c>
      <c r="AQ56" s="40">
        <f t="shared" si="33"/>
        <v>0.84250000000000003</v>
      </c>
      <c r="AR56" s="40">
        <f t="shared" si="34"/>
        <v>1</v>
      </c>
      <c r="AS56" s="40">
        <f t="shared" si="35"/>
        <v>1</v>
      </c>
      <c r="AT56" s="40" cm="1">
        <f t="array" ref="AT56">_xlfn.IFS(AG56&gt;sheet2!$C$2,1,AG56=sheet2!$C$2,0,AG56&lt;sheet2!$C$2,-1)</f>
        <v>-1</v>
      </c>
      <c r="AU56" s="40" cm="1">
        <f t="array" ref="AU56">_xlfn.IFS(AH56&gt;sheet2!$D$2,1,AH56=sheet2!$D$2,0,AH56&lt;sheet2!$D$2,-1)</f>
        <v>0</v>
      </c>
      <c r="AV56" s="40" cm="1">
        <f t="array" ref="AV56">_xlfn.IFS(AI56&gt;sheet2!$E$2,1,AI56=sheet2!$E$2,0,AI56&lt;sheet2!$E$2,-1)</f>
        <v>0</v>
      </c>
      <c r="AW56" s="40" cm="1">
        <f t="array" ref="AW56">_xlfn.IFS(AJ56&gt;sheet2!$F$2,1,AJ56=sheet2!$F$2,0,AJ56&lt;sheet2!$F$2,-1)</f>
        <v>-1</v>
      </c>
      <c r="AX56" s="40" cm="1">
        <f t="array" ref="AX56">_xlfn.IFS(AK56&gt;sheet2!$G$2,1,AK56=sheet2!$G$2,0,AK56&lt;sheet2!$G$2,-1)</f>
        <v>0</v>
      </c>
      <c r="AY56">
        <v>0.32707227127358413</v>
      </c>
      <c r="AZ56">
        <v>0.63713798977853497</v>
      </c>
      <c r="BA56">
        <v>1.228020627399295E-2</v>
      </c>
      <c r="BB56">
        <v>7.0851325916971436E-3</v>
      </c>
      <c r="BC56">
        <v>0.21043469229799133</v>
      </c>
    </row>
    <row r="57" spans="1:55" ht="14.4" x14ac:dyDescent="0.25">
      <c r="A57" s="2">
        <v>7</v>
      </c>
      <c r="B57" s="2" t="s">
        <v>15</v>
      </c>
      <c r="C57" s="2">
        <v>2023</v>
      </c>
      <c r="D57" s="7">
        <v>7434</v>
      </c>
      <c r="E57" s="17">
        <v>17040.448381791299</v>
      </c>
      <c r="F57" s="30">
        <v>13531.2</v>
      </c>
      <c r="G57" s="3">
        <f t="shared" si="0"/>
        <v>0.5493969492727917</v>
      </c>
      <c r="H57" s="2">
        <f t="shared" si="1"/>
        <v>2.1760438029716556E-2</v>
      </c>
      <c r="K57">
        <f t="shared" si="3"/>
        <v>1.2593449495825424</v>
      </c>
      <c r="L57">
        <f t="shared" si="4"/>
        <v>2.8412129362687836E-2</v>
      </c>
      <c r="M57" s="2">
        <v>1</v>
      </c>
      <c r="N57" s="2">
        <v>1</v>
      </c>
      <c r="O57" s="2">
        <v>1</v>
      </c>
      <c r="P57" s="4">
        <v>1</v>
      </c>
      <c r="Q57" s="40">
        <v>0.84762755656871624</v>
      </c>
      <c r="R57" s="40">
        <v>0.13196480938416419</v>
      </c>
      <c r="S57" s="40">
        <v>5.7812572731927581E-2</v>
      </c>
      <c r="T57" s="40">
        <v>0.4</v>
      </c>
      <c r="U57" s="40">
        <v>-0.54</v>
      </c>
      <c r="V57" s="40">
        <v>4.472843450479233E-2</v>
      </c>
      <c r="W57" s="40">
        <v>-0.10307017543859651</v>
      </c>
      <c r="X57" s="40">
        <v>-0.112</v>
      </c>
      <c r="Y57" s="40">
        <v>0.37142502929397547</v>
      </c>
      <c r="Z57" s="40">
        <v>9.4836670179135871E-2</v>
      </c>
      <c r="AA57" s="40">
        <v>4.1458610029362651E-2</v>
      </c>
      <c r="AB57" s="40">
        <v>0.1142857142857143</v>
      </c>
      <c r="AC57" s="40">
        <v>-0.31395348837209303</v>
      </c>
      <c r="AD57" s="40">
        <v>3.6152913958356292E-2</v>
      </c>
      <c r="AE57" s="40">
        <v>-0.11018755328218245</v>
      </c>
      <c r="AF57" s="40">
        <v>-0.13066666666666668</v>
      </c>
      <c r="AG57" s="40">
        <v>0.17699999999999999</v>
      </c>
      <c r="AH57" s="40">
        <v>0.13500000000000001</v>
      </c>
      <c r="AI57" s="40">
        <v>0.18</v>
      </c>
      <c r="AJ57" s="40">
        <v>0.2</v>
      </c>
      <c r="AK57" s="40">
        <v>0.65</v>
      </c>
      <c r="AL57" s="40">
        <v>0.8849999999999999</v>
      </c>
      <c r="AM57" s="40">
        <v>1</v>
      </c>
      <c r="AN57" s="40">
        <v>1</v>
      </c>
      <c r="AO57" s="40">
        <v>0.8</v>
      </c>
      <c r="AP57" s="40">
        <v>1</v>
      </c>
      <c r="AQ57" s="40">
        <f t="shared" si="33"/>
        <v>0.84250000000000003</v>
      </c>
      <c r="AR57" s="40">
        <f t="shared" si="34"/>
        <v>1</v>
      </c>
      <c r="AS57" s="40">
        <f t="shared" si="35"/>
        <v>1</v>
      </c>
      <c r="AT57" s="40" cm="1">
        <f t="array" ref="AT57">_xlfn.IFS(AG57&gt;sheet2!$C$2,1,AG57=sheet2!$C$2,0,AG57&lt;sheet2!$C$2,-1)</f>
        <v>-1</v>
      </c>
      <c r="AU57" s="40" cm="1">
        <f t="array" ref="AU57">_xlfn.IFS(AH57&gt;sheet2!$D$2,1,AH57=sheet2!$D$2,0,AH57&lt;sheet2!$D$2,-1)</f>
        <v>0</v>
      </c>
      <c r="AV57" s="40" cm="1">
        <f t="array" ref="AV57">_xlfn.IFS(AI57&gt;sheet2!$E$2,1,AI57=sheet2!$E$2,0,AI57&lt;sheet2!$E$2,-1)</f>
        <v>0</v>
      </c>
      <c r="AW57" s="40" cm="1">
        <f t="array" ref="AW57">_xlfn.IFS(AJ57&gt;sheet2!$F$2,1,AJ57=sheet2!$F$2,0,AJ57&lt;sheet2!$F$2,-1)</f>
        <v>-1</v>
      </c>
      <c r="AX57" s="40" cm="1">
        <f t="array" ref="AX57">_xlfn.IFS(AK57&gt;sheet2!$G$2,1,AK57=sheet2!$G$2,0,AK57&lt;sheet2!$G$2,-1)</f>
        <v>0</v>
      </c>
      <c r="AY57">
        <v>0.32716240983800399</v>
      </c>
      <c r="AZ57">
        <v>0.64728516460025654</v>
      </c>
      <c r="BA57">
        <v>1.223313563665652E-2</v>
      </c>
      <c r="BB57">
        <v>7.6620477119545942E-3</v>
      </c>
      <c r="BC57">
        <v>0.24390210694713907</v>
      </c>
    </row>
    <row r="58" spans="1:55" s="40" customFormat="1" ht="14.4" x14ac:dyDescent="0.25">
      <c r="A58" s="35">
        <v>8</v>
      </c>
      <c r="B58" s="35" t="s">
        <v>16</v>
      </c>
      <c r="C58" s="35">
        <v>2016</v>
      </c>
      <c r="D58" s="35">
        <v>11070</v>
      </c>
      <c r="E58" s="36">
        <v>18016.685460619901</v>
      </c>
      <c r="F58" s="37">
        <v>15386.09</v>
      </c>
      <c r="G58" s="38">
        <f t="shared" si="0"/>
        <v>0.71948103774253236</v>
      </c>
      <c r="H58" s="35"/>
      <c r="I58" s="39">
        <v>0.26402981641303858</v>
      </c>
      <c r="J58" s="35"/>
      <c r="K58" s="40">
        <f t="shared" si="3"/>
        <v>1.1709723172436857</v>
      </c>
      <c r="M58" s="35">
        <v>0</v>
      </c>
      <c r="N58" s="35">
        <v>0</v>
      </c>
      <c r="O58" s="35">
        <v>0</v>
      </c>
      <c r="P58" s="41">
        <v>0</v>
      </c>
      <c r="Q58" s="41">
        <v>0.99999999580495169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1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0.2</v>
      </c>
      <c r="AH58" s="40">
        <v>0.13500000000000001</v>
      </c>
      <c r="AI58" s="40">
        <v>0.18</v>
      </c>
      <c r="AJ58" s="40">
        <v>0.25</v>
      </c>
      <c r="AK58" s="40">
        <v>0.65</v>
      </c>
      <c r="AL58" s="40">
        <v>1</v>
      </c>
      <c r="AM58" s="40">
        <v>1</v>
      </c>
      <c r="AN58" s="40">
        <v>1</v>
      </c>
      <c r="AO58" s="40">
        <v>1</v>
      </c>
      <c r="AP58" s="40">
        <v>1</v>
      </c>
      <c r="AQ58" s="40">
        <f t="shared" si="8"/>
        <v>1</v>
      </c>
      <c r="AR58" s="40">
        <f t="shared" si="9"/>
        <v>1</v>
      </c>
      <c r="AS58" s="40">
        <f t="shared" si="10"/>
        <v>1</v>
      </c>
      <c r="AT58" s="40" cm="1">
        <f t="array" ref="AT58">_xlfn.IFS(AG58&gt;sheet2!$C$2,1,AG58=sheet2!$C$2,0,AG58&lt;sheet2!$C$2,-1)</f>
        <v>0</v>
      </c>
      <c r="AU58" s="40" cm="1">
        <f t="array" ref="AU58">_xlfn.IFS(AH58&gt;sheet2!$D$2,1,AH58=sheet2!$D$2,0,AH58&lt;sheet2!$D$2,-1)</f>
        <v>0</v>
      </c>
      <c r="AV58" s="40" cm="1">
        <f t="array" ref="AV58">_xlfn.IFS(AI58&gt;sheet2!$E$2,1,AI58=sheet2!$E$2,0,AI58&lt;sheet2!$E$2,-1)</f>
        <v>0</v>
      </c>
      <c r="AW58" s="40" cm="1">
        <f t="array" ref="AW58">_xlfn.IFS(AJ58&gt;sheet2!$F$2,1,AJ58=sheet2!$F$2,0,AJ58&lt;sheet2!$F$2,-1)</f>
        <v>0</v>
      </c>
      <c r="AX58" s="40" cm="1">
        <f t="array" ref="AX58">_xlfn.IFS(AK58&gt;sheet2!$G$2,1,AK58=sheet2!$G$2,0,AK58&lt;sheet2!$G$2,-1)</f>
        <v>0</v>
      </c>
      <c r="AY58" s="40">
        <v>0.23980751444973997</v>
      </c>
      <c r="AZ58" s="40">
        <v>0.61103089806526134</v>
      </c>
      <c r="BA58" s="40">
        <v>7.6523960418793556E-3</v>
      </c>
      <c r="BB58" s="40">
        <v>5.7514612224418282E-3</v>
      </c>
      <c r="BC58" s="40">
        <v>0.27166255848831655</v>
      </c>
    </row>
    <row r="59" spans="1:55" ht="14.4" x14ac:dyDescent="0.25">
      <c r="A59" s="2">
        <v>8</v>
      </c>
      <c r="B59" s="2" t="s">
        <v>16</v>
      </c>
      <c r="C59" s="2">
        <v>2017</v>
      </c>
      <c r="D59" s="2">
        <v>11258</v>
      </c>
      <c r="E59" s="17">
        <v>18799.855201726601</v>
      </c>
      <c r="F59" s="5">
        <v>15902.68</v>
      </c>
      <c r="G59" s="3">
        <f t="shared" si="0"/>
        <v>0.70793099024818462</v>
      </c>
      <c r="H59" s="2">
        <f t="shared" si="1"/>
        <v>-1.605330354582735E-2</v>
      </c>
      <c r="I59" s="14">
        <v>0.29638354255277199</v>
      </c>
      <c r="J59" s="2">
        <f t="shared" ref="J59:J64" si="36">(I59-I58)/I58</f>
        <v>0.12253815337704298</v>
      </c>
      <c r="K59">
        <f t="shared" si="3"/>
        <v>1.1821815695044231</v>
      </c>
      <c r="L59">
        <f t="shared" si="4"/>
        <v>9.5726022687902101E-3</v>
      </c>
      <c r="M59" s="2">
        <v>0</v>
      </c>
      <c r="N59" s="2">
        <v>0</v>
      </c>
      <c r="O59" s="2">
        <v>0</v>
      </c>
      <c r="P59" s="4">
        <v>0</v>
      </c>
      <c r="Q59" s="41">
        <v>0.99999999580495169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1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0.2</v>
      </c>
      <c r="AH59" s="40">
        <v>0.13500000000000001</v>
      </c>
      <c r="AI59" s="40">
        <v>0.18</v>
      </c>
      <c r="AJ59" s="40">
        <v>0.25</v>
      </c>
      <c r="AK59" s="40">
        <v>0.65</v>
      </c>
      <c r="AL59" s="40">
        <v>1</v>
      </c>
      <c r="AM59" s="40">
        <v>1</v>
      </c>
      <c r="AN59" s="40">
        <v>1</v>
      </c>
      <c r="AO59" s="40">
        <v>1</v>
      </c>
      <c r="AP59" s="40">
        <v>1</v>
      </c>
      <c r="AQ59" s="40">
        <f t="shared" ref="AQ59:AQ65" si="37">AVERAGE(AL59,AO59)</f>
        <v>1</v>
      </c>
      <c r="AR59" s="40">
        <f t="shared" ref="AR59:AR65" si="38">AVERAGE(AM59)</f>
        <v>1</v>
      </c>
      <c r="AS59" s="40">
        <f t="shared" ref="AS59:AS65" si="39">AVERAGE(AN59,AP59)</f>
        <v>1</v>
      </c>
      <c r="AT59" s="40" cm="1">
        <f t="array" ref="AT59">_xlfn.IFS(AG59&gt;sheet2!$C$2,1,AG59=sheet2!$C$2,0,AG59&lt;sheet2!$C$2,-1)</f>
        <v>0</v>
      </c>
      <c r="AU59" s="40" cm="1">
        <f t="array" ref="AU59">_xlfn.IFS(AH59&gt;sheet2!$D$2,1,AH59=sheet2!$D$2,0,AH59&lt;sheet2!$D$2,-1)</f>
        <v>0</v>
      </c>
      <c r="AV59" s="40" cm="1">
        <f t="array" ref="AV59">_xlfn.IFS(AI59&gt;sheet2!$E$2,1,AI59=sheet2!$E$2,0,AI59&lt;sheet2!$E$2,-1)</f>
        <v>0</v>
      </c>
      <c r="AW59" s="40" cm="1">
        <f t="array" ref="AW59">_xlfn.IFS(AJ59&gt;sheet2!$F$2,1,AJ59=sheet2!$F$2,0,AJ59&lt;sheet2!$F$2,-1)</f>
        <v>0</v>
      </c>
      <c r="AX59" s="40" cm="1">
        <f t="array" ref="AX59">_xlfn.IFS(AK59&gt;sheet2!$G$2,1,AK59=sheet2!$G$2,0,AK59&lt;sheet2!$G$2,-1)</f>
        <v>0</v>
      </c>
      <c r="AY59">
        <v>0.22131489786627159</v>
      </c>
      <c r="AZ59">
        <v>0.61900558987937626</v>
      </c>
      <c r="BA59">
        <v>7.5109714543309071E-3</v>
      </c>
      <c r="BB59">
        <v>5.193174986857561E-3</v>
      </c>
      <c r="BC59">
        <v>0.26789238711679175</v>
      </c>
    </row>
    <row r="60" spans="1:55" ht="14.4" x14ac:dyDescent="0.25">
      <c r="A60" s="2">
        <v>8</v>
      </c>
      <c r="B60" s="2" t="s">
        <v>16</v>
      </c>
      <c r="C60" s="2">
        <v>2018</v>
      </c>
      <c r="D60" s="2">
        <v>11436</v>
      </c>
      <c r="E60" s="17">
        <v>19237.891368165401</v>
      </c>
      <c r="F60" s="5">
        <v>16361.62</v>
      </c>
      <c r="G60" s="3">
        <f t="shared" si="0"/>
        <v>0.69895279318307113</v>
      </c>
      <c r="H60" s="2">
        <f t="shared" si="1"/>
        <v>-1.2682305463087493E-2</v>
      </c>
      <c r="I60" s="14">
        <v>0.35723127383420322</v>
      </c>
      <c r="J60" s="2">
        <f t="shared" si="36"/>
        <v>0.2053006410455368</v>
      </c>
      <c r="K60">
        <f t="shared" si="3"/>
        <v>1.1757938008684592</v>
      </c>
      <c r="L60">
        <f t="shared" si="4"/>
        <v>-5.4033735601559879E-3</v>
      </c>
      <c r="M60" s="2">
        <v>0</v>
      </c>
      <c r="N60" s="2">
        <v>0</v>
      </c>
      <c r="O60" s="2">
        <v>0</v>
      </c>
      <c r="P60" s="4">
        <v>0</v>
      </c>
      <c r="Q60" s="41">
        <v>0.99999999580495169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1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0.2</v>
      </c>
      <c r="AH60" s="40">
        <v>0.13500000000000001</v>
      </c>
      <c r="AI60" s="40">
        <v>0.18</v>
      </c>
      <c r="AJ60" s="40">
        <v>0.25</v>
      </c>
      <c r="AK60" s="40">
        <v>0.65</v>
      </c>
      <c r="AL60" s="40">
        <v>1</v>
      </c>
      <c r="AM60" s="40">
        <v>1</v>
      </c>
      <c r="AN60" s="40">
        <v>1</v>
      </c>
      <c r="AO60" s="40">
        <v>1</v>
      </c>
      <c r="AP60" s="40">
        <v>1</v>
      </c>
      <c r="AQ60" s="40">
        <f t="shared" si="37"/>
        <v>1</v>
      </c>
      <c r="AR60" s="40">
        <f t="shared" si="38"/>
        <v>1</v>
      </c>
      <c r="AS60" s="40">
        <f t="shared" si="39"/>
        <v>1</v>
      </c>
      <c r="AT60" s="40" cm="1">
        <f t="array" ref="AT60">_xlfn.IFS(AG60&gt;sheet2!$C$2,1,AG60=sheet2!$C$2,0,AG60&lt;sheet2!$C$2,-1)</f>
        <v>0</v>
      </c>
      <c r="AU60" s="40" cm="1">
        <f t="array" ref="AU60">_xlfn.IFS(AH60&gt;sheet2!$D$2,1,AH60=sheet2!$D$2,0,AH60&lt;sheet2!$D$2,-1)</f>
        <v>0</v>
      </c>
      <c r="AV60" s="40" cm="1">
        <f t="array" ref="AV60">_xlfn.IFS(AI60&gt;sheet2!$E$2,1,AI60=sheet2!$E$2,0,AI60&lt;sheet2!$E$2,-1)</f>
        <v>0</v>
      </c>
      <c r="AW60" s="40" cm="1">
        <f t="array" ref="AW60">_xlfn.IFS(AJ60&gt;sheet2!$F$2,1,AJ60=sheet2!$F$2,0,AJ60&lt;sheet2!$F$2,-1)</f>
        <v>0</v>
      </c>
      <c r="AX60" s="40" cm="1">
        <f t="array" ref="AX60">_xlfn.IFS(AK60&gt;sheet2!$G$2,1,AK60=sheet2!$G$2,0,AK60&lt;sheet2!$G$2,-1)</f>
        <v>0</v>
      </c>
      <c r="AY60">
        <v>0.21611551912341198</v>
      </c>
      <c r="AZ60">
        <v>0.63450556056507368</v>
      </c>
      <c r="BA60">
        <v>7.3518687933389016E-3</v>
      </c>
      <c r="BB60">
        <v>3.7018339259804341E-3</v>
      </c>
      <c r="BC60">
        <v>0.27425028064360935</v>
      </c>
    </row>
    <row r="61" spans="1:55" ht="14.4" x14ac:dyDescent="0.25">
      <c r="A61" s="2">
        <v>8</v>
      </c>
      <c r="B61" s="2" t="s">
        <v>16</v>
      </c>
      <c r="C61" s="2">
        <v>2019</v>
      </c>
      <c r="D61" s="2">
        <v>11614</v>
      </c>
      <c r="E61" s="17">
        <v>19265.986174791899</v>
      </c>
      <c r="F61" s="5">
        <v>13612.68</v>
      </c>
      <c r="G61" s="3">
        <f t="shared" si="0"/>
        <v>0.85317512789546213</v>
      </c>
      <c r="H61" s="2">
        <f t="shared" si="1"/>
        <v>0.22064771214383969</v>
      </c>
      <c r="I61" s="14">
        <v>0.34797522150450994</v>
      </c>
      <c r="J61" s="2">
        <f t="shared" si="36"/>
        <v>-2.5910531937327442E-2</v>
      </c>
      <c r="K61">
        <f t="shared" si="3"/>
        <v>1.4152970741097197</v>
      </c>
      <c r="L61">
        <f t="shared" si="4"/>
        <v>0.20369496170532603</v>
      </c>
      <c r="M61" s="2">
        <v>0</v>
      </c>
      <c r="N61" s="2">
        <v>0</v>
      </c>
      <c r="O61" s="2">
        <v>0</v>
      </c>
      <c r="P61" s="4">
        <v>0</v>
      </c>
      <c r="Q61" s="41">
        <v>0.99999999580495169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1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0.2</v>
      </c>
      <c r="AH61" s="40">
        <v>0.13500000000000001</v>
      </c>
      <c r="AI61" s="40">
        <v>0.18</v>
      </c>
      <c r="AJ61" s="40">
        <v>0.25</v>
      </c>
      <c r="AK61" s="40">
        <v>0.65</v>
      </c>
      <c r="AL61" s="40">
        <v>1</v>
      </c>
      <c r="AM61" s="40">
        <v>1</v>
      </c>
      <c r="AN61" s="40">
        <v>1</v>
      </c>
      <c r="AO61" s="40">
        <v>1</v>
      </c>
      <c r="AP61" s="40">
        <v>1</v>
      </c>
      <c r="AQ61" s="40">
        <f t="shared" si="37"/>
        <v>1</v>
      </c>
      <c r="AR61" s="40">
        <f t="shared" si="38"/>
        <v>1</v>
      </c>
      <c r="AS61" s="40">
        <f t="shared" si="39"/>
        <v>1</v>
      </c>
      <c r="AT61" s="40" cm="1">
        <f t="array" ref="AT61">_xlfn.IFS(AG61&gt;sheet2!$C$2,1,AG61=sheet2!$C$2,0,AG61&lt;sheet2!$C$2,-1)</f>
        <v>0</v>
      </c>
      <c r="AU61" s="40" cm="1">
        <f t="array" ref="AU61">_xlfn.IFS(AH61&gt;sheet2!$D$2,1,AH61=sheet2!$D$2,0,AH61&lt;sheet2!$D$2,-1)</f>
        <v>0</v>
      </c>
      <c r="AV61" s="40" cm="1">
        <f t="array" ref="AV61">_xlfn.IFS(AI61&gt;sheet2!$E$2,1,AI61=sheet2!$E$2,0,AI61&lt;sheet2!$E$2,-1)</f>
        <v>0</v>
      </c>
      <c r="AW61" s="40" cm="1">
        <f t="array" ref="AW61">_xlfn.IFS(AJ61&gt;sheet2!$F$2,1,AJ61=sheet2!$F$2,0,AJ61&lt;sheet2!$F$2,-1)</f>
        <v>0</v>
      </c>
      <c r="AX61" s="40" cm="1">
        <f t="array" ref="AX61">_xlfn.IFS(AK61&gt;sheet2!$G$2,1,AK61=sheet2!$G$2,0,AK61&lt;sheet2!$G$2,-1)</f>
        <v>0</v>
      </c>
      <c r="AY61">
        <v>0.26945465551236053</v>
      </c>
      <c r="AZ61">
        <v>0.64608294930875576</v>
      </c>
      <c r="BA61">
        <v>7.1927661323468971E-3</v>
      </c>
      <c r="BB61">
        <v>5.2514420378646969E-3</v>
      </c>
      <c r="BC61">
        <v>0.25196944663936977</v>
      </c>
    </row>
    <row r="62" spans="1:55" ht="14.4" x14ac:dyDescent="0.25">
      <c r="A62" s="2">
        <v>8</v>
      </c>
      <c r="B62" s="2" t="s">
        <v>16</v>
      </c>
      <c r="C62" s="2">
        <v>2020</v>
      </c>
      <c r="D62" s="2">
        <v>11525.1</v>
      </c>
      <c r="E62" s="17">
        <v>19547.890760796497</v>
      </c>
      <c r="F62" s="5">
        <v>13698.5</v>
      </c>
      <c r="G62" s="3">
        <f t="shared" si="0"/>
        <v>0.84134029273278099</v>
      </c>
      <c r="H62" s="2">
        <f t="shared" si="1"/>
        <v>-1.387151919427641E-2</v>
      </c>
      <c r="I62" s="14">
        <v>0.40677692790920261</v>
      </c>
      <c r="J62" s="2">
        <f t="shared" si="36"/>
        <v>0.16898245268860496</v>
      </c>
      <c r="K62">
        <f t="shared" si="3"/>
        <v>1.4270095821291746</v>
      </c>
      <c r="L62">
        <f t="shared" si="4"/>
        <v>8.2756533831051284E-3</v>
      </c>
      <c r="M62" s="2">
        <v>0</v>
      </c>
      <c r="N62" s="2">
        <v>0</v>
      </c>
      <c r="O62" s="2">
        <v>0</v>
      </c>
      <c r="P62" s="4">
        <v>0</v>
      </c>
      <c r="Q62" s="41">
        <v>0.99999999580495169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1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0.2</v>
      </c>
      <c r="AH62" s="40">
        <v>0.13500000000000001</v>
      </c>
      <c r="AI62" s="40">
        <v>0.18</v>
      </c>
      <c r="AJ62" s="40">
        <v>0.25</v>
      </c>
      <c r="AK62" s="40">
        <v>0.65</v>
      </c>
      <c r="AL62" s="40">
        <v>1</v>
      </c>
      <c r="AM62" s="40">
        <v>1</v>
      </c>
      <c r="AN62" s="40">
        <v>1</v>
      </c>
      <c r="AO62" s="40">
        <v>1</v>
      </c>
      <c r="AP62" s="40">
        <v>1</v>
      </c>
      <c r="AQ62" s="40">
        <f t="shared" si="37"/>
        <v>1</v>
      </c>
      <c r="AR62" s="40">
        <f t="shared" si="38"/>
        <v>1</v>
      </c>
      <c r="AS62" s="40">
        <f t="shared" si="39"/>
        <v>1</v>
      </c>
      <c r="AT62" s="40" cm="1">
        <f t="array" ref="AT62">_xlfn.IFS(AG62&gt;sheet2!$C$2,1,AG62=sheet2!$C$2,0,AG62&lt;sheet2!$C$2,-1)</f>
        <v>0</v>
      </c>
      <c r="AU62" s="40" cm="1">
        <f t="array" ref="AU62">_xlfn.IFS(AH62&gt;sheet2!$D$2,1,AH62=sheet2!$D$2,0,AH62&lt;sheet2!$D$2,-1)</f>
        <v>0</v>
      </c>
      <c r="AV62" s="40" cm="1">
        <f t="array" ref="AV62">_xlfn.IFS(AI62&gt;sheet2!$E$2,1,AI62=sheet2!$E$2,0,AI62&lt;sheet2!$E$2,-1)</f>
        <v>0</v>
      </c>
      <c r="AW62" s="40" cm="1">
        <f t="array" ref="AW62">_xlfn.IFS(AJ62&gt;sheet2!$F$2,1,AJ62=sheet2!$F$2,0,AJ62&lt;sheet2!$F$2,-1)</f>
        <v>0</v>
      </c>
      <c r="AX62" s="40" cm="1">
        <f t="array" ref="AX62">_xlfn.IFS(AK62&gt;sheet2!$G$2,1,AK62=sheet2!$G$2,0,AK62&lt;sheet2!$G$2,-1)</f>
        <v>0</v>
      </c>
      <c r="AY62">
        <v>0.25219549585721063</v>
      </c>
      <c r="AZ62">
        <v>0.65594449700409962</v>
      </c>
      <c r="BA62">
        <v>7.007146361189558E-3</v>
      </c>
      <c r="BB62">
        <v>5.6548819213782528E-3</v>
      </c>
      <c r="BC62">
        <v>0.21149262030201435</v>
      </c>
    </row>
    <row r="63" spans="1:55" ht="14.4" x14ac:dyDescent="0.25">
      <c r="A63" s="2">
        <v>8</v>
      </c>
      <c r="B63" s="2" t="s">
        <v>16</v>
      </c>
      <c r="C63" s="2">
        <v>2021</v>
      </c>
      <c r="D63" s="2">
        <v>12191.6</v>
      </c>
      <c r="E63" s="17">
        <v>20543.988559671001</v>
      </c>
      <c r="F63" s="30">
        <v>14879.19</v>
      </c>
      <c r="G63" s="3">
        <f t="shared" si="0"/>
        <v>0.81937255993101776</v>
      </c>
      <c r="H63" s="2">
        <f t="shared" si="1"/>
        <v>-2.6110401452911783E-2</v>
      </c>
      <c r="I63" s="14">
        <v>0.41114865903590814</v>
      </c>
      <c r="J63" s="2">
        <f t="shared" si="36"/>
        <v>1.0747244562703779E-2</v>
      </c>
      <c r="K63">
        <f t="shared" si="3"/>
        <v>1.3807195525879432</v>
      </c>
      <c r="L63">
        <f t="shared" si="4"/>
        <v>-3.2438485432006843E-2</v>
      </c>
      <c r="M63" s="2">
        <v>0</v>
      </c>
      <c r="N63" s="2">
        <v>0</v>
      </c>
      <c r="O63" s="2">
        <v>0</v>
      </c>
      <c r="P63" s="4">
        <v>0</v>
      </c>
      <c r="Q63" s="41">
        <v>0.99999999580495169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1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0.2</v>
      </c>
      <c r="AH63" s="40">
        <v>0.13500000000000001</v>
      </c>
      <c r="AI63" s="40">
        <v>0.18</v>
      </c>
      <c r="AJ63" s="40">
        <v>0.25</v>
      </c>
      <c r="AK63" s="40">
        <v>0.65</v>
      </c>
      <c r="AL63" s="40">
        <v>1</v>
      </c>
      <c r="AM63" s="40">
        <v>1</v>
      </c>
      <c r="AN63" s="40">
        <v>1</v>
      </c>
      <c r="AO63" s="40">
        <v>1</v>
      </c>
      <c r="AP63" s="40">
        <v>1</v>
      </c>
      <c r="AQ63" s="40">
        <f t="shared" si="37"/>
        <v>1</v>
      </c>
      <c r="AR63" s="40">
        <f t="shared" si="38"/>
        <v>1</v>
      </c>
      <c r="AS63" s="40">
        <f t="shared" si="39"/>
        <v>1</v>
      </c>
      <c r="AT63" s="40" cm="1">
        <f t="array" ref="AT63">_xlfn.IFS(AG63&gt;sheet2!$C$2,1,AG63=sheet2!$C$2,0,AG63&lt;sheet2!$C$2,-1)</f>
        <v>0</v>
      </c>
      <c r="AU63" s="40" cm="1">
        <f t="array" ref="AU63">_xlfn.IFS(AH63&gt;sheet2!$D$2,1,AH63=sheet2!$D$2,0,AH63&lt;sheet2!$D$2,-1)</f>
        <v>0</v>
      </c>
      <c r="AV63" s="40" cm="1">
        <f t="array" ref="AV63">_xlfn.IFS(AI63&gt;sheet2!$E$2,1,AI63=sheet2!$E$2,0,AI63&lt;sheet2!$E$2,-1)</f>
        <v>0</v>
      </c>
      <c r="AW63" s="40" cm="1">
        <f t="array" ref="AW63">_xlfn.IFS(AJ63&gt;sheet2!$F$2,1,AJ63=sheet2!$F$2,0,AJ63&lt;sheet2!$F$2,-1)</f>
        <v>0</v>
      </c>
      <c r="AX63" s="40" cm="1">
        <f t="array" ref="AX63">_xlfn.IFS(AK63&gt;sheet2!$G$2,1,AK63=sheet2!$G$2,0,AK63&lt;sheet2!$G$2,-1)</f>
        <v>0</v>
      </c>
      <c r="AY63">
        <v>0.27436305336513617</v>
      </c>
      <c r="AZ63">
        <v>0.65695999999999999</v>
      </c>
      <c r="BA63">
        <v>6.90549743888911E-3</v>
      </c>
      <c r="BB63">
        <v>5.9659833633416877E-3</v>
      </c>
      <c r="BC63">
        <v>0.25476168554755219</v>
      </c>
    </row>
    <row r="64" spans="1:55" ht="14.4" x14ac:dyDescent="0.25">
      <c r="A64" s="2">
        <v>8</v>
      </c>
      <c r="B64" s="2" t="s">
        <v>16</v>
      </c>
      <c r="C64" s="2">
        <v>2022</v>
      </c>
      <c r="D64" s="2">
        <v>12035</v>
      </c>
      <c r="E64" s="17">
        <v>20373.4318875522</v>
      </c>
      <c r="F64" s="30">
        <v>15901</v>
      </c>
      <c r="G64" s="3">
        <f t="shared" si="0"/>
        <v>0.75687063706685109</v>
      </c>
      <c r="H64" s="2">
        <f t="shared" si="1"/>
        <v>-7.6280224553075898E-2</v>
      </c>
      <c r="I64" s="14">
        <v>0.42803672999782627</v>
      </c>
      <c r="J64" s="2">
        <f t="shared" si="36"/>
        <v>4.1075340003585405E-2</v>
      </c>
      <c r="K64">
        <f t="shared" si="3"/>
        <v>1.2812673346048802</v>
      </c>
      <c r="L64">
        <f t="shared" si="4"/>
        <v>-7.2029267490748117E-2</v>
      </c>
      <c r="M64" s="2">
        <v>1</v>
      </c>
      <c r="N64" s="2">
        <v>1</v>
      </c>
      <c r="O64" s="2">
        <v>0</v>
      </c>
      <c r="P64" s="4">
        <v>0</v>
      </c>
      <c r="Q64" s="41">
        <v>0.99999999580495169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1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0.2</v>
      </c>
      <c r="AH64" s="40">
        <v>0.13500000000000001</v>
      </c>
      <c r="AI64" s="40">
        <v>0.18</v>
      </c>
      <c r="AJ64" s="40">
        <v>0.25</v>
      </c>
      <c r="AK64" s="40">
        <v>0.65</v>
      </c>
      <c r="AL64" s="40">
        <v>1</v>
      </c>
      <c r="AM64" s="40">
        <v>1</v>
      </c>
      <c r="AN64" s="40">
        <v>1</v>
      </c>
      <c r="AO64" s="40">
        <v>1</v>
      </c>
      <c r="AP64" s="40">
        <v>1</v>
      </c>
      <c r="AQ64" s="40">
        <f t="shared" si="37"/>
        <v>1</v>
      </c>
      <c r="AR64" s="40">
        <f t="shared" si="38"/>
        <v>1</v>
      </c>
      <c r="AS64" s="40">
        <f t="shared" si="39"/>
        <v>1</v>
      </c>
      <c r="AT64" s="40" cm="1">
        <f t="array" ref="AT64">_xlfn.IFS(AG64&gt;sheet2!$C$2,1,AG64=sheet2!$C$2,0,AG64&lt;sheet2!$C$2,-1)</f>
        <v>0</v>
      </c>
      <c r="AU64" s="40" cm="1">
        <f t="array" ref="AU64">_xlfn.IFS(AH64&gt;sheet2!$D$2,1,AH64=sheet2!$D$2,0,AH64&lt;sheet2!$D$2,-1)</f>
        <v>0</v>
      </c>
      <c r="AV64" s="40" cm="1">
        <f t="array" ref="AV64">_xlfn.IFS(AI64&gt;sheet2!$E$2,1,AI64=sheet2!$E$2,0,AI64&lt;sheet2!$E$2,-1)</f>
        <v>0</v>
      </c>
      <c r="AW64" s="40" cm="1">
        <f t="array" ref="AW64">_xlfn.IFS(AJ64&gt;sheet2!$F$2,1,AJ64=sheet2!$F$2,0,AJ64&lt;sheet2!$F$2,-1)</f>
        <v>0</v>
      </c>
      <c r="AX64" s="40" cm="1">
        <f t="array" ref="AX64">_xlfn.IFS(AK64&gt;sheet2!$G$2,1,AK64=sheet2!$G$2,0,AK64&lt;sheet2!$G$2,-1)</f>
        <v>0</v>
      </c>
      <c r="AY64">
        <v>0.28611408087541662</v>
      </c>
      <c r="AZ64">
        <v>0.66214908034849951</v>
      </c>
      <c r="BA64">
        <v>6.8480437001975526E-3</v>
      </c>
      <c r="BB64">
        <v>6.1629834601597379E-3</v>
      </c>
      <c r="BC64">
        <v>0.23673190889931936</v>
      </c>
    </row>
    <row r="65" spans="1:55" ht="14.4" x14ac:dyDescent="0.25">
      <c r="A65" s="2">
        <v>8</v>
      </c>
      <c r="B65" s="6" t="s">
        <v>17</v>
      </c>
      <c r="C65" s="2">
        <v>2023</v>
      </c>
      <c r="D65" s="2">
        <v>12067.494500000001</v>
      </c>
      <c r="E65" s="17">
        <v>21479.533720416901</v>
      </c>
      <c r="F65" s="30">
        <v>15883.9</v>
      </c>
      <c r="G65" s="3">
        <f t="shared" si="0"/>
        <v>0.75973120581217468</v>
      </c>
      <c r="H65" s="2">
        <f t="shared" si="1"/>
        <v>3.7794685184370904E-3</v>
      </c>
      <c r="K65">
        <f t="shared" si="3"/>
        <v>1.3522833636837868</v>
      </c>
      <c r="L65">
        <f t="shared" si="4"/>
        <v>5.5426394758441765E-2</v>
      </c>
      <c r="M65" s="2">
        <v>1</v>
      </c>
      <c r="N65" s="2">
        <v>1</v>
      </c>
      <c r="O65" s="2">
        <v>1</v>
      </c>
      <c r="P65" s="4">
        <v>0</v>
      </c>
      <c r="Q65" s="41">
        <v>0.99999999580495169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1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0.2</v>
      </c>
      <c r="AH65" s="40">
        <v>0.13500000000000001</v>
      </c>
      <c r="AI65" s="40">
        <v>0.18</v>
      </c>
      <c r="AJ65" s="40">
        <v>0.25</v>
      </c>
      <c r="AK65" s="40">
        <v>0.65</v>
      </c>
      <c r="AL65" s="40">
        <v>1</v>
      </c>
      <c r="AM65" s="40">
        <v>1</v>
      </c>
      <c r="AN65" s="40">
        <v>1</v>
      </c>
      <c r="AO65" s="40">
        <v>1</v>
      </c>
      <c r="AP65" s="40">
        <v>1</v>
      </c>
      <c r="AQ65" s="40">
        <f t="shared" si="37"/>
        <v>1</v>
      </c>
      <c r="AR65" s="40">
        <f t="shared" si="38"/>
        <v>1</v>
      </c>
      <c r="AS65" s="40">
        <f t="shared" si="39"/>
        <v>1</v>
      </c>
      <c r="AT65" s="40" cm="1">
        <f t="array" ref="AT65">_xlfn.IFS(AG65&gt;sheet2!$C$2,1,AG65=sheet2!$C$2,0,AG65&lt;sheet2!$C$2,-1)</f>
        <v>0</v>
      </c>
      <c r="AU65" s="40" cm="1">
        <f t="array" ref="AU65">_xlfn.IFS(AH65&gt;sheet2!$D$2,1,AH65=sheet2!$D$2,0,AH65&lt;sheet2!$D$2,-1)</f>
        <v>0</v>
      </c>
      <c r="AV65" s="40" cm="1">
        <f t="array" ref="AV65">_xlfn.IFS(AI65&gt;sheet2!$E$2,1,AI65=sheet2!$E$2,0,AI65&lt;sheet2!$E$2,-1)</f>
        <v>0</v>
      </c>
      <c r="AW65" s="40" cm="1">
        <f t="array" ref="AW65">_xlfn.IFS(AJ65&gt;sheet2!$F$2,1,AJ65=sheet2!$F$2,0,AJ65&lt;sheet2!$F$2,-1)</f>
        <v>0</v>
      </c>
      <c r="AX65" s="40" cm="1">
        <f t="array" ref="AX65">_xlfn.IFS(AK65&gt;sheet2!$G$2,1,AK65=sheet2!$G$2,0,AK65&lt;sheet2!$G$2,-1)</f>
        <v>0</v>
      </c>
      <c r="AY65">
        <v>0.26475865499027318</v>
      </c>
      <c r="AZ65">
        <v>0.67112998040496408</v>
      </c>
      <c r="BA65">
        <v>6.7662826105211052E-3</v>
      </c>
      <c r="BB65">
        <v>6.6747587179471039E-3</v>
      </c>
      <c r="BC65">
        <v>0.24169730837678574</v>
      </c>
    </row>
    <row r="66" spans="1:55" s="40" customFormat="1" ht="14.4" x14ac:dyDescent="0.25">
      <c r="A66" s="35">
        <v>9</v>
      </c>
      <c r="B66" s="35" t="s">
        <v>18</v>
      </c>
      <c r="C66" s="35">
        <v>2016</v>
      </c>
      <c r="D66" s="35">
        <v>11242</v>
      </c>
      <c r="E66" s="36">
        <v>18133.361321540298</v>
      </c>
      <c r="F66" s="37">
        <v>28178.65</v>
      </c>
      <c r="G66" s="38">
        <f t="shared" si="0"/>
        <v>0.39895452762996098</v>
      </c>
      <c r="H66" s="35"/>
      <c r="I66" s="39">
        <v>0.24997624247391714</v>
      </c>
      <c r="J66" s="35"/>
      <c r="K66" s="40">
        <f t="shared" si="3"/>
        <v>0.64351419679581168</v>
      </c>
      <c r="M66" s="35">
        <v>0</v>
      </c>
      <c r="N66" s="35">
        <v>0</v>
      </c>
      <c r="O66" s="35">
        <v>0</v>
      </c>
      <c r="P66" s="41">
        <v>1</v>
      </c>
      <c r="Q66" s="40">
        <v>0.82522388104119959</v>
      </c>
      <c r="R66" s="40">
        <v>0.48093841642228741</v>
      </c>
      <c r="S66" s="40">
        <v>0.60962854349951123</v>
      </c>
      <c r="T66" s="40">
        <v>2.7</v>
      </c>
      <c r="U66" s="40">
        <v>0.51</v>
      </c>
      <c r="V66" s="40">
        <v>0.35084745762711872</v>
      </c>
      <c r="W66" s="40">
        <v>0.23809523809523811</v>
      </c>
      <c r="X66" s="40">
        <v>0.3641304347826087</v>
      </c>
      <c r="Y66" s="40">
        <v>0.27900418364102259</v>
      </c>
      <c r="Z66" s="40">
        <v>0.34562697576396195</v>
      </c>
      <c r="AA66" s="40">
        <v>0.4371774313679101</v>
      </c>
      <c r="AB66" s="40">
        <v>0.77142857142857146</v>
      </c>
      <c r="AC66" s="40">
        <v>0.29651162790697677</v>
      </c>
      <c r="AD66" s="40">
        <v>0.2835815312682643</v>
      </c>
      <c r="AE66" s="40">
        <v>0.2545365972475947</v>
      </c>
      <c r="AF66" s="40">
        <v>0.4248188405797102</v>
      </c>
      <c r="AG66" s="40">
        <v>0.2</v>
      </c>
      <c r="AH66" s="40">
        <v>0.14000000000000001</v>
      </c>
      <c r="AI66" s="40">
        <v>0.18</v>
      </c>
      <c r="AJ66" s="40">
        <v>0.25</v>
      </c>
      <c r="AK66" s="40">
        <v>0.7</v>
      </c>
      <c r="AL66" s="40">
        <v>1</v>
      </c>
      <c r="AM66" s="40">
        <v>1.037037037037037</v>
      </c>
      <c r="AN66" s="40">
        <v>1</v>
      </c>
      <c r="AO66" s="40">
        <v>1</v>
      </c>
      <c r="AP66" s="40">
        <v>1.0769230769230769</v>
      </c>
      <c r="AQ66" s="40">
        <f t="shared" si="8"/>
        <v>1</v>
      </c>
      <c r="AR66" s="40">
        <f t="shared" si="9"/>
        <v>1.037037037037037</v>
      </c>
      <c r="AS66" s="40">
        <f t="shared" si="10"/>
        <v>1.0384615384615383</v>
      </c>
      <c r="AT66" s="40" cm="1">
        <f t="array" ref="AT66">_xlfn.IFS(AG66&gt;sheet2!$C$2,1,AG66=sheet2!$C$2,0,AG66&lt;sheet2!$C$2,-1)</f>
        <v>0</v>
      </c>
      <c r="AU66" s="40" cm="1">
        <f t="array" ref="AU66">_xlfn.IFS(AH66&gt;sheet2!$D$2,1,AH66=sheet2!$D$2,0,AH66&lt;sheet2!$D$2,-1)</f>
        <v>1</v>
      </c>
      <c r="AV66" s="40" cm="1">
        <f t="array" ref="AV66">_xlfn.IFS(AI66&gt;sheet2!$E$2,1,AI66=sheet2!$E$2,0,AI66&lt;sheet2!$E$2,-1)</f>
        <v>0</v>
      </c>
      <c r="AW66" s="40" cm="1">
        <f t="array" ref="AW66">_xlfn.IFS(AJ66&gt;sheet2!$F$2,1,AJ66=sheet2!$F$2,0,AJ66&lt;sheet2!$F$2,-1)</f>
        <v>0</v>
      </c>
      <c r="AX66" s="40" cm="1">
        <f t="array" ref="AX66">_xlfn.IFS(AK66&gt;sheet2!$G$2,1,AK66=sheet2!$G$2,0,AK66&lt;sheet2!$G$2,-1)</f>
        <v>1</v>
      </c>
      <c r="AY66" s="40">
        <v>0.3041380619724508</v>
      </c>
      <c r="AZ66" s="40">
        <v>0.89014997973246857</v>
      </c>
      <c r="BA66" s="40">
        <v>0.29513099653068547</v>
      </c>
      <c r="BB66" s="40">
        <v>1.7391812595706324E-2</v>
      </c>
      <c r="BC66" s="40">
        <v>0.92588315551226064</v>
      </c>
    </row>
    <row r="67" spans="1:55" ht="14.4" x14ac:dyDescent="0.25">
      <c r="A67" s="2">
        <v>9</v>
      </c>
      <c r="B67" s="2" t="s">
        <v>18</v>
      </c>
      <c r="C67" s="2">
        <v>2017</v>
      </c>
      <c r="D67" s="2">
        <v>11382</v>
      </c>
      <c r="E67" s="17">
        <v>18388.3762165437</v>
      </c>
      <c r="F67" s="5">
        <v>30632.99</v>
      </c>
      <c r="G67" s="3">
        <f t="shared" ref="G67:G130" si="40">D67/F67</f>
        <v>0.37156020355832059</v>
      </c>
      <c r="H67" s="2">
        <f t="shared" si="1"/>
        <v>-6.8665279309849614E-2</v>
      </c>
      <c r="I67" s="14">
        <v>0.25182547542480321</v>
      </c>
      <c r="J67" s="2">
        <f t="shared" ref="J67:J72" si="41">(I67-I66)/I66</f>
        <v>7.3976348015512795E-3</v>
      </c>
      <c r="K67">
        <f t="shared" ref="K67:K130" si="42">E67/F67</f>
        <v>0.6002801625484061</v>
      </c>
      <c r="L67">
        <f t="shared" si="4"/>
        <v>-6.7184274197331834E-2</v>
      </c>
      <c r="M67" s="2">
        <v>0</v>
      </c>
      <c r="N67" s="2">
        <v>0</v>
      </c>
      <c r="O67" s="2">
        <v>0</v>
      </c>
      <c r="P67" s="4">
        <v>1</v>
      </c>
      <c r="Q67" s="40">
        <v>0.82522388104119959</v>
      </c>
      <c r="R67" s="40">
        <v>0.48093841642228741</v>
      </c>
      <c r="S67" s="40">
        <v>0.60962854349951123</v>
      </c>
      <c r="T67" s="40">
        <v>2.7</v>
      </c>
      <c r="U67" s="40">
        <v>0.51</v>
      </c>
      <c r="V67" s="40">
        <v>0.35084745762711872</v>
      </c>
      <c r="W67" s="40">
        <v>0.23809523809523811</v>
      </c>
      <c r="X67" s="40">
        <v>0.3641304347826087</v>
      </c>
      <c r="Y67" s="40">
        <v>0.27900418364102259</v>
      </c>
      <c r="Z67" s="40">
        <v>0.34562697576396195</v>
      </c>
      <c r="AA67" s="40">
        <v>0.4371774313679101</v>
      </c>
      <c r="AB67" s="40">
        <v>0.77142857142857146</v>
      </c>
      <c r="AC67" s="40">
        <v>0.29651162790697677</v>
      </c>
      <c r="AD67" s="40">
        <v>0.2835815312682643</v>
      </c>
      <c r="AE67" s="40">
        <v>0.2545365972475947</v>
      </c>
      <c r="AF67" s="40">
        <v>0.4248188405797102</v>
      </c>
      <c r="AG67" s="40">
        <v>0.2</v>
      </c>
      <c r="AH67" s="40">
        <v>0.14000000000000001</v>
      </c>
      <c r="AI67" s="40">
        <v>0.18</v>
      </c>
      <c r="AJ67" s="40">
        <v>0.25</v>
      </c>
      <c r="AK67" s="40">
        <v>0.7</v>
      </c>
      <c r="AL67" s="40">
        <v>1</v>
      </c>
      <c r="AM67" s="40">
        <v>1.037037037037037</v>
      </c>
      <c r="AN67" s="40">
        <v>1</v>
      </c>
      <c r="AO67" s="40">
        <v>1</v>
      </c>
      <c r="AP67" s="40">
        <v>1.0769230769230769</v>
      </c>
      <c r="AQ67" s="40">
        <f t="shared" ref="AQ67:AQ73" si="43">AVERAGE(AL67,AO67)</f>
        <v>1</v>
      </c>
      <c r="AR67" s="40">
        <f t="shared" ref="AR67:AR73" si="44">AVERAGE(AM67)</f>
        <v>1.037037037037037</v>
      </c>
      <c r="AS67" s="40">
        <f t="shared" ref="AS67:AS73" si="45">AVERAGE(AN67,AP67)</f>
        <v>1.0384615384615383</v>
      </c>
      <c r="AT67" s="40" cm="1">
        <f t="array" ref="AT67">_xlfn.IFS(AG67&gt;sheet2!$C$2,1,AG67=sheet2!$C$2,0,AG67&lt;sheet2!$C$2,-1)</f>
        <v>0</v>
      </c>
      <c r="AU67" s="40" cm="1">
        <f t="array" ref="AU67">_xlfn.IFS(AH67&gt;sheet2!$D$2,1,AH67=sheet2!$D$2,0,AH67&lt;sheet2!$D$2,-1)</f>
        <v>1</v>
      </c>
      <c r="AV67" s="40" cm="1">
        <f t="array" ref="AV67">_xlfn.IFS(AI67&gt;sheet2!$E$2,1,AI67=sheet2!$E$2,0,AI67&lt;sheet2!$E$2,-1)</f>
        <v>0</v>
      </c>
      <c r="AW67" s="40" cm="1">
        <f t="array" ref="AW67">_xlfn.IFS(AJ67&gt;sheet2!$F$2,1,AJ67=sheet2!$F$2,0,AJ67&lt;sheet2!$F$2,-1)</f>
        <v>0</v>
      </c>
      <c r="AX67" s="40" cm="1">
        <f t="array" ref="AX67">_xlfn.IFS(AK67&gt;sheet2!$G$2,1,AK67=sheet2!$G$2,0,AK67&lt;sheet2!$G$2,-1)</f>
        <v>1</v>
      </c>
      <c r="AY67">
        <v>0.31096866482834351</v>
      </c>
      <c r="AZ67">
        <v>0.89091646390916468</v>
      </c>
      <c r="BA67">
        <v>0.29501136499581287</v>
      </c>
      <c r="BB67">
        <v>1.7627900508569355E-2</v>
      </c>
      <c r="BC67">
        <v>0.88004695519912246</v>
      </c>
    </row>
    <row r="68" spans="1:55" ht="14.4" x14ac:dyDescent="0.25">
      <c r="A68" s="2">
        <v>9</v>
      </c>
      <c r="B68" s="2" t="s">
        <v>18</v>
      </c>
      <c r="C68" s="2">
        <v>2018</v>
      </c>
      <c r="D68" s="2">
        <v>11454</v>
      </c>
      <c r="E68" s="17">
        <v>18892.2189700054</v>
      </c>
      <c r="F68" s="5">
        <v>32679.87</v>
      </c>
      <c r="G68" s="3">
        <f t="shared" si="40"/>
        <v>0.3504909903252369</v>
      </c>
      <c r="H68" s="2">
        <f t="shared" ref="H68:H73" si="46">(G68-G67)/G67</f>
        <v>-5.6704709038562687E-2</v>
      </c>
      <c r="I68" s="14">
        <v>0.26477959163738313</v>
      </c>
      <c r="J68" s="2">
        <f t="shared" si="41"/>
        <v>5.1440848828847342E-2</v>
      </c>
      <c r="K68">
        <f t="shared" si="42"/>
        <v>0.57809957536567314</v>
      </c>
      <c r="L68">
        <f t="shared" ref="L68:L73" si="47">(K68-K67)/K67</f>
        <v>-3.6950391778013063E-2</v>
      </c>
      <c r="M68" s="2">
        <v>0</v>
      </c>
      <c r="N68" s="2">
        <v>0</v>
      </c>
      <c r="O68" s="2">
        <v>0</v>
      </c>
      <c r="P68" s="4">
        <v>1</v>
      </c>
      <c r="Q68" s="40">
        <v>0.82522388104119959</v>
      </c>
      <c r="R68" s="40">
        <v>0.48093841642228741</v>
      </c>
      <c r="S68" s="40">
        <v>0.60962854349951123</v>
      </c>
      <c r="T68" s="40">
        <v>2.7</v>
      </c>
      <c r="U68" s="40">
        <v>0.51</v>
      </c>
      <c r="V68" s="40">
        <v>0.35084745762711872</v>
      </c>
      <c r="W68" s="40">
        <v>0.23809523809523811</v>
      </c>
      <c r="X68" s="40">
        <v>0.3641304347826087</v>
      </c>
      <c r="Y68" s="40">
        <v>0.27900418364102259</v>
      </c>
      <c r="Z68" s="40">
        <v>0.34562697576396195</v>
      </c>
      <c r="AA68" s="40">
        <v>0.4371774313679101</v>
      </c>
      <c r="AB68" s="40">
        <v>0.77142857142857146</v>
      </c>
      <c r="AC68" s="40">
        <v>0.29651162790697677</v>
      </c>
      <c r="AD68" s="40">
        <v>0.2835815312682643</v>
      </c>
      <c r="AE68" s="40">
        <v>0.2545365972475947</v>
      </c>
      <c r="AF68" s="40">
        <v>0.4248188405797102</v>
      </c>
      <c r="AG68" s="40">
        <v>0.2</v>
      </c>
      <c r="AH68" s="40">
        <v>0.14000000000000001</v>
      </c>
      <c r="AI68" s="40">
        <v>0.18</v>
      </c>
      <c r="AJ68" s="40">
        <v>0.25</v>
      </c>
      <c r="AK68" s="40">
        <v>0.7</v>
      </c>
      <c r="AL68" s="40">
        <v>1</v>
      </c>
      <c r="AM68" s="40">
        <v>1.037037037037037</v>
      </c>
      <c r="AN68" s="40">
        <v>1</v>
      </c>
      <c r="AO68" s="40">
        <v>1</v>
      </c>
      <c r="AP68" s="40">
        <v>1.0769230769230769</v>
      </c>
      <c r="AQ68" s="40">
        <f t="shared" si="43"/>
        <v>1</v>
      </c>
      <c r="AR68" s="40">
        <f t="shared" si="44"/>
        <v>1.037037037037037</v>
      </c>
      <c r="AS68" s="40">
        <f t="shared" si="45"/>
        <v>1.0384615384615383</v>
      </c>
      <c r="AT68" s="40" cm="1">
        <f t="array" ref="AT68">_xlfn.IFS(AG68&gt;sheet2!$C$2,1,AG68=sheet2!$C$2,0,AG68&lt;sheet2!$C$2,-1)</f>
        <v>0</v>
      </c>
      <c r="AU68" s="40" cm="1">
        <f t="array" ref="AU68">_xlfn.IFS(AH68&gt;sheet2!$D$2,1,AH68=sheet2!$D$2,0,AH68&lt;sheet2!$D$2,-1)</f>
        <v>1</v>
      </c>
      <c r="AV68" s="40" cm="1">
        <f t="array" ref="AV68">_xlfn.IFS(AI68&gt;sheet2!$E$2,1,AI68=sheet2!$E$2,0,AI68&lt;sheet2!$E$2,-1)</f>
        <v>0</v>
      </c>
      <c r="AW68" s="40" cm="1">
        <f t="array" ref="AW68">_xlfn.IFS(AJ68&gt;sheet2!$F$2,1,AJ68=sheet2!$F$2,0,AJ68&lt;sheet2!$F$2,-1)</f>
        <v>0</v>
      </c>
      <c r="AX68" s="40" cm="1">
        <f t="array" ref="AX68">_xlfn.IFS(AK68&gt;sheet2!$G$2,1,AK68=sheet2!$G$2,0,AK68&lt;sheet2!$G$2,-1)</f>
        <v>1</v>
      </c>
      <c r="AY68">
        <v>0.31703920486831799</v>
      </c>
      <c r="AZ68">
        <v>0.89131313131313128</v>
      </c>
      <c r="BA68">
        <v>0.29608804880966622</v>
      </c>
      <c r="BB68">
        <v>1.6979161789811282E-2</v>
      </c>
      <c r="BC68">
        <v>0.85111847635286408</v>
      </c>
    </row>
    <row r="69" spans="1:55" ht="14.4" x14ac:dyDescent="0.25">
      <c r="A69" s="2">
        <v>9</v>
      </c>
      <c r="B69" s="2" t="s">
        <v>18</v>
      </c>
      <c r="C69" s="2">
        <v>2019</v>
      </c>
      <c r="D69" s="2">
        <v>11696</v>
      </c>
      <c r="E69" s="17">
        <v>19667.4965813907</v>
      </c>
      <c r="F69" s="5">
        <v>38155.32</v>
      </c>
      <c r="G69" s="3">
        <f t="shared" si="40"/>
        <v>0.30653654588665485</v>
      </c>
      <c r="H69" s="2">
        <f t="shared" si="46"/>
        <v>-0.12540820064388722</v>
      </c>
      <c r="I69" s="14">
        <v>0.26525745903783232</v>
      </c>
      <c r="J69" s="2">
        <f t="shared" si="41"/>
        <v>1.8047742935703146E-3</v>
      </c>
      <c r="K69">
        <f t="shared" si="42"/>
        <v>0.51545882936876697</v>
      </c>
      <c r="L69">
        <f t="shared" si="47"/>
        <v>-0.10835632591026065</v>
      </c>
      <c r="M69" s="2">
        <v>0</v>
      </c>
      <c r="N69" s="2">
        <v>0</v>
      </c>
      <c r="O69" s="2">
        <v>0</v>
      </c>
      <c r="P69" s="4">
        <v>1</v>
      </c>
      <c r="Q69" s="40">
        <v>0.82522388104119959</v>
      </c>
      <c r="R69" s="40">
        <v>0.48093841642228741</v>
      </c>
      <c r="S69" s="40">
        <v>0.60962854349951123</v>
      </c>
      <c r="T69" s="40">
        <v>2.7</v>
      </c>
      <c r="U69" s="40">
        <v>0.51</v>
      </c>
      <c r="V69" s="40">
        <v>0.35084745762711872</v>
      </c>
      <c r="W69" s="40">
        <v>0.23809523809523811</v>
      </c>
      <c r="X69" s="40">
        <v>0.3641304347826087</v>
      </c>
      <c r="Y69" s="40">
        <v>0.27900418364102259</v>
      </c>
      <c r="Z69" s="40">
        <v>0.34562697576396195</v>
      </c>
      <c r="AA69" s="40">
        <v>0.4371774313679101</v>
      </c>
      <c r="AB69" s="40">
        <v>0.77142857142857146</v>
      </c>
      <c r="AC69" s="40">
        <v>0.29651162790697677</v>
      </c>
      <c r="AD69" s="40">
        <v>0.2835815312682643</v>
      </c>
      <c r="AE69" s="40">
        <v>0.2545365972475947</v>
      </c>
      <c r="AF69" s="40">
        <v>0.4248188405797102</v>
      </c>
      <c r="AG69" s="40">
        <v>0.2</v>
      </c>
      <c r="AH69" s="40">
        <v>0.14000000000000001</v>
      </c>
      <c r="AI69" s="40">
        <v>0.18</v>
      </c>
      <c r="AJ69" s="40">
        <v>0.25</v>
      </c>
      <c r="AK69" s="40">
        <v>0.7</v>
      </c>
      <c r="AL69" s="40">
        <v>1</v>
      </c>
      <c r="AM69" s="40">
        <v>1.037037037037037</v>
      </c>
      <c r="AN69" s="40">
        <v>1</v>
      </c>
      <c r="AO69" s="40">
        <v>1</v>
      </c>
      <c r="AP69" s="40">
        <v>1.0769230769230769</v>
      </c>
      <c r="AQ69" s="40">
        <f t="shared" si="43"/>
        <v>1</v>
      </c>
      <c r="AR69" s="40">
        <f t="shared" si="44"/>
        <v>1.037037037037037</v>
      </c>
      <c r="AS69" s="40">
        <f t="shared" si="45"/>
        <v>1.0384615384615383</v>
      </c>
      <c r="AT69" s="40" cm="1">
        <f t="array" ref="AT69">_xlfn.IFS(AG69&gt;sheet2!$C$2,1,AG69=sheet2!$C$2,0,AG69&lt;sheet2!$C$2,-1)</f>
        <v>0</v>
      </c>
      <c r="AU69" s="40" cm="1">
        <f t="array" ref="AU69">_xlfn.IFS(AH69&gt;sheet2!$D$2,1,AH69=sheet2!$D$2,0,AH69&lt;sheet2!$D$2,-1)</f>
        <v>1</v>
      </c>
      <c r="AV69" s="40" cm="1">
        <f t="array" ref="AV69">_xlfn.IFS(AI69&gt;sheet2!$E$2,1,AI69=sheet2!$E$2,0,AI69&lt;sheet2!$E$2,-1)</f>
        <v>0</v>
      </c>
      <c r="AW69" s="40" cm="1">
        <f t="array" ref="AW69">_xlfn.IFS(AJ69&gt;sheet2!$F$2,1,AJ69=sheet2!$F$2,0,AJ69&lt;sheet2!$F$2,-1)</f>
        <v>0</v>
      </c>
      <c r="AX69" s="40" cm="1">
        <f t="array" ref="AX69">_xlfn.IFS(AK69&gt;sheet2!$G$2,1,AK69=sheet2!$G$2,0,AK69&lt;sheet2!$G$2,-1)</f>
        <v>1</v>
      </c>
      <c r="AY69">
        <v>0.27039741771265452</v>
      </c>
      <c r="AZ69">
        <v>0.89238210399032647</v>
      </c>
      <c r="BA69">
        <v>0.29680583801890176</v>
      </c>
      <c r="BB69">
        <v>1.548015846807208E-2</v>
      </c>
      <c r="BC69">
        <v>0.87600620103480997</v>
      </c>
    </row>
    <row r="70" spans="1:55" ht="14.4" x14ac:dyDescent="0.25">
      <c r="A70" s="2">
        <v>9</v>
      </c>
      <c r="B70" s="2" t="s">
        <v>18</v>
      </c>
      <c r="C70" s="2">
        <v>2020</v>
      </c>
      <c r="D70" s="2">
        <v>11099.59</v>
      </c>
      <c r="E70" s="17">
        <v>19311.358746293601</v>
      </c>
      <c r="F70" s="5">
        <v>38700.58</v>
      </c>
      <c r="G70" s="3">
        <f t="shared" si="40"/>
        <v>0.28680681271443476</v>
      </c>
      <c r="H70" s="2">
        <f t="shared" si="46"/>
        <v>-6.4363396263737424E-2</v>
      </c>
      <c r="I70" s="14">
        <v>0.29025093688727033</v>
      </c>
      <c r="J70" s="2">
        <f t="shared" si="41"/>
        <v>9.4223468550504785E-2</v>
      </c>
      <c r="K70">
        <f t="shared" si="42"/>
        <v>0.49899403952844118</v>
      </c>
      <c r="L70">
        <f t="shared" si="47"/>
        <v>-3.194200759057448E-2</v>
      </c>
      <c r="M70" s="2">
        <v>0</v>
      </c>
      <c r="N70" s="2">
        <v>0</v>
      </c>
      <c r="O70" s="2">
        <v>0</v>
      </c>
      <c r="P70" s="4">
        <v>1</v>
      </c>
      <c r="Q70" s="40">
        <v>0.82522388104119959</v>
      </c>
      <c r="R70" s="40">
        <v>0.48093841642228741</v>
      </c>
      <c r="S70" s="40">
        <v>0.60962854349951123</v>
      </c>
      <c r="T70" s="40">
        <v>2.7</v>
      </c>
      <c r="U70" s="40">
        <v>0.51</v>
      </c>
      <c r="V70" s="40">
        <v>0.35084745762711872</v>
      </c>
      <c r="W70" s="40">
        <v>0.23809523809523811</v>
      </c>
      <c r="X70" s="40">
        <v>0.3641304347826087</v>
      </c>
      <c r="Y70" s="40">
        <v>0.27900418364102259</v>
      </c>
      <c r="Z70" s="40">
        <v>0.34562697576396195</v>
      </c>
      <c r="AA70" s="40">
        <v>0.4371774313679101</v>
      </c>
      <c r="AB70" s="40">
        <v>0.77142857142857146</v>
      </c>
      <c r="AC70" s="40">
        <v>0.29651162790697677</v>
      </c>
      <c r="AD70" s="40">
        <v>0.2835815312682643</v>
      </c>
      <c r="AE70" s="40">
        <v>0.2545365972475947</v>
      </c>
      <c r="AF70" s="40">
        <v>0.4248188405797102</v>
      </c>
      <c r="AG70" s="40">
        <v>0.2</v>
      </c>
      <c r="AH70" s="40">
        <v>0.14000000000000001</v>
      </c>
      <c r="AI70" s="40">
        <v>0.18</v>
      </c>
      <c r="AJ70" s="40">
        <v>0.25</v>
      </c>
      <c r="AK70" s="40">
        <v>0.7</v>
      </c>
      <c r="AL70" s="40">
        <v>1</v>
      </c>
      <c r="AM70" s="40">
        <v>1.037037037037037</v>
      </c>
      <c r="AN70" s="40">
        <v>1</v>
      </c>
      <c r="AO70" s="40">
        <v>1</v>
      </c>
      <c r="AP70" s="40">
        <v>1.0769230769230769</v>
      </c>
      <c r="AQ70" s="40">
        <f t="shared" si="43"/>
        <v>1</v>
      </c>
      <c r="AR70" s="40">
        <f t="shared" si="44"/>
        <v>1.037037037037037</v>
      </c>
      <c r="AS70" s="40">
        <f t="shared" si="45"/>
        <v>1.0384615384615383</v>
      </c>
      <c r="AT70" s="40" cm="1">
        <f t="array" ref="AT70">_xlfn.IFS(AG70&gt;sheet2!$C$2,1,AG70=sheet2!$C$2,0,AG70&lt;sheet2!$C$2,-1)</f>
        <v>0</v>
      </c>
      <c r="AU70" s="40" cm="1">
        <f t="array" ref="AU70">_xlfn.IFS(AH70&gt;sheet2!$D$2,1,AH70=sheet2!$D$2,0,AH70&lt;sheet2!$D$2,-1)</f>
        <v>1</v>
      </c>
      <c r="AV70" s="40" cm="1">
        <f t="array" ref="AV70">_xlfn.IFS(AI70&gt;sheet2!$E$2,1,AI70=sheet2!$E$2,0,AI70&lt;sheet2!$E$2,-1)</f>
        <v>0</v>
      </c>
      <c r="AW70" s="40" cm="1">
        <f t="array" ref="AW70">_xlfn.IFS(AJ70&gt;sheet2!$F$2,1,AJ70=sheet2!$F$2,0,AJ70&lt;sheet2!$F$2,-1)</f>
        <v>0</v>
      </c>
      <c r="AX70" s="40" cm="1">
        <f t="array" ref="AX70">_xlfn.IFS(AK70&gt;sheet2!$G$2,1,AK70=sheet2!$G$2,0,AK70&lt;sheet2!$G$2,-1)</f>
        <v>1</v>
      </c>
      <c r="AY70">
        <v>0.26761097637296394</v>
      </c>
      <c r="AZ70">
        <v>0.89308681672025725</v>
      </c>
      <c r="BA70">
        <v>0.29764325876300995</v>
      </c>
      <c r="BB70">
        <v>1.6408247628330118E-2</v>
      </c>
      <c r="BC70">
        <v>0.86968703214347876</v>
      </c>
    </row>
    <row r="71" spans="1:55" ht="14.4" x14ac:dyDescent="0.25">
      <c r="A71" s="2">
        <v>9</v>
      </c>
      <c r="B71" s="2" t="s">
        <v>18</v>
      </c>
      <c r="C71" s="2">
        <v>2021</v>
      </c>
      <c r="D71" s="2">
        <v>11683.02</v>
      </c>
      <c r="E71" s="17">
        <v>20270.966791561299</v>
      </c>
      <c r="F71" s="30">
        <v>43214.85</v>
      </c>
      <c r="G71" s="3">
        <f t="shared" si="40"/>
        <v>0.27034734587763237</v>
      </c>
      <c r="H71" s="2">
        <f t="shared" si="46"/>
        <v>-5.7388688507865389E-2</v>
      </c>
      <c r="I71" s="14">
        <v>0.30770891397055955</v>
      </c>
      <c r="J71" s="2">
        <f t="shared" si="41"/>
        <v>6.014787504396471E-2</v>
      </c>
      <c r="K71">
        <f t="shared" si="42"/>
        <v>0.46907409817600432</v>
      </c>
      <c r="L71">
        <f t="shared" si="47"/>
        <v>-5.9960518527860121E-2</v>
      </c>
      <c r="M71" s="2">
        <v>0</v>
      </c>
      <c r="N71" s="2">
        <v>0</v>
      </c>
      <c r="O71" s="2">
        <v>0</v>
      </c>
      <c r="P71" s="4">
        <v>1</v>
      </c>
      <c r="Q71" s="40">
        <v>0.82522388104119959</v>
      </c>
      <c r="R71" s="40">
        <v>0.48093841642228741</v>
      </c>
      <c r="S71" s="40">
        <v>0.60962854349951123</v>
      </c>
      <c r="T71" s="40">
        <v>2.7</v>
      </c>
      <c r="U71" s="40">
        <v>0.51</v>
      </c>
      <c r="V71" s="40">
        <v>0.35084745762711872</v>
      </c>
      <c r="W71" s="40">
        <v>0.23809523809523811</v>
      </c>
      <c r="X71" s="40">
        <v>0.3641304347826087</v>
      </c>
      <c r="Y71" s="40">
        <v>0.27900418364102259</v>
      </c>
      <c r="Z71" s="40">
        <v>0.34562697576396195</v>
      </c>
      <c r="AA71" s="40">
        <v>0.4371774313679101</v>
      </c>
      <c r="AB71" s="40">
        <v>0.77142857142857146</v>
      </c>
      <c r="AC71" s="40">
        <v>0.29651162790697677</v>
      </c>
      <c r="AD71" s="40">
        <v>0.2835815312682643</v>
      </c>
      <c r="AE71" s="40">
        <v>0.2545365972475947</v>
      </c>
      <c r="AF71" s="40">
        <v>0.4248188405797102</v>
      </c>
      <c r="AG71" s="40">
        <v>0.2</v>
      </c>
      <c r="AH71" s="40">
        <v>0.14000000000000001</v>
      </c>
      <c r="AI71" s="40">
        <v>0.18</v>
      </c>
      <c r="AJ71" s="40">
        <v>0.25</v>
      </c>
      <c r="AK71" s="40">
        <v>0.7</v>
      </c>
      <c r="AL71" s="40">
        <v>1</v>
      </c>
      <c r="AM71" s="40">
        <v>1.037037037037037</v>
      </c>
      <c r="AN71" s="40">
        <v>1</v>
      </c>
      <c r="AO71" s="40">
        <v>1</v>
      </c>
      <c r="AP71" s="40">
        <v>1.0769230769230769</v>
      </c>
      <c r="AQ71" s="40">
        <f t="shared" si="43"/>
        <v>1</v>
      </c>
      <c r="AR71" s="40">
        <f t="shared" si="44"/>
        <v>1.037037037037037</v>
      </c>
      <c r="AS71" s="40">
        <f t="shared" si="45"/>
        <v>1.0384615384615383</v>
      </c>
      <c r="AT71" s="40" cm="1">
        <f t="array" ref="AT71">_xlfn.IFS(AG71&gt;sheet2!$C$2,1,AG71=sheet2!$C$2,0,AG71&lt;sheet2!$C$2,-1)</f>
        <v>0</v>
      </c>
      <c r="AU71" s="40" cm="1">
        <f t="array" ref="AU71">_xlfn.IFS(AH71&gt;sheet2!$D$2,1,AH71=sheet2!$D$2,0,AH71&lt;sheet2!$D$2,-1)</f>
        <v>1</v>
      </c>
      <c r="AV71" s="40" cm="1">
        <f t="array" ref="AV71">_xlfn.IFS(AI71&gt;sheet2!$E$2,1,AI71=sheet2!$E$2,0,AI71&lt;sheet2!$E$2,-1)</f>
        <v>0</v>
      </c>
      <c r="AW71" s="40" cm="1">
        <f t="array" ref="AW71">_xlfn.IFS(AJ71&gt;sheet2!$F$2,1,AJ71=sheet2!$F$2,0,AJ71&lt;sheet2!$F$2,-1)</f>
        <v>0</v>
      </c>
      <c r="AX71" s="40" cm="1">
        <f t="array" ref="AX71">_xlfn.IFS(AK71&gt;sheet2!$G$2,1,AK71=sheet2!$G$2,0,AK71&lt;sheet2!$G$2,-1)</f>
        <v>1</v>
      </c>
      <c r="AY71">
        <v>0.26438596917494794</v>
      </c>
      <c r="AZ71">
        <v>0.89312977099236646</v>
      </c>
      <c r="BA71">
        <v>0.2977628902978825</v>
      </c>
      <c r="BB71">
        <v>1.6159475272967509E-2</v>
      </c>
      <c r="BC71">
        <v>0.92182766645395597</v>
      </c>
    </row>
    <row r="72" spans="1:55" ht="14.4" x14ac:dyDescent="0.25">
      <c r="A72" s="2">
        <v>9</v>
      </c>
      <c r="B72" s="2" t="s">
        <v>18</v>
      </c>
      <c r="C72" s="2">
        <v>2022</v>
      </c>
      <c r="D72" s="2">
        <v>10951.01</v>
      </c>
      <c r="E72" s="17">
        <v>19610.1244420972</v>
      </c>
      <c r="F72" s="30">
        <v>44652.800000000003</v>
      </c>
      <c r="G72" s="3">
        <f t="shared" si="40"/>
        <v>0.24524800236491329</v>
      </c>
      <c r="H72" s="2">
        <f t="shared" si="46"/>
        <v>-9.2841094597169938E-2</v>
      </c>
      <c r="I72" s="14">
        <v>0.33139145656681307</v>
      </c>
      <c r="J72" s="2">
        <f t="shared" si="41"/>
        <v>7.696410965370791E-2</v>
      </c>
      <c r="K72">
        <f t="shared" si="42"/>
        <v>0.43916897578868958</v>
      </c>
      <c r="L72">
        <f t="shared" si="47"/>
        <v>-6.3753514644276629E-2</v>
      </c>
      <c r="M72" s="2">
        <v>1</v>
      </c>
      <c r="N72" s="2">
        <v>1</v>
      </c>
      <c r="O72" s="2">
        <v>0</v>
      </c>
      <c r="P72" s="4">
        <v>1</v>
      </c>
      <c r="Q72" s="40">
        <v>0.82522388104119959</v>
      </c>
      <c r="R72" s="40">
        <v>0.48093841642228741</v>
      </c>
      <c r="S72" s="40">
        <v>0.60962854349951123</v>
      </c>
      <c r="T72" s="40">
        <v>2.7</v>
      </c>
      <c r="U72" s="40">
        <v>0.51</v>
      </c>
      <c r="V72" s="40">
        <v>0.35084745762711872</v>
      </c>
      <c r="W72" s="40">
        <v>0.23809523809523811</v>
      </c>
      <c r="X72" s="40">
        <v>0.3641304347826087</v>
      </c>
      <c r="Y72" s="40">
        <v>0.27900418364102259</v>
      </c>
      <c r="Z72" s="40">
        <v>0.34562697576396195</v>
      </c>
      <c r="AA72" s="40">
        <v>0.4371774313679101</v>
      </c>
      <c r="AB72" s="40">
        <v>0.77142857142857146</v>
      </c>
      <c r="AC72" s="40">
        <v>0.29651162790697677</v>
      </c>
      <c r="AD72" s="40">
        <v>0.2835815312682643</v>
      </c>
      <c r="AE72" s="40">
        <v>0.2545365972475947</v>
      </c>
      <c r="AF72" s="40">
        <v>0.4248188405797102</v>
      </c>
      <c r="AG72" s="40">
        <v>0.2</v>
      </c>
      <c r="AH72" s="40">
        <v>0.14000000000000001</v>
      </c>
      <c r="AI72" s="40">
        <v>0.18</v>
      </c>
      <c r="AJ72" s="40">
        <v>0.25</v>
      </c>
      <c r="AK72" s="40">
        <v>0.7</v>
      </c>
      <c r="AL72" s="40">
        <v>1</v>
      </c>
      <c r="AM72" s="40">
        <v>1.037037037037037</v>
      </c>
      <c r="AN72" s="40">
        <v>1</v>
      </c>
      <c r="AO72" s="40">
        <v>1</v>
      </c>
      <c r="AP72" s="40">
        <v>1.0769230769230769</v>
      </c>
      <c r="AQ72" s="40">
        <f t="shared" si="43"/>
        <v>1</v>
      </c>
      <c r="AR72" s="40">
        <f t="shared" si="44"/>
        <v>1.037037037037037</v>
      </c>
      <c r="AS72" s="40">
        <f t="shared" si="45"/>
        <v>1.0384615384615383</v>
      </c>
      <c r="AT72" s="40" cm="1">
        <f t="array" ref="AT72">_xlfn.IFS(AG72&gt;sheet2!$C$2,1,AG72=sheet2!$C$2,0,AG72&lt;sheet2!$C$2,-1)</f>
        <v>0</v>
      </c>
      <c r="AU72" s="40" cm="1">
        <f t="array" ref="AU72">_xlfn.IFS(AH72&gt;sheet2!$D$2,1,AH72=sheet2!$D$2,0,AH72&lt;sheet2!$D$2,-1)</f>
        <v>1</v>
      </c>
      <c r="AV72" s="40" cm="1">
        <f t="array" ref="AV72">_xlfn.IFS(AI72&gt;sheet2!$E$2,1,AI72=sheet2!$E$2,0,AI72&lt;sheet2!$E$2,-1)</f>
        <v>0</v>
      </c>
      <c r="AW72" s="40" cm="1">
        <f t="array" ref="AW72">_xlfn.IFS(AJ72&gt;sheet2!$F$2,1,AJ72=sheet2!$F$2,0,AJ72&lt;sheet2!$F$2,-1)</f>
        <v>0</v>
      </c>
      <c r="AX72" s="40" cm="1">
        <f t="array" ref="AX72">_xlfn.IFS(AK72&gt;sheet2!$G$2,1,AK72=sheet2!$G$2,0,AK72&lt;sheet2!$G$2,-1)</f>
        <v>1</v>
      </c>
      <c r="AY72">
        <v>0.25499856671922028</v>
      </c>
      <c r="AZ72">
        <v>0.89333333333333331</v>
      </c>
      <c r="BA72">
        <v>0.29608804880966622</v>
      </c>
      <c r="BB72">
        <v>1.7154447201519277E-2</v>
      </c>
      <c r="BC72">
        <v>0.80996486745448737</v>
      </c>
    </row>
    <row r="73" spans="1:55" ht="14.4" x14ac:dyDescent="0.25">
      <c r="A73" s="2">
        <v>9</v>
      </c>
      <c r="B73" s="9" t="s">
        <v>49</v>
      </c>
      <c r="C73" s="2">
        <v>2023</v>
      </c>
      <c r="D73" s="28">
        <v>11793.23</v>
      </c>
      <c r="E73" s="17">
        <v>20527.074260702801</v>
      </c>
      <c r="F73" s="33">
        <v>47218.66</v>
      </c>
      <c r="G73" s="3">
        <f t="shared" si="40"/>
        <v>0.2497578287905671</v>
      </c>
      <c r="H73" s="2">
        <f t="shared" si="46"/>
        <v>1.8388840610997027E-2</v>
      </c>
      <c r="K73">
        <f t="shared" si="42"/>
        <v>0.43472377786033739</v>
      </c>
      <c r="L73">
        <f t="shared" si="47"/>
        <v>-1.012183959572553E-2</v>
      </c>
      <c r="M73" s="2">
        <v>1</v>
      </c>
      <c r="N73" s="2">
        <v>1</v>
      </c>
      <c r="O73" s="2">
        <v>1</v>
      </c>
      <c r="P73" s="4">
        <v>1</v>
      </c>
      <c r="Q73" s="40">
        <v>0.82522388104119959</v>
      </c>
      <c r="R73" s="40">
        <v>0.48093841642228741</v>
      </c>
      <c r="S73" s="40">
        <v>0.60962854349951123</v>
      </c>
      <c r="T73" s="40">
        <v>2.7</v>
      </c>
      <c r="U73" s="40">
        <v>0.51</v>
      </c>
      <c r="V73" s="40">
        <v>0.35084745762711872</v>
      </c>
      <c r="W73" s="40">
        <v>0.23809523809523811</v>
      </c>
      <c r="X73" s="40">
        <v>0.3641304347826087</v>
      </c>
      <c r="Y73" s="40">
        <v>0.27900418364102259</v>
      </c>
      <c r="Z73" s="40">
        <v>0.34562697576396195</v>
      </c>
      <c r="AA73" s="40">
        <v>0.4371774313679101</v>
      </c>
      <c r="AB73" s="40">
        <v>0.77142857142857146</v>
      </c>
      <c r="AC73" s="40">
        <v>0.29651162790697677</v>
      </c>
      <c r="AD73" s="40">
        <v>0.2835815312682643</v>
      </c>
      <c r="AE73" s="40">
        <v>0.2545365972475947</v>
      </c>
      <c r="AF73" s="40">
        <v>0.4248188405797102</v>
      </c>
      <c r="AG73" s="40">
        <v>0.2</v>
      </c>
      <c r="AH73" s="40">
        <v>0.14000000000000001</v>
      </c>
      <c r="AI73" s="40">
        <v>0.18</v>
      </c>
      <c r="AJ73" s="40">
        <v>0.25</v>
      </c>
      <c r="AK73" s="40">
        <v>0.7</v>
      </c>
      <c r="AL73" s="40">
        <v>1</v>
      </c>
      <c r="AM73" s="40">
        <v>1.037037037037037</v>
      </c>
      <c r="AN73" s="40">
        <v>1</v>
      </c>
      <c r="AO73" s="40">
        <v>1</v>
      </c>
      <c r="AP73" s="40">
        <v>1.0769230769230769</v>
      </c>
      <c r="AQ73" s="40">
        <f t="shared" si="43"/>
        <v>1</v>
      </c>
      <c r="AR73" s="40">
        <f t="shared" si="44"/>
        <v>1.037037037037037</v>
      </c>
      <c r="AS73" s="40">
        <f t="shared" si="45"/>
        <v>1.0384615384615383</v>
      </c>
      <c r="AT73" s="40" cm="1">
        <f t="array" ref="AT73">_xlfn.IFS(AG73&gt;sheet2!$C$2,1,AG73=sheet2!$C$2,0,AG73&lt;sheet2!$C$2,-1)</f>
        <v>0</v>
      </c>
      <c r="AU73" s="40" cm="1">
        <f t="array" ref="AU73">_xlfn.IFS(AH73&gt;sheet2!$D$2,1,AH73=sheet2!$D$2,0,AH73&lt;sheet2!$D$2,-1)</f>
        <v>1</v>
      </c>
      <c r="AV73" s="40" cm="1">
        <f t="array" ref="AV73">_xlfn.IFS(AI73&gt;sheet2!$E$2,1,AI73=sheet2!$E$2,0,AI73&lt;sheet2!$E$2,-1)</f>
        <v>0</v>
      </c>
      <c r="AW73" s="40" cm="1">
        <f t="array" ref="AW73">_xlfn.IFS(AJ73&gt;sheet2!$F$2,1,AJ73=sheet2!$F$2,0,AJ73&lt;sheet2!$F$2,-1)</f>
        <v>0</v>
      </c>
      <c r="AX73" s="40" cm="1">
        <f t="array" ref="AX73">_xlfn.IFS(AK73&gt;sheet2!$G$2,1,AK73=sheet2!$G$2,0,AK73&lt;sheet2!$G$2,-1)</f>
        <v>1</v>
      </c>
      <c r="AY73">
        <v>0.24445632298756464</v>
      </c>
      <c r="AZ73">
        <v>0.89465219139525531</v>
      </c>
      <c r="BA73">
        <v>0.29752362722813736</v>
      </c>
      <c r="BB73">
        <v>1.7176124862501391E-2</v>
      </c>
      <c r="BC73">
        <v>0.86242583137850148</v>
      </c>
    </row>
    <row r="74" spans="1:55" s="40" customFormat="1" ht="14.4" x14ac:dyDescent="0.25">
      <c r="A74" s="35">
        <v>10</v>
      </c>
      <c r="B74" s="35" t="s">
        <v>19</v>
      </c>
      <c r="C74" s="35">
        <v>2016</v>
      </c>
      <c r="D74" s="35">
        <v>31210</v>
      </c>
      <c r="E74" s="36">
        <v>83068.980014502304</v>
      </c>
      <c r="F74" s="37">
        <v>77388.28</v>
      </c>
      <c r="G74" s="38">
        <f t="shared" si="40"/>
        <v>0.40329104096899426</v>
      </c>
      <c r="H74" s="35"/>
      <c r="I74" s="39">
        <v>0.40424065355251787</v>
      </c>
      <c r="J74" s="35"/>
      <c r="K74" s="40">
        <f t="shared" si="42"/>
        <v>1.0734051721333295</v>
      </c>
      <c r="M74" s="35">
        <v>0</v>
      </c>
      <c r="N74" s="35">
        <v>0</v>
      </c>
      <c r="O74" s="35">
        <v>0</v>
      </c>
      <c r="P74" s="41">
        <v>1</v>
      </c>
      <c r="Q74" s="40">
        <v>0.79737595519012716</v>
      </c>
      <c r="R74" s="40">
        <v>0.68768328445747806</v>
      </c>
      <c r="S74" s="40">
        <v>0.64655599776567518</v>
      </c>
      <c r="T74" s="40">
        <v>0.2</v>
      </c>
      <c r="U74" s="40">
        <v>8.0000000000000016E-2</v>
      </c>
      <c r="V74" s="40">
        <v>0.48442906574394462</v>
      </c>
      <c r="W74" s="40">
        <v>0.34943181818181818</v>
      </c>
      <c r="X74" s="40">
        <v>2.222222222222222E-2</v>
      </c>
      <c r="Y74" s="40">
        <v>0.1641244241267529</v>
      </c>
      <c r="Z74" s="40">
        <v>0.49420442571127488</v>
      </c>
      <c r="AA74" s="40">
        <v>0.46365888433657426</v>
      </c>
      <c r="AB74" s="40">
        <v>5.7142857142857148E-2</v>
      </c>
      <c r="AC74" s="40">
        <v>4.651162790697675E-2</v>
      </c>
      <c r="AD74" s="40">
        <v>0.39155232072545054</v>
      </c>
      <c r="AE74" s="40">
        <v>0.37356138107416875</v>
      </c>
      <c r="AF74" s="40">
        <v>2.5925925925925925E-2</v>
      </c>
      <c r="AG74" s="40">
        <v>0.18</v>
      </c>
      <c r="AH74" s="40">
        <v>0.14000000000000001</v>
      </c>
      <c r="AI74" s="40">
        <v>0.18</v>
      </c>
      <c r="AJ74" s="40">
        <v>0.25</v>
      </c>
      <c r="AK74" s="40">
        <v>0.65</v>
      </c>
      <c r="AL74" s="40">
        <v>0.89999999999999991</v>
      </c>
      <c r="AM74" s="40">
        <v>1.037037037037037</v>
      </c>
      <c r="AN74" s="40">
        <v>1</v>
      </c>
      <c r="AO74" s="40">
        <v>1</v>
      </c>
      <c r="AP74" s="40">
        <v>1</v>
      </c>
      <c r="AQ74" s="40">
        <f t="shared" ref="AQ74:AQ138" si="48">AVERAGE(AL74,AO74)</f>
        <v>0.95</v>
      </c>
      <c r="AR74" s="40">
        <f t="shared" ref="AR74:AR138" si="49">AVERAGE(AM74)</f>
        <v>1.037037037037037</v>
      </c>
      <c r="AS74" s="40">
        <f t="shared" ref="AS74:AS138" si="50">AVERAGE(AN74,AP74)</f>
        <v>1</v>
      </c>
      <c r="AT74" s="40" cm="1">
        <f t="array" ref="AT74">_xlfn.IFS(AG74&gt;sheet2!$C$2,1,AG74=sheet2!$C$2,0,AG74&lt;sheet2!$C$2,-1)</f>
        <v>-1</v>
      </c>
      <c r="AU74" s="40" cm="1">
        <f t="array" ref="AU74">_xlfn.IFS(AH74&gt;sheet2!$D$2,1,AH74=sheet2!$D$2,0,AH74&lt;sheet2!$D$2,-1)</f>
        <v>1</v>
      </c>
      <c r="AV74" s="40" cm="1">
        <f t="array" ref="AV74">_xlfn.IFS(AI74&gt;sheet2!$E$2,1,AI74=sheet2!$E$2,0,AI74&lt;sheet2!$E$2,-1)</f>
        <v>0</v>
      </c>
      <c r="AW74" s="40" cm="1">
        <f t="array" ref="AW74">_xlfn.IFS(AJ74&gt;sheet2!$F$2,1,AJ74=sheet2!$F$2,0,AJ74&lt;sheet2!$F$2,-1)</f>
        <v>0</v>
      </c>
      <c r="AX74" s="40" cm="1">
        <f t="array" ref="AX74">_xlfn.IFS(AK74&gt;sheet2!$G$2,1,AK74=sheet2!$G$2,0,AK74&lt;sheet2!$G$2,-1)</f>
        <v>0</v>
      </c>
      <c r="AY74" s="40">
        <v>0.45280112182361465</v>
      </c>
      <c r="AZ74" s="40">
        <v>0.68929721990215964</v>
      </c>
      <c r="BA74" s="40">
        <v>7.8621013133208253E-2</v>
      </c>
      <c r="BB74" s="40">
        <v>2.1418511950388353E-2</v>
      </c>
      <c r="BC74" s="40">
        <v>0.81359071765464896</v>
      </c>
    </row>
    <row r="75" spans="1:55" ht="14.4" x14ac:dyDescent="0.25">
      <c r="A75" s="2">
        <v>10</v>
      </c>
      <c r="B75" s="2" t="s">
        <v>19</v>
      </c>
      <c r="C75" s="2">
        <v>2017</v>
      </c>
      <c r="D75" s="2">
        <v>31602</v>
      </c>
      <c r="E75" s="17">
        <v>84851.1603703742</v>
      </c>
      <c r="F75" s="5">
        <v>85869.759999999995</v>
      </c>
      <c r="G75" s="3">
        <f t="shared" si="40"/>
        <v>0.36802245633387121</v>
      </c>
      <c r="H75" s="2">
        <f t="shared" ref="H75:H81" si="51">(G75-G74)/G74</f>
        <v>-8.7451941779769338E-2</v>
      </c>
      <c r="I75" s="14">
        <v>0.4239624657545118</v>
      </c>
      <c r="J75" s="2">
        <f t="shared" ref="J75:J80" si="52">(I75-I74)/I74</f>
        <v>4.8787305355550342E-2</v>
      </c>
      <c r="K75">
        <f t="shared" si="42"/>
        <v>0.98813785400558019</v>
      </c>
      <c r="L75">
        <f t="shared" ref="L75:L81" si="53">(K75-K74)/K74</f>
        <v>-7.9436284025244233E-2</v>
      </c>
      <c r="M75" s="2">
        <v>0</v>
      </c>
      <c r="N75" s="2">
        <v>0</v>
      </c>
      <c r="O75" s="2">
        <v>0</v>
      </c>
      <c r="P75" s="4">
        <v>1</v>
      </c>
      <c r="Q75" s="40">
        <v>0.79737595519012716</v>
      </c>
      <c r="R75" s="40">
        <v>0.68768328445747806</v>
      </c>
      <c r="S75" s="40">
        <v>0.64655599776567518</v>
      </c>
      <c r="T75" s="40">
        <v>0.2</v>
      </c>
      <c r="U75" s="40">
        <v>8.0000000000000016E-2</v>
      </c>
      <c r="V75" s="40">
        <v>0.48442906574394462</v>
      </c>
      <c r="W75" s="40">
        <v>0.34943181818181818</v>
      </c>
      <c r="X75" s="40">
        <v>2.222222222222222E-2</v>
      </c>
      <c r="Y75" s="40">
        <v>0.1641244241267529</v>
      </c>
      <c r="Z75" s="40">
        <v>0.49420442571127488</v>
      </c>
      <c r="AA75" s="40">
        <v>0.46365888433657426</v>
      </c>
      <c r="AB75" s="40">
        <v>5.7142857142857148E-2</v>
      </c>
      <c r="AC75" s="40">
        <v>4.651162790697675E-2</v>
      </c>
      <c r="AD75" s="40">
        <v>0.39155232072545054</v>
      </c>
      <c r="AE75" s="40">
        <v>0.37356138107416875</v>
      </c>
      <c r="AF75" s="40">
        <v>2.5925925925925925E-2</v>
      </c>
      <c r="AG75" s="40">
        <v>0.18</v>
      </c>
      <c r="AH75" s="40">
        <v>0.14000000000000001</v>
      </c>
      <c r="AI75" s="40">
        <v>0.18</v>
      </c>
      <c r="AJ75" s="40">
        <v>0.25</v>
      </c>
      <c r="AK75" s="40">
        <v>0.65</v>
      </c>
      <c r="AL75" s="40">
        <v>0.89999999999999991</v>
      </c>
      <c r="AM75" s="40">
        <v>1.037037037037037</v>
      </c>
      <c r="AN75" s="40">
        <v>1</v>
      </c>
      <c r="AO75" s="40">
        <v>1</v>
      </c>
      <c r="AP75" s="40">
        <v>1</v>
      </c>
      <c r="AQ75" s="40">
        <f t="shared" ref="AQ75:AQ81" si="54">AVERAGE(AL75,AO75)</f>
        <v>0.95</v>
      </c>
      <c r="AR75" s="40">
        <f t="shared" ref="AR75:AR81" si="55">AVERAGE(AM75)</f>
        <v>1.037037037037037</v>
      </c>
      <c r="AS75" s="40">
        <f t="shared" ref="AS75:AS81" si="56">AVERAGE(AN75,AP75)</f>
        <v>1</v>
      </c>
      <c r="AT75" s="40" cm="1">
        <f t="array" ref="AT75">_xlfn.IFS(AG75&gt;sheet2!$C$2,1,AG75=sheet2!$C$2,0,AG75&lt;sheet2!$C$2,-1)</f>
        <v>-1</v>
      </c>
      <c r="AU75" s="40" cm="1">
        <f t="array" ref="AU75">_xlfn.IFS(AH75&gt;sheet2!$D$2,1,AH75=sheet2!$D$2,0,AH75&lt;sheet2!$D$2,-1)</f>
        <v>1</v>
      </c>
      <c r="AV75" s="40" cm="1">
        <f t="array" ref="AV75">_xlfn.IFS(AI75&gt;sheet2!$E$2,1,AI75=sheet2!$E$2,0,AI75&lt;sheet2!$E$2,-1)</f>
        <v>0</v>
      </c>
      <c r="AW75" s="40" cm="1">
        <f t="array" ref="AW75">_xlfn.IFS(AJ75&gt;sheet2!$F$2,1,AJ75=sheet2!$F$2,0,AJ75&lt;sheet2!$F$2,-1)</f>
        <v>0</v>
      </c>
      <c r="AX75" s="40" cm="1">
        <f t="array" ref="AX75">_xlfn.IFS(AK75&gt;sheet2!$G$2,1,AK75=sheet2!$G$2,0,AK75&lt;sheet2!$G$2,-1)</f>
        <v>0</v>
      </c>
      <c r="AY75">
        <v>0.45562139686893266</v>
      </c>
      <c r="AZ75">
        <v>0.70176896592662952</v>
      </c>
      <c r="BA75">
        <v>7.9015009380863033E-2</v>
      </c>
      <c r="BB75">
        <v>2.135656603675147E-2</v>
      </c>
      <c r="BC75">
        <v>0.76937265029851143</v>
      </c>
    </row>
    <row r="76" spans="1:55" ht="14.4" x14ac:dyDescent="0.25">
      <c r="A76" s="2">
        <v>10</v>
      </c>
      <c r="B76" s="2" t="s">
        <v>19</v>
      </c>
      <c r="C76" s="2">
        <v>2018</v>
      </c>
      <c r="D76" s="2">
        <v>31635</v>
      </c>
      <c r="E76" s="17">
        <v>88421.552426127309</v>
      </c>
      <c r="F76" s="5">
        <v>92595.4</v>
      </c>
      <c r="G76" s="3">
        <f t="shared" si="40"/>
        <v>0.34164764124351754</v>
      </c>
      <c r="H76" s="2">
        <f t="shared" si="51"/>
        <v>-7.1666319911810883E-2</v>
      </c>
      <c r="I76" s="14">
        <v>0.43842733970513303</v>
      </c>
      <c r="J76" s="2">
        <f t="shared" si="52"/>
        <v>3.4118289044476106E-2</v>
      </c>
      <c r="K76">
        <f t="shared" si="42"/>
        <v>0.95492381291216755</v>
      </c>
      <c r="L76">
        <f t="shared" si="53"/>
        <v>-3.3612760566528274E-2</v>
      </c>
      <c r="M76" s="2">
        <v>0</v>
      </c>
      <c r="N76" s="2">
        <v>0</v>
      </c>
      <c r="O76" s="2">
        <v>0</v>
      </c>
      <c r="P76" s="4">
        <v>1</v>
      </c>
      <c r="Q76" s="40">
        <v>0.79737595519012716</v>
      </c>
      <c r="R76" s="40">
        <v>0.68768328445747806</v>
      </c>
      <c r="S76" s="40">
        <v>0.64655599776567518</v>
      </c>
      <c r="T76" s="40">
        <v>0.2</v>
      </c>
      <c r="U76" s="40">
        <v>8.0000000000000016E-2</v>
      </c>
      <c r="V76" s="40">
        <v>0.48442906574394462</v>
      </c>
      <c r="W76" s="40">
        <v>0.34943181818181818</v>
      </c>
      <c r="X76" s="40">
        <v>2.222222222222222E-2</v>
      </c>
      <c r="Y76" s="40">
        <v>0.1641244241267529</v>
      </c>
      <c r="Z76" s="40">
        <v>0.49420442571127488</v>
      </c>
      <c r="AA76" s="40">
        <v>0.46365888433657426</v>
      </c>
      <c r="AB76" s="40">
        <v>5.7142857142857148E-2</v>
      </c>
      <c r="AC76" s="40">
        <v>4.651162790697675E-2</v>
      </c>
      <c r="AD76" s="40">
        <v>0.39155232072545054</v>
      </c>
      <c r="AE76" s="40">
        <v>0.37356138107416875</v>
      </c>
      <c r="AF76" s="40">
        <v>2.5925925925925925E-2</v>
      </c>
      <c r="AG76" s="40">
        <v>0.18</v>
      </c>
      <c r="AH76" s="40">
        <v>0.14000000000000001</v>
      </c>
      <c r="AI76" s="40">
        <v>0.18</v>
      </c>
      <c r="AJ76" s="40">
        <v>0.25</v>
      </c>
      <c r="AK76" s="40">
        <v>0.65</v>
      </c>
      <c r="AL76" s="40">
        <v>0.89999999999999991</v>
      </c>
      <c r="AM76" s="40">
        <v>1.037037037037037</v>
      </c>
      <c r="AN76" s="40">
        <v>1</v>
      </c>
      <c r="AO76" s="40">
        <v>1</v>
      </c>
      <c r="AP76" s="40">
        <v>1</v>
      </c>
      <c r="AQ76" s="40">
        <f t="shared" si="54"/>
        <v>0.95</v>
      </c>
      <c r="AR76" s="40">
        <f t="shared" si="55"/>
        <v>1.037037037037037</v>
      </c>
      <c r="AS76" s="40">
        <f t="shared" si="56"/>
        <v>1</v>
      </c>
      <c r="AT76" s="40" cm="1">
        <f t="array" ref="AT76">_xlfn.IFS(AG76&gt;sheet2!$C$2,1,AG76=sheet2!$C$2,0,AG76&lt;sheet2!$C$2,-1)</f>
        <v>-1</v>
      </c>
      <c r="AU76" s="40" cm="1">
        <f t="array" ref="AU76">_xlfn.IFS(AH76&gt;sheet2!$D$2,1,AH76=sheet2!$D$2,0,AH76&lt;sheet2!$D$2,-1)</f>
        <v>1</v>
      </c>
      <c r="AV76" s="40" cm="1">
        <f t="array" ref="AV76">_xlfn.IFS(AI76&gt;sheet2!$E$2,1,AI76=sheet2!$E$2,0,AI76&lt;sheet2!$E$2,-1)</f>
        <v>0</v>
      </c>
      <c r="AW76" s="40" cm="1">
        <f t="array" ref="AW76">_xlfn.IFS(AJ76&gt;sheet2!$F$2,1,AJ76=sheet2!$F$2,0,AJ76&lt;sheet2!$F$2,-1)</f>
        <v>0</v>
      </c>
      <c r="AX76" s="40" cm="1">
        <f t="array" ref="AX76">_xlfn.IFS(AK76&gt;sheet2!$G$2,1,AK76=sheet2!$G$2,0,AK76&lt;sheet2!$G$2,-1)</f>
        <v>0</v>
      </c>
      <c r="AY76">
        <v>0.45498372489346128</v>
      </c>
      <c r="AZ76">
        <v>0.71193464361828085</v>
      </c>
      <c r="BA76">
        <v>7.923076923076923E-2</v>
      </c>
      <c r="BB76">
        <v>2.1864147679042371E-2</v>
      </c>
      <c r="BC76">
        <v>0.74031919775935351</v>
      </c>
    </row>
    <row r="77" spans="1:55" ht="14.4" x14ac:dyDescent="0.25">
      <c r="A77" s="2">
        <v>10</v>
      </c>
      <c r="B77" s="2" t="s">
        <v>19</v>
      </c>
      <c r="C77" s="2">
        <v>2019</v>
      </c>
      <c r="D77" s="2">
        <v>32526</v>
      </c>
      <c r="E77" s="17">
        <v>90386.890724120502</v>
      </c>
      <c r="F77" s="5">
        <v>99631.52</v>
      </c>
      <c r="G77" s="3">
        <f t="shared" si="40"/>
        <v>0.32646295068066811</v>
      </c>
      <c r="H77" s="2">
        <f t="shared" si="51"/>
        <v>-4.4445471678307834E-2</v>
      </c>
      <c r="I77" s="14">
        <v>0.42680061788674156</v>
      </c>
      <c r="J77" s="2">
        <f t="shared" si="52"/>
        <v>-2.6519153267702454E-2</v>
      </c>
      <c r="K77">
        <f t="shared" si="42"/>
        <v>0.90721180128658574</v>
      </c>
      <c r="L77">
        <f t="shared" si="53"/>
        <v>-4.9964207594821272E-2</v>
      </c>
      <c r="M77" s="2">
        <v>0</v>
      </c>
      <c r="N77" s="2">
        <v>0</v>
      </c>
      <c r="O77" s="2">
        <v>0</v>
      </c>
      <c r="P77" s="4">
        <v>1</v>
      </c>
      <c r="Q77" s="40">
        <v>0.79737595519012716</v>
      </c>
      <c r="R77" s="40">
        <v>0.68768328445747806</v>
      </c>
      <c r="S77" s="40">
        <v>0.64655599776567518</v>
      </c>
      <c r="T77" s="40">
        <v>0.2</v>
      </c>
      <c r="U77" s="40">
        <v>8.0000000000000016E-2</v>
      </c>
      <c r="V77" s="40">
        <v>0.48442906574394462</v>
      </c>
      <c r="W77" s="40">
        <v>0.34943181818181818</v>
      </c>
      <c r="X77" s="40">
        <v>2.222222222222222E-2</v>
      </c>
      <c r="Y77" s="40">
        <v>0.1641244241267529</v>
      </c>
      <c r="Z77" s="40">
        <v>0.49420442571127488</v>
      </c>
      <c r="AA77" s="40">
        <v>0.46365888433657426</v>
      </c>
      <c r="AB77" s="40">
        <v>5.7142857142857148E-2</v>
      </c>
      <c r="AC77" s="40">
        <v>4.651162790697675E-2</v>
      </c>
      <c r="AD77" s="40">
        <v>0.39155232072545054</v>
      </c>
      <c r="AE77" s="40">
        <v>0.37356138107416875</v>
      </c>
      <c r="AF77" s="40">
        <v>2.5925925925925925E-2</v>
      </c>
      <c r="AG77" s="40">
        <v>0.18</v>
      </c>
      <c r="AH77" s="40">
        <v>0.14000000000000001</v>
      </c>
      <c r="AI77" s="40">
        <v>0.18</v>
      </c>
      <c r="AJ77" s="40">
        <v>0.25</v>
      </c>
      <c r="AK77" s="40">
        <v>0.65</v>
      </c>
      <c r="AL77" s="40">
        <v>0.89999999999999991</v>
      </c>
      <c r="AM77" s="40">
        <v>1.037037037037037</v>
      </c>
      <c r="AN77" s="40">
        <v>1</v>
      </c>
      <c r="AO77" s="40">
        <v>1</v>
      </c>
      <c r="AP77" s="40">
        <v>1</v>
      </c>
      <c r="AQ77" s="40">
        <f t="shared" si="54"/>
        <v>0.95</v>
      </c>
      <c r="AR77" s="40">
        <f t="shared" si="55"/>
        <v>1.037037037037037</v>
      </c>
      <c r="AS77" s="40">
        <f t="shared" si="56"/>
        <v>1</v>
      </c>
      <c r="AT77" s="40" cm="1">
        <f t="array" ref="AT77">_xlfn.IFS(AG77&gt;sheet2!$C$2,1,AG77=sheet2!$C$2,0,AG77&lt;sheet2!$C$2,-1)</f>
        <v>-1</v>
      </c>
      <c r="AU77" s="40" cm="1">
        <f t="array" ref="AU77">_xlfn.IFS(AH77&gt;sheet2!$D$2,1,AH77=sheet2!$D$2,0,AH77&lt;sheet2!$D$2,-1)</f>
        <v>1</v>
      </c>
      <c r="AV77" s="40" cm="1">
        <f t="array" ref="AV77">_xlfn.IFS(AI77&gt;sheet2!$E$2,1,AI77=sheet2!$E$2,0,AI77&lt;sheet2!$E$2,-1)</f>
        <v>0</v>
      </c>
      <c r="AW77" s="40" cm="1">
        <f t="array" ref="AW77">_xlfn.IFS(AJ77&gt;sheet2!$F$2,1,AJ77=sheet2!$F$2,0,AJ77&lt;sheet2!$F$2,-1)</f>
        <v>0</v>
      </c>
      <c r="AX77" s="40" cm="1">
        <f t="array" ref="AX77">_xlfn.IFS(AK77&gt;sheet2!$G$2,1,AK77=sheet2!$G$2,0,AK77&lt;sheet2!$G$2,-1)</f>
        <v>0</v>
      </c>
      <c r="AY77">
        <v>0.4444517156819448</v>
      </c>
      <c r="AZ77">
        <v>0.72464281497225169</v>
      </c>
      <c r="BA77">
        <v>7.9446529080675427E-2</v>
      </c>
      <c r="BB77">
        <v>2.2143174168174889E-2</v>
      </c>
      <c r="BC77">
        <v>0.70006959052932549</v>
      </c>
    </row>
    <row r="78" spans="1:55" ht="14.4" x14ac:dyDescent="0.25">
      <c r="A78" s="2">
        <v>10</v>
      </c>
      <c r="B78" s="2" t="s">
        <v>19</v>
      </c>
      <c r="C78" s="2">
        <v>2020</v>
      </c>
      <c r="D78" s="2">
        <v>32672.49</v>
      </c>
      <c r="E78" s="17">
        <v>89496.3263767397</v>
      </c>
      <c r="F78" s="5">
        <v>102718.98</v>
      </c>
      <c r="G78" s="3">
        <f t="shared" si="40"/>
        <v>0.31807646454433253</v>
      </c>
      <c r="H78" s="2">
        <f t="shared" si="51"/>
        <v>-2.5688936888090794E-2</v>
      </c>
      <c r="I78" s="14">
        <v>0.43433056766289396</v>
      </c>
      <c r="J78" s="2">
        <f t="shared" si="52"/>
        <v>1.7642780869053461E-2</v>
      </c>
      <c r="K78">
        <f t="shared" si="42"/>
        <v>0.87127351125117969</v>
      </c>
      <c r="L78">
        <f t="shared" si="53"/>
        <v>-3.9614001917125906E-2</v>
      </c>
      <c r="M78" s="2">
        <v>0</v>
      </c>
      <c r="N78" s="2">
        <v>0</v>
      </c>
      <c r="O78" s="2">
        <v>0</v>
      </c>
      <c r="P78" s="4">
        <v>1</v>
      </c>
      <c r="Q78" s="40">
        <v>0.79737595519012716</v>
      </c>
      <c r="R78" s="40">
        <v>0.68768328445747806</v>
      </c>
      <c r="S78" s="40">
        <v>0.64655599776567518</v>
      </c>
      <c r="T78" s="40">
        <v>0.2</v>
      </c>
      <c r="U78" s="40">
        <v>8.0000000000000016E-2</v>
      </c>
      <c r="V78" s="40">
        <v>0.48442906574394462</v>
      </c>
      <c r="W78" s="40">
        <v>0.34943181818181818</v>
      </c>
      <c r="X78" s="40">
        <v>2.222222222222222E-2</v>
      </c>
      <c r="Y78" s="40">
        <v>0.1641244241267529</v>
      </c>
      <c r="Z78" s="40">
        <v>0.49420442571127488</v>
      </c>
      <c r="AA78" s="40">
        <v>0.46365888433657426</v>
      </c>
      <c r="AB78" s="40">
        <v>5.7142857142857148E-2</v>
      </c>
      <c r="AC78" s="40">
        <v>4.651162790697675E-2</v>
      </c>
      <c r="AD78" s="40">
        <v>0.39155232072545054</v>
      </c>
      <c r="AE78" s="40">
        <v>0.37356138107416875</v>
      </c>
      <c r="AF78" s="40">
        <v>2.5925925925925925E-2</v>
      </c>
      <c r="AG78" s="40">
        <v>0.18</v>
      </c>
      <c r="AH78" s="40">
        <v>0.14000000000000001</v>
      </c>
      <c r="AI78" s="40">
        <v>0.18</v>
      </c>
      <c r="AJ78" s="40">
        <v>0.25</v>
      </c>
      <c r="AK78" s="40">
        <v>0.65</v>
      </c>
      <c r="AL78" s="40">
        <v>0.89999999999999991</v>
      </c>
      <c r="AM78" s="40">
        <v>1.037037037037037</v>
      </c>
      <c r="AN78" s="40">
        <v>1</v>
      </c>
      <c r="AO78" s="40">
        <v>1</v>
      </c>
      <c r="AP78" s="40">
        <v>1</v>
      </c>
      <c r="AQ78" s="40">
        <f t="shared" si="54"/>
        <v>0.95</v>
      </c>
      <c r="AR78" s="40">
        <f t="shared" si="55"/>
        <v>1.037037037037037</v>
      </c>
      <c r="AS78" s="40">
        <f t="shared" si="56"/>
        <v>1</v>
      </c>
      <c r="AT78" s="40" cm="1">
        <f t="array" ref="AT78">_xlfn.IFS(AG78&gt;sheet2!$C$2,1,AG78=sheet2!$C$2,0,AG78&lt;sheet2!$C$2,-1)</f>
        <v>-1</v>
      </c>
      <c r="AU78" s="40" cm="1">
        <f t="array" ref="AU78">_xlfn.IFS(AH78&gt;sheet2!$D$2,1,AH78=sheet2!$D$2,0,AH78&lt;sheet2!$D$2,-1)</f>
        <v>1</v>
      </c>
      <c r="AV78" s="40" cm="1">
        <f t="array" ref="AV78">_xlfn.IFS(AI78&gt;sheet2!$E$2,1,AI78=sheet2!$E$2,0,AI78&lt;sheet2!$E$2,-1)</f>
        <v>0</v>
      </c>
      <c r="AW78" s="40" cm="1">
        <f t="array" ref="AW78">_xlfn.IFS(AJ78&gt;sheet2!$F$2,1,AJ78=sheet2!$F$2,0,AJ78&lt;sheet2!$F$2,-1)</f>
        <v>0</v>
      </c>
      <c r="AX78" s="40" cm="1">
        <f t="array" ref="AX78">_xlfn.IFS(AK78&gt;sheet2!$G$2,1,AK78=sheet2!$G$2,0,AK78&lt;sheet2!$G$2,-1)</f>
        <v>0</v>
      </c>
      <c r="AY78">
        <v>0.44189885841934962</v>
      </c>
      <c r="AZ78">
        <v>0.7344579450277221</v>
      </c>
      <c r="BA78">
        <v>7.9521575984990614E-2</v>
      </c>
      <c r="BB78">
        <v>2.3186450060154414E-2</v>
      </c>
      <c r="BC78">
        <v>0.66213184909604539</v>
      </c>
    </row>
    <row r="79" spans="1:55" ht="14.4" x14ac:dyDescent="0.25">
      <c r="A79" s="2">
        <v>10</v>
      </c>
      <c r="B79" s="2" t="s">
        <v>19</v>
      </c>
      <c r="C79" s="2">
        <v>2021</v>
      </c>
      <c r="D79" s="2">
        <v>34679.94</v>
      </c>
      <c r="E79" s="17">
        <v>93636.787898427996</v>
      </c>
      <c r="F79" s="30">
        <v>116364.2</v>
      </c>
      <c r="G79" s="3">
        <f t="shared" si="40"/>
        <v>0.29802929079562274</v>
      </c>
      <c r="H79" s="2">
        <f t="shared" si="51"/>
        <v>-6.3026271929389088E-2</v>
      </c>
      <c r="I79" s="14">
        <v>0.45690353589244209</v>
      </c>
      <c r="J79" s="2">
        <f t="shared" si="52"/>
        <v>5.1971861780329857E-2</v>
      </c>
      <c r="K79">
        <f t="shared" si="42"/>
        <v>0.80468724829825666</v>
      </c>
      <c r="L79">
        <f t="shared" si="53"/>
        <v>-7.64240644218631E-2</v>
      </c>
      <c r="M79" s="2">
        <v>0</v>
      </c>
      <c r="N79" s="2">
        <v>0</v>
      </c>
      <c r="O79" s="2">
        <v>0</v>
      </c>
      <c r="P79" s="4">
        <v>1</v>
      </c>
      <c r="Q79" s="40">
        <v>0.79737595519012716</v>
      </c>
      <c r="R79" s="40">
        <v>0.68768328445747806</v>
      </c>
      <c r="S79" s="40">
        <v>0.64655599776567518</v>
      </c>
      <c r="T79" s="40">
        <v>0.2</v>
      </c>
      <c r="U79" s="40">
        <v>8.0000000000000016E-2</v>
      </c>
      <c r="V79" s="40">
        <v>0.48442906574394462</v>
      </c>
      <c r="W79" s="40">
        <v>0.34943181818181818</v>
      </c>
      <c r="X79" s="40">
        <v>2.222222222222222E-2</v>
      </c>
      <c r="Y79" s="40">
        <v>0.1641244241267529</v>
      </c>
      <c r="Z79" s="40">
        <v>0.49420442571127488</v>
      </c>
      <c r="AA79" s="40">
        <v>0.46365888433657426</v>
      </c>
      <c r="AB79" s="40">
        <v>5.7142857142857148E-2</v>
      </c>
      <c r="AC79" s="40">
        <v>4.651162790697675E-2</v>
      </c>
      <c r="AD79" s="40">
        <v>0.39155232072545054</v>
      </c>
      <c r="AE79" s="40">
        <v>0.37356138107416875</v>
      </c>
      <c r="AF79" s="40">
        <v>2.5925925925925925E-2</v>
      </c>
      <c r="AG79" s="40">
        <v>0.18</v>
      </c>
      <c r="AH79" s="40">
        <v>0.14000000000000001</v>
      </c>
      <c r="AI79" s="40">
        <v>0.18</v>
      </c>
      <c r="AJ79" s="40">
        <v>0.25</v>
      </c>
      <c r="AK79" s="40">
        <v>0.65</v>
      </c>
      <c r="AL79" s="40">
        <v>0.89999999999999991</v>
      </c>
      <c r="AM79" s="40">
        <v>1.037037037037037</v>
      </c>
      <c r="AN79" s="40">
        <v>1</v>
      </c>
      <c r="AO79" s="40">
        <v>1</v>
      </c>
      <c r="AP79" s="40">
        <v>1</v>
      </c>
      <c r="AQ79" s="40">
        <f t="shared" si="54"/>
        <v>0.95</v>
      </c>
      <c r="AR79" s="40">
        <f t="shared" si="55"/>
        <v>1.037037037037037</v>
      </c>
      <c r="AS79" s="40">
        <f t="shared" si="56"/>
        <v>1</v>
      </c>
      <c r="AT79" s="40" cm="1">
        <f t="array" ref="AT79">_xlfn.IFS(AG79&gt;sheet2!$C$2,1,AG79=sheet2!$C$2,0,AG79&lt;sheet2!$C$2,-1)</f>
        <v>-1</v>
      </c>
      <c r="AU79" s="40" cm="1">
        <f t="array" ref="AU79">_xlfn.IFS(AH79&gt;sheet2!$D$2,1,AH79=sheet2!$D$2,0,AH79&lt;sheet2!$D$2,-1)</f>
        <v>1</v>
      </c>
      <c r="AV79" s="40" cm="1">
        <f t="array" ref="AV79">_xlfn.IFS(AI79&gt;sheet2!$E$2,1,AI79=sheet2!$E$2,0,AI79&lt;sheet2!$E$2,-1)</f>
        <v>0</v>
      </c>
      <c r="AW79" s="40" cm="1">
        <f t="array" ref="AW79">_xlfn.IFS(AJ79&gt;sheet2!$F$2,1,AJ79=sheet2!$F$2,0,AJ79&lt;sheet2!$F$2,-1)</f>
        <v>0</v>
      </c>
      <c r="AX79" s="40" cm="1">
        <f t="array" ref="AX79">_xlfn.IFS(AK79&gt;sheet2!$G$2,1,AK79=sheet2!$G$2,0,AK79&lt;sheet2!$G$2,-1)</f>
        <v>0</v>
      </c>
      <c r="AY79">
        <v>0.46041480111580713</v>
      </c>
      <c r="AZ79">
        <v>0.73944738389182829</v>
      </c>
      <c r="BA79">
        <v>7.9784240150093805E-2</v>
      </c>
      <c r="BB79">
        <v>2.3345942308716942E-2</v>
      </c>
      <c r="BC79">
        <v>0.68666311056504992</v>
      </c>
    </row>
    <row r="80" spans="1:55" ht="14.4" x14ac:dyDescent="0.25">
      <c r="A80" s="2">
        <v>10</v>
      </c>
      <c r="B80" s="2" t="s">
        <v>19</v>
      </c>
      <c r="C80" s="2">
        <v>2022</v>
      </c>
      <c r="D80" s="2">
        <v>35823.949999999997</v>
      </c>
      <c r="E80" s="17">
        <v>91914.978322971001</v>
      </c>
      <c r="F80" s="30">
        <v>122875.6</v>
      </c>
      <c r="G80" s="3">
        <f t="shared" si="40"/>
        <v>0.29154649092252649</v>
      </c>
      <c r="H80" s="2">
        <f t="shared" si="51"/>
        <v>-2.1752223936746893E-2</v>
      </c>
      <c r="I80" s="14">
        <v>0.46599507198303802</v>
      </c>
      <c r="J80" s="2">
        <f t="shared" si="52"/>
        <v>1.98981521840009E-2</v>
      </c>
      <c r="K80">
        <f t="shared" si="42"/>
        <v>0.74803279351613339</v>
      </c>
      <c r="L80">
        <f t="shared" si="53"/>
        <v>-7.0405558062384438E-2</v>
      </c>
      <c r="M80" s="2">
        <v>1</v>
      </c>
      <c r="N80" s="2">
        <v>1</v>
      </c>
      <c r="O80" s="2">
        <v>0</v>
      </c>
      <c r="P80" s="4">
        <v>1</v>
      </c>
      <c r="Q80" s="40">
        <v>0.79737595519012716</v>
      </c>
      <c r="R80" s="40">
        <v>0.68768328445747806</v>
      </c>
      <c r="S80" s="40">
        <v>0.64655599776567518</v>
      </c>
      <c r="T80" s="40">
        <v>0.2</v>
      </c>
      <c r="U80" s="40">
        <v>8.0000000000000016E-2</v>
      </c>
      <c r="V80" s="40">
        <v>0.48442906574394462</v>
      </c>
      <c r="W80" s="40">
        <v>0.34943181818181818</v>
      </c>
      <c r="X80" s="40">
        <v>2.222222222222222E-2</v>
      </c>
      <c r="Y80" s="40">
        <v>0.1641244241267529</v>
      </c>
      <c r="Z80" s="40">
        <v>0.49420442571127488</v>
      </c>
      <c r="AA80" s="40">
        <v>0.46365888433657426</v>
      </c>
      <c r="AB80" s="40">
        <v>5.7142857142857148E-2</v>
      </c>
      <c r="AC80" s="40">
        <v>4.651162790697675E-2</v>
      </c>
      <c r="AD80" s="40">
        <v>0.39155232072545054</v>
      </c>
      <c r="AE80" s="40">
        <v>0.37356138107416875</v>
      </c>
      <c r="AF80" s="40">
        <v>2.5925925925925925E-2</v>
      </c>
      <c r="AG80" s="40">
        <v>0.18</v>
      </c>
      <c r="AH80" s="40">
        <v>0.14000000000000001</v>
      </c>
      <c r="AI80" s="40">
        <v>0.18</v>
      </c>
      <c r="AJ80" s="40">
        <v>0.25</v>
      </c>
      <c r="AK80" s="40">
        <v>0.65</v>
      </c>
      <c r="AL80" s="40">
        <v>0.89999999999999991</v>
      </c>
      <c r="AM80" s="40">
        <v>1.037037037037037</v>
      </c>
      <c r="AN80" s="40">
        <v>1</v>
      </c>
      <c r="AO80" s="40">
        <v>1</v>
      </c>
      <c r="AP80" s="40">
        <v>1</v>
      </c>
      <c r="AQ80" s="40">
        <f t="shared" si="54"/>
        <v>0.95</v>
      </c>
      <c r="AR80" s="40">
        <f t="shared" si="55"/>
        <v>1.037037037037037</v>
      </c>
      <c r="AS80" s="40">
        <f t="shared" si="56"/>
        <v>1</v>
      </c>
      <c r="AT80" s="40" cm="1">
        <f t="array" ref="AT80">_xlfn.IFS(AG80&gt;sheet2!$C$2,1,AG80=sheet2!$C$2,0,AG80&lt;sheet2!$C$2,-1)</f>
        <v>-1</v>
      </c>
      <c r="AU80" s="40" cm="1">
        <f t="array" ref="AU80">_xlfn.IFS(AH80&gt;sheet2!$D$2,1,AH80=sheet2!$D$2,0,AH80&lt;sheet2!$D$2,-1)</f>
        <v>1</v>
      </c>
      <c r="AV80" s="40" cm="1">
        <f t="array" ref="AV80">_xlfn.IFS(AI80&gt;sheet2!$E$2,1,AI80=sheet2!$E$2,0,AI80&lt;sheet2!$E$2,-1)</f>
        <v>0</v>
      </c>
      <c r="AW80" s="40" cm="1">
        <f t="array" ref="AW80">_xlfn.IFS(AJ80&gt;sheet2!$F$2,1,AJ80=sheet2!$F$2,0,AJ80&lt;sheet2!$F$2,-1)</f>
        <v>0</v>
      </c>
      <c r="AX80" s="40" cm="1">
        <f t="array" ref="AX80">_xlfn.IFS(AK80&gt;sheet2!$G$2,1,AK80=sheet2!$G$2,0,AK80&lt;sheet2!$G$2,-1)</f>
        <v>0</v>
      </c>
      <c r="AY80">
        <v>0.45040186985862124</v>
      </c>
      <c r="AZ80">
        <v>0.7442160892542572</v>
      </c>
      <c r="BA80">
        <v>7.9878048780487806E-2</v>
      </c>
      <c r="BB80">
        <v>2.4363481439765095E-2</v>
      </c>
      <c r="BC80">
        <v>0.62134421197514045</v>
      </c>
    </row>
    <row r="81" spans="1:55" ht="14.4" x14ac:dyDescent="0.25">
      <c r="A81" s="2">
        <v>10</v>
      </c>
      <c r="B81" s="2" t="s">
        <v>19</v>
      </c>
      <c r="C81" s="2">
        <v>2023</v>
      </c>
      <c r="D81" s="2">
        <v>40136.678043628897</v>
      </c>
      <c r="E81">
        <v>96366.585166754492</v>
      </c>
      <c r="F81" s="32">
        <v>128222.16</v>
      </c>
      <c r="G81" s="3">
        <f t="shared" si="40"/>
        <v>0.31302450406098992</v>
      </c>
      <c r="H81" s="2">
        <f t="shared" si="51"/>
        <v>7.3669256215369239E-2</v>
      </c>
      <c r="I81" s="14"/>
      <c r="K81">
        <f t="shared" si="42"/>
        <v>0.7515595211214231</v>
      </c>
      <c r="L81">
        <f t="shared" si="53"/>
        <v>4.7146697789976653E-3</v>
      </c>
      <c r="M81" s="2">
        <v>1</v>
      </c>
      <c r="N81" s="2">
        <v>1</v>
      </c>
      <c r="O81" s="2">
        <v>1</v>
      </c>
      <c r="P81" s="4">
        <v>1</v>
      </c>
      <c r="Q81" s="40">
        <v>0.79737595519012716</v>
      </c>
      <c r="R81" s="40">
        <v>0.68768328445747806</v>
      </c>
      <c r="S81" s="40">
        <v>0.64655599776567518</v>
      </c>
      <c r="T81" s="40">
        <v>0.2</v>
      </c>
      <c r="U81" s="40">
        <v>8.0000000000000016E-2</v>
      </c>
      <c r="V81" s="40">
        <v>0.48442906574394462</v>
      </c>
      <c r="W81" s="40">
        <v>0.34943181818181818</v>
      </c>
      <c r="X81" s="40">
        <v>2.222222222222222E-2</v>
      </c>
      <c r="Y81" s="40">
        <v>0.1641244241267529</v>
      </c>
      <c r="Z81" s="40">
        <v>0.49420442571127488</v>
      </c>
      <c r="AA81" s="40">
        <v>0.46365888433657426</v>
      </c>
      <c r="AB81" s="40">
        <v>5.7142857142857148E-2</v>
      </c>
      <c r="AC81" s="40">
        <v>4.651162790697675E-2</v>
      </c>
      <c r="AD81" s="40">
        <v>0.39155232072545054</v>
      </c>
      <c r="AE81" s="40">
        <v>0.37356138107416875</v>
      </c>
      <c r="AF81" s="40">
        <v>2.5925925925925925E-2</v>
      </c>
      <c r="AG81" s="40">
        <v>0.18</v>
      </c>
      <c r="AH81" s="40">
        <v>0.14000000000000001</v>
      </c>
      <c r="AI81" s="40">
        <v>0.18</v>
      </c>
      <c r="AJ81" s="40">
        <v>0.25</v>
      </c>
      <c r="AK81" s="40">
        <v>0.65</v>
      </c>
      <c r="AL81" s="40">
        <v>0.89999999999999991</v>
      </c>
      <c r="AM81" s="40">
        <v>1.037037037037037</v>
      </c>
      <c r="AN81" s="40">
        <v>1</v>
      </c>
      <c r="AO81" s="40">
        <v>1</v>
      </c>
      <c r="AP81" s="40">
        <v>1</v>
      </c>
      <c r="AQ81" s="40">
        <f t="shared" si="54"/>
        <v>0.95</v>
      </c>
      <c r="AR81" s="40">
        <f t="shared" si="55"/>
        <v>1.037037037037037</v>
      </c>
      <c r="AS81" s="40">
        <f t="shared" si="56"/>
        <v>1</v>
      </c>
      <c r="AT81" s="40" cm="1">
        <f t="array" ref="AT81">_xlfn.IFS(AG81&gt;sheet2!$C$2,1,AG81=sheet2!$C$2,0,AG81&lt;sheet2!$C$2,-1)</f>
        <v>-1</v>
      </c>
      <c r="AU81" s="40" cm="1">
        <f t="array" ref="AU81">_xlfn.IFS(AH81&gt;sheet2!$D$2,1,AH81=sheet2!$D$2,0,AH81&lt;sheet2!$D$2,-1)</f>
        <v>1</v>
      </c>
      <c r="AV81" s="40" cm="1">
        <f t="array" ref="AV81">_xlfn.IFS(AI81&gt;sheet2!$E$2,1,AI81=sheet2!$E$2,0,AI81&lt;sheet2!$E$2,-1)</f>
        <v>0</v>
      </c>
      <c r="AW81" s="40" cm="1">
        <f t="array" ref="AW81">_xlfn.IFS(AJ81&gt;sheet2!$F$2,1,AJ81=sheet2!$F$2,0,AJ81&lt;sheet2!$F$2,-1)</f>
        <v>0</v>
      </c>
      <c r="AX81" s="40" cm="1">
        <f t="array" ref="AX81">_xlfn.IFS(AK81&gt;sheet2!$G$2,1,AK81=sheet2!$G$2,0,AK81&lt;sheet2!$G$2,-1)</f>
        <v>0</v>
      </c>
      <c r="AY81">
        <v>0.44711304192660617</v>
      </c>
      <c r="AZ81">
        <v>0.75041050903119866</v>
      </c>
      <c r="BA81">
        <v>7.9981238273921201E-2</v>
      </c>
      <c r="BB81">
        <v>2.5749787712202009E-2</v>
      </c>
      <c r="BC81">
        <v>0.65148914729292462</v>
      </c>
    </row>
    <row r="82" spans="1:55" s="40" customFormat="1" ht="14.4" x14ac:dyDescent="0.25">
      <c r="A82" s="35">
        <v>11</v>
      </c>
      <c r="B82" s="35" t="s">
        <v>20</v>
      </c>
      <c r="C82" s="35">
        <v>2016</v>
      </c>
      <c r="D82" s="35">
        <v>20276</v>
      </c>
      <c r="E82" s="36">
        <v>38867.23377626</v>
      </c>
      <c r="F82" s="37">
        <v>47251.360000000001</v>
      </c>
      <c r="G82" s="38">
        <f t="shared" si="40"/>
        <v>0.42910934203798579</v>
      </c>
      <c r="H82" s="35"/>
      <c r="I82" s="39">
        <v>0.46980279869752378</v>
      </c>
      <c r="J82" s="35"/>
      <c r="K82" s="40">
        <f t="shared" si="42"/>
        <v>0.82256328233219111</v>
      </c>
      <c r="M82" s="35">
        <v>0</v>
      </c>
      <c r="N82" s="35">
        <v>0</v>
      </c>
      <c r="O82" s="35">
        <v>0</v>
      </c>
      <c r="P82" s="41">
        <v>0</v>
      </c>
      <c r="Q82" s="41">
        <v>0.99999999580495169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1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0.2</v>
      </c>
      <c r="AH82" s="40">
        <v>0.13500000000000001</v>
      </c>
      <c r="AI82" s="40">
        <v>0.18</v>
      </c>
      <c r="AJ82" s="40">
        <v>0.25</v>
      </c>
      <c r="AK82" s="40">
        <v>0.65</v>
      </c>
      <c r="AL82" s="40">
        <v>1</v>
      </c>
      <c r="AM82" s="40">
        <v>1</v>
      </c>
      <c r="AN82" s="40">
        <v>1</v>
      </c>
      <c r="AO82" s="40">
        <v>1</v>
      </c>
      <c r="AP82" s="40">
        <v>1</v>
      </c>
      <c r="AQ82" s="40">
        <f t="shared" si="48"/>
        <v>1</v>
      </c>
      <c r="AR82" s="40">
        <f t="shared" si="49"/>
        <v>1</v>
      </c>
      <c r="AS82" s="40">
        <f t="shared" si="50"/>
        <v>1</v>
      </c>
      <c r="AT82" s="40" cm="1">
        <f t="array" ref="AT82">_xlfn.IFS(AG82&gt;sheet2!$C$2,1,AG82=sheet2!$C$2,0,AG82&lt;sheet2!$C$2,-1)</f>
        <v>0</v>
      </c>
      <c r="AU82" s="40" cm="1">
        <f t="array" ref="AU82">_xlfn.IFS(AH82&gt;sheet2!$D$2,1,AH82=sheet2!$D$2,0,AH82&lt;sheet2!$D$2,-1)</f>
        <v>0</v>
      </c>
      <c r="AV82" s="40" cm="1">
        <f t="array" ref="AV82">_xlfn.IFS(AI82&gt;sheet2!$E$2,1,AI82=sheet2!$E$2,0,AI82&lt;sheet2!$E$2,-1)</f>
        <v>0</v>
      </c>
      <c r="AW82" s="40" cm="1">
        <f t="array" ref="AW82">_xlfn.IFS(AJ82&gt;sheet2!$F$2,1,AJ82=sheet2!$F$2,0,AJ82&lt;sheet2!$F$2,-1)</f>
        <v>0</v>
      </c>
      <c r="AX82" s="40" cm="1">
        <f t="array" ref="AX82">_xlfn.IFS(AK82&gt;sheet2!$G$2,1,AK82=sheet2!$G$2,0,AK82&lt;sheet2!$G$2,-1)</f>
        <v>0</v>
      </c>
      <c r="AY82" s="40">
        <v>0.4565201932812093</v>
      </c>
      <c r="AZ82" s="40">
        <v>0.67720685111989465</v>
      </c>
      <c r="BA82" s="40">
        <v>5.7551229313972663E-2</v>
      </c>
      <c r="BB82" s="40">
        <v>1.9804460654677454E-2</v>
      </c>
      <c r="BC82" s="40">
        <v>0.76022115607964136</v>
      </c>
    </row>
    <row r="83" spans="1:55" ht="14.4" x14ac:dyDescent="0.25">
      <c r="A83" s="2">
        <v>11</v>
      </c>
      <c r="B83" s="2" t="s">
        <v>20</v>
      </c>
      <c r="C83" s="2">
        <v>2017</v>
      </c>
      <c r="D83" s="2">
        <v>21030</v>
      </c>
      <c r="E83" s="17">
        <v>39259.970682499603</v>
      </c>
      <c r="F83" s="5">
        <v>51768.26</v>
      </c>
      <c r="G83" s="3">
        <f t="shared" si="40"/>
        <v>0.40623347201547821</v>
      </c>
      <c r="H83" s="2">
        <f t="shared" ref="H83:H89" si="57">(G83-G82)/G82</f>
        <v>-5.3310118847243702E-2</v>
      </c>
      <c r="I83" s="14">
        <v>0.49649228055409927</v>
      </c>
      <c r="J83" s="2">
        <f t="shared" ref="J83:J88" si="58">(I83-I82)/I82</f>
        <v>5.6809967779181229E-2</v>
      </c>
      <c r="K83">
        <f t="shared" si="42"/>
        <v>0.75837918219580103</v>
      </c>
      <c r="L83">
        <f t="shared" ref="L83:L89" si="59">(K83-K82)/K82</f>
        <v>-7.8029376602382086E-2</v>
      </c>
      <c r="M83" s="2">
        <v>0</v>
      </c>
      <c r="N83" s="2">
        <v>0</v>
      </c>
      <c r="O83" s="2">
        <v>0</v>
      </c>
      <c r="P83" s="4">
        <v>0</v>
      </c>
      <c r="Q83" s="41">
        <v>0.99999999580495169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1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0.2</v>
      </c>
      <c r="AH83" s="40">
        <v>0.13500000000000001</v>
      </c>
      <c r="AI83" s="40">
        <v>0.18</v>
      </c>
      <c r="AJ83" s="40">
        <v>0.25</v>
      </c>
      <c r="AK83" s="40">
        <v>0.65</v>
      </c>
      <c r="AL83" s="40">
        <v>1</v>
      </c>
      <c r="AM83" s="40">
        <v>1</v>
      </c>
      <c r="AN83" s="40">
        <v>1</v>
      </c>
      <c r="AO83" s="40">
        <v>1</v>
      </c>
      <c r="AP83" s="40">
        <v>1</v>
      </c>
      <c r="AQ83" s="40">
        <f t="shared" ref="AQ83:AQ89" si="60">AVERAGE(AL83,AO83)</f>
        <v>1</v>
      </c>
      <c r="AR83" s="40">
        <f t="shared" ref="AR83:AR89" si="61">AVERAGE(AM83)</f>
        <v>1</v>
      </c>
      <c r="AS83" s="40">
        <f t="shared" ref="AS83:AS89" si="62">AVERAGE(AN83,AP83)</f>
        <v>1</v>
      </c>
      <c r="AT83" s="40" cm="1">
        <f t="array" ref="AT83">_xlfn.IFS(AG83&gt;sheet2!$C$2,1,AG83=sheet2!$C$2,0,AG83&lt;sheet2!$C$2,-1)</f>
        <v>0</v>
      </c>
      <c r="AU83" s="40" cm="1">
        <f t="array" ref="AU83">_xlfn.IFS(AH83&gt;sheet2!$D$2,1,AH83=sheet2!$D$2,0,AH83&lt;sheet2!$D$2,-1)</f>
        <v>0</v>
      </c>
      <c r="AV83" s="40" cm="1">
        <f t="array" ref="AV83">_xlfn.IFS(AI83&gt;sheet2!$E$2,1,AI83=sheet2!$E$2,0,AI83&lt;sheet2!$E$2,-1)</f>
        <v>0</v>
      </c>
      <c r="AW83" s="40" cm="1">
        <f t="array" ref="AW83">_xlfn.IFS(AJ83&gt;sheet2!$F$2,1,AJ83=sheet2!$F$2,0,AJ83&lt;sheet2!$F$2,-1)</f>
        <v>0</v>
      </c>
      <c r="AX83" s="40" cm="1">
        <f t="array" ref="AX83">_xlfn.IFS(AK83&gt;sheet2!$G$2,1,AK83=sheet2!$G$2,0,AK83&lt;sheet2!$G$2,-1)</f>
        <v>0</v>
      </c>
      <c r="AY83">
        <v>0.44905314569197419</v>
      </c>
      <c r="AZ83">
        <v>0.68914100486223662</v>
      </c>
      <c r="BA83">
        <v>5.8480086440581579E-2</v>
      </c>
      <c r="BB83">
        <v>1.9899156355651128E-2</v>
      </c>
      <c r="BC83">
        <v>0.77080124085032242</v>
      </c>
    </row>
    <row r="84" spans="1:55" ht="14.4" x14ac:dyDescent="0.25">
      <c r="A84" s="2">
        <v>11</v>
      </c>
      <c r="B84" s="2" t="s">
        <v>20</v>
      </c>
      <c r="C84" s="2">
        <v>2018</v>
      </c>
      <c r="D84" s="2">
        <v>21675</v>
      </c>
      <c r="E84" s="17">
        <v>40391.461879456103</v>
      </c>
      <c r="F84" s="5">
        <v>56197.15</v>
      </c>
      <c r="G84" s="3">
        <f t="shared" si="40"/>
        <v>0.38569571588594792</v>
      </c>
      <c r="H84" s="2">
        <f t="shared" si="57"/>
        <v>-5.055653348217394E-2</v>
      </c>
      <c r="I84" s="14">
        <v>0.52633807762963936</v>
      </c>
      <c r="J84" s="2">
        <f t="shared" si="58"/>
        <v>6.0113315442148138E-2</v>
      </c>
      <c r="K84">
        <f t="shared" si="42"/>
        <v>0.71874573496086724</v>
      </c>
      <c r="L84">
        <f t="shared" si="59"/>
        <v>-5.226072677810014E-2</v>
      </c>
      <c r="M84" s="2">
        <v>0</v>
      </c>
      <c r="N84" s="2">
        <v>0</v>
      </c>
      <c r="O84" s="2">
        <v>0</v>
      </c>
      <c r="P84" s="4">
        <v>0</v>
      </c>
      <c r="Q84" s="41">
        <v>0.99999999580495169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1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0.2</v>
      </c>
      <c r="AH84" s="40">
        <v>0.13500000000000001</v>
      </c>
      <c r="AI84" s="40">
        <v>0.18</v>
      </c>
      <c r="AJ84" s="40">
        <v>0.25</v>
      </c>
      <c r="AK84" s="40">
        <v>0.65</v>
      </c>
      <c r="AL84" s="40">
        <v>1</v>
      </c>
      <c r="AM84" s="40">
        <v>1</v>
      </c>
      <c r="AN84" s="40">
        <v>1</v>
      </c>
      <c r="AO84" s="40">
        <v>1</v>
      </c>
      <c r="AP84" s="40">
        <v>1</v>
      </c>
      <c r="AQ84" s="40">
        <f t="shared" si="60"/>
        <v>1</v>
      </c>
      <c r="AR84" s="40">
        <f t="shared" si="61"/>
        <v>1</v>
      </c>
      <c r="AS84" s="40">
        <f t="shared" si="62"/>
        <v>1</v>
      </c>
      <c r="AT84" s="40" cm="1">
        <f t="array" ref="AT84">_xlfn.IFS(AG84&gt;sheet2!$C$2,1,AG84=sheet2!$C$2,0,AG84&lt;sheet2!$C$2,-1)</f>
        <v>0</v>
      </c>
      <c r="AU84" s="40" cm="1">
        <f t="array" ref="AU84">_xlfn.IFS(AH84&gt;sheet2!$D$2,1,AH84=sheet2!$D$2,0,AH84&lt;sheet2!$D$2,-1)</f>
        <v>0</v>
      </c>
      <c r="AV84" s="40" cm="1">
        <f t="array" ref="AV84">_xlfn.IFS(AI84&gt;sheet2!$E$2,1,AI84=sheet2!$E$2,0,AI84&lt;sheet2!$E$2,-1)</f>
        <v>0</v>
      </c>
      <c r="AW84" s="40" cm="1">
        <f t="array" ref="AW84">_xlfn.IFS(AJ84&gt;sheet2!$F$2,1,AJ84=sheet2!$F$2,0,AJ84&lt;sheet2!$F$2,-1)</f>
        <v>0</v>
      </c>
      <c r="AX84" s="40" cm="1">
        <f t="array" ref="AX84">_xlfn.IFS(AK84&gt;sheet2!$G$2,1,AK84=sheet2!$G$2,0,AK84&lt;sheet2!$G$2,-1)</f>
        <v>0</v>
      </c>
      <c r="AY84">
        <v>0.45034490183221032</v>
      </c>
      <c r="AZ84">
        <v>0.70014347202295557</v>
      </c>
      <c r="BA84">
        <v>5.9456334236915438E-2</v>
      </c>
      <c r="BB84">
        <v>2.0417264932474335E-2</v>
      </c>
      <c r="BC84">
        <v>0.76460826951178096</v>
      </c>
    </row>
    <row r="85" spans="1:55" ht="14.4" x14ac:dyDescent="0.25">
      <c r="A85" s="2">
        <v>11</v>
      </c>
      <c r="B85" s="2" t="s">
        <v>20</v>
      </c>
      <c r="C85" s="2">
        <v>2019</v>
      </c>
      <c r="D85" s="2">
        <v>22393</v>
      </c>
      <c r="E85" s="17">
        <v>40407.9923342861</v>
      </c>
      <c r="F85" s="5">
        <v>62351.74</v>
      </c>
      <c r="G85" s="3">
        <f t="shared" si="40"/>
        <v>0.35913993739388828</v>
      </c>
      <c r="H85" s="2">
        <f t="shared" si="57"/>
        <v>-6.8851629401847747E-2</v>
      </c>
      <c r="I85" s="14">
        <v>0.53464440964159288</v>
      </c>
      <c r="J85" s="2">
        <f t="shared" si="58"/>
        <v>1.5781362521520469E-2</v>
      </c>
      <c r="K85">
        <f t="shared" si="42"/>
        <v>0.64806519167365817</v>
      </c>
      <c r="L85">
        <f t="shared" si="59"/>
        <v>-9.8338730721034939E-2</v>
      </c>
      <c r="M85" s="2">
        <v>0</v>
      </c>
      <c r="N85" s="2">
        <v>0</v>
      </c>
      <c r="O85" s="2">
        <v>0</v>
      </c>
      <c r="P85" s="4">
        <v>0</v>
      </c>
      <c r="Q85" s="41">
        <v>0.99999999580495169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1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0.2</v>
      </c>
      <c r="AH85" s="40">
        <v>0.13500000000000001</v>
      </c>
      <c r="AI85" s="40">
        <v>0.18</v>
      </c>
      <c r="AJ85" s="40">
        <v>0.25</v>
      </c>
      <c r="AK85" s="40">
        <v>0.65</v>
      </c>
      <c r="AL85" s="40">
        <v>1</v>
      </c>
      <c r="AM85" s="40">
        <v>1</v>
      </c>
      <c r="AN85" s="40">
        <v>1</v>
      </c>
      <c r="AO85" s="40">
        <v>1</v>
      </c>
      <c r="AP85" s="40">
        <v>1</v>
      </c>
      <c r="AQ85" s="40">
        <f t="shared" si="60"/>
        <v>1</v>
      </c>
      <c r="AR85" s="40">
        <f t="shared" si="61"/>
        <v>1</v>
      </c>
      <c r="AS85" s="40">
        <f t="shared" si="62"/>
        <v>1</v>
      </c>
      <c r="AT85" s="40" cm="1">
        <f t="array" ref="AT85">_xlfn.IFS(AG85&gt;sheet2!$C$2,1,AG85=sheet2!$C$2,0,AG85&lt;sheet2!$C$2,-1)</f>
        <v>0</v>
      </c>
      <c r="AU85" s="40" cm="1">
        <f t="array" ref="AU85">_xlfn.IFS(AH85&gt;sheet2!$D$2,1,AH85=sheet2!$D$2,0,AH85&lt;sheet2!$D$2,-1)</f>
        <v>0</v>
      </c>
      <c r="AV85" s="40" cm="1">
        <f t="array" ref="AV85">_xlfn.IFS(AI85&gt;sheet2!$E$2,1,AI85=sheet2!$E$2,0,AI85&lt;sheet2!$E$2,-1)</f>
        <v>0</v>
      </c>
      <c r="AW85" s="40" cm="1">
        <f t="array" ref="AW85">_xlfn.IFS(AJ85&gt;sheet2!$F$2,1,AJ85=sheet2!$F$2,0,AJ85&lt;sheet2!$F$2,-1)</f>
        <v>0</v>
      </c>
      <c r="AX85" s="40" cm="1">
        <f t="array" ref="AX85">_xlfn.IFS(AK85&gt;sheet2!$G$2,1,AK85=sheet2!$G$2,0,AK85&lt;sheet2!$G$2,-1)</f>
        <v>0</v>
      </c>
      <c r="AY85">
        <v>0.42730643924291445</v>
      </c>
      <c r="AZ85">
        <v>0.71576470588235297</v>
      </c>
      <c r="BA85">
        <v>6.0423103899304303E-2</v>
      </c>
      <c r="BB85">
        <v>2.0436093683993423E-2</v>
      </c>
      <c r="BC85">
        <v>0.70113985534709433</v>
      </c>
    </row>
    <row r="86" spans="1:55" ht="14.4" x14ac:dyDescent="0.25">
      <c r="A86" s="2">
        <v>11</v>
      </c>
      <c r="B86" s="2" t="s">
        <v>20</v>
      </c>
      <c r="C86" s="2">
        <v>2020</v>
      </c>
      <c r="D86" s="2">
        <v>24660</v>
      </c>
      <c r="E86" s="17">
        <v>40702.233611367999</v>
      </c>
      <c r="F86" s="5">
        <v>64613.34</v>
      </c>
      <c r="G86" s="3">
        <f t="shared" si="40"/>
        <v>0.3816549337954051</v>
      </c>
      <c r="H86" s="2">
        <f t="shared" si="57"/>
        <v>6.2691430434882012E-2</v>
      </c>
      <c r="I86" s="14">
        <v>0.48364119927943094</v>
      </c>
      <c r="J86" s="2">
        <f t="shared" si="58"/>
        <v>-9.5396509235648269E-2</v>
      </c>
      <c r="K86">
        <f t="shared" si="42"/>
        <v>0.62993545313348609</v>
      </c>
      <c r="L86">
        <f t="shared" si="59"/>
        <v>-2.7975177147458261E-2</v>
      </c>
      <c r="M86" s="2">
        <v>0</v>
      </c>
      <c r="N86" s="2">
        <v>0</v>
      </c>
      <c r="O86" s="2">
        <v>0</v>
      </c>
      <c r="P86" s="4">
        <v>0</v>
      </c>
      <c r="Q86" s="41">
        <v>0.99999999580495169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1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0.2</v>
      </c>
      <c r="AH86" s="40">
        <v>0.13500000000000001</v>
      </c>
      <c r="AI86" s="40">
        <v>0.18</v>
      </c>
      <c r="AJ86" s="40">
        <v>0.25</v>
      </c>
      <c r="AK86" s="40">
        <v>0.65</v>
      </c>
      <c r="AL86" s="40">
        <v>1</v>
      </c>
      <c r="AM86" s="40">
        <v>1</v>
      </c>
      <c r="AN86" s="40">
        <v>1</v>
      </c>
      <c r="AO86" s="40">
        <v>1</v>
      </c>
      <c r="AP86" s="40">
        <v>1</v>
      </c>
      <c r="AQ86" s="40">
        <f t="shared" si="60"/>
        <v>1</v>
      </c>
      <c r="AR86" s="40">
        <f t="shared" si="61"/>
        <v>1</v>
      </c>
      <c r="AS86" s="40">
        <f t="shared" si="62"/>
        <v>1</v>
      </c>
      <c r="AT86" s="40" cm="1">
        <f t="array" ref="AT86">_xlfn.IFS(AG86&gt;sheet2!$C$2,1,AG86=sheet2!$C$2,0,AG86&lt;sheet2!$C$2,-1)</f>
        <v>0</v>
      </c>
      <c r="AU86" s="40" cm="1">
        <f t="array" ref="AU86">_xlfn.IFS(AH86&gt;sheet2!$D$2,1,AH86=sheet2!$D$2,0,AH86&lt;sheet2!$D$2,-1)</f>
        <v>0</v>
      </c>
      <c r="AV86" s="40" cm="1">
        <f t="array" ref="AV86">_xlfn.IFS(AI86&gt;sheet2!$E$2,1,AI86=sheet2!$E$2,0,AI86&lt;sheet2!$E$2,-1)</f>
        <v>0</v>
      </c>
      <c r="AW86" s="40" cm="1">
        <f t="array" ref="AW86">_xlfn.IFS(AJ86&gt;sheet2!$F$2,1,AJ86=sheet2!$F$2,0,AJ86&lt;sheet2!$F$2,-1)</f>
        <v>0</v>
      </c>
      <c r="AX86" s="40" cm="1">
        <f t="array" ref="AX86">_xlfn.IFS(AK86&gt;sheet2!$G$2,1,AK86=sheet2!$G$2,0,AK86&lt;sheet2!$G$2,-1)</f>
        <v>0</v>
      </c>
      <c r="AY86">
        <v>0.41227090257213145</v>
      </c>
      <c r="AZ86">
        <v>0.72170686456400746</v>
      </c>
      <c r="BA86">
        <v>6.1304570356188276E-2</v>
      </c>
      <c r="BB86">
        <v>2.1603879322752859E-2</v>
      </c>
      <c r="BC86">
        <v>0.71892807089062594</v>
      </c>
    </row>
    <row r="87" spans="1:55" ht="14.4" x14ac:dyDescent="0.25">
      <c r="A87" s="2">
        <v>11</v>
      </c>
      <c r="B87" s="2" t="s">
        <v>20</v>
      </c>
      <c r="C87" s="2">
        <v>2021</v>
      </c>
      <c r="D87" s="2">
        <v>26623.7</v>
      </c>
      <c r="E87" s="17">
        <v>42584.715083374802</v>
      </c>
      <c r="F87" s="30">
        <v>73515.757700000002</v>
      </c>
      <c r="G87" s="3">
        <f t="shared" si="40"/>
        <v>0.36214956946570381</v>
      </c>
      <c r="H87" s="2">
        <f t="shared" si="57"/>
        <v>-5.1107329167026018E-2</v>
      </c>
      <c r="I87" s="14">
        <v>0.51196254197261071</v>
      </c>
      <c r="J87" s="2">
        <f t="shared" si="58"/>
        <v>5.8558581724169209E-2</v>
      </c>
      <c r="K87">
        <f t="shared" si="42"/>
        <v>0.57925969092439622</v>
      </c>
      <c r="L87">
        <f t="shared" si="59"/>
        <v>-8.0445959910675879E-2</v>
      </c>
      <c r="M87" s="2">
        <v>0</v>
      </c>
      <c r="N87" s="2">
        <v>0</v>
      </c>
      <c r="O87" s="2">
        <v>0</v>
      </c>
      <c r="P87" s="4">
        <v>0</v>
      </c>
      <c r="Q87" s="41">
        <v>0.99999999580495169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1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0.2</v>
      </c>
      <c r="AH87" s="40">
        <v>0.13500000000000001</v>
      </c>
      <c r="AI87" s="40">
        <v>0.18</v>
      </c>
      <c r="AJ87" s="40">
        <v>0.25</v>
      </c>
      <c r="AK87" s="40">
        <v>0.65</v>
      </c>
      <c r="AL87" s="40">
        <v>1</v>
      </c>
      <c r="AM87" s="40">
        <v>1</v>
      </c>
      <c r="AN87" s="40">
        <v>1</v>
      </c>
      <c r="AO87" s="40">
        <v>1</v>
      </c>
      <c r="AP87" s="40">
        <v>1</v>
      </c>
      <c r="AQ87" s="40">
        <f t="shared" si="60"/>
        <v>1</v>
      </c>
      <c r="AR87" s="40">
        <f t="shared" si="61"/>
        <v>1</v>
      </c>
      <c r="AS87" s="40">
        <f t="shared" si="62"/>
        <v>1</v>
      </c>
      <c r="AT87" s="40" cm="1">
        <f t="array" ref="AT87">_xlfn.IFS(AG87&gt;sheet2!$C$2,1,AG87=sheet2!$C$2,0,AG87&lt;sheet2!$C$2,-1)</f>
        <v>0</v>
      </c>
      <c r="AU87" s="40" cm="1">
        <f t="array" ref="AU87">_xlfn.IFS(AH87&gt;sheet2!$D$2,1,AH87=sheet2!$D$2,0,AH87&lt;sheet2!$D$2,-1)</f>
        <v>0</v>
      </c>
      <c r="AV87" s="40" cm="1">
        <f t="array" ref="AV87">_xlfn.IFS(AI87&gt;sheet2!$E$2,1,AI87=sheet2!$E$2,0,AI87&lt;sheet2!$E$2,-1)</f>
        <v>0</v>
      </c>
      <c r="AW87" s="40" cm="1">
        <f t="array" ref="AW87">_xlfn.IFS(AJ87&gt;sheet2!$F$2,1,AJ87=sheet2!$F$2,0,AJ87&lt;sheet2!$F$2,-1)</f>
        <v>0</v>
      </c>
      <c r="AX87" s="40" cm="1">
        <f t="array" ref="AX87">_xlfn.IFS(AK87&gt;sheet2!$G$2,1,AK87=sheet2!$G$2,0,AK87&lt;sheet2!$G$2,-1)</f>
        <v>0</v>
      </c>
      <c r="AY87">
        <v>0.42672076003101578</v>
      </c>
      <c r="AZ87">
        <v>0.726605504587156</v>
      </c>
      <c r="BA87">
        <v>6.1986996000227473E-2</v>
      </c>
      <c r="BB87">
        <v>2.1650601854573553E-2</v>
      </c>
      <c r="BC87">
        <v>0.75015411377091656</v>
      </c>
    </row>
    <row r="88" spans="1:55" ht="14.4" x14ac:dyDescent="0.25">
      <c r="A88" s="2">
        <v>11</v>
      </c>
      <c r="B88" s="2" t="s">
        <v>20</v>
      </c>
      <c r="C88" s="2">
        <v>2022</v>
      </c>
      <c r="D88" s="2">
        <v>29112.3</v>
      </c>
      <c r="E88" s="17">
        <v>41497.248560751497</v>
      </c>
      <c r="F88" s="30">
        <v>77715.399999999994</v>
      </c>
      <c r="G88" s="3">
        <f t="shared" si="40"/>
        <v>0.37460143034713844</v>
      </c>
      <c r="H88" s="2">
        <f t="shared" si="57"/>
        <v>3.4383199460392679E-2</v>
      </c>
      <c r="I88" s="14">
        <v>0.26993341642056229</v>
      </c>
      <c r="J88" s="2">
        <f t="shared" si="58"/>
        <v>-0.47274772216635458</v>
      </c>
      <c r="K88">
        <f t="shared" si="42"/>
        <v>0.53396429228636155</v>
      </c>
      <c r="L88">
        <f t="shared" si="59"/>
        <v>-7.819532300918644E-2</v>
      </c>
      <c r="M88" s="2">
        <v>1</v>
      </c>
      <c r="N88" s="2">
        <v>1</v>
      </c>
      <c r="O88" s="2">
        <v>0</v>
      </c>
      <c r="P88" s="4">
        <v>0</v>
      </c>
      <c r="Q88" s="41">
        <v>0.99999999580495169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1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0.2</v>
      </c>
      <c r="AH88" s="40">
        <v>0.13500000000000001</v>
      </c>
      <c r="AI88" s="40">
        <v>0.18</v>
      </c>
      <c r="AJ88" s="40">
        <v>0.25</v>
      </c>
      <c r="AK88" s="40">
        <v>0.65</v>
      </c>
      <c r="AL88" s="40">
        <v>1</v>
      </c>
      <c r="AM88" s="40">
        <v>1</v>
      </c>
      <c r="AN88" s="40">
        <v>1</v>
      </c>
      <c r="AO88" s="40">
        <v>1</v>
      </c>
      <c r="AP88" s="40">
        <v>1</v>
      </c>
      <c r="AQ88" s="40">
        <f t="shared" si="60"/>
        <v>1</v>
      </c>
      <c r="AR88" s="40">
        <f t="shared" si="61"/>
        <v>1</v>
      </c>
      <c r="AS88" s="40">
        <f t="shared" si="62"/>
        <v>1</v>
      </c>
      <c r="AT88" s="40" cm="1">
        <f t="array" ref="AT88">_xlfn.IFS(AG88&gt;sheet2!$C$2,1,AG88=sheet2!$C$2,0,AG88&lt;sheet2!$C$2,-1)</f>
        <v>0</v>
      </c>
      <c r="AU88" s="40" cm="1">
        <f t="array" ref="AU88">_xlfn.IFS(AH88&gt;sheet2!$D$2,1,AH88=sheet2!$D$2,0,AH88&lt;sheet2!$D$2,-1)</f>
        <v>0</v>
      </c>
      <c r="AV88" s="40" cm="1">
        <f t="array" ref="AV88">_xlfn.IFS(AI88&gt;sheet2!$E$2,1,AI88=sheet2!$E$2,0,AI88&lt;sheet2!$E$2,-1)</f>
        <v>0</v>
      </c>
      <c r="AW88" s="40" cm="1">
        <f t="array" ref="AW88">_xlfn.IFS(AJ88&gt;sheet2!$F$2,1,AJ88=sheet2!$F$2,0,AJ88&lt;sheet2!$F$2,-1)</f>
        <v>0</v>
      </c>
      <c r="AX88" s="40" cm="1">
        <f t="array" ref="AX88">_xlfn.IFS(AK88&gt;sheet2!$G$2,1,AK88=sheet2!$G$2,0,AK88&lt;sheet2!$G$2,-1)</f>
        <v>0</v>
      </c>
      <c r="AY88">
        <v>0.42299595704326304</v>
      </c>
      <c r="AZ88">
        <v>0.73376919568192189</v>
      </c>
      <c r="BA88">
        <v>6.2337686956192066E-2</v>
      </c>
      <c r="BB88">
        <v>2.2750399534712556E-2</v>
      </c>
      <c r="BC88">
        <v>0.66899627052583754</v>
      </c>
    </row>
    <row r="89" spans="1:55" ht="14.4" x14ac:dyDescent="0.25">
      <c r="A89" s="2">
        <v>11</v>
      </c>
      <c r="B89" s="2" t="s">
        <v>20</v>
      </c>
      <c r="C89" s="2">
        <v>2023</v>
      </c>
      <c r="D89" s="2">
        <v>34248</v>
      </c>
      <c r="E89">
        <v>44180.1707684711</v>
      </c>
      <c r="F89" s="32">
        <v>82553.2</v>
      </c>
      <c r="G89" s="3">
        <f t="shared" si="40"/>
        <v>0.41485975104538653</v>
      </c>
      <c r="H89" s="2">
        <f t="shared" si="57"/>
        <v>0.10746974634064052</v>
      </c>
      <c r="I89" s="14"/>
      <c r="K89">
        <f t="shared" si="42"/>
        <v>0.53517211650755026</v>
      </c>
      <c r="L89">
        <f t="shared" si="59"/>
        <v>2.2619943667337109E-3</v>
      </c>
      <c r="M89" s="2">
        <v>1</v>
      </c>
      <c r="N89" s="2">
        <v>1</v>
      </c>
      <c r="O89" s="2">
        <v>1</v>
      </c>
      <c r="P89" s="4">
        <v>0</v>
      </c>
      <c r="Q89" s="41">
        <v>0.99999999580495169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1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0.2</v>
      </c>
      <c r="AH89" s="40">
        <v>0.13500000000000001</v>
      </c>
      <c r="AI89" s="40">
        <v>0.18</v>
      </c>
      <c r="AJ89" s="40">
        <v>0.25</v>
      </c>
      <c r="AK89" s="40">
        <v>0.65</v>
      </c>
      <c r="AL89" s="40">
        <v>1</v>
      </c>
      <c r="AM89" s="40">
        <v>1</v>
      </c>
      <c r="AN89" s="40">
        <v>1</v>
      </c>
      <c r="AO89" s="40">
        <v>1</v>
      </c>
      <c r="AP89" s="40">
        <v>1</v>
      </c>
      <c r="AQ89" s="40">
        <f t="shared" si="60"/>
        <v>1</v>
      </c>
      <c r="AR89" s="40">
        <f t="shared" si="61"/>
        <v>1</v>
      </c>
      <c r="AS89" s="40">
        <f t="shared" si="62"/>
        <v>1</v>
      </c>
      <c r="AT89" s="40" cm="1">
        <f t="array" ref="AT89">_xlfn.IFS(AG89&gt;sheet2!$C$2,1,AG89=sheet2!$C$2,0,AG89&lt;sheet2!$C$2,-1)</f>
        <v>0</v>
      </c>
      <c r="AU89" s="40" cm="1">
        <f t="array" ref="AU89">_xlfn.IFS(AH89&gt;sheet2!$D$2,1,AH89=sheet2!$D$2,0,AH89&lt;sheet2!$D$2,-1)</f>
        <v>0</v>
      </c>
      <c r="AV89" s="40" cm="1">
        <f t="array" ref="AV89">_xlfn.IFS(AI89&gt;sheet2!$E$2,1,AI89=sheet2!$E$2,0,AI89&lt;sheet2!$E$2,-1)</f>
        <v>0</v>
      </c>
      <c r="AW89" s="40" cm="1">
        <f t="array" ref="AW89">_xlfn.IFS(AJ89&gt;sheet2!$F$2,1,AJ89=sheet2!$F$2,0,AJ89&lt;sheet2!$F$2,-1)</f>
        <v>0</v>
      </c>
      <c r="AX89" s="40" cm="1">
        <f t="array" ref="AX89">_xlfn.IFS(AK89&gt;sheet2!$G$2,1,AK89=sheet2!$G$2,0,AK89&lt;sheet2!$G$2,-1)</f>
        <v>0</v>
      </c>
      <c r="AY89">
        <v>0.40684189104722773</v>
      </c>
      <c r="AZ89">
        <v>0.74226648558925612</v>
      </c>
      <c r="BA89">
        <v>6.2811593653441508E-2</v>
      </c>
      <c r="BB89">
        <v>2.2138160604313343E-2</v>
      </c>
      <c r="BC89">
        <v>0.69622337407077906</v>
      </c>
    </row>
    <row r="90" spans="1:55" s="40" customFormat="1" ht="14.4" x14ac:dyDescent="0.25">
      <c r="A90" s="35">
        <v>12</v>
      </c>
      <c r="B90" s="35" t="s">
        <v>21</v>
      </c>
      <c r="C90" s="35">
        <v>2016</v>
      </c>
      <c r="D90" s="35">
        <v>12663</v>
      </c>
      <c r="E90" s="36">
        <v>44756.212596559002</v>
      </c>
      <c r="F90" s="37">
        <v>24407.62</v>
      </c>
      <c r="G90" s="38">
        <f t="shared" si="40"/>
        <v>0.51881338696685708</v>
      </c>
      <c r="H90" s="35"/>
      <c r="I90" s="39">
        <v>0.25142082076700628</v>
      </c>
      <c r="J90" s="35"/>
      <c r="K90" s="40">
        <f t="shared" si="42"/>
        <v>1.8336983530782192</v>
      </c>
      <c r="M90" s="35">
        <v>0</v>
      </c>
      <c r="N90" s="35">
        <v>0</v>
      </c>
      <c r="O90" s="35">
        <v>0</v>
      </c>
      <c r="P90" s="41">
        <v>1</v>
      </c>
      <c r="Q90" s="40">
        <v>0.82532823278057965</v>
      </c>
      <c r="R90" s="40">
        <v>-2.1994134897360709E-2</v>
      </c>
      <c r="S90" s="40">
        <v>-0.1951188148768794</v>
      </c>
      <c r="T90" s="40">
        <v>1.1000000000000001</v>
      </c>
      <c r="U90" s="40">
        <v>-0.18999999999999989</v>
      </c>
      <c r="V90" s="40">
        <v>-4.2622950819672129E-2</v>
      </c>
      <c r="W90" s="40">
        <v>-0.22906403940886699</v>
      </c>
      <c r="X90" s="40">
        <v>-0.1136363636363636</v>
      </c>
      <c r="Y90" s="40">
        <v>0.27943466104134984</v>
      </c>
      <c r="Z90" s="40">
        <v>-1.5806111696522653E-2</v>
      </c>
      <c r="AA90" s="40">
        <v>-0.13992379984336034</v>
      </c>
      <c r="AB90" s="40">
        <v>0.31428571428571433</v>
      </c>
      <c r="AC90" s="40">
        <v>-0.1104651162790697</v>
      </c>
      <c r="AD90" s="40">
        <v>-3.4451102317693619E-2</v>
      </c>
      <c r="AE90" s="40">
        <v>-0.24488176080027213</v>
      </c>
      <c r="AF90" s="40">
        <v>-0.13257575757575754</v>
      </c>
      <c r="AG90" s="40">
        <v>0.155</v>
      </c>
      <c r="AH90" s="40">
        <v>0.14000000000000001</v>
      </c>
      <c r="AI90" s="40">
        <v>0.18</v>
      </c>
      <c r="AJ90" s="40">
        <v>0.22</v>
      </c>
      <c r="AK90" s="40">
        <v>0.65</v>
      </c>
      <c r="AL90" s="40">
        <v>0.77499999999999991</v>
      </c>
      <c r="AM90" s="40">
        <v>1.037037037037037</v>
      </c>
      <c r="AN90" s="40">
        <v>1</v>
      </c>
      <c r="AO90" s="40">
        <v>0.88</v>
      </c>
      <c r="AP90" s="40">
        <v>1</v>
      </c>
      <c r="AQ90" s="40">
        <f t="shared" si="48"/>
        <v>0.8274999999999999</v>
      </c>
      <c r="AR90" s="40">
        <f t="shared" si="49"/>
        <v>1.037037037037037</v>
      </c>
      <c r="AS90" s="40">
        <f t="shared" si="50"/>
        <v>1</v>
      </c>
      <c r="AT90" s="40" cm="1">
        <f t="array" ref="AT90">_xlfn.IFS(AG90&gt;sheet2!$C$2,1,AG90=sheet2!$C$2,0,AG90&lt;sheet2!$C$2,-1)</f>
        <v>-1</v>
      </c>
      <c r="AU90" s="40" cm="1">
        <f t="array" ref="AU90">_xlfn.IFS(AH90&gt;sheet2!$D$2,1,AH90=sheet2!$D$2,0,AH90&lt;sheet2!$D$2,-1)</f>
        <v>1</v>
      </c>
      <c r="AV90" s="40" cm="1">
        <f t="array" ref="AV90">_xlfn.IFS(AI90&gt;sheet2!$E$2,1,AI90=sheet2!$E$2,0,AI90&lt;sheet2!$E$2,-1)</f>
        <v>0</v>
      </c>
      <c r="AW90" s="40" cm="1">
        <f t="array" ref="AW90">_xlfn.IFS(AJ90&gt;sheet2!$F$2,1,AJ90=sheet2!$F$2,0,AJ90&lt;sheet2!$F$2,-1)</f>
        <v>-1</v>
      </c>
      <c r="AX90" s="40" cm="1">
        <f t="array" ref="AX90">_xlfn.IFS(AK90&gt;sheet2!$G$2,1,AK90=sheet2!$G$2,0,AK90&lt;sheet2!$G$2,-1)</f>
        <v>0</v>
      </c>
      <c r="AY90" s="40">
        <v>0.47188132230836111</v>
      </c>
      <c r="AZ90" s="40">
        <v>0.5262721697331344</v>
      </c>
      <c r="BA90" s="40">
        <v>4.304980733552162E-2</v>
      </c>
      <c r="BB90" s="40">
        <v>1.5196991759130961E-2</v>
      </c>
      <c r="BC90" s="40">
        <v>0.48394245828769045</v>
      </c>
    </row>
    <row r="91" spans="1:55" ht="14.4" x14ac:dyDescent="0.25">
      <c r="A91" s="2">
        <v>12</v>
      </c>
      <c r="B91" s="2" t="s">
        <v>21</v>
      </c>
      <c r="C91" s="2">
        <v>2017</v>
      </c>
      <c r="D91" s="2">
        <v>13019</v>
      </c>
      <c r="E91" s="17">
        <v>45381.296781903598</v>
      </c>
      <c r="F91" s="5">
        <v>27018</v>
      </c>
      <c r="G91" s="3">
        <f t="shared" si="40"/>
        <v>0.48186394255681397</v>
      </c>
      <c r="H91" s="2">
        <f t="shared" ref="H91:H97" si="63">(G91-G90)/G90</f>
        <v>-7.1219142254715026E-2</v>
      </c>
      <c r="I91" s="14">
        <v>0.26613754641171927</v>
      </c>
      <c r="J91" s="2">
        <f t="shared" ref="J91:J96" si="64">(I91-I90)/I90</f>
        <v>5.853423594679575E-2</v>
      </c>
      <c r="K91">
        <f t="shared" si="42"/>
        <v>1.6796689903732178</v>
      </c>
      <c r="L91">
        <f t="shared" ref="L91:L97" si="65">(K91-K90)/K90</f>
        <v>-8.3999291620910882E-2</v>
      </c>
      <c r="M91" s="2">
        <v>0</v>
      </c>
      <c r="N91" s="2">
        <v>0</v>
      </c>
      <c r="O91" s="2">
        <v>0</v>
      </c>
      <c r="P91" s="4">
        <v>1</v>
      </c>
      <c r="Q91" s="40">
        <v>0.82532823278057965</v>
      </c>
      <c r="R91" s="40">
        <v>-2.1994134897360709E-2</v>
      </c>
      <c r="S91" s="40">
        <v>-0.1951188148768794</v>
      </c>
      <c r="T91" s="40">
        <v>1.1000000000000001</v>
      </c>
      <c r="U91" s="40">
        <v>-0.18999999999999989</v>
      </c>
      <c r="V91" s="40">
        <v>-4.2622950819672129E-2</v>
      </c>
      <c r="W91" s="40">
        <v>-0.22906403940886699</v>
      </c>
      <c r="X91" s="40">
        <v>-0.1136363636363636</v>
      </c>
      <c r="Y91" s="40">
        <v>0.27943466104134984</v>
      </c>
      <c r="Z91" s="40">
        <v>-1.5806111696522653E-2</v>
      </c>
      <c r="AA91" s="40">
        <v>-0.13992379984336034</v>
      </c>
      <c r="AB91" s="40">
        <v>0.31428571428571433</v>
      </c>
      <c r="AC91" s="40">
        <v>-0.1104651162790697</v>
      </c>
      <c r="AD91" s="40">
        <v>-3.4451102317693619E-2</v>
      </c>
      <c r="AE91" s="40">
        <v>-0.24488176080027213</v>
      </c>
      <c r="AF91" s="40">
        <v>-0.13257575757575754</v>
      </c>
      <c r="AG91" s="40">
        <v>0.155</v>
      </c>
      <c r="AH91" s="40">
        <v>0.14000000000000001</v>
      </c>
      <c r="AI91" s="40">
        <v>0.18</v>
      </c>
      <c r="AJ91" s="40">
        <v>0.22</v>
      </c>
      <c r="AK91" s="40">
        <v>0.65</v>
      </c>
      <c r="AL91" s="40">
        <v>0.77499999999999991</v>
      </c>
      <c r="AM91" s="40">
        <v>1.037037037037037</v>
      </c>
      <c r="AN91" s="40">
        <v>1</v>
      </c>
      <c r="AO91" s="40">
        <v>0.88</v>
      </c>
      <c r="AP91" s="40">
        <v>1</v>
      </c>
      <c r="AQ91" s="40">
        <f t="shared" ref="AQ91:AQ97" si="66">AVERAGE(AL91,AO91)</f>
        <v>0.8274999999999999</v>
      </c>
      <c r="AR91" s="40">
        <f t="shared" ref="AR91:AR97" si="67">AVERAGE(AM91)</f>
        <v>1.037037037037037</v>
      </c>
      <c r="AS91" s="40">
        <f t="shared" ref="AS91:AS97" si="68">AVERAGE(AN91,AP91)</f>
        <v>1</v>
      </c>
      <c r="AT91" s="40" cm="1">
        <f t="array" ref="AT91">_xlfn.IFS(AG91&gt;sheet2!$C$2,1,AG91=sheet2!$C$2,0,AG91&lt;sheet2!$C$2,-1)</f>
        <v>-1</v>
      </c>
      <c r="AU91" s="40" cm="1">
        <f t="array" ref="AU91">_xlfn.IFS(AH91&gt;sheet2!$D$2,1,AH91=sheet2!$D$2,0,AH91&lt;sheet2!$D$2,-1)</f>
        <v>1</v>
      </c>
      <c r="AV91" s="40" cm="1">
        <f t="array" ref="AV91">_xlfn.IFS(AI91&gt;sheet2!$E$2,1,AI91=sheet2!$E$2,0,AI91&lt;sheet2!$E$2,-1)</f>
        <v>0</v>
      </c>
      <c r="AW91" s="40" cm="1">
        <f t="array" ref="AW91">_xlfn.IFS(AJ91&gt;sheet2!$F$2,1,AJ91=sheet2!$F$2,0,AJ91&lt;sheet2!$F$2,-1)</f>
        <v>-1</v>
      </c>
      <c r="AX91" s="40" cm="1">
        <f t="array" ref="AX91">_xlfn.IFS(AK91&gt;sheet2!$G$2,1,AK91=sheet2!$G$2,0,AK91&lt;sheet2!$G$2,-1)</f>
        <v>0</v>
      </c>
      <c r="AY91">
        <v>0.46936116662965432</v>
      </c>
      <c r="AZ91">
        <v>0.54284299157999005</v>
      </c>
      <c r="BA91">
        <v>4.3221064649636078E-2</v>
      </c>
      <c r="BB91">
        <v>1.6141738840772815E-2</v>
      </c>
      <c r="BC91">
        <v>0.45334238153650736</v>
      </c>
    </row>
    <row r="92" spans="1:55" ht="14.4" x14ac:dyDescent="0.25">
      <c r="A92" s="2">
        <v>12</v>
      </c>
      <c r="B92" s="2" t="s">
        <v>21</v>
      </c>
      <c r="C92" s="2">
        <v>2018</v>
      </c>
      <c r="D92" s="2">
        <v>13295</v>
      </c>
      <c r="E92" s="17">
        <v>49219.239781651799</v>
      </c>
      <c r="F92" s="5">
        <v>30006.82</v>
      </c>
      <c r="G92" s="3">
        <f t="shared" si="40"/>
        <v>0.44306594300895596</v>
      </c>
      <c r="H92" s="2">
        <f t="shared" si="63"/>
        <v>-8.0516502940627371E-2</v>
      </c>
      <c r="I92" s="14">
        <v>0.29855706434912865</v>
      </c>
      <c r="J92" s="2">
        <f t="shared" si="64"/>
        <v>0.12181489750136885</v>
      </c>
      <c r="K92">
        <f t="shared" si="42"/>
        <v>1.6402684383634054</v>
      </c>
      <c r="L92">
        <f t="shared" si="65"/>
        <v>-2.3457331316843393E-2</v>
      </c>
      <c r="M92" s="2">
        <v>0</v>
      </c>
      <c r="N92" s="2">
        <v>0</v>
      </c>
      <c r="O92" s="2">
        <v>0</v>
      </c>
      <c r="P92" s="4">
        <v>1</v>
      </c>
      <c r="Q92" s="40">
        <v>0.82532823278057965</v>
      </c>
      <c r="R92" s="40">
        <v>-2.1994134897360709E-2</v>
      </c>
      <c r="S92" s="40">
        <v>-0.1951188148768794</v>
      </c>
      <c r="T92" s="40">
        <v>1.1000000000000001</v>
      </c>
      <c r="U92" s="40">
        <v>-0.18999999999999989</v>
      </c>
      <c r="V92" s="40">
        <v>-4.2622950819672129E-2</v>
      </c>
      <c r="W92" s="40">
        <v>-0.22906403940886699</v>
      </c>
      <c r="X92" s="40">
        <v>-0.1136363636363636</v>
      </c>
      <c r="Y92" s="40">
        <v>0.27943466104134984</v>
      </c>
      <c r="Z92" s="40">
        <v>-1.5806111696522653E-2</v>
      </c>
      <c r="AA92" s="40">
        <v>-0.13992379984336034</v>
      </c>
      <c r="AB92" s="40">
        <v>0.31428571428571433</v>
      </c>
      <c r="AC92" s="40">
        <v>-0.1104651162790697</v>
      </c>
      <c r="AD92" s="40">
        <v>-3.4451102317693619E-2</v>
      </c>
      <c r="AE92" s="40">
        <v>-0.24488176080027213</v>
      </c>
      <c r="AF92" s="40">
        <v>-0.13257575757575754</v>
      </c>
      <c r="AG92" s="40">
        <v>0.155</v>
      </c>
      <c r="AH92" s="40">
        <v>0.14000000000000001</v>
      </c>
      <c r="AI92" s="40">
        <v>0.18</v>
      </c>
      <c r="AJ92" s="40">
        <v>0.22</v>
      </c>
      <c r="AK92" s="40">
        <v>0.65</v>
      </c>
      <c r="AL92" s="40">
        <v>0.77499999999999991</v>
      </c>
      <c r="AM92" s="40">
        <v>1.037037037037037</v>
      </c>
      <c r="AN92" s="40">
        <v>1</v>
      </c>
      <c r="AO92" s="40">
        <v>0.88</v>
      </c>
      <c r="AP92" s="40">
        <v>1</v>
      </c>
      <c r="AQ92" s="40">
        <f t="shared" si="66"/>
        <v>0.8274999999999999</v>
      </c>
      <c r="AR92" s="40">
        <f t="shared" si="67"/>
        <v>1.037037037037037</v>
      </c>
      <c r="AS92" s="40">
        <f t="shared" si="68"/>
        <v>1</v>
      </c>
      <c r="AT92" s="40" cm="1">
        <f t="array" ref="AT92">_xlfn.IFS(AG92&gt;sheet2!$C$2,1,AG92=sheet2!$C$2,0,AG92&lt;sheet2!$C$2,-1)</f>
        <v>-1</v>
      </c>
      <c r="AU92" s="40" cm="1">
        <f t="array" ref="AU92">_xlfn.IFS(AH92&gt;sheet2!$D$2,1,AH92=sheet2!$D$2,0,AH92&lt;sheet2!$D$2,-1)</f>
        <v>1</v>
      </c>
      <c r="AV92" s="40" cm="1">
        <f t="array" ref="AV92">_xlfn.IFS(AI92&gt;sheet2!$E$2,1,AI92=sheet2!$E$2,0,AI92&lt;sheet2!$E$2,-1)</f>
        <v>0</v>
      </c>
      <c r="AW92" s="40" cm="1">
        <f t="array" ref="AW92">_xlfn.IFS(AJ92&gt;sheet2!$F$2,1,AJ92=sheet2!$F$2,0,AJ92&lt;sheet2!$F$2,-1)</f>
        <v>-1</v>
      </c>
      <c r="AX92" s="40" cm="1">
        <f t="array" ref="AX92">_xlfn.IFS(AK92&gt;sheet2!$G$2,1,AK92=sheet2!$G$2,0,AK92&lt;sheet2!$G$2,-1)</f>
        <v>0</v>
      </c>
      <c r="AY92">
        <v>0.46970655337686568</v>
      </c>
      <c r="AZ92">
        <v>0.55645161290322576</v>
      </c>
      <c r="BA92">
        <v>4.3356643356643354E-2</v>
      </c>
      <c r="BB92">
        <v>1.6572989073817219E-2</v>
      </c>
      <c r="BC92">
        <v>0.46387711783815039</v>
      </c>
    </row>
    <row r="93" spans="1:55" ht="14.4" x14ac:dyDescent="0.25">
      <c r="A93" s="2">
        <v>12</v>
      </c>
      <c r="B93" s="2" t="s">
        <v>21</v>
      </c>
      <c r="C93" s="2">
        <v>2019</v>
      </c>
      <c r="D93" s="2">
        <v>13870</v>
      </c>
      <c r="E93" s="17">
        <v>49311.357396076601</v>
      </c>
      <c r="F93" s="5">
        <v>37113.980000000003</v>
      </c>
      <c r="G93" s="3">
        <f t="shared" si="40"/>
        <v>0.37371362489283011</v>
      </c>
      <c r="H93" s="2">
        <f t="shared" si="63"/>
        <v>-0.1565282080702014</v>
      </c>
      <c r="I93" s="14">
        <v>0.30629165087946875</v>
      </c>
      <c r="J93" s="2">
        <f t="shared" si="64"/>
        <v>2.5906560098324687E-2</v>
      </c>
      <c r="K93">
        <f t="shared" si="42"/>
        <v>1.3286464398611142</v>
      </c>
      <c r="L93">
        <f t="shared" si="65"/>
        <v>-0.18998231704879676</v>
      </c>
      <c r="M93" s="2">
        <v>0</v>
      </c>
      <c r="N93" s="2">
        <v>0</v>
      </c>
      <c r="O93" s="2">
        <v>0</v>
      </c>
      <c r="P93" s="4">
        <v>1</v>
      </c>
      <c r="Q93" s="40">
        <v>0.82532823278057965</v>
      </c>
      <c r="R93" s="40">
        <v>-2.1994134897360709E-2</v>
      </c>
      <c r="S93" s="40">
        <v>-0.1951188148768794</v>
      </c>
      <c r="T93" s="40">
        <v>1.1000000000000001</v>
      </c>
      <c r="U93" s="40">
        <v>-0.18999999999999989</v>
      </c>
      <c r="V93" s="40">
        <v>-4.2622950819672129E-2</v>
      </c>
      <c r="W93" s="40">
        <v>-0.22906403940886699</v>
      </c>
      <c r="X93" s="40">
        <v>-0.1136363636363636</v>
      </c>
      <c r="Y93" s="40">
        <v>0.27943466104134984</v>
      </c>
      <c r="Z93" s="40">
        <v>-1.5806111696522653E-2</v>
      </c>
      <c r="AA93" s="40">
        <v>-0.13992379984336034</v>
      </c>
      <c r="AB93" s="40">
        <v>0.31428571428571433</v>
      </c>
      <c r="AC93" s="40">
        <v>-0.1104651162790697</v>
      </c>
      <c r="AD93" s="40">
        <v>-3.4451102317693619E-2</v>
      </c>
      <c r="AE93" s="40">
        <v>-0.24488176080027213</v>
      </c>
      <c r="AF93" s="40">
        <v>-0.13257575757575754</v>
      </c>
      <c r="AG93" s="40">
        <v>0.155</v>
      </c>
      <c r="AH93" s="40">
        <v>0.14000000000000001</v>
      </c>
      <c r="AI93" s="40">
        <v>0.18</v>
      </c>
      <c r="AJ93" s="40">
        <v>0.22</v>
      </c>
      <c r="AK93" s="40">
        <v>0.65</v>
      </c>
      <c r="AL93" s="40">
        <v>0.77499999999999991</v>
      </c>
      <c r="AM93" s="40">
        <v>1.037037037037037</v>
      </c>
      <c r="AN93" s="40">
        <v>1</v>
      </c>
      <c r="AO93" s="40">
        <v>0.88</v>
      </c>
      <c r="AP93" s="40">
        <v>1</v>
      </c>
      <c r="AQ93" s="40">
        <f t="shared" si="66"/>
        <v>0.8274999999999999</v>
      </c>
      <c r="AR93" s="40">
        <f t="shared" si="67"/>
        <v>1.037037037037037</v>
      </c>
      <c r="AS93" s="40">
        <f t="shared" si="68"/>
        <v>1</v>
      </c>
      <c r="AT93" s="40" cm="1">
        <f t="array" ref="AT93">_xlfn.IFS(AG93&gt;sheet2!$C$2,1,AG93=sheet2!$C$2,0,AG93&lt;sheet2!$C$2,-1)</f>
        <v>-1</v>
      </c>
      <c r="AU93" s="40" cm="1">
        <f t="array" ref="AU93">_xlfn.IFS(AH93&gt;sheet2!$D$2,1,AH93=sheet2!$D$2,0,AH93&lt;sheet2!$D$2,-1)</f>
        <v>1</v>
      </c>
      <c r="AV93" s="40" cm="1">
        <f t="array" ref="AV93">_xlfn.IFS(AI93&gt;sheet2!$E$2,1,AI93=sheet2!$E$2,0,AI93&lt;sheet2!$E$2,-1)</f>
        <v>0</v>
      </c>
      <c r="AW93" s="40" cm="1">
        <f t="array" ref="AW93">_xlfn.IFS(AJ93&gt;sheet2!$F$2,1,AJ93=sheet2!$F$2,0,AJ93&lt;sheet2!$F$2,-1)</f>
        <v>-1</v>
      </c>
      <c r="AX93" s="40" cm="1">
        <f t="array" ref="AX93">_xlfn.IFS(AK93&gt;sheet2!$G$2,1,AK93=sheet2!$G$2,0,AK93&lt;sheet2!$G$2,-1)</f>
        <v>0</v>
      </c>
      <c r="AY93">
        <v>0.40135550000296377</v>
      </c>
      <c r="AZ93">
        <v>0.5702560735390676</v>
      </c>
      <c r="BA93">
        <v>4.3470814899386326E-2</v>
      </c>
      <c r="BB93">
        <v>1.5534229958630144E-2</v>
      </c>
      <c r="BC93">
        <v>0.43054860380237603</v>
      </c>
    </row>
    <row r="94" spans="1:55" ht="14.4" x14ac:dyDescent="0.25">
      <c r="A94" s="2">
        <v>12</v>
      </c>
      <c r="B94" s="2" t="s">
        <v>21</v>
      </c>
      <c r="C94" s="2">
        <v>2020</v>
      </c>
      <c r="D94" s="2">
        <v>14697.9</v>
      </c>
      <c r="E94" s="17">
        <v>49192.136507387295</v>
      </c>
      <c r="F94" s="5">
        <v>38680.629999999997</v>
      </c>
      <c r="G94" s="3">
        <f t="shared" si="40"/>
        <v>0.37998088448921336</v>
      </c>
      <c r="H94" s="2">
        <f t="shared" si="63"/>
        <v>1.6770219705477714E-2</v>
      </c>
      <c r="I94" s="14">
        <v>0.31147149484683045</v>
      </c>
      <c r="J94" s="2">
        <f t="shared" si="64"/>
        <v>1.6911476210626681E-2</v>
      </c>
      <c r="K94">
        <f t="shared" si="42"/>
        <v>1.2717511712551552</v>
      </c>
      <c r="L94">
        <f t="shared" si="65"/>
        <v>-4.2821977991305431E-2</v>
      </c>
      <c r="M94" s="2">
        <v>0</v>
      </c>
      <c r="N94" s="2">
        <v>0</v>
      </c>
      <c r="O94" s="2">
        <v>0</v>
      </c>
      <c r="P94" s="4">
        <v>1</v>
      </c>
      <c r="Q94" s="40">
        <v>0.82532823278057965</v>
      </c>
      <c r="R94" s="40">
        <v>-2.1994134897360709E-2</v>
      </c>
      <c r="S94" s="40">
        <v>-0.1951188148768794</v>
      </c>
      <c r="T94" s="40">
        <v>1.1000000000000001</v>
      </c>
      <c r="U94" s="40">
        <v>-0.18999999999999989</v>
      </c>
      <c r="V94" s="40">
        <v>-4.2622950819672129E-2</v>
      </c>
      <c r="W94" s="40">
        <v>-0.22906403940886699</v>
      </c>
      <c r="X94" s="40">
        <v>-0.1136363636363636</v>
      </c>
      <c r="Y94" s="40">
        <v>0.27943466104134984</v>
      </c>
      <c r="Z94" s="40">
        <v>-1.5806111696522653E-2</v>
      </c>
      <c r="AA94" s="40">
        <v>-0.13992379984336034</v>
      </c>
      <c r="AB94" s="40">
        <v>0.31428571428571433</v>
      </c>
      <c r="AC94" s="40">
        <v>-0.1104651162790697</v>
      </c>
      <c r="AD94" s="40">
        <v>-3.4451102317693619E-2</v>
      </c>
      <c r="AE94" s="40">
        <v>-0.24488176080027213</v>
      </c>
      <c r="AF94" s="40">
        <v>-0.13257575757575754</v>
      </c>
      <c r="AG94" s="40">
        <v>0.155</v>
      </c>
      <c r="AH94" s="40">
        <v>0.14000000000000001</v>
      </c>
      <c r="AI94" s="40">
        <v>0.18</v>
      </c>
      <c r="AJ94" s="40">
        <v>0.22</v>
      </c>
      <c r="AK94" s="40">
        <v>0.65</v>
      </c>
      <c r="AL94" s="40">
        <v>0.77499999999999991</v>
      </c>
      <c r="AM94" s="40">
        <v>1.037037037037037</v>
      </c>
      <c r="AN94" s="40">
        <v>1</v>
      </c>
      <c r="AO94" s="40">
        <v>0.88</v>
      </c>
      <c r="AP94" s="40">
        <v>1</v>
      </c>
      <c r="AQ94" s="40">
        <f t="shared" si="66"/>
        <v>0.8274999999999999</v>
      </c>
      <c r="AR94" s="40">
        <f t="shared" si="67"/>
        <v>1.037037037037037</v>
      </c>
      <c r="AS94" s="40">
        <f t="shared" si="68"/>
        <v>1</v>
      </c>
      <c r="AT94" s="40" cm="1">
        <f t="array" ref="AT94">_xlfn.IFS(AG94&gt;sheet2!$C$2,1,AG94=sheet2!$C$2,0,AG94&lt;sheet2!$C$2,-1)</f>
        <v>-1</v>
      </c>
      <c r="AU94" s="40" cm="1">
        <f t="array" ref="AU94">_xlfn.IFS(AH94&gt;sheet2!$D$2,1,AH94=sheet2!$D$2,0,AH94&lt;sheet2!$D$2,-1)</f>
        <v>1</v>
      </c>
      <c r="AV94" s="40" cm="1">
        <f t="array" ref="AV94">_xlfn.IFS(AI94&gt;sheet2!$E$2,1,AI94=sheet2!$E$2,0,AI94&lt;sheet2!$E$2,-1)</f>
        <v>0</v>
      </c>
      <c r="AW94" s="40" cm="1">
        <f t="array" ref="AW94">_xlfn.IFS(AJ94&gt;sheet2!$F$2,1,AJ94=sheet2!$F$2,0,AJ94&lt;sheet2!$F$2,-1)</f>
        <v>-1</v>
      </c>
      <c r="AX94" s="40" cm="1">
        <f t="array" ref="AX94">_xlfn.IFS(AK94&gt;sheet2!$G$2,1,AK94=sheet2!$G$2,0,AK94&lt;sheet2!$G$2,-1)</f>
        <v>0</v>
      </c>
      <c r="AY94">
        <v>0.39520297368476165</v>
      </c>
      <c r="AZ94">
        <v>0.58329238329238331</v>
      </c>
      <c r="BA94">
        <v>4.3563579277864993E-2</v>
      </c>
      <c r="BB94">
        <v>1.6530782978457177E-2</v>
      </c>
      <c r="BC94">
        <v>0.43031662159684975</v>
      </c>
    </row>
    <row r="95" spans="1:55" ht="14.4" x14ac:dyDescent="0.25">
      <c r="A95" s="2">
        <v>12</v>
      </c>
      <c r="B95" s="2" t="s">
        <v>21</v>
      </c>
      <c r="C95" s="2">
        <v>2021</v>
      </c>
      <c r="D95" s="2">
        <v>15342.63</v>
      </c>
      <c r="E95" s="17">
        <v>51795.175423308101</v>
      </c>
      <c r="F95" s="30">
        <v>42959.175300000003</v>
      </c>
      <c r="G95" s="3">
        <f t="shared" si="40"/>
        <v>0.35714442590800849</v>
      </c>
      <c r="H95" s="2">
        <f t="shared" si="63"/>
        <v>-6.0098966851721017E-2</v>
      </c>
      <c r="I95" s="14">
        <v>0.33921889199157801</v>
      </c>
      <c r="J95" s="2">
        <f t="shared" si="64"/>
        <v>8.9084868451261137E-2</v>
      </c>
      <c r="K95">
        <f t="shared" si="42"/>
        <v>1.2056836534128741</v>
      </c>
      <c r="L95">
        <f t="shared" si="65"/>
        <v>-5.1950034987642904E-2</v>
      </c>
      <c r="M95" s="2">
        <v>0</v>
      </c>
      <c r="N95" s="2">
        <v>0</v>
      </c>
      <c r="O95" s="2">
        <v>0</v>
      </c>
      <c r="P95" s="4">
        <v>1</v>
      </c>
      <c r="Q95" s="40">
        <v>0.82532823278057965</v>
      </c>
      <c r="R95" s="40">
        <v>-2.1994134897360709E-2</v>
      </c>
      <c r="S95" s="40">
        <v>-0.1951188148768794</v>
      </c>
      <c r="T95" s="40">
        <v>1.1000000000000001</v>
      </c>
      <c r="U95" s="40">
        <v>-0.18999999999999989</v>
      </c>
      <c r="V95" s="40">
        <v>-4.2622950819672129E-2</v>
      </c>
      <c r="W95" s="40">
        <v>-0.22906403940886699</v>
      </c>
      <c r="X95" s="40">
        <v>-0.1136363636363636</v>
      </c>
      <c r="Y95" s="40">
        <v>0.27943466104134984</v>
      </c>
      <c r="Z95" s="40">
        <v>-1.5806111696522653E-2</v>
      </c>
      <c r="AA95" s="40">
        <v>-0.13992379984336034</v>
      </c>
      <c r="AB95" s="40">
        <v>0.31428571428571433</v>
      </c>
      <c r="AC95" s="40">
        <v>-0.1104651162790697</v>
      </c>
      <c r="AD95" s="40">
        <v>-3.4451102317693619E-2</v>
      </c>
      <c r="AE95" s="40">
        <v>-0.24488176080027213</v>
      </c>
      <c r="AF95" s="40">
        <v>-0.13257575757575754</v>
      </c>
      <c r="AG95" s="40">
        <v>0.155</v>
      </c>
      <c r="AH95" s="40">
        <v>0.14000000000000001</v>
      </c>
      <c r="AI95" s="40">
        <v>0.18</v>
      </c>
      <c r="AJ95" s="40">
        <v>0.22</v>
      </c>
      <c r="AK95" s="40">
        <v>0.65</v>
      </c>
      <c r="AL95" s="40">
        <v>0.77499999999999991</v>
      </c>
      <c r="AM95" s="40">
        <v>1.037037037037037</v>
      </c>
      <c r="AN95" s="40">
        <v>1</v>
      </c>
      <c r="AO95" s="40">
        <v>0.88</v>
      </c>
      <c r="AP95" s="40">
        <v>1</v>
      </c>
      <c r="AQ95" s="40">
        <f t="shared" si="66"/>
        <v>0.8274999999999999</v>
      </c>
      <c r="AR95" s="40">
        <f t="shared" si="67"/>
        <v>1.037037037037037</v>
      </c>
      <c r="AS95" s="40">
        <f t="shared" si="68"/>
        <v>1</v>
      </c>
      <c r="AT95" s="40" cm="1">
        <f t="array" ref="AT95">_xlfn.IFS(AG95&gt;sheet2!$C$2,1,AG95=sheet2!$C$2,0,AG95&lt;sheet2!$C$2,-1)</f>
        <v>-1</v>
      </c>
      <c r="AU95" s="40" cm="1">
        <f t="array" ref="AU95">_xlfn.IFS(AH95&gt;sheet2!$D$2,1,AH95=sheet2!$D$2,0,AH95&lt;sheet2!$D$2,-1)</f>
        <v>1</v>
      </c>
      <c r="AV95" s="40" cm="1">
        <f t="array" ref="AV95">_xlfn.IFS(AI95&gt;sheet2!$E$2,1,AI95=sheet2!$E$2,0,AI95&lt;sheet2!$E$2,-1)</f>
        <v>0</v>
      </c>
      <c r="AW95" s="40" cm="1">
        <f t="array" ref="AW95">_xlfn.IFS(AJ95&gt;sheet2!$F$2,1,AJ95=sheet2!$F$2,0,AJ95&lt;sheet2!$F$2,-1)</f>
        <v>-1</v>
      </c>
      <c r="AX95" s="40" cm="1">
        <f t="array" ref="AX95">_xlfn.IFS(AK95&gt;sheet2!$G$2,1,AK95=sheet2!$G$2,0,AK95&lt;sheet2!$G$2,-1)</f>
        <v>0</v>
      </c>
      <c r="AY95">
        <v>0.3939903380780217</v>
      </c>
      <c r="AZ95">
        <v>0.59398004253230818</v>
      </c>
      <c r="BA95">
        <v>4.3620665049236479E-2</v>
      </c>
      <c r="BB95">
        <v>1.7205171999658941E-2</v>
      </c>
      <c r="BC95">
        <v>0.46083084685254344</v>
      </c>
    </row>
    <row r="96" spans="1:55" ht="14.4" x14ac:dyDescent="0.25">
      <c r="A96" s="2">
        <v>12</v>
      </c>
      <c r="B96" s="2" t="s">
        <v>21</v>
      </c>
      <c r="C96" s="2">
        <v>2022</v>
      </c>
      <c r="D96" s="2">
        <v>15882.66</v>
      </c>
      <c r="E96" s="17">
        <v>52091.233061131599</v>
      </c>
      <c r="F96" s="30">
        <v>45045</v>
      </c>
      <c r="G96" s="3">
        <f t="shared" si="40"/>
        <v>0.35259540459540462</v>
      </c>
      <c r="H96" s="2">
        <f t="shared" si="63"/>
        <v>-1.2737203726583117E-2</v>
      </c>
      <c r="I96" s="14">
        <v>0.36818313803960484</v>
      </c>
      <c r="J96" s="2">
        <f t="shared" si="64"/>
        <v>8.5385120734212949E-2</v>
      </c>
      <c r="K96">
        <f t="shared" si="42"/>
        <v>1.1564265303836518</v>
      </c>
      <c r="L96">
        <f t="shared" si="65"/>
        <v>-4.0854102060513424E-2</v>
      </c>
      <c r="M96" s="2">
        <v>1</v>
      </c>
      <c r="N96" s="2">
        <v>1</v>
      </c>
      <c r="O96" s="2">
        <v>0</v>
      </c>
      <c r="P96" s="4">
        <v>1</v>
      </c>
      <c r="Q96" s="40">
        <v>0.82532823278057965</v>
      </c>
      <c r="R96" s="40">
        <v>-2.1994134897360709E-2</v>
      </c>
      <c r="S96" s="40">
        <v>-0.1951188148768794</v>
      </c>
      <c r="T96" s="40">
        <v>1.1000000000000001</v>
      </c>
      <c r="U96" s="40">
        <v>-0.18999999999999989</v>
      </c>
      <c r="V96" s="40">
        <v>-4.2622950819672129E-2</v>
      </c>
      <c r="W96" s="40">
        <v>-0.22906403940886699</v>
      </c>
      <c r="X96" s="40">
        <v>-0.1136363636363636</v>
      </c>
      <c r="Y96" s="40">
        <v>0.27943466104134984</v>
      </c>
      <c r="Z96" s="40">
        <v>-1.5806111696522653E-2</v>
      </c>
      <c r="AA96" s="40">
        <v>-0.13992379984336034</v>
      </c>
      <c r="AB96" s="40">
        <v>0.31428571428571433</v>
      </c>
      <c r="AC96" s="40">
        <v>-0.1104651162790697</v>
      </c>
      <c r="AD96" s="40">
        <v>-3.4451102317693619E-2</v>
      </c>
      <c r="AE96" s="40">
        <v>-0.24488176080027213</v>
      </c>
      <c r="AF96" s="40">
        <v>-0.13257575757575754</v>
      </c>
      <c r="AG96" s="40">
        <v>0.155</v>
      </c>
      <c r="AH96" s="40">
        <v>0.14000000000000001</v>
      </c>
      <c r="AI96" s="40">
        <v>0.18</v>
      </c>
      <c r="AJ96" s="40">
        <v>0.22</v>
      </c>
      <c r="AK96" s="40">
        <v>0.65</v>
      </c>
      <c r="AL96" s="40">
        <v>0.77499999999999991</v>
      </c>
      <c r="AM96" s="40">
        <v>1.037037037037037</v>
      </c>
      <c r="AN96" s="40">
        <v>1</v>
      </c>
      <c r="AO96" s="40">
        <v>0.88</v>
      </c>
      <c r="AP96" s="40">
        <v>1</v>
      </c>
      <c r="AQ96" s="40">
        <f t="shared" si="66"/>
        <v>0.8274999999999999</v>
      </c>
      <c r="AR96" s="40">
        <f t="shared" si="67"/>
        <v>1.037037037037037</v>
      </c>
      <c r="AS96" s="40">
        <f t="shared" si="68"/>
        <v>1</v>
      </c>
      <c r="AT96" s="40" cm="1">
        <f t="array" ref="AT96">_xlfn.IFS(AG96&gt;sheet2!$C$2,1,AG96=sheet2!$C$2,0,AG96&lt;sheet2!$C$2,-1)</f>
        <v>-1</v>
      </c>
      <c r="AU96" s="40" cm="1">
        <f t="array" ref="AU96">_xlfn.IFS(AH96&gt;sheet2!$D$2,1,AH96=sheet2!$D$2,0,AH96&lt;sheet2!$D$2,-1)</f>
        <v>1</v>
      </c>
      <c r="AV96" s="40" cm="1">
        <f t="array" ref="AV96">_xlfn.IFS(AI96&gt;sheet2!$E$2,1,AI96=sheet2!$E$2,0,AI96&lt;sheet2!$E$2,-1)</f>
        <v>0</v>
      </c>
      <c r="AW96" s="40" cm="1">
        <f t="array" ref="AW96">_xlfn.IFS(AJ96&gt;sheet2!$F$2,1,AJ96=sheet2!$F$2,0,AJ96&lt;sheet2!$F$2,-1)</f>
        <v>-1</v>
      </c>
      <c r="AX96" s="40" cm="1">
        <f t="array" ref="AX96">_xlfn.IFS(AK96&gt;sheet2!$G$2,1,AK96=sheet2!$G$2,0,AK96&lt;sheet2!$G$2,-1)</f>
        <v>0</v>
      </c>
      <c r="AY96">
        <v>0.39287379287379287</v>
      </c>
      <c r="AZ96">
        <v>0.60159947772156031</v>
      </c>
      <c r="BA96">
        <v>4.3720565149136581E-2</v>
      </c>
      <c r="BB96">
        <v>1.821844821844822E-2</v>
      </c>
      <c r="BC96">
        <v>0.42830957375969292</v>
      </c>
    </row>
    <row r="97" spans="1:55" ht="14.4" x14ac:dyDescent="0.25">
      <c r="A97" s="2">
        <v>12</v>
      </c>
      <c r="B97" s="2" t="s">
        <v>21</v>
      </c>
      <c r="C97" s="2">
        <v>2023</v>
      </c>
      <c r="D97" s="2">
        <v>16824.5</v>
      </c>
      <c r="E97">
        <v>54692.039921452997</v>
      </c>
      <c r="F97" s="32">
        <v>47050.6</v>
      </c>
      <c r="G97" s="3">
        <f t="shared" si="40"/>
        <v>0.35758311264893539</v>
      </c>
      <c r="H97" s="2">
        <f t="shared" si="63"/>
        <v>1.414569784099726E-2</v>
      </c>
      <c r="I97" s="14"/>
      <c r="K97">
        <f t="shared" si="42"/>
        <v>1.162408979300009</v>
      </c>
      <c r="L97">
        <f t="shared" si="65"/>
        <v>5.1732200526153748E-3</v>
      </c>
      <c r="M97" s="2">
        <v>1</v>
      </c>
      <c r="N97" s="2">
        <v>1</v>
      </c>
      <c r="O97" s="2">
        <v>1</v>
      </c>
      <c r="P97" s="4">
        <v>1</v>
      </c>
      <c r="Q97" s="40">
        <v>0.82532823278057965</v>
      </c>
      <c r="R97" s="40">
        <v>-2.1994134897360709E-2</v>
      </c>
      <c r="S97" s="40">
        <v>-0.1951188148768794</v>
      </c>
      <c r="T97" s="40">
        <v>1.1000000000000001</v>
      </c>
      <c r="U97" s="40">
        <v>-0.18999999999999989</v>
      </c>
      <c r="V97" s="40">
        <v>-4.2622950819672129E-2</v>
      </c>
      <c r="W97" s="40">
        <v>-0.22906403940886699</v>
      </c>
      <c r="X97" s="40">
        <v>-0.1136363636363636</v>
      </c>
      <c r="Y97" s="40">
        <v>0.27943466104134984</v>
      </c>
      <c r="Z97" s="40">
        <v>-1.5806111696522653E-2</v>
      </c>
      <c r="AA97" s="40">
        <v>-0.13992379984336034</v>
      </c>
      <c r="AB97" s="40">
        <v>0.31428571428571433</v>
      </c>
      <c r="AC97" s="40">
        <v>-0.1104651162790697</v>
      </c>
      <c r="AD97" s="40">
        <v>-3.4451102317693619E-2</v>
      </c>
      <c r="AE97" s="40">
        <v>-0.24488176080027213</v>
      </c>
      <c r="AF97" s="40">
        <v>-0.13257575757575754</v>
      </c>
      <c r="AG97" s="40">
        <v>0.155</v>
      </c>
      <c r="AH97" s="40">
        <v>0.14000000000000001</v>
      </c>
      <c r="AI97" s="40">
        <v>0.18</v>
      </c>
      <c r="AJ97" s="40">
        <v>0.22</v>
      </c>
      <c r="AK97" s="40">
        <v>0.65</v>
      </c>
      <c r="AL97" s="40">
        <v>0.77499999999999991</v>
      </c>
      <c r="AM97" s="40">
        <v>1.037037037037037</v>
      </c>
      <c r="AN97" s="40">
        <v>1</v>
      </c>
      <c r="AO97" s="40">
        <v>0.88</v>
      </c>
      <c r="AP97" s="40">
        <v>1</v>
      </c>
      <c r="AQ97" s="40">
        <f t="shared" si="66"/>
        <v>0.8274999999999999</v>
      </c>
      <c r="AR97" s="40">
        <f t="shared" si="67"/>
        <v>1.037037037037037</v>
      </c>
      <c r="AS97" s="40">
        <f t="shared" si="68"/>
        <v>1</v>
      </c>
      <c r="AT97" s="40" cm="1">
        <f t="array" ref="AT97">_xlfn.IFS(AG97&gt;sheet2!$C$2,1,AG97=sheet2!$C$2,0,AG97&lt;sheet2!$C$2,-1)</f>
        <v>-1</v>
      </c>
      <c r="AU97" s="40" cm="1">
        <f t="array" ref="AU97">_xlfn.IFS(AH97&gt;sheet2!$D$2,1,AH97=sheet2!$D$2,0,AH97&lt;sheet2!$D$2,-1)</f>
        <v>1</v>
      </c>
      <c r="AV97" s="40" cm="1">
        <f t="array" ref="AV97">_xlfn.IFS(AI97&gt;sheet2!$E$2,1,AI97=sheet2!$E$2,0,AI97&lt;sheet2!$E$2,-1)</f>
        <v>0</v>
      </c>
      <c r="AW97" s="40" cm="1">
        <f t="array" ref="AW97">_xlfn.IFS(AJ97&gt;sheet2!$F$2,1,AJ97=sheet2!$F$2,0,AJ97&lt;sheet2!$F$2,-1)</f>
        <v>-1</v>
      </c>
      <c r="AX97" s="40" cm="1">
        <f t="array" ref="AX97">_xlfn.IFS(AK97&gt;sheet2!$G$2,1,AK97=sheet2!$G$2,0,AK97&lt;sheet2!$G$2,-1)</f>
        <v>0</v>
      </c>
      <c r="AY97">
        <v>0.39818620803985499</v>
      </c>
      <c r="AZ97">
        <v>0.61509557261885317</v>
      </c>
      <c r="BA97">
        <v>4.3677750820607965E-2</v>
      </c>
      <c r="BB97">
        <v>1.9701442702112194E-2</v>
      </c>
      <c r="BC97">
        <v>0.45573298995669614</v>
      </c>
    </row>
    <row r="98" spans="1:55" s="40" customFormat="1" ht="14.4" x14ac:dyDescent="0.25">
      <c r="A98" s="35">
        <v>13</v>
      </c>
      <c r="B98" s="35" t="s">
        <v>22</v>
      </c>
      <c r="C98" s="35">
        <v>2016</v>
      </c>
      <c r="D98" s="35">
        <v>12036</v>
      </c>
      <c r="E98" s="36">
        <v>22842.694582385298</v>
      </c>
      <c r="F98" s="37">
        <v>28810.58</v>
      </c>
      <c r="G98" s="38">
        <f t="shared" si="40"/>
        <v>0.41776319671454026</v>
      </c>
      <c r="H98" s="35"/>
      <c r="I98" s="39">
        <v>0.32953470833772719</v>
      </c>
      <c r="J98" s="35"/>
      <c r="K98" s="40">
        <f t="shared" si="42"/>
        <v>0.79285785230235895</v>
      </c>
      <c r="M98" s="35">
        <v>0</v>
      </c>
      <c r="N98" s="35">
        <v>0</v>
      </c>
      <c r="O98" s="35">
        <v>0</v>
      </c>
      <c r="P98" s="41">
        <v>0</v>
      </c>
      <c r="Q98" s="41">
        <v>0.99999999580495169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1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0.2</v>
      </c>
      <c r="AH98" s="40">
        <v>0.13500000000000001</v>
      </c>
      <c r="AI98" s="40">
        <v>0.18</v>
      </c>
      <c r="AJ98" s="40">
        <v>0.25</v>
      </c>
      <c r="AK98" s="40">
        <v>0.65</v>
      </c>
      <c r="AL98" s="40">
        <v>1</v>
      </c>
      <c r="AM98" s="40">
        <v>1</v>
      </c>
      <c r="AN98" s="40">
        <v>1</v>
      </c>
      <c r="AO98" s="40">
        <v>1</v>
      </c>
      <c r="AP98" s="40">
        <v>1</v>
      </c>
      <c r="AQ98" s="40">
        <f t="shared" si="48"/>
        <v>1</v>
      </c>
      <c r="AR98" s="40">
        <f t="shared" si="49"/>
        <v>1</v>
      </c>
      <c r="AS98" s="40">
        <f t="shared" si="50"/>
        <v>1</v>
      </c>
      <c r="AT98" s="40" cm="1">
        <f t="array" ref="AT98">_xlfn.IFS(AG98&gt;sheet2!$C$2,1,AG98=sheet2!$C$2,0,AG98&lt;sheet2!$C$2,-1)</f>
        <v>0</v>
      </c>
      <c r="AU98" s="40" cm="1">
        <f t="array" ref="AU98">_xlfn.IFS(AH98&gt;sheet2!$D$2,1,AH98=sheet2!$D$2,0,AH98&lt;sheet2!$D$2,-1)</f>
        <v>0</v>
      </c>
      <c r="AV98" s="40" cm="1">
        <f t="array" ref="AV98">_xlfn.IFS(AI98&gt;sheet2!$E$2,1,AI98=sheet2!$E$2,0,AI98&lt;sheet2!$E$2,-1)</f>
        <v>0</v>
      </c>
      <c r="AW98" s="40" cm="1">
        <f t="array" ref="AW98">_xlfn.IFS(AJ98&gt;sheet2!$F$2,1,AJ98=sheet2!$F$2,0,AJ98&lt;sheet2!$F$2,-1)</f>
        <v>0</v>
      </c>
      <c r="AX98" s="40" cm="1">
        <f t="array" ref="AX98">_xlfn.IFS(AK98&gt;sheet2!$G$2,1,AK98=sheet2!$G$2,0,AK98&lt;sheet2!$G$2,-1)</f>
        <v>0</v>
      </c>
      <c r="AY98" s="40">
        <v>0.5096634639080504</v>
      </c>
      <c r="AZ98" s="40">
        <v>0.6439243027888446</v>
      </c>
      <c r="BA98" s="40">
        <v>3.2399899960468249E-2</v>
      </c>
      <c r="BB98" s="40">
        <v>1.3476410402012038E-2</v>
      </c>
      <c r="BC98" s="40">
        <v>0.62095476446648268</v>
      </c>
    </row>
    <row r="99" spans="1:55" ht="14.4" x14ac:dyDescent="0.25">
      <c r="A99" s="2">
        <v>13</v>
      </c>
      <c r="B99" s="2" t="s">
        <v>22</v>
      </c>
      <c r="C99" s="2">
        <v>2017</v>
      </c>
      <c r="D99" s="2">
        <v>12555</v>
      </c>
      <c r="E99" s="17">
        <v>23628.175545586699</v>
      </c>
      <c r="F99" s="5">
        <v>32182.09</v>
      </c>
      <c r="G99" s="3">
        <f t="shared" si="40"/>
        <v>0.39012382353041708</v>
      </c>
      <c r="H99" s="2">
        <f t="shared" ref="H99:H105" si="69">(G99-G98)/G98</f>
        <v>-6.6160383206300744E-2</v>
      </c>
      <c r="I99" s="14">
        <v>0.34138177972246897</v>
      </c>
      <c r="J99" s="2">
        <f>(I99-I98)/I98</f>
        <v>3.5950906186792871E-2</v>
      </c>
      <c r="K99">
        <f t="shared" si="42"/>
        <v>0.73420264332076313</v>
      </c>
      <c r="L99">
        <f t="shared" ref="L99:L105" si="70">(K99-K98)/K98</f>
        <v>-7.3979476663147761E-2</v>
      </c>
      <c r="M99" s="2">
        <v>0</v>
      </c>
      <c r="N99" s="2">
        <v>0</v>
      </c>
      <c r="O99" s="2">
        <v>0</v>
      </c>
      <c r="P99" s="4">
        <v>0</v>
      </c>
      <c r="Q99" s="41">
        <v>0.99999999580495169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1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0.2</v>
      </c>
      <c r="AH99" s="40">
        <v>0.13500000000000001</v>
      </c>
      <c r="AI99" s="40">
        <v>0.18</v>
      </c>
      <c r="AJ99" s="40">
        <v>0.25</v>
      </c>
      <c r="AK99" s="40">
        <v>0.65</v>
      </c>
      <c r="AL99" s="40">
        <v>1</v>
      </c>
      <c r="AM99" s="40">
        <v>1</v>
      </c>
      <c r="AN99" s="40">
        <v>1</v>
      </c>
      <c r="AO99" s="40">
        <v>1</v>
      </c>
      <c r="AP99" s="40">
        <v>1</v>
      </c>
      <c r="AQ99" s="40">
        <f t="shared" ref="AQ99:AQ105" si="71">AVERAGE(AL99,AO99)</f>
        <v>1</v>
      </c>
      <c r="AR99" s="40">
        <f t="shared" ref="AR99:AR105" si="72">AVERAGE(AM99)</f>
        <v>1</v>
      </c>
      <c r="AS99" s="40">
        <f t="shared" ref="AS99:AS105" si="73">AVERAGE(AN99,AP99)</f>
        <v>1</v>
      </c>
      <c r="AT99" s="40" cm="1">
        <f t="array" ref="AT99">_xlfn.IFS(AG99&gt;sheet2!$C$2,1,AG99=sheet2!$C$2,0,AG99&lt;sheet2!$C$2,-1)</f>
        <v>0</v>
      </c>
      <c r="AU99" s="40" cm="1">
        <f t="array" ref="AU99">_xlfn.IFS(AH99&gt;sheet2!$D$2,1,AH99=sheet2!$D$2,0,AH99&lt;sheet2!$D$2,-1)</f>
        <v>0</v>
      </c>
      <c r="AV99" s="40" cm="1">
        <f t="array" ref="AV99">_xlfn.IFS(AI99&gt;sheet2!$E$2,1,AI99=sheet2!$E$2,0,AI99&lt;sheet2!$E$2,-1)</f>
        <v>0</v>
      </c>
      <c r="AW99" s="40" cm="1">
        <f t="array" ref="AW99">_xlfn.IFS(AJ99&gt;sheet2!$F$2,1,AJ99=sheet2!$F$2,0,AJ99&lt;sheet2!$F$2,-1)</f>
        <v>0</v>
      </c>
      <c r="AX99" s="40" cm="1">
        <f t="array" ref="AX99">_xlfn.IFS(AK99&gt;sheet2!$G$2,1,AK99=sheet2!$G$2,0,AK99&lt;sheet2!$G$2,-1)</f>
        <v>0</v>
      </c>
      <c r="AY99">
        <v>0.50618216529753035</v>
      </c>
      <c r="AZ99">
        <v>0.65781057810578103</v>
      </c>
      <c r="BA99">
        <v>3.2795217464965998E-2</v>
      </c>
      <c r="BB99">
        <v>1.3945439839364067E-2</v>
      </c>
      <c r="BC99">
        <v>0.59968831057929406</v>
      </c>
    </row>
    <row r="100" spans="1:55" ht="14.4" x14ac:dyDescent="0.25">
      <c r="A100" s="2">
        <v>13</v>
      </c>
      <c r="B100" s="2" t="s">
        <v>22</v>
      </c>
      <c r="C100" s="2">
        <v>2018</v>
      </c>
      <c r="D100" s="2">
        <v>13131</v>
      </c>
      <c r="E100" s="17">
        <v>24794.8702538793</v>
      </c>
      <c r="F100" s="5">
        <v>35804.04</v>
      </c>
      <c r="G100" s="3">
        <f t="shared" si="40"/>
        <v>0.36674632248204392</v>
      </c>
      <c r="H100" s="2">
        <f t="shared" si="69"/>
        <v>-5.9923284963268771E-2</v>
      </c>
      <c r="I100" s="14">
        <v>0.36580327075670033</v>
      </c>
      <c r="J100" s="2">
        <f>(I100-I99)/I99</f>
        <v>7.1537183542968064E-2</v>
      </c>
      <c r="K100">
        <f t="shared" si="42"/>
        <v>0.692515991320513</v>
      </c>
      <c r="L100">
        <f t="shared" si="70"/>
        <v>-5.6778128462876963E-2</v>
      </c>
      <c r="M100" s="2">
        <v>0</v>
      </c>
      <c r="N100" s="2">
        <v>0</v>
      </c>
      <c r="O100" s="2">
        <v>0</v>
      </c>
      <c r="P100" s="4">
        <v>0</v>
      </c>
      <c r="Q100" s="41">
        <v>0.99999999580495169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1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0.2</v>
      </c>
      <c r="AH100" s="40">
        <v>0.13500000000000001</v>
      </c>
      <c r="AI100" s="40">
        <v>0.18</v>
      </c>
      <c r="AJ100" s="40">
        <v>0.25</v>
      </c>
      <c r="AK100" s="40">
        <v>0.65</v>
      </c>
      <c r="AL100" s="40">
        <v>1</v>
      </c>
      <c r="AM100" s="40">
        <v>1</v>
      </c>
      <c r="AN100" s="40">
        <v>1</v>
      </c>
      <c r="AO100" s="40">
        <v>1</v>
      </c>
      <c r="AP100" s="40">
        <v>1</v>
      </c>
      <c r="AQ100" s="40">
        <f t="shared" si="71"/>
        <v>1</v>
      </c>
      <c r="AR100" s="40">
        <f t="shared" si="72"/>
        <v>1</v>
      </c>
      <c r="AS100" s="40">
        <f t="shared" si="73"/>
        <v>1</v>
      </c>
      <c r="AT100" s="40" cm="1">
        <f t="array" ref="AT100">_xlfn.IFS(AG100&gt;sheet2!$C$2,1,AG100=sheet2!$C$2,0,AG100&lt;sheet2!$C$2,-1)</f>
        <v>0</v>
      </c>
      <c r="AU100" s="40" cm="1">
        <f t="array" ref="AU100">_xlfn.IFS(AH100&gt;sheet2!$D$2,1,AH100=sheet2!$D$2,0,AH100&lt;sheet2!$D$2,-1)</f>
        <v>0</v>
      </c>
      <c r="AV100" s="40" cm="1">
        <f t="array" ref="AV100">_xlfn.IFS(AI100&gt;sheet2!$E$2,1,AI100=sheet2!$E$2,0,AI100&lt;sheet2!$E$2,-1)</f>
        <v>0</v>
      </c>
      <c r="AW100" s="40" cm="1">
        <f t="array" ref="AW100">_xlfn.IFS(AJ100&gt;sheet2!$F$2,1,AJ100=sheet2!$F$2,0,AJ100&lt;sheet2!$F$2,-1)</f>
        <v>0</v>
      </c>
      <c r="AX100" s="40" cm="1">
        <f t="array" ref="AX100">_xlfn.IFS(AK100&gt;sheet2!$G$2,1,AK100=sheet2!$G$2,0,AK100&lt;sheet2!$G$2,-1)</f>
        <v>0</v>
      </c>
      <c r="AY100">
        <v>0.52641545479225249</v>
      </c>
      <c r="AZ100">
        <v>0.66983430799220278</v>
      </c>
      <c r="BA100">
        <v>3.3109857927729504E-2</v>
      </c>
      <c r="BB100">
        <v>1.4661521437245627E-2</v>
      </c>
      <c r="BC100">
        <v>0.62230558964055216</v>
      </c>
    </row>
    <row r="101" spans="1:55" ht="14.4" x14ac:dyDescent="0.25">
      <c r="A101" s="2">
        <v>13</v>
      </c>
      <c r="B101" s="2" t="s">
        <v>22</v>
      </c>
      <c r="C101" s="2">
        <v>2019</v>
      </c>
      <c r="D101" s="2">
        <v>13718</v>
      </c>
      <c r="E101" s="17">
        <v>25168.3740686282</v>
      </c>
      <c r="F101" s="5">
        <v>42395</v>
      </c>
      <c r="G101" s="3">
        <f t="shared" si="40"/>
        <v>0.32357589338365372</v>
      </c>
      <c r="H101" s="2">
        <f t="shared" si="69"/>
        <v>-0.11771196178934784</v>
      </c>
      <c r="I101" s="14">
        <v>0.36856079587505075</v>
      </c>
      <c r="J101" s="2">
        <f>(I101-I100)/I100</f>
        <v>7.5382735442638595E-3</v>
      </c>
      <c r="K101">
        <f t="shared" si="42"/>
        <v>0.59366373554966856</v>
      </c>
      <c r="L101">
        <f t="shared" si="70"/>
        <v>-0.14274364348229648</v>
      </c>
      <c r="M101" s="2">
        <v>0</v>
      </c>
      <c r="N101" s="2">
        <v>0</v>
      </c>
      <c r="O101" s="2">
        <v>0</v>
      </c>
      <c r="P101" s="4">
        <v>0</v>
      </c>
      <c r="Q101" s="41">
        <v>0.99999999580495169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1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0.2</v>
      </c>
      <c r="AH101" s="40">
        <v>0.13500000000000001</v>
      </c>
      <c r="AI101" s="40">
        <v>0.18</v>
      </c>
      <c r="AJ101" s="40">
        <v>0.25</v>
      </c>
      <c r="AK101" s="40">
        <v>0.65</v>
      </c>
      <c r="AL101" s="40">
        <v>1</v>
      </c>
      <c r="AM101" s="40">
        <v>1</v>
      </c>
      <c r="AN101" s="40">
        <v>1</v>
      </c>
      <c r="AO101" s="40">
        <v>1</v>
      </c>
      <c r="AP101" s="40">
        <v>1</v>
      </c>
      <c r="AQ101" s="40">
        <f t="shared" si="71"/>
        <v>1</v>
      </c>
      <c r="AR101" s="40">
        <f t="shared" si="72"/>
        <v>1</v>
      </c>
      <c r="AS101" s="40">
        <f t="shared" si="73"/>
        <v>1</v>
      </c>
      <c r="AT101" s="40" cm="1">
        <f t="array" ref="AT101">_xlfn.IFS(AG101&gt;sheet2!$C$2,1,AG101=sheet2!$C$2,0,AG101&lt;sheet2!$C$2,-1)</f>
        <v>0</v>
      </c>
      <c r="AU101" s="40" cm="1">
        <f t="array" ref="AU101">_xlfn.IFS(AH101&gt;sheet2!$D$2,1,AH101=sheet2!$D$2,0,AH101&lt;sheet2!$D$2,-1)</f>
        <v>0</v>
      </c>
      <c r="AV101" s="40" cm="1">
        <f t="array" ref="AV101">_xlfn.IFS(AI101&gt;sheet2!$E$2,1,AI101=sheet2!$E$2,0,AI101&lt;sheet2!$E$2,-1)</f>
        <v>0</v>
      </c>
      <c r="AW101" s="40" cm="1">
        <f t="array" ref="AW101">_xlfn.IFS(AJ101&gt;sheet2!$F$2,1,AJ101=sheet2!$F$2,0,AJ101&lt;sheet2!$F$2,-1)</f>
        <v>0</v>
      </c>
      <c r="AX101" s="40" cm="1">
        <f t="array" ref="AX101">_xlfn.IFS(AK101&gt;sheet2!$G$2,1,AK101=sheet2!$G$2,0,AK101&lt;sheet2!$G$2,-1)</f>
        <v>0</v>
      </c>
      <c r="AY101">
        <v>0.46181389314777682</v>
      </c>
      <c r="AZ101">
        <v>0.67875271936185644</v>
      </c>
      <c r="BA101">
        <v>3.3376092165452474E-2</v>
      </c>
      <c r="BB101">
        <v>1.4117558674371977E-2</v>
      </c>
      <c r="BC101">
        <v>0.60121545590427594</v>
      </c>
    </row>
    <row r="102" spans="1:55" ht="14.4" x14ac:dyDescent="0.25">
      <c r="A102" s="2">
        <v>13</v>
      </c>
      <c r="B102" s="2" t="s">
        <v>22</v>
      </c>
      <c r="C102" s="2">
        <v>2020</v>
      </c>
      <c r="D102" s="2">
        <v>13905.19</v>
      </c>
      <c r="E102" s="17">
        <v>25159.6524292057</v>
      </c>
      <c r="F102" s="5">
        <v>43903.89</v>
      </c>
      <c r="G102" s="3">
        <f t="shared" si="40"/>
        <v>0.31671886021944756</v>
      </c>
      <c r="H102" s="2">
        <f t="shared" si="69"/>
        <v>-2.1191421562656378E-2</v>
      </c>
      <c r="I102" s="14">
        <v>0.39578517500130039</v>
      </c>
      <c r="J102" s="2">
        <f>(I102-I101)/I101</f>
        <v>7.3866725465502936E-2</v>
      </c>
      <c r="K102">
        <f t="shared" si="42"/>
        <v>0.5730620322984068</v>
      </c>
      <c r="L102">
        <f t="shared" si="70"/>
        <v>-3.4702647336520911E-2</v>
      </c>
      <c r="M102" s="2">
        <v>0</v>
      </c>
      <c r="N102" s="2">
        <v>0</v>
      </c>
      <c r="O102" s="2">
        <v>0</v>
      </c>
      <c r="P102" s="4">
        <v>0</v>
      </c>
      <c r="Q102" s="41">
        <v>0.99999999580495169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1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0.2</v>
      </c>
      <c r="AH102" s="40">
        <v>0.13500000000000001</v>
      </c>
      <c r="AI102" s="40">
        <v>0.18</v>
      </c>
      <c r="AJ102" s="40">
        <v>0.25</v>
      </c>
      <c r="AK102" s="40">
        <v>0.65</v>
      </c>
      <c r="AL102" s="40">
        <v>1</v>
      </c>
      <c r="AM102" s="40">
        <v>1</v>
      </c>
      <c r="AN102" s="40">
        <v>1</v>
      </c>
      <c r="AO102" s="40">
        <v>1</v>
      </c>
      <c r="AP102" s="40">
        <v>1</v>
      </c>
      <c r="AQ102" s="40">
        <f t="shared" si="71"/>
        <v>1</v>
      </c>
      <c r="AR102" s="40">
        <f t="shared" si="72"/>
        <v>1</v>
      </c>
      <c r="AS102" s="40">
        <f t="shared" si="73"/>
        <v>1</v>
      </c>
      <c r="AT102" s="40" cm="1">
        <f t="array" ref="AT102">_xlfn.IFS(AG102&gt;sheet2!$C$2,1,AG102=sheet2!$C$2,0,AG102&lt;sheet2!$C$2,-1)</f>
        <v>0</v>
      </c>
      <c r="AU102" s="40" cm="1">
        <f t="array" ref="AU102">_xlfn.IFS(AH102&gt;sheet2!$D$2,1,AH102=sheet2!$D$2,0,AH102&lt;sheet2!$D$2,-1)</f>
        <v>0</v>
      </c>
      <c r="AV102" s="40" cm="1">
        <f t="array" ref="AV102">_xlfn.IFS(AI102&gt;sheet2!$E$2,1,AI102=sheet2!$E$2,0,AI102&lt;sheet2!$E$2,-1)</f>
        <v>0</v>
      </c>
      <c r="AW102" s="40" cm="1">
        <f t="array" ref="AW102">_xlfn.IFS(AJ102&gt;sheet2!$F$2,1,AJ102=sheet2!$F$2,0,AJ102&lt;sheet2!$F$2,-1)</f>
        <v>0</v>
      </c>
      <c r="AX102" s="40" cm="1">
        <f t="array" ref="AX102">_xlfn.IFS(AK102&gt;sheet2!$G$2,1,AK102=sheet2!$G$2,0,AK102&lt;sheet2!$G$2,-1)</f>
        <v>0</v>
      </c>
      <c r="AY102">
        <v>0.44437292458595357</v>
      </c>
      <c r="AZ102">
        <v>0.68757510213890893</v>
      </c>
      <c r="BA102">
        <v>3.3569717065614638E-2</v>
      </c>
      <c r="BB102">
        <v>1.5190296349594536E-2</v>
      </c>
      <c r="BC102">
        <v>0.59029543145261776</v>
      </c>
    </row>
    <row r="103" spans="1:55" ht="14.4" x14ac:dyDescent="0.25">
      <c r="A103" s="2">
        <v>13</v>
      </c>
      <c r="B103" s="2" t="s">
        <v>22</v>
      </c>
      <c r="C103" s="2">
        <v>2021</v>
      </c>
      <c r="D103" s="2">
        <v>15157.51</v>
      </c>
      <c r="E103" s="17">
        <v>26933.203133162599</v>
      </c>
      <c r="F103" s="30">
        <v>48810.355799999998</v>
      </c>
      <c r="G103" s="3">
        <f t="shared" si="40"/>
        <v>0.31053881397848776</v>
      </c>
      <c r="H103" s="2">
        <f t="shared" si="69"/>
        <v>-1.9512719377298163E-2</v>
      </c>
      <c r="I103" s="14">
        <v>0.42719987967043971</v>
      </c>
      <c r="J103" s="2">
        <f>(I103-I102)/I102</f>
        <v>7.9373121211617131E-2</v>
      </c>
      <c r="K103">
        <f t="shared" si="42"/>
        <v>0.55179280486135285</v>
      </c>
      <c r="L103">
        <f t="shared" si="70"/>
        <v>-3.7115052539335856E-2</v>
      </c>
      <c r="M103" s="2">
        <v>0</v>
      </c>
      <c r="N103" s="2">
        <v>0</v>
      </c>
      <c r="O103" s="2">
        <v>0</v>
      </c>
      <c r="P103" s="4">
        <v>0</v>
      </c>
      <c r="Q103" s="41">
        <v>0.99999999580495169</v>
      </c>
      <c r="R103" s="40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1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0.2</v>
      </c>
      <c r="AH103" s="40">
        <v>0.13500000000000001</v>
      </c>
      <c r="AI103" s="40">
        <v>0.18</v>
      </c>
      <c r="AJ103" s="40">
        <v>0.25</v>
      </c>
      <c r="AK103" s="40">
        <v>0.65</v>
      </c>
      <c r="AL103" s="40">
        <v>1</v>
      </c>
      <c r="AM103" s="40">
        <v>1</v>
      </c>
      <c r="AN103" s="40">
        <v>1</v>
      </c>
      <c r="AO103" s="40">
        <v>1</v>
      </c>
      <c r="AP103" s="40">
        <v>1</v>
      </c>
      <c r="AQ103" s="40">
        <f t="shared" si="71"/>
        <v>1</v>
      </c>
      <c r="AR103" s="40">
        <f t="shared" si="72"/>
        <v>1</v>
      </c>
      <c r="AS103" s="40">
        <f t="shared" si="73"/>
        <v>1</v>
      </c>
      <c r="AT103" s="40" cm="1">
        <f t="array" ref="AT103">_xlfn.IFS(AG103&gt;sheet2!$C$2,1,AG103=sheet2!$C$2,0,AG103&lt;sheet2!$C$2,-1)</f>
        <v>0</v>
      </c>
      <c r="AU103" s="40" cm="1">
        <f t="array" ref="AU103">_xlfn.IFS(AH103&gt;sheet2!$D$2,1,AH103=sheet2!$D$2,0,AH103&lt;sheet2!$D$2,-1)</f>
        <v>0</v>
      </c>
      <c r="AV103" s="40" cm="1">
        <f t="array" ref="AV103">_xlfn.IFS(AI103&gt;sheet2!$E$2,1,AI103=sheet2!$E$2,0,AI103&lt;sheet2!$E$2,-1)</f>
        <v>0</v>
      </c>
      <c r="AW103" s="40" cm="1">
        <f t="array" ref="AW103">_xlfn.IFS(AJ103&gt;sheet2!$F$2,1,AJ103=sheet2!$F$2,0,AJ103&lt;sheet2!$F$2,-1)</f>
        <v>0</v>
      </c>
      <c r="AX103" s="40" cm="1">
        <f t="array" ref="AX103">_xlfn.IFS(AK103&gt;sheet2!$G$2,1,AK103=sheet2!$G$2,0,AK103&lt;sheet2!$G$2,-1)</f>
        <v>0</v>
      </c>
      <c r="AY103">
        <v>0.4596258239117364</v>
      </c>
      <c r="AZ103">
        <v>0.6969190351086697</v>
      </c>
      <c r="BA103">
        <v>3.3779477374123644E-2</v>
      </c>
      <c r="BB103">
        <v>1.5809214814205472E-2</v>
      </c>
      <c r="BC103">
        <v>0.65006378825373889</v>
      </c>
    </row>
    <row r="104" spans="1:55" ht="14.4" x14ac:dyDescent="0.25">
      <c r="A104" s="2">
        <v>13</v>
      </c>
      <c r="B104" s="2" t="s">
        <v>22</v>
      </c>
      <c r="C104" s="2">
        <v>2022</v>
      </c>
      <c r="D104" s="2">
        <v>15157.51</v>
      </c>
      <c r="E104" s="17">
        <f>267029803.683621/10000</f>
        <v>26702.980368362099</v>
      </c>
      <c r="F104" s="30">
        <v>51765.120000000003</v>
      </c>
      <c r="G104" s="3">
        <f t="shared" si="40"/>
        <v>0.29281319158537639</v>
      </c>
      <c r="H104" s="2">
        <f t="shared" si="69"/>
        <v>-5.7080215403731455E-2</v>
      </c>
      <c r="I104" s="14"/>
      <c r="K104">
        <f t="shared" si="42"/>
        <v>0.51584890305213427</v>
      </c>
      <c r="L104">
        <f t="shared" si="70"/>
        <v>-6.5140214755518761E-2</v>
      </c>
      <c r="M104" s="2">
        <v>1</v>
      </c>
      <c r="N104" s="2">
        <v>1</v>
      </c>
      <c r="O104" s="2">
        <v>0</v>
      </c>
      <c r="P104" s="4">
        <v>0</v>
      </c>
      <c r="Q104" s="41">
        <v>0.99999999580495169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1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0.2</v>
      </c>
      <c r="AH104" s="40">
        <v>0.13500000000000001</v>
      </c>
      <c r="AI104" s="40">
        <v>0.18</v>
      </c>
      <c r="AJ104" s="40">
        <v>0.25</v>
      </c>
      <c r="AK104" s="40">
        <v>0.65</v>
      </c>
      <c r="AL104" s="40">
        <v>1</v>
      </c>
      <c r="AM104" s="40">
        <v>1</v>
      </c>
      <c r="AN104" s="40">
        <v>1</v>
      </c>
      <c r="AO104" s="40">
        <v>1</v>
      </c>
      <c r="AP104" s="40">
        <v>1</v>
      </c>
      <c r="AQ104" s="40">
        <f t="shared" si="71"/>
        <v>1</v>
      </c>
      <c r="AR104" s="40">
        <f t="shared" si="72"/>
        <v>1</v>
      </c>
      <c r="AS104" s="40">
        <f t="shared" si="73"/>
        <v>1</v>
      </c>
      <c r="AT104" s="40" cm="1">
        <f t="array" ref="AT104">_xlfn.IFS(AG104&gt;sheet2!$C$2,1,AG104=sheet2!$C$2,0,AG104&lt;sheet2!$C$2,-1)</f>
        <v>0</v>
      </c>
      <c r="AU104" s="40" cm="1">
        <f t="array" ref="AU104">_xlfn.IFS(AH104&gt;sheet2!$D$2,1,AH104=sheet2!$D$2,0,AH104&lt;sheet2!$D$2,-1)</f>
        <v>0</v>
      </c>
      <c r="AV104" s="40" cm="1">
        <f t="array" ref="AV104">_xlfn.IFS(AI104&gt;sheet2!$E$2,1,AI104=sheet2!$E$2,0,AI104&lt;sheet2!$E$2,-1)</f>
        <v>0</v>
      </c>
      <c r="AW104" s="40" cm="1">
        <f t="array" ref="AW104">_xlfn.IFS(AJ104&gt;sheet2!$F$2,1,AJ104=sheet2!$F$2,0,AJ104&lt;sheet2!$F$2,-1)</f>
        <v>0</v>
      </c>
      <c r="AX104" s="40" cm="1">
        <f t="array" ref="AX104">_xlfn.IFS(AK104&gt;sheet2!$G$2,1,AK104=sheet2!$G$2,0,AK104&lt;sheet2!$G$2,-1)</f>
        <v>0</v>
      </c>
      <c r="AY104">
        <v>0.43407607284596267</v>
      </c>
      <c r="AZ104">
        <v>0.70128939828080228</v>
      </c>
      <c r="BA104">
        <v>3.3787545078297072E-2</v>
      </c>
      <c r="BB104">
        <v>1.6393028742133699E-2</v>
      </c>
      <c r="BC104">
        <v>0.58673008599210708</v>
      </c>
    </row>
    <row r="105" spans="1:55" ht="14.4" x14ac:dyDescent="0.25">
      <c r="A105" s="2">
        <v>13</v>
      </c>
      <c r="B105" s="2" t="s">
        <v>22</v>
      </c>
      <c r="C105" s="2">
        <v>2023</v>
      </c>
      <c r="D105" s="2">
        <v>15157.51</v>
      </c>
      <c r="E105">
        <v>27530.3145276348</v>
      </c>
      <c r="F105" s="32">
        <v>54355.1</v>
      </c>
      <c r="G105" s="3">
        <f t="shared" si="40"/>
        <v>0.27886086126232867</v>
      </c>
      <c r="H105" s="2">
        <f t="shared" si="69"/>
        <v>-4.7649254623761003E-2</v>
      </c>
      <c r="I105" s="14"/>
      <c r="K105">
        <f t="shared" si="42"/>
        <v>0.50648999868705602</v>
      </c>
      <c r="L105">
        <f t="shared" si="70"/>
        <v>-1.8142724176991008E-2</v>
      </c>
      <c r="M105" s="2">
        <v>1</v>
      </c>
      <c r="N105" s="2">
        <v>1</v>
      </c>
      <c r="O105" s="2">
        <v>1</v>
      </c>
      <c r="P105" s="4">
        <v>0</v>
      </c>
      <c r="Q105" s="41">
        <v>0.99999999580495169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1</v>
      </c>
      <c r="Z105" s="40">
        <v>0</v>
      </c>
      <c r="AA105" s="40">
        <v>0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0.2</v>
      </c>
      <c r="AH105" s="40">
        <v>0.13500000000000001</v>
      </c>
      <c r="AI105" s="40">
        <v>0.18</v>
      </c>
      <c r="AJ105" s="40">
        <v>0.25</v>
      </c>
      <c r="AK105" s="40">
        <v>0.65</v>
      </c>
      <c r="AL105" s="40">
        <v>1</v>
      </c>
      <c r="AM105" s="40">
        <v>1</v>
      </c>
      <c r="AN105" s="40">
        <v>1</v>
      </c>
      <c r="AO105" s="40">
        <v>1</v>
      </c>
      <c r="AP105" s="40">
        <v>1</v>
      </c>
      <c r="AQ105" s="40">
        <f t="shared" si="71"/>
        <v>1</v>
      </c>
      <c r="AR105" s="40">
        <f t="shared" si="72"/>
        <v>1</v>
      </c>
      <c r="AS105" s="40">
        <f t="shared" si="73"/>
        <v>1</v>
      </c>
      <c r="AT105" s="40" cm="1">
        <f t="array" ref="AT105">_xlfn.IFS(AG105&gt;sheet2!$C$2,1,AG105=sheet2!$C$2,0,AG105&lt;sheet2!$C$2,-1)</f>
        <v>0</v>
      </c>
      <c r="AU105" s="40" cm="1">
        <f t="array" ref="AU105">_xlfn.IFS(AH105&gt;sheet2!$D$2,1,AH105=sheet2!$D$2,0,AH105&lt;sheet2!$D$2,-1)</f>
        <v>0</v>
      </c>
      <c r="AV105" s="40" cm="1">
        <f t="array" ref="AV105">_xlfn.IFS(AI105&gt;sheet2!$E$2,1,AI105=sheet2!$E$2,0,AI105&lt;sheet2!$E$2,-1)</f>
        <v>0</v>
      </c>
      <c r="AW105" s="40" cm="1">
        <f t="array" ref="AW105">_xlfn.IFS(AJ105&gt;sheet2!$F$2,1,AJ105=sheet2!$F$2,0,AJ105&lt;sheet2!$F$2,-1)</f>
        <v>0</v>
      </c>
      <c r="AX105" s="40" cm="1">
        <f t="array" ref="AX105">_xlfn.IFS(AK105&gt;sheet2!$G$2,1,AK105=sheet2!$G$2,0,AK105&lt;sheet2!$G$2,-1)</f>
        <v>0</v>
      </c>
      <c r="AY105">
        <v>0.43239364843409356</v>
      </c>
      <c r="AZ105">
        <v>0.71049486014821894</v>
      </c>
      <c r="BA105">
        <v>3.3747206557429951E-2</v>
      </c>
      <c r="BB105">
        <v>1.687587733257781E-2</v>
      </c>
      <c r="BC105">
        <v>0.61303992395112794</v>
      </c>
    </row>
    <row r="106" spans="1:55" s="40" customFormat="1" ht="14.4" x14ac:dyDescent="0.25">
      <c r="A106" s="35">
        <v>14</v>
      </c>
      <c r="B106" s="35" t="s">
        <v>23</v>
      </c>
      <c r="C106" s="35">
        <v>2016</v>
      </c>
      <c r="D106" s="35">
        <v>8730</v>
      </c>
      <c r="E106" s="36">
        <v>21492.805880401702</v>
      </c>
      <c r="F106" s="37">
        <v>18499</v>
      </c>
      <c r="G106" s="38">
        <f t="shared" si="40"/>
        <v>0.47191740094059137</v>
      </c>
      <c r="H106" s="35"/>
      <c r="I106" s="39">
        <v>0.23827790012306813</v>
      </c>
      <c r="J106" s="35"/>
      <c r="K106" s="40">
        <f t="shared" si="42"/>
        <v>1.1618360927834857</v>
      </c>
      <c r="M106" s="35">
        <v>0</v>
      </c>
      <c r="N106" s="35">
        <v>0</v>
      </c>
      <c r="O106" s="35">
        <v>0</v>
      </c>
      <c r="P106" s="41">
        <v>1</v>
      </c>
      <c r="Q106" s="40">
        <v>0.83712559510186269</v>
      </c>
      <c r="R106" s="40">
        <v>0.36950146627565977</v>
      </c>
      <c r="S106" s="40">
        <v>0.3606316622445655</v>
      </c>
      <c r="T106" s="40">
        <v>-1.2</v>
      </c>
      <c r="U106" s="40">
        <v>-0.40999999999999992</v>
      </c>
      <c r="V106" s="40">
        <v>0.28501628664495121</v>
      </c>
      <c r="W106" s="40">
        <v>0.1373873873873874</v>
      </c>
      <c r="X106" s="40">
        <v>-0.15238095238095239</v>
      </c>
      <c r="Y106" s="40">
        <v>0.32810177375989041</v>
      </c>
      <c r="Z106" s="40">
        <v>0.26554267650158048</v>
      </c>
      <c r="AA106" s="40">
        <v>0.25861653863020811</v>
      </c>
      <c r="AB106" s="40">
        <v>-0.34285714285714286</v>
      </c>
      <c r="AC106" s="40">
        <v>-0.23837209302325577</v>
      </c>
      <c r="AD106" s="40">
        <v>0.23037178479164339</v>
      </c>
      <c r="AE106" s="40">
        <v>0.14687449597935531</v>
      </c>
      <c r="AF106" s="40">
        <v>-0.17777777777777781</v>
      </c>
      <c r="AG106" s="40">
        <v>0.183</v>
      </c>
      <c r="AH106" s="40">
        <v>0.13500000000000001</v>
      </c>
      <c r="AI106" s="40">
        <v>0.18</v>
      </c>
      <c r="AJ106" s="40">
        <v>0.25</v>
      </c>
      <c r="AK106" s="40">
        <v>0.65</v>
      </c>
      <c r="AL106" s="40">
        <v>0.91499999999999992</v>
      </c>
      <c r="AM106" s="40">
        <v>1</v>
      </c>
      <c r="AN106" s="40">
        <v>1</v>
      </c>
      <c r="AO106" s="40">
        <v>1</v>
      </c>
      <c r="AP106" s="40">
        <v>1</v>
      </c>
      <c r="AQ106" s="40">
        <f t="shared" si="48"/>
        <v>0.95750000000000002</v>
      </c>
      <c r="AR106" s="40">
        <f t="shared" si="49"/>
        <v>1</v>
      </c>
      <c r="AS106" s="40">
        <f t="shared" si="50"/>
        <v>1</v>
      </c>
      <c r="AT106" s="40" cm="1">
        <f t="array" ref="AT106">_xlfn.IFS(AG106&gt;sheet2!$C$2,1,AG106=sheet2!$C$2,0,AG106&lt;sheet2!$C$2,-1)</f>
        <v>-1</v>
      </c>
      <c r="AU106" s="40" cm="1">
        <f t="array" ref="AU106">_xlfn.IFS(AH106&gt;sheet2!$D$2,1,AH106=sheet2!$D$2,0,AH106&lt;sheet2!$D$2,-1)</f>
        <v>0</v>
      </c>
      <c r="AV106" s="40" cm="1">
        <f t="array" ref="AV106">_xlfn.IFS(AI106&gt;sheet2!$E$2,1,AI106=sheet2!$E$2,0,AI106&lt;sheet2!$E$2,-1)</f>
        <v>0</v>
      </c>
      <c r="AW106" s="40" cm="1">
        <f t="array" ref="AW106">_xlfn.IFS(AJ106&gt;sheet2!$F$2,1,AJ106=sheet2!$F$2,0,AJ106&lt;sheet2!$F$2,-1)</f>
        <v>0</v>
      </c>
      <c r="AX106" s="40" cm="1">
        <f t="array" ref="AX106">_xlfn.IFS(AK106&gt;sheet2!$G$2,1,AK106=sheet2!$G$2,0,AK106&lt;sheet2!$G$2,-1)</f>
        <v>0</v>
      </c>
      <c r="AY106" s="40">
        <v>0.47205254338072328</v>
      </c>
      <c r="AZ106" s="40">
        <v>0.53981316725978645</v>
      </c>
      <c r="BA106" s="40">
        <v>2.6932477116978961E-2</v>
      </c>
      <c r="BB106" s="40">
        <v>9.71707119303746E-3</v>
      </c>
      <c r="BC106" s="40">
        <v>0.46594836921211069</v>
      </c>
    </row>
    <row r="107" spans="1:55" ht="14.4" x14ac:dyDescent="0.25">
      <c r="A107" s="2">
        <v>14</v>
      </c>
      <c r="B107" s="2" t="s">
        <v>23</v>
      </c>
      <c r="C107" s="2">
        <v>2017</v>
      </c>
      <c r="D107" s="2">
        <v>8972</v>
      </c>
      <c r="E107" s="17">
        <v>21565.692701113199</v>
      </c>
      <c r="F107" s="5">
        <v>20006.310000000001</v>
      </c>
      <c r="G107" s="3">
        <f t="shared" si="40"/>
        <v>0.44845851133967229</v>
      </c>
      <c r="H107" s="2">
        <f t="shared" ref="H107:H113" si="74">(G107-G106)/G106</f>
        <v>-4.9709736394891409E-2</v>
      </c>
      <c r="I107" s="14">
        <v>0.24881542149351926</v>
      </c>
      <c r="J107" s="2">
        <f>(I107-I106)/I106</f>
        <v>4.4223662223851282E-2</v>
      </c>
      <c r="K107">
        <f t="shared" si="42"/>
        <v>1.0779445435521693</v>
      </c>
      <c r="L107">
        <f t="shared" ref="L107:L113" si="75">(K107-K106)/K106</f>
        <v>-7.2206010600283532E-2</v>
      </c>
      <c r="M107" s="2">
        <v>0</v>
      </c>
      <c r="N107" s="2">
        <v>0</v>
      </c>
      <c r="O107" s="2">
        <v>0</v>
      </c>
      <c r="P107" s="4">
        <v>1</v>
      </c>
      <c r="Q107" s="40">
        <v>0.83712559510186269</v>
      </c>
      <c r="R107" s="40">
        <v>0.36950146627565977</v>
      </c>
      <c r="S107" s="40">
        <v>0.3606316622445655</v>
      </c>
      <c r="T107" s="40">
        <v>-1.2</v>
      </c>
      <c r="U107" s="40">
        <v>-0.40999999999999992</v>
      </c>
      <c r="V107" s="40">
        <v>0.28501628664495121</v>
      </c>
      <c r="W107" s="40">
        <v>0.1373873873873874</v>
      </c>
      <c r="X107" s="40">
        <v>-0.15238095238095239</v>
      </c>
      <c r="Y107" s="40">
        <v>0.32810177375989041</v>
      </c>
      <c r="Z107" s="40">
        <v>0.26554267650158048</v>
      </c>
      <c r="AA107" s="40">
        <v>0.25861653863020811</v>
      </c>
      <c r="AB107" s="40">
        <v>-0.34285714285714286</v>
      </c>
      <c r="AC107" s="40">
        <v>-0.23837209302325577</v>
      </c>
      <c r="AD107" s="40">
        <v>0.23037178479164339</v>
      </c>
      <c r="AE107" s="40">
        <v>0.14687449597935531</v>
      </c>
      <c r="AF107" s="40">
        <v>-0.17777777777777781</v>
      </c>
      <c r="AG107" s="40">
        <v>0.183</v>
      </c>
      <c r="AH107" s="40">
        <v>0.13500000000000001</v>
      </c>
      <c r="AI107" s="40">
        <v>0.18</v>
      </c>
      <c r="AJ107" s="40">
        <v>0.25</v>
      </c>
      <c r="AK107" s="40">
        <v>0.65</v>
      </c>
      <c r="AL107" s="40">
        <v>0.91499999999999992</v>
      </c>
      <c r="AM107" s="40">
        <v>1</v>
      </c>
      <c r="AN107" s="40">
        <v>1</v>
      </c>
      <c r="AO107" s="40">
        <v>1</v>
      </c>
      <c r="AP107" s="40">
        <v>1</v>
      </c>
      <c r="AQ107" s="40">
        <f t="shared" ref="AQ107:AQ113" si="76">AVERAGE(AL107,AO107)</f>
        <v>0.95750000000000002</v>
      </c>
      <c r="AR107" s="40">
        <f t="shared" ref="AR107:AR113" si="77">AVERAGE(AM107)</f>
        <v>1</v>
      </c>
      <c r="AS107" s="40">
        <f t="shared" ref="AS107:AS113" si="78">AVERAGE(AN107,AP107)</f>
        <v>1</v>
      </c>
      <c r="AT107" s="40" cm="1">
        <f t="array" ref="AT107">_xlfn.IFS(AG107&gt;sheet2!$C$2,1,AG107=sheet2!$C$2,0,AG107&lt;sheet2!$C$2,-1)</f>
        <v>-1</v>
      </c>
      <c r="AU107" s="40" cm="1">
        <f t="array" ref="AU107">_xlfn.IFS(AH107&gt;sheet2!$D$2,1,AH107=sheet2!$D$2,0,AH107&lt;sheet2!$D$2,-1)</f>
        <v>0</v>
      </c>
      <c r="AV107" s="40" cm="1">
        <f t="array" ref="AV107">_xlfn.IFS(AI107&gt;sheet2!$E$2,1,AI107=sheet2!$E$2,0,AI107&lt;sheet2!$E$2,-1)</f>
        <v>0</v>
      </c>
      <c r="AW107" s="40" cm="1">
        <f t="array" ref="AW107">_xlfn.IFS(AJ107&gt;sheet2!$F$2,1,AJ107=sheet2!$F$2,0,AJ107&lt;sheet2!$F$2,-1)</f>
        <v>0</v>
      </c>
      <c r="AX107" s="40" cm="1">
        <f t="array" ref="AX107">_xlfn.IFS(AK107&gt;sheet2!$G$2,1,AK107=sheet2!$G$2,0,AK107&lt;sheet2!$G$2,-1)</f>
        <v>0</v>
      </c>
      <c r="AY107">
        <v>0.47208105842606657</v>
      </c>
      <c r="AZ107">
        <v>0.55708268676568384</v>
      </c>
      <c r="BA107">
        <v>2.7022331911630806E-2</v>
      </c>
      <c r="BB107">
        <v>1.1080828998450988E-2</v>
      </c>
      <c r="BC107">
        <v>0.43961130555397954</v>
      </c>
    </row>
    <row r="108" spans="1:55" ht="14.4" x14ac:dyDescent="0.25">
      <c r="A108" s="2">
        <v>14</v>
      </c>
      <c r="B108" s="2" t="s">
        <v>23</v>
      </c>
      <c r="C108" s="2">
        <v>2018</v>
      </c>
      <c r="D108" s="2">
        <v>9286</v>
      </c>
      <c r="E108" s="17">
        <v>22550.424560676398</v>
      </c>
      <c r="F108" s="5">
        <v>21984.78</v>
      </c>
      <c r="G108" s="3">
        <f t="shared" si="40"/>
        <v>0.42238312141399642</v>
      </c>
      <c r="H108" s="2">
        <f t="shared" si="74"/>
        <v>-5.8144486650016557E-2</v>
      </c>
      <c r="I108" s="14">
        <v>0.26836572080946308</v>
      </c>
      <c r="J108" s="2">
        <f t="shared" ref="J108:J112" si="79">(I108-I107)/I107</f>
        <v>7.8573503196034955E-2</v>
      </c>
      <c r="K108">
        <f t="shared" si="42"/>
        <v>1.0257289161263565</v>
      </c>
      <c r="L108">
        <f t="shared" si="75"/>
        <v>-4.8439994189075533E-2</v>
      </c>
      <c r="M108" s="2">
        <v>0</v>
      </c>
      <c r="N108" s="2">
        <v>0</v>
      </c>
      <c r="O108" s="2">
        <v>0</v>
      </c>
      <c r="P108" s="4">
        <v>1</v>
      </c>
      <c r="Q108" s="40">
        <v>0.83712559510186269</v>
      </c>
      <c r="R108" s="40">
        <v>0.36950146627565977</v>
      </c>
      <c r="S108" s="40">
        <v>0.3606316622445655</v>
      </c>
      <c r="T108" s="40">
        <v>-1.2</v>
      </c>
      <c r="U108" s="40">
        <v>-0.40999999999999992</v>
      </c>
      <c r="V108" s="40">
        <v>0.28501628664495121</v>
      </c>
      <c r="W108" s="40">
        <v>0.1373873873873874</v>
      </c>
      <c r="X108" s="40">
        <v>-0.15238095238095239</v>
      </c>
      <c r="Y108" s="40">
        <v>0.32810177375989041</v>
      </c>
      <c r="Z108" s="40">
        <v>0.26554267650158048</v>
      </c>
      <c r="AA108" s="40">
        <v>0.25861653863020811</v>
      </c>
      <c r="AB108" s="40">
        <v>-0.34285714285714286</v>
      </c>
      <c r="AC108" s="40">
        <v>-0.23837209302325577</v>
      </c>
      <c r="AD108" s="40">
        <v>0.23037178479164339</v>
      </c>
      <c r="AE108" s="40">
        <v>0.14687449597935531</v>
      </c>
      <c r="AF108" s="40">
        <v>-0.17777777777777781</v>
      </c>
      <c r="AG108" s="40">
        <v>0.183</v>
      </c>
      <c r="AH108" s="40">
        <v>0.13500000000000001</v>
      </c>
      <c r="AI108" s="40">
        <v>0.18</v>
      </c>
      <c r="AJ108" s="40">
        <v>0.25</v>
      </c>
      <c r="AK108" s="40">
        <v>0.65</v>
      </c>
      <c r="AL108" s="40">
        <v>0.91499999999999992</v>
      </c>
      <c r="AM108" s="40">
        <v>1</v>
      </c>
      <c r="AN108" s="40">
        <v>1</v>
      </c>
      <c r="AO108" s="40">
        <v>1</v>
      </c>
      <c r="AP108" s="40">
        <v>1</v>
      </c>
      <c r="AQ108" s="40">
        <f t="shared" si="76"/>
        <v>0.95750000000000002</v>
      </c>
      <c r="AR108" s="40">
        <f t="shared" si="77"/>
        <v>1</v>
      </c>
      <c r="AS108" s="40">
        <f t="shared" si="78"/>
        <v>1</v>
      </c>
      <c r="AT108" s="40" cm="1">
        <f t="array" ref="AT108">_xlfn.IFS(AG108&gt;sheet2!$C$2,1,AG108=sheet2!$C$2,0,AG108&lt;sheet2!$C$2,-1)</f>
        <v>-1</v>
      </c>
      <c r="AU108" s="40" cm="1">
        <f t="array" ref="AU108">_xlfn.IFS(AH108&gt;sheet2!$D$2,1,AH108=sheet2!$D$2,0,AH108&lt;sheet2!$D$2,-1)</f>
        <v>0</v>
      </c>
      <c r="AV108" s="40" cm="1">
        <f t="array" ref="AV108">_xlfn.IFS(AI108&gt;sheet2!$E$2,1,AI108=sheet2!$E$2,0,AI108&lt;sheet2!$E$2,-1)</f>
        <v>0</v>
      </c>
      <c r="AW108" s="40" cm="1">
        <f t="array" ref="AW108">_xlfn.IFS(AJ108&gt;sheet2!$F$2,1,AJ108=sheet2!$F$2,0,AJ108&lt;sheet2!$F$2,-1)</f>
        <v>0</v>
      </c>
      <c r="AX108" s="40" cm="1">
        <f t="array" ref="AX108">_xlfn.IFS(AK108&gt;sheet2!$G$2,1,AK108=sheet2!$G$2,0,AK108&lt;sheet2!$G$2,-1)</f>
        <v>0</v>
      </c>
      <c r="AY108">
        <v>0.4585535993537348</v>
      </c>
      <c r="AZ108">
        <v>0.57345446487923779</v>
      </c>
      <c r="BA108">
        <v>2.7034312550917716E-2</v>
      </c>
      <c r="BB108">
        <v>1.2179853516842106E-2</v>
      </c>
      <c r="BC108">
        <v>0.41870341877928974</v>
      </c>
    </row>
    <row r="109" spans="1:55" ht="14.4" x14ac:dyDescent="0.25">
      <c r="A109" s="2">
        <v>14</v>
      </c>
      <c r="B109" s="2" t="s">
        <v>23</v>
      </c>
      <c r="C109" s="2">
        <v>2019</v>
      </c>
      <c r="D109" s="2">
        <v>9665</v>
      </c>
      <c r="E109" s="17">
        <v>22660.083117410697</v>
      </c>
      <c r="F109" s="5">
        <v>24757.5</v>
      </c>
      <c r="G109" s="3">
        <f t="shared" si="40"/>
        <v>0.39038675148944763</v>
      </c>
      <c r="H109" s="2">
        <f t="shared" si="74"/>
        <v>-7.5752008786325847E-2</v>
      </c>
      <c r="I109" s="14">
        <v>0.28244092684177041</v>
      </c>
      <c r="J109" s="2">
        <f t="shared" si="79"/>
        <v>5.2447853585222172E-2</v>
      </c>
      <c r="K109">
        <f t="shared" si="42"/>
        <v>0.91528155578756731</v>
      </c>
      <c r="L109">
        <f t="shared" si="75"/>
        <v>-0.10767694914548312</v>
      </c>
      <c r="M109" s="2">
        <v>0</v>
      </c>
      <c r="N109" s="2">
        <v>0</v>
      </c>
      <c r="O109" s="2">
        <v>0</v>
      </c>
      <c r="P109" s="4">
        <v>1</v>
      </c>
      <c r="Q109" s="40">
        <v>0.83712559510186269</v>
      </c>
      <c r="R109" s="40">
        <v>0.36950146627565977</v>
      </c>
      <c r="S109" s="40">
        <v>0.3606316622445655</v>
      </c>
      <c r="T109" s="40">
        <v>-1.2</v>
      </c>
      <c r="U109" s="40">
        <v>-0.40999999999999992</v>
      </c>
      <c r="V109" s="40">
        <v>0.28501628664495121</v>
      </c>
      <c r="W109" s="40">
        <v>0.1373873873873874</v>
      </c>
      <c r="X109" s="40">
        <v>-0.15238095238095239</v>
      </c>
      <c r="Y109" s="40">
        <v>0.32810177375989041</v>
      </c>
      <c r="Z109" s="40">
        <v>0.26554267650158048</v>
      </c>
      <c r="AA109" s="40">
        <v>0.25861653863020811</v>
      </c>
      <c r="AB109" s="40">
        <v>-0.34285714285714286</v>
      </c>
      <c r="AC109" s="40">
        <v>-0.23837209302325577</v>
      </c>
      <c r="AD109" s="40">
        <v>0.23037178479164339</v>
      </c>
      <c r="AE109" s="40">
        <v>0.14687449597935531</v>
      </c>
      <c r="AF109" s="40">
        <v>-0.17777777777777781</v>
      </c>
      <c r="AG109" s="40">
        <v>0.183</v>
      </c>
      <c r="AH109" s="40">
        <v>0.13500000000000001</v>
      </c>
      <c r="AI109" s="40">
        <v>0.18</v>
      </c>
      <c r="AJ109" s="40">
        <v>0.25</v>
      </c>
      <c r="AK109" s="40">
        <v>0.65</v>
      </c>
      <c r="AL109" s="40">
        <v>0.91499999999999992</v>
      </c>
      <c r="AM109" s="40">
        <v>1</v>
      </c>
      <c r="AN109" s="40">
        <v>1</v>
      </c>
      <c r="AO109" s="40">
        <v>1</v>
      </c>
      <c r="AP109" s="40">
        <v>1</v>
      </c>
      <c r="AQ109" s="40">
        <f t="shared" si="76"/>
        <v>0.95750000000000002</v>
      </c>
      <c r="AR109" s="40">
        <f t="shared" si="77"/>
        <v>1</v>
      </c>
      <c r="AS109" s="40">
        <f t="shared" si="78"/>
        <v>1</v>
      </c>
      <c r="AT109" s="40" cm="1">
        <f t="array" ref="AT109">_xlfn.IFS(AG109&gt;sheet2!$C$2,1,AG109=sheet2!$C$2,0,AG109&lt;sheet2!$C$2,-1)</f>
        <v>-1</v>
      </c>
      <c r="AU109" s="40" cm="1">
        <f t="array" ref="AU109">_xlfn.IFS(AH109&gt;sheet2!$D$2,1,AH109=sheet2!$D$2,0,AH109&lt;sheet2!$D$2,-1)</f>
        <v>0</v>
      </c>
      <c r="AV109" s="40" cm="1">
        <f t="array" ref="AV109">_xlfn.IFS(AI109&gt;sheet2!$E$2,1,AI109=sheet2!$E$2,0,AI109&lt;sheet2!$E$2,-1)</f>
        <v>0</v>
      </c>
      <c r="AW109" s="40" cm="1">
        <f t="array" ref="AW109">_xlfn.IFS(AJ109&gt;sheet2!$F$2,1,AJ109=sheet2!$F$2,0,AJ109&lt;sheet2!$F$2,-1)</f>
        <v>0</v>
      </c>
      <c r="AX109" s="40" cm="1">
        <f t="array" ref="AX109">_xlfn.IFS(AK109&gt;sheet2!$G$2,1,AK109=sheet2!$G$2,0,AK109&lt;sheet2!$G$2,-1)</f>
        <v>0</v>
      </c>
      <c r="AY109">
        <v>0.41948096536403107</v>
      </c>
      <c r="AZ109">
        <v>0.59078830823737816</v>
      </c>
      <c r="BA109">
        <v>2.7052283509848084E-2</v>
      </c>
      <c r="BB109">
        <v>1.293406442492174E-2</v>
      </c>
      <c r="BC109">
        <v>0.38945794451055299</v>
      </c>
    </row>
    <row r="110" spans="1:55" ht="14.4" x14ac:dyDescent="0.25">
      <c r="A110" s="2">
        <v>14</v>
      </c>
      <c r="B110" s="2" t="s">
        <v>23</v>
      </c>
      <c r="C110" s="2">
        <v>2020</v>
      </c>
      <c r="D110" s="2">
        <v>9808.6</v>
      </c>
      <c r="E110" s="17">
        <v>23252.399640276501</v>
      </c>
      <c r="F110" s="5">
        <v>25691.5</v>
      </c>
      <c r="G110" s="3">
        <f t="shared" si="40"/>
        <v>0.38178385847459279</v>
      </c>
      <c r="H110" s="2">
        <f t="shared" si="74"/>
        <v>-2.2036846747570484E-2</v>
      </c>
      <c r="I110" s="14">
        <v>0.31501046454334775</v>
      </c>
      <c r="J110" s="2">
        <f t="shared" si="79"/>
        <v>0.11531451219115813</v>
      </c>
      <c r="K110">
        <f t="shared" si="42"/>
        <v>0.90506197147992529</v>
      </c>
      <c r="L110">
        <f t="shared" si="75"/>
        <v>-1.1165508845907461E-2</v>
      </c>
      <c r="M110" s="2">
        <v>0</v>
      </c>
      <c r="N110" s="2">
        <v>0</v>
      </c>
      <c r="O110" s="2">
        <v>0</v>
      </c>
      <c r="P110" s="4">
        <v>1</v>
      </c>
      <c r="Q110" s="40">
        <v>0.83712559510186269</v>
      </c>
      <c r="R110" s="40">
        <v>0.36950146627565977</v>
      </c>
      <c r="S110" s="40">
        <v>0.3606316622445655</v>
      </c>
      <c r="T110" s="40">
        <v>-1.2</v>
      </c>
      <c r="U110" s="40">
        <v>-0.40999999999999992</v>
      </c>
      <c r="V110" s="40">
        <v>0.28501628664495121</v>
      </c>
      <c r="W110" s="40">
        <v>0.1373873873873874</v>
      </c>
      <c r="X110" s="40">
        <v>-0.15238095238095239</v>
      </c>
      <c r="Y110" s="40">
        <v>0.32810177375989041</v>
      </c>
      <c r="Z110" s="40">
        <v>0.26554267650158048</v>
      </c>
      <c r="AA110" s="40">
        <v>0.25861653863020811</v>
      </c>
      <c r="AB110" s="40">
        <v>-0.34285714285714286</v>
      </c>
      <c r="AC110" s="40">
        <v>-0.23837209302325577</v>
      </c>
      <c r="AD110" s="40">
        <v>0.23037178479164339</v>
      </c>
      <c r="AE110" s="40">
        <v>0.14687449597935531</v>
      </c>
      <c r="AF110" s="40">
        <v>-0.17777777777777781</v>
      </c>
      <c r="AG110" s="40">
        <v>0.183</v>
      </c>
      <c r="AH110" s="40">
        <v>0.13500000000000001</v>
      </c>
      <c r="AI110" s="40">
        <v>0.18</v>
      </c>
      <c r="AJ110" s="40">
        <v>0.25</v>
      </c>
      <c r="AK110" s="40">
        <v>0.65</v>
      </c>
      <c r="AL110" s="40">
        <v>0.91499999999999992</v>
      </c>
      <c r="AM110" s="40">
        <v>1</v>
      </c>
      <c r="AN110" s="40">
        <v>1</v>
      </c>
      <c r="AO110" s="40">
        <v>1</v>
      </c>
      <c r="AP110" s="40">
        <v>1</v>
      </c>
      <c r="AQ110" s="40">
        <f t="shared" si="76"/>
        <v>0.95750000000000002</v>
      </c>
      <c r="AR110" s="40">
        <f t="shared" si="77"/>
        <v>1</v>
      </c>
      <c r="AS110" s="40">
        <f t="shared" si="78"/>
        <v>1</v>
      </c>
      <c r="AT110" s="40" cm="1">
        <f t="array" ref="AT110">_xlfn.IFS(AG110&gt;sheet2!$C$2,1,AG110=sheet2!$C$2,0,AG110&lt;sheet2!$C$2,-1)</f>
        <v>-1</v>
      </c>
      <c r="AU110" s="40" cm="1">
        <f t="array" ref="AU110">_xlfn.IFS(AH110&gt;sheet2!$D$2,1,AH110=sheet2!$D$2,0,AH110&lt;sheet2!$D$2,-1)</f>
        <v>0</v>
      </c>
      <c r="AV110" s="40" cm="1">
        <f t="array" ref="AV110">_xlfn.IFS(AI110&gt;sheet2!$E$2,1,AI110=sheet2!$E$2,0,AI110&lt;sheet2!$E$2,-1)</f>
        <v>0</v>
      </c>
      <c r="AW110" s="40" cm="1">
        <f t="array" ref="AW110">_xlfn.IFS(AJ110&gt;sheet2!$F$2,1,AJ110=sheet2!$F$2,0,AJ110&lt;sheet2!$F$2,-1)</f>
        <v>0</v>
      </c>
      <c r="AX110" s="40" cm="1">
        <f t="array" ref="AX110">_xlfn.IFS(AK110&gt;sheet2!$G$2,1,AK110=sheet2!$G$2,0,AK110&lt;sheet2!$G$2,-1)</f>
        <v>0</v>
      </c>
      <c r="AY110">
        <v>0.41382169199929941</v>
      </c>
      <c r="AZ110">
        <v>0.60433724275282141</v>
      </c>
      <c r="BA110">
        <v>2.7070254468778455E-2</v>
      </c>
      <c r="BB110">
        <v>1.3468341669423739E-2</v>
      </c>
      <c r="BC110">
        <v>0.37571320691391175</v>
      </c>
    </row>
    <row r="111" spans="1:55" ht="14.4" x14ac:dyDescent="0.25">
      <c r="A111" s="2">
        <v>14</v>
      </c>
      <c r="B111" s="2" t="s">
        <v>23</v>
      </c>
      <c r="C111" s="2">
        <v>2021</v>
      </c>
      <c r="D111" s="2">
        <v>10517.8</v>
      </c>
      <c r="E111" s="17">
        <v>25242.234409876703</v>
      </c>
      <c r="F111" s="30">
        <v>29619.672999999999</v>
      </c>
      <c r="G111" s="3">
        <f t="shared" si="40"/>
        <v>0.3550950748173351</v>
      </c>
      <c r="H111" s="2">
        <f t="shared" si="74"/>
        <v>-6.9905479408930507E-2</v>
      </c>
      <c r="I111" s="14">
        <v>0.35334336657899879</v>
      </c>
      <c r="J111" s="2">
        <f t="shared" si="79"/>
        <v>0.12168770993439855</v>
      </c>
      <c r="K111">
        <f t="shared" si="42"/>
        <v>0.85221178538590558</v>
      </c>
      <c r="L111">
        <f t="shared" si="75"/>
        <v>-5.8393997051495769E-2</v>
      </c>
      <c r="M111" s="2">
        <v>0</v>
      </c>
      <c r="N111" s="2">
        <v>0</v>
      </c>
      <c r="O111" s="2">
        <v>0</v>
      </c>
      <c r="P111" s="4">
        <v>1</v>
      </c>
      <c r="Q111" s="40">
        <v>0.83712559510186269</v>
      </c>
      <c r="R111" s="40">
        <v>0.36950146627565977</v>
      </c>
      <c r="S111" s="40">
        <v>0.3606316622445655</v>
      </c>
      <c r="T111" s="40">
        <v>-1.2</v>
      </c>
      <c r="U111" s="40">
        <v>-0.40999999999999992</v>
      </c>
      <c r="V111" s="40">
        <v>0.28501628664495121</v>
      </c>
      <c r="W111" s="40">
        <v>0.1373873873873874</v>
      </c>
      <c r="X111" s="40">
        <v>-0.15238095238095239</v>
      </c>
      <c r="Y111" s="40">
        <v>0.32810177375989041</v>
      </c>
      <c r="Z111" s="40">
        <v>0.26554267650158048</v>
      </c>
      <c r="AA111" s="40">
        <v>0.25861653863020811</v>
      </c>
      <c r="AB111" s="40">
        <v>-0.34285714285714286</v>
      </c>
      <c r="AC111" s="40">
        <v>-0.23837209302325577</v>
      </c>
      <c r="AD111" s="40">
        <v>0.23037178479164339</v>
      </c>
      <c r="AE111" s="40">
        <v>0.14687449597935531</v>
      </c>
      <c r="AF111" s="40">
        <v>-0.17777777777777781</v>
      </c>
      <c r="AG111" s="40">
        <v>0.183</v>
      </c>
      <c r="AH111" s="40">
        <v>0.13500000000000001</v>
      </c>
      <c r="AI111" s="40">
        <v>0.18</v>
      </c>
      <c r="AJ111" s="40">
        <v>0.25</v>
      </c>
      <c r="AK111" s="40">
        <v>0.65</v>
      </c>
      <c r="AL111" s="40">
        <v>0.91499999999999992</v>
      </c>
      <c r="AM111" s="40">
        <v>1</v>
      </c>
      <c r="AN111" s="40">
        <v>1</v>
      </c>
      <c r="AO111" s="40">
        <v>1</v>
      </c>
      <c r="AP111" s="40">
        <v>1</v>
      </c>
      <c r="AQ111" s="40">
        <f t="shared" si="76"/>
        <v>0.95750000000000002</v>
      </c>
      <c r="AR111" s="40">
        <f t="shared" si="77"/>
        <v>1</v>
      </c>
      <c r="AS111" s="40">
        <f t="shared" si="78"/>
        <v>1</v>
      </c>
      <c r="AT111" s="40" cm="1">
        <f t="array" ref="AT111">_xlfn.IFS(AG111&gt;sheet2!$C$2,1,AG111=sheet2!$C$2,0,AG111&lt;sheet2!$C$2,-1)</f>
        <v>-1</v>
      </c>
      <c r="AU111" s="40" cm="1">
        <f t="array" ref="AU111">_xlfn.IFS(AH111&gt;sheet2!$D$2,1,AH111=sheet2!$D$2,0,AH111&lt;sheet2!$D$2,-1)</f>
        <v>0</v>
      </c>
      <c r="AV111" s="40" cm="1">
        <f t="array" ref="AV111">_xlfn.IFS(AI111&gt;sheet2!$E$2,1,AI111=sheet2!$E$2,0,AI111&lt;sheet2!$E$2,-1)</f>
        <v>0</v>
      </c>
      <c r="AW111" s="40" cm="1">
        <f t="array" ref="AW111">_xlfn.IFS(AJ111&gt;sheet2!$F$2,1,AJ111=sheet2!$F$2,0,AJ111&lt;sheet2!$F$2,-1)</f>
        <v>0</v>
      </c>
      <c r="AX111" s="40" cm="1">
        <f t="array" ref="AX111">_xlfn.IFS(AK111&gt;sheet2!$G$2,1,AK111=sheet2!$G$2,0,AK111&lt;sheet2!$G$2,-1)</f>
        <v>0</v>
      </c>
      <c r="AY111">
        <v>0.42401886070788153</v>
      </c>
      <c r="AZ111">
        <v>0.61456719061323883</v>
      </c>
      <c r="BA111">
        <v>2.7058273829491542E-2</v>
      </c>
      <c r="BB111">
        <v>1.3431836333912262E-2</v>
      </c>
      <c r="BC111">
        <v>0.4148523278953572</v>
      </c>
    </row>
    <row r="112" spans="1:55" ht="14.4" x14ac:dyDescent="0.25">
      <c r="A112" s="2">
        <v>14</v>
      </c>
      <c r="B112" s="2" t="s">
        <v>23</v>
      </c>
      <c r="C112" s="2">
        <v>2022</v>
      </c>
      <c r="D112" s="2">
        <v>10785.7</v>
      </c>
      <c r="E112" s="17">
        <v>26228.791718736698</v>
      </c>
      <c r="F112" s="30">
        <v>32074.7</v>
      </c>
      <c r="G112" s="3">
        <f t="shared" si="40"/>
        <v>0.33626814903958574</v>
      </c>
      <c r="H112" s="2">
        <f t="shared" si="74"/>
        <v>-5.3019394277530156E-2</v>
      </c>
      <c r="I112" s="14">
        <v>0.371389426444101</v>
      </c>
      <c r="J112" s="2">
        <f t="shared" si="79"/>
        <v>5.1072304087156441E-2</v>
      </c>
      <c r="K112">
        <f t="shared" si="42"/>
        <v>0.81774082746640486</v>
      </c>
      <c r="L112">
        <f t="shared" si="75"/>
        <v>-4.0448816257441567E-2</v>
      </c>
      <c r="M112" s="2">
        <v>1</v>
      </c>
      <c r="N112" s="2">
        <v>1</v>
      </c>
      <c r="O112" s="2">
        <v>0</v>
      </c>
      <c r="P112" s="4">
        <v>1</v>
      </c>
      <c r="Q112" s="40">
        <v>0.83712559510186269</v>
      </c>
      <c r="R112" s="40">
        <v>0.36950146627565977</v>
      </c>
      <c r="S112" s="40">
        <v>0.3606316622445655</v>
      </c>
      <c r="T112" s="40">
        <v>-1.2</v>
      </c>
      <c r="U112" s="40">
        <v>-0.40999999999999992</v>
      </c>
      <c r="V112" s="40">
        <v>0.28501628664495121</v>
      </c>
      <c r="W112" s="40">
        <v>0.1373873873873874</v>
      </c>
      <c r="X112" s="40">
        <v>-0.15238095238095239</v>
      </c>
      <c r="Y112" s="40">
        <v>0.32810177375989041</v>
      </c>
      <c r="Z112" s="40">
        <v>0.26554267650158048</v>
      </c>
      <c r="AA112" s="40">
        <v>0.25861653863020811</v>
      </c>
      <c r="AB112" s="40">
        <v>-0.34285714285714286</v>
      </c>
      <c r="AC112" s="40">
        <v>-0.23837209302325577</v>
      </c>
      <c r="AD112" s="40">
        <v>0.23037178479164339</v>
      </c>
      <c r="AE112" s="40">
        <v>0.14687449597935531</v>
      </c>
      <c r="AF112" s="40">
        <v>-0.17777777777777781</v>
      </c>
      <c r="AG112" s="40">
        <v>0.183</v>
      </c>
      <c r="AH112" s="40">
        <v>0.13500000000000001</v>
      </c>
      <c r="AI112" s="40">
        <v>0.18</v>
      </c>
      <c r="AJ112" s="40">
        <v>0.25</v>
      </c>
      <c r="AK112" s="40">
        <v>0.65</v>
      </c>
      <c r="AL112" s="40">
        <v>0.91499999999999992</v>
      </c>
      <c r="AM112" s="40">
        <v>1</v>
      </c>
      <c r="AN112" s="40">
        <v>1</v>
      </c>
      <c r="AO112" s="40">
        <v>1</v>
      </c>
      <c r="AP112" s="40">
        <v>1</v>
      </c>
      <c r="AQ112" s="40">
        <f t="shared" si="76"/>
        <v>0.95750000000000002</v>
      </c>
      <c r="AR112" s="40">
        <f t="shared" si="77"/>
        <v>1</v>
      </c>
      <c r="AS112" s="40">
        <f t="shared" si="78"/>
        <v>1</v>
      </c>
      <c r="AT112" s="40" cm="1">
        <f t="array" ref="AT112">_xlfn.IFS(AG112&gt;sheet2!$C$2,1,AG112=sheet2!$C$2,0,AG112&lt;sheet2!$C$2,-1)</f>
        <v>-1</v>
      </c>
      <c r="AU112" s="40" cm="1">
        <f t="array" ref="AU112">_xlfn.IFS(AH112&gt;sheet2!$D$2,1,AH112=sheet2!$D$2,0,AH112&lt;sheet2!$D$2,-1)</f>
        <v>0</v>
      </c>
      <c r="AV112" s="40" cm="1">
        <f t="array" ref="AV112">_xlfn.IFS(AI112&gt;sheet2!$E$2,1,AI112=sheet2!$E$2,0,AI112&lt;sheet2!$E$2,-1)</f>
        <v>0</v>
      </c>
      <c r="AW112" s="40" cm="1">
        <f t="array" ref="AW112">_xlfn.IFS(AJ112&gt;sheet2!$F$2,1,AJ112=sheet2!$F$2,0,AJ112&lt;sheet2!$F$2,-1)</f>
        <v>0</v>
      </c>
      <c r="AX112" s="40" cm="1">
        <f t="array" ref="AX112">_xlfn.IFS(AK112&gt;sheet2!$G$2,1,AK112=sheet2!$G$2,0,AK112&lt;sheet2!$G$2,-1)</f>
        <v>0</v>
      </c>
      <c r="AY112">
        <v>0.40009415520643993</v>
      </c>
      <c r="AZ112">
        <v>0.62080388692579502</v>
      </c>
      <c r="BA112">
        <v>2.712416734556956E-2</v>
      </c>
      <c r="BB112">
        <v>1.3708327747414628E-2</v>
      </c>
      <c r="BC112">
        <v>0.40448644340087281</v>
      </c>
    </row>
    <row r="113" spans="1:55" ht="14.4" x14ac:dyDescent="0.25">
      <c r="A113" s="2">
        <v>14</v>
      </c>
      <c r="B113" s="6" t="s">
        <v>24</v>
      </c>
      <c r="C113" s="2">
        <v>2023</v>
      </c>
      <c r="D113" s="2">
        <v>11533.9</v>
      </c>
      <c r="E113" s="17">
        <v>27311.6317628465</v>
      </c>
      <c r="F113" s="30">
        <v>32200.1</v>
      </c>
      <c r="G113" s="3">
        <f t="shared" si="40"/>
        <v>0.35819453976851007</v>
      </c>
      <c r="H113" s="2">
        <f t="shared" si="74"/>
        <v>6.5205077529787506E-2</v>
      </c>
      <c r="K113">
        <f t="shared" si="42"/>
        <v>0.84818468771359412</v>
      </c>
      <c r="L113">
        <f t="shared" si="75"/>
        <v>3.7229228656117185E-2</v>
      </c>
      <c r="M113" s="2">
        <v>1</v>
      </c>
      <c r="N113" s="2">
        <v>1</v>
      </c>
      <c r="O113" s="2">
        <v>1</v>
      </c>
      <c r="P113" s="4">
        <v>1</v>
      </c>
      <c r="Q113" s="40">
        <v>0.83712559510186269</v>
      </c>
      <c r="R113" s="40">
        <v>0.36950146627565977</v>
      </c>
      <c r="S113" s="40">
        <v>0.3606316622445655</v>
      </c>
      <c r="T113" s="40">
        <v>-1.2</v>
      </c>
      <c r="U113" s="40">
        <v>-0.40999999999999992</v>
      </c>
      <c r="V113" s="40">
        <v>0.28501628664495121</v>
      </c>
      <c r="W113" s="40">
        <v>0.1373873873873874</v>
      </c>
      <c r="X113" s="40">
        <v>-0.15238095238095239</v>
      </c>
      <c r="Y113" s="40">
        <v>0.32810177375989041</v>
      </c>
      <c r="Z113" s="40">
        <v>0.26554267650158048</v>
      </c>
      <c r="AA113" s="40">
        <v>0.25861653863020811</v>
      </c>
      <c r="AB113" s="40">
        <v>-0.34285714285714286</v>
      </c>
      <c r="AC113" s="40">
        <v>-0.23837209302325577</v>
      </c>
      <c r="AD113" s="40">
        <v>0.23037178479164339</v>
      </c>
      <c r="AE113" s="40">
        <v>0.14687449597935531</v>
      </c>
      <c r="AF113" s="40">
        <v>-0.17777777777777781</v>
      </c>
      <c r="AG113" s="40">
        <v>0.183</v>
      </c>
      <c r="AH113" s="40">
        <v>0.13500000000000001</v>
      </c>
      <c r="AI113" s="40">
        <v>0.18</v>
      </c>
      <c r="AJ113" s="40">
        <v>0.25</v>
      </c>
      <c r="AK113" s="40">
        <v>0.65</v>
      </c>
      <c r="AL113" s="40">
        <v>0.91499999999999992</v>
      </c>
      <c r="AM113" s="40">
        <v>1</v>
      </c>
      <c r="AN113" s="40">
        <v>1</v>
      </c>
      <c r="AO113" s="40">
        <v>1</v>
      </c>
      <c r="AP113" s="40">
        <v>1</v>
      </c>
      <c r="AQ113" s="40">
        <f t="shared" si="76"/>
        <v>0.95750000000000002</v>
      </c>
      <c r="AR113" s="40">
        <f t="shared" si="77"/>
        <v>1</v>
      </c>
      <c r="AS113" s="40">
        <f t="shared" si="78"/>
        <v>1</v>
      </c>
      <c r="AT113" s="40" cm="1">
        <f t="array" ref="AT113">_xlfn.IFS(AG113&gt;sheet2!$C$2,1,AG113=sheet2!$C$2,0,AG113&lt;sheet2!$C$2,-1)</f>
        <v>-1</v>
      </c>
      <c r="AU113" s="40" cm="1">
        <f t="array" ref="AU113">_xlfn.IFS(AH113&gt;sheet2!$D$2,1,AH113=sheet2!$D$2,0,AH113&lt;sheet2!$D$2,-1)</f>
        <v>0</v>
      </c>
      <c r="AV113" s="40" cm="1">
        <f t="array" ref="AV113">_xlfn.IFS(AI113&gt;sheet2!$E$2,1,AI113=sheet2!$E$2,0,AI113&lt;sheet2!$E$2,-1)</f>
        <v>0</v>
      </c>
      <c r="AW113" s="40" cm="1">
        <f t="array" ref="AW113">_xlfn.IFS(AJ113&gt;sheet2!$F$2,1,AJ113=sheet2!$F$2,0,AJ113&lt;sheet2!$F$2,-1)</f>
        <v>0</v>
      </c>
      <c r="AX113" s="40" cm="1">
        <f t="array" ref="AX113">_xlfn.IFS(AK113&gt;sheet2!$G$2,1,AK113=sheet2!$G$2,0,AK113&lt;sheet2!$G$2,-1)</f>
        <v>0</v>
      </c>
      <c r="AY113">
        <v>0.40731861081176773</v>
      </c>
      <c r="AZ113">
        <v>0.6312292358803987</v>
      </c>
      <c r="BA113">
        <v>2.7046293190204629E-2</v>
      </c>
      <c r="BB113">
        <v>1.5033239027207991E-2</v>
      </c>
      <c r="BC113">
        <v>0.40833297743991631</v>
      </c>
    </row>
    <row r="114" spans="1:55" s="40" customFormat="1" ht="14.4" x14ac:dyDescent="0.25">
      <c r="A114" s="35">
        <v>15</v>
      </c>
      <c r="B114" s="35" t="s">
        <v>25</v>
      </c>
      <c r="C114" s="35">
        <v>2016</v>
      </c>
      <c r="D114" s="35">
        <v>40138</v>
      </c>
      <c r="E114" s="36">
        <v>106219.06619434101</v>
      </c>
      <c r="F114" s="37">
        <v>68024.490000000005</v>
      </c>
      <c r="G114" s="38">
        <f t="shared" si="40"/>
        <v>0.5900522003178561</v>
      </c>
      <c r="H114" s="35"/>
      <c r="I114" s="39">
        <v>0.40289378584684948</v>
      </c>
      <c r="J114" s="35"/>
      <c r="K114" s="40">
        <f t="shared" si="42"/>
        <v>1.5614827276814718</v>
      </c>
      <c r="M114" s="35">
        <v>0</v>
      </c>
      <c r="N114" s="35">
        <v>0</v>
      </c>
      <c r="O114" s="35">
        <v>0</v>
      </c>
      <c r="P114" s="41">
        <v>1</v>
      </c>
      <c r="Q114" s="40">
        <v>0.8368478959256952</v>
      </c>
      <c r="R114" s="40">
        <v>-2.932551319648094E-2</v>
      </c>
      <c r="S114" s="40">
        <v>-0.2156169994879672</v>
      </c>
      <c r="T114" s="40">
        <v>1.9</v>
      </c>
      <c r="U114" s="40">
        <v>-0.49999999999999989</v>
      </c>
      <c r="V114" s="40">
        <v>-0.14638157894736839</v>
      </c>
      <c r="W114" s="40">
        <v>-0.26444444444444443</v>
      </c>
      <c r="X114" s="40">
        <v>-0.11926605504587159</v>
      </c>
      <c r="Y114" s="40">
        <v>0.32695619420233052</v>
      </c>
      <c r="Z114" s="40">
        <v>-2.1074815595363533E-2</v>
      </c>
      <c r="AA114" s="40">
        <v>-0.15462347851086317</v>
      </c>
      <c r="AB114" s="40">
        <v>0.54285714285714282</v>
      </c>
      <c r="AC114" s="40">
        <v>-0.29069767441860461</v>
      </c>
      <c r="AD114" s="40">
        <v>-0.11831669691470055</v>
      </c>
      <c r="AE114" s="40">
        <v>-0.28270531400966181</v>
      </c>
      <c r="AF114" s="40">
        <v>-0.1391437308868502</v>
      </c>
      <c r="AG114" s="40">
        <v>0.13</v>
      </c>
      <c r="AH114" s="40">
        <v>0.14499999999999999</v>
      </c>
      <c r="AI114" s="40">
        <v>0.20499999999999999</v>
      </c>
      <c r="AJ114" s="40">
        <v>0.2</v>
      </c>
      <c r="AK114" s="40">
        <v>0.68</v>
      </c>
      <c r="AL114" s="40">
        <v>0.65</v>
      </c>
      <c r="AM114" s="40">
        <v>1.074074074074074</v>
      </c>
      <c r="AN114" s="40">
        <v>1.1388888888888888</v>
      </c>
      <c r="AO114" s="40">
        <v>0.8</v>
      </c>
      <c r="AP114" s="40">
        <v>1.0461538461538462</v>
      </c>
      <c r="AQ114" s="40">
        <f t="shared" si="48"/>
        <v>0.72500000000000009</v>
      </c>
      <c r="AR114" s="40">
        <f t="shared" si="49"/>
        <v>1.074074074074074</v>
      </c>
      <c r="AS114" s="40">
        <f t="shared" si="50"/>
        <v>1.0925213675213676</v>
      </c>
      <c r="AT114" s="40" cm="1">
        <f t="array" ref="AT114">_xlfn.IFS(AG114&gt;sheet2!$C$2,1,AG114=sheet2!$C$2,0,AG114&lt;sheet2!$C$2,-1)</f>
        <v>-1</v>
      </c>
      <c r="AU114" s="40" cm="1">
        <f t="array" ref="AU114">_xlfn.IFS(AH114&gt;sheet2!$D$2,1,AH114=sheet2!$D$2,0,AH114&lt;sheet2!$D$2,-1)</f>
        <v>1</v>
      </c>
      <c r="AV114" s="40" cm="1">
        <f t="array" ref="AV114">_xlfn.IFS(AI114&gt;sheet2!$E$2,1,AI114=sheet2!$E$2,0,AI114&lt;sheet2!$E$2,-1)</f>
        <v>1</v>
      </c>
      <c r="AW114" s="40" cm="1">
        <f t="array" ref="AW114">_xlfn.IFS(AJ114&gt;sheet2!$F$2,1,AJ114=sheet2!$F$2,0,AJ114&lt;sheet2!$F$2,-1)</f>
        <v>-1</v>
      </c>
      <c r="AX114" s="40" cm="1">
        <f t="array" ref="AX114">_xlfn.IFS(AK114&gt;sheet2!$G$2,1,AK114=sheet2!$G$2,0,AK114&lt;sheet2!$G$2,-1)</f>
        <v>1</v>
      </c>
      <c r="AY114" s="40">
        <v>0.37582053169380614</v>
      </c>
      <c r="AZ114" s="40">
        <v>0.59129650055148897</v>
      </c>
      <c r="BA114" s="40">
        <v>6.3159827993489598E-2</v>
      </c>
      <c r="BB114" s="40">
        <v>2.0801383442933565E-2</v>
      </c>
      <c r="BC114" s="40">
        <v>0.66933631517690617</v>
      </c>
    </row>
    <row r="115" spans="1:55" ht="14.4" x14ac:dyDescent="0.25">
      <c r="A115" s="2">
        <v>15</v>
      </c>
      <c r="B115" s="2" t="s">
        <v>25</v>
      </c>
      <c r="C115" s="2">
        <v>2017</v>
      </c>
      <c r="D115" s="2">
        <v>40098</v>
      </c>
      <c r="E115" s="17">
        <v>107495.08756655399</v>
      </c>
      <c r="F115" s="5">
        <v>72634.149999999994</v>
      </c>
      <c r="G115" s="3">
        <f t="shared" si="40"/>
        <v>0.5520543711188195</v>
      </c>
      <c r="H115" s="2">
        <f t="shared" ref="H115:H121" si="80">(G115-G114)/G114</f>
        <v>-6.4397402769733755E-2</v>
      </c>
      <c r="I115" s="14">
        <v>0.40697965046573431</v>
      </c>
      <c r="J115" s="2">
        <f t="shared" ref="J115:J120" si="81">(I115-I114)/I114</f>
        <v>1.0141294709464621E-2</v>
      </c>
      <c r="K115">
        <f t="shared" si="42"/>
        <v>1.4799524406433338</v>
      </c>
      <c r="L115">
        <f t="shared" ref="L115:L121" si="82">(K115-K114)/K114</f>
        <v>-5.2213377447470212E-2</v>
      </c>
      <c r="M115" s="2">
        <v>0</v>
      </c>
      <c r="N115" s="2">
        <v>0</v>
      </c>
      <c r="O115" s="2">
        <v>0</v>
      </c>
      <c r="P115" s="4">
        <v>1</v>
      </c>
      <c r="Q115" s="40">
        <v>0.8368478959256952</v>
      </c>
      <c r="R115" s="40">
        <v>-2.932551319648094E-2</v>
      </c>
      <c r="S115" s="40">
        <v>-0.2156169994879672</v>
      </c>
      <c r="T115" s="40">
        <v>1.9</v>
      </c>
      <c r="U115" s="40">
        <v>-0.49999999999999989</v>
      </c>
      <c r="V115" s="40">
        <v>-0.14638157894736839</v>
      </c>
      <c r="W115" s="40">
        <v>-0.26444444444444443</v>
      </c>
      <c r="X115" s="40">
        <v>-0.11926605504587159</v>
      </c>
      <c r="Y115" s="40">
        <v>0.32695619420233052</v>
      </c>
      <c r="Z115" s="40">
        <v>-2.1074815595363533E-2</v>
      </c>
      <c r="AA115" s="40">
        <v>-0.15462347851086317</v>
      </c>
      <c r="AB115" s="40">
        <v>0.54285714285714282</v>
      </c>
      <c r="AC115" s="40">
        <v>-0.29069767441860461</v>
      </c>
      <c r="AD115" s="40">
        <v>-0.11831669691470055</v>
      </c>
      <c r="AE115" s="40">
        <v>-0.28270531400966181</v>
      </c>
      <c r="AF115" s="40">
        <v>-0.1391437308868502</v>
      </c>
      <c r="AG115" s="40">
        <v>0.13</v>
      </c>
      <c r="AH115" s="40">
        <v>0.14499999999999999</v>
      </c>
      <c r="AI115" s="40">
        <v>0.20499999999999999</v>
      </c>
      <c r="AJ115" s="40">
        <v>0.2</v>
      </c>
      <c r="AK115" s="40">
        <v>0.68</v>
      </c>
      <c r="AL115" s="40">
        <v>0.65</v>
      </c>
      <c r="AM115" s="40">
        <v>1.074074074074074</v>
      </c>
      <c r="AN115" s="40">
        <v>1.1388888888888888</v>
      </c>
      <c r="AO115" s="40">
        <v>0.8</v>
      </c>
      <c r="AP115" s="40">
        <v>1.0461538461538462</v>
      </c>
      <c r="AQ115" s="40">
        <f t="shared" ref="AQ115:AQ121" si="83">AVERAGE(AL115,AO115)</f>
        <v>0.72500000000000009</v>
      </c>
      <c r="AR115" s="40">
        <f t="shared" ref="AR115:AR121" si="84">AVERAGE(AM115)</f>
        <v>1.074074074074074</v>
      </c>
      <c r="AS115" s="40">
        <f t="shared" ref="AS115:AS121" si="85">AVERAGE(AN115,AP115)</f>
        <v>1.0925213675213676</v>
      </c>
      <c r="AT115" s="40" cm="1">
        <f t="array" ref="AT115">_xlfn.IFS(AG115&gt;sheet2!$C$2,1,AG115=sheet2!$C$2,0,AG115&lt;sheet2!$C$2,-1)</f>
        <v>-1</v>
      </c>
      <c r="AU115" s="40" cm="1">
        <f t="array" ref="AU115">_xlfn.IFS(AH115&gt;sheet2!$D$2,1,AH115=sheet2!$D$2,0,AH115&lt;sheet2!$D$2,-1)</f>
        <v>1</v>
      </c>
      <c r="AV115" s="40" cm="1">
        <f t="array" ref="AV115">_xlfn.IFS(AI115&gt;sheet2!$E$2,1,AI115=sheet2!$E$2,0,AI115&lt;sheet2!$E$2,-1)</f>
        <v>1</v>
      </c>
      <c r="AW115" s="40" cm="1">
        <f t="array" ref="AW115">_xlfn.IFS(AJ115&gt;sheet2!$F$2,1,AJ115=sheet2!$F$2,0,AJ115&lt;sheet2!$F$2,-1)</f>
        <v>-1</v>
      </c>
      <c r="AX115" s="40" cm="1">
        <f t="array" ref="AX115">_xlfn.IFS(AK115&gt;sheet2!$G$2,1,AK115=sheet2!$G$2,0,AK115&lt;sheet2!$G$2,-1)</f>
        <v>1</v>
      </c>
      <c r="AY115">
        <v>0.37070166030716956</v>
      </c>
      <c r="AZ115">
        <v>0.60789394996511514</v>
      </c>
      <c r="BA115">
        <v>6.3539812920754141E-2</v>
      </c>
      <c r="BB115">
        <v>2.1528144818931595E-2</v>
      </c>
      <c r="BC115">
        <v>0.65871316858204443</v>
      </c>
    </row>
    <row r="116" spans="1:55" ht="14.4" x14ac:dyDescent="0.25">
      <c r="A116" s="2">
        <v>15</v>
      </c>
      <c r="B116" s="2" t="s">
        <v>25</v>
      </c>
      <c r="C116" s="2">
        <v>2018</v>
      </c>
      <c r="D116" s="2">
        <v>40581</v>
      </c>
      <c r="E116" s="17">
        <v>111023.67677438099</v>
      </c>
      <c r="F116" s="5">
        <v>76469.67</v>
      </c>
      <c r="G116" s="3">
        <f t="shared" si="40"/>
        <v>0.53068098763862848</v>
      </c>
      <c r="H116" s="2">
        <f t="shared" si="80"/>
        <v>-3.8716084136558346E-2</v>
      </c>
      <c r="I116" s="14">
        <v>0.4692858336951754</v>
      </c>
      <c r="J116" s="2">
        <f t="shared" si="81"/>
        <v>0.15309409981098543</v>
      </c>
      <c r="K116">
        <f t="shared" si="42"/>
        <v>1.4518655144501211</v>
      </c>
      <c r="L116">
        <f t="shared" si="82"/>
        <v>-1.897826269403851E-2</v>
      </c>
      <c r="M116" s="2">
        <v>0</v>
      </c>
      <c r="N116" s="2">
        <v>0</v>
      </c>
      <c r="O116" s="2">
        <v>0</v>
      </c>
      <c r="P116" s="4">
        <v>1</v>
      </c>
      <c r="Q116" s="40">
        <v>0.8368478959256952</v>
      </c>
      <c r="R116" s="40">
        <v>-2.932551319648094E-2</v>
      </c>
      <c r="S116" s="40">
        <v>-0.2156169994879672</v>
      </c>
      <c r="T116" s="40">
        <v>1.9</v>
      </c>
      <c r="U116" s="40">
        <v>-0.49999999999999989</v>
      </c>
      <c r="V116" s="40">
        <v>-0.14638157894736839</v>
      </c>
      <c r="W116" s="40">
        <v>-0.26444444444444443</v>
      </c>
      <c r="X116" s="40">
        <v>-0.11926605504587159</v>
      </c>
      <c r="Y116" s="40">
        <v>0.32695619420233052</v>
      </c>
      <c r="Z116" s="40">
        <v>-2.1074815595363533E-2</v>
      </c>
      <c r="AA116" s="40">
        <v>-0.15462347851086317</v>
      </c>
      <c r="AB116" s="40">
        <v>0.54285714285714282</v>
      </c>
      <c r="AC116" s="40">
        <v>-0.29069767441860461</v>
      </c>
      <c r="AD116" s="40">
        <v>-0.11831669691470055</v>
      </c>
      <c r="AE116" s="40">
        <v>-0.28270531400966181</v>
      </c>
      <c r="AF116" s="40">
        <v>-0.1391437308868502</v>
      </c>
      <c r="AG116" s="40">
        <v>0.13</v>
      </c>
      <c r="AH116" s="40">
        <v>0.14499999999999999</v>
      </c>
      <c r="AI116" s="40">
        <v>0.20499999999999999</v>
      </c>
      <c r="AJ116" s="40">
        <v>0.2</v>
      </c>
      <c r="AK116" s="40">
        <v>0.68</v>
      </c>
      <c r="AL116" s="40">
        <v>0.65</v>
      </c>
      <c r="AM116" s="40">
        <v>1.074074074074074</v>
      </c>
      <c r="AN116" s="40">
        <v>1.1388888888888888</v>
      </c>
      <c r="AO116" s="40">
        <v>0.8</v>
      </c>
      <c r="AP116" s="40">
        <v>1.0461538461538462</v>
      </c>
      <c r="AQ116" s="40">
        <f t="shared" si="83"/>
        <v>0.72500000000000009</v>
      </c>
      <c r="AR116" s="40">
        <f t="shared" si="84"/>
        <v>1.074074074074074</v>
      </c>
      <c r="AS116" s="40">
        <f t="shared" si="85"/>
        <v>1.0925213675213676</v>
      </c>
      <c r="AT116" s="40" cm="1">
        <f t="array" ref="AT116">_xlfn.IFS(AG116&gt;sheet2!$C$2,1,AG116=sheet2!$C$2,0,AG116&lt;sheet2!$C$2,-1)</f>
        <v>-1</v>
      </c>
      <c r="AU116" s="40" cm="1">
        <f t="array" ref="AU116">_xlfn.IFS(AH116&gt;sheet2!$D$2,1,AH116=sheet2!$D$2,0,AH116&lt;sheet2!$D$2,-1)</f>
        <v>1</v>
      </c>
      <c r="AV116" s="40" cm="1">
        <f t="array" ref="AV116">_xlfn.IFS(AI116&gt;sheet2!$E$2,1,AI116=sheet2!$E$2,0,AI116&lt;sheet2!$E$2,-1)</f>
        <v>1</v>
      </c>
      <c r="AW116" s="40" cm="1">
        <f t="array" ref="AW116">_xlfn.IFS(AJ116&gt;sheet2!$F$2,1,AJ116=sheet2!$F$2,0,AJ116&lt;sheet2!$F$2,-1)</f>
        <v>-1</v>
      </c>
      <c r="AX116" s="40" cm="1">
        <f t="array" ref="AX116">_xlfn.IFS(AK116&gt;sheet2!$G$2,1,AK116=sheet2!$G$2,0,AK116&lt;sheet2!$G$2,-1)</f>
        <v>1</v>
      </c>
      <c r="AY116">
        <v>0.35992962961655256</v>
      </c>
      <c r="AZ116">
        <v>0.61456782772650587</v>
      </c>
      <c r="BA116">
        <v>6.3818468534081477E-2</v>
      </c>
      <c r="BB116">
        <v>1.8549805432663696E-2</v>
      </c>
      <c r="BC116">
        <v>0.64205778460661167</v>
      </c>
    </row>
    <row r="117" spans="1:55" ht="14.4" x14ac:dyDescent="0.25">
      <c r="A117" s="2">
        <v>15</v>
      </c>
      <c r="B117" s="2" t="s">
        <v>25</v>
      </c>
      <c r="C117" s="2">
        <v>2019</v>
      </c>
      <c r="D117" s="2">
        <v>41390</v>
      </c>
      <c r="E117" s="17">
        <v>113795.40773582699</v>
      </c>
      <c r="F117" s="5">
        <v>71067.53</v>
      </c>
      <c r="G117" s="3">
        <f t="shared" si="40"/>
        <v>0.58240380663293068</v>
      </c>
      <c r="H117" s="2">
        <f t="shared" si="80"/>
        <v>9.7464993468963826E-2</v>
      </c>
      <c r="I117" s="14">
        <v>0.46958980470376394</v>
      </c>
      <c r="J117" s="2">
        <f t="shared" si="81"/>
        <v>6.477310559218311E-4</v>
      </c>
      <c r="K117">
        <f t="shared" si="42"/>
        <v>1.6012292496422345</v>
      </c>
      <c r="L117">
        <f t="shared" si="82"/>
        <v>0.10287711479164327</v>
      </c>
      <c r="M117" s="2">
        <v>0</v>
      </c>
      <c r="N117" s="2">
        <v>0</v>
      </c>
      <c r="O117" s="2">
        <v>0</v>
      </c>
      <c r="P117" s="4">
        <v>1</v>
      </c>
      <c r="Q117" s="40">
        <v>0.8368478959256952</v>
      </c>
      <c r="R117" s="40">
        <v>-2.932551319648094E-2</v>
      </c>
      <c r="S117" s="40">
        <v>-0.2156169994879672</v>
      </c>
      <c r="T117" s="40">
        <v>1.9</v>
      </c>
      <c r="U117" s="40">
        <v>-0.49999999999999989</v>
      </c>
      <c r="V117" s="40">
        <v>-0.14638157894736839</v>
      </c>
      <c r="W117" s="40">
        <v>-0.26444444444444443</v>
      </c>
      <c r="X117" s="40">
        <v>-0.11926605504587159</v>
      </c>
      <c r="Y117" s="40">
        <v>0.32695619420233052</v>
      </c>
      <c r="Z117" s="40">
        <v>-2.1074815595363533E-2</v>
      </c>
      <c r="AA117" s="40">
        <v>-0.15462347851086317</v>
      </c>
      <c r="AB117" s="40">
        <v>0.54285714285714282</v>
      </c>
      <c r="AC117" s="40">
        <v>-0.29069767441860461</v>
      </c>
      <c r="AD117" s="40">
        <v>-0.11831669691470055</v>
      </c>
      <c r="AE117" s="40">
        <v>-0.28270531400966181</v>
      </c>
      <c r="AF117" s="40">
        <v>-0.1391437308868502</v>
      </c>
      <c r="AG117" s="40">
        <v>0.13</v>
      </c>
      <c r="AH117" s="40">
        <v>0.14499999999999999</v>
      </c>
      <c r="AI117" s="40">
        <v>0.20499999999999999</v>
      </c>
      <c r="AJ117" s="40">
        <v>0.2</v>
      </c>
      <c r="AK117" s="40">
        <v>0.68</v>
      </c>
      <c r="AL117" s="40">
        <v>0.65</v>
      </c>
      <c r="AM117" s="40">
        <v>1.074074074074074</v>
      </c>
      <c r="AN117" s="40">
        <v>1.1388888888888888</v>
      </c>
      <c r="AO117" s="40">
        <v>0.8</v>
      </c>
      <c r="AP117" s="40">
        <v>1.0461538461538462</v>
      </c>
      <c r="AQ117" s="40">
        <f t="shared" si="83"/>
        <v>0.72500000000000009</v>
      </c>
      <c r="AR117" s="40">
        <f t="shared" si="84"/>
        <v>1.074074074074074</v>
      </c>
      <c r="AS117" s="40">
        <f t="shared" si="85"/>
        <v>1.0925213675213676</v>
      </c>
      <c r="AT117" s="40" cm="1">
        <f t="array" ref="AT117">_xlfn.IFS(AG117&gt;sheet2!$C$2,1,AG117=sheet2!$C$2,0,AG117&lt;sheet2!$C$2,-1)</f>
        <v>-1</v>
      </c>
      <c r="AU117" s="40" cm="1">
        <f t="array" ref="AU117">_xlfn.IFS(AH117&gt;sheet2!$D$2,1,AH117=sheet2!$D$2,0,AH117&lt;sheet2!$D$2,-1)</f>
        <v>1</v>
      </c>
      <c r="AV117" s="40" cm="1">
        <f t="array" ref="AV117">_xlfn.IFS(AI117&gt;sheet2!$E$2,1,AI117=sheet2!$E$2,0,AI117&lt;sheet2!$E$2,-1)</f>
        <v>1</v>
      </c>
      <c r="AW117" s="40" cm="1">
        <f t="array" ref="AW117">_xlfn.IFS(AJ117&gt;sheet2!$F$2,1,AJ117=sheet2!$F$2,0,AJ117&lt;sheet2!$F$2,-1)</f>
        <v>-1</v>
      </c>
      <c r="AX117" s="40" cm="1">
        <f t="array" ref="AX117">_xlfn.IFS(AK117&gt;sheet2!$G$2,1,AK117=sheet2!$G$2,0,AK117&lt;sheet2!$G$2,-1)</f>
        <v>1</v>
      </c>
      <c r="AY117">
        <v>0.40053312673171565</v>
      </c>
      <c r="AZ117">
        <v>0.6186423906590145</v>
      </c>
      <c r="BA117">
        <v>6.4002127915592677E-2</v>
      </c>
      <c r="BB117">
        <v>1.7039406040986652E-2</v>
      </c>
      <c r="BC117">
        <v>0.6077146975351404</v>
      </c>
    </row>
    <row r="118" spans="1:55" ht="14.4" x14ac:dyDescent="0.25">
      <c r="A118" s="2">
        <v>15</v>
      </c>
      <c r="B118" s="2" t="s">
        <v>25</v>
      </c>
      <c r="C118" s="2">
        <v>2020</v>
      </c>
      <c r="D118" s="2">
        <v>43649</v>
      </c>
      <c r="E118" s="17">
        <v>114872.666915478</v>
      </c>
      <c r="F118" s="5">
        <v>73129</v>
      </c>
      <c r="G118" s="3">
        <f t="shared" si="40"/>
        <v>0.59687675204091395</v>
      </c>
      <c r="H118" s="2">
        <f t="shared" si="80"/>
        <v>2.4850361970771045E-2</v>
      </c>
      <c r="I118" s="14">
        <v>0.4714896596961532</v>
      </c>
      <c r="J118" s="2">
        <f t="shared" si="81"/>
        <v>4.0457756394173955E-3</v>
      </c>
      <c r="K118">
        <f t="shared" si="42"/>
        <v>1.5708223401862189</v>
      </c>
      <c r="L118">
        <f t="shared" si="82"/>
        <v>-1.8989728961552141E-2</v>
      </c>
      <c r="M118" s="2">
        <v>0</v>
      </c>
      <c r="N118" s="2">
        <v>0</v>
      </c>
      <c r="O118" s="2">
        <v>0</v>
      </c>
      <c r="P118" s="4">
        <v>1</v>
      </c>
      <c r="Q118" s="40">
        <v>0.8368478959256952</v>
      </c>
      <c r="R118" s="40">
        <v>-2.932551319648094E-2</v>
      </c>
      <c r="S118" s="40">
        <v>-0.2156169994879672</v>
      </c>
      <c r="T118" s="40">
        <v>1.9</v>
      </c>
      <c r="U118" s="40">
        <v>-0.49999999999999989</v>
      </c>
      <c r="V118" s="40">
        <v>-0.14638157894736839</v>
      </c>
      <c r="W118" s="40">
        <v>-0.26444444444444443</v>
      </c>
      <c r="X118" s="40">
        <v>-0.11926605504587159</v>
      </c>
      <c r="Y118" s="40">
        <v>0.32695619420233052</v>
      </c>
      <c r="Z118" s="40">
        <v>-2.1074815595363533E-2</v>
      </c>
      <c r="AA118" s="40">
        <v>-0.15462347851086317</v>
      </c>
      <c r="AB118" s="40">
        <v>0.54285714285714282</v>
      </c>
      <c r="AC118" s="40">
        <v>-0.29069767441860461</v>
      </c>
      <c r="AD118" s="40">
        <v>-0.11831669691470055</v>
      </c>
      <c r="AE118" s="40">
        <v>-0.28270531400966181</v>
      </c>
      <c r="AF118" s="40">
        <v>-0.1391437308868502</v>
      </c>
      <c r="AG118" s="40">
        <v>0.13</v>
      </c>
      <c r="AH118" s="40">
        <v>0.14499999999999999</v>
      </c>
      <c r="AI118" s="40">
        <v>0.20499999999999999</v>
      </c>
      <c r="AJ118" s="40">
        <v>0.2</v>
      </c>
      <c r="AK118" s="40">
        <v>0.68</v>
      </c>
      <c r="AL118" s="40">
        <v>0.65</v>
      </c>
      <c r="AM118" s="40">
        <v>1.074074074074074</v>
      </c>
      <c r="AN118" s="40">
        <v>1.1388888888888888</v>
      </c>
      <c r="AO118" s="40">
        <v>0.8</v>
      </c>
      <c r="AP118" s="40">
        <v>1.0461538461538462</v>
      </c>
      <c r="AQ118" s="40">
        <f t="shared" si="83"/>
        <v>0.72500000000000009</v>
      </c>
      <c r="AR118" s="40">
        <f t="shared" si="84"/>
        <v>1.074074074074074</v>
      </c>
      <c r="AS118" s="40">
        <f t="shared" si="85"/>
        <v>1.0925213675213676</v>
      </c>
      <c r="AT118" s="40" cm="1">
        <f t="array" ref="AT118">_xlfn.IFS(AG118&gt;sheet2!$C$2,1,AG118=sheet2!$C$2,0,AG118&lt;sheet2!$C$2,-1)</f>
        <v>-1</v>
      </c>
      <c r="AU118" s="40" cm="1">
        <f t="array" ref="AU118">_xlfn.IFS(AH118&gt;sheet2!$D$2,1,AH118=sheet2!$D$2,0,AH118&lt;sheet2!$D$2,-1)</f>
        <v>1</v>
      </c>
      <c r="AV118" s="40" cm="1">
        <f t="array" ref="AV118">_xlfn.IFS(AI118&gt;sheet2!$E$2,1,AI118=sheet2!$E$2,0,AI118&lt;sheet2!$E$2,-1)</f>
        <v>1</v>
      </c>
      <c r="AW118" s="40" cm="1">
        <f t="array" ref="AW118">_xlfn.IFS(AJ118&gt;sheet2!$F$2,1,AJ118=sheet2!$F$2,0,AJ118&lt;sheet2!$F$2,-1)</f>
        <v>-1</v>
      </c>
      <c r="AX118" s="40" cm="1">
        <f t="array" ref="AX118">_xlfn.IFS(AK118&gt;sheet2!$G$2,1,AK118=sheet2!$G$2,0,AK118&lt;sheet2!$G$2,-1)</f>
        <v>1</v>
      </c>
      <c r="AY118">
        <v>0.39666890016272616</v>
      </c>
      <c r="AZ118">
        <v>0.63049680275454989</v>
      </c>
      <c r="BA118">
        <v>6.4375779760736163E-2</v>
      </c>
      <c r="BB118">
        <v>1.8674106031806807E-2</v>
      </c>
      <c r="BC118">
        <v>0.58396032588182512</v>
      </c>
    </row>
    <row r="119" spans="1:55" ht="14.4" x14ac:dyDescent="0.25">
      <c r="A119" s="2">
        <v>15</v>
      </c>
      <c r="B119" s="2" t="s">
        <v>25</v>
      </c>
      <c r="C119" s="2">
        <v>2021</v>
      </c>
      <c r="D119" s="2">
        <v>45935.1</v>
      </c>
      <c r="E119" s="17">
        <v>117808.77367192801</v>
      </c>
      <c r="F119" s="30">
        <v>83095.899999999994</v>
      </c>
      <c r="G119" s="3">
        <f t="shared" si="40"/>
        <v>0.55279622700999687</v>
      </c>
      <c r="H119" s="2">
        <f t="shared" si="80"/>
        <v>-7.3851971751607959E-2</v>
      </c>
      <c r="I119" s="14">
        <v>0.48482680754005048</v>
      </c>
      <c r="J119" s="2">
        <f t="shared" si="81"/>
        <v>2.8287254173277671E-2</v>
      </c>
      <c r="K119">
        <f t="shared" si="42"/>
        <v>1.4177447223259874</v>
      </c>
      <c r="L119">
        <f t="shared" si="82"/>
        <v>-9.7450624392115784E-2</v>
      </c>
      <c r="M119" s="2">
        <v>0</v>
      </c>
      <c r="N119" s="2">
        <v>0</v>
      </c>
      <c r="O119" s="2">
        <v>0</v>
      </c>
      <c r="P119" s="4">
        <v>1</v>
      </c>
      <c r="Q119" s="40">
        <v>0.8368478959256952</v>
      </c>
      <c r="R119" s="40">
        <v>-2.932551319648094E-2</v>
      </c>
      <c r="S119" s="40">
        <v>-0.2156169994879672</v>
      </c>
      <c r="T119" s="40">
        <v>1.9</v>
      </c>
      <c r="U119" s="40">
        <v>-0.49999999999999989</v>
      </c>
      <c r="V119" s="40">
        <v>-0.14638157894736839</v>
      </c>
      <c r="W119" s="40">
        <v>-0.26444444444444443</v>
      </c>
      <c r="X119" s="40">
        <v>-0.11926605504587159</v>
      </c>
      <c r="Y119" s="40">
        <v>0.32695619420233052</v>
      </c>
      <c r="Z119" s="40">
        <v>-2.1074815595363533E-2</v>
      </c>
      <c r="AA119" s="40">
        <v>-0.15462347851086317</v>
      </c>
      <c r="AB119" s="40">
        <v>0.54285714285714282</v>
      </c>
      <c r="AC119" s="40">
        <v>-0.29069767441860461</v>
      </c>
      <c r="AD119" s="40">
        <v>-0.11831669691470055</v>
      </c>
      <c r="AE119" s="40">
        <v>-0.28270531400966181</v>
      </c>
      <c r="AF119" s="40">
        <v>-0.1391437308868502</v>
      </c>
      <c r="AG119" s="40">
        <v>0.13</v>
      </c>
      <c r="AH119" s="40">
        <v>0.14499999999999999</v>
      </c>
      <c r="AI119" s="40">
        <v>0.20499999999999999</v>
      </c>
      <c r="AJ119" s="40">
        <v>0.2</v>
      </c>
      <c r="AK119" s="40">
        <v>0.68</v>
      </c>
      <c r="AL119" s="40">
        <v>0.65</v>
      </c>
      <c r="AM119" s="40">
        <v>1.074074074074074</v>
      </c>
      <c r="AN119" s="40">
        <v>1.1388888888888888</v>
      </c>
      <c r="AO119" s="40">
        <v>0.8</v>
      </c>
      <c r="AP119" s="40">
        <v>1.0461538461538462</v>
      </c>
      <c r="AQ119" s="40">
        <f t="shared" si="83"/>
        <v>0.72500000000000009</v>
      </c>
      <c r="AR119" s="40">
        <f t="shared" si="84"/>
        <v>1.074074074074074</v>
      </c>
      <c r="AS119" s="40">
        <f t="shared" si="85"/>
        <v>1.0925213675213676</v>
      </c>
      <c r="AT119" s="40" cm="1">
        <f t="array" ref="AT119">_xlfn.IFS(AG119&gt;sheet2!$C$2,1,AG119=sheet2!$C$2,0,AG119&lt;sheet2!$C$2,-1)</f>
        <v>-1</v>
      </c>
      <c r="AU119" s="40" cm="1">
        <f t="array" ref="AU119">_xlfn.IFS(AH119&gt;sheet2!$D$2,1,AH119=sheet2!$D$2,0,AH119&lt;sheet2!$D$2,-1)</f>
        <v>1</v>
      </c>
      <c r="AV119" s="40" cm="1">
        <f t="array" ref="AV119">_xlfn.IFS(AI119&gt;sheet2!$E$2,1,AI119=sheet2!$E$2,0,AI119&lt;sheet2!$E$2,-1)</f>
        <v>1</v>
      </c>
      <c r="AW119" s="40" cm="1">
        <f t="array" ref="AW119">_xlfn.IFS(AJ119&gt;sheet2!$F$2,1,AJ119=sheet2!$F$2,0,AJ119&lt;sheet2!$F$2,-1)</f>
        <v>-1</v>
      </c>
      <c r="AX119" s="40" cm="1">
        <f t="array" ref="AX119">_xlfn.IFS(AK119&gt;sheet2!$G$2,1,AK119=sheet2!$G$2,0,AK119&lt;sheet2!$G$2,-1)</f>
        <v>1</v>
      </c>
      <c r="AY119">
        <v>0.41017667538350272</v>
      </c>
      <c r="AZ119">
        <v>0.63942969518190762</v>
      </c>
      <c r="BA119">
        <v>6.4407445171341532E-2</v>
      </c>
      <c r="BB119">
        <v>1.8837754931350405E-2</v>
      </c>
      <c r="BC119">
        <v>0.62190390979035548</v>
      </c>
    </row>
    <row r="120" spans="1:55" ht="14.4" x14ac:dyDescent="0.25">
      <c r="A120" s="2">
        <v>15</v>
      </c>
      <c r="B120" s="2" t="s">
        <v>25</v>
      </c>
      <c r="C120" s="2">
        <v>2022</v>
      </c>
      <c r="D120" s="2">
        <v>48166.9</v>
      </c>
      <c r="E120" s="17">
        <v>114665.205661181</v>
      </c>
      <c r="F120" s="30">
        <v>87435.1</v>
      </c>
      <c r="G120" s="3">
        <f t="shared" si="40"/>
        <v>0.55088745824045493</v>
      </c>
      <c r="H120" s="2">
        <f t="shared" si="80"/>
        <v>-3.4529337869511488E-3</v>
      </c>
      <c r="I120" s="14">
        <v>0.47837062941443642</v>
      </c>
      <c r="J120" s="2">
        <f t="shared" si="81"/>
        <v>-1.331646275578671E-2</v>
      </c>
      <c r="K120">
        <f t="shared" si="42"/>
        <v>1.3114322012690669</v>
      </c>
      <c r="L120">
        <f t="shared" si="82"/>
        <v>-7.4987068816240413E-2</v>
      </c>
      <c r="M120" s="2">
        <v>1</v>
      </c>
      <c r="N120" s="2">
        <v>1</v>
      </c>
      <c r="O120" s="2">
        <v>0</v>
      </c>
      <c r="P120" s="4">
        <v>1</v>
      </c>
      <c r="Q120" s="40">
        <v>0.8368478959256952</v>
      </c>
      <c r="R120" s="40">
        <v>-2.932551319648094E-2</v>
      </c>
      <c r="S120" s="40">
        <v>-0.2156169994879672</v>
      </c>
      <c r="T120" s="40">
        <v>1.9</v>
      </c>
      <c r="U120" s="40">
        <v>-0.49999999999999989</v>
      </c>
      <c r="V120" s="40">
        <v>-0.14638157894736839</v>
      </c>
      <c r="W120" s="40">
        <v>-0.26444444444444443</v>
      </c>
      <c r="X120" s="40">
        <v>-0.11926605504587159</v>
      </c>
      <c r="Y120" s="40">
        <v>0.32695619420233052</v>
      </c>
      <c r="Z120" s="40">
        <v>-2.1074815595363533E-2</v>
      </c>
      <c r="AA120" s="40">
        <v>-0.15462347851086317</v>
      </c>
      <c r="AB120" s="40">
        <v>0.54285714285714282</v>
      </c>
      <c r="AC120" s="40">
        <v>-0.29069767441860461</v>
      </c>
      <c r="AD120" s="40">
        <v>-0.11831669691470055</v>
      </c>
      <c r="AE120" s="40">
        <v>-0.28270531400966181</v>
      </c>
      <c r="AF120" s="40">
        <v>-0.1391437308868502</v>
      </c>
      <c r="AG120" s="40">
        <v>0.13</v>
      </c>
      <c r="AH120" s="40">
        <v>0.14499999999999999</v>
      </c>
      <c r="AI120" s="40">
        <v>0.20499999999999999</v>
      </c>
      <c r="AJ120" s="40">
        <v>0.2</v>
      </c>
      <c r="AK120" s="40">
        <v>0.68</v>
      </c>
      <c r="AL120" s="40">
        <v>0.65</v>
      </c>
      <c r="AM120" s="40">
        <v>1.074074074074074</v>
      </c>
      <c r="AN120" s="40">
        <v>1.1388888888888888</v>
      </c>
      <c r="AO120" s="40">
        <v>0.8</v>
      </c>
      <c r="AP120" s="40">
        <v>1.0461538461538462</v>
      </c>
      <c r="AQ120" s="40">
        <f t="shared" si="83"/>
        <v>0.72500000000000009</v>
      </c>
      <c r="AR120" s="40">
        <f t="shared" si="84"/>
        <v>1.074074074074074</v>
      </c>
      <c r="AS120" s="40">
        <f t="shared" si="85"/>
        <v>1.0925213675213676</v>
      </c>
      <c r="AT120" s="40" cm="1">
        <f t="array" ref="AT120">_xlfn.IFS(AG120&gt;sheet2!$C$2,1,AG120=sheet2!$C$2,0,AG120&lt;sheet2!$C$2,-1)</f>
        <v>-1</v>
      </c>
      <c r="AU120" s="40" cm="1">
        <f t="array" ref="AU120">_xlfn.IFS(AH120&gt;sheet2!$D$2,1,AH120=sheet2!$D$2,0,AH120&lt;sheet2!$D$2,-1)</f>
        <v>1</v>
      </c>
      <c r="AV120" s="40" cm="1">
        <f t="array" ref="AV120">_xlfn.IFS(AI120&gt;sheet2!$E$2,1,AI120=sheet2!$E$2,0,AI120&lt;sheet2!$E$2,-1)</f>
        <v>1</v>
      </c>
      <c r="AW120" s="40" cm="1">
        <f t="array" ref="AW120">_xlfn.IFS(AJ120&gt;sheet2!$F$2,1,AJ120=sheet2!$F$2,0,AJ120&lt;sheet2!$F$2,-1)</f>
        <v>-1</v>
      </c>
      <c r="AX120" s="40" cm="1">
        <f t="array" ref="AX120">_xlfn.IFS(AK120&gt;sheet2!$G$2,1,AK120=sheet2!$G$2,0,AK120&lt;sheet2!$G$2,-1)</f>
        <v>1</v>
      </c>
      <c r="AY120">
        <v>0.41215941881464074</v>
      </c>
      <c r="AZ120">
        <v>0.64538030109219724</v>
      </c>
      <c r="BA120">
        <v>6.4363113596494007E-2</v>
      </c>
      <c r="BB120">
        <v>1.9771264629422278E-2</v>
      </c>
      <c r="BC120">
        <v>0.58572979800686487</v>
      </c>
    </row>
    <row r="121" spans="1:55" ht="14.4" x14ac:dyDescent="0.25">
      <c r="A121" s="2">
        <v>15</v>
      </c>
      <c r="B121" s="6" t="s">
        <v>26</v>
      </c>
      <c r="C121" s="2">
        <v>2023</v>
      </c>
      <c r="D121" s="2">
        <v>52589.3</v>
      </c>
      <c r="E121" s="17">
        <v>117767.340247945</v>
      </c>
      <c r="F121" s="30">
        <v>92068.7</v>
      </c>
      <c r="G121" s="3">
        <f t="shared" si="40"/>
        <v>0.57119629146496043</v>
      </c>
      <c r="H121" s="2">
        <f t="shared" si="80"/>
        <v>3.6865666336591323E-2</v>
      </c>
      <c r="K121">
        <f t="shared" si="42"/>
        <v>1.2791246129025935</v>
      </c>
      <c r="L121">
        <f t="shared" si="82"/>
        <v>-2.4635347778718182E-2</v>
      </c>
      <c r="M121" s="2">
        <v>1</v>
      </c>
      <c r="N121" s="2">
        <v>1</v>
      </c>
      <c r="O121" s="2">
        <v>1</v>
      </c>
      <c r="P121" s="4">
        <v>1</v>
      </c>
      <c r="Q121" s="40">
        <v>0.8368478959256952</v>
      </c>
      <c r="R121" s="40">
        <v>-2.932551319648094E-2</v>
      </c>
      <c r="S121" s="40">
        <v>-0.2156169994879672</v>
      </c>
      <c r="T121" s="40">
        <v>1.9</v>
      </c>
      <c r="U121" s="40">
        <v>-0.49999999999999989</v>
      </c>
      <c r="V121" s="40">
        <v>-0.14638157894736839</v>
      </c>
      <c r="W121" s="40">
        <v>-0.26444444444444443</v>
      </c>
      <c r="X121" s="40">
        <v>-0.11926605504587159</v>
      </c>
      <c r="Y121" s="40">
        <v>0.32695619420233052</v>
      </c>
      <c r="Z121" s="40">
        <v>-2.1074815595363533E-2</v>
      </c>
      <c r="AA121" s="40">
        <v>-0.15462347851086317</v>
      </c>
      <c r="AB121" s="40">
        <v>0.54285714285714282</v>
      </c>
      <c r="AC121" s="40">
        <v>-0.29069767441860461</v>
      </c>
      <c r="AD121" s="40">
        <v>-0.11831669691470055</v>
      </c>
      <c r="AE121" s="40">
        <v>-0.28270531400966181</v>
      </c>
      <c r="AF121" s="40">
        <v>-0.1391437308868502</v>
      </c>
      <c r="AG121" s="40">
        <v>0.13</v>
      </c>
      <c r="AH121" s="40">
        <v>0.14499999999999999</v>
      </c>
      <c r="AI121" s="40">
        <v>0.20499999999999999</v>
      </c>
      <c r="AJ121" s="40">
        <v>0.2</v>
      </c>
      <c r="AK121" s="40">
        <v>0.68</v>
      </c>
      <c r="AL121" s="40">
        <v>0.65</v>
      </c>
      <c r="AM121" s="40">
        <v>1.074074074074074</v>
      </c>
      <c r="AN121" s="40">
        <v>1.1388888888888888</v>
      </c>
      <c r="AO121" s="40">
        <v>0.8</v>
      </c>
      <c r="AP121" s="40">
        <v>1.0461538461538462</v>
      </c>
      <c r="AQ121" s="40">
        <f t="shared" si="83"/>
        <v>0.72500000000000009</v>
      </c>
      <c r="AR121" s="40">
        <f t="shared" si="84"/>
        <v>1.074074074074074</v>
      </c>
      <c r="AS121" s="40">
        <f t="shared" si="85"/>
        <v>1.0925213675213676</v>
      </c>
      <c r="AT121" s="40" cm="1">
        <f t="array" ref="AT121">_xlfn.IFS(AG121&gt;sheet2!$C$2,1,AG121=sheet2!$C$2,0,AG121&lt;sheet2!$C$2,-1)</f>
        <v>-1</v>
      </c>
      <c r="AU121" s="40" cm="1">
        <f t="array" ref="AU121">_xlfn.IFS(AH121&gt;sheet2!$D$2,1,AH121=sheet2!$D$2,0,AH121&lt;sheet2!$D$2,-1)</f>
        <v>1</v>
      </c>
      <c r="AV121" s="40" cm="1">
        <f t="array" ref="AV121">_xlfn.IFS(AI121&gt;sheet2!$E$2,1,AI121=sheet2!$E$2,0,AI121&lt;sheet2!$E$2,-1)</f>
        <v>1</v>
      </c>
      <c r="AW121" s="40" cm="1">
        <f t="array" ref="AW121">_xlfn.IFS(AJ121&gt;sheet2!$F$2,1,AJ121=sheet2!$F$2,0,AJ121&lt;sheet2!$F$2,-1)</f>
        <v>-1</v>
      </c>
      <c r="AX121" s="40" cm="1">
        <f t="array" ref="AX121">_xlfn.IFS(AK121&gt;sheet2!$G$2,1,AK121=sheet2!$G$2,0,AK121&lt;sheet2!$G$2,-1)</f>
        <v>1</v>
      </c>
      <c r="AY121">
        <v>0.41334242799127174</v>
      </c>
      <c r="AZ121">
        <v>0.65533932628667391</v>
      </c>
      <c r="BA121">
        <v>6.4109790311650969E-2</v>
      </c>
      <c r="BB121">
        <v>2.0303751437785046E-2</v>
      </c>
      <c r="BC121">
        <v>0.59330267514668078</v>
      </c>
    </row>
    <row r="122" spans="1:55" s="40" customFormat="1" ht="14.4" x14ac:dyDescent="0.25">
      <c r="A122" s="35">
        <v>16</v>
      </c>
      <c r="B122" s="35" t="s">
        <v>27</v>
      </c>
      <c r="C122" s="35">
        <v>2016</v>
      </c>
      <c r="D122" s="35">
        <v>22323</v>
      </c>
      <c r="E122" s="36">
        <v>64756.925737038197</v>
      </c>
      <c r="F122" s="37">
        <v>40471.79</v>
      </c>
      <c r="G122" s="38">
        <f t="shared" si="40"/>
        <v>0.55156937708957277</v>
      </c>
      <c r="H122" s="35"/>
      <c r="I122" s="39">
        <v>0.33138682562449251</v>
      </c>
      <c r="J122" s="35"/>
      <c r="K122" s="40">
        <f t="shared" si="42"/>
        <v>1.6000509425710647</v>
      </c>
      <c r="M122" s="35">
        <v>0</v>
      </c>
      <c r="N122" s="35">
        <v>0</v>
      </c>
      <c r="O122" s="35">
        <v>0</v>
      </c>
      <c r="P122" s="41">
        <v>1</v>
      </c>
      <c r="Q122" s="40">
        <v>0.8532602306335203</v>
      </c>
      <c r="R122" s="40">
        <v>0.9296187683284457</v>
      </c>
      <c r="S122" s="40">
        <v>0.48746334310850442</v>
      </c>
      <c r="T122" s="40">
        <v>1.1000000000000001</v>
      </c>
      <c r="U122" s="40">
        <v>-1.0000000000000101E-2</v>
      </c>
      <c r="V122" s="40">
        <v>0.90445859872611467</v>
      </c>
      <c r="W122" s="40">
        <v>0.71311475409836067</v>
      </c>
      <c r="X122" s="40">
        <v>0.17037037037037039</v>
      </c>
      <c r="Y122" s="40">
        <v>0.39466123889347904</v>
      </c>
      <c r="Z122" s="40">
        <v>0.66807165437302396</v>
      </c>
      <c r="AA122" s="40">
        <v>0.34957020057306598</v>
      </c>
      <c r="AB122" s="40">
        <v>0.31428571428571433</v>
      </c>
      <c r="AC122" s="40">
        <v>-5.8139534883721519E-3</v>
      </c>
      <c r="AD122" s="40">
        <v>0.73105205359103909</v>
      </c>
      <c r="AE122" s="40">
        <v>0.76235797241205816</v>
      </c>
      <c r="AF122" s="40">
        <v>0.19876543209876546</v>
      </c>
      <c r="AG122" s="40">
        <v>0.2</v>
      </c>
      <c r="AH122" s="40">
        <v>0.13500000000000001</v>
      </c>
      <c r="AI122" s="40">
        <v>0.18</v>
      </c>
      <c r="AJ122" s="40">
        <v>0.25</v>
      </c>
      <c r="AK122" s="40">
        <v>0.65</v>
      </c>
      <c r="AL122" s="40">
        <v>1</v>
      </c>
      <c r="AM122" s="40">
        <v>1</v>
      </c>
      <c r="AN122" s="40">
        <v>1</v>
      </c>
      <c r="AO122" s="40">
        <v>1</v>
      </c>
      <c r="AP122" s="40">
        <v>1</v>
      </c>
      <c r="AQ122" s="40">
        <f t="shared" si="48"/>
        <v>1</v>
      </c>
      <c r="AR122" s="40">
        <f t="shared" si="49"/>
        <v>1</v>
      </c>
      <c r="AS122" s="40">
        <f t="shared" si="50"/>
        <v>1</v>
      </c>
      <c r="AT122" s="40" cm="1">
        <f t="array" ref="AT122">_xlfn.IFS(AG122&gt;sheet2!$C$2,1,AG122=sheet2!$C$2,0,AG122&lt;sheet2!$C$2,-1)</f>
        <v>0</v>
      </c>
      <c r="AU122" s="40" cm="1">
        <f t="array" ref="AU122">_xlfn.IFS(AH122&gt;sheet2!$D$2,1,AH122=sheet2!$D$2,0,AH122&lt;sheet2!$D$2,-1)</f>
        <v>0</v>
      </c>
      <c r="AV122" s="40" cm="1">
        <f t="array" ref="AV122">_xlfn.IFS(AI122&gt;sheet2!$E$2,1,AI122=sheet2!$E$2,0,AI122&lt;sheet2!$E$2,-1)</f>
        <v>0</v>
      </c>
      <c r="AW122" s="40" cm="1">
        <f t="array" ref="AW122">_xlfn.IFS(AJ122&gt;sheet2!$F$2,1,AJ122=sheet2!$F$2,0,AJ122&lt;sheet2!$F$2,-1)</f>
        <v>0</v>
      </c>
      <c r="AX122" s="40" cm="1">
        <f t="array" ref="AX122">_xlfn.IFS(AK122&gt;sheet2!$G$2,1,AK122=sheet2!$G$2,0,AK122&lt;sheet2!$G$2,-1)</f>
        <v>0</v>
      </c>
      <c r="AY122" s="40">
        <v>0.44822825973350816</v>
      </c>
      <c r="AZ122" s="40">
        <v>0.48782982204949887</v>
      </c>
      <c r="BA122" s="40">
        <v>5.9023082866525016E-2</v>
      </c>
      <c r="BB122" s="40">
        <v>1.0123006667113068E-2</v>
      </c>
      <c r="BC122" s="40">
        <v>0.42307217584729273</v>
      </c>
    </row>
    <row r="123" spans="1:55" ht="14.4" x14ac:dyDescent="0.25">
      <c r="A123" s="2">
        <v>16</v>
      </c>
      <c r="B123" s="2" t="s">
        <v>27</v>
      </c>
      <c r="C123" s="2">
        <v>2017</v>
      </c>
      <c r="D123" s="2">
        <v>22162</v>
      </c>
      <c r="E123" s="17">
        <v>65098.146435995695</v>
      </c>
      <c r="F123" s="5">
        <v>44552.83</v>
      </c>
      <c r="G123" s="3">
        <f t="shared" si="40"/>
        <v>0.49743192519981333</v>
      </c>
      <c r="H123" s="2">
        <f t="shared" ref="H123:H129" si="86">(G123-G122)/G122</f>
        <v>-9.8151663486872154E-2</v>
      </c>
      <c r="I123" s="14">
        <v>0.34893143827054285</v>
      </c>
      <c r="J123" s="2">
        <f t="shared" ref="J123:J128" si="87">(I123-I122)/I122</f>
        <v>5.2942999809928573E-2</v>
      </c>
      <c r="K123">
        <f t="shared" si="42"/>
        <v>1.461145036936951</v>
      </c>
      <c r="L123">
        <f t="shared" ref="L123:L129" si="88">(K123-K122)/K122</f>
        <v>-8.6813426959338441E-2</v>
      </c>
      <c r="M123" s="2">
        <v>0</v>
      </c>
      <c r="N123" s="2">
        <v>0</v>
      </c>
      <c r="O123" s="2">
        <v>0</v>
      </c>
      <c r="P123" s="4">
        <v>1</v>
      </c>
      <c r="Q123" s="40">
        <v>0.8532602306335203</v>
      </c>
      <c r="R123" s="40">
        <v>0.9296187683284457</v>
      </c>
      <c r="S123" s="40">
        <v>0.48746334310850442</v>
      </c>
      <c r="T123" s="40">
        <v>1.1000000000000001</v>
      </c>
      <c r="U123" s="40">
        <v>-1.0000000000000101E-2</v>
      </c>
      <c r="V123" s="40">
        <v>0.90445859872611467</v>
      </c>
      <c r="W123" s="40">
        <v>0.71311475409836067</v>
      </c>
      <c r="X123" s="40">
        <v>0.17037037037037039</v>
      </c>
      <c r="Y123" s="40">
        <v>0.39466123889347904</v>
      </c>
      <c r="Z123" s="40">
        <v>0.66807165437302396</v>
      </c>
      <c r="AA123" s="40">
        <v>0.34957020057306598</v>
      </c>
      <c r="AB123" s="40">
        <v>0.31428571428571433</v>
      </c>
      <c r="AC123" s="40">
        <v>-5.8139534883721519E-3</v>
      </c>
      <c r="AD123" s="40">
        <v>0.73105205359103909</v>
      </c>
      <c r="AE123" s="40">
        <v>0.76235797241205816</v>
      </c>
      <c r="AF123" s="40">
        <v>0.19876543209876546</v>
      </c>
      <c r="AG123" s="40">
        <v>0.2</v>
      </c>
      <c r="AH123" s="40">
        <v>0.13500000000000001</v>
      </c>
      <c r="AI123" s="40">
        <v>0.18</v>
      </c>
      <c r="AJ123" s="40">
        <v>0.25</v>
      </c>
      <c r="AK123" s="40">
        <v>0.65</v>
      </c>
      <c r="AL123" s="40">
        <v>1</v>
      </c>
      <c r="AM123" s="40">
        <v>1</v>
      </c>
      <c r="AN123" s="40">
        <v>1</v>
      </c>
      <c r="AO123" s="40">
        <v>1</v>
      </c>
      <c r="AP123" s="40">
        <v>1</v>
      </c>
      <c r="AQ123" s="40">
        <f t="shared" ref="AQ123:AQ129" si="89">AVERAGE(AL123,AO123)</f>
        <v>1</v>
      </c>
      <c r="AR123" s="40">
        <f t="shared" ref="AR123:AR129" si="90">AVERAGE(AM123)</f>
        <v>1</v>
      </c>
      <c r="AS123" s="40">
        <f t="shared" ref="AS123:AS129" si="91">AVERAGE(AN123,AP123)</f>
        <v>1</v>
      </c>
      <c r="AT123" s="40" cm="1">
        <f t="array" ref="AT123">_xlfn.IFS(AG123&gt;sheet2!$C$2,1,AG123=sheet2!$C$2,0,AG123&lt;sheet2!$C$2,-1)</f>
        <v>0</v>
      </c>
      <c r="AU123" s="40" cm="1">
        <f t="array" ref="AU123">_xlfn.IFS(AH123&gt;sheet2!$D$2,1,AH123=sheet2!$D$2,0,AH123&lt;sheet2!$D$2,-1)</f>
        <v>0</v>
      </c>
      <c r="AV123" s="40" cm="1">
        <f t="array" ref="AV123">_xlfn.IFS(AI123&gt;sheet2!$E$2,1,AI123=sheet2!$E$2,0,AI123&lt;sheet2!$E$2,-1)</f>
        <v>0</v>
      </c>
      <c r="AW123" s="40" cm="1">
        <f t="array" ref="AW123">_xlfn.IFS(AJ123&gt;sheet2!$F$2,1,AJ123=sheet2!$F$2,0,AJ123&lt;sheet2!$F$2,-1)</f>
        <v>0</v>
      </c>
      <c r="AX123" s="40" cm="1">
        <f t="array" ref="AX123">_xlfn.IFS(AK123&gt;sheet2!$G$2,1,AK123=sheet2!$G$2,0,AK123&lt;sheet2!$G$2,-1)</f>
        <v>0</v>
      </c>
      <c r="AY123">
        <v>0.44969758374496072</v>
      </c>
      <c r="AZ123">
        <v>0.50564655610947196</v>
      </c>
      <c r="BA123">
        <v>5.9330934904384777E-2</v>
      </c>
      <c r="BB123">
        <v>1.0599869862363399E-2</v>
      </c>
      <c r="BC123">
        <v>0.41472968235729446</v>
      </c>
    </row>
    <row r="124" spans="1:55" ht="14.4" x14ac:dyDescent="0.25">
      <c r="A124" s="2">
        <v>16</v>
      </c>
      <c r="B124" s="2" t="s">
        <v>27</v>
      </c>
      <c r="C124" s="2">
        <v>2018</v>
      </c>
      <c r="D124" s="2">
        <v>22659</v>
      </c>
      <c r="E124" s="17">
        <v>67480.478466501503</v>
      </c>
      <c r="F124" s="5">
        <v>48055.86</v>
      </c>
      <c r="G124" s="3">
        <f t="shared" si="40"/>
        <v>0.47151377584336229</v>
      </c>
      <c r="H124" s="2">
        <f t="shared" si="86"/>
        <v>-5.2103912200729741E-2</v>
      </c>
      <c r="I124" s="14">
        <v>0.35423819769012882</v>
      </c>
      <c r="J124" s="2">
        <f t="shared" si="87"/>
        <v>1.5208602142267824E-2</v>
      </c>
      <c r="K124">
        <f t="shared" si="42"/>
        <v>1.4042091529836633</v>
      </c>
      <c r="L124">
        <f t="shared" si="88"/>
        <v>-3.8966620365521211E-2</v>
      </c>
      <c r="M124" s="2">
        <v>0</v>
      </c>
      <c r="N124" s="2">
        <v>0</v>
      </c>
      <c r="O124" s="2">
        <v>0</v>
      </c>
      <c r="P124" s="4">
        <v>1</v>
      </c>
      <c r="Q124" s="40">
        <v>0.8532602306335203</v>
      </c>
      <c r="R124" s="40">
        <v>0.9296187683284457</v>
      </c>
      <c r="S124" s="40">
        <v>0.48746334310850442</v>
      </c>
      <c r="T124" s="40">
        <v>1.1000000000000001</v>
      </c>
      <c r="U124" s="40">
        <v>-1.0000000000000101E-2</v>
      </c>
      <c r="V124" s="40">
        <v>0.90445859872611467</v>
      </c>
      <c r="W124" s="40">
        <v>0.71311475409836067</v>
      </c>
      <c r="X124" s="40">
        <v>0.17037037037037039</v>
      </c>
      <c r="Y124" s="40">
        <v>0.39466123889347904</v>
      </c>
      <c r="Z124" s="40">
        <v>0.66807165437302396</v>
      </c>
      <c r="AA124" s="40">
        <v>0.34957020057306598</v>
      </c>
      <c r="AB124" s="40">
        <v>0.31428571428571433</v>
      </c>
      <c r="AC124" s="40">
        <v>-5.8139534883721519E-3</v>
      </c>
      <c r="AD124" s="40">
        <v>0.73105205359103909</v>
      </c>
      <c r="AE124" s="40">
        <v>0.76235797241205816</v>
      </c>
      <c r="AF124" s="40">
        <v>0.19876543209876546</v>
      </c>
      <c r="AG124" s="40">
        <v>0.2</v>
      </c>
      <c r="AH124" s="40">
        <v>0.13500000000000001</v>
      </c>
      <c r="AI124" s="40">
        <v>0.18</v>
      </c>
      <c r="AJ124" s="40">
        <v>0.25</v>
      </c>
      <c r="AK124" s="40">
        <v>0.65</v>
      </c>
      <c r="AL124" s="40">
        <v>1</v>
      </c>
      <c r="AM124" s="40">
        <v>1</v>
      </c>
      <c r="AN124" s="40">
        <v>1</v>
      </c>
      <c r="AO124" s="40">
        <v>1</v>
      </c>
      <c r="AP124" s="40">
        <v>1</v>
      </c>
      <c r="AQ124" s="40">
        <f t="shared" si="89"/>
        <v>1</v>
      </c>
      <c r="AR124" s="40">
        <f t="shared" si="90"/>
        <v>1</v>
      </c>
      <c r="AS124" s="40">
        <f t="shared" si="91"/>
        <v>1</v>
      </c>
      <c r="AT124" s="40" cm="1">
        <f t="array" ref="AT124">_xlfn.IFS(AG124&gt;sheet2!$C$2,1,AG124=sheet2!$C$2,0,AG124&lt;sheet2!$C$2,-1)</f>
        <v>0</v>
      </c>
      <c r="AU124" s="40" cm="1">
        <f t="array" ref="AU124">_xlfn.IFS(AH124&gt;sheet2!$D$2,1,AH124=sheet2!$D$2,0,AH124&lt;sheet2!$D$2,-1)</f>
        <v>0</v>
      </c>
      <c r="AV124" s="40" cm="1">
        <f t="array" ref="AV124">_xlfn.IFS(AI124&gt;sheet2!$E$2,1,AI124=sheet2!$E$2,0,AI124&lt;sheet2!$E$2,-1)</f>
        <v>0</v>
      </c>
      <c r="AW124" s="40" cm="1">
        <f t="array" ref="AW124">_xlfn.IFS(AJ124&gt;sheet2!$F$2,1,AJ124=sheet2!$F$2,0,AJ124&lt;sheet2!$F$2,-1)</f>
        <v>0</v>
      </c>
      <c r="AX124" s="40" cm="1">
        <f t="array" ref="AX124">_xlfn.IFS(AK124&gt;sheet2!$G$2,1,AK124=sheet2!$G$2,0,AK124&lt;sheet2!$G$2,-1)</f>
        <v>0</v>
      </c>
      <c r="AY124">
        <v>0.44628896455083727</v>
      </c>
      <c r="AZ124">
        <v>0.52240470397404704</v>
      </c>
      <c r="BA124">
        <v>5.9542205910759129E-2</v>
      </c>
      <c r="BB124">
        <v>1.1006462063107392E-2</v>
      </c>
      <c r="BC124">
        <v>0.40856262876000926</v>
      </c>
    </row>
    <row r="125" spans="1:55" ht="14.4" x14ac:dyDescent="0.25">
      <c r="A125" s="2">
        <v>16</v>
      </c>
      <c r="B125" s="2" t="s">
        <v>27</v>
      </c>
      <c r="C125" s="2">
        <v>2019</v>
      </c>
      <c r="D125" s="2">
        <v>22300</v>
      </c>
      <c r="E125" s="17">
        <v>69104.367446563192</v>
      </c>
      <c r="F125" s="5">
        <v>54259.199999999997</v>
      </c>
      <c r="G125" s="3">
        <f t="shared" si="40"/>
        <v>0.41099020995517815</v>
      </c>
      <c r="H125" s="2">
        <f t="shared" si="86"/>
        <v>-0.12836012220412871</v>
      </c>
      <c r="I125" s="14">
        <v>0.36673932848030816</v>
      </c>
      <c r="J125" s="2">
        <f t="shared" si="87"/>
        <v>3.5290182909960346E-2</v>
      </c>
      <c r="K125">
        <f t="shared" si="42"/>
        <v>1.2735972415104386</v>
      </c>
      <c r="L125">
        <f t="shared" si="88"/>
        <v>-9.3014570654022979E-2</v>
      </c>
      <c r="M125" s="2">
        <v>0</v>
      </c>
      <c r="N125" s="2">
        <v>0</v>
      </c>
      <c r="O125" s="2">
        <v>0</v>
      </c>
      <c r="P125" s="4">
        <v>1</v>
      </c>
      <c r="Q125" s="40">
        <v>0.8532602306335203</v>
      </c>
      <c r="R125" s="40">
        <v>0.9296187683284457</v>
      </c>
      <c r="S125" s="40">
        <v>0.48746334310850442</v>
      </c>
      <c r="T125" s="40">
        <v>1.1000000000000001</v>
      </c>
      <c r="U125" s="40">
        <v>-1.0000000000000101E-2</v>
      </c>
      <c r="V125" s="40">
        <v>0.90445859872611467</v>
      </c>
      <c r="W125" s="40">
        <v>0.71311475409836067</v>
      </c>
      <c r="X125" s="40">
        <v>0.17037037037037039</v>
      </c>
      <c r="Y125" s="40">
        <v>0.39466123889347904</v>
      </c>
      <c r="Z125" s="40">
        <v>0.66807165437302396</v>
      </c>
      <c r="AA125" s="40">
        <v>0.34957020057306598</v>
      </c>
      <c r="AB125" s="40">
        <v>0.31428571428571433</v>
      </c>
      <c r="AC125" s="40">
        <v>-5.8139534883721519E-3</v>
      </c>
      <c r="AD125" s="40">
        <v>0.73105205359103909</v>
      </c>
      <c r="AE125" s="40">
        <v>0.76235797241205816</v>
      </c>
      <c r="AF125" s="40">
        <v>0.19876543209876546</v>
      </c>
      <c r="AG125" s="40">
        <v>0.2</v>
      </c>
      <c r="AH125" s="40">
        <v>0.13500000000000001</v>
      </c>
      <c r="AI125" s="40">
        <v>0.18</v>
      </c>
      <c r="AJ125" s="40">
        <v>0.25</v>
      </c>
      <c r="AK125" s="40">
        <v>0.65</v>
      </c>
      <c r="AL125" s="40">
        <v>1</v>
      </c>
      <c r="AM125" s="40">
        <v>1</v>
      </c>
      <c r="AN125" s="40">
        <v>1</v>
      </c>
      <c r="AO125" s="40">
        <v>1</v>
      </c>
      <c r="AP125" s="40">
        <v>1</v>
      </c>
      <c r="AQ125" s="40">
        <f t="shared" si="89"/>
        <v>1</v>
      </c>
      <c r="AR125" s="40">
        <f t="shared" si="90"/>
        <v>1</v>
      </c>
      <c r="AS125" s="40">
        <f t="shared" si="91"/>
        <v>1</v>
      </c>
      <c r="AT125" s="40" cm="1">
        <f t="array" ref="AT125">_xlfn.IFS(AG125&gt;sheet2!$C$2,1,AG125=sheet2!$C$2,0,AG125&lt;sheet2!$C$2,-1)</f>
        <v>0</v>
      </c>
      <c r="AU125" s="40" cm="1">
        <f t="array" ref="AU125">_xlfn.IFS(AH125&gt;sheet2!$D$2,1,AH125=sheet2!$D$2,0,AH125&lt;sheet2!$D$2,-1)</f>
        <v>0</v>
      </c>
      <c r="AV125" s="40" cm="1">
        <f t="array" ref="AV125">_xlfn.IFS(AI125&gt;sheet2!$E$2,1,AI125=sheet2!$E$2,0,AI125&lt;sheet2!$E$2,-1)</f>
        <v>0</v>
      </c>
      <c r="AW125" s="40" cm="1">
        <f t="array" ref="AW125">_xlfn.IFS(AJ125&gt;sheet2!$F$2,1,AJ125=sheet2!$F$2,0,AJ125&lt;sheet2!$F$2,-1)</f>
        <v>0</v>
      </c>
      <c r="AX125" s="40" cm="1">
        <f t="array" ref="AX125">_xlfn.IFS(AK125&gt;sheet2!$G$2,1,AK125=sheet2!$G$2,0,AK125&lt;sheet2!$G$2,-1)</f>
        <v>0</v>
      </c>
      <c r="AY125">
        <v>0.408879968742628</v>
      </c>
      <c r="AZ125">
        <v>0.5401474598525402</v>
      </c>
      <c r="BA125">
        <v>5.9765549546069149E-2</v>
      </c>
      <c r="BB125">
        <v>1.1218656006723284E-2</v>
      </c>
      <c r="BC125">
        <v>0.39766999575951428</v>
      </c>
    </row>
    <row r="126" spans="1:55" ht="14.4" x14ac:dyDescent="0.25">
      <c r="A126" s="2">
        <v>16</v>
      </c>
      <c r="B126" s="2" t="s">
        <v>27</v>
      </c>
      <c r="C126" s="2">
        <v>2020</v>
      </c>
      <c r="D126" s="2">
        <v>22752</v>
      </c>
      <c r="E126" s="17">
        <v>69713.559505696496</v>
      </c>
      <c r="F126" s="5">
        <v>54997.07</v>
      </c>
      <c r="G126" s="3">
        <f t="shared" si="40"/>
        <v>0.41369476592116633</v>
      </c>
      <c r="H126" s="2">
        <f t="shared" si="86"/>
        <v>6.5805848910199822E-3</v>
      </c>
      <c r="I126" s="14">
        <v>0.37158107038406368</v>
      </c>
      <c r="J126" s="2">
        <f t="shared" si="87"/>
        <v>1.320213439834419E-2</v>
      </c>
      <c r="K126">
        <f t="shared" si="42"/>
        <v>1.2675867915453769</v>
      </c>
      <c r="L126">
        <f t="shared" si="88"/>
        <v>-4.7192705583545061E-3</v>
      </c>
      <c r="M126" s="2">
        <v>0</v>
      </c>
      <c r="N126" s="2">
        <v>0</v>
      </c>
      <c r="O126" s="2">
        <v>0</v>
      </c>
      <c r="P126" s="4">
        <v>1</v>
      </c>
      <c r="Q126" s="40">
        <v>0.8532602306335203</v>
      </c>
      <c r="R126" s="40">
        <v>0.9296187683284457</v>
      </c>
      <c r="S126" s="40">
        <v>0.48746334310850442</v>
      </c>
      <c r="T126" s="40">
        <v>1.1000000000000001</v>
      </c>
      <c r="U126" s="40">
        <v>-1.0000000000000101E-2</v>
      </c>
      <c r="V126" s="40">
        <v>0.90445859872611467</v>
      </c>
      <c r="W126" s="40">
        <v>0.71311475409836067</v>
      </c>
      <c r="X126" s="40">
        <v>0.17037037037037039</v>
      </c>
      <c r="Y126" s="40">
        <v>0.39466123889347904</v>
      </c>
      <c r="Z126" s="40">
        <v>0.66807165437302396</v>
      </c>
      <c r="AA126" s="40">
        <v>0.34957020057306598</v>
      </c>
      <c r="AB126" s="40">
        <v>0.31428571428571433</v>
      </c>
      <c r="AC126" s="40">
        <v>-5.8139534883721519E-3</v>
      </c>
      <c r="AD126" s="40">
        <v>0.73105205359103909</v>
      </c>
      <c r="AE126" s="40">
        <v>0.76235797241205816</v>
      </c>
      <c r="AF126" s="40">
        <v>0.19876543209876546</v>
      </c>
      <c r="AG126" s="40">
        <v>0.2</v>
      </c>
      <c r="AH126" s="40">
        <v>0.13500000000000001</v>
      </c>
      <c r="AI126" s="40">
        <v>0.18</v>
      </c>
      <c r="AJ126" s="40">
        <v>0.25</v>
      </c>
      <c r="AK126" s="40">
        <v>0.65</v>
      </c>
      <c r="AL126" s="40">
        <v>1</v>
      </c>
      <c r="AM126" s="40">
        <v>1</v>
      </c>
      <c r="AN126" s="40">
        <v>1</v>
      </c>
      <c r="AO126" s="40">
        <v>1</v>
      </c>
      <c r="AP126" s="40">
        <v>1</v>
      </c>
      <c r="AQ126" s="40">
        <f t="shared" si="89"/>
        <v>1</v>
      </c>
      <c r="AR126" s="40">
        <f t="shared" si="90"/>
        <v>1</v>
      </c>
      <c r="AS126" s="40">
        <f t="shared" si="91"/>
        <v>1</v>
      </c>
      <c r="AT126" s="40" cm="1">
        <f t="array" ref="AT126">_xlfn.IFS(AG126&gt;sheet2!$C$2,1,AG126=sheet2!$C$2,0,AG126&lt;sheet2!$C$2,-1)</f>
        <v>0</v>
      </c>
      <c r="AU126" s="40" cm="1">
        <f t="array" ref="AU126">_xlfn.IFS(AH126&gt;sheet2!$D$2,1,AH126=sheet2!$D$2,0,AH126&lt;sheet2!$D$2,-1)</f>
        <v>0</v>
      </c>
      <c r="AV126" s="40" cm="1">
        <f t="array" ref="AV126">_xlfn.IFS(AI126&gt;sheet2!$E$2,1,AI126=sheet2!$E$2,0,AI126&lt;sheet2!$E$2,-1)</f>
        <v>0</v>
      </c>
      <c r="AW126" s="40" cm="1">
        <f t="array" ref="AW126">_xlfn.IFS(AJ126&gt;sheet2!$F$2,1,AJ126=sheet2!$F$2,0,AJ126&lt;sheet2!$F$2,-1)</f>
        <v>0</v>
      </c>
      <c r="AX126" s="40" cm="1">
        <f t="array" ref="AX126">_xlfn.IFS(AK126&gt;sheet2!$G$2,1,AK126=sheet2!$G$2,0,AK126&lt;sheet2!$G$2,-1)</f>
        <v>0</v>
      </c>
      <c r="AY126">
        <v>0.38941347239043822</v>
      </c>
      <c r="AZ126">
        <v>0.55427019414545819</v>
      </c>
      <c r="BA126">
        <v>6.0007002124782695E-2</v>
      </c>
      <c r="BB126">
        <v>1.2465700445496461E-2</v>
      </c>
      <c r="BC126">
        <v>0.40190616302263543</v>
      </c>
    </row>
    <row r="127" spans="1:55" ht="14.4" x14ac:dyDescent="0.25">
      <c r="A127" s="2">
        <v>16</v>
      </c>
      <c r="B127" s="2" t="s">
        <v>27</v>
      </c>
      <c r="C127" s="2">
        <v>2021</v>
      </c>
      <c r="D127" s="2">
        <v>23501</v>
      </c>
      <c r="E127" s="17">
        <v>72996.998770702296</v>
      </c>
      <c r="F127" s="30">
        <v>58887.405299999999</v>
      </c>
      <c r="G127" s="3">
        <f t="shared" si="40"/>
        <v>0.39908363902730826</v>
      </c>
      <c r="H127" s="2">
        <f t="shared" si="86"/>
        <v>-3.5318616761620736E-2</v>
      </c>
      <c r="I127" s="14">
        <v>0.39479043449244261</v>
      </c>
      <c r="J127" s="2">
        <f t="shared" si="87"/>
        <v>6.2461104610065002E-2</v>
      </c>
      <c r="K127">
        <f t="shared" si="42"/>
        <v>1.239602906577755</v>
      </c>
      <c r="L127">
        <f t="shared" si="88"/>
        <v>-2.2076504073938338E-2</v>
      </c>
      <c r="M127" s="2">
        <v>0</v>
      </c>
      <c r="N127" s="2">
        <v>0</v>
      </c>
      <c r="O127" s="2">
        <v>0</v>
      </c>
      <c r="P127" s="4">
        <v>1</v>
      </c>
      <c r="Q127" s="40">
        <v>0.8532602306335203</v>
      </c>
      <c r="R127" s="40">
        <v>0.9296187683284457</v>
      </c>
      <c r="S127" s="40">
        <v>0.48746334310850442</v>
      </c>
      <c r="T127" s="40">
        <v>1.1000000000000001</v>
      </c>
      <c r="U127" s="40">
        <v>-1.0000000000000101E-2</v>
      </c>
      <c r="V127" s="40">
        <v>0.90445859872611467</v>
      </c>
      <c r="W127" s="40">
        <v>0.71311475409836067</v>
      </c>
      <c r="X127" s="40">
        <v>0.17037037037037039</v>
      </c>
      <c r="Y127" s="40">
        <v>0.39466123889347904</v>
      </c>
      <c r="Z127" s="40">
        <v>0.66807165437302396</v>
      </c>
      <c r="AA127" s="40">
        <v>0.34957020057306598</v>
      </c>
      <c r="AB127" s="40">
        <v>0.31428571428571433</v>
      </c>
      <c r="AC127" s="40">
        <v>-5.8139534883721519E-3</v>
      </c>
      <c r="AD127" s="40">
        <v>0.73105205359103909</v>
      </c>
      <c r="AE127" s="40">
        <v>0.76235797241205816</v>
      </c>
      <c r="AF127" s="40">
        <v>0.19876543209876546</v>
      </c>
      <c r="AG127" s="40">
        <v>0.2</v>
      </c>
      <c r="AH127" s="40">
        <v>0.13500000000000001</v>
      </c>
      <c r="AI127" s="40">
        <v>0.18</v>
      </c>
      <c r="AJ127" s="40">
        <v>0.25</v>
      </c>
      <c r="AK127" s="40">
        <v>0.65</v>
      </c>
      <c r="AL127" s="40">
        <v>1</v>
      </c>
      <c r="AM127" s="40">
        <v>1</v>
      </c>
      <c r="AN127" s="40">
        <v>1</v>
      </c>
      <c r="AO127" s="40">
        <v>1</v>
      </c>
      <c r="AP127" s="40">
        <v>1</v>
      </c>
      <c r="AQ127" s="40">
        <f t="shared" si="89"/>
        <v>1</v>
      </c>
      <c r="AR127" s="40">
        <f t="shared" si="90"/>
        <v>1</v>
      </c>
      <c r="AS127" s="40">
        <f t="shared" si="91"/>
        <v>1</v>
      </c>
      <c r="AT127" s="40" cm="1">
        <f t="array" ref="AT127">_xlfn.IFS(AG127&gt;sheet2!$C$2,1,AG127=sheet2!$C$2,0,AG127&lt;sheet2!$C$2,-1)</f>
        <v>0</v>
      </c>
      <c r="AU127" s="40" cm="1">
        <f t="array" ref="AU127">_xlfn.IFS(AH127&gt;sheet2!$D$2,1,AH127=sheet2!$D$2,0,AH127&lt;sheet2!$D$2,-1)</f>
        <v>0</v>
      </c>
      <c r="AV127" s="40" cm="1">
        <f t="array" ref="AV127">_xlfn.IFS(AI127&gt;sheet2!$E$2,1,AI127=sheet2!$E$2,0,AI127&lt;sheet2!$E$2,-1)</f>
        <v>0</v>
      </c>
      <c r="AW127" s="40" cm="1">
        <f t="array" ref="AW127">_xlfn.IFS(AJ127&gt;sheet2!$F$2,1,AJ127=sheet2!$F$2,0,AJ127&lt;sheet2!$F$2,-1)</f>
        <v>0</v>
      </c>
      <c r="AX127" s="40" cm="1">
        <f t="array" ref="AX127">_xlfn.IFS(AK127&gt;sheet2!$G$2,1,AK127=sheet2!$G$2,0,AK127&lt;sheet2!$G$2,-1)</f>
        <v>0</v>
      </c>
      <c r="AY127">
        <v>0.38329078832753394</v>
      </c>
      <c r="AZ127">
        <v>0.56450470504907413</v>
      </c>
      <c r="BA127">
        <v>5.9656895885648056E-2</v>
      </c>
      <c r="BB127">
        <v>1.2974135914254658E-2</v>
      </c>
      <c r="BC127">
        <v>0.44499089867532543</v>
      </c>
    </row>
    <row r="128" spans="1:55" ht="14.4" x14ac:dyDescent="0.25">
      <c r="A128" s="2">
        <v>16</v>
      </c>
      <c r="B128" s="2" t="s">
        <v>27</v>
      </c>
      <c r="C128" s="2">
        <v>2022</v>
      </c>
      <c r="D128" s="2">
        <v>24371</v>
      </c>
      <c r="E128" s="17">
        <v>71319.135017385604</v>
      </c>
      <c r="F128" s="30">
        <v>61345.1</v>
      </c>
      <c r="G128" s="3">
        <f t="shared" si="40"/>
        <v>0.3972770441322942</v>
      </c>
      <c r="H128" s="2">
        <f t="shared" si="86"/>
        <v>-4.5268578271394303E-3</v>
      </c>
      <c r="I128" s="14">
        <v>0.40651461239536896</v>
      </c>
      <c r="J128" s="2">
        <f t="shared" si="87"/>
        <v>2.9697218773801826E-2</v>
      </c>
      <c r="K128">
        <f t="shared" si="42"/>
        <v>1.1625889438176089</v>
      </c>
      <c r="L128">
        <f t="shared" si="88"/>
        <v>-6.2127930123012577E-2</v>
      </c>
      <c r="M128" s="2">
        <v>1</v>
      </c>
      <c r="N128" s="2">
        <v>1</v>
      </c>
      <c r="O128" s="2">
        <v>0</v>
      </c>
      <c r="P128" s="4">
        <v>1</v>
      </c>
      <c r="Q128" s="40">
        <v>0.8532602306335203</v>
      </c>
      <c r="R128" s="40">
        <v>0.9296187683284457</v>
      </c>
      <c r="S128" s="40">
        <v>0.48746334310850442</v>
      </c>
      <c r="T128" s="40">
        <v>1.1000000000000001</v>
      </c>
      <c r="U128" s="40">
        <v>-1.0000000000000101E-2</v>
      </c>
      <c r="V128" s="40">
        <v>0.90445859872611467</v>
      </c>
      <c r="W128" s="40">
        <v>0.71311475409836067</v>
      </c>
      <c r="X128" s="40">
        <v>0.17037037037037039</v>
      </c>
      <c r="Y128" s="40">
        <v>0.39466123889347904</v>
      </c>
      <c r="Z128" s="40">
        <v>0.66807165437302396</v>
      </c>
      <c r="AA128" s="40">
        <v>0.34957020057306598</v>
      </c>
      <c r="AB128" s="40">
        <v>0.31428571428571433</v>
      </c>
      <c r="AC128" s="40">
        <v>-5.8139534883721519E-3</v>
      </c>
      <c r="AD128" s="40">
        <v>0.73105205359103909</v>
      </c>
      <c r="AE128" s="40">
        <v>0.76235797241205816</v>
      </c>
      <c r="AF128" s="40">
        <v>0.19876543209876546</v>
      </c>
      <c r="AG128" s="40">
        <v>0.2</v>
      </c>
      <c r="AH128" s="40">
        <v>0.13500000000000001</v>
      </c>
      <c r="AI128" s="40">
        <v>0.18</v>
      </c>
      <c r="AJ128" s="40">
        <v>0.25</v>
      </c>
      <c r="AK128" s="40">
        <v>0.65</v>
      </c>
      <c r="AL128" s="40">
        <v>1</v>
      </c>
      <c r="AM128" s="40">
        <v>1</v>
      </c>
      <c r="AN128" s="40">
        <v>1</v>
      </c>
      <c r="AO128" s="40">
        <v>1</v>
      </c>
      <c r="AP128" s="40">
        <v>1</v>
      </c>
      <c r="AQ128" s="40">
        <f t="shared" si="89"/>
        <v>1</v>
      </c>
      <c r="AR128" s="40">
        <f t="shared" si="90"/>
        <v>1</v>
      </c>
      <c r="AS128" s="40">
        <f t="shared" si="91"/>
        <v>1</v>
      </c>
      <c r="AT128" s="40" cm="1">
        <f t="array" ref="AT128">_xlfn.IFS(AG128&gt;sheet2!$C$2,1,AG128=sheet2!$C$2,0,AG128&lt;sheet2!$C$2,-1)</f>
        <v>0</v>
      </c>
      <c r="AU128" s="40" cm="1">
        <f t="array" ref="AU128">_xlfn.IFS(AH128&gt;sheet2!$D$2,1,AH128=sheet2!$D$2,0,AH128&lt;sheet2!$D$2,-1)</f>
        <v>0</v>
      </c>
      <c r="AV128" s="40" cm="1">
        <f t="array" ref="AV128">_xlfn.IFS(AI128&gt;sheet2!$E$2,1,AI128=sheet2!$E$2,0,AI128&lt;sheet2!$E$2,-1)</f>
        <v>0</v>
      </c>
      <c r="AW128" s="40" cm="1">
        <f t="array" ref="AW128">_xlfn.IFS(AJ128&gt;sheet2!$F$2,1,AJ128=sheet2!$F$2,0,AJ128&lt;sheet2!$F$2,-1)</f>
        <v>0</v>
      </c>
      <c r="AX128" s="40" cm="1">
        <f t="array" ref="AX128">_xlfn.IFS(AK128&gt;sheet2!$G$2,1,AK128=sheet2!$G$2,0,AK128&lt;sheet2!$G$2,-1)</f>
        <v>0</v>
      </c>
      <c r="AY128">
        <v>0.36062374990015506</v>
      </c>
      <c r="AZ128">
        <v>0.57060372771474877</v>
      </c>
      <c r="BA128">
        <v>5.9590496426501834E-2</v>
      </c>
      <c r="BB128">
        <v>1.3783364930532348E-2</v>
      </c>
      <c r="BC128">
        <v>0.39921572310799075</v>
      </c>
    </row>
    <row r="129" spans="1:55" ht="14.4" x14ac:dyDescent="0.25">
      <c r="A129" s="2">
        <v>16</v>
      </c>
      <c r="B129" s="2" t="s">
        <v>27</v>
      </c>
      <c r="C129" s="2">
        <v>2023</v>
      </c>
      <c r="D129" s="2">
        <v>24444.399687489997</v>
      </c>
      <c r="E129">
        <v>73685.446567202205</v>
      </c>
      <c r="F129" s="32">
        <v>59132.39</v>
      </c>
      <c r="G129" s="3">
        <f t="shared" si="40"/>
        <v>0.413384266854257</v>
      </c>
      <c r="H129" s="2">
        <f t="shared" si="86"/>
        <v>4.0544055992822618E-2</v>
      </c>
      <c r="I129" s="14"/>
      <c r="K129">
        <f t="shared" si="42"/>
        <v>1.2461097305081394</v>
      </c>
      <c r="L129">
        <f t="shared" si="88"/>
        <v>7.1840341450583739E-2</v>
      </c>
      <c r="M129" s="2">
        <v>1</v>
      </c>
      <c r="N129" s="2">
        <v>1</v>
      </c>
      <c r="O129" s="2">
        <v>1</v>
      </c>
      <c r="P129" s="4">
        <v>1</v>
      </c>
      <c r="Q129" s="40">
        <v>0.8532602306335203</v>
      </c>
      <c r="R129" s="40">
        <v>0.9296187683284457</v>
      </c>
      <c r="S129" s="40">
        <v>0.48746334310850442</v>
      </c>
      <c r="T129" s="40">
        <v>1.1000000000000001</v>
      </c>
      <c r="U129" s="40">
        <v>-1.0000000000000101E-2</v>
      </c>
      <c r="V129" s="40">
        <v>0.90445859872611467</v>
      </c>
      <c r="W129" s="40">
        <v>0.71311475409836067</v>
      </c>
      <c r="X129" s="40">
        <v>0.17037037037037039</v>
      </c>
      <c r="Y129" s="40">
        <v>0.39466123889347904</v>
      </c>
      <c r="Z129" s="40">
        <v>0.66807165437302396</v>
      </c>
      <c r="AA129" s="40">
        <v>0.34957020057306598</v>
      </c>
      <c r="AB129" s="40">
        <v>0.31428571428571433</v>
      </c>
      <c r="AC129" s="40">
        <v>-5.8139534883721519E-3</v>
      </c>
      <c r="AD129" s="40">
        <v>0.73105205359103909</v>
      </c>
      <c r="AE129" s="40">
        <v>0.76235797241205816</v>
      </c>
      <c r="AF129" s="40">
        <v>0.19876543209876546</v>
      </c>
      <c r="AG129" s="40">
        <v>0.2</v>
      </c>
      <c r="AH129" s="40">
        <v>0.13500000000000001</v>
      </c>
      <c r="AI129" s="40">
        <v>0.18</v>
      </c>
      <c r="AJ129" s="40">
        <v>0.25</v>
      </c>
      <c r="AK129" s="40">
        <v>0.65</v>
      </c>
      <c r="AL129" s="40">
        <v>1</v>
      </c>
      <c r="AM129" s="40">
        <v>1</v>
      </c>
      <c r="AN129" s="40">
        <v>1</v>
      </c>
      <c r="AO129" s="40">
        <v>1</v>
      </c>
      <c r="AP129" s="40">
        <v>1</v>
      </c>
      <c r="AQ129" s="40">
        <f t="shared" si="89"/>
        <v>1</v>
      </c>
      <c r="AR129" s="40">
        <f t="shared" si="90"/>
        <v>1</v>
      </c>
      <c r="AS129" s="40">
        <f t="shared" si="91"/>
        <v>1</v>
      </c>
      <c r="AT129" s="40" cm="1">
        <f t="array" ref="AT129">_xlfn.IFS(AG129&gt;sheet2!$C$2,1,AG129=sheet2!$C$2,0,AG129&lt;sheet2!$C$2,-1)</f>
        <v>0</v>
      </c>
      <c r="AU129" s="40" cm="1">
        <f t="array" ref="AU129">_xlfn.IFS(AH129&gt;sheet2!$D$2,1,AH129=sheet2!$D$2,0,AH129&lt;sheet2!$D$2,-1)</f>
        <v>0</v>
      </c>
      <c r="AV129" s="40" cm="1">
        <f t="array" ref="AV129">_xlfn.IFS(AI129&gt;sheet2!$E$2,1,AI129=sheet2!$E$2,0,AI129&lt;sheet2!$E$2,-1)</f>
        <v>0</v>
      </c>
      <c r="AW129" s="40" cm="1">
        <f t="array" ref="AW129">_xlfn.IFS(AJ129&gt;sheet2!$F$2,1,AJ129=sheet2!$F$2,0,AJ129&lt;sheet2!$F$2,-1)</f>
        <v>0</v>
      </c>
      <c r="AX129" s="40" cm="1">
        <f t="array" ref="AX129">_xlfn.IFS(AK129&gt;sheet2!$G$2,1,AK129=sheet2!$G$2,0,AK129&lt;sheet2!$G$2,-1)</f>
        <v>0</v>
      </c>
      <c r="AY129">
        <v>0.39060995166946577</v>
      </c>
      <c r="AZ129">
        <v>0.58084564442180331</v>
      </c>
      <c r="BA129">
        <v>5.9246426501835037E-2</v>
      </c>
      <c r="BB129">
        <v>1.5460954647698156E-2</v>
      </c>
      <c r="BC129">
        <v>0.40878386325677174</v>
      </c>
    </row>
    <row r="130" spans="1:55" s="40" customFormat="1" ht="14.4" x14ac:dyDescent="0.25">
      <c r="A130" s="35">
        <v>17</v>
      </c>
      <c r="B130" s="35" t="s">
        <v>28</v>
      </c>
      <c r="C130" s="35">
        <v>2016</v>
      </c>
      <c r="D130" s="35">
        <v>15897</v>
      </c>
      <c r="E130" s="36">
        <v>44946.427783924402</v>
      </c>
      <c r="F130" s="37">
        <v>32665.38</v>
      </c>
      <c r="G130" s="38">
        <f t="shared" si="40"/>
        <v>0.48666202566754158</v>
      </c>
      <c r="H130" s="35"/>
      <c r="I130" s="39">
        <v>0.22241516690060478</v>
      </c>
      <c r="J130" s="35"/>
      <c r="K130" s="40">
        <f t="shared" si="42"/>
        <v>1.3759652507922577</v>
      </c>
      <c r="M130" s="35">
        <v>0</v>
      </c>
      <c r="N130" s="35">
        <v>0</v>
      </c>
      <c r="O130" s="35">
        <v>0</v>
      </c>
      <c r="P130" s="41">
        <v>0</v>
      </c>
      <c r="Q130" s="41">
        <v>0.99999999580495169</v>
      </c>
      <c r="R130" s="40">
        <v>0</v>
      </c>
      <c r="S130" s="40">
        <v>0</v>
      </c>
      <c r="T130" s="40">
        <v>0</v>
      </c>
      <c r="U130" s="40">
        <v>0</v>
      </c>
      <c r="V130" s="40">
        <v>0</v>
      </c>
      <c r="W130" s="40">
        <v>0</v>
      </c>
      <c r="X130" s="40">
        <v>0</v>
      </c>
      <c r="Y130" s="40">
        <v>1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0.2</v>
      </c>
      <c r="AH130" s="40">
        <v>0.13500000000000001</v>
      </c>
      <c r="AI130" s="40">
        <v>0.18</v>
      </c>
      <c r="AJ130" s="40">
        <v>0.25</v>
      </c>
      <c r="AK130" s="40">
        <v>0.65</v>
      </c>
      <c r="AL130" s="40">
        <v>1</v>
      </c>
      <c r="AM130" s="40">
        <v>1</v>
      </c>
      <c r="AN130" s="40">
        <v>1</v>
      </c>
      <c r="AO130" s="40">
        <v>1</v>
      </c>
      <c r="AP130" s="40">
        <v>1</v>
      </c>
      <c r="AQ130" s="40">
        <f t="shared" si="48"/>
        <v>1</v>
      </c>
      <c r="AR130" s="40">
        <f t="shared" si="49"/>
        <v>1</v>
      </c>
      <c r="AS130" s="40">
        <f t="shared" si="50"/>
        <v>1</v>
      </c>
      <c r="AT130" s="40" cm="1">
        <f t="array" ref="AT130">_xlfn.IFS(AG130&gt;sheet2!$C$2,1,AG130=sheet2!$C$2,0,AG130&lt;sheet2!$C$2,-1)</f>
        <v>0</v>
      </c>
      <c r="AU130" s="40" cm="1">
        <f t="array" ref="AU130">_xlfn.IFS(AH130&gt;sheet2!$D$2,1,AH130=sheet2!$D$2,0,AH130&lt;sheet2!$D$2,-1)</f>
        <v>0</v>
      </c>
      <c r="AV130" s="40" cm="1">
        <f t="array" ref="AV130">_xlfn.IFS(AI130&gt;sheet2!$E$2,1,AI130=sheet2!$E$2,0,AI130&lt;sheet2!$E$2,-1)</f>
        <v>0</v>
      </c>
      <c r="AW130" s="40" cm="1">
        <f t="array" ref="AW130">_xlfn.IFS(AJ130&gt;sheet2!$F$2,1,AJ130=sheet2!$F$2,0,AJ130&lt;sheet2!$F$2,-1)</f>
        <v>0</v>
      </c>
      <c r="AX130" s="40" cm="1">
        <f t="array" ref="AX130">_xlfn.IFS(AK130&gt;sheet2!$G$2,1,AK130=sheet2!$G$2,0,AK130&lt;sheet2!$G$2,-1)</f>
        <v>0</v>
      </c>
      <c r="AY130" s="40">
        <v>0.44472159821805224</v>
      </c>
      <c r="AZ130" s="40">
        <v>0.58572642310960066</v>
      </c>
      <c r="BA130" s="40">
        <v>3.1650505278669659E-2</v>
      </c>
      <c r="BB130" s="40">
        <v>1.3652441820667631E-2</v>
      </c>
      <c r="BC130" s="40">
        <v>0.48296273692273683</v>
      </c>
    </row>
    <row r="131" spans="1:55" ht="14.4" x14ac:dyDescent="0.25">
      <c r="A131" s="2">
        <v>17</v>
      </c>
      <c r="B131" s="2" t="s">
        <v>28</v>
      </c>
      <c r="C131" s="2">
        <v>2017</v>
      </c>
      <c r="D131" s="2">
        <v>16180</v>
      </c>
      <c r="E131" s="17">
        <v>45329.459439180602</v>
      </c>
      <c r="F131" s="5">
        <v>35478.089999999997</v>
      </c>
      <c r="G131" s="3">
        <f t="shared" ref="G131:G194" si="92">D131/F131</f>
        <v>0.45605611801537232</v>
      </c>
      <c r="H131" s="2">
        <f t="shared" ref="H131:H137" si="93">(G131-G130)/G130</f>
        <v>-6.2889451072719163E-2</v>
      </c>
      <c r="I131" s="14">
        <v>0.23094083775105359</v>
      </c>
      <c r="J131" s="2">
        <f t="shared" ref="J131:J136" si="94">(I131-I130)/I130</f>
        <v>3.8332236822045722E-2</v>
      </c>
      <c r="K131">
        <f t="shared" ref="K131:K194" si="95">E131/F131</f>
        <v>1.27767474064079</v>
      </c>
      <c r="L131">
        <f t="shared" ref="L131:L137" si="96">(K131-K130)/K130</f>
        <v>-7.1433860771464755E-2</v>
      </c>
      <c r="M131" s="2">
        <v>0</v>
      </c>
      <c r="N131" s="2">
        <v>0</v>
      </c>
      <c r="O131" s="2">
        <v>0</v>
      </c>
      <c r="P131" s="4">
        <v>0</v>
      </c>
      <c r="Q131" s="41">
        <v>0.99999999580495169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1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0.2</v>
      </c>
      <c r="AH131" s="40">
        <v>0.13500000000000001</v>
      </c>
      <c r="AI131" s="40">
        <v>0.18</v>
      </c>
      <c r="AJ131" s="40">
        <v>0.25</v>
      </c>
      <c r="AK131" s="40">
        <v>0.65</v>
      </c>
      <c r="AL131" s="40">
        <v>1</v>
      </c>
      <c r="AM131" s="40">
        <v>1</v>
      </c>
      <c r="AN131" s="40">
        <v>1</v>
      </c>
      <c r="AO131" s="40">
        <v>1</v>
      </c>
      <c r="AP131" s="40">
        <v>1</v>
      </c>
      <c r="AQ131" s="40">
        <f t="shared" ref="AQ131:AQ137" si="97">AVERAGE(AL131,AO131)</f>
        <v>1</v>
      </c>
      <c r="AR131" s="40">
        <f t="shared" ref="AR131:AR137" si="98">AVERAGE(AM131)</f>
        <v>1</v>
      </c>
      <c r="AS131" s="40">
        <f t="shared" ref="AS131:AS137" si="99">AVERAGE(AN131,AP131)</f>
        <v>1</v>
      </c>
      <c r="AT131" s="40" cm="1">
        <f t="array" ref="AT131">_xlfn.IFS(AG131&gt;sheet2!$C$2,1,AG131=sheet2!$C$2,0,AG131&lt;sheet2!$C$2,-1)</f>
        <v>0</v>
      </c>
      <c r="AU131" s="40" cm="1">
        <f t="array" ref="AU131">_xlfn.IFS(AH131&gt;sheet2!$D$2,1,AH131=sheet2!$D$2,0,AH131&lt;sheet2!$D$2,-1)</f>
        <v>0</v>
      </c>
      <c r="AV131" s="40" cm="1">
        <f t="array" ref="AV131">_xlfn.IFS(AI131&gt;sheet2!$E$2,1,AI131=sheet2!$E$2,0,AI131&lt;sheet2!$E$2,-1)</f>
        <v>0</v>
      </c>
      <c r="AW131" s="40" cm="1">
        <f t="array" ref="AW131">_xlfn.IFS(AJ131&gt;sheet2!$F$2,1,AJ131=sheet2!$F$2,0,AJ131&lt;sheet2!$F$2,-1)</f>
        <v>0</v>
      </c>
      <c r="AX131" s="40" cm="1">
        <f t="array" ref="AX131">_xlfn.IFS(AK131&gt;sheet2!$G$2,1,AK131=sheet2!$G$2,0,AK131&lt;sheet2!$G$2,-1)</f>
        <v>0</v>
      </c>
      <c r="AY131">
        <v>0.44291843219293942</v>
      </c>
      <c r="AZ131">
        <v>0.59874661246612471</v>
      </c>
      <c r="BA131">
        <v>3.1752690427402828E-2</v>
      </c>
      <c r="BB131">
        <v>1.321767039882925E-2</v>
      </c>
      <c r="BC131">
        <v>0.47760562013509261</v>
      </c>
    </row>
    <row r="132" spans="1:55" ht="14.4" x14ac:dyDescent="0.25">
      <c r="A132" s="2">
        <v>17</v>
      </c>
      <c r="B132" s="2" t="s">
        <v>28</v>
      </c>
      <c r="C132" s="2">
        <v>2018</v>
      </c>
      <c r="D132" s="2">
        <v>16682</v>
      </c>
      <c r="E132" s="17">
        <v>47042.851246141603</v>
      </c>
      <c r="F132" s="5">
        <v>39366.550000000003</v>
      </c>
      <c r="G132" s="3">
        <f t="shared" si="92"/>
        <v>0.42376078167886183</v>
      </c>
      <c r="H132" s="2">
        <f t="shared" si="93"/>
        <v>-7.081439116977685E-2</v>
      </c>
      <c r="I132" s="14">
        <v>0.2567813538160692</v>
      </c>
      <c r="J132" s="2">
        <f t="shared" si="94"/>
        <v>0.11189236306863498</v>
      </c>
      <c r="K132">
        <f t="shared" si="95"/>
        <v>1.1949955291012699</v>
      </c>
      <c r="L132">
        <f t="shared" si="96"/>
        <v>-6.4710688025384391E-2</v>
      </c>
      <c r="M132" s="2">
        <v>0</v>
      </c>
      <c r="N132" s="2">
        <v>0</v>
      </c>
      <c r="O132" s="2">
        <v>0</v>
      </c>
      <c r="P132" s="4">
        <v>0</v>
      </c>
      <c r="Q132" s="41">
        <v>0.99999999580495169</v>
      </c>
      <c r="R132" s="40">
        <v>0</v>
      </c>
      <c r="S132" s="40">
        <v>0</v>
      </c>
      <c r="T132" s="40">
        <v>0</v>
      </c>
      <c r="U132" s="40">
        <v>0</v>
      </c>
      <c r="V132" s="40">
        <v>0</v>
      </c>
      <c r="W132" s="40">
        <v>0</v>
      </c>
      <c r="X132" s="40">
        <v>0</v>
      </c>
      <c r="Y132" s="40">
        <v>1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0.2</v>
      </c>
      <c r="AH132" s="40">
        <v>0.13500000000000001</v>
      </c>
      <c r="AI132" s="40">
        <v>0.18</v>
      </c>
      <c r="AJ132" s="40">
        <v>0.25</v>
      </c>
      <c r="AK132" s="40">
        <v>0.65</v>
      </c>
      <c r="AL132" s="40">
        <v>1</v>
      </c>
      <c r="AM132" s="40">
        <v>1</v>
      </c>
      <c r="AN132" s="40">
        <v>1</v>
      </c>
      <c r="AO132" s="40">
        <v>1</v>
      </c>
      <c r="AP132" s="40">
        <v>1</v>
      </c>
      <c r="AQ132" s="40">
        <f t="shared" si="97"/>
        <v>1</v>
      </c>
      <c r="AR132" s="40">
        <f t="shared" si="98"/>
        <v>1</v>
      </c>
      <c r="AS132" s="40">
        <f t="shared" si="99"/>
        <v>1</v>
      </c>
      <c r="AT132" s="40" cm="1">
        <f t="array" ref="AT132">_xlfn.IFS(AG132&gt;sheet2!$C$2,1,AG132=sheet2!$C$2,0,AG132&lt;sheet2!$C$2,-1)</f>
        <v>0</v>
      </c>
      <c r="AU132" s="40" cm="1">
        <f t="array" ref="AU132">_xlfn.IFS(AH132&gt;sheet2!$D$2,1,AH132=sheet2!$D$2,0,AH132&lt;sheet2!$D$2,-1)</f>
        <v>0</v>
      </c>
      <c r="AV132" s="40" cm="1">
        <f t="array" ref="AV132">_xlfn.IFS(AI132&gt;sheet2!$E$2,1,AI132=sheet2!$E$2,0,AI132&lt;sheet2!$E$2,-1)</f>
        <v>0</v>
      </c>
      <c r="AW132" s="40" cm="1">
        <f t="array" ref="AW132">_xlfn.IFS(AJ132&gt;sheet2!$F$2,1,AJ132=sheet2!$F$2,0,AJ132&lt;sheet2!$F$2,-1)</f>
        <v>0</v>
      </c>
      <c r="AX132" s="40" cm="1">
        <f t="array" ref="AX132">_xlfn.IFS(AK132&gt;sheet2!$G$2,1,AK132=sheet2!$G$2,0,AK132&lt;sheet2!$G$2,-1)</f>
        <v>0</v>
      </c>
      <c r="AY132">
        <v>0.44641707236219585</v>
      </c>
      <c r="AZ132">
        <v>0.60993746831164442</v>
      </c>
      <c r="BA132">
        <v>3.1822606581799209E-2</v>
      </c>
      <c r="BB132">
        <v>1.3349389265759888E-2</v>
      </c>
      <c r="BC132">
        <v>0.45562923396346511</v>
      </c>
    </row>
    <row r="133" spans="1:55" ht="14.4" x14ac:dyDescent="0.25">
      <c r="A133" s="2">
        <v>17</v>
      </c>
      <c r="B133" s="2" t="s">
        <v>28</v>
      </c>
      <c r="C133" s="2">
        <v>2019</v>
      </c>
      <c r="D133" s="2">
        <v>17316</v>
      </c>
      <c r="E133" s="17">
        <v>49041.717940936702</v>
      </c>
      <c r="F133" s="5">
        <v>45828.31</v>
      </c>
      <c r="G133" s="3">
        <f t="shared" si="92"/>
        <v>0.37784504818091702</v>
      </c>
      <c r="H133" s="2">
        <f t="shared" si="93"/>
        <v>-0.10835295639213041</v>
      </c>
      <c r="I133" s="14">
        <v>0.26637264964072332</v>
      </c>
      <c r="J133" s="2">
        <f t="shared" si="94"/>
        <v>3.7351994925318079E-2</v>
      </c>
      <c r="K133">
        <f t="shared" si="95"/>
        <v>1.0701184036883906</v>
      </c>
      <c r="L133">
        <f t="shared" si="96"/>
        <v>-0.10450007750806957</v>
      </c>
      <c r="M133" s="2">
        <v>0</v>
      </c>
      <c r="N133" s="2">
        <v>0</v>
      </c>
      <c r="O133" s="2">
        <v>0</v>
      </c>
      <c r="P133" s="4">
        <v>0</v>
      </c>
      <c r="Q133" s="41">
        <v>0.99999999580495169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1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0.2</v>
      </c>
      <c r="AH133" s="40">
        <v>0.13500000000000001</v>
      </c>
      <c r="AI133" s="40">
        <v>0.18</v>
      </c>
      <c r="AJ133" s="40">
        <v>0.25</v>
      </c>
      <c r="AK133" s="40">
        <v>0.65</v>
      </c>
      <c r="AL133" s="40">
        <v>1</v>
      </c>
      <c r="AM133" s="40">
        <v>1</v>
      </c>
      <c r="AN133" s="40">
        <v>1</v>
      </c>
      <c r="AO133" s="40">
        <v>1</v>
      </c>
      <c r="AP133" s="40">
        <v>1</v>
      </c>
      <c r="AQ133" s="40">
        <f t="shared" si="97"/>
        <v>1</v>
      </c>
      <c r="AR133" s="40">
        <f t="shared" si="98"/>
        <v>1</v>
      </c>
      <c r="AS133" s="40">
        <f t="shared" si="99"/>
        <v>1</v>
      </c>
      <c r="AT133" s="40" cm="1">
        <f t="array" ref="AT133">_xlfn.IFS(AG133&gt;sheet2!$C$2,1,AG133=sheet2!$C$2,0,AG133&lt;sheet2!$C$2,-1)</f>
        <v>0</v>
      </c>
      <c r="AU133" s="40" cm="1">
        <f t="array" ref="AU133">_xlfn.IFS(AH133&gt;sheet2!$D$2,1,AH133=sheet2!$D$2,0,AH133&lt;sheet2!$D$2,-1)</f>
        <v>0</v>
      </c>
      <c r="AV133" s="40" cm="1">
        <f t="array" ref="AV133">_xlfn.IFS(AI133&gt;sheet2!$E$2,1,AI133=sheet2!$E$2,0,AI133&lt;sheet2!$E$2,-1)</f>
        <v>0</v>
      </c>
      <c r="AW133" s="40" cm="1">
        <f t="array" ref="AW133">_xlfn.IFS(AJ133&gt;sheet2!$F$2,1,AJ133=sheet2!$F$2,0,AJ133&lt;sheet2!$F$2,-1)</f>
        <v>0</v>
      </c>
      <c r="AX133" s="40" cm="1">
        <f t="array" ref="AX133">_xlfn.IFS(AK133&gt;sheet2!$G$2,1,AK133=sheet2!$G$2,0,AK133&lt;sheet2!$G$2,-1)</f>
        <v>0</v>
      </c>
      <c r="AY133">
        <v>0.40143527003286833</v>
      </c>
      <c r="AZ133">
        <v>0.61835667285304541</v>
      </c>
      <c r="BA133">
        <v>3.1876388239027199E-2</v>
      </c>
      <c r="BB133">
        <v>1.2798078305745947E-2</v>
      </c>
      <c r="BC133">
        <v>0.4251544187668832</v>
      </c>
    </row>
    <row r="134" spans="1:55" ht="14.4" x14ac:dyDescent="0.25">
      <c r="A134" s="2">
        <v>17</v>
      </c>
      <c r="B134" s="2" t="s">
        <v>28</v>
      </c>
      <c r="C134" s="2">
        <v>2020</v>
      </c>
      <c r="D134" s="2">
        <v>16251.46</v>
      </c>
      <c r="E134" s="17">
        <v>49493.283946046904</v>
      </c>
      <c r="F134" s="5">
        <v>43443.46</v>
      </c>
      <c r="G134" s="3">
        <f t="shared" si="92"/>
        <v>0.37408300351767559</v>
      </c>
      <c r="H134" s="2">
        <f t="shared" si="93"/>
        <v>-9.9565805648460185E-3</v>
      </c>
      <c r="I134" s="14">
        <v>0.27076394847982033</v>
      </c>
      <c r="J134" s="2">
        <f t="shared" si="94"/>
        <v>1.6485547014754985E-2</v>
      </c>
      <c r="K134">
        <f t="shared" si="95"/>
        <v>1.1392574151793367</v>
      </c>
      <c r="L134">
        <f t="shared" si="96"/>
        <v>6.4608749137145691E-2</v>
      </c>
      <c r="M134" s="2">
        <v>0</v>
      </c>
      <c r="N134" s="2">
        <v>0</v>
      </c>
      <c r="O134" s="2">
        <v>0</v>
      </c>
      <c r="P134" s="4">
        <v>0</v>
      </c>
      <c r="Q134" s="41">
        <v>0.99999999580495169</v>
      </c>
      <c r="R134" s="40">
        <v>0</v>
      </c>
      <c r="S134" s="40">
        <v>0</v>
      </c>
      <c r="T134" s="40">
        <v>0</v>
      </c>
      <c r="U134" s="40">
        <v>0</v>
      </c>
      <c r="V134" s="40">
        <v>0</v>
      </c>
      <c r="W134" s="40">
        <v>0</v>
      </c>
      <c r="X134" s="40">
        <v>0</v>
      </c>
      <c r="Y134" s="40">
        <v>1</v>
      </c>
      <c r="Z134" s="40">
        <v>0</v>
      </c>
      <c r="AA134" s="40">
        <v>0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0.2</v>
      </c>
      <c r="AH134" s="40">
        <v>0.13500000000000001</v>
      </c>
      <c r="AI134" s="40">
        <v>0.18</v>
      </c>
      <c r="AJ134" s="40">
        <v>0.25</v>
      </c>
      <c r="AK134" s="40">
        <v>0.65</v>
      </c>
      <c r="AL134" s="40">
        <v>1</v>
      </c>
      <c r="AM134" s="40">
        <v>1</v>
      </c>
      <c r="AN134" s="40">
        <v>1</v>
      </c>
      <c r="AO134" s="40">
        <v>1</v>
      </c>
      <c r="AP134" s="40">
        <v>1</v>
      </c>
      <c r="AQ134" s="40">
        <f t="shared" si="97"/>
        <v>1</v>
      </c>
      <c r="AR134" s="40">
        <f t="shared" si="98"/>
        <v>1</v>
      </c>
      <c r="AS134" s="40">
        <f t="shared" si="99"/>
        <v>1</v>
      </c>
      <c r="AT134" s="40" cm="1">
        <f t="array" ref="AT134">_xlfn.IFS(AG134&gt;sheet2!$C$2,1,AG134=sheet2!$C$2,0,AG134&lt;sheet2!$C$2,-1)</f>
        <v>0</v>
      </c>
      <c r="AU134" s="40" cm="1">
        <f t="array" ref="AU134">_xlfn.IFS(AH134&gt;sheet2!$D$2,1,AH134=sheet2!$D$2,0,AH134&lt;sheet2!$D$2,-1)</f>
        <v>0</v>
      </c>
      <c r="AV134" s="40" cm="1">
        <f t="array" ref="AV134">_xlfn.IFS(AI134&gt;sheet2!$E$2,1,AI134=sheet2!$E$2,0,AI134&lt;sheet2!$E$2,-1)</f>
        <v>0</v>
      </c>
      <c r="AW134" s="40" cm="1">
        <f t="array" ref="AW134">_xlfn.IFS(AJ134&gt;sheet2!$F$2,1,AJ134=sheet2!$F$2,0,AJ134&lt;sheet2!$F$2,-1)</f>
        <v>0</v>
      </c>
      <c r="AX134" s="40" cm="1">
        <f t="array" ref="AX134">_xlfn.IFS(AK134&gt;sheet2!$G$2,1,AK134=sheet2!$G$2,0,AK134&lt;sheet2!$G$2,-1)</f>
        <v>0</v>
      </c>
      <c r="AY134">
        <v>0.37657221593307716</v>
      </c>
      <c r="AZ134">
        <v>0.62889469103568318</v>
      </c>
      <c r="BA134">
        <v>3.0897562077477854E-2</v>
      </c>
      <c r="BB134">
        <v>1.4063308953752764E-2</v>
      </c>
      <c r="BC134">
        <v>0.29747432155852033</v>
      </c>
    </row>
    <row r="135" spans="1:55" ht="14.4" x14ac:dyDescent="0.25">
      <c r="A135" s="2">
        <v>17</v>
      </c>
      <c r="B135" s="2" t="s">
        <v>28</v>
      </c>
      <c r="C135" s="2">
        <v>2021</v>
      </c>
      <c r="D135" s="2">
        <v>18191.596313034799</v>
      </c>
      <c r="E135" s="17">
        <v>51579.920364199701</v>
      </c>
      <c r="F135" s="30">
        <v>50012.936900000001</v>
      </c>
      <c r="G135" s="3">
        <f t="shared" si="92"/>
        <v>0.36373781346631534</v>
      </c>
      <c r="H135" s="2">
        <f t="shared" si="93"/>
        <v>-2.7654798411260721E-2</v>
      </c>
      <c r="I135" s="14">
        <v>0.27757423954398414</v>
      </c>
      <c r="J135" s="2">
        <f t="shared" si="94"/>
        <v>2.5152133813971807E-2</v>
      </c>
      <c r="K135">
        <f t="shared" si="95"/>
        <v>1.0313315626181454</v>
      </c>
      <c r="L135">
        <f t="shared" si="96"/>
        <v>-9.473350897101869E-2</v>
      </c>
      <c r="M135" s="2">
        <v>0</v>
      </c>
      <c r="N135" s="2">
        <v>0</v>
      </c>
      <c r="O135" s="2">
        <v>0</v>
      </c>
      <c r="P135" s="4">
        <v>0</v>
      </c>
      <c r="Q135" s="41">
        <v>0.99999999580495169</v>
      </c>
      <c r="R135" s="40">
        <v>0</v>
      </c>
      <c r="S135" s="40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0</v>
      </c>
      <c r="Y135" s="40">
        <v>1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0.2</v>
      </c>
      <c r="AH135" s="40">
        <v>0.13500000000000001</v>
      </c>
      <c r="AI135" s="40">
        <v>0.18</v>
      </c>
      <c r="AJ135" s="40">
        <v>0.25</v>
      </c>
      <c r="AK135" s="40">
        <v>0.65</v>
      </c>
      <c r="AL135" s="40">
        <v>1</v>
      </c>
      <c r="AM135" s="40">
        <v>1</v>
      </c>
      <c r="AN135" s="40">
        <v>1</v>
      </c>
      <c r="AO135" s="40">
        <v>1</v>
      </c>
      <c r="AP135" s="40">
        <v>1</v>
      </c>
      <c r="AQ135" s="40">
        <f t="shared" si="97"/>
        <v>1</v>
      </c>
      <c r="AR135" s="40">
        <f t="shared" si="98"/>
        <v>1</v>
      </c>
      <c r="AS135" s="40">
        <f t="shared" si="99"/>
        <v>1</v>
      </c>
      <c r="AT135" s="40" cm="1">
        <f t="array" ref="AT135">_xlfn.IFS(AG135&gt;sheet2!$C$2,1,AG135=sheet2!$C$2,0,AG135&lt;sheet2!$C$2,-1)</f>
        <v>0</v>
      </c>
      <c r="AU135" s="40" cm="1">
        <f t="array" ref="AU135">_xlfn.IFS(AH135&gt;sheet2!$D$2,1,AH135=sheet2!$D$2,0,AH135&lt;sheet2!$D$2,-1)</f>
        <v>0</v>
      </c>
      <c r="AV135" s="40" cm="1">
        <f t="array" ref="AV135">_xlfn.IFS(AI135&gt;sheet2!$E$2,1,AI135=sheet2!$E$2,0,AI135&lt;sheet2!$E$2,-1)</f>
        <v>0</v>
      </c>
      <c r="AW135" s="40" cm="1">
        <f t="array" ref="AW135">_xlfn.IFS(AJ135&gt;sheet2!$F$2,1,AJ135=sheet2!$F$2,0,AJ135&lt;sheet2!$F$2,-1)</f>
        <v>0</v>
      </c>
      <c r="AX135" s="40" cm="1">
        <f t="array" ref="AX135">_xlfn.IFS(AK135&gt;sheet2!$G$2,1,AK135=sheet2!$G$2,0,AK135&lt;sheet2!$G$2,-1)</f>
        <v>0</v>
      </c>
      <c r="AY135">
        <v>0.38472645664606031</v>
      </c>
      <c r="AZ135">
        <v>0.64082332761578042</v>
      </c>
      <c r="BA135">
        <v>3.1354706163915738E-2</v>
      </c>
      <c r="BB135">
        <v>1.446813854276972E-2</v>
      </c>
      <c r="BC135">
        <v>0.41384630316108434</v>
      </c>
    </row>
    <row r="136" spans="1:55" ht="14.4" x14ac:dyDescent="0.25">
      <c r="A136" s="2">
        <v>17</v>
      </c>
      <c r="B136" s="2" t="s">
        <v>28</v>
      </c>
      <c r="C136" s="2">
        <v>2022</v>
      </c>
      <c r="D136" s="2">
        <v>18627</v>
      </c>
      <c r="E136" s="17">
        <v>50302.038437968498</v>
      </c>
      <c r="F136" s="30">
        <v>53734.9</v>
      </c>
      <c r="G136" s="3">
        <f t="shared" si="92"/>
        <v>0.34664622061267442</v>
      </c>
      <c r="H136" s="2">
        <f t="shared" si="93"/>
        <v>-4.698877108971164E-2</v>
      </c>
      <c r="I136" s="14">
        <v>0.2930218361679805</v>
      </c>
      <c r="J136" s="2">
        <f t="shared" si="94"/>
        <v>5.5652126254131559E-2</v>
      </c>
      <c r="K136">
        <f t="shared" si="95"/>
        <v>0.9361148608812615</v>
      </c>
      <c r="L136">
        <f t="shared" si="96"/>
        <v>-9.2324045135558669E-2</v>
      </c>
      <c r="M136" s="2">
        <v>1</v>
      </c>
      <c r="N136" s="2">
        <v>1</v>
      </c>
      <c r="O136" s="2">
        <v>0</v>
      </c>
      <c r="P136" s="4">
        <v>0</v>
      </c>
      <c r="Q136" s="41">
        <v>0.99999999580495169</v>
      </c>
      <c r="R136" s="40">
        <v>0</v>
      </c>
      <c r="S136" s="40">
        <v>0</v>
      </c>
      <c r="T136" s="40">
        <v>0</v>
      </c>
      <c r="U136" s="40">
        <v>0</v>
      </c>
      <c r="V136" s="40">
        <v>0</v>
      </c>
      <c r="W136" s="40">
        <v>0</v>
      </c>
      <c r="X136" s="40">
        <v>0</v>
      </c>
      <c r="Y136" s="40">
        <v>1</v>
      </c>
      <c r="Z136" s="40">
        <v>0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0.2</v>
      </c>
      <c r="AH136" s="40">
        <v>0.13500000000000001</v>
      </c>
      <c r="AI136" s="40">
        <v>0.18</v>
      </c>
      <c r="AJ136" s="40">
        <v>0.25</v>
      </c>
      <c r="AK136" s="40">
        <v>0.65</v>
      </c>
      <c r="AL136" s="40">
        <v>1</v>
      </c>
      <c r="AM136" s="40">
        <v>1</v>
      </c>
      <c r="AN136" s="40">
        <v>1</v>
      </c>
      <c r="AO136" s="40">
        <v>1</v>
      </c>
      <c r="AP136" s="40">
        <v>1</v>
      </c>
      <c r="AQ136" s="40">
        <f t="shared" si="97"/>
        <v>1</v>
      </c>
      <c r="AR136" s="40">
        <f t="shared" si="98"/>
        <v>1</v>
      </c>
      <c r="AS136" s="40">
        <f t="shared" si="99"/>
        <v>1</v>
      </c>
      <c r="AT136" s="40" cm="1">
        <f t="array" ref="AT136">_xlfn.IFS(AG136&gt;sheet2!$C$2,1,AG136=sheet2!$C$2,0,AG136&lt;sheet2!$C$2,-1)</f>
        <v>0</v>
      </c>
      <c r="AU136" s="40" cm="1">
        <f t="array" ref="AU136">_xlfn.IFS(AH136&gt;sheet2!$D$2,1,AH136=sheet2!$D$2,0,AH136&lt;sheet2!$D$2,-1)</f>
        <v>0</v>
      </c>
      <c r="AV136" s="40" cm="1">
        <f t="array" ref="AV136">_xlfn.IFS(AI136&gt;sheet2!$E$2,1,AI136=sheet2!$E$2,0,AI136&lt;sheet2!$E$2,-1)</f>
        <v>0</v>
      </c>
      <c r="AW136" s="40" cm="1">
        <f t="array" ref="AW136">_xlfn.IFS(AJ136&gt;sheet2!$F$2,1,AJ136=sheet2!$F$2,0,AJ136&lt;sheet2!$F$2,-1)</f>
        <v>0</v>
      </c>
      <c r="AX136" s="40" cm="1">
        <f t="array" ref="AX136">_xlfn.IFS(AK136&gt;sheet2!$G$2,1,AK136=sheet2!$G$2,0,AK136&lt;sheet2!$G$2,-1)</f>
        <v>0</v>
      </c>
      <c r="AY136">
        <v>0.37123917602898676</v>
      </c>
      <c r="AZ136">
        <v>0.64664613278576322</v>
      </c>
      <c r="BA136">
        <v>3.1430000484034916E-2</v>
      </c>
      <c r="BB136">
        <v>1.4760574598631431E-2</v>
      </c>
      <c r="BC136">
        <v>0.38047071674317906</v>
      </c>
    </row>
    <row r="137" spans="1:55" ht="14.4" x14ac:dyDescent="0.25">
      <c r="A137" s="2">
        <v>17</v>
      </c>
      <c r="B137" s="2" t="s">
        <v>28</v>
      </c>
      <c r="C137" s="2">
        <v>2023</v>
      </c>
      <c r="D137" s="2">
        <v>19220.614237338901</v>
      </c>
      <c r="E137">
        <v>54482.340023335899</v>
      </c>
      <c r="F137" s="32">
        <v>55803.63</v>
      </c>
      <c r="G137" s="3">
        <f t="shared" si="92"/>
        <v>0.34443304561618843</v>
      </c>
      <c r="H137" s="2">
        <f t="shared" si="93"/>
        <v>-6.3845351972231165E-3</v>
      </c>
      <c r="I137" s="14"/>
      <c r="K137">
        <f t="shared" si="95"/>
        <v>0.97632250847007451</v>
      </c>
      <c r="L137">
        <f t="shared" si="96"/>
        <v>4.2951617658287582E-2</v>
      </c>
      <c r="M137" s="2">
        <v>1</v>
      </c>
      <c r="N137" s="2">
        <v>1</v>
      </c>
      <c r="O137" s="2">
        <v>1</v>
      </c>
      <c r="P137" s="4">
        <v>0</v>
      </c>
      <c r="Q137" s="41">
        <v>0.99999999580495202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1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0.2</v>
      </c>
      <c r="AH137" s="40">
        <v>0.13500000000000001</v>
      </c>
      <c r="AI137" s="40">
        <v>0.18</v>
      </c>
      <c r="AJ137" s="40">
        <v>0.25</v>
      </c>
      <c r="AK137" s="40">
        <v>0.65</v>
      </c>
      <c r="AL137" s="40">
        <v>1</v>
      </c>
      <c r="AM137" s="40">
        <v>1</v>
      </c>
      <c r="AN137" s="40">
        <v>1</v>
      </c>
      <c r="AO137" s="40">
        <v>1</v>
      </c>
      <c r="AP137" s="40">
        <v>1</v>
      </c>
      <c r="AQ137" s="40">
        <f t="shared" si="97"/>
        <v>1</v>
      </c>
      <c r="AR137" s="40">
        <f t="shared" si="98"/>
        <v>1</v>
      </c>
      <c r="AS137" s="40">
        <f t="shared" si="99"/>
        <v>1</v>
      </c>
      <c r="AT137" s="40" cm="1">
        <f t="array" ref="AT137">_xlfn.IFS(AG137&gt;sheet2!$C$2,1,AG137=sheet2!$C$2,0,AG137&lt;sheet2!$C$2,-1)</f>
        <v>0</v>
      </c>
      <c r="AU137" s="40" cm="1">
        <f t="array" ref="AU137">_xlfn.IFS(AH137&gt;sheet2!$D$2,1,AH137=sheet2!$D$2,0,AH137&lt;sheet2!$D$2,-1)</f>
        <v>0</v>
      </c>
      <c r="AV137" s="40" cm="1">
        <f t="array" ref="AV137">_xlfn.IFS(AI137&gt;sheet2!$E$2,1,AI137=sheet2!$E$2,0,AI137&lt;sheet2!$E$2,-1)</f>
        <v>0</v>
      </c>
      <c r="AW137" s="40" cm="1">
        <f t="array" ref="AW137">_xlfn.IFS(AJ137&gt;sheet2!$F$2,1,AJ137=sheet2!$F$2,0,AJ137&lt;sheet2!$F$2,-1)</f>
        <v>0</v>
      </c>
      <c r="AX137" s="40" cm="1">
        <f t="array" ref="AX137">_xlfn.IFS(AK137&gt;sheet2!$G$2,1,AK137=sheet2!$G$2,0,AK137&lt;sheet2!$G$2,-1)</f>
        <v>0</v>
      </c>
      <c r="AY137">
        <v>0.37184498571150298</v>
      </c>
      <c r="AZ137">
        <v>0.65467625899280579</v>
      </c>
      <c r="BA137">
        <v>3.139773148969812E-2</v>
      </c>
      <c r="BB137">
        <v>1.6049611826327428E-2</v>
      </c>
      <c r="BC137">
        <v>0.39711390493888099</v>
      </c>
    </row>
    <row r="138" spans="1:55" s="40" customFormat="1" ht="14.4" x14ac:dyDescent="0.25">
      <c r="A138" s="35">
        <v>18</v>
      </c>
      <c r="B138" s="35" t="s">
        <v>29</v>
      </c>
      <c r="C138" s="35">
        <v>2016</v>
      </c>
      <c r="D138" s="35">
        <v>14845</v>
      </c>
      <c r="E138" s="36">
        <v>25507.857491740899</v>
      </c>
      <c r="F138" s="37">
        <v>31551.37</v>
      </c>
      <c r="G138" s="38">
        <f t="shared" si="92"/>
        <v>0.47050254870073788</v>
      </c>
      <c r="H138" s="35"/>
      <c r="I138" s="39">
        <v>0.23809593664866158</v>
      </c>
      <c r="J138" s="35"/>
      <c r="K138" s="40">
        <f t="shared" si="95"/>
        <v>0.80845483070119928</v>
      </c>
      <c r="M138" s="35">
        <v>0</v>
      </c>
      <c r="N138" s="35">
        <v>0</v>
      </c>
      <c r="O138" s="35">
        <v>0</v>
      </c>
      <c r="P138" s="41">
        <v>1</v>
      </c>
      <c r="Q138" s="40">
        <v>0.83605737927372503</v>
      </c>
      <c r="R138" s="40">
        <v>-0.23460410557184749</v>
      </c>
      <c r="S138" s="40">
        <v>-0.39348961969929708</v>
      </c>
      <c r="T138" s="40">
        <v>2.2000000000000002</v>
      </c>
      <c r="U138" s="40">
        <v>-0.21999999999999989</v>
      </c>
      <c r="V138" s="40">
        <v>-0.3</v>
      </c>
      <c r="W138" s="40">
        <v>-0.29504504504504497</v>
      </c>
      <c r="X138" s="40">
        <v>-0.21649484536082481</v>
      </c>
      <c r="Y138" s="40">
        <v>0.32369511244866517</v>
      </c>
      <c r="Z138" s="40">
        <v>-0.16859852476290824</v>
      </c>
      <c r="AA138" s="40">
        <v>-0.282179669971789</v>
      </c>
      <c r="AB138" s="40">
        <v>0.62857142857142867</v>
      </c>
      <c r="AC138" s="40">
        <v>-0.127906976744186</v>
      </c>
      <c r="AD138" s="40">
        <v>-0.24248275862068971</v>
      </c>
      <c r="AE138" s="40">
        <v>-0.31541899956222197</v>
      </c>
      <c r="AF138" s="40">
        <v>-0.25257731958762897</v>
      </c>
      <c r="AG138" s="40">
        <v>0.22</v>
      </c>
      <c r="AH138" s="40">
        <v>0.13500000000000001</v>
      </c>
      <c r="AI138" s="40">
        <v>0.18</v>
      </c>
      <c r="AJ138" s="40">
        <v>0.25</v>
      </c>
      <c r="AK138" s="40">
        <v>0.65</v>
      </c>
      <c r="AL138" s="40">
        <v>1.0999999999999999</v>
      </c>
      <c r="AM138" s="40">
        <v>1</v>
      </c>
      <c r="AN138" s="40">
        <v>1</v>
      </c>
      <c r="AO138" s="40">
        <v>1</v>
      </c>
      <c r="AP138" s="40">
        <v>1</v>
      </c>
      <c r="AQ138" s="40">
        <f t="shared" si="48"/>
        <v>1.0499999999999998</v>
      </c>
      <c r="AR138" s="40">
        <f t="shared" si="49"/>
        <v>1</v>
      </c>
      <c r="AS138" s="40">
        <f t="shared" si="50"/>
        <v>1</v>
      </c>
      <c r="AT138" s="40" cm="1">
        <f t="array" ref="AT138">_xlfn.IFS(AG138&gt;sheet2!$C$2,1,AG138=sheet2!$C$2,0,AG138&lt;sheet2!$C$2,-1)</f>
        <v>1</v>
      </c>
      <c r="AU138" s="40" cm="1">
        <f t="array" ref="AU138">_xlfn.IFS(AH138&gt;sheet2!$D$2,1,AH138=sheet2!$D$2,0,AH138&lt;sheet2!$D$2,-1)</f>
        <v>0</v>
      </c>
      <c r="AV138" s="40" cm="1">
        <f t="array" ref="AV138">_xlfn.IFS(AI138&gt;sheet2!$E$2,1,AI138=sheet2!$E$2,0,AI138&lt;sheet2!$E$2,-1)</f>
        <v>0</v>
      </c>
      <c r="AW138" s="40" cm="1">
        <f t="array" ref="AW138">_xlfn.IFS(AJ138&gt;sheet2!$F$2,1,AJ138=sheet2!$F$2,0,AJ138&lt;sheet2!$F$2,-1)</f>
        <v>0</v>
      </c>
      <c r="AX138" s="40" cm="1">
        <f t="array" ref="AX138">_xlfn.IFS(AK138&gt;sheet2!$G$2,1,AK138=sheet2!$G$2,0,AK138&lt;sheet2!$G$2,-1)</f>
        <v>0</v>
      </c>
      <c r="AY138" s="40">
        <v>0.41018821052778376</v>
      </c>
      <c r="AZ138" s="40">
        <v>0.52694339622641506</v>
      </c>
      <c r="BA138" s="40">
        <v>3.1274193243830135E-2</v>
      </c>
      <c r="BB138" s="40">
        <v>1.2454758699859942E-2</v>
      </c>
      <c r="BC138" s="40">
        <v>0.42558951028211944</v>
      </c>
    </row>
    <row r="139" spans="1:55" ht="14.4" x14ac:dyDescent="0.25">
      <c r="A139" s="2">
        <v>18</v>
      </c>
      <c r="B139" s="2" t="s">
        <v>29</v>
      </c>
      <c r="C139" s="2">
        <v>2017</v>
      </c>
      <c r="D139" s="2">
        <v>15200</v>
      </c>
      <c r="E139" s="17">
        <v>25463.4463915425</v>
      </c>
      <c r="F139" s="5">
        <v>33902.959999999999</v>
      </c>
      <c r="G139" s="3">
        <f t="shared" si="92"/>
        <v>0.44833843416622032</v>
      </c>
      <c r="H139" s="2">
        <f t="shared" ref="H139:H145" si="100">(G139-G138)/G138</f>
        <v>-4.7107320875779124E-2</v>
      </c>
      <c r="I139" s="14">
        <v>0.21590027024159655</v>
      </c>
      <c r="J139" s="2">
        <f t="shared" ref="J139:J144" si="101">(I139-I138)/I138</f>
        <v>-9.3221525404767094E-2</v>
      </c>
      <c r="K139">
        <f t="shared" si="95"/>
        <v>0.75106853181971434</v>
      </c>
      <c r="L139">
        <f t="shared" ref="L139:L145" si="102">(K139-K138)/K138</f>
        <v>-7.0982690315192914E-2</v>
      </c>
      <c r="M139" s="2">
        <v>0</v>
      </c>
      <c r="N139" s="2">
        <v>0</v>
      </c>
      <c r="O139" s="2">
        <v>0</v>
      </c>
      <c r="P139" s="4">
        <v>1</v>
      </c>
      <c r="Q139" s="40">
        <v>0.83605737927372503</v>
      </c>
      <c r="R139" s="40">
        <v>-0.23460410557184749</v>
      </c>
      <c r="S139" s="40">
        <v>-0.39348961969929708</v>
      </c>
      <c r="T139" s="40">
        <v>2.2000000000000002</v>
      </c>
      <c r="U139" s="40">
        <v>-0.21999999999999989</v>
      </c>
      <c r="V139" s="40">
        <v>-0.3</v>
      </c>
      <c r="W139" s="40">
        <v>-0.29504504504504497</v>
      </c>
      <c r="X139" s="40">
        <v>-0.21649484536082481</v>
      </c>
      <c r="Y139" s="40">
        <v>0.32369511244866517</v>
      </c>
      <c r="Z139" s="40">
        <v>-0.16859852476290824</v>
      </c>
      <c r="AA139" s="40">
        <v>-0.282179669971789</v>
      </c>
      <c r="AB139" s="40">
        <v>0.62857142857142867</v>
      </c>
      <c r="AC139" s="40">
        <v>-0.127906976744186</v>
      </c>
      <c r="AD139" s="40">
        <v>-0.24248275862068971</v>
      </c>
      <c r="AE139" s="40">
        <v>-0.31541899956222197</v>
      </c>
      <c r="AF139" s="40">
        <v>-0.25257731958762897</v>
      </c>
      <c r="AG139" s="40">
        <v>0.22</v>
      </c>
      <c r="AH139" s="40">
        <v>0.13500000000000001</v>
      </c>
      <c r="AI139" s="40">
        <v>0.18</v>
      </c>
      <c r="AJ139" s="40">
        <v>0.25</v>
      </c>
      <c r="AK139" s="40">
        <v>0.65</v>
      </c>
      <c r="AL139" s="40">
        <v>1.0999999999999999</v>
      </c>
      <c r="AM139" s="40">
        <v>1</v>
      </c>
      <c r="AN139" s="40">
        <v>1</v>
      </c>
      <c r="AO139" s="40">
        <v>1</v>
      </c>
      <c r="AP139" s="40">
        <v>1</v>
      </c>
      <c r="AQ139" s="40">
        <f t="shared" ref="AQ139:AQ145" si="103">AVERAGE(AL139,AO139)</f>
        <v>1.0499999999999998</v>
      </c>
      <c r="AR139" s="40">
        <f t="shared" ref="AR139:AR145" si="104">AVERAGE(AM139)</f>
        <v>1</v>
      </c>
      <c r="AS139" s="40">
        <f t="shared" ref="AS139:AS145" si="105">AVERAGE(AN139,AP139)</f>
        <v>1</v>
      </c>
      <c r="AT139" s="40" cm="1">
        <f t="array" ref="AT139">_xlfn.IFS(AG139&gt;sheet2!$C$2,1,AG139=sheet2!$C$2,0,AG139&lt;sheet2!$C$2,-1)</f>
        <v>1</v>
      </c>
      <c r="AU139" s="40" cm="1">
        <f t="array" ref="AU139">_xlfn.IFS(AH139&gt;sheet2!$D$2,1,AH139=sheet2!$D$2,0,AH139&lt;sheet2!$D$2,-1)</f>
        <v>0</v>
      </c>
      <c r="AV139" s="40" cm="1">
        <f t="array" ref="AV139">_xlfn.IFS(AI139&gt;sheet2!$E$2,1,AI139=sheet2!$E$2,0,AI139&lt;sheet2!$E$2,-1)</f>
        <v>0</v>
      </c>
      <c r="AW139" s="40" cm="1">
        <f t="array" ref="AW139">_xlfn.IFS(AJ139&gt;sheet2!$F$2,1,AJ139=sheet2!$F$2,0,AJ139&lt;sheet2!$F$2,-1)</f>
        <v>0</v>
      </c>
      <c r="AX139" s="40" cm="1">
        <f t="array" ref="AX139">_xlfn.IFS(AK139&gt;sheet2!$G$2,1,AK139=sheet2!$G$2,0,AK139&lt;sheet2!$G$2,-1)</f>
        <v>0</v>
      </c>
      <c r="AY139">
        <v>0.39700958264411129</v>
      </c>
      <c r="AZ139">
        <v>0.54620835217850139</v>
      </c>
      <c r="BA139">
        <v>3.1311958307369853E-2</v>
      </c>
      <c r="BB139">
        <v>1.3620391847791461E-2</v>
      </c>
      <c r="BC139">
        <v>0.40146505002627597</v>
      </c>
    </row>
    <row r="140" spans="1:55" ht="14.4" x14ac:dyDescent="0.25">
      <c r="A140" s="2">
        <v>18</v>
      </c>
      <c r="B140" s="2" t="s">
        <v>29</v>
      </c>
      <c r="C140" s="2">
        <v>2018</v>
      </c>
      <c r="D140" s="2">
        <v>15544</v>
      </c>
      <c r="E140" s="17">
        <v>25947.5240586451</v>
      </c>
      <c r="F140" s="5">
        <v>36425.78</v>
      </c>
      <c r="G140" s="3">
        <f t="shared" si="92"/>
        <v>0.42673073850443288</v>
      </c>
      <c r="H140" s="2">
        <f t="shared" si="100"/>
        <v>-4.8195055375904808E-2</v>
      </c>
      <c r="I140" s="14">
        <v>0.25256512334268472</v>
      </c>
      <c r="J140" s="2">
        <f t="shared" si="101"/>
        <v>0.16982309961937281</v>
      </c>
      <c r="K140">
        <f t="shared" si="95"/>
        <v>0.71233955892351797</v>
      </c>
      <c r="L140">
        <f t="shared" si="102"/>
        <v>-5.1565165168566574E-2</v>
      </c>
      <c r="M140" s="2">
        <v>0</v>
      </c>
      <c r="N140" s="2">
        <v>0</v>
      </c>
      <c r="O140" s="2">
        <v>0</v>
      </c>
      <c r="P140" s="4">
        <v>1</v>
      </c>
      <c r="Q140" s="40">
        <v>0.83605737927372503</v>
      </c>
      <c r="R140" s="40">
        <v>-0.23460410557184749</v>
      </c>
      <c r="S140" s="40">
        <v>-0.39348961969929708</v>
      </c>
      <c r="T140" s="40">
        <v>2.2000000000000002</v>
      </c>
      <c r="U140" s="40">
        <v>-0.21999999999999989</v>
      </c>
      <c r="V140" s="40">
        <v>-0.3</v>
      </c>
      <c r="W140" s="40">
        <v>-0.29504504504504497</v>
      </c>
      <c r="X140" s="40">
        <v>-0.21649484536082481</v>
      </c>
      <c r="Y140" s="40">
        <v>0.32369511244866517</v>
      </c>
      <c r="Z140" s="40">
        <v>-0.16859852476290824</v>
      </c>
      <c r="AA140" s="40">
        <v>-0.282179669971789</v>
      </c>
      <c r="AB140" s="40">
        <v>0.62857142857142867</v>
      </c>
      <c r="AC140" s="40">
        <v>-0.127906976744186</v>
      </c>
      <c r="AD140" s="40">
        <v>-0.24248275862068971</v>
      </c>
      <c r="AE140" s="40">
        <v>-0.31541899956222197</v>
      </c>
      <c r="AF140" s="40">
        <v>-0.25257731958762897</v>
      </c>
      <c r="AG140" s="40">
        <v>0.22</v>
      </c>
      <c r="AH140" s="40">
        <v>0.13500000000000001</v>
      </c>
      <c r="AI140" s="40">
        <v>0.18</v>
      </c>
      <c r="AJ140" s="40">
        <v>0.25</v>
      </c>
      <c r="AK140" s="40">
        <v>0.65</v>
      </c>
      <c r="AL140" s="40">
        <v>1.0999999999999999</v>
      </c>
      <c r="AM140" s="40">
        <v>1</v>
      </c>
      <c r="AN140" s="40">
        <v>1</v>
      </c>
      <c r="AO140" s="40">
        <v>1</v>
      </c>
      <c r="AP140" s="40">
        <v>1</v>
      </c>
      <c r="AQ140" s="40">
        <f t="shared" si="103"/>
        <v>1.0499999999999998</v>
      </c>
      <c r="AR140" s="40">
        <f t="shared" si="104"/>
        <v>1</v>
      </c>
      <c r="AS140" s="40">
        <f t="shared" si="105"/>
        <v>1</v>
      </c>
      <c r="AT140" s="40" cm="1">
        <f t="array" ref="AT140">_xlfn.IFS(AG140&gt;sheet2!$C$2,1,AG140=sheet2!$C$2,0,AG140&lt;sheet2!$C$2,-1)</f>
        <v>1</v>
      </c>
      <c r="AU140" s="40" cm="1">
        <f t="array" ref="AU140">_xlfn.IFS(AH140&gt;sheet2!$D$2,1,AH140=sheet2!$D$2,0,AH140&lt;sheet2!$D$2,-1)</f>
        <v>0</v>
      </c>
      <c r="AV140" s="40" cm="1">
        <f t="array" ref="AV140">_xlfn.IFS(AI140&gt;sheet2!$E$2,1,AI140=sheet2!$E$2,0,AI140&lt;sheet2!$E$2,-1)</f>
        <v>0</v>
      </c>
      <c r="AW140" s="40" cm="1">
        <f t="array" ref="AW140">_xlfn.IFS(AJ140&gt;sheet2!$F$2,1,AJ140=sheet2!$F$2,0,AJ140&lt;sheet2!$F$2,-1)</f>
        <v>0</v>
      </c>
      <c r="AX140" s="40" cm="1">
        <f t="array" ref="AX140">_xlfn.IFS(AK140&gt;sheet2!$G$2,1,AK140=sheet2!$G$2,0,AK140&lt;sheet2!$G$2,-1)</f>
        <v>0</v>
      </c>
      <c r="AY140">
        <v>0.38171042596754279</v>
      </c>
      <c r="AZ140">
        <v>0.56096458176337605</v>
      </c>
      <c r="BA140">
        <v>3.1321399573254784E-2</v>
      </c>
      <c r="BB140">
        <v>1.4185604261597142E-2</v>
      </c>
      <c r="BC140">
        <v>0.382485183050988</v>
      </c>
    </row>
    <row r="141" spans="1:55" ht="14.4" x14ac:dyDescent="0.25">
      <c r="A141" s="2">
        <v>18</v>
      </c>
      <c r="B141" s="2" t="s">
        <v>29</v>
      </c>
      <c r="C141" s="2">
        <v>2019</v>
      </c>
      <c r="D141" s="2">
        <v>16001</v>
      </c>
      <c r="E141" s="17">
        <v>25986.861755983002</v>
      </c>
      <c r="F141" s="5">
        <v>39752.120000000003</v>
      </c>
      <c r="G141" s="3">
        <f t="shared" si="92"/>
        <v>0.40251941280112857</v>
      </c>
      <c r="H141" s="2">
        <f t="shared" si="100"/>
        <v>-5.6736774548179873E-2</v>
      </c>
      <c r="I141" s="14">
        <v>0.26164590790714165</v>
      </c>
      <c r="J141" s="2">
        <f t="shared" si="101"/>
        <v>3.5954230118051447E-2</v>
      </c>
      <c r="K141">
        <f t="shared" si="95"/>
        <v>0.65372266324369621</v>
      </c>
      <c r="L141">
        <f t="shared" si="102"/>
        <v>-8.2287856887245117E-2</v>
      </c>
      <c r="M141" s="2">
        <v>0</v>
      </c>
      <c r="N141" s="2">
        <v>0</v>
      </c>
      <c r="O141" s="2">
        <v>0</v>
      </c>
      <c r="P141" s="4">
        <v>1</v>
      </c>
      <c r="Q141" s="40">
        <v>0.83605737927372503</v>
      </c>
      <c r="R141" s="40">
        <v>-0.23460410557184749</v>
      </c>
      <c r="S141" s="40">
        <v>-0.39348961969929708</v>
      </c>
      <c r="T141" s="40">
        <v>2.2000000000000002</v>
      </c>
      <c r="U141" s="40">
        <v>-0.21999999999999989</v>
      </c>
      <c r="V141" s="40">
        <v>-0.3</v>
      </c>
      <c r="W141" s="40">
        <v>-0.29504504504504497</v>
      </c>
      <c r="X141" s="40">
        <v>-0.21649484536082481</v>
      </c>
      <c r="Y141" s="40">
        <v>0.32369511244866517</v>
      </c>
      <c r="Z141" s="40">
        <v>-0.16859852476290824</v>
      </c>
      <c r="AA141" s="40">
        <v>-0.282179669971789</v>
      </c>
      <c r="AB141" s="40">
        <v>0.62857142857142867</v>
      </c>
      <c r="AC141" s="40">
        <v>-0.127906976744186</v>
      </c>
      <c r="AD141" s="40">
        <v>-0.24248275862068971</v>
      </c>
      <c r="AE141" s="40">
        <v>-0.31541899956222197</v>
      </c>
      <c r="AF141" s="40">
        <v>-0.25257731958762897</v>
      </c>
      <c r="AG141" s="40">
        <v>0.22</v>
      </c>
      <c r="AH141" s="40">
        <v>0.13500000000000001</v>
      </c>
      <c r="AI141" s="40">
        <v>0.18</v>
      </c>
      <c r="AJ141" s="40">
        <v>0.25</v>
      </c>
      <c r="AK141" s="40">
        <v>0.65</v>
      </c>
      <c r="AL141" s="40">
        <v>1.0999999999999999</v>
      </c>
      <c r="AM141" s="40">
        <v>1</v>
      </c>
      <c r="AN141" s="40">
        <v>1</v>
      </c>
      <c r="AO141" s="40">
        <v>1</v>
      </c>
      <c r="AP141" s="40">
        <v>1</v>
      </c>
      <c r="AQ141" s="40">
        <f t="shared" si="103"/>
        <v>1.0499999999999998</v>
      </c>
      <c r="AR141" s="40">
        <f t="shared" si="104"/>
        <v>1</v>
      </c>
      <c r="AS141" s="40">
        <f t="shared" si="105"/>
        <v>1</v>
      </c>
      <c r="AT141" s="40" cm="1">
        <f t="array" ref="AT141">_xlfn.IFS(AG141&gt;sheet2!$C$2,1,AG141=sheet2!$C$2,0,AG141&lt;sheet2!$C$2,-1)</f>
        <v>1</v>
      </c>
      <c r="AU141" s="40" cm="1">
        <f t="array" ref="AU141">_xlfn.IFS(AH141&gt;sheet2!$D$2,1,AH141=sheet2!$D$2,0,AH141&lt;sheet2!$D$2,-1)</f>
        <v>0</v>
      </c>
      <c r="AV141" s="40" cm="1">
        <f t="array" ref="AV141">_xlfn.IFS(AI141&gt;sheet2!$E$2,1,AI141=sheet2!$E$2,0,AI141&lt;sheet2!$E$2,-1)</f>
        <v>0</v>
      </c>
      <c r="AW141" s="40" cm="1">
        <f t="array" ref="AW141">_xlfn.IFS(AJ141&gt;sheet2!$F$2,1,AJ141=sheet2!$F$2,0,AJ141&lt;sheet2!$F$2,-1)</f>
        <v>0</v>
      </c>
      <c r="AX141" s="40" cm="1">
        <f t="array" ref="AX141">_xlfn.IFS(AK141&gt;sheet2!$G$2,1,AK141=sheet2!$G$2,0,AK141&lt;sheet2!$G$2,-1)</f>
        <v>0</v>
      </c>
      <c r="AY141">
        <v>0.3767044373985588</v>
      </c>
      <c r="AZ141">
        <v>0.57454819277108438</v>
      </c>
      <c r="BA141">
        <v>3.1345002737967108E-2</v>
      </c>
      <c r="BB141">
        <v>1.4921179046551478E-2</v>
      </c>
      <c r="BC141">
        <v>0.3742833956900436</v>
      </c>
    </row>
    <row r="142" spans="1:55" ht="14.4" x14ac:dyDescent="0.25">
      <c r="A142" s="2">
        <v>18</v>
      </c>
      <c r="B142" s="2" t="s">
        <v>29</v>
      </c>
      <c r="C142" s="2">
        <v>2020</v>
      </c>
      <c r="D142" s="2">
        <v>16274.617099999999</v>
      </c>
      <c r="E142" s="17">
        <v>25640.5104560654</v>
      </c>
      <c r="F142" s="5">
        <v>41781.49</v>
      </c>
      <c r="G142" s="3">
        <f t="shared" si="92"/>
        <v>0.38951739394645812</v>
      </c>
      <c r="H142" s="2">
        <f t="shared" si="100"/>
        <v>-3.2301594509913274E-2</v>
      </c>
      <c r="I142" s="14">
        <v>0.27512911909879789</v>
      </c>
      <c r="J142" s="2">
        <f t="shared" si="101"/>
        <v>5.1532283839277333E-2</v>
      </c>
      <c r="K142">
        <f t="shared" si="95"/>
        <v>0.61368109313634822</v>
      </c>
      <c r="L142">
        <f t="shared" si="102"/>
        <v>-6.1251616868637157E-2</v>
      </c>
      <c r="M142" s="2">
        <v>0</v>
      </c>
      <c r="N142" s="2">
        <v>0</v>
      </c>
      <c r="O142" s="2">
        <v>0</v>
      </c>
      <c r="P142" s="4">
        <v>1</v>
      </c>
      <c r="Q142" s="40">
        <v>0.83605737927372503</v>
      </c>
      <c r="R142" s="40">
        <v>-0.23460410557184749</v>
      </c>
      <c r="S142" s="40">
        <v>-0.39348961969929708</v>
      </c>
      <c r="T142" s="40">
        <v>2.2000000000000002</v>
      </c>
      <c r="U142" s="40">
        <v>-0.21999999999999989</v>
      </c>
      <c r="V142" s="40">
        <v>-0.3</v>
      </c>
      <c r="W142" s="40">
        <v>-0.29504504504504497</v>
      </c>
      <c r="X142" s="40">
        <v>-0.21649484536082481</v>
      </c>
      <c r="Y142" s="40">
        <v>0.32369511244866517</v>
      </c>
      <c r="Z142" s="40">
        <v>-0.16859852476290824</v>
      </c>
      <c r="AA142" s="40">
        <v>-0.282179669971789</v>
      </c>
      <c r="AB142" s="40">
        <v>0.62857142857142867</v>
      </c>
      <c r="AC142" s="40">
        <v>-0.127906976744186</v>
      </c>
      <c r="AD142" s="40">
        <v>-0.24248275862068971</v>
      </c>
      <c r="AE142" s="40">
        <v>-0.31541899956222197</v>
      </c>
      <c r="AF142" s="40">
        <v>-0.25257731958762897</v>
      </c>
      <c r="AG142" s="40">
        <v>0.22</v>
      </c>
      <c r="AH142" s="40">
        <v>0.13500000000000001</v>
      </c>
      <c r="AI142" s="40">
        <v>0.18</v>
      </c>
      <c r="AJ142" s="40">
        <v>0.25</v>
      </c>
      <c r="AK142" s="40">
        <v>0.65</v>
      </c>
      <c r="AL142" s="40">
        <v>1.0999999999999999</v>
      </c>
      <c r="AM142" s="40">
        <v>1</v>
      </c>
      <c r="AN142" s="40">
        <v>1</v>
      </c>
      <c r="AO142" s="40">
        <v>1</v>
      </c>
      <c r="AP142" s="40">
        <v>1</v>
      </c>
      <c r="AQ142" s="40">
        <f t="shared" si="103"/>
        <v>1.0499999999999998</v>
      </c>
      <c r="AR142" s="40">
        <f t="shared" si="104"/>
        <v>1</v>
      </c>
      <c r="AS142" s="40">
        <f t="shared" si="105"/>
        <v>1</v>
      </c>
      <c r="AT142" s="40" cm="1">
        <f t="array" ref="AT142">_xlfn.IFS(AG142&gt;sheet2!$C$2,1,AG142=sheet2!$C$2,0,AG142&lt;sheet2!$C$2,-1)</f>
        <v>1</v>
      </c>
      <c r="AU142" s="40" cm="1">
        <f t="array" ref="AU142">_xlfn.IFS(AH142&gt;sheet2!$D$2,1,AH142=sheet2!$D$2,0,AH142&lt;sheet2!$D$2,-1)</f>
        <v>0</v>
      </c>
      <c r="AV142" s="40" cm="1">
        <f t="array" ref="AV142">_xlfn.IFS(AI142&gt;sheet2!$E$2,1,AI142=sheet2!$E$2,0,AI142&lt;sheet2!$E$2,-1)</f>
        <v>0</v>
      </c>
      <c r="AW142" s="40" cm="1">
        <f t="array" ref="AW142">_xlfn.IFS(AJ142&gt;sheet2!$F$2,1,AJ142=sheet2!$F$2,0,AJ142&lt;sheet2!$F$2,-1)</f>
        <v>0</v>
      </c>
      <c r="AX142" s="40" cm="1">
        <f t="array" ref="AX142">_xlfn.IFS(AK142&gt;sheet2!$G$2,1,AK142=sheet2!$G$2,0,AK142&lt;sheet2!$G$2,-1)</f>
        <v>0</v>
      </c>
      <c r="AY142">
        <v>0.37282777612765844</v>
      </c>
      <c r="AZ142">
        <v>0.58765989465763735</v>
      </c>
      <c r="BA142">
        <v>3.1368605902679432E-2</v>
      </c>
      <c r="BB142">
        <v>1.5904856432836647E-2</v>
      </c>
      <c r="BC142">
        <v>0.35804039685212535</v>
      </c>
    </row>
    <row r="143" spans="1:55" ht="14.4" x14ac:dyDescent="0.25">
      <c r="A143" s="2">
        <v>18</v>
      </c>
      <c r="B143" s="2" t="s">
        <v>29</v>
      </c>
      <c r="C143" s="2">
        <v>2021</v>
      </c>
      <c r="D143" s="2">
        <v>16909.327166899999</v>
      </c>
      <c r="E143" s="17">
        <v>27591.651668230301</v>
      </c>
      <c r="F143" s="30">
        <v>46063.086300000003</v>
      </c>
      <c r="G143" s="3">
        <f t="shared" si="92"/>
        <v>0.36709062559926642</v>
      </c>
      <c r="H143" s="2">
        <f t="shared" si="100"/>
        <v>-5.7575781456050766E-2</v>
      </c>
      <c r="I143" s="14">
        <v>0.28325302512719408</v>
      </c>
      <c r="J143" s="2">
        <f t="shared" si="101"/>
        <v>2.9527612544272067E-2</v>
      </c>
      <c r="K143">
        <f t="shared" si="95"/>
        <v>0.59899702526511556</v>
      </c>
      <c r="L143">
        <f t="shared" si="102"/>
        <v>-2.3927847925355825E-2</v>
      </c>
      <c r="M143" s="2">
        <v>0</v>
      </c>
      <c r="N143" s="2">
        <v>0</v>
      </c>
      <c r="O143" s="2">
        <v>0</v>
      </c>
      <c r="P143" s="4">
        <v>1</v>
      </c>
      <c r="Q143" s="40">
        <v>0.83605737927372503</v>
      </c>
      <c r="R143" s="40">
        <v>-0.23460410557184749</v>
      </c>
      <c r="S143" s="40">
        <v>-0.39348961969929708</v>
      </c>
      <c r="T143" s="40">
        <v>2.2000000000000002</v>
      </c>
      <c r="U143" s="40">
        <v>-0.21999999999999989</v>
      </c>
      <c r="V143" s="40">
        <v>-0.3</v>
      </c>
      <c r="W143" s="40">
        <v>-0.29504504504504497</v>
      </c>
      <c r="X143" s="40">
        <v>-0.21649484536082481</v>
      </c>
      <c r="Y143" s="40">
        <v>0.32369511244866517</v>
      </c>
      <c r="Z143" s="40">
        <v>-0.16859852476290824</v>
      </c>
      <c r="AA143" s="40">
        <v>-0.282179669971789</v>
      </c>
      <c r="AB143" s="40">
        <v>0.62857142857142867</v>
      </c>
      <c r="AC143" s="40">
        <v>-0.127906976744186</v>
      </c>
      <c r="AD143" s="40">
        <v>-0.24248275862068971</v>
      </c>
      <c r="AE143" s="40">
        <v>-0.31541899956222197</v>
      </c>
      <c r="AF143" s="40">
        <v>-0.25257731958762897</v>
      </c>
      <c r="AG143" s="40">
        <v>0.22</v>
      </c>
      <c r="AH143" s="40">
        <v>0.13500000000000001</v>
      </c>
      <c r="AI143" s="40">
        <v>0.18</v>
      </c>
      <c r="AJ143" s="40">
        <v>0.25</v>
      </c>
      <c r="AK143" s="40">
        <v>0.65</v>
      </c>
      <c r="AL143" s="40">
        <v>1.0999999999999999</v>
      </c>
      <c r="AM143" s="40">
        <v>1</v>
      </c>
      <c r="AN143" s="40">
        <v>1</v>
      </c>
      <c r="AO143" s="40">
        <v>1</v>
      </c>
      <c r="AP143" s="40">
        <v>1</v>
      </c>
      <c r="AQ143" s="40">
        <f t="shared" si="103"/>
        <v>1.0499999999999998</v>
      </c>
      <c r="AR143" s="40">
        <f t="shared" si="104"/>
        <v>1</v>
      </c>
      <c r="AS143" s="40">
        <f t="shared" si="105"/>
        <v>1</v>
      </c>
      <c r="AT143" s="40" cm="1">
        <f t="array" ref="AT143">_xlfn.IFS(AG143&gt;sheet2!$C$2,1,AG143=sheet2!$C$2,0,AG143&lt;sheet2!$C$2,-1)</f>
        <v>1</v>
      </c>
      <c r="AU143" s="40" cm="1">
        <f t="array" ref="AU143">_xlfn.IFS(AH143&gt;sheet2!$D$2,1,AH143=sheet2!$D$2,0,AH143&lt;sheet2!$D$2,-1)</f>
        <v>0</v>
      </c>
      <c r="AV143" s="40" cm="1">
        <f t="array" ref="AV143">_xlfn.IFS(AI143&gt;sheet2!$E$2,1,AI143=sheet2!$E$2,0,AI143&lt;sheet2!$E$2,-1)</f>
        <v>0</v>
      </c>
      <c r="AW143" s="40" cm="1">
        <f t="array" ref="AW143">_xlfn.IFS(AJ143&gt;sheet2!$F$2,1,AJ143=sheet2!$F$2,0,AJ143&lt;sheet2!$F$2,-1)</f>
        <v>0</v>
      </c>
      <c r="AX143" s="40" cm="1">
        <f t="array" ref="AX143">_xlfn.IFS(AK143&gt;sheet2!$G$2,1,AK143=sheet2!$G$2,0,AK143&lt;sheet2!$G$2,-1)</f>
        <v>0</v>
      </c>
      <c r="AY143">
        <v>0.37613415408511175</v>
      </c>
      <c r="AZ143">
        <v>0.5971005738447599</v>
      </c>
      <c r="BA143">
        <v>3.1260031345002735E-2</v>
      </c>
      <c r="BB143">
        <v>1.6631862116455707E-2</v>
      </c>
      <c r="BC143">
        <v>0.39044982283346347</v>
      </c>
    </row>
    <row r="144" spans="1:55" ht="14.4" x14ac:dyDescent="0.25">
      <c r="A144" s="2">
        <v>18</v>
      </c>
      <c r="B144" s="6" t="s">
        <v>30</v>
      </c>
      <c r="C144" s="2">
        <v>2022</v>
      </c>
      <c r="D144" s="2">
        <v>17027.6924570683</v>
      </c>
      <c r="E144" s="17">
        <v>27469.172930814399</v>
      </c>
      <c r="F144" s="30">
        <v>48670.400000000001</v>
      </c>
      <c r="G144" s="3">
        <f t="shared" si="92"/>
        <v>0.34985725321896471</v>
      </c>
      <c r="H144" s="2">
        <f t="shared" si="100"/>
        <v>-4.6945825304497077E-2</v>
      </c>
      <c r="I144" s="14">
        <v>0.28604079587366266</v>
      </c>
      <c r="J144" s="2">
        <f t="shared" si="101"/>
        <v>9.8419804879991482E-3</v>
      </c>
      <c r="K144">
        <f t="shared" si="95"/>
        <v>0.56439176441562833</v>
      </c>
      <c r="L144">
        <f t="shared" si="102"/>
        <v>-5.7772007856250994E-2</v>
      </c>
      <c r="M144" s="2">
        <v>1</v>
      </c>
      <c r="N144" s="2">
        <v>1</v>
      </c>
      <c r="O144" s="2">
        <v>0</v>
      </c>
      <c r="P144" s="4">
        <v>1</v>
      </c>
      <c r="Q144" s="40">
        <v>0.83605737927372503</v>
      </c>
      <c r="R144" s="40">
        <v>-0.23460410557184749</v>
      </c>
      <c r="S144" s="40">
        <v>-0.39348961969929708</v>
      </c>
      <c r="T144" s="40">
        <v>2.2000000000000002</v>
      </c>
      <c r="U144" s="40">
        <v>-0.21999999999999989</v>
      </c>
      <c r="V144" s="40">
        <v>-0.3</v>
      </c>
      <c r="W144" s="40">
        <v>-0.29504504504504497</v>
      </c>
      <c r="X144" s="40">
        <v>-0.21649484536082481</v>
      </c>
      <c r="Y144" s="40">
        <v>0.32369511244866517</v>
      </c>
      <c r="Z144" s="40">
        <v>-0.16859852476290824</v>
      </c>
      <c r="AA144" s="40">
        <v>-0.282179669971789</v>
      </c>
      <c r="AB144" s="40">
        <v>0.62857142857142867</v>
      </c>
      <c r="AC144" s="40">
        <v>-0.127906976744186</v>
      </c>
      <c r="AD144" s="40">
        <v>-0.24248275862068971</v>
      </c>
      <c r="AE144" s="40">
        <v>-0.31541899956222197</v>
      </c>
      <c r="AF144" s="40">
        <v>-0.25257731958762897</v>
      </c>
      <c r="AG144" s="40">
        <v>0.22</v>
      </c>
      <c r="AH144" s="40">
        <v>0.13500000000000001</v>
      </c>
      <c r="AI144" s="40">
        <v>0.18</v>
      </c>
      <c r="AJ144" s="40">
        <v>0.25</v>
      </c>
      <c r="AK144" s="40">
        <v>0.65</v>
      </c>
      <c r="AL144" s="40">
        <v>1.0999999999999999</v>
      </c>
      <c r="AM144" s="40">
        <v>1</v>
      </c>
      <c r="AN144" s="40">
        <v>1</v>
      </c>
      <c r="AO144" s="40">
        <v>1</v>
      </c>
      <c r="AP144" s="40">
        <v>1</v>
      </c>
      <c r="AQ144" s="40">
        <f t="shared" si="103"/>
        <v>1.0499999999999998</v>
      </c>
      <c r="AR144" s="40">
        <f t="shared" si="104"/>
        <v>1</v>
      </c>
      <c r="AS144" s="40">
        <f t="shared" si="105"/>
        <v>1</v>
      </c>
      <c r="AT144" s="40" cm="1">
        <f t="array" ref="AT144">_xlfn.IFS(AG144&gt;sheet2!$C$2,1,AG144=sheet2!$C$2,0,AG144&lt;sheet2!$C$2,-1)</f>
        <v>1</v>
      </c>
      <c r="AU144" s="40" cm="1">
        <f t="array" ref="AU144">_xlfn.IFS(AH144&gt;sheet2!$D$2,1,AH144=sheet2!$D$2,0,AH144&lt;sheet2!$D$2,-1)</f>
        <v>0</v>
      </c>
      <c r="AV144" s="40" cm="1">
        <f t="array" ref="AV144">_xlfn.IFS(AI144&gt;sheet2!$E$2,1,AI144=sheet2!$E$2,0,AI144&lt;sheet2!$E$2,-1)</f>
        <v>0</v>
      </c>
      <c r="AW144" s="40" cm="1">
        <f t="array" ref="AW144">_xlfn.IFS(AJ144&gt;sheet2!$F$2,1,AJ144=sheet2!$F$2,0,AJ144&lt;sheet2!$F$2,-1)</f>
        <v>0</v>
      </c>
      <c r="AX144" s="40" cm="1">
        <f t="array" ref="AX144">_xlfn.IFS(AK144&gt;sheet2!$G$2,1,AK144=sheet2!$G$2,0,AK144&lt;sheet2!$G$2,-1)</f>
        <v>0</v>
      </c>
      <c r="AY144">
        <v>0.3599682764061935</v>
      </c>
      <c r="AZ144">
        <v>0.60311932162325865</v>
      </c>
      <c r="BA144">
        <v>3.117505995203837E-2</v>
      </c>
      <c r="BB144">
        <v>1.7646729839902692E-2</v>
      </c>
      <c r="BC144">
        <v>0.34496158085148265</v>
      </c>
    </row>
    <row r="145" spans="1:55" ht="14.4" x14ac:dyDescent="0.25">
      <c r="A145" s="2">
        <v>18</v>
      </c>
      <c r="B145" s="6" t="s">
        <v>30</v>
      </c>
      <c r="C145" s="2">
        <v>2023</v>
      </c>
      <c r="D145" s="2">
        <v>16908.49860986882</v>
      </c>
      <c r="E145">
        <v>29851.388886879999</v>
      </c>
      <c r="F145" s="32">
        <v>50012.85</v>
      </c>
      <c r="G145" s="3">
        <f t="shared" si="92"/>
        <v>0.33808308484457139</v>
      </c>
      <c r="H145" s="2">
        <f t="shared" si="100"/>
        <v>-3.3654206868834698E-2</v>
      </c>
      <c r="I145" s="14"/>
      <c r="K145">
        <f t="shared" si="95"/>
        <v>0.59687438102167745</v>
      </c>
      <c r="L145">
        <f t="shared" si="102"/>
        <v>5.755331430054024E-2</v>
      </c>
      <c r="M145" s="2">
        <v>1</v>
      </c>
      <c r="N145" s="2">
        <v>1</v>
      </c>
      <c r="O145" s="2">
        <v>1</v>
      </c>
      <c r="P145" s="4">
        <v>1</v>
      </c>
      <c r="Q145" s="40">
        <v>0.83605737927372503</v>
      </c>
      <c r="R145" s="40">
        <v>-0.23460410557184749</v>
      </c>
      <c r="S145" s="40">
        <v>-0.39348961969929708</v>
      </c>
      <c r="T145" s="40">
        <v>2.2000000000000002</v>
      </c>
      <c r="U145" s="40">
        <v>-0.21999999999999989</v>
      </c>
      <c r="V145" s="40">
        <v>-0.3</v>
      </c>
      <c r="W145" s="40">
        <v>-0.29504504504504497</v>
      </c>
      <c r="X145" s="40">
        <v>-0.21649484536082481</v>
      </c>
      <c r="Y145" s="40">
        <v>0.32369511244866517</v>
      </c>
      <c r="Z145" s="40">
        <v>-0.16859852476290824</v>
      </c>
      <c r="AA145" s="40">
        <v>-0.282179669971789</v>
      </c>
      <c r="AB145" s="40">
        <v>0.62857142857142867</v>
      </c>
      <c r="AC145" s="40">
        <v>-0.127906976744186</v>
      </c>
      <c r="AD145" s="40">
        <v>-0.24248275862068971</v>
      </c>
      <c r="AE145" s="40">
        <v>-0.31541899956222197</v>
      </c>
      <c r="AF145" s="40">
        <v>-0.25257731958762897</v>
      </c>
      <c r="AG145" s="40">
        <v>0.22</v>
      </c>
      <c r="AH145" s="40">
        <v>0.13500000000000001</v>
      </c>
      <c r="AI145" s="40">
        <v>0.18</v>
      </c>
      <c r="AJ145" s="40">
        <v>0.25</v>
      </c>
      <c r="AK145" s="40">
        <v>0.65</v>
      </c>
      <c r="AL145" s="40">
        <v>1.0999999999999999</v>
      </c>
      <c r="AM145" s="40">
        <v>1</v>
      </c>
      <c r="AN145" s="40">
        <v>1</v>
      </c>
      <c r="AO145" s="40">
        <v>1</v>
      </c>
      <c r="AP145" s="40">
        <v>1</v>
      </c>
      <c r="AQ145" s="40">
        <f t="shared" si="103"/>
        <v>1.0499999999999998</v>
      </c>
      <c r="AR145" s="40">
        <f t="shared" si="104"/>
        <v>1</v>
      </c>
      <c r="AS145" s="40">
        <f t="shared" si="105"/>
        <v>1</v>
      </c>
      <c r="AT145" s="40" cm="1">
        <f t="array" ref="AT145">_xlfn.IFS(AG145&gt;sheet2!$C$2,1,AG145=sheet2!$C$2,0,AG145&lt;sheet2!$C$2,-1)</f>
        <v>1</v>
      </c>
      <c r="AU145" s="40" cm="1">
        <f t="array" ref="AU145">_xlfn.IFS(AH145&gt;sheet2!$D$2,1,AH145=sheet2!$D$2,0,AH145&lt;sheet2!$D$2,-1)</f>
        <v>0</v>
      </c>
      <c r="AV145" s="40" cm="1">
        <f t="array" ref="AV145">_xlfn.IFS(AI145&gt;sheet2!$E$2,1,AI145=sheet2!$E$2,0,AI145&lt;sheet2!$E$2,-1)</f>
        <v>0</v>
      </c>
      <c r="AW145" s="40" cm="1">
        <f t="array" ref="AW145">_xlfn.IFS(AJ145&gt;sheet2!$F$2,1,AJ145=sheet2!$F$2,0,AJ145&lt;sheet2!$F$2,-1)</f>
        <v>0</v>
      </c>
      <c r="AX145" s="40" cm="1">
        <f t="array" ref="AX145">_xlfn.IFS(AK145&gt;sheet2!$G$2,1,AK145=sheet2!$G$2,0,AK145&lt;sheet2!$G$2,-1)</f>
        <v>0</v>
      </c>
      <c r="AY145">
        <v>0.37268821912768418</v>
      </c>
      <c r="AZ145">
        <v>0.61160170523751523</v>
      </c>
      <c r="BA145">
        <v>3.1005117166109632E-2</v>
      </c>
      <c r="BB145">
        <v>1.8834827449345521E-2</v>
      </c>
      <c r="BC145">
        <v>0.35074291940816937</v>
      </c>
    </row>
    <row r="146" spans="1:55" s="40" customFormat="1" ht="14.4" x14ac:dyDescent="0.25">
      <c r="A146" s="35">
        <v>19</v>
      </c>
      <c r="B146" s="35" t="s">
        <v>31</v>
      </c>
      <c r="C146" s="35">
        <v>2016</v>
      </c>
      <c r="D146" s="35">
        <v>31211</v>
      </c>
      <c r="E146" s="36">
        <v>54885.088330800703</v>
      </c>
      <c r="F146" s="37">
        <v>80854.91</v>
      </c>
      <c r="G146" s="38">
        <f t="shared" si="92"/>
        <v>0.3860124264562288</v>
      </c>
      <c r="H146" s="35"/>
      <c r="I146" s="39">
        <v>0.14426044188759338</v>
      </c>
      <c r="J146" s="35"/>
      <c r="K146" s="40">
        <f t="shared" si="95"/>
        <v>0.67880959029947219</v>
      </c>
      <c r="M146" s="35">
        <v>0</v>
      </c>
      <c r="N146" s="35">
        <v>0</v>
      </c>
      <c r="O146" s="35">
        <v>0</v>
      </c>
      <c r="P146" s="41">
        <v>1</v>
      </c>
      <c r="Q146" s="40">
        <v>0.84380792330437038</v>
      </c>
      <c r="R146" s="40">
        <v>7.6246334310850442E-2</v>
      </c>
      <c r="S146" s="40">
        <v>-0.10699099287808959</v>
      </c>
      <c r="T146" s="40">
        <v>-2.6</v>
      </c>
      <c r="U146" s="40">
        <v>-0.6100000000000001</v>
      </c>
      <c r="V146" s="40">
        <v>1.954397394136808E-2</v>
      </c>
      <c r="W146" s="40">
        <v>-0.17234042553191489</v>
      </c>
      <c r="X146" s="40">
        <v>-7.9207920792079209E-2</v>
      </c>
      <c r="Y146" s="40">
        <v>0.35566807298823827</v>
      </c>
      <c r="Z146" s="40">
        <v>5.4794520547945189E-2</v>
      </c>
      <c r="AA146" s="40">
        <v>-7.6725487913416698E-2</v>
      </c>
      <c r="AB146" s="40">
        <v>-0.74285714285714288</v>
      </c>
      <c r="AC146" s="40">
        <v>-0.35465116279069775</v>
      </c>
      <c r="AD146" s="40">
        <v>1.5796922385712685E-2</v>
      </c>
      <c r="AE146" s="40">
        <v>-0.18424117102900364</v>
      </c>
      <c r="AF146" s="40">
        <v>-9.2409240924092417E-2</v>
      </c>
      <c r="AG146" s="40">
        <v>0.32</v>
      </c>
      <c r="AH146" s="40">
        <v>0.13500000000000001</v>
      </c>
      <c r="AI146" s="40">
        <v>0.18</v>
      </c>
      <c r="AJ146" s="40">
        <v>0.35</v>
      </c>
      <c r="AK146" s="40">
        <v>0.65</v>
      </c>
      <c r="AL146" s="40">
        <v>1.5999999999999999</v>
      </c>
      <c r="AM146" s="40">
        <v>1</v>
      </c>
      <c r="AN146" s="40">
        <v>1</v>
      </c>
      <c r="AO146" s="40">
        <v>1.4</v>
      </c>
      <c r="AP146" s="40">
        <v>1</v>
      </c>
      <c r="AQ146" s="40">
        <f t="shared" ref="AQ146:AQ210" si="106">AVERAGE(AL146,AO146)</f>
        <v>1.5</v>
      </c>
      <c r="AR146" s="40">
        <f t="shared" ref="AR146:AR210" si="107">AVERAGE(AM146)</f>
        <v>1</v>
      </c>
      <c r="AS146" s="40">
        <f t="shared" ref="AS146:AS210" si="108">AVERAGE(AN146,AP146)</f>
        <v>1</v>
      </c>
      <c r="AT146" s="40" cm="1">
        <f t="array" ref="AT146">_xlfn.IFS(AG146&gt;sheet2!$C$2,1,AG146=sheet2!$C$2,0,AG146&lt;sheet2!$C$2,-1)</f>
        <v>1</v>
      </c>
      <c r="AU146" s="40" cm="1">
        <f t="array" ref="AU146">_xlfn.IFS(AH146&gt;sheet2!$D$2,1,AH146=sheet2!$D$2,0,AH146&lt;sheet2!$D$2,-1)</f>
        <v>0</v>
      </c>
      <c r="AV146" s="40" cm="1">
        <f t="array" ref="AV146">_xlfn.IFS(AI146&gt;sheet2!$E$2,1,AI146=sheet2!$E$2,0,AI146&lt;sheet2!$E$2,-1)</f>
        <v>0</v>
      </c>
      <c r="AW146" s="40" cm="1">
        <f t="array" ref="AW146">_xlfn.IFS(AJ146&gt;sheet2!$F$2,1,AJ146=sheet2!$F$2,0,AJ146&lt;sheet2!$F$2,-1)</f>
        <v>1</v>
      </c>
      <c r="AX146" s="40" cm="1">
        <f t="array" ref="AX146">_xlfn.IFS(AK146&gt;sheet2!$G$2,1,AK146=sheet2!$G$2,0,AK146&lt;sheet2!$G$2,-1)</f>
        <v>0</v>
      </c>
      <c r="AY146" s="40">
        <v>0.43904816664813545</v>
      </c>
      <c r="AZ146" s="40">
        <v>0.70146120255290556</v>
      </c>
      <c r="BA146" s="40">
        <v>6.6282228258449483E-2</v>
      </c>
      <c r="BB146" s="40">
        <v>2.0731887525445268E-2</v>
      </c>
      <c r="BC146" s="40">
        <v>0.77274136942412253</v>
      </c>
    </row>
    <row r="147" spans="1:55" ht="14.4" x14ac:dyDescent="0.25">
      <c r="A147" s="2">
        <v>19</v>
      </c>
      <c r="B147" s="2" t="s">
        <v>31</v>
      </c>
      <c r="C147" s="2">
        <v>2017</v>
      </c>
      <c r="D147" s="2">
        <v>32309</v>
      </c>
      <c r="E147" s="17">
        <v>55038.518513972398</v>
      </c>
      <c r="F147" s="5">
        <v>89705.23</v>
      </c>
      <c r="G147" s="3">
        <f t="shared" si="92"/>
        <v>0.36016852083206297</v>
      </c>
      <c r="H147" s="2">
        <f t="shared" ref="H147:H153" si="109">(G147-G146)/G146</f>
        <v>-6.6950968033399186E-2</v>
      </c>
      <c r="I147" s="14">
        <v>0.39875837870081915</v>
      </c>
      <c r="J147" s="2">
        <f t="shared" ref="J147:J152" si="110">(I147-I146)/I146</f>
        <v>1.764156087997627</v>
      </c>
      <c r="K147">
        <f t="shared" si="95"/>
        <v>0.61354860261739919</v>
      </c>
      <c r="L147">
        <f t="shared" ref="L147:L153" si="111">(K147-K146)/K146</f>
        <v>-9.6140344235975866E-2</v>
      </c>
      <c r="M147" s="2">
        <v>0</v>
      </c>
      <c r="N147" s="2">
        <v>0</v>
      </c>
      <c r="O147" s="2">
        <v>0</v>
      </c>
      <c r="P147" s="4">
        <v>1</v>
      </c>
      <c r="Q147" s="40">
        <v>0.84380792330437038</v>
      </c>
      <c r="R147" s="40">
        <v>7.6246334310850442E-2</v>
      </c>
      <c r="S147" s="40">
        <v>-0.10699099287808959</v>
      </c>
      <c r="T147" s="40">
        <v>-2.6</v>
      </c>
      <c r="U147" s="40">
        <v>-0.6100000000000001</v>
      </c>
      <c r="V147" s="40">
        <v>1.954397394136808E-2</v>
      </c>
      <c r="W147" s="40">
        <v>-0.17234042553191489</v>
      </c>
      <c r="X147" s="40">
        <v>-7.9207920792079209E-2</v>
      </c>
      <c r="Y147" s="40">
        <v>0.35566807298823827</v>
      </c>
      <c r="Z147" s="40">
        <v>5.4794520547945189E-2</v>
      </c>
      <c r="AA147" s="40">
        <v>-7.6725487913416698E-2</v>
      </c>
      <c r="AB147" s="40">
        <v>-0.74285714285714288</v>
      </c>
      <c r="AC147" s="40">
        <v>-0.35465116279069775</v>
      </c>
      <c r="AD147" s="40">
        <v>1.5796922385712685E-2</v>
      </c>
      <c r="AE147" s="40">
        <v>-0.18424117102900364</v>
      </c>
      <c r="AF147" s="40">
        <v>-9.2409240924092417E-2</v>
      </c>
      <c r="AG147" s="40">
        <v>0.32</v>
      </c>
      <c r="AH147" s="40">
        <v>0.13500000000000001</v>
      </c>
      <c r="AI147" s="40">
        <v>0.18</v>
      </c>
      <c r="AJ147" s="40">
        <v>0.35</v>
      </c>
      <c r="AK147" s="40">
        <v>0.65</v>
      </c>
      <c r="AL147" s="40">
        <v>1.5999999999999999</v>
      </c>
      <c r="AM147" s="40">
        <v>1</v>
      </c>
      <c r="AN147" s="40">
        <v>1</v>
      </c>
      <c r="AO147" s="40">
        <v>1.4</v>
      </c>
      <c r="AP147" s="40">
        <v>1</v>
      </c>
      <c r="AQ147" s="40">
        <f t="shared" ref="AQ147:AQ153" si="112">AVERAGE(AL147,AO147)</f>
        <v>1.5</v>
      </c>
      <c r="AR147" s="40">
        <f t="shared" ref="AR147:AR153" si="113">AVERAGE(AM147)</f>
        <v>1</v>
      </c>
      <c r="AS147" s="40">
        <f t="shared" ref="AS147:AS153" si="114">AVERAGE(AN147,AP147)</f>
        <v>1</v>
      </c>
      <c r="AT147" s="40" cm="1">
        <f t="array" ref="AT147">_xlfn.IFS(AG147&gt;sheet2!$C$2,1,AG147=sheet2!$C$2,0,AG147&lt;sheet2!$C$2,-1)</f>
        <v>1</v>
      </c>
      <c r="AU147" s="40" cm="1">
        <f t="array" ref="AU147">_xlfn.IFS(AH147&gt;sheet2!$D$2,1,AH147=sheet2!$D$2,0,AH147&lt;sheet2!$D$2,-1)</f>
        <v>0</v>
      </c>
      <c r="AV147" s="40" cm="1">
        <f t="array" ref="AV147">_xlfn.IFS(AI147&gt;sheet2!$E$2,1,AI147=sheet2!$E$2,0,AI147&lt;sheet2!$E$2,-1)</f>
        <v>0</v>
      </c>
      <c r="AW147" s="40" cm="1">
        <f t="array" ref="AW147">_xlfn.IFS(AJ147&gt;sheet2!$F$2,1,AJ147=sheet2!$F$2,0,AJ147&lt;sheet2!$F$2,-1)</f>
        <v>1</v>
      </c>
      <c r="AX147" s="40" cm="1">
        <f t="array" ref="AX147">_xlfn.IFS(AK147&gt;sheet2!$G$2,1,AK147=sheet2!$G$2,0,AK147&lt;sheet2!$G$2,-1)</f>
        <v>0</v>
      </c>
      <c r="AY147">
        <v>0.42959145191423065</v>
      </c>
      <c r="AZ147">
        <v>0.70743760810476897</v>
      </c>
      <c r="BA147">
        <v>6.7579151266865561E-2</v>
      </c>
      <c r="BB147">
        <v>2.0790664044894595E-2</v>
      </c>
      <c r="BC147">
        <v>0.75280898129207829</v>
      </c>
    </row>
    <row r="148" spans="1:55" ht="14.4" x14ac:dyDescent="0.25">
      <c r="A148" s="2">
        <v>19</v>
      </c>
      <c r="B148" s="2" t="s">
        <v>31</v>
      </c>
      <c r="C148" s="2">
        <v>2018</v>
      </c>
      <c r="D148" s="2">
        <v>33330</v>
      </c>
      <c r="E148" s="17">
        <v>57161.077175009501</v>
      </c>
      <c r="F148" s="5">
        <v>97277.77</v>
      </c>
      <c r="G148" s="3">
        <f t="shared" si="92"/>
        <v>0.34262709764008775</v>
      </c>
      <c r="H148" s="2">
        <f t="shared" si="109"/>
        <v>-4.8703376828854832E-2</v>
      </c>
      <c r="I148" s="14">
        <v>0.40996497563597606</v>
      </c>
      <c r="J148" s="2">
        <f t="shared" si="110"/>
        <v>2.8103727805466393E-2</v>
      </c>
      <c r="K148">
        <f t="shared" si="95"/>
        <v>0.58760677979161635</v>
      </c>
      <c r="L148">
        <f t="shared" si="111"/>
        <v>-4.228161015299356E-2</v>
      </c>
      <c r="M148" s="2">
        <v>0</v>
      </c>
      <c r="N148" s="2">
        <v>0</v>
      </c>
      <c r="O148" s="2">
        <v>0</v>
      </c>
      <c r="P148" s="4">
        <v>1</v>
      </c>
      <c r="Q148" s="40">
        <v>0.84380792330437038</v>
      </c>
      <c r="R148" s="40">
        <v>7.6246334310850442E-2</v>
      </c>
      <c r="S148" s="40">
        <v>-0.10699099287808959</v>
      </c>
      <c r="T148" s="40">
        <v>-2.6</v>
      </c>
      <c r="U148" s="40">
        <v>-0.6100000000000001</v>
      </c>
      <c r="V148" s="40">
        <v>1.954397394136808E-2</v>
      </c>
      <c r="W148" s="40">
        <v>-0.17234042553191489</v>
      </c>
      <c r="X148" s="40">
        <v>-7.9207920792079209E-2</v>
      </c>
      <c r="Y148" s="40">
        <v>0.35566807298823827</v>
      </c>
      <c r="Z148" s="40">
        <v>5.4794520547945189E-2</v>
      </c>
      <c r="AA148" s="40">
        <v>-7.6725487913416698E-2</v>
      </c>
      <c r="AB148" s="40">
        <v>-0.74285714285714288</v>
      </c>
      <c r="AC148" s="40">
        <v>-0.35465116279069775</v>
      </c>
      <c r="AD148" s="40">
        <v>1.5796922385712685E-2</v>
      </c>
      <c r="AE148" s="40">
        <v>-0.18424117102900364</v>
      </c>
      <c r="AF148" s="40">
        <v>-9.2409240924092417E-2</v>
      </c>
      <c r="AG148" s="40">
        <v>0.32</v>
      </c>
      <c r="AH148" s="40">
        <v>0.13500000000000001</v>
      </c>
      <c r="AI148" s="40">
        <v>0.18</v>
      </c>
      <c r="AJ148" s="40">
        <v>0.35</v>
      </c>
      <c r="AK148" s="40">
        <v>0.65</v>
      </c>
      <c r="AL148" s="40">
        <v>1.5999999999999999</v>
      </c>
      <c r="AM148" s="40">
        <v>1</v>
      </c>
      <c r="AN148" s="40">
        <v>1</v>
      </c>
      <c r="AO148" s="40">
        <v>1.4</v>
      </c>
      <c r="AP148" s="40">
        <v>1</v>
      </c>
      <c r="AQ148" s="40">
        <f t="shared" si="112"/>
        <v>1.5</v>
      </c>
      <c r="AR148" s="40">
        <f t="shared" si="113"/>
        <v>1</v>
      </c>
      <c r="AS148" s="40">
        <f t="shared" si="114"/>
        <v>1</v>
      </c>
      <c r="AT148" s="40" cm="1">
        <f t="array" ref="AT148">_xlfn.IFS(AG148&gt;sheet2!$C$2,1,AG148=sheet2!$C$2,0,AG148&lt;sheet2!$C$2,-1)</f>
        <v>1</v>
      </c>
      <c r="AU148" s="40" cm="1">
        <f t="array" ref="AU148">_xlfn.IFS(AH148&gt;sheet2!$D$2,1,AH148=sheet2!$D$2,0,AH148&lt;sheet2!$D$2,-1)</f>
        <v>0</v>
      </c>
      <c r="AV148" s="40" cm="1">
        <f t="array" ref="AV148">_xlfn.IFS(AI148&gt;sheet2!$E$2,1,AI148=sheet2!$E$2,0,AI148&lt;sheet2!$E$2,-1)</f>
        <v>0</v>
      </c>
      <c r="AW148" s="40" cm="1">
        <f t="array" ref="AW148">_xlfn.IFS(AJ148&gt;sheet2!$F$2,1,AJ148=sheet2!$F$2,0,AJ148&lt;sheet2!$F$2,-1)</f>
        <v>1</v>
      </c>
      <c r="AX148" s="40" cm="1">
        <f t="array" ref="AX148">_xlfn.IFS(AK148&gt;sheet2!$G$2,1,AK148=sheet2!$G$2,0,AK148&lt;sheet2!$G$2,-1)</f>
        <v>0</v>
      </c>
      <c r="AY148">
        <v>0.42556999404900009</v>
      </c>
      <c r="AZ148">
        <v>0.71809199870424356</v>
      </c>
      <c r="BA148">
        <v>6.8731353252883293E-2</v>
      </c>
      <c r="BB148">
        <v>2.1661712639999869E-2</v>
      </c>
      <c r="BC148">
        <v>0.7696013671336096</v>
      </c>
    </row>
    <row r="149" spans="1:55" ht="14.4" x14ac:dyDescent="0.25">
      <c r="A149" s="2">
        <v>19</v>
      </c>
      <c r="B149" s="2" t="s">
        <v>31</v>
      </c>
      <c r="C149" s="2">
        <v>2019</v>
      </c>
      <c r="D149" s="2">
        <v>34142</v>
      </c>
      <c r="E149" s="17">
        <v>57872.811467760206</v>
      </c>
      <c r="F149" s="5">
        <v>107671.07</v>
      </c>
      <c r="G149" s="3">
        <f t="shared" si="92"/>
        <v>0.31709539061885422</v>
      </c>
      <c r="H149" s="2">
        <f t="shared" si="109"/>
        <v>-7.4517477447312949E-2</v>
      </c>
      <c r="I149" s="14">
        <v>0.4258596038764737</v>
      </c>
      <c r="J149" s="2">
        <f t="shared" si="110"/>
        <v>3.8770697950088071E-2</v>
      </c>
      <c r="K149">
        <f t="shared" si="95"/>
        <v>0.53749639032806307</v>
      </c>
      <c r="L149">
        <f t="shared" si="111"/>
        <v>-8.5278780277729241E-2</v>
      </c>
      <c r="M149" s="2">
        <v>0</v>
      </c>
      <c r="N149" s="2">
        <v>0</v>
      </c>
      <c r="O149" s="2">
        <v>0</v>
      </c>
      <c r="P149" s="4">
        <v>1</v>
      </c>
      <c r="Q149" s="40">
        <v>0.84380792330437038</v>
      </c>
      <c r="R149" s="40">
        <v>7.6246334310850442E-2</v>
      </c>
      <c r="S149" s="40">
        <v>-0.10699099287808959</v>
      </c>
      <c r="T149" s="40">
        <v>-2.6</v>
      </c>
      <c r="U149" s="40">
        <v>-0.6100000000000001</v>
      </c>
      <c r="V149" s="40">
        <v>1.954397394136808E-2</v>
      </c>
      <c r="W149" s="40">
        <v>-0.17234042553191489</v>
      </c>
      <c r="X149" s="40">
        <v>-7.9207920792079209E-2</v>
      </c>
      <c r="Y149" s="40">
        <v>0.35566807298823827</v>
      </c>
      <c r="Z149" s="40">
        <v>5.4794520547945189E-2</v>
      </c>
      <c r="AA149" s="40">
        <v>-7.6725487913416698E-2</v>
      </c>
      <c r="AB149" s="40">
        <v>-0.74285714285714288</v>
      </c>
      <c r="AC149" s="40">
        <v>-0.35465116279069775</v>
      </c>
      <c r="AD149" s="40">
        <v>1.5796922385712685E-2</v>
      </c>
      <c r="AE149" s="40">
        <v>-0.18424117102900364</v>
      </c>
      <c r="AF149" s="40">
        <v>-9.2409240924092417E-2</v>
      </c>
      <c r="AG149" s="40">
        <v>0.32</v>
      </c>
      <c r="AH149" s="40">
        <v>0.13500000000000001</v>
      </c>
      <c r="AI149" s="40">
        <v>0.18</v>
      </c>
      <c r="AJ149" s="40">
        <v>0.35</v>
      </c>
      <c r="AK149" s="40">
        <v>0.65</v>
      </c>
      <c r="AL149" s="40">
        <v>1.5999999999999999</v>
      </c>
      <c r="AM149" s="40">
        <v>1</v>
      </c>
      <c r="AN149" s="40">
        <v>1</v>
      </c>
      <c r="AO149" s="40">
        <v>1.4</v>
      </c>
      <c r="AP149" s="40">
        <v>1</v>
      </c>
      <c r="AQ149" s="40">
        <f t="shared" si="112"/>
        <v>1.5</v>
      </c>
      <c r="AR149" s="40">
        <f t="shared" si="113"/>
        <v>1</v>
      </c>
      <c r="AS149" s="40">
        <f t="shared" si="114"/>
        <v>1</v>
      </c>
      <c r="AT149" s="40" cm="1">
        <f t="array" ref="AT149">_xlfn.IFS(AG149&gt;sheet2!$C$2,1,AG149=sheet2!$C$2,0,AG149&lt;sheet2!$C$2,-1)</f>
        <v>1</v>
      </c>
      <c r="AU149" s="40" cm="1">
        <f t="array" ref="AU149">_xlfn.IFS(AH149&gt;sheet2!$D$2,1,AH149=sheet2!$D$2,0,AH149&lt;sheet2!$D$2,-1)</f>
        <v>0</v>
      </c>
      <c r="AV149" s="40" cm="1">
        <f t="array" ref="AV149">_xlfn.IFS(AI149&gt;sheet2!$E$2,1,AI149=sheet2!$E$2,0,AI149&lt;sheet2!$E$2,-1)</f>
        <v>0</v>
      </c>
      <c r="AW149" s="40" cm="1">
        <f t="array" ref="AW149">_xlfn.IFS(AJ149&gt;sheet2!$F$2,1,AJ149=sheet2!$F$2,0,AJ149&lt;sheet2!$F$2,-1)</f>
        <v>1</v>
      </c>
      <c r="AX149" s="40" cm="1">
        <f t="array" ref="AX149">_xlfn.IFS(AK149&gt;sheet2!$G$2,1,AK149=sheet2!$G$2,0,AK149&lt;sheet2!$G$2,-1)</f>
        <v>0</v>
      </c>
      <c r="AY149">
        <v>0.40427386855169167</v>
      </c>
      <c r="AZ149">
        <v>0.7264793017855713</v>
      </c>
      <c r="BA149">
        <v>6.951618648973594E-2</v>
      </c>
      <c r="BB149">
        <v>2.1499336822788144E-2</v>
      </c>
      <c r="BC149">
        <v>0.73156663978471326</v>
      </c>
    </row>
    <row r="150" spans="1:55" ht="14.4" x14ac:dyDescent="0.25">
      <c r="A150" s="2">
        <v>19</v>
      </c>
      <c r="B150" s="2" t="s">
        <v>31</v>
      </c>
      <c r="C150" s="2">
        <v>2020</v>
      </c>
      <c r="D150" s="2">
        <v>34502.9190924184</v>
      </c>
      <c r="E150" s="17">
        <v>60045.599740644298</v>
      </c>
      <c r="F150" s="5">
        <v>110760.94</v>
      </c>
      <c r="G150" s="3">
        <f t="shared" si="92"/>
        <v>0.31150800175963117</v>
      </c>
      <c r="H150" s="2">
        <f t="shared" si="109"/>
        <v>-1.7620530050337577E-2</v>
      </c>
      <c r="I150" s="14">
        <v>0.44027967295935772</v>
      </c>
      <c r="J150" s="2">
        <f t="shared" si="110"/>
        <v>3.3861086967682308E-2</v>
      </c>
      <c r="K150">
        <f t="shared" si="95"/>
        <v>0.54211890708623722</v>
      </c>
      <c r="L150">
        <f t="shared" si="111"/>
        <v>8.6000889333466661E-3</v>
      </c>
      <c r="M150" s="2">
        <v>0</v>
      </c>
      <c r="N150" s="2">
        <v>0</v>
      </c>
      <c r="O150" s="2">
        <v>0</v>
      </c>
      <c r="P150" s="4">
        <v>1</v>
      </c>
      <c r="Q150" s="40">
        <v>0.84380792330437038</v>
      </c>
      <c r="R150" s="40">
        <v>7.6246334310850442E-2</v>
      </c>
      <c r="S150" s="40">
        <v>-0.10699099287808959</v>
      </c>
      <c r="T150" s="40">
        <v>-2.6</v>
      </c>
      <c r="U150" s="40">
        <v>-0.6100000000000001</v>
      </c>
      <c r="V150" s="40">
        <v>1.954397394136808E-2</v>
      </c>
      <c r="W150" s="40">
        <v>-0.17234042553191489</v>
      </c>
      <c r="X150" s="40">
        <v>-7.9207920792079209E-2</v>
      </c>
      <c r="Y150" s="40">
        <v>0.35566807298823827</v>
      </c>
      <c r="Z150" s="40">
        <v>5.4794520547945189E-2</v>
      </c>
      <c r="AA150" s="40">
        <v>-7.6725487913416698E-2</v>
      </c>
      <c r="AB150" s="40">
        <v>-0.74285714285714288</v>
      </c>
      <c r="AC150" s="40">
        <v>-0.35465116279069775</v>
      </c>
      <c r="AD150" s="40">
        <v>1.5796922385712685E-2</v>
      </c>
      <c r="AE150" s="40">
        <v>-0.18424117102900364</v>
      </c>
      <c r="AF150" s="40">
        <v>-9.2409240924092417E-2</v>
      </c>
      <c r="AG150" s="40">
        <v>0.32</v>
      </c>
      <c r="AH150" s="40">
        <v>0.13500000000000001</v>
      </c>
      <c r="AI150" s="40">
        <v>0.18</v>
      </c>
      <c r="AJ150" s="40">
        <v>0.35</v>
      </c>
      <c r="AK150" s="40">
        <v>0.65</v>
      </c>
      <c r="AL150" s="40">
        <v>1.5999999999999999</v>
      </c>
      <c r="AM150" s="40">
        <v>1</v>
      </c>
      <c r="AN150" s="40">
        <v>1</v>
      </c>
      <c r="AO150" s="40">
        <v>1.4</v>
      </c>
      <c r="AP150" s="40">
        <v>1</v>
      </c>
      <c r="AQ150" s="40">
        <f t="shared" si="112"/>
        <v>1.5</v>
      </c>
      <c r="AR150" s="40">
        <f t="shared" si="113"/>
        <v>1</v>
      </c>
      <c r="AS150" s="40">
        <f t="shared" si="114"/>
        <v>1</v>
      </c>
      <c r="AT150" s="40" cm="1">
        <f t="array" ref="AT150">_xlfn.IFS(AG150&gt;sheet2!$C$2,1,AG150=sheet2!$C$2,0,AG150&lt;sheet2!$C$2,-1)</f>
        <v>1</v>
      </c>
      <c r="AU150" s="40" cm="1">
        <f t="array" ref="AU150">_xlfn.IFS(AH150&gt;sheet2!$D$2,1,AH150=sheet2!$D$2,0,AH150&lt;sheet2!$D$2,-1)</f>
        <v>0</v>
      </c>
      <c r="AV150" s="40" cm="1">
        <f t="array" ref="AV150">_xlfn.IFS(AI150&gt;sheet2!$E$2,1,AI150=sheet2!$E$2,0,AI150&lt;sheet2!$E$2,-1)</f>
        <v>0</v>
      </c>
      <c r="AW150" s="40" cm="1">
        <f t="array" ref="AW150">_xlfn.IFS(AJ150&gt;sheet2!$F$2,1,AJ150=sheet2!$F$2,0,AJ150&lt;sheet2!$F$2,-1)</f>
        <v>1</v>
      </c>
      <c r="AX150" s="40" cm="1">
        <f t="array" ref="AX150">_xlfn.IFS(AK150&gt;sheet2!$G$2,1,AK150=sheet2!$G$2,0,AK150&lt;sheet2!$G$2,-1)</f>
        <v>0</v>
      </c>
      <c r="AY150">
        <v>0.39505262414710457</v>
      </c>
      <c r="AZ150">
        <v>0.74152408111533585</v>
      </c>
      <c r="BA150">
        <v>7.0267622567573587E-2</v>
      </c>
      <c r="BB150">
        <v>2.2570706785262025E-2</v>
      </c>
      <c r="BC150">
        <v>0.7414379956387519</v>
      </c>
    </row>
    <row r="151" spans="1:55" ht="14.4" x14ac:dyDescent="0.25">
      <c r="A151" s="2">
        <v>19</v>
      </c>
      <c r="B151" s="2" t="s">
        <v>31</v>
      </c>
      <c r="C151" s="2">
        <v>2021</v>
      </c>
      <c r="D151" s="2">
        <v>36821.421263704702</v>
      </c>
      <c r="E151" s="17">
        <v>64068.859570601293</v>
      </c>
      <c r="F151" s="30">
        <v>124369.6716</v>
      </c>
      <c r="G151" s="3">
        <f t="shared" si="92"/>
        <v>0.29606431206259376</v>
      </c>
      <c r="H151" s="2">
        <f t="shared" si="109"/>
        <v>-4.9577184566045977E-2</v>
      </c>
      <c r="I151" s="14">
        <v>0.65990884751568935</v>
      </c>
      <c r="J151" s="2">
        <f t="shared" si="110"/>
        <v>0.49884014194905979</v>
      </c>
      <c r="K151">
        <f t="shared" si="95"/>
        <v>0.51514857880031018</v>
      </c>
      <c r="L151">
        <f t="shared" si="111"/>
        <v>-4.9749838888457659E-2</v>
      </c>
      <c r="M151" s="2">
        <v>0</v>
      </c>
      <c r="N151" s="2">
        <v>0</v>
      </c>
      <c r="O151" s="2">
        <v>0</v>
      </c>
      <c r="P151" s="4">
        <v>1</v>
      </c>
      <c r="Q151" s="40">
        <v>0.84380792330437038</v>
      </c>
      <c r="R151" s="40">
        <v>7.6246334310850442E-2</v>
      </c>
      <c r="S151" s="40">
        <v>-0.10699099287808959</v>
      </c>
      <c r="T151" s="40">
        <v>-2.6</v>
      </c>
      <c r="U151" s="40">
        <v>-0.6100000000000001</v>
      </c>
      <c r="V151" s="40">
        <v>1.954397394136808E-2</v>
      </c>
      <c r="W151" s="40">
        <v>-0.17234042553191489</v>
      </c>
      <c r="X151" s="40">
        <v>-7.9207920792079209E-2</v>
      </c>
      <c r="Y151" s="40">
        <v>0.35566807298823827</v>
      </c>
      <c r="Z151" s="40">
        <v>5.4794520547945189E-2</v>
      </c>
      <c r="AA151" s="40">
        <v>-7.6725487913416698E-2</v>
      </c>
      <c r="AB151" s="40">
        <v>-0.74285714285714288</v>
      </c>
      <c r="AC151" s="40">
        <v>-0.35465116279069775</v>
      </c>
      <c r="AD151" s="40">
        <v>1.5796922385712685E-2</v>
      </c>
      <c r="AE151" s="40">
        <v>-0.18424117102900364</v>
      </c>
      <c r="AF151" s="40">
        <v>-9.2409240924092417E-2</v>
      </c>
      <c r="AG151" s="40">
        <v>0.32</v>
      </c>
      <c r="AH151" s="40">
        <v>0.13500000000000001</v>
      </c>
      <c r="AI151" s="40">
        <v>0.18</v>
      </c>
      <c r="AJ151" s="40">
        <v>0.35</v>
      </c>
      <c r="AK151" s="40">
        <v>0.65</v>
      </c>
      <c r="AL151" s="40">
        <v>1.5999999999999999</v>
      </c>
      <c r="AM151" s="40">
        <v>1</v>
      </c>
      <c r="AN151" s="40">
        <v>1</v>
      </c>
      <c r="AO151" s="40">
        <v>1.4</v>
      </c>
      <c r="AP151" s="40">
        <v>1</v>
      </c>
      <c r="AQ151" s="40">
        <f t="shared" si="112"/>
        <v>1.5</v>
      </c>
      <c r="AR151" s="40">
        <f t="shared" si="113"/>
        <v>1</v>
      </c>
      <c r="AS151" s="40">
        <f t="shared" si="114"/>
        <v>1</v>
      </c>
      <c r="AT151" s="40" cm="1">
        <f t="array" ref="AT151">_xlfn.IFS(AG151&gt;sheet2!$C$2,1,AG151=sheet2!$C$2,0,AG151&lt;sheet2!$C$2,-1)</f>
        <v>1</v>
      </c>
      <c r="AU151" s="40" cm="1">
        <f t="array" ref="AU151">_xlfn.IFS(AH151&gt;sheet2!$D$2,1,AH151=sheet2!$D$2,0,AH151&lt;sheet2!$D$2,-1)</f>
        <v>0</v>
      </c>
      <c r="AV151" s="40" cm="1">
        <f t="array" ref="AV151">_xlfn.IFS(AI151&gt;sheet2!$E$2,1,AI151=sheet2!$E$2,0,AI151&lt;sheet2!$E$2,-1)</f>
        <v>0</v>
      </c>
      <c r="AW151" s="40" cm="1">
        <f t="array" ref="AW151">_xlfn.IFS(AJ151&gt;sheet2!$F$2,1,AJ151=sheet2!$F$2,0,AJ151&lt;sheet2!$F$2,-1)</f>
        <v>1</v>
      </c>
      <c r="AX151" s="40" cm="1">
        <f t="array" ref="AX151">_xlfn.IFS(AK151&gt;sheet2!$G$2,1,AK151=sheet2!$G$2,0,AK151&lt;sheet2!$G$2,-1)</f>
        <v>0</v>
      </c>
      <c r="AY151">
        <v>0.40184394922853522</v>
      </c>
      <c r="AZ151">
        <v>0.7462945443077893</v>
      </c>
      <c r="BA151">
        <v>7.0601594157723643E-2</v>
      </c>
      <c r="BB151">
        <v>2.3335149660393573E-2</v>
      </c>
      <c r="BC151">
        <v>0.77300554995037551</v>
      </c>
    </row>
    <row r="152" spans="1:55" ht="14.4" x14ac:dyDescent="0.25">
      <c r="A152" s="2">
        <v>19</v>
      </c>
      <c r="B152" s="2" t="s">
        <v>31</v>
      </c>
      <c r="C152" s="2">
        <v>2022</v>
      </c>
      <c r="D152" s="2">
        <v>36519.053693906098</v>
      </c>
      <c r="E152" s="17">
        <v>63419.757784741603</v>
      </c>
      <c r="F152" s="30">
        <v>129118.6</v>
      </c>
      <c r="G152" s="3">
        <f t="shared" si="92"/>
        <v>0.28283340815270686</v>
      </c>
      <c r="H152" s="2">
        <f t="shared" si="109"/>
        <v>-4.4689290031990188E-2</v>
      </c>
      <c r="I152" s="14">
        <v>0.49528332887997656</v>
      </c>
      <c r="J152" s="2">
        <f t="shared" si="110"/>
        <v>-0.2494670578451349</v>
      </c>
      <c r="K152">
        <f t="shared" si="95"/>
        <v>0.49117445344622385</v>
      </c>
      <c r="L152">
        <f t="shared" si="111"/>
        <v>-4.6538273307320036E-2</v>
      </c>
      <c r="M152" s="2">
        <v>1</v>
      </c>
      <c r="N152" s="2">
        <v>1</v>
      </c>
      <c r="O152" s="2">
        <v>0</v>
      </c>
      <c r="P152" s="4">
        <v>1</v>
      </c>
      <c r="Q152" s="40">
        <v>0.84380792330437038</v>
      </c>
      <c r="R152" s="40">
        <v>7.6246334310850442E-2</v>
      </c>
      <c r="S152" s="40">
        <v>-0.10699099287808959</v>
      </c>
      <c r="T152" s="40">
        <v>-2.6</v>
      </c>
      <c r="U152" s="40">
        <v>-0.6100000000000001</v>
      </c>
      <c r="V152" s="40">
        <v>1.954397394136808E-2</v>
      </c>
      <c r="W152" s="40">
        <v>-0.17234042553191489</v>
      </c>
      <c r="X152" s="40">
        <v>-7.9207920792079209E-2</v>
      </c>
      <c r="Y152" s="40">
        <v>0.35566807298823827</v>
      </c>
      <c r="Z152" s="40">
        <v>5.4794520547945189E-2</v>
      </c>
      <c r="AA152" s="40">
        <v>-7.6725487913416698E-2</v>
      </c>
      <c r="AB152" s="40">
        <v>-0.74285714285714288</v>
      </c>
      <c r="AC152" s="40">
        <v>-0.35465116279069775</v>
      </c>
      <c r="AD152" s="40">
        <v>1.5796922385712685E-2</v>
      </c>
      <c r="AE152" s="40">
        <v>-0.18424117102900364</v>
      </c>
      <c r="AF152" s="40">
        <v>-9.2409240924092417E-2</v>
      </c>
      <c r="AG152" s="40">
        <v>0.32</v>
      </c>
      <c r="AH152" s="40">
        <v>0.13500000000000001</v>
      </c>
      <c r="AI152" s="40">
        <v>0.18</v>
      </c>
      <c r="AJ152" s="40">
        <v>0.35</v>
      </c>
      <c r="AK152" s="40">
        <v>0.65</v>
      </c>
      <c r="AL152" s="40">
        <v>1.5999999999999999</v>
      </c>
      <c r="AM152" s="40">
        <v>1</v>
      </c>
      <c r="AN152" s="40">
        <v>1</v>
      </c>
      <c r="AO152" s="40">
        <v>1.4</v>
      </c>
      <c r="AP152" s="40">
        <v>1</v>
      </c>
      <c r="AQ152" s="40">
        <f t="shared" si="112"/>
        <v>1.5</v>
      </c>
      <c r="AR152" s="40">
        <f t="shared" si="113"/>
        <v>1</v>
      </c>
      <c r="AS152" s="40">
        <f t="shared" si="114"/>
        <v>1</v>
      </c>
      <c r="AT152" s="40" cm="1">
        <f t="array" ref="AT152">_xlfn.IFS(AG152&gt;sheet2!$C$2,1,AG152=sheet2!$C$2,0,AG152&lt;sheet2!$C$2,-1)</f>
        <v>1</v>
      </c>
      <c r="AU152" s="40" cm="1">
        <f t="array" ref="AU152">_xlfn.IFS(AH152&gt;sheet2!$D$2,1,AH152=sheet2!$D$2,0,AH152&lt;sheet2!$D$2,-1)</f>
        <v>0</v>
      </c>
      <c r="AV152" s="40" cm="1">
        <f t="array" ref="AV152">_xlfn.IFS(AI152&gt;sheet2!$E$2,1,AI152=sheet2!$E$2,0,AI152&lt;sheet2!$E$2,-1)</f>
        <v>0</v>
      </c>
      <c r="AW152" s="40" cm="1">
        <f t="array" ref="AW152">_xlfn.IFS(AJ152&gt;sheet2!$F$2,1,AJ152=sheet2!$F$2,0,AJ152&lt;sheet2!$F$2,-1)</f>
        <v>1</v>
      </c>
      <c r="AX152" s="40" cm="1">
        <f t="array" ref="AX152">_xlfn.IFS(AK152&gt;sheet2!$G$2,1,AK152=sheet2!$G$2,0,AK152&lt;sheet2!$G$2,-1)</f>
        <v>0</v>
      </c>
      <c r="AY152">
        <v>0.39762977603536592</v>
      </c>
      <c r="AZ152">
        <v>0.74780753733112115</v>
      </c>
      <c r="BA152">
        <v>7.0451306942156122E-2</v>
      </c>
      <c r="BB152">
        <v>2.4920923863796539E-2</v>
      </c>
      <c r="BC152">
        <v>0.71552488846969842</v>
      </c>
    </row>
    <row r="153" spans="1:55" ht="14.4" x14ac:dyDescent="0.25">
      <c r="A153" s="2">
        <v>19</v>
      </c>
      <c r="B153" s="2" t="s">
        <v>31</v>
      </c>
      <c r="C153" s="2">
        <v>2023</v>
      </c>
      <c r="D153" s="2">
        <v>40834.450108736797</v>
      </c>
      <c r="E153">
        <v>69072.254584823997</v>
      </c>
      <c r="F153" s="32">
        <v>135673.16</v>
      </c>
      <c r="G153" s="3">
        <f t="shared" si="92"/>
        <v>0.30097662727643992</v>
      </c>
      <c r="H153" s="2">
        <f t="shared" si="109"/>
        <v>6.4148076573532706E-2</v>
      </c>
      <c r="I153" s="14"/>
      <c r="K153">
        <f t="shared" si="95"/>
        <v>0.50910773055498959</v>
      </c>
      <c r="L153">
        <f t="shared" si="111"/>
        <v>3.6511013516563447E-2</v>
      </c>
      <c r="M153" s="2">
        <v>1</v>
      </c>
      <c r="N153" s="2">
        <v>1</v>
      </c>
      <c r="O153" s="2">
        <v>1</v>
      </c>
      <c r="P153" s="4">
        <v>1</v>
      </c>
      <c r="Q153" s="40">
        <v>0.84380792330437038</v>
      </c>
      <c r="R153" s="40">
        <v>7.6246334310850442E-2</v>
      </c>
      <c r="S153" s="40">
        <v>-0.10699099287808959</v>
      </c>
      <c r="T153" s="40">
        <v>-2.6</v>
      </c>
      <c r="U153" s="40">
        <v>-0.6100000000000001</v>
      </c>
      <c r="V153" s="40">
        <v>1.954397394136808E-2</v>
      </c>
      <c r="W153" s="40">
        <v>-0.17234042553191489</v>
      </c>
      <c r="X153" s="40">
        <v>-7.9207920792079209E-2</v>
      </c>
      <c r="Y153" s="40">
        <v>0.35566807298823827</v>
      </c>
      <c r="Z153" s="40">
        <v>5.4794520547945189E-2</v>
      </c>
      <c r="AA153" s="40">
        <v>-7.6725487913416698E-2</v>
      </c>
      <c r="AB153" s="40">
        <v>-0.74285714285714288</v>
      </c>
      <c r="AC153" s="40">
        <v>-0.35465116279069775</v>
      </c>
      <c r="AD153" s="40">
        <v>1.5796922385712685E-2</v>
      </c>
      <c r="AE153" s="40">
        <v>-0.18424117102900364</v>
      </c>
      <c r="AF153" s="40">
        <v>-9.2409240924092417E-2</v>
      </c>
      <c r="AG153" s="40">
        <v>0.32</v>
      </c>
      <c r="AH153" s="40">
        <v>0.13500000000000001</v>
      </c>
      <c r="AI153" s="40">
        <v>0.18</v>
      </c>
      <c r="AJ153" s="40">
        <v>0.35</v>
      </c>
      <c r="AK153" s="40">
        <v>0.65</v>
      </c>
      <c r="AL153" s="40">
        <v>1.5999999999999999</v>
      </c>
      <c r="AM153" s="40">
        <v>1</v>
      </c>
      <c r="AN153" s="40">
        <v>1</v>
      </c>
      <c r="AO153" s="40">
        <v>1.4</v>
      </c>
      <c r="AP153" s="40">
        <v>1</v>
      </c>
      <c r="AQ153" s="40">
        <f t="shared" si="112"/>
        <v>1.5</v>
      </c>
      <c r="AR153" s="40">
        <f t="shared" si="113"/>
        <v>1</v>
      </c>
      <c r="AS153" s="40">
        <f t="shared" si="114"/>
        <v>1</v>
      </c>
      <c r="AT153" s="40" cm="1">
        <f t="array" ref="AT153">_xlfn.IFS(AG153&gt;sheet2!$C$2,1,AG153=sheet2!$C$2,0,AG153&lt;sheet2!$C$2,-1)</f>
        <v>1</v>
      </c>
      <c r="AU153" s="40" cm="1">
        <f t="array" ref="AU153">_xlfn.IFS(AH153&gt;sheet2!$D$2,1,AH153=sheet2!$D$2,0,AH153&lt;sheet2!$D$2,-1)</f>
        <v>0</v>
      </c>
      <c r="AV153" s="40" cm="1">
        <f t="array" ref="AV153">_xlfn.IFS(AI153&gt;sheet2!$E$2,1,AI153=sheet2!$E$2,0,AI153&lt;sheet2!$E$2,-1)</f>
        <v>0</v>
      </c>
      <c r="AW153" s="40" cm="1">
        <f t="array" ref="AW153">_xlfn.IFS(AJ153&gt;sheet2!$F$2,1,AJ153=sheet2!$F$2,0,AJ153&lt;sheet2!$F$2,-1)</f>
        <v>1</v>
      </c>
      <c r="AX153" s="40" cm="1">
        <f t="array" ref="AX153">_xlfn.IFS(AK153&gt;sheet2!$G$2,1,AK153=sheet2!$G$2,0,AK153&lt;sheet2!$G$2,-1)</f>
        <v>0</v>
      </c>
      <c r="AY153">
        <v>0.38828239867045183</v>
      </c>
      <c r="AZ153">
        <v>0.75421060916102634</v>
      </c>
      <c r="BA153">
        <v>7.0724050407445338E-2</v>
      </c>
      <c r="BB153">
        <v>2.5256555533902211E-2</v>
      </c>
      <c r="BC153">
        <v>0.74759850877339762</v>
      </c>
    </row>
    <row r="154" spans="1:55" s="40" customFormat="1" ht="14.4" x14ac:dyDescent="0.25">
      <c r="A154" s="35">
        <v>20</v>
      </c>
      <c r="B154" s="35" t="s">
        <v>32</v>
      </c>
      <c r="C154" s="35">
        <v>2016</v>
      </c>
      <c r="D154" s="35">
        <v>10110</v>
      </c>
      <c r="E154" s="36">
        <v>30944.612563307797</v>
      </c>
      <c r="F154" s="37">
        <v>18317.64</v>
      </c>
      <c r="G154" s="38">
        <f t="shared" si="92"/>
        <v>0.55192699496223319</v>
      </c>
      <c r="H154" s="35"/>
      <c r="I154" s="39">
        <v>0.29430757633090859</v>
      </c>
      <c r="J154" s="35"/>
      <c r="K154" s="40">
        <f t="shared" si="95"/>
        <v>1.6893340279265123</v>
      </c>
      <c r="M154" s="35">
        <v>0</v>
      </c>
      <c r="N154" s="35">
        <v>0</v>
      </c>
      <c r="O154" s="35">
        <v>0</v>
      </c>
      <c r="P154" s="41">
        <v>1</v>
      </c>
      <c r="Q154" s="40">
        <v>0.9097529483680501</v>
      </c>
      <c r="R154" s="40">
        <v>0.64662756598240467</v>
      </c>
      <c r="S154" s="40">
        <v>0.31496532141693429</v>
      </c>
      <c r="T154" s="40">
        <v>3.3</v>
      </c>
      <c r="U154" s="40">
        <v>1.06</v>
      </c>
      <c r="V154" s="40">
        <v>0.6238670694864048</v>
      </c>
      <c r="W154" s="40">
        <v>0.41891891891891891</v>
      </c>
      <c r="X154" s="40">
        <v>0.2560386473429952</v>
      </c>
      <c r="Y154" s="40">
        <v>0.62770803248081453</v>
      </c>
      <c r="Z154" s="40">
        <v>0.46469968387776589</v>
      </c>
      <c r="AA154" s="40">
        <v>0.22586824658273885</v>
      </c>
      <c r="AB154" s="40">
        <v>0.94285714285714284</v>
      </c>
      <c r="AC154" s="40">
        <v>0.61627906976744196</v>
      </c>
      <c r="AD154" s="40">
        <v>0.50425669340556323</v>
      </c>
      <c r="AE154" s="40">
        <v>0.44784682380590307</v>
      </c>
      <c r="AF154" s="40">
        <v>0.29871175523349441</v>
      </c>
      <c r="AG154" s="40">
        <v>0.3</v>
      </c>
      <c r="AH154" s="40">
        <v>0.13500000000000001</v>
      </c>
      <c r="AI154" s="40">
        <v>0.18</v>
      </c>
      <c r="AJ154" s="40">
        <v>0.35</v>
      </c>
      <c r="AK154" s="40">
        <v>0.65</v>
      </c>
      <c r="AL154" s="40">
        <v>1.4999999999999998</v>
      </c>
      <c r="AM154" s="40">
        <v>1</v>
      </c>
      <c r="AN154" s="40">
        <v>1</v>
      </c>
      <c r="AO154" s="40">
        <v>1.4</v>
      </c>
      <c r="AP154" s="40">
        <v>1</v>
      </c>
      <c r="AQ154" s="40">
        <f t="shared" si="106"/>
        <v>1.4499999999999997</v>
      </c>
      <c r="AR154" s="40">
        <f t="shared" si="107"/>
        <v>1</v>
      </c>
      <c r="AS154" s="40">
        <f t="shared" si="108"/>
        <v>1</v>
      </c>
      <c r="AT154" s="40" cm="1">
        <f t="array" ref="AT154">_xlfn.IFS(AG154&gt;sheet2!$C$2,1,AG154=sheet2!$C$2,0,AG154&lt;sheet2!$C$2,-1)</f>
        <v>1</v>
      </c>
      <c r="AU154" s="40" cm="1">
        <f t="array" ref="AU154">_xlfn.IFS(AH154&gt;sheet2!$D$2,1,AH154=sheet2!$D$2,0,AH154&lt;sheet2!$D$2,-1)</f>
        <v>0</v>
      </c>
      <c r="AV154" s="40" cm="1">
        <f t="array" ref="AV154">_xlfn.IFS(AI154&gt;sheet2!$E$2,1,AI154=sheet2!$E$2,0,AI154&lt;sheet2!$E$2,-1)</f>
        <v>0</v>
      </c>
      <c r="AW154" s="40" cm="1">
        <f t="array" ref="AW154">_xlfn.IFS(AJ154&gt;sheet2!$F$2,1,AJ154=sheet2!$F$2,0,AJ154&lt;sheet2!$F$2,-1)</f>
        <v>1</v>
      </c>
      <c r="AX154" s="40" cm="1">
        <f t="array" ref="AX154">_xlfn.IFS(AK154&gt;sheet2!$G$2,1,AK154=sheet2!$G$2,0,AK154&lt;sheet2!$G$2,-1)</f>
        <v>0</v>
      </c>
      <c r="AY154" s="40">
        <v>0.30686267444932863</v>
      </c>
      <c r="AZ154" s="40">
        <v>0.49248507309038503</v>
      </c>
      <c r="BA154" s="40">
        <v>2.0441402994873868E-2</v>
      </c>
      <c r="BB154" s="40">
        <v>4.516127623427472E-3</v>
      </c>
      <c r="BC154" s="40">
        <v>0.35037710786410609</v>
      </c>
    </row>
    <row r="155" spans="1:55" ht="14.4" x14ac:dyDescent="0.25">
      <c r="A155" s="2">
        <v>20</v>
      </c>
      <c r="B155" s="2" t="s">
        <v>32</v>
      </c>
      <c r="C155" s="2">
        <v>2017</v>
      </c>
      <c r="D155" s="2">
        <v>10456</v>
      </c>
      <c r="E155" s="17">
        <v>31265.272292841702</v>
      </c>
      <c r="F155" s="5">
        <v>18523.259999999998</v>
      </c>
      <c r="G155" s="3">
        <f t="shared" si="92"/>
        <v>0.56447947067632809</v>
      </c>
      <c r="H155" s="2">
        <f t="shared" ref="H155:H161" si="115">(G155-G154)/G154</f>
        <v>2.2743000122604679E-2</v>
      </c>
      <c r="I155" s="14">
        <v>0.31843667504174833</v>
      </c>
      <c r="J155" s="2">
        <f t="shared" ref="J155:J160" si="116">(I155-I154)/I154</f>
        <v>8.1985992381350958E-2</v>
      </c>
      <c r="K155">
        <f t="shared" si="95"/>
        <v>1.6878925358085837</v>
      </c>
      <c r="L155">
        <f t="shared" ref="L155:L161" si="117">(K155-K154)/K154</f>
        <v>-8.5329016884715342E-4</v>
      </c>
      <c r="M155" s="2">
        <v>0</v>
      </c>
      <c r="N155" s="2">
        <v>0</v>
      </c>
      <c r="O155" s="2">
        <v>0</v>
      </c>
      <c r="P155" s="4">
        <v>1</v>
      </c>
      <c r="Q155" s="40">
        <v>0.9097529483680501</v>
      </c>
      <c r="R155" s="40">
        <v>0.64662756598240467</v>
      </c>
      <c r="S155" s="40">
        <v>0.31496532141693429</v>
      </c>
      <c r="T155" s="40">
        <v>3.3</v>
      </c>
      <c r="U155" s="40">
        <v>1.06</v>
      </c>
      <c r="V155" s="40">
        <v>0.6238670694864048</v>
      </c>
      <c r="W155" s="40">
        <v>0.41891891891891891</v>
      </c>
      <c r="X155" s="40">
        <v>0.2560386473429952</v>
      </c>
      <c r="Y155" s="40">
        <v>0.62770803248081453</v>
      </c>
      <c r="Z155" s="40">
        <v>0.46469968387776589</v>
      </c>
      <c r="AA155" s="40">
        <v>0.22586824658273885</v>
      </c>
      <c r="AB155" s="40">
        <v>0.94285714285714284</v>
      </c>
      <c r="AC155" s="40">
        <v>0.61627906976744196</v>
      </c>
      <c r="AD155" s="40">
        <v>0.50425669340556323</v>
      </c>
      <c r="AE155" s="40">
        <v>0.44784682380590307</v>
      </c>
      <c r="AF155" s="40">
        <v>0.29871175523349441</v>
      </c>
      <c r="AG155" s="40">
        <v>0.3</v>
      </c>
      <c r="AH155" s="40">
        <v>0.13500000000000001</v>
      </c>
      <c r="AI155" s="40">
        <v>0.18</v>
      </c>
      <c r="AJ155" s="40">
        <v>0.35</v>
      </c>
      <c r="AK155" s="40">
        <v>0.65</v>
      </c>
      <c r="AL155" s="40">
        <v>1.4999999999999998</v>
      </c>
      <c r="AM155" s="40">
        <v>1</v>
      </c>
      <c r="AN155" s="40">
        <v>1</v>
      </c>
      <c r="AO155" s="40">
        <v>1.4</v>
      </c>
      <c r="AP155" s="40">
        <v>1</v>
      </c>
      <c r="AQ155" s="40">
        <f t="shared" ref="AQ155:AQ161" si="118">AVERAGE(AL155,AO155)</f>
        <v>1.4499999999999997</v>
      </c>
      <c r="AR155" s="40">
        <f t="shared" ref="AR155:AR161" si="119">AVERAGE(AM155)</f>
        <v>1</v>
      </c>
      <c r="AS155" s="40">
        <f t="shared" ref="AS155:AS161" si="120">AVERAGE(AN155,AP155)</f>
        <v>1</v>
      </c>
      <c r="AT155" s="40" cm="1">
        <f t="array" ref="AT155">_xlfn.IFS(AG155&gt;sheet2!$C$2,1,AG155=sheet2!$C$2,0,AG155&lt;sheet2!$C$2,-1)</f>
        <v>1</v>
      </c>
      <c r="AU155" s="40" cm="1">
        <f t="array" ref="AU155">_xlfn.IFS(AH155&gt;sheet2!$D$2,1,AH155=sheet2!$D$2,0,AH155&lt;sheet2!$D$2,-1)</f>
        <v>0</v>
      </c>
      <c r="AV155" s="40" cm="1">
        <f t="array" ref="AV155">_xlfn.IFS(AI155&gt;sheet2!$E$2,1,AI155=sheet2!$E$2,0,AI155&lt;sheet2!$E$2,-1)</f>
        <v>0</v>
      </c>
      <c r="AW155" s="40" cm="1">
        <f t="array" ref="AW155">_xlfn.IFS(AJ155&gt;sheet2!$F$2,1,AJ155=sheet2!$F$2,0,AJ155&lt;sheet2!$F$2,-1)</f>
        <v>1</v>
      </c>
      <c r="AX155" s="40" cm="1">
        <f t="array" ref="AX155">_xlfn.IFS(AK155&gt;sheet2!$G$2,1,AK155=sheet2!$G$2,0,AK155&lt;sheet2!$G$2,-1)</f>
        <v>0</v>
      </c>
      <c r="AY155">
        <v>0.33138335260639867</v>
      </c>
      <c r="AZ155">
        <v>0.50580802934583247</v>
      </c>
      <c r="BA155">
        <v>2.0651835391362172E-2</v>
      </c>
      <c r="BB155">
        <v>5.0530846082169128E-3</v>
      </c>
      <c r="BC155">
        <v>0.32904421876114126</v>
      </c>
    </row>
    <row r="156" spans="1:55" ht="14.4" x14ac:dyDescent="0.25">
      <c r="A156" s="2">
        <v>20</v>
      </c>
      <c r="B156" s="2" t="s">
        <v>32</v>
      </c>
      <c r="C156" s="2">
        <v>2018</v>
      </c>
      <c r="D156" s="2">
        <v>10823</v>
      </c>
      <c r="E156" s="17">
        <v>32248.7515484955</v>
      </c>
      <c r="F156" s="5">
        <v>20352.509999999998</v>
      </c>
      <c r="G156" s="3">
        <f t="shared" si="92"/>
        <v>0.53177716163755728</v>
      </c>
      <c r="H156" s="2">
        <f t="shared" si="115"/>
        <v>-5.7933566653165805E-2</v>
      </c>
      <c r="I156" s="14">
        <v>0.35418468175939705</v>
      </c>
      <c r="J156" s="2">
        <f t="shared" si="116"/>
        <v>0.11226095961767597</v>
      </c>
      <c r="K156">
        <f t="shared" si="95"/>
        <v>1.58450979994583</v>
      </c>
      <c r="L156">
        <f t="shared" si="117"/>
        <v>-6.1249595972191609E-2</v>
      </c>
      <c r="M156" s="2">
        <v>0</v>
      </c>
      <c r="N156" s="2">
        <v>0</v>
      </c>
      <c r="O156" s="2">
        <v>0</v>
      </c>
      <c r="P156" s="4">
        <v>1</v>
      </c>
      <c r="Q156" s="40">
        <v>0.9097529483680501</v>
      </c>
      <c r="R156" s="40">
        <v>0.64662756598240467</v>
      </c>
      <c r="S156" s="40">
        <v>0.31496532141693429</v>
      </c>
      <c r="T156" s="40">
        <v>3.3</v>
      </c>
      <c r="U156" s="40">
        <v>1.06</v>
      </c>
      <c r="V156" s="40">
        <v>0.6238670694864048</v>
      </c>
      <c r="W156" s="40">
        <v>0.41891891891891891</v>
      </c>
      <c r="X156" s="40">
        <v>0.2560386473429952</v>
      </c>
      <c r="Y156" s="40">
        <v>0.62770803248081453</v>
      </c>
      <c r="Z156" s="40">
        <v>0.46469968387776589</v>
      </c>
      <c r="AA156" s="40">
        <v>0.22586824658273885</v>
      </c>
      <c r="AB156" s="40">
        <v>0.94285714285714284</v>
      </c>
      <c r="AC156" s="40">
        <v>0.61627906976744196</v>
      </c>
      <c r="AD156" s="40">
        <v>0.50425669340556323</v>
      </c>
      <c r="AE156" s="40">
        <v>0.44784682380590307</v>
      </c>
      <c r="AF156" s="40">
        <v>0.29871175523349441</v>
      </c>
      <c r="AG156" s="40">
        <v>0.3</v>
      </c>
      <c r="AH156" s="40">
        <v>0.13500000000000001</v>
      </c>
      <c r="AI156" s="40">
        <v>0.18</v>
      </c>
      <c r="AJ156" s="40">
        <v>0.35</v>
      </c>
      <c r="AK156" s="40">
        <v>0.65</v>
      </c>
      <c r="AL156" s="40">
        <v>1.4999999999999998</v>
      </c>
      <c r="AM156" s="40">
        <v>1</v>
      </c>
      <c r="AN156" s="40">
        <v>1</v>
      </c>
      <c r="AO156" s="40">
        <v>1.4</v>
      </c>
      <c r="AP156" s="40">
        <v>1</v>
      </c>
      <c r="AQ156" s="40">
        <f t="shared" si="118"/>
        <v>1.4499999999999997</v>
      </c>
      <c r="AR156" s="40">
        <f t="shared" si="119"/>
        <v>1</v>
      </c>
      <c r="AS156" s="40">
        <f t="shared" si="120"/>
        <v>1</v>
      </c>
      <c r="AT156" s="40" cm="1">
        <f t="array" ref="AT156">_xlfn.IFS(AG156&gt;sheet2!$C$2,1,AG156=sheet2!$C$2,0,AG156&lt;sheet2!$C$2,-1)</f>
        <v>1</v>
      </c>
      <c r="AU156" s="40" cm="1">
        <f t="array" ref="AU156">_xlfn.IFS(AH156&gt;sheet2!$D$2,1,AH156=sheet2!$D$2,0,AH156&lt;sheet2!$D$2,-1)</f>
        <v>0</v>
      </c>
      <c r="AV156" s="40" cm="1">
        <f t="array" ref="AV156">_xlfn.IFS(AI156&gt;sheet2!$E$2,1,AI156=sheet2!$E$2,0,AI156&lt;sheet2!$E$2,-1)</f>
        <v>0</v>
      </c>
      <c r="AW156" s="40" cm="1">
        <f t="array" ref="AW156">_xlfn.IFS(AJ156&gt;sheet2!$F$2,1,AJ156=sheet2!$F$2,0,AJ156&lt;sheet2!$F$2,-1)</f>
        <v>1</v>
      </c>
      <c r="AX156" s="40" cm="1">
        <f t="array" ref="AX156">_xlfn.IFS(AK156&gt;sheet2!$G$2,1,AK156=sheet2!$G$2,0,AK156&lt;sheet2!$G$2,-1)</f>
        <v>0</v>
      </c>
      <c r="AY156">
        <v>0.32884887416834585</v>
      </c>
      <c r="AZ156">
        <v>0.51829391550434611</v>
      </c>
      <c r="BA156">
        <v>2.0820181308552815E-2</v>
      </c>
      <c r="BB156">
        <v>4.37799072448558E-3</v>
      </c>
      <c r="BC156">
        <v>0.31661312736078212</v>
      </c>
    </row>
    <row r="157" spans="1:55" ht="14.4" x14ac:dyDescent="0.25">
      <c r="A157" s="2">
        <v>20</v>
      </c>
      <c r="B157" s="2" t="s">
        <v>32</v>
      </c>
      <c r="C157" s="2">
        <v>2019</v>
      </c>
      <c r="D157" s="2">
        <v>11270</v>
      </c>
      <c r="E157" s="17">
        <v>32205.542151505299</v>
      </c>
      <c r="F157" s="5">
        <v>21237.14</v>
      </c>
      <c r="G157" s="3">
        <f t="shared" si="92"/>
        <v>0.53067409265089371</v>
      </c>
      <c r="H157" s="2">
        <f t="shared" si="115"/>
        <v>-2.0743068078869216E-3</v>
      </c>
      <c r="I157" s="14">
        <v>0.39477329949336493</v>
      </c>
      <c r="J157" s="2">
        <f t="shared" si="116"/>
        <v>0.11459732683058364</v>
      </c>
      <c r="K157">
        <f t="shared" si="95"/>
        <v>1.5164726583478425</v>
      </c>
      <c r="L157">
        <f t="shared" si="117"/>
        <v>-4.2938921299390802E-2</v>
      </c>
      <c r="M157" s="2">
        <v>0</v>
      </c>
      <c r="N157" s="2">
        <v>0</v>
      </c>
      <c r="O157" s="2">
        <v>0</v>
      </c>
      <c r="P157" s="4">
        <v>1</v>
      </c>
      <c r="Q157" s="40">
        <v>0.9097529483680501</v>
      </c>
      <c r="R157" s="40">
        <v>0.64662756598240467</v>
      </c>
      <c r="S157" s="40">
        <v>0.31496532141693429</v>
      </c>
      <c r="T157" s="40">
        <v>3.3</v>
      </c>
      <c r="U157" s="40">
        <v>1.06</v>
      </c>
      <c r="V157" s="40">
        <v>0.6238670694864048</v>
      </c>
      <c r="W157" s="40">
        <v>0.41891891891891891</v>
      </c>
      <c r="X157" s="40">
        <v>0.2560386473429952</v>
      </c>
      <c r="Y157" s="40">
        <v>0.62770803248081453</v>
      </c>
      <c r="Z157" s="40">
        <v>0.46469968387776589</v>
      </c>
      <c r="AA157" s="40">
        <v>0.22586824658273885</v>
      </c>
      <c r="AB157" s="40">
        <v>0.94285714285714284</v>
      </c>
      <c r="AC157" s="40">
        <v>0.61627906976744196</v>
      </c>
      <c r="AD157" s="40">
        <v>0.50425669340556323</v>
      </c>
      <c r="AE157" s="40">
        <v>0.44784682380590307</v>
      </c>
      <c r="AF157" s="40">
        <v>0.29871175523349441</v>
      </c>
      <c r="AG157" s="40">
        <v>0.3</v>
      </c>
      <c r="AH157" s="40">
        <v>0.13500000000000001</v>
      </c>
      <c r="AI157" s="40">
        <v>0.18</v>
      </c>
      <c r="AJ157" s="40">
        <v>0.35</v>
      </c>
      <c r="AK157" s="40">
        <v>0.65</v>
      </c>
      <c r="AL157" s="40">
        <v>1.4999999999999998</v>
      </c>
      <c r="AM157" s="40">
        <v>1</v>
      </c>
      <c r="AN157" s="40">
        <v>1</v>
      </c>
      <c r="AO157" s="40">
        <v>1.4</v>
      </c>
      <c r="AP157" s="40">
        <v>1</v>
      </c>
      <c r="AQ157" s="40">
        <f t="shared" si="118"/>
        <v>1.4499999999999997</v>
      </c>
      <c r="AR157" s="40">
        <f t="shared" si="119"/>
        <v>1</v>
      </c>
      <c r="AS157" s="40">
        <f t="shared" si="120"/>
        <v>1</v>
      </c>
      <c r="AT157" s="40" cm="1">
        <f t="array" ref="AT157">_xlfn.IFS(AG157&gt;sheet2!$C$2,1,AG157=sheet2!$C$2,0,AG157&lt;sheet2!$C$2,-1)</f>
        <v>1</v>
      </c>
      <c r="AU157" s="40" cm="1">
        <f t="array" ref="AU157">_xlfn.IFS(AH157&gt;sheet2!$D$2,1,AH157=sheet2!$D$2,0,AH157&lt;sheet2!$D$2,-1)</f>
        <v>0</v>
      </c>
      <c r="AV157" s="40" cm="1">
        <f t="array" ref="AV157">_xlfn.IFS(AI157&gt;sheet2!$E$2,1,AI157=sheet2!$E$2,0,AI157&lt;sheet2!$E$2,-1)</f>
        <v>0</v>
      </c>
      <c r="AW157" s="40" cm="1">
        <f t="array" ref="AW157">_xlfn.IFS(AJ157&gt;sheet2!$F$2,1,AJ157=sheet2!$F$2,0,AJ157&lt;sheet2!$F$2,-1)</f>
        <v>1</v>
      </c>
      <c r="AX157" s="40" cm="1">
        <f t="array" ref="AX157">_xlfn.IFS(AK157&gt;sheet2!$G$2,1,AK157=sheet2!$G$2,0,AK157&lt;sheet2!$G$2,-1)</f>
        <v>0</v>
      </c>
      <c r="AY157">
        <v>0.32350401231050885</v>
      </c>
      <c r="AZ157">
        <v>0.52970694500200721</v>
      </c>
      <c r="BA157">
        <v>2.0967483986094628E-2</v>
      </c>
      <c r="BB157">
        <v>4.9194100523893515E-3</v>
      </c>
      <c r="BC157">
        <v>0.30967396803259639</v>
      </c>
    </row>
    <row r="158" spans="1:55" ht="14.4" x14ac:dyDescent="0.25">
      <c r="A158" s="2">
        <v>20</v>
      </c>
      <c r="B158" s="2" t="s">
        <v>32</v>
      </c>
      <c r="C158" s="2">
        <v>2020</v>
      </c>
      <c r="D158" s="2">
        <v>12081</v>
      </c>
      <c r="E158" s="17">
        <v>33351.793500812397</v>
      </c>
      <c r="F158" s="5">
        <v>22156.69</v>
      </c>
      <c r="G158" s="3">
        <f t="shared" si="92"/>
        <v>0.54525292360907707</v>
      </c>
      <c r="H158" s="2">
        <f t="shared" si="115"/>
        <v>2.7472286964975508E-2</v>
      </c>
      <c r="I158" s="14">
        <v>0.37275022716759326</v>
      </c>
      <c r="J158" s="2">
        <f t="shared" si="116"/>
        <v>-5.5786630843664267E-2</v>
      </c>
      <c r="K158">
        <f t="shared" si="95"/>
        <v>1.5052696725373871</v>
      </c>
      <c r="L158">
        <f t="shared" si="117"/>
        <v>-7.3875290456346145E-3</v>
      </c>
      <c r="M158" s="2">
        <v>0</v>
      </c>
      <c r="N158" s="2">
        <v>0</v>
      </c>
      <c r="O158" s="2">
        <v>0</v>
      </c>
      <c r="P158" s="4">
        <v>1</v>
      </c>
      <c r="Q158" s="40">
        <v>0.9097529483680501</v>
      </c>
      <c r="R158" s="40">
        <v>0.64662756598240467</v>
      </c>
      <c r="S158" s="40">
        <v>0.31496532141693429</v>
      </c>
      <c r="T158" s="40">
        <v>3.3</v>
      </c>
      <c r="U158" s="40">
        <v>1.06</v>
      </c>
      <c r="V158" s="40">
        <v>0.6238670694864048</v>
      </c>
      <c r="W158" s="40">
        <v>0.41891891891891891</v>
      </c>
      <c r="X158" s="40">
        <v>0.2560386473429952</v>
      </c>
      <c r="Y158" s="40">
        <v>0.62770803248081453</v>
      </c>
      <c r="Z158" s="40">
        <v>0.46469968387776589</v>
      </c>
      <c r="AA158" s="40">
        <v>0.22586824658273885</v>
      </c>
      <c r="AB158" s="40">
        <v>0.94285714285714284</v>
      </c>
      <c r="AC158" s="40">
        <v>0.61627906976744196</v>
      </c>
      <c r="AD158" s="40">
        <v>0.50425669340556323</v>
      </c>
      <c r="AE158" s="40">
        <v>0.44784682380590307</v>
      </c>
      <c r="AF158" s="40">
        <v>0.29871175523349441</v>
      </c>
      <c r="AG158" s="40">
        <v>0.3</v>
      </c>
      <c r="AH158" s="40">
        <v>0.13500000000000001</v>
      </c>
      <c r="AI158" s="40">
        <v>0.18</v>
      </c>
      <c r="AJ158" s="40">
        <v>0.35</v>
      </c>
      <c r="AK158" s="40">
        <v>0.65</v>
      </c>
      <c r="AL158" s="40">
        <v>1.4999999999999998</v>
      </c>
      <c r="AM158" s="40">
        <v>1</v>
      </c>
      <c r="AN158" s="40">
        <v>1</v>
      </c>
      <c r="AO158" s="40">
        <v>1.4</v>
      </c>
      <c r="AP158" s="40">
        <v>1</v>
      </c>
      <c r="AQ158" s="40">
        <f t="shared" si="118"/>
        <v>1.4499999999999997</v>
      </c>
      <c r="AR158" s="40">
        <f t="shared" si="119"/>
        <v>1</v>
      </c>
      <c r="AS158" s="40">
        <f t="shared" si="120"/>
        <v>1</v>
      </c>
      <c r="AT158" s="40" cm="1">
        <f t="array" ref="AT158">_xlfn.IFS(AG158&gt;sheet2!$C$2,1,AG158=sheet2!$C$2,0,AG158&lt;sheet2!$C$2,-1)</f>
        <v>1</v>
      </c>
      <c r="AU158" s="40" cm="1">
        <f t="array" ref="AU158">_xlfn.IFS(AH158&gt;sheet2!$D$2,1,AH158=sheet2!$D$2,0,AH158&lt;sheet2!$D$2,-1)</f>
        <v>0</v>
      </c>
      <c r="AV158" s="40" cm="1">
        <f t="array" ref="AV158">_xlfn.IFS(AI158&gt;sheet2!$E$2,1,AI158=sheet2!$E$2,0,AI158&lt;sheet2!$E$2,-1)</f>
        <v>0</v>
      </c>
      <c r="AW158" s="40" cm="1">
        <f t="array" ref="AW158">_xlfn.IFS(AJ158&gt;sheet2!$F$2,1,AJ158=sheet2!$F$2,0,AJ158&lt;sheet2!$F$2,-1)</f>
        <v>1</v>
      </c>
      <c r="AX158" s="40" cm="1">
        <f t="array" ref="AX158">_xlfn.IFS(AK158&gt;sheet2!$G$2,1,AK158=sheet2!$G$2,0,AK158&lt;sheet2!$G$2,-1)</f>
        <v>0</v>
      </c>
      <c r="AY158">
        <v>0.31898266392678692</v>
      </c>
      <c r="AZ158">
        <v>0.54194062562263401</v>
      </c>
      <c r="BA158">
        <v>2.1123203959495972E-2</v>
      </c>
      <c r="BB158">
        <v>5.11507810959128E-3</v>
      </c>
      <c r="BC158">
        <v>0.27784583467514207</v>
      </c>
    </row>
    <row r="159" spans="1:55" ht="14.4" x14ac:dyDescent="0.25">
      <c r="A159" s="2">
        <v>20</v>
      </c>
      <c r="B159" s="2" t="s">
        <v>32</v>
      </c>
      <c r="C159" s="2">
        <v>2021</v>
      </c>
      <c r="D159" s="2">
        <v>13189.02</v>
      </c>
      <c r="E159" s="17">
        <v>35022.925379334301</v>
      </c>
      <c r="F159" s="30">
        <v>24740.86</v>
      </c>
      <c r="G159" s="3">
        <f t="shared" si="92"/>
        <v>0.53308656206776972</v>
      </c>
      <c r="H159" s="2">
        <f t="shared" si="115"/>
        <v>-2.2313244027702097E-2</v>
      </c>
      <c r="I159" s="14">
        <v>0.37277275761751111</v>
      </c>
      <c r="J159" s="2">
        <f t="shared" si="116"/>
        <v>6.0443826121977999E-5</v>
      </c>
      <c r="K159">
        <f t="shared" si="95"/>
        <v>1.4155904596418354</v>
      </c>
      <c r="L159">
        <f t="shared" si="117"/>
        <v>-5.9576841632889732E-2</v>
      </c>
      <c r="M159" s="2">
        <v>0</v>
      </c>
      <c r="N159" s="2">
        <v>0</v>
      </c>
      <c r="O159" s="2">
        <v>0</v>
      </c>
      <c r="P159" s="4">
        <v>1</v>
      </c>
      <c r="Q159" s="40">
        <v>0.9097529483680501</v>
      </c>
      <c r="R159" s="40">
        <v>0.64662756598240467</v>
      </c>
      <c r="S159" s="40">
        <v>0.31496532141693429</v>
      </c>
      <c r="T159" s="40">
        <v>3.3</v>
      </c>
      <c r="U159" s="40">
        <v>1.06</v>
      </c>
      <c r="V159" s="40">
        <v>0.6238670694864048</v>
      </c>
      <c r="W159" s="40">
        <v>0.41891891891891891</v>
      </c>
      <c r="X159" s="40">
        <v>0.2560386473429952</v>
      </c>
      <c r="Y159" s="40">
        <v>0.62770803248081453</v>
      </c>
      <c r="Z159" s="40">
        <v>0.46469968387776589</v>
      </c>
      <c r="AA159" s="40">
        <v>0.22586824658273885</v>
      </c>
      <c r="AB159" s="40">
        <v>0.94285714285714284</v>
      </c>
      <c r="AC159" s="40">
        <v>0.61627906976744196</v>
      </c>
      <c r="AD159" s="40">
        <v>0.50425669340556323</v>
      </c>
      <c r="AE159" s="40">
        <v>0.44784682380590307</v>
      </c>
      <c r="AF159" s="40">
        <v>0.29871175523349441</v>
      </c>
      <c r="AG159" s="40">
        <v>0.3</v>
      </c>
      <c r="AH159" s="40">
        <v>0.13500000000000001</v>
      </c>
      <c r="AI159" s="40">
        <v>0.18</v>
      </c>
      <c r="AJ159" s="40">
        <v>0.35</v>
      </c>
      <c r="AK159" s="40">
        <v>0.65</v>
      </c>
      <c r="AL159" s="40">
        <v>1.4999999999999998</v>
      </c>
      <c r="AM159" s="40">
        <v>1</v>
      </c>
      <c r="AN159" s="40">
        <v>1</v>
      </c>
      <c r="AO159" s="40">
        <v>1.4</v>
      </c>
      <c r="AP159" s="40">
        <v>1</v>
      </c>
      <c r="AQ159" s="40">
        <f t="shared" si="118"/>
        <v>1.4499999999999997</v>
      </c>
      <c r="AR159" s="40">
        <f t="shared" si="119"/>
        <v>1</v>
      </c>
      <c r="AS159" s="40">
        <f t="shared" si="120"/>
        <v>1</v>
      </c>
      <c r="AT159" s="40" cm="1">
        <f t="array" ref="AT159">_xlfn.IFS(AG159&gt;sheet2!$C$2,1,AG159=sheet2!$C$2,0,AG159&lt;sheet2!$C$2,-1)</f>
        <v>1</v>
      </c>
      <c r="AU159" s="40" cm="1">
        <f t="array" ref="AU159">_xlfn.IFS(AH159&gt;sheet2!$D$2,1,AH159=sheet2!$D$2,0,AH159&lt;sheet2!$D$2,-1)</f>
        <v>0</v>
      </c>
      <c r="AV159" s="40" cm="1">
        <f t="array" ref="AV159">_xlfn.IFS(AI159&gt;sheet2!$E$2,1,AI159=sheet2!$E$2,0,AI159&lt;sheet2!$E$2,-1)</f>
        <v>0</v>
      </c>
      <c r="AW159" s="40" cm="1">
        <f t="array" ref="AW159">_xlfn.IFS(AJ159&gt;sheet2!$F$2,1,AJ159=sheet2!$F$2,0,AJ159&lt;sheet2!$F$2,-1)</f>
        <v>1</v>
      </c>
      <c r="AX159" s="40" cm="1">
        <f t="array" ref="AX159">_xlfn.IFS(AK159&gt;sheet2!$G$2,1,AK159=sheet2!$G$2,0,AK159&lt;sheet2!$G$2,-1)</f>
        <v>0</v>
      </c>
      <c r="AY159">
        <v>0.34450298009042529</v>
      </c>
      <c r="AZ159">
        <v>0.55072463768115942</v>
      </c>
      <c r="BA159">
        <v>2.1198959622231763E-2</v>
      </c>
      <c r="BB159">
        <v>5.5383644707580901E-3</v>
      </c>
      <c r="BC159">
        <v>0.31002111412304056</v>
      </c>
    </row>
    <row r="160" spans="1:55" ht="14.4" x14ac:dyDescent="0.25">
      <c r="A160" s="2">
        <v>20</v>
      </c>
      <c r="B160" s="2" t="s">
        <v>32</v>
      </c>
      <c r="C160" s="2">
        <v>2022</v>
      </c>
      <c r="D160" s="2">
        <v>13207</v>
      </c>
      <c r="E160" s="17">
        <v>35170.695324000299</v>
      </c>
      <c r="F160" s="30">
        <v>26300.9</v>
      </c>
      <c r="G160" s="3">
        <f t="shared" si="92"/>
        <v>0.502150116535936</v>
      </c>
      <c r="H160" s="2">
        <f t="shared" si="115"/>
        <v>-5.8032686871406947E-2</v>
      </c>
      <c r="I160" s="14">
        <v>0.3709898955356713</v>
      </c>
      <c r="J160" s="2">
        <f t="shared" si="116"/>
        <v>-4.7827048661885866E-3</v>
      </c>
      <c r="K160">
        <f t="shared" si="95"/>
        <v>1.3372430344208865</v>
      </c>
      <c r="L160">
        <f t="shared" si="117"/>
        <v>-5.534610994819212E-2</v>
      </c>
      <c r="M160" s="2">
        <v>1</v>
      </c>
      <c r="N160" s="2">
        <v>1</v>
      </c>
      <c r="O160" s="2">
        <v>0</v>
      </c>
      <c r="P160" s="4">
        <v>1</v>
      </c>
      <c r="Q160" s="40">
        <v>0.9097529483680501</v>
      </c>
      <c r="R160" s="40">
        <v>0.64662756598240467</v>
      </c>
      <c r="S160" s="40">
        <v>0.31496532141693429</v>
      </c>
      <c r="T160" s="40">
        <v>3.3</v>
      </c>
      <c r="U160" s="40">
        <v>1.06</v>
      </c>
      <c r="V160" s="40">
        <v>0.6238670694864048</v>
      </c>
      <c r="W160" s="40">
        <v>0.41891891891891891</v>
      </c>
      <c r="X160" s="40">
        <v>0.2560386473429952</v>
      </c>
      <c r="Y160" s="40">
        <v>0.62770803248081453</v>
      </c>
      <c r="Z160" s="40">
        <v>0.46469968387776589</v>
      </c>
      <c r="AA160" s="40">
        <v>0.22586824658273885</v>
      </c>
      <c r="AB160" s="40">
        <v>0.94285714285714284</v>
      </c>
      <c r="AC160" s="40">
        <v>0.61627906976744196</v>
      </c>
      <c r="AD160" s="40">
        <v>0.50425669340556323</v>
      </c>
      <c r="AE160" s="40">
        <v>0.44784682380590307</v>
      </c>
      <c r="AF160" s="40">
        <v>0.29871175523349441</v>
      </c>
      <c r="AG160" s="40">
        <v>0.3</v>
      </c>
      <c r="AH160" s="40">
        <v>0.13500000000000001</v>
      </c>
      <c r="AI160" s="40">
        <v>0.18</v>
      </c>
      <c r="AJ160" s="40">
        <v>0.35</v>
      </c>
      <c r="AK160" s="40">
        <v>0.65</v>
      </c>
      <c r="AL160" s="40">
        <v>1.4999999999999998</v>
      </c>
      <c r="AM160" s="40">
        <v>1</v>
      </c>
      <c r="AN160" s="40">
        <v>1</v>
      </c>
      <c r="AO160" s="40">
        <v>1.4</v>
      </c>
      <c r="AP160" s="40">
        <v>1</v>
      </c>
      <c r="AQ160" s="40">
        <f t="shared" si="118"/>
        <v>1.4499999999999997</v>
      </c>
      <c r="AR160" s="40">
        <f t="shared" si="119"/>
        <v>1</v>
      </c>
      <c r="AS160" s="40">
        <f t="shared" si="120"/>
        <v>1</v>
      </c>
      <c r="AT160" s="40" cm="1">
        <f t="array" ref="AT160">_xlfn.IFS(AG160&gt;sheet2!$C$2,1,AG160=sheet2!$C$2,0,AG160&lt;sheet2!$C$2,-1)</f>
        <v>1</v>
      </c>
      <c r="AU160" s="40" cm="1">
        <f t="array" ref="AU160">_xlfn.IFS(AH160&gt;sheet2!$D$2,1,AH160=sheet2!$D$2,0,AH160&lt;sheet2!$D$2,-1)</f>
        <v>0</v>
      </c>
      <c r="AV160" s="40" cm="1">
        <f t="array" ref="AV160">_xlfn.IFS(AI160&gt;sheet2!$E$2,1,AI160=sheet2!$E$2,0,AI160&lt;sheet2!$E$2,-1)</f>
        <v>0</v>
      </c>
      <c r="AW160" s="40" cm="1">
        <f t="array" ref="AW160">_xlfn.IFS(AJ160&gt;sheet2!$F$2,1,AJ160=sheet2!$F$2,0,AJ160&lt;sheet2!$F$2,-1)</f>
        <v>1</v>
      </c>
      <c r="AX160" s="40" cm="1">
        <f t="array" ref="AX160">_xlfn.IFS(AK160&gt;sheet2!$G$2,1,AK160=sheet2!$G$2,0,AK160&lt;sheet2!$G$2,-1)</f>
        <v>0</v>
      </c>
      <c r="AY160">
        <v>0.33714815842803852</v>
      </c>
      <c r="AZ160">
        <v>0.55656825837130974</v>
      </c>
      <c r="BA160">
        <v>2.1241046101529423E-2</v>
      </c>
      <c r="BB160">
        <v>5.7250360253831619E-3</v>
      </c>
      <c r="BC160">
        <v>0.28637847596940269</v>
      </c>
    </row>
    <row r="161" spans="1:55" ht="14.4" x14ac:dyDescent="0.25">
      <c r="A161" s="2">
        <v>20</v>
      </c>
      <c r="B161" s="2" t="s">
        <v>32</v>
      </c>
      <c r="C161" s="2">
        <v>2023</v>
      </c>
      <c r="D161" s="2">
        <v>13847.0590095468</v>
      </c>
      <c r="E161">
        <v>37160.652496648399</v>
      </c>
      <c r="F161" s="32">
        <v>27202.39</v>
      </c>
      <c r="G161" s="3">
        <f t="shared" si="92"/>
        <v>0.50903832382179659</v>
      </c>
      <c r="H161" s="2">
        <f t="shared" si="115"/>
        <v>1.3717426440879145E-2</v>
      </c>
      <c r="I161" s="14"/>
      <c r="K161">
        <f t="shared" si="95"/>
        <v>1.3660804251629508</v>
      </c>
      <c r="L161">
        <f t="shared" si="117"/>
        <v>2.1564809088388884E-2</v>
      </c>
      <c r="M161" s="2">
        <v>1</v>
      </c>
      <c r="N161" s="2">
        <v>1</v>
      </c>
      <c r="O161" s="2">
        <v>1</v>
      </c>
      <c r="P161" s="4">
        <v>1</v>
      </c>
      <c r="Q161" s="40">
        <v>0.9097529483680501</v>
      </c>
      <c r="R161" s="40">
        <v>0.64662756598240467</v>
      </c>
      <c r="S161" s="40">
        <v>0.31496532141693429</v>
      </c>
      <c r="T161" s="40">
        <v>3.3</v>
      </c>
      <c r="U161" s="40">
        <v>1.06</v>
      </c>
      <c r="V161" s="40">
        <v>0.6238670694864048</v>
      </c>
      <c r="W161" s="40">
        <v>0.41891891891891891</v>
      </c>
      <c r="X161" s="40">
        <v>0.2560386473429952</v>
      </c>
      <c r="Y161" s="40">
        <v>0.62770803248081453</v>
      </c>
      <c r="Z161" s="40">
        <v>0.46469968387776589</v>
      </c>
      <c r="AA161" s="40">
        <v>0.22586824658273885</v>
      </c>
      <c r="AB161" s="40">
        <v>0.94285714285714284</v>
      </c>
      <c r="AC161" s="40">
        <v>0.61627906976744196</v>
      </c>
      <c r="AD161" s="40">
        <v>0.50425669340556323</v>
      </c>
      <c r="AE161" s="40">
        <v>0.44784682380590307</v>
      </c>
      <c r="AF161" s="40">
        <v>0.29871175523349441</v>
      </c>
      <c r="AG161" s="40">
        <v>0.3</v>
      </c>
      <c r="AH161" s="40">
        <v>0.13500000000000001</v>
      </c>
      <c r="AI161" s="40">
        <v>0.18</v>
      </c>
      <c r="AJ161" s="40">
        <v>0.35</v>
      </c>
      <c r="AK161" s="40">
        <v>0.65</v>
      </c>
      <c r="AL161" s="40">
        <v>1.4999999999999998</v>
      </c>
      <c r="AM161" s="40">
        <v>1</v>
      </c>
      <c r="AN161" s="40">
        <v>1</v>
      </c>
      <c r="AO161" s="40">
        <v>1.4</v>
      </c>
      <c r="AP161" s="40">
        <v>1</v>
      </c>
      <c r="AQ161" s="40">
        <f t="shared" si="118"/>
        <v>1.4499999999999997</v>
      </c>
      <c r="AR161" s="40">
        <f t="shared" si="119"/>
        <v>1</v>
      </c>
      <c r="AS161" s="40">
        <f t="shared" si="120"/>
        <v>1</v>
      </c>
      <c r="AT161" s="40" cm="1">
        <f t="array" ref="AT161">_xlfn.IFS(AG161&gt;sheet2!$C$2,1,AG161=sheet2!$C$2,0,AG161&lt;sheet2!$C$2,-1)</f>
        <v>1</v>
      </c>
      <c r="AU161" s="40" cm="1">
        <f t="array" ref="AU161">_xlfn.IFS(AH161&gt;sheet2!$D$2,1,AH161=sheet2!$D$2,0,AH161&lt;sheet2!$D$2,-1)</f>
        <v>0</v>
      </c>
      <c r="AV161" s="40" cm="1">
        <f t="array" ref="AV161">_xlfn.IFS(AI161&gt;sheet2!$E$2,1,AI161=sheet2!$E$2,0,AI161&lt;sheet2!$E$2,-1)</f>
        <v>0</v>
      </c>
      <c r="AW161" s="40" cm="1">
        <f t="array" ref="AW161">_xlfn.IFS(AJ161&gt;sheet2!$F$2,1,AJ161=sheet2!$F$2,0,AJ161&lt;sheet2!$F$2,-1)</f>
        <v>1</v>
      </c>
      <c r="AX161" s="40" cm="1">
        <f t="array" ref="AX161">_xlfn.IFS(AK161&gt;sheet2!$G$2,1,AK161=sheet2!$G$2,0,AK161&lt;sheet2!$G$2,-1)</f>
        <v>0</v>
      </c>
      <c r="AY161">
        <v>0.33011069983188973</v>
      </c>
      <c r="AZ161">
        <v>0.56773423513029642</v>
      </c>
      <c r="BA161">
        <v>2.1156873142934102E-2</v>
      </c>
      <c r="BB161">
        <v>5.7049987151864233E-3</v>
      </c>
      <c r="BC161">
        <v>0.29236056820025669</v>
      </c>
    </row>
    <row r="162" spans="1:55" s="40" customFormat="1" ht="14.4" x14ac:dyDescent="0.25">
      <c r="A162" s="35">
        <v>21</v>
      </c>
      <c r="B162" s="35" t="s">
        <v>33</v>
      </c>
      <c r="C162" s="35">
        <v>2016</v>
      </c>
      <c r="D162" s="35">
        <v>1984</v>
      </c>
      <c r="E162" s="36">
        <v>4830.8301980129099</v>
      </c>
      <c r="F162" s="37">
        <v>4053.2</v>
      </c>
      <c r="G162" s="38">
        <f t="shared" si="92"/>
        <v>0.48948978584821873</v>
      </c>
      <c r="H162" s="35"/>
      <c r="I162" s="39">
        <v>0.22205809502305135</v>
      </c>
      <c r="J162" s="35"/>
      <c r="K162" s="40">
        <f t="shared" si="95"/>
        <v>1.1918558664790562</v>
      </c>
      <c r="M162" s="35">
        <v>0</v>
      </c>
      <c r="N162" s="35">
        <v>0</v>
      </c>
      <c r="O162" s="35">
        <v>0</v>
      </c>
      <c r="P162" s="41">
        <v>1</v>
      </c>
      <c r="Q162" s="40">
        <v>0.7793680866442817</v>
      </c>
      <c r="R162" s="40">
        <v>0.63489736070381231</v>
      </c>
      <c r="S162" s="40">
        <v>0.34899455383326361</v>
      </c>
      <c r="T162" s="40">
        <v>0.1</v>
      </c>
      <c r="U162" s="40">
        <v>0.38</v>
      </c>
      <c r="V162" s="40">
        <v>0.46715328467153278</v>
      </c>
      <c r="W162" s="40">
        <v>0.36792452830188682</v>
      </c>
      <c r="X162" s="40">
        <v>-0.23809523809523811</v>
      </c>
      <c r="Y162" s="40">
        <v>8.9837397546220679E-2</v>
      </c>
      <c r="Z162" s="40">
        <v>0.45626975763962047</v>
      </c>
      <c r="AA162" s="40">
        <v>0.25027132379725642</v>
      </c>
      <c r="AB162" s="40">
        <v>2.8571428571428574E-2</v>
      </c>
      <c r="AC162" s="40">
        <v>0.22093023255813954</v>
      </c>
      <c r="AD162" s="40">
        <v>0.3775887238862321</v>
      </c>
      <c r="AE162" s="40">
        <v>0.39333108140713219</v>
      </c>
      <c r="AF162" s="40">
        <v>-0.27777777777777779</v>
      </c>
      <c r="AG162" s="40">
        <v>0.22</v>
      </c>
      <c r="AH162" s="40">
        <v>0.13500000000000001</v>
      </c>
      <c r="AI162" s="40">
        <v>0.18</v>
      </c>
      <c r="AJ162" s="40">
        <v>0.54</v>
      </c>
      <c r="AK162" s="40">
        <v>0.65</v>
      </c>
      <c r="AL162" s="40">
        <v>1.0999999999999999</v>
      </c>
      <c r="AM162" s="40">
        <v>1</v>
      </c>
      <c r="AN162" s="40">
        <v>1</v>
      </c>
      <c r="AO162" s="40">
        <v>2.16</v>
      </c>
      <c r="AP162" s="40">
        <v>1</v>
      </c>
      <c r="AQ162" s="40">
        <f t="shared" si="106"/>
        <v>1.63</v>
      </c>
      <c r="AR162" s="40">
        <f t="shared" si="107"/>
        <v>1</v>
      </c>
      <c r="AS162" s="40">
        <f t="shared" si="108"/>
        <v>1</v>
      </c>
      <c r="AT162" s="40" cm="1">
        <f t="array" ref="AT162">_xlfn.IFS(AG162&gt;sheet2!$C$2,1,AG162=sheet2!$C$2,0,AG162&lt;sheet2!$C$2,-1)</f>
        <v>1</v>
      </c>
      <c r="AU162" s="40" cm="1">
        <f t="array" ref="AU162">_xlfn.IFS(AH162&gt;sheet2!$D$2,1,AH162=sheet2!$D$2,0,AH162&lt;sheet2!$D$2,-1)</f>
        <v>0</v>
      </c>
      <c r="AV162" s="40" cm="1">
        <f t="array" ref="AV162">_xlfn.IFS(AI162&gt;sheet2!$E$2,1,AI162=sheet2!$E$2,0,AI162&lt;sheet2!$E$2,-1)</f>
        <v>0</v>
      </c>
      <c r="AW162" s="40" cm="1">
        <f t="array" ref="AW162">_xlfn.IFS(AJ162&gt;sheet2!$F$2,1,AJ162=sheet2!$F$2,0,AJ162&lt;sheet2!$F$2,-1)</f>
        <v>1</v>
      </c>
      <c r="AX162" s="40" cm="1">
        <f t="array" ref="AX162">_xlfn.IFS(AK162&gt;sheet2!$G$2,1,AK162=sheet2!$G$2,0,AK162&lt;sheet2!$G$2,-1)</f>
        <v>0</v>
      </c>
      <c r="AY162" s="40">
        <v>0.22303365242277706</v>
      </c>
      <c r="AZ162" s="40">
        <v>0.56739811912225702</v>
      </c>
      <c r="BA162" s="40">
        <v>2.720527617477329E-2</v>
      </c>
      <c r="BB162" s="40">
        <v>1.9692835290634563E-3</v>
      </c>
      <c r="BC162" s="40">
        <v>0.46314512379402534</v>
      </c>
    </row>
    <row r="163" spans="1:55" ht="14.4" x14ac:dyDescent="0.25">
      <c r="A163" s="2">
        <v>21</v>
      </c>
      <c r="B163" s="2" t="s">
        <v>33</v>
      </c>
      <c r="C163" s="2">
        <v>2017</v>
      </c>
      <c r="D163" s="2">
        <v>2080</v>
      </c>
      <c r="E163" s="17">
        <v>4795.8497043730904</v>
      </c>
      <c r="F163" s="5">
        <v>4462.54</v>
      </c>
      <c r="G163" s="3">
        <f t="shared" si="92"/>
        <v>0.46610226462956073</v>
      </c>
      <c r="H163" s="2">
        <f t="shared" ref="H163:H169" si="121">(G163-G162)/G162</f>
        <v>-4.7779385586423695E-2</v>
      </c>
      <c r="I163" s="14">
        <v>0.23054176886017796</v>
      </c>
      <c r="J163" s="2">
        <f t="shared" ref="J163:J168" si="122">(I163-I162)/I162</f>
        <v>3.8204749240265005E-2</v>
      </c>
      <c r="K163">
        <f t="shared" si="95"/>
        <v>1.0746905807842821</v>
      </c>
      <c r="L163">
        <f t="shared" ref="L163:L169" si="123">(K163-K162)/K162</f>
        <v>-9.8304911684413729E-2</v>
      </c>
      <c r="M163" s="2">
        <v>0</v>
      </c>
      <c r="N163" s="2">
        <v>0</v>
      </c>
      <c r="O163" s="2">
        <v>0</v>
      </c>
      <c r="P163" s="4">
        <v>1</v>
      </c>
      <c r="Q163" s="40">
        <v>0.7793680866442817</v>
      </c>
      <c r="R163" s="40">
        <v>0.63489736070381231</v>
      </c>
      <c r="S163" s="40">
        <v>0.34899455383326361</v>
      </c>
      <c r="T163" s="40">
        <v>0.1</v>
      </c>
      <c r="U163" s="40">
        <v>0.38</v>
      </c>
      <c r="V163" s="40">
        <v>0.46715328467153278</v>
      </c>
      <c r="W163" s="40">
        <v>0.36792452830188682</v>
      </c>
      <c r="X163" s="40">
        <v>-0.23809523809523811</v>
      </c>
      <c r="Y163" s="40">
        <v>8.9837397546220679E-2</v>
      </c>
      <c r="Z163" s="40">
        <v>0.45626975763962047</v>
      </c>
      <c r="AA163" s="40">
        <v>0.25027132379725642</v>
      </c>
      <c r="AB163" s="40">
        <v>2.8571428571428574E-2</v>
      </c>
      <c r="AC163" s="40">
        <v>0.22093023255813954</v>
      </c>
      <c r="AD163" s="40">
        <v>0.3775887238862321</v>
      </c>
      <c r="AE163" s="40">
        <v>0.39333108140713219</v>
      </c>
      <c r="AF163" s="40">
        <v>-0.27777777777777779</v>
      </c>
      <c r="AG163" s="40">
        <v>0.22</v>
      </c>
      <c r="AH163" s="40">
        <v>0.13500000000000001</v>
      </c>
      <c r="AI163" s="40">
        <v>0.18</v>
      </c>
      <c r="AJ163" s="40">
        <v>0.54</v>
      </c>
      <c r="AK163" s="40">
        <v>0.65</v>
      </c>
      <c r="AL163" s="40">
        <v>1.0999999999999999</v>
      </c>
      <c r="AM163" s="40">
        <v>1</v>
      </c>
      <c r="AN163" s="40">
        <v>1</v>
      </c>
      <c r="AO163" s="40">
        <v>2.16</v>
      </c>
      <c r="AP163" s="40">
        <v>1</v>
      </c>
      <c r="AQ163" s="40">
        <f t="shared" ref="AQ163:AQ169" si="124">AVERAGE(AL163,AO163)</f>
        <v>1.63</v>
      </c>
      <c r="AR163" s="40">
        <f t="shared" ref="AR163:AR169" si="125">AVERAGE(AM163)</f>
        <v>1</v>
      </c>
      <c r="AS163" s="40">
        <f t="shared" ref="AS163:AS169" si="126">AVERAGE(AN163,AP163)</f>
        <v>1</v>
      </c>
      <c r="AT163" s="40" cm="1">
        <f t="array" ref="AT163">_xlfn.IFS(AG163&gt;sheet2!$C$2,1,AG163=sheet2!$C$2,0,AG163&lt;sheet2!$C$2,-1)</f>
        <v>1</v>
      </c>
      <c r="AU163" s="40" cm="1">
        <f t="array" ref="AU163">_xlfn.IFS(AH163&gt;sheet2!$D$2,1,AH163=sheet2!$D$2,0,AH163&lt;sheet2!$D$2,-1)</f>
        <v>0</v>
      </c>
      <c r="AV163" s="40" cm="1">
        <f t="array" ref="AV163">_xlfn.IFS(AI163&gt;sheet2!$E$2,1,AI163=sheet2!$E$2,0,AI163&lt;sheet2!$E$2,-1)</f>
        <v>0</v>
      </c>
      <c r="AW163" s="40" cm="1">
        <f t="array" ref="AW163">_xlfn.IFS(AJ163&gt;sheet2!$F$2,1,AJ163=sheet2!$F$2,0,AJ163&lt;sheet2!$F$2,-1)</f>
        <v>1</v>
      </c>
      <c r="AX163" s="40" cm="1">
        <f t="array" ref="AX163">_xlfn.IFS(AK163&gt;sheet2!$G$2,1,AK163=sheet2!$G$2,0,AK163&lt;sheet2!$G$2,-1)</f>
        <v>0</v>
      </c>
      <c r="AY163">
        <v>0.22328091176773765</v>
      </c>
      <c r="AZ163">
        <v>0.58024691358024694</v>
      </c>
      <c r="BA163">
        <v>2.7631691161838702E-2</v>
      </c>
      <c r="BB163">
        <v>1.6765115830894512E-3</v>
      </c>
      <c r="BC163">
        <v>0.46684487904873367</v>
      </c>
    </row>
    <row r="164" spans="1:55" ht="14.4" x14ac:dyDescent="0.25">
      <c r="A164" s="2">
        <v>21</v>
      </c>
      <c r="B164" s="2" t="s">
        <v>33</v>
      </c>
      <c r="C164" s="2">
        <v>2018</v>
      </c>
      <c r="D164" s="2">
        <v>2170</v>
      </c>
      <c r="E164" s="17">
        <v>4857.63701113774</v>
      </c>
      <c r="F164" s="5">
        <v>4832.05</v>
      </c>
      <c r="G164" s="3">
        <f t="shared" si="92"/>
        <v>0.44908475698720002</v>
      </c>
      <c r="H164" s="2">
        <f t="shared" si="121"/>
        <v>-3.6510244497279014E-2</v>
      </c>
      <c r="I164" s="14">
        <v>0.23695449351841516</v>
      </c>
      <c r="J164" s="2">
        <f t="shared" si="122"/>
        <v>2.7815890760023058E-2</v>
      </c>
      <c r="K164">
        <f t="shared" si="95"/>
        <v>1.0052952703589035</v>
      </c>
      <c r="L164">
        <f t="shared" si="123"/>
        <v>-6.4572363121239651E-2</v>
      </c>
      <c r="M164" s="2">
        <v>0</v>
      </c>
      <c r="N164" s="2">
        <v>0</v>
      </c>
      <c r="O164" s="2">
        <v>0</v>
      </c>
      <c r="P164" s="4">
        <v>1</v>
      </c>
      <c r="Q164" s="40">
        <v>0.7793680866442817</v>
      </c>
      <c r="R164" s="40">
        <v>0.63489736070381231</v>
      </c>
      <c r="S164" s="40">
        <v>0.34899455383326361</v>
      </c>
      <c r="T164" s="40">
        <v>0.1</v>
      </c>
      <c r="U164" s="40">
        <v>0.38</v>
      </c>
      <c r="V164" s="40">
        <v>0.46715328467153278</v>
      </c>
      <c r="W164" s="40">
        <v>0.36792452830188682</v>
      </c>
      <c r="X164" s="40">
        <v>-0.23809523809523811</v>
      </c>
      <c r="Y164" s="40">
        <v>8.9837397546220679E-2</v>
      </c>
      <c r="Z164" s="40">
        <v>0.45626975763962047</v>
      </c>
      <c r="AA164" s="40">
        <v>0.25027132379725642</v>
      </c>
      <c r="AB164" s="40">
        <v>2.8571428571428574E-2</v>
      </c>
      <c r="AC164" s="40">
        <v>0.22093023255813954</v>
      </c>
      <c r="AD164" s="40">
        <v>0.3775887238862321</v>
      </c>
      <c r="AE164" s="40">
        <v>0.39333108140713219</v>
      </c>
      <c r="AF164" s="40">
        <v>-0.27777777777777779</v>
      </c>
      <c r="AG164" s="40">
        <v>0.22</v>
      </c>
      <c r="AH164" s="40">
        <v>0.13500000000000001</v>
      </c>
      <c r="AI164" s="40">
        <v>0.18</v>
      </c>
      <c r="AJ164" s="40">
        <v>0.54</v>
      </c>
      <c r="AK164" s="40">
        <v>0.65</v>
      </c>
      <c r="AL164" s="40">
        <v>1.0999999999999999</v>
      </c>
      <c r="AM164" s="40">
        <v>1</v>
      </c>
      <c r="AN164" s="40">
        <v>1</v>
      </c>
      <c r="AO164" s="40">
        <v>2.16</v>
      </c>
      <c r="AP164" s="40">
        <v>1</v>
      </c>
      <c r="AQ164" s="40">
        <f t="shared" si="124"/>
        <v>1.63</v>
      </c>
      <c r="AR164" s="40">
        <f t="shared" si="125"/>
        <v>1</v>
      </c>
      <c r="AS164" s="40">
        <f t="shared" si="126"/>
        <v>1</v>
      </c>
      <c r="AT164" s="40" cm="1">
        <f t="array" ref="AT164">_xlfn.IFS(AG164&gt;sheet2!$C$2,1,AG164=sheet2!$C$2,0,AG164&lt;sheet2!$C$2,-1)</f>
        <v>1</v>
      </c>
      <c r="AU164" s="40" cm="1">
        <f t="array" ref="AU164">_xlfn.IFS(AH164&gt;sheet2!$D$2,1,AH164=sheet2!$D$2,0,AH164&lt;sheet2!$D$2,-1)</f>
        <v>0</v>
      </c>
      <c r="AV164" s="40" cm="1">
        <f t="array" ref="AV164">_xlfn.IFS(AI164&gt;sheet2!$E$2,1,AI164=sheet2!$E$2,0,AI164&lt;sheet2!$E$2,-1)</f>
        <v>0</v>
      </c>
      <c r="AW164" s="40" cm="1">
        <f t="array" ref="AW164">_xlfn.IFS(AJ164&gt;sheet2!$F$2,1,AJ164=sheet2!$F$2,0,AJ164&lt;sheet2!$F$2,-1)</f>
        <v>1</v>
      </c>
      <c r="AX164" s="40" cm="1">
        <f t="array" ref="AX164">_xlfn.IFS(AK164&gt;sheet2!$G$2,1,AK164=sheet2!$G$2,0,AK164&lt;sheet2!$G$2,-1)</f>
        <v>0</v>
      </c>
      <c r="AY164">
        <v>0.21794062561438723</v>
      </c>
      <c r="AZ164">
        <v>0.59164969450101834</v>
      </c>
      <c r="BA164">
        <v>2.7915967819882308E-2</v>
      </c>
      <c r="BB164">
        <v>2.3532041266129283E-3</v>
      </c>
      <c r="BC164">
        <v>0.44502453733814223</v>
      </c>
    </row>
    <row r="165" spans="1:55" ht="14.4" x14ac:dyDescent="0.25">
      <c r="A165" s="2">
        <v>21</v>
      </c>
      <c r="B165" s="2" t="s">
        <v>33</v>
      </c>
      <c r="C165" s="2">
        <v>2019</v>
      </c>
      <c r="D165" s="2">
        <v>2264</v>
      </c>
      <c r="E165" s="17">
        <v>4849.2713216307793</v>
      </c>
      <c r="F165" s="5">
        <v>5308.93</v>
      </c>
      <c r="G165" s="3">
        <f t="shared" si="92"/>
        <v>0.42645128114328118</v>
      </c>
      <c r="H165" s="2">
        <f t="shared" si="121"/>
        <v>-5.0399118410879275E-2</v>
      </c>
      <c r="I165" s="14">
        <v>0.25992271958920593</v>
      </c>
      <c r="J165" s="2">
        <f t="shared" si="122"/>
        <v>9.6930958049148669E-2</v>
      </c>
      <c r="K165">
        <f t="shared" si="95"/>
        <v>0.91341783026537915</v>
      </c>
      <c r="L165">
        <f t="shared" si="123"/>
        <v>-9.1393486871496912E-2</v>
      </c>
      <c r="M165" s="2">
        <v>0</v>
      </c>
      <c r="N165" s="2">
        <v>0</v>
      </c>
      <c r="O165" s="2">
        <v>0</v>
      </c>
      <c r="P165" s="4">
        <v>1</v>
      </c>
      <c r="Q165" s="40">
        <v>0.7793680866442817</v>
      </c>
      <c r="R165" s="40">
        <v>0.63489736070381231</v>
      </c>
      <c r="S165" s="40">
        <v>0.34899455383326361</v>
      </c>
      <c r="T165" s="40">
        <v>0.1</v>
      </c>
      <c r="U165" s="40">
        <v>0.38</v>
      </c>
      <c r="V165" s="40">
        <v>0.46715328467153278</v>
      </c>
      <c r="W165" s="40">
        <v>0.36792452830188682</v>
      </c>
      <c r="X165" s="40">
        <v>-0.23809523809523811</v>
      </c>
      <c r="Y165" s="40">
        <v>8.9837397546220679E-2</v>
      </c>
      <c r="Z165" s="40">
        <v>0.45626975763962047</v>
      </c>
      <c r="AA165" s="40">
        <v>0.25027132379725642</v>
      </c>
      <c r="AB165" s="40">
        <v>2.8571428571428574E-2</v>
      </c>
      <c r="AC165" s="40">
        <v>0.22093023255813954</v>
      </c>
      <c r="AD165" s="40">
        <v>0.3775887238862321</v>
      </c>
      <c r="AE165" s="40">
        <v>0.39333108140713219</v>
      </c>
      <c r="AF165" s="40">
        <v>-0.27777777777777779</v>
      </c>
      <c r="AG165" s="40">
        <v>0.22</v>
      </c>
      <c r="AH165" s="40">
        <v>0.13500000000000001</v>
      </c>
      <c r="AI165" s="40">
        <v>0.18</v>
      </c>
      <c r="AJ165" s="40">
        <v>0.54</v>
      </c>
      <c r="AK165" s="40">
        <v>0.65</v>
      </c>
      <c r="AL165" s="40">
        <v>1.0999999999999999</v>
      </c>
      <c r="AM165" s="40">
        <v>1</v>
      </c>
      <c r="AN165" s="40">
        <v>1</v>
      </c>
      <c r="AO165" s="40">
        <v>2.16</v>
      </c>
      <c r="AP165" s="40">
        <v>1</v>
      </c>
      <c r="AQ165" s="40">
        <f t="shared" si="124"/>
        <v>1.63</v>
      </c>
      <c r="AR165" s="40">
        <f t="shared" si="125"/>
        <v>1</v>
      </c>
      <c r="AS165" s="40">
        <f t="shared" si="126"/>
        <v>1</v>
      </c>
      <c r="AT165" s="40" cm="1">
        <f t="array" ref="AT165">_xlfn.IFS(AG165&gt;sheet2!$C$2,1,AG165=sheet2!$C$2,0,AG165&lt;sheet2!$C$2,-1)</f>
        <v>1</v>
      </c>
      <c r="AU165" s="40" cm="1">
        <f t="array" ref="AU165">_xlfn.IFS(AH165&gt;sheet2!$D$2,1,AH165=sheet2!$D$2,0,AH165&lt;sheet2!$D$2,-1)</f>
        <v>0</v>
      </c>
      <c r="AV165" s="40" cm="1">
        <f t="array" ref="AV165">_xlfn.IFS(AI165&gt;sheet2!$E$2,1,AI165=sheet2!$E$2,0,AI165&lt;sheet2!$E$2,-1)</f>
        <v>0</v>
      </c>
      <c r="AW165" s="40" cm="1">
        <f t="array" ref="AW165">_xlfn.IFS(AJ165&gt;sheet2!$F$2,1,AJ165=sheet2!$F$2,0,AJ165&lt;sheet2!$F$2,-1)</f>
        <v>1</v>
      </c>
      <c r="AX165" s="40" cm="1">
        <f t="array" ref="AX165">_xlfn.IFS(AK165&gt;sheet2!$G$2,1,AK165=sheet2!$G$2,0,AK165&lt;sheet2!$G$2,-1)</f>
        <v>0</v>
      </c>
      <c r="AY165">
        <v>0.20636926838364791</v>
      </c>
      <c r="AZ165">
        <v>0.5939698492462312</v>
      </c>
      <c r="BA165">
        <v>2.8285527475338999E-2</v>
      </c>
      <c r="BB165">
        <v>2.0372090044509911E-3</v>
      </c>
      <c r="BC165">
        <v>0.43803938448294416</v>
      </c>
    </row>
    <row r="166" spans="1:55" ht="14.4" x14ac:dyDescent="0.25">
      <c r="A166" s="2">
        <v>21</v>
      </c>
      <c r="B166" s="2" t="s">
        <v>33</v>
      </c>
      <c r="C166" s="2">
        <v>2020</v>
      </c>
      <c r="D166" s="2">
        <v>2270.64</v>
      </c>
      <c r="E166" s="17">
        <v>5018.0102115917798</v>
      </c>
      <c r="F166" s="5">
        <v>5532.39</v>
      </c>
      <c r="G166" s="3">
        <f t="shared" si="92"/>
        <v>0.4104265968234343</v>
      </c>
      <c r="H166" s="2">
        <f t="shared" si="121"/>
        <v>-3.7576823023924344E-2</v>
      </c>
      <c r="I166" s="14">
        <v>0.29661110659145667</v>
      </c>
      <c r="J166" s="2">
        <f t="shared" si="122"/>
        <v>0.14115113546147406</v>
      </c>
      <c r="K166">
        <f t="shared" si="95"/>
        <v>0.90702394653879781</v>
      </c>
      <c r="L166">
        <f t="shared" si="123"/>
        <v>-6.9999550202821175E-3</v>
      </c>
      <c r="M166" s="2">
        <v>0</v>
      </c>
      <c r="N166" s="2">
        <v>0</v>
      </c>
      <c r="O166" s="2">
        <v>0</v>
      </c>
      <c r="P166" s="4">
        <v>1</v>
      </c>
      <c r="Q166" s="40">
        <v>0.7793680866442817</v>
      </c>
      <c r="R166" s="40">
        <v>0.63489736070381231</v>
      </c>
      <c r="S166" s="40">
        <v>0.34899455383326361</v>
      </c>
      <c r="T166" s="40">
        <v>0.1</v>
      </c>
      <c r="U166" s="40">
        <v>0.38</v>
      </c>
      <c r="V166" s="40">
        <v>0.46715328467153278</v>
      </c>
      <c r="W166" s="40">
        <v>0.36792452830188682</v>
      </c>
      <c r="X166" s="40">
        <v>-0.23809523809523811</v>
      </c>
      <c r="Y166" s="40">
        <v>8.9837397546220679E-2</v>
      </c>
      <c r="Z166" s="40">
        <v>0.45626975763962047</v>
      </c>
      <c r="AA166" s="40">
        <v>0.25027132379725642</v>
      </c>
      <c r="AB166" s="40">
        <v>2.8571428571428574E-2</v>
      </c>
      <c r="AC166" s="40">
        <v>0.22093023255813954</v>
      </c>
      <c r="AD166" s="40">
        <v>0.3775887238862321</v>
      </c>
      <c r="AE166" s="40">
        <v>0.39333108140713219</v>
      </c>
      <c r="AF166" s="40">
        <v>-0.27777777777777779</v>
      </c>
      <c r="AG166" s="40">
        <v>0.22</v>
      </c>
      <c r="AH166" s="40">
        <v>0.13500000000000001</v>
      </c>
      <c r="AI166" s="40">
        <v>0.18</v>
      </c>
      <c r="AJ166" s="40">
        <v>0.54</v>
      </c>
      <c r="AK166" s="40">
        <v>0.65</v>
      </c>
      <c r="AL166" s="40">
        <v>1.0999999999999999</v>
      </c>
      <c r="AM166" s="40">
        <v>1</v>
      </c>
      <c r="AN166" s="40">
        <v>1</v>
      </c>
      <c r="AO166" s="40">
        <v>2.16</v>
      </c>
      <c r="AP166" s="40">
        <v>1</v>
      </c>
      <c r="AQ166" s="40">
        <f t="shared" si="124"/>
        <v>1.63</v>
      </c>
      <c r="AR166" s="40">
        <f t="shared" si="125"/>
        <v>1</v>
      </c>
      <c r="AS166" s="40">
        <f t="shared" si="126"/>
        <v>1</v>
      </c>
      <c r="AT166" s="40" cm="1">
        <f t="array" ref="AT166">_xlfn.IFS(AG166&gt;sheet2!$C$2,1,AG166=sheet2!$C$2,0,AG166&lt;sheet2!$C$2,-1)</f>
        <v>1</v>
      </c>
      <c r="AU166" s="40" cm="1">
        <f t="array" ref="AU166">_xlfn.IFS(AH166&gt;sheet2!$D$2,1,AH166=sheet2!$D$2,0,AH166&lt;sheet2!$D$2,-1)</f>
        <v>0</v>
      </c>
      <c r="AV166" s="40" cm="1">
        <f t="array" ref="AV166">_xlfn.IFS(AI166&gt;sheet2!$E$2,1,AI166=sheet2!$E$2,0,AI166&lt;sheet2!$E$2,-1)</f>
        <v>0</v>
      </c>
      <c r="AW166" s="40" cm="1">
        <f t="array" ref="AW166">_xlfn.IFS(AJ166&gt;sheet2!$F$2,1,AJ166=sheet2!$F$2,0,AJ166&lt;sheet2!$F$2,-1)</f>
        <v>1</v>
      </c>
      <c r="AX166" s="40" cm="1">
        <f t="array" ref="AX166">_xlfn.IFS(AK166&gt;sheet2!$G$2,1,AK166=sheet2!$G$2,0,AK166&lt;sheet2!$G$2,-1)</f>
        <v>0</v>
      </c>
      <c r="AY166">
        <v>0.19423793333441783</v>
      </c>
      <c r="AZ166">
        <v>0.60276679841897229</v>
      </c>
      <c r="BA166">
        <v>2.8768797794013135E-2</v>
      </c>
      <c r="BB166">
        <v>2.1151979524220094E-3</v>
      </c>
      <c r="BC166">
        <v>0.41372702108027537</v>
      </c>
    </row>
    <row r="167" spans="1:55" ht="14.4" x14ac:dyDescent="0.25">
      <c r="A167" s="2">
        <v>21</v>
      </c>
      <c r="B167" s="2" t="s">
        <v>33</v>
      </c>
      <c r="C167" s="2">
        <v>2021</v>
      </c>
      <c r="D167" s="2">
        <v>2446.19</v>
      </c>
      <c r="E167" s="17">
        <v>5100.4498185501598</v>
      </c>
      <c r="F167" s="30">
        <v>6475.2</v>
      </c>
      <c r="G167" s="3">
        <f t="shared" si="92"/>
        <v>0.37777829256239193</v>
      </c>
      <c r="H167" s="2">
        <f t="shared" si="121"/>
        <v>-7.9547243072767254E-2</v>
      </c>
      <c r="I167" s="14">
        <v>0.30773816825349215</v>
      </c>
      <c r="J167" s="2">
        <f t="shared" si="122"/>
        <v>3.7513975083075898E-2</v>
      </c>
      <c r="K167">
        <f t="shared" si="95"/>
        <v>0.78768992750033362</v>
      </c>
      <c r="L167">
        <f t="shared" si="123"/>
        <v>-0.13156655840658082</v>
      </c>
      <c r="M167" s="2">
        <v>0</v>
      </c>
      <c r="N167" s="2">
        <v>0</v>
      </c>
      <c r="O167" s="2">
        <v>0</v>
      </c>
      <c r="P167" s="4">
        <v>1</v>
      </c>
      <c r="Q167" s="40">
        <v>0.7793680866442817</v>
      </c>
      <c r="R167" s="40">
        <v>0.63489736070381231</v>
      </c>
      <c r="S167" s="40">
        <v>0.34899455383326361</v>
      </c>
      <c r="T167" s="40">
        <v>0.1</v>
      </c>
      <c r="U167" s="40">
        <v>0.38</v>
      </c>
      <c r="V167" s="40">
        <v>0.46715328467153278</v>
      </c>
      <c r="W167" s="40">
        <v>0.36792452830188682</v>
      </c>
      <c r="X167" s="40">
        <v>-0.23809523809523811</v>
      </c>
      <c r="Y167" s="40">
        <v>8.9837397546220679E-2</v>
      </c>
      <c r="Z167" s="40">
        <v>0.45626975763962047</v>
      </c>
      <c r="AA167" s="40">
        <v>0.25027132379725642</v>
      </c>
      <c r="AB167" s="40">
        <v>2.8571428571428574E-2</v>
      </c>
      <c r="AC167" s="40">
        <v>0.22093023255813954</v>
      </c>
      <c r="AD167" s="40">
        <v>0.3775887238862321</v>
      </c>
      <c r="AE167" s="40">
        <v>0.39333108140713219</v>
      </c>
      <c r="AF167" s="40">
        <v>-0.27777777777777779</v>
      </c>
      <c r="AG167" s="40">
        <v>0.22</v>
      </c>
      <c r="AH167" s="40">
        <v>0.13500000000000001</v>
      </c>
      <c r="AI167" s="40">
        <v>0.18</v>
      </c>
      <c r="AJ167" s="40">
        <v>0.54</v>
      </c>
      <c r="AK167" s="40">
        <v>0.65</v>
      </c>
      <c r="AL167" s="40">
        <v>1.0999999999999999</v>
      </c>
      <c r="AM167" s="40">
        <v>1</v>
      </c>
      <c r="AN167" s="40">
        <v>1</v>
      </c>
      <c r="AO167" s="40">
        <v>2.16</v>
      </c>
      <c r="AP167" s="40">
        <v>1</v>
      </c>
      <c r="AQ167" s="40">
        <f t="shared" si="124"/>
        <v>1.63</v>
      </c>
      <c r="AR167" s="40">
        <f t="shared" si="125"/>
        <v>1</v>
      </c>
      <c r="AS167" s="40">
        <f t="shared" si="126"/>
        <v>1</v>
      </c>
      <c r="AT167" s="40" cm="1">
        <f t="array" ref="AT167">_xlfn.IFS(AG167&gt;sheet2!$C$2,1,AG167=sheet2!$C$2,0,AG167&lt;sheet2!$C$2,-1)</f>
        <v>1</v>
      </c>
      <c r="AU167" s="40" cm="1">
        <f t="array" ref="AU167">_xlfn.IFS(AH167&gt;sheet2!$D$2,1,AH167=sheet2!$D$2,0,AH167&lt;sheet2!$D$2,-1)</f>
        <v>0</v>
      </c>
      <c r="AV167" s="40" cm="1">
        <f t="array" ref="AV167">_xlfn.IFS(AI167&gt;sheet2!$E$2,1,AI167=sheet2!$E$2,0,AI167&lt;sheet2!$E$2,-1)</f>
        <v>0</v>
      </c>
      <c r="AW167" s="40" cm="1">
        <f t="array" ref="AW167">_xlfn.IFS(AJ167&gt;sheet2!$F$2,1,AJ167=sheet2!$F$2,0,AJ167&lt;sheet2!$F$2,-1)</f>
        <v>1</v>
      </c>
      <c r="AX167" s="40" cm="1">
        <f t="array" ref="AX167">_xlfn.IFS(AK167&gt;sheet2!$G$2,1,AK167=sheet2!$G$2,0,AK167&lt;sheet2!$G$2,-1)</f>
        <v>0</v>
      </c>
      <c r="AY167">
        <v>0.19043427230046947</v>
      </c>
      <c r="AZ167">
        <v>0.6098039215686275</v>
      </c>
      <c r="BA167">
        <v>2.899621912044802E-2</v>
      </c>
      <c r="BB167">
        <v>2.1859556461576476E-3</v>
      </c>
      <c r="BC167">
        <v>0.46726895509214406</v>
      </c>
    </row>
    <row r="168" spans="1:55" ht="14.4" x14ac:dyDescent="0.25">
      <c r="A168" s="2">
        <v>21</v>
      </c>
      <c r="B168" s="2" t="s">
        <v>33</v>
      </c>
      <c r="C168" s="2">
        <v>2022</v>
      </c>
      <c r="D168" s="2">
        <v>2424</v>
      </c>
      <c r="E168" s="17">
        <v>5076.9413957350098</v>
      </c>
      <c r="F168" s="30">
        <v>6818.2</v>
      </c>
      <c r="G168" s="3">
        <f t="shared" si="92"/>
        <v>0.35551905194919481</v>
      </c>
      <c r="H168" s="2">
        <f t="shared" si="121"/>
        <v>-5.8921438980035878E-2</v>
      </c>
      <c r="I168" s="14">
        <v>0.32340621910563694</v>
      </c>
      <c r="J168" s="2">
        <f t="shared" si="122"/>
        <v>5.0913576762563285E-2</v>
      </c>
      <c r="K168">
        <f t="shared" si="95"/>
        <v>0.74461608573157279</v>
      </c>
      <c r="L168">
        <f t="shared" si="123"/>
        <v>-5.468375342243105E-2</v>
      </c>
      <c r="M168" s="2">
        <v>1</v>
      </c>
      <c r="N168" s="2">
        <v>1</v>
      </c>
      <c r="O168" s="2">
        <v>0</v>
      </c>
      <c r="P168" s="4">
        <v>1</v>
      </c>
      <c r="Q168" s="40">
        <v>0.7793680866442817</v>
      </c>
      <c r="R168" s="40">
        <v>0.63489736070381231</v>
      </c>
      <c r="S168" s="40">
        <v>0.34899455383326361</v>
      </c>
      <c r="T168" s="40">
        <v>0.1</v>
      </c>
      <c r="U168" s="40">
        <v>0.38</v>
      </c>
      <c r="V168" s="40">
        <v>0.46715328467153278</v>
      </c>
      <c r="W168" s="40">
        <v>0.36792452830188682</v>
      </c>
      <c r="X168" s="40">
        <v>-0.23809523809523811</v>
      </c>
      <c r="Y168" s="40">
        <v>8.9837397546220679E-2</v>
      </c>
      <c r="Z168" s="40">
        <v>0.45626975763962047</v>
      </c>
      <c r="AA168" s="40">
        <v>0.25027132379725642</v>
      </c>
      <c r="AB168" s="40">
        <v>2.8571428571428574E-2</v>
      </c>
      <c r="AC168" s="40">
        <v>0.22093023255813954</v>
      </c>
      <c r="AD168" s="40">
        <v>0.3775887238862321</v>
      </c>
      <c r="AE168" s="40">
        <v>0.39333108140713219</v>
      </c>
      <c r="AF168" s="40">
        <v>-0.27777777777777779</v>
      </c>
      <c r="AG168" s="40">
        <v>0.22</v>
      </c>
      <c r="AH168" s="40">
        <v>0.13500000000000001</v>
      </c>
      <c r="AI168" s="40">
        <v>0.18</v>
      </c>
      <c r="AJ168" s="40">
        <v>0.54</v>
      </c>
      <c r="AK168" s="40">
        <v>0.65</v>
      </c>
      <c r="AL168" s="40">
        <v>1.0999999999999999</v>
      </c>
      <c r="AM168" s="40">
        <v>1</v>
      </c>
      <c r="AN168" s="40">
        <v>1</v>
      </c>
      <c r="AO168" s="40">
        <v>2.16</v>
      </c>
      <c r="AP168" s="40">
        <v>1</v>
      </c>
      <c r="AQ168" s="40">
        <f t="shared" si="124"/>
        <v>1.63</v>
      </c>
      <c r="AR168" s="40">
        <f t="shared" si="125"/>
        <v>1</v>
      </c>
      <c r="AS168" s="40">
        <f t="shared" si="126"/>
        <v>1</v>
      </c>
      <c r="AT168" s="40" cm="1">
        <f t="array" ref="AT168">_xlfn.IFS(AG168&gt;sheet2!$C$2,1,AG168=sheet2!$C$2,0,AG168&lt;sheet2!$C$2,-1)</f>
        <v>1</v>
      </c>
      <c r="AU168" s="40" cm="1">
        <f t="array" ref="AU168">_xlfn.IFS(AH168&gt;sheet2!$D$2,1,AH168=sheet2!$D$2,0,AH168&lt;sheet2!$D$2,-1)</f>
        <v>0</v>
      </c>
      <c r="AV168" s="40" cm="1">
        <f t="array" ref="AV168">_xlfn.IFS(AI168&gt;sheet2!$E$2,1,AI168=sheet2!$E$2,0,AI168&lt;sheet2!$E$2,-1)</f>
        <v>0</v>
      </c>
      <c r="AW168" s="40" cm="1">
        <f t="array" ref="AW168">_xlfn.IFS(AJ168&gt;sheet2!$F$2,1,AJ168=sheet2!$F$2,0,AJ168&lt;sheet2!$F$2,-1)</f>
        <v>1</v>
      </c>
      <c r="AX168" s="40" cm="1">
        <f t="array" ref="AX168">_xlfn.IFS(AK168&gt;sheet2!$G$2,1,AK168=sheet2!$G$2,0,AK168&lt;sheet2!$G$2,-1)</f>
        <v>0</v>
      </c>
      <c r="AY168">
        <v>0.18793816549822537</v>
      </c>
      <c r="AZ168">
        <v>0.6144109055501461</v>
      </c>
      <c r="BA168">
        <v>2.9195212781078547E-2</v>
      </c>
      <c r="BB168">
        <v>2.1907541579889119E-3</v>
      </c>
      <c r="BC168">
        <v>0.39689229844996354</v>
      </c>
    </row>
    <row r="169" spans="1:55" ht="14.4" x14ac:dyDescent="0.25">
      <c r="A169" s="2">
        <v>21</v>
      </c>
      <c r="B169" s="6" t="s">
        <v>34</v>
      </c>
      <c r="C169" s="2">
        <v>2023</v>
      </c>
      <c r="D169" s="2">
        <v>3027.77</v>
      </c>
      <c r="E169" s="17">
        <v>5293.0816966091797</v>
      </c>
      <c r="F169" s="30">
        <v>7551.2</v>
      </c>
      <c r="G169" s="3">
        <f t="shared" si="92"/>
        <v>0.40096540947134229</v>
      </c>
      <c r="H169" s="2">
        <f t="shared" si="121"/>
        <v>0.12783100447916912</v>
      </c>
      <c r="K169">
        <f t="shared" si="95"/>
        <v>0.70095901268794092</v>
      </c>
      <c r="L169">
        <f t="shared" si="123"/>
        <v>-5.8630311485602042E-2</v>
      </c>
      <c r="M169" s="2">
        <v>1</v>
      </c>
      <c r="N169" s="2">
        <v>1</v>
      </c>
      <c r="O169" s="2">
        <v>1</v>
      </c>
      <c r="P169" s="4">
        <v>1</v>
      </c>
      <c r="Q169" s="40">
        <v>0.7793680866442817</v>
      </c>
      <c r="R169" s="40">
        <v>0.63489736070381231</v>
      </c>
      <c r="S169" s="40">
        <v>0.34899455383326361</v>
      </c>
      <c r="T169" s="40">
        <v>0.1</v>
      </c>
      <c r="U169" s="40">
        <v>0.38</v>
      </c>
      <c r="V169" s="40">
        <v>0.46715328467153278</v>
      </c>
      <c r="W169" s="40">
        <v>0.36792452830188682</v>
      </c>
      <c r="X169" s="40">
        <v>-0.23809523809523811</v>
      </c>
      <c r="Y169" s="40">
        <v>8.9837397546220679E-2</v>
      </c>
      <c r="Z169" s="40">
        <v>0.45626975763962047</v>
      </c>
      <c r="AA169" s="40">
        <v>0.25027132379725642</v>
      </c>
      <c r="AB169" s="40">
        <v>2.8571428571428574E-2</v>
      </c>
      <c r="AC169" s="40">
        <v>0.22093023255813954</v>
      </c>
      <c r="AD169" s="40">
        <v>0.3775887238862321</v>
      </c>
      <c r="AE169" s="40">
        <v>0.39333108140713219</v>
      </c>
      <c r="AF169" s="40">
        <v>-0.27777777777777779</v>
      </c>
      <c r="AG169" s="40">
        <v>0.22</v>
      </c>
      <c r="AH169" s="40">
        <v>0.13500000000000001</v>
      </c>
      <c r="AI169" s="40">
        <v>0.18</v>
      </c>
      <c r="AJ169" s="40">
        <v>0.54</v>
      </c>
      <c r="AK169" s="40">
        <v>0.65</v>
      </c>
      <c r="AL169" s="40">
        <v>1.0999999999999999</v>
      </c>
      <c r="AM169" s="40">
        <v>1</v>
      </c>
      <c r="AN169" s="40">
        <v>1</v>
      </c>
      <c r="AO169" s="40">
        <v>2.16</v>
      </c>
      <c r="AP169" s="40">
        <v>1</v>
      </c>
      <c r="AQ169" s="40">
        <f t="shared" si="124"/>
        <v>1.63</v>
      </c>
      <c r="AR169" s="40">
        <f t="shared" si="125"/>
        <v>1</v>
      </c>
      <c r="AS169" s="40">
        <f t="shared" si="126"/>
        <v>1</v>
      </c>
      <c r="AT169" s="40" cm="1">
        <f t="array" ref="AT169">_xlfn.IFS(AG169&gt;sheet2!$C$2,1,AG169=sheet2!$C$2,0,AG169&lt;sheet2!$C$2,-1)</f>
        <v>1</v>
      </c>
      <c r="AU169" s="40" cm="1">
        <f t="array" ref="AU169">_xlfn.IFS(AH169&gt;sheet2!$D$2,1,AH169=sheet2!$D$2,0,AH169&lt;sheet2!$D$2,-1)</f>
        <v>0</v>
      </c>
      <c r="AV169" s="40" cm="1">
        <f t="array" ref="AV169">_xlfn.IFS(AI169&gt;sheet2!$E$2,1,AI169=sheet2!$E$2,0,AI169&lt;sheet2!$E$2,-1)</f>
        <v>0</v>
      </c>
      <c r="AW169" s="40" cm="1">
        <f t="array" ref="AW169">_xlfn.IFS(AJ169&gt;sheet2!$F$2,1,AJ169=sheet2!$F$2,0,AJ169&lt;sheet2!$F$2,-1)</f>
        <v>1</v>
      </c>
      <c r="AX169" s="40" cm="1">
        <f t="array" ref="AX169">_xlfn.IFS(AK169&gt;sheet2!$G$2,1,AK169=sheet2!$G$2,0,AK169&lt;sheet2!$G$2,-1)</f>
        <v>0</v>
      </c>
      <c r="AY169">
        <v>0.1858512554296006</v>
      </c>
      <c r="AZ169">
        <v>0.62416107382550334</v>
      </c>
      <c r="BA169">
        <v>2.965005543394832E-2</v>
      </c>
      <c r="BB169">
        <v>2.5273334039622843E-3</v>
      </c>
      <c r="BC169">
        <v>0.40050067586795673</v>
      </c>
    </row>
    <row r="170" spans="1:55" s="40" customFormat="1" ht="14.4" x14ac:dyDescent="0.25">
      <c r="A170" s="35">
        <v>22</v>
      </c>
      <c r="B170" s="35" t="s">
        <v>35</v>
      </c>
      <c r="C170" s="35">
        <v>2016</v>
      </c>
      <c r="D170" s="35">
        <v>7982</v>
      </c>
      <c r="E170" s="36">
        <v>15609.039516538</v>
      </c>
      <c r="F170" s="37">
        <v>17740.59</v>
      </c>
      <c r="G170" s="38">
        <f t="shared" si="92"/>
        <v>0.44992866640850165</v>
      </c>
      <c r="H170" s="35"/>
      <c r="I170" s="39">
        <v>0.28599613518047928</v>
      </c>
      <c r="J170" s="35"/>
      <c r="K170" s="40">
        <f t="shared" si="95"/>
        <v>0.879848951840835</v>
      </c>
      <c r="M170" s="35">
        <v>0</v>
      </c>
      <c r="N170" s="35">
        <v>0</v>
      </c>
      <c r="O170" s="35">
        <v>0</v>
      </c>
      <c r="P170" s="41">
        <v>0</v>
      </c>
      <c r="Q170" s="41">
        <v>0.99999999580495169</v>
      </c>
      <c r="R170" s="40">
        <v>0</v>
      </c>
      <c r="S170" s="40">
        <v>0</v>
      </c>
      <c r="T170" s="40">
        <v>0</v>
      </c>
      <c r="U170" s="40">
        <v>0</v>
      </c>
      <c r="V170" s="40">
        <v>0</v>
      </c>
      <c r="W170" s="40">
        <v>0</v>
      </c>
      <c r="X170" s="40">
        <v>0</v>
      </c>
      <c r="Y170" s="40">
        <v>1</v>
      </c>
      <c r="Z170" s="40">
        <v>0</v>
      </c>
      <c r="AA170" s="40">
        <v>0</v>
      </c>
      <c r="AB170" s="40">
        <v>0</v>
      </c>
      <c r="AC170" s="40">
        <v>0</v>
      </c>
      <c r="AD170" s="40">
        <v>0</v>
      </c>
      <c r="AE170" s="40">
        <v>0</v>
      </c>
      <c r="AF170" s="40">
        <v>0</v>
      </c>
      <c r="AG170" s="40">
        <v>0.2</v>
      </c>
      <c r="AH170" s="40">
        <v>0.13500000000000001</v>
      </c>
      <c r="AI170" s="40">
        <v>0.18</v>
      </c>
      <c r="AJ170" s="40">
        <v>0.25</v>
      </c>
      <c r="AK170" s="40">
        <v>0.65</v>
      </c>
      <c r="AL170" s="40">
        <v>1</v>
      </c>
      <c r="AM170" s="40">
        <v>1</v>
      </c>
      <c r="AN170" s="40">
        <v>1</v>
      </c>
      <c r="AO170" s="40">
        <v>1</v>
      </c>
      <c r="AP170" s="40">
        <v>1</v>
      </c>
      <c r="AQ170" s="40">
        <f t="shared" si="106"/>
        <v>1</v>
      </c>
      <c r="AR170" s="40">
        <f t="shared" si="107"/>
        <v>1</v>
      </c>
      <c r="AS170" s="40">
        <f t="shared" si="108"/>
        <v>1</v>
      </c>
      <c r="AT170" s="40" cm="1">
        <f t="array" ref="AT170">_xlfn.IFS(AG170&gt;sheet2!$C$2,1,AG170=sheet2!$C$2,0,AG170&lt;sheet2!$C$2,-1)</f>
        <v>0</v>
      </c>
      <c r="AU170" s="40" cm="1">
        <f t="array" ref="AU170">_xlfn.IFS(AH170&gt;sheet2!$D$2,1,AH170=sheet2!$D$2,0,AH170&lt;sheet2!$D$2,-1)</f>
        <v>0</v>
      </c>
      <c r="AV170" s="40" cm="1">
        <f t="array" ref="AV170">_xlfn.IFS(AI170&gt;sheet2!$E$2,1,AI170=sheet2!$E$2,0,AI170&lt;sheet2!$E$2,-1)</f>
        <v>0</v>
      </c>
      <c r="AW170" s="40" cm="1">
        <f t="array" ref="AW170">_xlfn.IFS(AJ170&gt;sheet2!$F$2,1,AJ170=sheet2!$F$2,0,AJ170&lt;sheet2!$F$2,-1)</f>
        <v>0</v>
      </c>
      <c r="AX170" s="40" cm="1">
        <f t="array" ref="AX170">_xlfn.IFS(AK170&gt;sheet2!$G$2,1,AK170=sheet2!$G$2,0,AK170&lt;sheet2!$G$2,-1)</f>
        <v>0</v>
      </c>
      <c r="AY170" s="40">
        <v>0.43771937686401635</v>
      </c>
      <c r="AZ170" s="40">
        <v>0.63344051446945338</v>
      </c>
      <c r="BA170" s="40">
        <v>3.7754631315706409E-2</v>
      </c>
      <c r="BB170" s="40">
        <v>1.3386584098950485E-2</v>
      </c>
      <c r="BC170" s="40">
        <v>0.55672558167429231</v>
      </c>
    </row>
    <row r="171" spans="1:55" ht="14.4" x14ac:dyDescent="0.25">
      <c r="A171" s="2">
        <v>22</v>
      </c>
      <c r="B171" s="2" t="s">
        <v>35</v>
      </c>
      <c r="C171" s="2">
        <v>2017</v>
      </c>
      <c r="D171" s="2">
        <v>8279</v>
      </c>
      <c r="E171" s="17">
        <v>15898.494629194302</v>
      </c>
      <c r="F171" s="5">
        <v>19424.73</v>
      </c>
      <c r="G171" s="3">
        <f t="shared" si="92"/>
        <v>0.4262092703476445</v>
      </c>
      <c r="H171" s="2">
        <f t="shared" ref="H171:H177" si="127">(G171-G170)/G170</f>
        <v>-5.2718125853580787E-2</v>
      </c>
      <c r="I171" s="14">
        <v>0.27242817553368753</v>
      </c>
      <c r="J171" s="2">
        <f t="shared" ref="J171:J176" si="128">(I171-I170)/I170</f>
        <v>-4.7441059433301853E-2</v>
      </c>
      <c r="K171">
        <f t="shared" si="95"/>
        <v>0.8184666983373412</v>
      </c>
      <c r="L171">
        <f t="shared" ref="L171:L177" si="129">(K171-K170)/K170</f>
        <v>-6.9764535577463385E-2</v>
      </c>
      <c r="M171" s="2">
        <v>0</v>
      </c>
      <c r="N171" s="2">
        <v>0</v>
      </c>
      <c r="O171" s="2">
        <v>0</v>
      </c>
      <c r="P171" s="4">
        <v>0</v>
      </c>
      <c r="Q171" s="41">
        <v>0.99999999580495169</v>
      </c>
      <c r="R171" s="40">
        <v>0</v>
      </c>
      <c r="S171" s="40">
        <v>0</v>
      </c>
      <c r="T171" s="40">
        <v>0</v>
      </c>
      <c r="U171" s="40">
        <v>0</v>
      </c>
      <c r="V171" s="40">
        <v>0</v>
      </c>
      <c r="W171" s="40">
        <v>0</v>
      </c>
      <c r="X171" s="40">
        <v>0</v>
      </c>
      <c r="Y171" s="40">
        <v>1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0.2</v>
      </c>
      <c r="AH171" s="40">
        <v>0.13500000000000001</v>
      </c>
      <c r="AI171" s="40">
        <v>0.18</v>
      </c>
      <c r="AJ171" s="40">
        <v>0.25</v>
      </c>
      <c r="AK171" s="40">
        <v>0.65</v>
      </c>
      <c r="AL171" s="40">
        <v>1</v>
      </c>
      <c r="AM171" s="40">
        <v>1</v>
      </c>
      <c r="AN171" s="40">
        <v>1</v>
      </c>
      <c r="AO171" s="40">
        <v>1</v>
      </c>
      <c r="AP171" s="40">
        <v>1</v>
      </c>
      <c r="AQ171" s="40">
        <f t="shared" ref="AQ171:AQ177" si="130">AVERAGE(AL171,AO171)</f>
        <v>1</v>
      </c>
      <c r="AR171" s="40">
        <f t="shared" ref="AR171:AR177" si="131">AVERAGE(AM171)</f>
        <v>1</v>
      </c>
      <c r="AS171" s="40">
        <f t="shared" ref="AS171:AS177" si="132">AVERAGE(AN171,AP171)</f>
        <v>1</v>
      </c>
      <c r="AT171" s="40" cm="1">
        <f t="array" ref="AT171">_xlfn.IFS(AG171&gt;sheet2!$C$2,1,AG171=sheet2!$C$2,0,AG171&lt;sheet2!$C$2,-1)</f>
        <v>0</v>
      </c>
      <c r="AU171" s="40" cm="1">
        <f t="array" ref="AU171">_xlfn.IFS(AH171&gt;sheet2!$D$2,1,AH171=sheet2!$D$2,0,AH171&lt;sheet2!$D$2,-1)</f>
        <v>0</v>
      </c>
      <c r="AV171" s="40" cm="1">
        <f t="array" ref="AV171">_xlfn.IFS(AI171&gt;sheet2!$E$2,1,AI171=sheet2!$E$2,0,AI171&lt;sheet2!$E$2,-1)</f>
        <v>0</v>
      </c>
      <c r="AW171" s="40" cm="1">
        <f t="array" ref="AW171">_xlfn.IFS(AJ171&gt;sheet2!$F$2,1,AJ171=sheet2!$F$2,0,AJ171&lt;sheet2!$F$2,-1)</f>
        <v>0</v>
      </c>
      <c r="AX171" s="40" cm="1">
        <f t="array" ref="AX171">_xlfn.IFS(AK171&gt;sheet2!$G$2,1,AK171=sheet2!$G$2,0,AK171&lt;sheet2!$G$2,-1)</f>
        <v>0</v>
      </c>
      <c r="AY171">
        <v>0.43526988534718375</v>
      </c>
      <c r="AZ171">
        <v>0.65012722646310428</v>
      </c>
      <c r="BA171">
        <v>3.8167382912083908E-2</v>
      </c>
      <c r="BB171">
        <v>1.4414542698920396E-2</v>
      </c>
      <c r="BC171">
        <v>0.51942678978294765</v>
      </c>
    </row>
    <row r="172" spans="1:55" ht="14.4" x14ac:dyDescent="0.25">
      <c r="A172" s="2">
        <v>22</v>
      </c>
      <c r="B172" s="2" t="s">
        <v>35</v>
      </c>
      <c r="C172" s="2">
        <v>2018</v>
      </c>
      <c r="D172" s="2">
        <v>8557</v>
      </c>
      <c r="E172" s="17">
        <v>16365.151936398699</v>
      </c>
      <c r="F172" s="5">
        <v>20363.189999999999</v>
      </c>
      <c r="G172" s="3">
        <f t="shared" si="92"/>
        <v>0.42021903247968517</v>
      </c>
      <c r="H172" s="2">
        <f t="shared" si="127"/>
        <v>-1.4054686945390207E-2</v>
      </c>
      <c r="I172" s="14">
        <v>0.24931975876353871</v>
      </c>
      <c r="J172" s="2">
        <f t="shared" si="128"/>
        <v>-8.4823886974536966E-2</v>
      </c>
      <c r="K172">
        <f t="shared" si="95"/>
        <v>0.8036634700358195</v>
      </c>
      <c r="L172">
        <f t="shared" si="129"/>
        <v>-1.8086537096247701E-2</v>
      </c>
      <c r="M172" s="2">
        <v>0</v>
      </c>
      <c r="N172" s="2">
        <v>0</v>
      </c>
      <c r="O172" s="2">
        <v>0</v>
      </c>
      <c r="P172" s="4">
        <v>0</v>
      </c>
      <c r="Q172" s="41">
        <v>0.99999999580495169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1</v>
      </c>
      <c r="Z172" s="40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0.2</v>
      </c>
      <c r="AH172" s="40">
        <v>0.13500000000000001</v>
      </c>
      <c r="AI172" s="40">
        <v>0.18</v>
      </c>
      <c r="AJ172" s="40">
        <v>0.25</v>
      </c>
      <c r="AK172" s="40">
        <v>0.65</v>
      </c>
      <c r="AL172" s="40">
        <v>1</v>
      </c>
      <c r="AM172" s="40">
        <v>1</v>
      </c>
      <c r="AN172" s="40">
        <v>1</v>
      </c>
      <c r="AO172" s="40">
        <v>1</v>
      </c>
      <c r="AP172" s="40">
        <v>1</v>
      </c>
      <c r="AQ172" s="40">
        <f t="shared" si="130"/>
        <v>1</v>
      </c>
      <c r="AR172" s="40">
        <f t="shared" si="131"/>
        <v>1</v>
      </c>
      <c r="AS172" s="40">
        <f t="shared" si="132"/>
        <v>1</v>
      </c>
      <c r="AT172" s="40" cm="1">
        <f t="array" ref="AT172">_xlfn.IFS(AG172&gt;sheet2!$C$2,1,AG172=sheet2!$C$2,0,AG172&lt;sheet2!$C$2,-1)</f>
        <v>0</v>
      </c>
      <c r="AU172" s="40" cm="1">
        <f t="array" ref="AU172">_xlfn.IFS(AH172&gt;sheet2!$D$2,1,AH172=sheet2!$D$2,0,AH172&lt;sheet2!$D$2,-1)</f>
        <v>0</v>
      </c>
      <c r="AV172" s="40" cm="1">
        <f t="array" ref="AV172">_xlfn.IFS(AI172&gt;sheet2!$E$2,1,AI172=sheet2!$E$2,0,AI172&lt;sheet2!$E$2,-1)</f>
        <v>0</v>
      </c>
      <c r="AW172" s="40" cm="1">
        <f t="array" ref="AW172">_xlfn.IFS(AJ172&gt;sheet2!$F$2,1,AJ172=sheet2!$F$2,0,AJ172&lt;sheet2!$F$2,-1)</f>
        <v>0</v>
      </c>
      <c r="AX172" s="40" cm="1">
        <f t="array" ref="AX172">_xlfn.IFS(AK172&gt;sheet2!$G$2,1,AK172=sheet2!$G$2,0,AK172&lt;sheet2!$G$2,-1)</f>
        <v>0</v>
      </c>
      <c r="AY172">
        <v>0.43422469662169833</v>
      </c>
      <c r="AZ172">
        <v>0.66613974075245019</v>
      </c>
      <c r="BA172">
        <v>3.8398038215941926E-2</v>
      </c>
      <c r="BB172">
        <v>1.4693626096893465E-2</v>
      </c>
      <c r="BC172">
        <v>0.49891322300399699</v>
      </c>
    </row>
    <row r="173" spans="1:55" ht="14.4" x14ac:dyDescent="0.25">
      <c r="A173" s="2">
        <v>22</v>
      </c>
      <c r="B173" s="2" t="s">
        <v>35</v>
      </c>
      <c r="C173" s="2">
        <v>2019</v>
      </c>
      <c r="D173" s="2">
        <v>8889</v>
      </c>
      <c r="E173" s="17">
        <v>16507.5533406213</v>
      </c>
      <c r="F173" s="5">
        <v>23605.77</v>
      </c>
      <c r="G173" s="3">
        <f t="shared" si="92"/>
        <v>0.37656047652756086</v>
      </c>
      <c r="H173" s="2">
        <f t="shared" si="127"/>
        <v>-0.10389476101188948</v>
      </c>
      <c r="I173" s="14">
        <v>0.26189568507776467</v>
      </c>
      <c r="J173" s="2">
        <f t="shared" si="128"/>
        <v>5.0440953322730027E-2</v>
      </c>
      <c r="K173">
        <f t="shared" si="95"/>
        <v>0.69930162585763145</v>
      </c>
      <c r="L173">
        <f t="shared" si="129"/>
        <v>-0.12985764324156307</v>
      </c>
      <c r="M173" s="2">
        <v>0</v>
      </c>
      <c r="N173" s="2">
        <v>0</v>
      </c>
      <c r="O173" s="2">
        <v>0</v>
      </c>
      <c r="P173" s="4">
        <v>0</v>
      </c>
      <c r="Q173" s="41">
        <v>0.99999999580495169</v>
      </c>
      <c r="R173" s="40">
        <v>0</v>
      </c>
      <c r="S173" s="40">
        <v>0</v>
      </c>
      <c r="T173" s="40">
        <v>0</v>
      </c>
      <c r="U173" s="40">
        <v>0</v>
      </c>
      <c r="V173" s="40">
        <v>0</v>
      </c>
      <c r="W173" s="40">
        <v>0</v>
      </c>
      <c r="X173" s="40">
        <v>0</v>
      </c>
      <c r="Y173" s="40">
        <v>1</v>
      </c>
      <c r="Z173" s="40">
        <v>0</v>
      </c>
      <c r="AA173" s="40">
        <v>0</v>
      </c>
      <c r="AB173" s="40">
        <v>0</v>
      </c>
      <c r="AC173" s="40">
        <v>0</v>
      </c>
      <c r="AD173" s="40">
        <v>0</v>
      </c>
      <c r="AE173" s="40">
        <v>0</v>
      </c>
      <c r="AF173" s="40">
        <v>0</v>
      </c>
      <c r="AG173" s="40">
        <v>0.2</v>
      </c>
      <c r="AH173" s="40">
        <v>0.13500000000000001</v>
      </c>
      <c r="AI173" s="40">
        <v>0.18</v>
      </c>
      <c r="AJ173" s="40">
        <v>0.25</v>
      </c>
      <c r="AK173" s="40">
        <v>0.65</v>
      </c>
      <c r="AL173" s="40">
        <v>1</v>
      </c>
      <c r="AM173" s="40">
        <v>1</v>
      </c>
      <c r="AN173" s="40">
        <v>1</v>
      </c>
      <c r="AO173" s="40">
        <v>1</v>
      </c>
      <c r="AP173" s="40">
        <v>1</v>
      </c>
      <c r="AQ173" s="40">
        <f t="shared" si="130"/>
        <v>1</v>
      </c>
      <c r="AR173" s="40">
        <f t="shared" si="131"/>
        <v>1</v>
      </c>
      <c r="AS173" s="40">
        <f t="shared" si="132"/>
        <v>1</v>
      </c>
      <c r="AT173" s="40" cm="1">
        <f t="array" ref="AT173">_xlfn.IFS(AG173&gt;sheet2!$C$2,1,AG173=sheet2!$C$2,0,AG173&lt;sheet2!$C$2,-1)</f>
        <v>0</v>
      </c>
      <c r="AU173" s="40" cm="1">
        <f t="array" ref="AU173">_xlfn.IFS(AH173&gt;sheet2!$D$2,1,AH173=sheet2!$D$2,0,AH173&lt;sheet2!$D$2,-1)</f>
        <v>0</v>
      </c>
      <c r="AV173" s="40" cm="1">
        <f t="array" ref="AV173">_xlfn.IFS(AI173&gt;sheet2!$E$2,1,AI173=sheet2!$E$2,0,AI173&lt;sheet2!$E$2,-1)</f>
        <v>0</v>
      </c>
      <c r="AW173" s="40" cm="1">
        <f t="array" ref="AW173">_xlfn.IFS(AJ173&gt;sheet2!$F$2,1,AJ173=sheet2!$F$2,0,AJ173&lt;sheet2!$F$2,-1)</f>
        <v>0</v>
      </c>
      <c r="AX173" s="40" cm="1">
        <f t="array" ref="AX173">_xlfn.IFS(AK173&gt;sheet2!$G$2,1,AK173=sheet2!$G$2,0,AK173&lt;sheet2!$G$2,-1)</f>
        <v>0</v>
      </c>
      <c r="AY173">
        <v>0.38379599564004896</v>
      </c>
      <c r="AZ173">
        <v>0.68224592220828106</v>
      </c>
      <c r="BA173">
        <v>3.8701532036807727E-2</v>
      </c>
      <c r="BB173">
        <v>1.4229224465035455E-2</v>
      </c>
      <c r="BC173">
        <v>0.44040241930160401</v>
      </c>
    </row>
    <row r="174" spans="1:55" ht="14.4" x14ac:dyDescent="0.25">
      <c r="A174" s="2">
        <v>22</v>
      </c>
      <c r="B174" s="2" t="s">
        <v>35</v>
      </c>
      <c r="C174" s="2">
        <v>2020</v>
      </c>
      <c r="D174" s="2">
        <v>7621.87</v>
      </c>
      <c r="E174" s="17">
        <v>16542.358534825999</v>
      </c>
      <c r="F174" s="5">
        <v>25002.79</v>
      </c>
      <c r="G174" s="3">
        <f t="shared" si="92"/>
        <v>0.30484077976897778</v>
      </c>
      <c r="H174" s="2">
        <f t="shared" si="127"/>
        <v>-0.1904599691925816</v>
      </c>
      <c r="I174" s="14">
        <v>0.26104775912144002</v>
      </c>
      <c r="J174" s="2">
        <f t="shared" si="128"/>
        <v>-3.2376476766804428E-3</v>
      </c>
      <c r="K174">
        <f t="shared" si="95"/>
        <v>0.66162050454473276</v>
      </c>
      <c r="L174">
        <f t="shared" si="129"/>
        <v>-5.3883932082506081E-2</v>
      </c>
      <c r="M174" s="2">
        <v>0</v>
      </c>
      <c r="N174" s="2">
        <v>0</v>
      </c>
      <c r="O174" s="2">
        <v>0</v>
      </c>
      <c r="P174" s="4">
        <v>0</v>
      </c>
      <c r="Q174" s="41">
        <v>0.99999999580495169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0</v>
      </c>
      <c r="X174" s="40">
        <v>0</v>
      </c>
      <c r="Y174" s="40">
        <v>1</v>
      </c>
      <c r="Z174" s="40">
        <v>0</v>
      </c>
      <c r="AA174" s="40">
        <v>0</v>
      </c>
      <c r="AB174" s="40">
        <v>0</v>
      </c>
      <c r="AC174" s="40">
        <v>0</v>
      </c>
      <c r="AD174" s="40">
        <v>0</v>
      </c>
      <c r="AE174" s="40">
        <v>0</v>
      </c>
      <c r="AF174" s="40">
        <v>0</v>
      </c>
      <c r="AG174" s="40">
        <v>0.2</v>
      </c>
      <c r="AH174" s="40">
        <v>0.13500000000000001</v>
      </c>
      <c r="AI174" s="40">
        <v>0.18</v>
      </c>
      <c r="AJ174" s="40">
        <v>0.25</v>
      </c>
      <c r="AK174" s="40">
        <v>0.65</v>
      </c>
      <c r="AL174" s="40">
        <v>1</v>
      </c>
      <c r="AM174" s="40">
        <v>1</v>
      </c>
      <c r="AN174" s="40">
        <v>1</v>
      </c>
      <c r="AO174" s="40">
        <v>1</v>
      </c>
      <c r="AP174" s="40">
        <v>1</v>
      </c>
      <c r="AQ174" s="40">
        <f t="shared" si="130"/>
        <v>1</v>
      </c>
      <c r="AR174" s="40">
        <f t="shared" si="131"/>
        <v>1</v>
      </c>
      <c r="AS174" s="40">
        <f t="shared" si="132"/>
        <v>1</v>
      </c>
      <c r="AT174" s="40" cm="1">
        <f t="array" ref="AT174">_xlfn.IFS(AG174&gt;sheet2!$C$2,1,AG174=sheet2!$C$2,0,AG174&lt;sheet2!$C$2,-1)</f>
        <v>0</v>
      </c>
      <c r="AU174" s="40" cm="1">
        <f t="array" ref="AU174">_xlfn.IFS(AH174&gt;sheet2!$D$2,1,AH174=sheet2!$D$2,0,AH174&lt;sheet2!$D$2,-1)</f>
        <v>0</v>
      </c>
      <c r="AV174" s="40" cm="1">
        <f t="array" ref="AV174">_xlfn.IFS(AI174&gt;sheet2!$E$2,1,AI174=sheet2!$E$2,0,AI174&lt;sheet2!$E$2,-1)</f>
        <v>0</v>
      </c>
      <c r="AW174" s="40" cm="1">
        <f t="array" ref="AW174">_xlfn.IFS(AJ174&gt;sheet2!$F$2,1,AJ174=sheet2!$F$2,0,AJ174&lt;sheet2!$F$2,-1)</f>
        <v>0</v>
      </c>
      <c r="AX174" s="40" cm="1">
        <f t="array" ref="AX174">_xlfn.IFS(AK174&gt;sheet2!$G$2,1,AK174=sheet2!$G$2,0,AK174&lt;sheet2!$G$2,-1)</f>
        <v>0</v>
      </c>
      <c r="AY174">
        <v>0.38579694506093121</v>
      </c>
      <c r="AZ174">
        <v>0.69460891243377998</v>
      </c>
      <c r="BA174">
        <v>3.8956466846335011E-2</v>
      </c>
      <c r="BB174">
        <v>1.4900777073278621E-2</v>
      </c>
      <c r="BC174">
        <v>0.42804891754104557</v>
      </c>
    </row>
    <row r="175" spans="1:55" ht="14.4" x14ac:dyDescent="0.25">
      <c r="A175" s="2">
        <v>22</v>
      </c>
      <c r="B175" s="2" t="s">
        <v>35</v>
      </c>
      <c r="C175" s="2">
        <v>2021</v>
      </c>
      <c r="D175" s="2">
        <v>8046.31</v>
      </c>
      <c r="E175" s="17">
        <v>17022.8892466375</v>
      </c>
      <c r="F175" s="30">
        <v>27894.02</v>
      </c>
      <c r="G175" s="3">
        <f t="shared" si="92"/>
        <v>0.28846003552015809</v>
      </c>
      <c r="H175" s="2">
        <f t="shared" si="127"/>
        <v>-5.3735409879327047E-2</v>
      </c>
      <c r="I175" s="14">
        <v>0.28727369346296389</v>
      </c>
      <c r="J175" s="2">
        <f t="shared" si="128"/>
        <v>0.10046412361396102</v>
      </c>
      <c r="K175">
        <f t="shared" si="95"/>
        <v>0.61027020295523915</v>
      </c>
      <c r="L175">
        <f t="shared" si="129"/>
        <v>-7.7612923476167398E-2</v>
      </c>
      <c r="M175" s="2">
        <v>0</v>
      </c>
      <c r="N175" s="2">
        <v>0</v>
      </c>
      <c r="O175" s="2">
        <v>0</v>
      </c>
      <c r="P175" s="4">
        <v>0</v>
      </c>
      <c r="Q175" s="41">
        <v>0.99999999580495169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1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0.2</v>
      </c>
      <c r="AH175" s="40">
        <v>0.13500000000000001</v>
      </c>
      <c r="AI175" s="40">
        <v>0.18</v>
      </c>
      <c r="AJ175" s="40">
        <v>0.25</v>
      </c>
      <c r="AK175" s="40">
        <v>0.65</v>
      </c>
      <c r="AL175" s="40">
        <v>1</v>
      </c>
      <c r="AM175" s="40">
        <v>1</v>
      </c>
      <c r="AN175" s="40">
        <v>1</v>
      </c>
      <c r="AO175" s="40">
        <v>1</v>
      </c>
      <c r="AP175" s="40">
        <v>1</v>
      </c>
      <c r="AQ175" s="40">
        <f t="shared" si="130"/>
        <v>1</v>
      </c>
      <c r="AR175" s="40">
        <f t="shared" si="131"/>
        <v>1</v>
      </c>
      <c r="AS175" s="40">
        <f t="shared" si="132"/>
        <v>1</v>
      </c>
      <c r="AT175" s="40" cm="1">
        <f t="array" ref="AT175">_xlfn.IFS(AG175&gt;sheet2!$C$2,1,AG175=sheet2!$C$2,0,AG175&lt;sheet2!$C$2,-1)</f>
        <v>0</v>
      </c>
      <c r="AU175" s="40" cm="1">
        <f t="array" ref="AU175">_xlfn.IFS(AH175&gt;sheet2!$D$2,1,AH175=sheet2!$D$2,0,AH175&lt;sheet2!$D$2,-1)</f>
        <v>0</v>
      </c>
      <c r="AV175" s="40" cm="1">
        <f t="array" ref="AV175">_xlfn.IFS(AI175&gt;sheet2!$E$2,1,AI175=sheet2!$E$2,0,AI175&lt;sheet2!$E$2,-1)</f>
        <v>0</v>
      </c>
      <c r="AW175" s="40" cm="1">
        <f t="array" ref="AW175">_xlfn.IFS(AJ175&gt;sheet2!$F$2,1,AJ175=sheet2!$F$2,0,AJ175&lt;sheet2!$F$2,-1)</f>
        <v>0</v>
      </c>
      <c r="AX175" s="40" cm="1">
        <f t="array" ref="AX175">_xlfn.IFS(AK175&gt;sheet2!$G$2,1,AK175=sheet2!$G$2,0,AK175&lt;sheet2!$G$2,-1)</f>
        <v>0</v>
      </c>
      <c r="AY175">
        <v>0.38285983877547947</v>
      </c>
      <c r="AZ175">
        <v>0.70330012453300128</v>
      </c>
      <c r="BA175">
        <v>3.8992886104838906E-2</v>
      </c>
      <c r="BB175">
        <v>1.5219272804708681E-2</v>
      </c>
      <c r="BC175">
        <v>0.47268286226024075</v>
      </c>
    </row>
    <row r="176" spans="1:55" ht="14.4" x14ac:dyDescent="0.25">
      <c r="A176" s="2">
        <v>22</v>
      </c>
      <c r="B176" s="2" t="s">
        <v>35</v>
      </c>
      <c r="C176" s="2">
        <v>2022</v>
      </c>
      <c r="D176" s="2">
        <v>8022.76</v>
      </c>
      <c r="E176" s="17">
        <v>16904.968318593001</v>
      </c>
      <c r="F176" s="30">
        <v>29129</v>
      </c>
      <c r="G176" s="3">
        <f t="shared" si="92"/>
        <v>0.27542174465309488</v>
      </c>
      <c r="H176" s="2">
        <f t="shared" si="127"/>
        <v>-4.5199643838191472E-2</v>
      </c>
      <c r="I176" s="14">
        <v>0.31617234985686388</v>
      </c>
      <c r="J176" s="2">
        <f t="shared" si="128"/>
        <v>0.10059625037551753</v>
      </c>
      <c r="K176">
        <f t="shared" si="95"/>
        <v>0.58034839227549861</v>
      </c>
      <c r="L176">
        <f t="shared" si="129"/>
        <v>-4.9030430348465132E-2</v>
      </c>
      <c r="M176" s="2">
        <v>1</v>
      </c>
      <c r="N176" s="2">
        <v>1</v>
      </c>
      <c r="O176" s="2">
        <v>0</v>
      </c>
      <c r="P176" s="4">
        <v>0</v>
      </c>
      <c r="Q176" s="41">
        <v>0.99999999580495169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40">
        <v>0</v>
      </c>
      <c r="X176" s="40">
        <v>0</v>
      </c>
      <c r="Y176" s="40">
        <v>1</v>
      </c>
      <c r="Z176" s="40">
        <v>0</v>
      </c>
      <c r="AA176" s="40">
        <v>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0.2</v>
      </c>
      <c r="AH176" s="40">
        <v>0.13500000000000001</v>
      </c>
      <c r="AI176" s="40">
        <v>0.18</v>
      </c>
      <c r="AJ176" s="40">
        <v>0.25</v>
      </c>
      <c r="AK176" s="40">
        <v>0.65</v>
      </c>
      <c r="AL176" s="40">
        <v>1</v>
      </c>
      <c r="AM176" s="40">
        <v>1</v>
      </c>
      <c r="AN176" s="40">
        <v>1</v>
      </c>
      <c r="AO176" s="40">
        <v>1</v>
      </c>
      <c r="AP176" s="40">
        <v>1</v>
      </c>
      <c r="AQ176" s="40">
        <f t="shared" si="130"/>
        <v>1</v>
      </c>
      <c r="AR176" s="40">
        <f t="shared" si="131"/>
        <v>1</v>
      </c>
      <c r="AS176" s="40">
        <f t="shared" si="132"/>
        <v>1</v>
      </c>
      <c r="AT176" s="40" cm="1">
        <f t="array" ref="AT176">_xlfn.IFS(AG176&gt;sheet2!$C$2,1,AG176=sheet2!$C$2,0,AG176&lt;sheet2!$C$2,-1)</f>
        <v>0</v>
      </c>
      <c r="AU176" s="40" cm="1">
        <f t="array" ref="AU176">_xlfn.IFS(AH176&gt;sheet2!$D$2,1,AH176=sheet2!$D$2,0,AH176&lt;sheet2!$D$2,-1)</f>
        <v>0</v>
      </c>
      <c r="AV176" s="40" cm="1">
        <f t="array" ref="AV176">_xlfn.IFS(AI176&gt;sheet2!$E$2,1,AI176=sheet2!$E$2,0,AI176&lt;sheet2!$E$2,-1)</f>
        <v>0</v>
      </c>
      <c r="AW176" s="40" cm="1">
        <f t="array" ref="AW176">_xlfn.IFS(AJ176&gt;sheet2!$F$2,1,AJ176=sheet2!$F$2,0,AJ176&lt;sheet2!$F$2,-1)</f>
        <v>0</v>
      </c>
      <c r="AX176" s="40" cm="1">
        <f t="array" ref="AX176">_xlfn.IFS(AK176&gt;sheet2!$G$2,1,AK176=sheet2!$G$2,0,AK176&lt;sheet2!$G$2,-1)</f>
        <v>0</v>
      </c>
      <c r="AY176">
        <v>0.35968965635620859</v>
      </c>
      <c r="AZ176">
        <v>0.70961718020541553</v>
      </c>
      <c r="BA176">
        <v>3.9005025857673535E-2</v>
      </c>
      <c r="BB176">
        <v>1.6455580349479901E-2</v>
      </c>
      <c r="BC176">
        <v>0.42990371507346553</v>
      </c>
    </row>
    <row r="177" spans="1:55" ht="14.4" x14ac:dyDescent="0.25">
      <c r="A177" s="2">
        <v>22</v>
      </c>
      <c r="B177" s="2" t="s">
        <v>35</v>
      </c>
      <c r="C177" s="2">
        <v>2023</v>
      </c>
      <c r="D177" s="2">
        <v>8426.2800000000007</v>
      </c>
      <c r="E177">
        <v>18104.187945013298</v>
      </c>
      <c r="F177" s="32">
        <v>30145.79</v>
      </c>
      <c r="G177" s="3">
        <f t="shared" si="92"/>
        <v>0.27951763745451685</v>
      </c>
      <c r="H177" s="2">
        <f t="shared" si="127"/>
        <v>1.4871348689555797E-2</v>
      </c>
      <c r="I177" s="14"/>
      <c r="K177">
        <f t="shared" si="95"/>
        <v>0.60055443712084833</v>
      </c>
      <c r="L177">
        <f t="shared" si="129"/>
        <v>3.4817094549230099E-2</v>
      </c>
      <c r="M177" s="2">
        <v>1</v>
      </c>
      <c r="N177" s="2">
        <v>1</v>
      </c>
      <c r="O177" s="2">
        <v>1</v>
      </c>
      <c r="P177" s="4">
        <v>0</v>
      </c>
      <c r="Q177" s="41">
        <v>0.99999999580495169</v>
      </c>
      <c r="R177" s="40">
        <v>0</v>
      </c>
      <c r="S177" s="40">
        <v>0</v>
      </c>
      <c r="T177" s="40">
        <v>0</v>
      </c>
      <c r="U177" s="40">
        <v>0</v>
      </c>
      <c r="V177" s="40">
        <v>0</v>
      </c>
      <c r="W177" s="40">
        <v>0</v>
      </c>
      <c r="X177" s="40">
        <v>0</v>
      </c>
      <c r="Y177" s="40">
        <v>1</v>
      </c>
      <c r="Z177" s="40">
        <v>0</v>
      </c>
      <c r="AA177" s="40">
        <v>0</v>
      </c>
      <c r="AB177" s="40">
        <v>0</v>
      </c>
      <c r="AC177" s="40">
        <v>0</v>
      </c>
      <c r="AD177" s="40">
        <v>0</v>
      </c>
      <c r="AE177" s="40">
        <v>0</v>
      </c>
      <c r="AF177" s="40">
        <v>0</v>
      </c>
      <c r="AG177" s="40">
        <v>0.2</v>
      </c>
      <c r="AH177" s="40">
        <v>0.13500000000000001</v>
      </c>
      <c r="AI177" s="40">
        <v>0.18</v>
      </c>
      <c r="AJ177" s="40">
        <v>0.25</v>
      </c>
      <c r="AK177" s="40">
        <v>0.65</v>
      </c>
      <c r="AL177" s="40">
        <v>1</v>
      </c>
      <c r="AM177" s="40">
        <v>1</v>
      </c>
      <c r="AN177" s="40">
        <v>1</v>
      </c>
      <c r="AO177" s="40">
        <v>1</v>
      </c>
      <c r="AP177" s="40">
        <v>1</v>
      </c>
      <c r="AQ177" s="40">
        <f t="shared" si="130"/>
        <v>1</v>
      </c>
      <c r="AR177" s="40">
        <f t="shared" si="131"/>
        <v>1</v>
      </c>
      <c r="AS177" s="40">
        <f t="shared" si="132"/>
        <v>1</v>
      </c>
      <c r="AT177" s="40" cm="1">
        <f t="array" ref="AT177">_xlfn.IFS(AG177&gt;sheet2!$C$2,1,AG177=sheet2!$C$2,0,AG177&lt;sheet2!$C$2,-1)</f>
        <v>0</v>
      </c>
      <c r="AU177" s="40" cm="1">
        <f t="array" ref="AU177">_xlfn.IFS(AH177&gt;sheet2!$D$2,1,AH177=sheet2!$D$2,0,AH177&lt;sheet2!$D$2,-1)</f>
        <v>0</v>
      </c>
      <c r="AV177" s="40" cm="1">
        <f t="array" ref="AV177">_xlfn.IFS(AI177&gt;sheet2!$E$2,1,AI177=sheet2!$E$2,0,AI177&lt;sheet2!$E$2,-1)</f>
        <v>0</v>
      </c>
      <c r="AW177" s="40" cm="1">
        <f t="array" ref="AW177">_xlfn.IFS(AJ177&gt;sheet2!$F$2,1,AJ177=sheet2!$F$2,0,AJ177&lt;sheet2!$F$2,-1)</f>
        <v>0</v>
      </c>
      <c r="AX177" s="40" cm="1">
        <f t="array" ref="AX177">_xlfn.IFS(AK177&gt;sheet2!$G$2,1,AK177=sheet2!$G$2,0,AK177&lt;sheet2!$G$2,-1)</f>
        <v>0</v>
      </c>
      <c r="AY177">
        <v>0.37149797699778309</v>
      </c>
      <c r="AZ177">
        <v>0.71670322782826701</v>
      </c>
      <c r="BA177">
        <v>3.8737951295311629E-2</v>
      </c>
      <c r="BB177">
        <v>1.6582882717619939E-2</v>
      </c>
      <c r="BC177">
        <v>0.46012675886407162</v>
      </c>
    </row>
    <row r="178" spans="1:55" s="40" customFormat="1" ht="14.4" x14ac:dyDescent="0.25">
      <c r="A178" s="35">
        <v>23</v>
      </c>
      <c r="B178" s="35" t="s">
        <v>36</v>
      </c>
      <c r="C178" s="35">
        <v>2016</v>
      </c>
      <c r="D178" s="35">
        <v>18756</v>
      </c>
      <c r="E178" s="36">
        <v>25366.273292748498</v>
      </c>
      <c r="F178" s="37">
        <v>32934.54</v>
      </c>
      <c r="G178" s="38">
        <f t="shared" si="92"/>
        <v>0.56949330399027887</v>
      </c>
      <c r="H178" s="35"/>
      <c r="I178" s="39">
        <v>0.2339518841730355</v>
      </c>
      <c r="J178" s="35"/>
      <c r="K178" s="40">
        <f t="shared" si="95"/>
        <v>0.77020275044826791</v>
      </c>
      <c r="M178" s="35">
        <v>0</v>
      </c>
      <c r="N178" s="35">
        <v>0</v>
      </c>
      <c r="O178" s="35">
        <v>0</v>
      </c>
      <c r="P178" s="41">
        <v>1</v>
      </c>
      <c r="Q178" s="40">
        <v>0.87548603567559702</v>
      </c>
      <c r="R178" s="40">
        <v>0.43841642228738997</v>
      </c>
      <c r="S178" s="40">
        <v>0.17036784899688129</v>
      </c>
      <c r="T178" s="40">
        <v>0.1</v>
      </c>
      <c r="U178" s="40">
        <v>-0.13000000000000009</v>
      </c>
      <c r="V178" s="40">
        <v>0.40644171779141097</v>
      </c>
      <c r="W178" s="40">
        <v>0.2767527675276753</v>
      </c>
      <c r="X178" s="40">
        <v>7.5657894736842105E-2</v>
      </c>
      <c r="Y178" s="40">
        <v>0.48634832366595188</v>
      </c>
      <c r="Z178" s="40">
        <v>0.31506849315068475</v>
      </c>
      <c r="AA178" s="40">
        <v>0.12217436241515528</v>
      </c>
      <c r="AB178" s="40">
        <v>2.8571428571428574E-2</v>
      </c>
      <c r="AC178" s="40">
        <v>-7.558139534883726E-2</v>
      </c>
      <c r="AD178" s="40">
        <v>0.328517029828644</v>
      </c>
      <c r="AE178" s="40">
        <v>0.29586357244646616</v>
      </c>
      <c r="AF178" s="40">
        <v>8.8267543859649134E-2</v>
      </c>
      <c r="AG178" s="40">
        <v>0.41499999999999998</v>
      </c>
      <c r="AH178" s="40">
        <v>0.14000000000000001</v>
      </c>
      <c r="AI178" s="40">
        <v>0.18</v>
      </c>
      <c r="AJ178" s="40">
        <v>0.435</v>
      </c>
      <c r="AK178" s="40">
        <v>0.65</v>
      </c>
      <c r="AL178" s="40">
        <v>2.0749999999999997</v>
      </c>
      <c r="AM178" s="40">
        <v>1.037037037037037</v>
      </c>
      <c r="AN178" s="40">
        <v>1</v>
      </c>
      <c r="AO178" s="40">
        <v>1.74</v>
      </c>
      <c r="AP178" s="40">
        <v>1</v>
      </c>
      <c r="AQ178" s="40">
        <f t="shared" si="106"/>
        <v>1.9074999999999998</v>
      </c>
      <c r="AR178" s="40">
        <f t="shared" si="107"/>
        <v>1.037037037037037</v>
      </c>
      <c r="AS178" s="40">
        <f t="shared" si="108"/>
        <v>1</v>
      </c>
      <c r="AT178" s="40" cm="1">
        <f t="array" ref="AT178">_xlfn.IFS(AG178&gt;sheet2!$C$2,1,AG178=sheet2!$C$2,0,AG178&lt;sheet2!$C$2,-1)</f>
        <v>1</v>
      </c>
      <c r="AU178" s="40" cm="1">
        <f t="array" ref="AU178">_xlfn.IFS(AH178&gt;sheet2!$D$2,1,AH178=sheet2!$D$2,0,AH178&lt;sheet2!$D$2,-1)</f>
        <v>1</v>
      </c>
      <c r="AV178" s="40" cm="1">
        <f t="array" ref="AV178">_xlfn.IFS(AI178&gt;sheet2!$E$2,1,AI178=sheet2!$E$2,0,AI178&lt;sheet2!$E$2,-1)</f>
        <v>0</v>
      </c>
      <c r="AW178" s="40" cm="1">
        <f t="array" ref="AW178">_xlfn.IFS(AJ178&gt;sheet2!$F$2,1,AJ178=sheet2!$F$2,0,AJ178&lt;sheet2!$F$2,-1)</f>
        <v>1</v>
      </c>
      <c r="AX178" s="40" cm="1">
        <f t="array" ref="AX178">_xlfn.IFS(AK178&gt;sheet2!$G$2,1,AK178=sheet2!$G$2,0,AK178&lt;sheet2!$G$2,-1)</f>
        <v>0</v>
      </c>
      <c r="AY178" s="40">
        <v>0.40838888291744774</v>
      </c>
      <c r="AZ178" s="40">
        <v>0.50006059871530728</v>
      </c>
      <c r="BA178" s="40">
        <v>1.6973315011231886E-2</v>
      </c>
      <c r="BB178" s="40">
        <v>7.8112735140676024E-3</v>
      </c>
      <c r="BC178" s="40">
        <v>0.42313604007546612</v>
      </c>
    </row>
    <row r="179" spans="1:55" ht="14.4" x14ac:dyDescent="0.25">
      <c r="A179" s="2">
        <v>23</v>
      </c>
      <c r="B179" s="2" t="s">
        <v>36</v>
      </c>
      <c r="C179" s="2">
        <v>2017</v>
      </c>
      <c r="D179" s="2">
        <v>19229</v>
      </c>
      <c r="E179" s="17">
        <v>25344.1542533994</v>
      </c>
      <c r="F179" s="5">
        <v>36980.22</v>
      </c>
      <c r="G179" s="3">
        <f t="shared" si="92"/>
        <v>0.51998068156436061</v>
      </c>
      <c r="H179" s="2">
        <f t="shared" ref="H179:H185" si="133">(G179-G178)/G178</f>
        <v>-8.6941535710775314E-2</v>
      </c>
      <c r="I179" s="14">
        <v>0.2439437696314827</v>
      </c>
      <c r="J179" s="2">
        <f t="shared" ref="J179:J184" si="134">(I179-I178)/I178</f>
        <v>4.2709147198220485E-2</v>
      </c>
      <c r="K179">
        <f t="shared" si="95"/>
        <v>0.68534352292656453</v>
      </c>
      <c r="L179">
        <f t="shared" ref="L179:L185" si="135">(K179-K178)/K178</f>
        <v>-0.11017777782838899</v>
      </c>
      <c r="M179" s="2">
        <v>0</v>
      </c>
      <c r="N179" s="2">
        <v>0</v>
      </c>
      <c r="O179" s="2">
        <v>0</v>
      </c>
      <c r="P179" s="4">
        <v>1</v>
      </c>
      <c r="Q179" s="40">
        <v>0.87548603567559702</v>
      </c>
      <c r="R179" s="40">
        <v>0.43841642228738997</v>
      </c>
      <c r="S179" s="40">
        <v>0.17036784899688129</v>
      </c>
      <c r="T179" s="40">
        <v>0.1</v>
      </c>
      <c r="U179" s="40">
        <v>-0.13000000000000009</v>
      </c>
      <c r="V179" s="40">
        <v>0.40644171779141097</v>
      </c>
      <c r="W179" s="40">
        <v>0.2767527675276753</v>
      </c>
      <c r="X179" s="40">
        <v>7.5657894736842105E-2</v>
      </c>
      <c r="Y179" s="40">
        <v>0.48634832366595188</v>
      </c>
      <c r="Z179" s="40">
        <v>0.31506849315068475</v>
      </c>
      <c r="AA179" s="40">
        <v>0.12217436241515528</v>
      </c>
      <c r="AB179" s="40">
        <v>2.8571428571428574E-2</v>
      </c>
      <c r="AC179" s="40">
        <v>-7.558139534883726E-2</v>
      </c>
      <c r="AD179" s="40">
        <v>0.328517029828644</v>
      </c>
      <c r="AE179" s="40">
        <v>0.29586357244646616</v>
      </c>
      <c r="AF179" s="40">
        <v>8.8267543859649134E-2</v>
      </c>
      <c r="AG179" s="40">
        <v>0.41499999999999998</v>
      </c>
      <c r="AH179" s="40">
        <v>0.14000000000000001</v>
      </c>
      <c r="AI179" s="40">
        <v>0.18</v>
      </c>
      <c r="AJ179" s="40">
        <v>0.435</v>
      </c>
      <c r="AK179" s="40">
        <v>0.65</v>
      </c>
      <c r="AL179" s="40">
        <v>2.0749999999999997</v>
      </c>
      <c r="AM179" s="40">
        <v>1.037037037037037</v>
      </c>
      <c r="AN179" s="40">
        <v>1</v>
      </c>
      <c r="AO179" s="40">
        <v>1.74</v>
      </c>
      <c r="AP179" s="40">
        <v>1</v>
      </c>
      <c r="AQ179" s="40">
        <f t="shared" ref="AQ179:AQ185" si="136">AVERAGE(AL179,AO179)</f>
        <v>1.9074999999999998</v>
      </c>
      <c r="AR179" s="40">
        <f t="shared" ref="AR179:AR185" si="137">AVERAGE(AM179)</f>
        <v>1.037037037037037</v>
      </c>
      <c r="AS179" s="40">
        <f t="shared" ref="AS179:AS185" si="138">AVERAGE(AN179,AP179)</f>
        <v>1</v>
      </c>
      <c r="AT179" s="40" cm="1">
        <f t="array" ref="AT179">_xlfn.IFS(AG179&gt;sheet2!$C$2,1,AG179=sheet2!$C$2,0,AG179&lt;sheet2!$C$2,-1)</f>
        <v>1</v>
      </c>
      <c r="AU179" s="40" cm="1">
        <f t="array" ref="AU179">_xlfn.IFS(AH179&gt;sheet2!$D$2,1,AH179=sheet2!$D$2,0,AH179&lt;sheet2!$D$2,-1)</f>
        <v>1</v>
      </c>
      <c r="AV179" s="40" cm="1">
        <f t="array" ref="AV179">_xlfn.IFS(AI179&gt;sheet2!$E$2,1,AI179=sheet2!$E$2,0,AI179&lt;sheet2!$E$2,-1)</f>
        <v>0</v>
      </c>
      <c r="AW179" s="40" cm="1">
        <f t="array" ref="AW179">_xlfn.IFS(AJ179&gt;sheet2!$F$2,1,AJ179=sheet2!$F$2,0,AJ179&lt;sheet2!$F$2,-1)</f>
        <v>1</v>
      </c>
      <c r="AX179" s="40" cm="1">
        <f t="array" ref="AX179">_xlfn.IFS(AK179&gt;sheet2!$G$2,1,AK179=sheet2!$G$2,0,AK179&lt;sheet2!$G$2,-1)</f>
        <v>0</v>
      </c>
      <c r="AY179">
        <v>0.39397277787963403</v>
      </c>
      <c r="AZ179">
        <v>0.51779466763180115</v>
      </c>
      <c r="BA179">
        <v>1.7051485653629999E-2</v>
      </c>
      <c r="BB179">
        <v>8.141774170083358E-3</v>
      </c>
      <c r="BC179">
        <v>0.41151107103588824</v>
      </c>
    </row>
    <row r="180" spans="1:55" ht="14.4" x14ac:dyDescent="0.25">
      <c r="A180" s="2">
        <v>23</v>
      </c>
      <c r="B180" s="2" t="s">
        <v>36</v>
      </c>
      <c r="C180" s="2">
        <v>2018</v>
      </c>
      <c r="D180" s="2">
        <v>19916</v>
      </c>
      <c r="E180" s="17">
        <v>25775.907493937902</v>
      </c>
      <c r="F180" s="5">
        <v>40678.129999999997</v>
      </c>
      <c r="G180" s="3">
        <f t="shared" si="92"/>
        <v>0.48959969398789965</v>
      </c>
      <c r="H180" s="2">
        <f t="shared" si="133"/>
        <v>-5.8427146726028036E-2</v>
      </c>
      <c r="I180" s="14">
        <v>0.25856704445443585</v>
      </c>
      <c r="J180" s="2">
        <f t="shared" si="134"/>
        <v>5.9945268719279077E-2</v>
      </c>
      <c r="K180">
        <f t="shared" si="95"/>
        <v>0.63365517279033978</v>
      </c>
      <c r="L180">
        <f t="shared" si="135"/>
        <v>-7.5419623016942439E-2</v>
      </c>
      <c r="M180" s="2">
        <v>0</v>
      </c>
      <c r="N180" s="2">
        <v>0</v>
      </c>
      <c r="O180" s="2">
        <v>0</v>
      </c>
      <c r="P180" s="4">
        <v>1</v>
      </c>
      <c r="Q180" s="40">
        <v>0.87548603567559702</v>
      </c>
      <c r="R180" s="40">
        <v>0.43841642228738997</v>
      </c>
      <c r="S180" s="40">
        <v>0.17036784899688129</v>
      </c>
      <c r="T180" s="40">
        <v>0.1</v>
      </c>
      <c r="U180" s="40">
        <v>-0.13000000000000009</v>
      </c>
      <c r="V180" s="40">
        <v>0.40644171779141097</v>
      </c>
      <c r="W180" s="40">
        <v>0.2767527675276753</v>
      </c>
      <c r="X180" s="40">
        <v>7.5657894736842105E-2</v>
      </c>
      <c r="Y180" s="40">
        <v>0.48634832366595188</v>
      </c>
      <c r="Z180" s="40">
        <v>0.31506849315068475</v>
      </c>
      <c r="AA180" s="40">
        <v>0.12217436241515528</v>
      </c>
      <c r="AB180" s="40">
        <v>2.8571428571428574E-2</v>
      </c>
      <c r="AC180" s="40">
        <v>-7.558139534883726E-2</v>
      </c>
      <c r="AD180" s="40">
        <v>0.328517029828644</v>
      </c>
      <c r="AE180" s="40">
        <v>0.29586357244646616</v>
      </c>
      <c r="AF180" s="40">
        <v>8.8267543859649134E-2</v>
      </c>
      <c r="AG180" s="40">
        <v>0.41499999999999998</v>
      </c>
      <c r="AH180" s="40">
        <v>0.14000000000000001</v>
      </c>
      <c r="AI180" s="40">
        <v>0.18</v>
      </c>
      <c r="AJ180" s="40">
        <v>0.435</v>
      </c>
      <c r="AK180" s="40">
        <v>0.65</v>
      </c>
      <c r="AL180" s="40">
        <v>2.0749999999999997</v>
      </c>
      <c r="AM180" s="40">
        <v>1.037037037037037</v>
      </c>
      <c r="AN180" s="40">
        <v>1</v>
      </c>
      <c r="AO180" s="40">
        <v>1.74</v>
      </c>
      <c r="AP180" s="40">
        <v>1</v>
      </c>
      <c r="AQ180" s="40">
        <f t="shared" si="136"/>
        <v>1.9074999999999998</v>
      </c>
      <c r="AR180" s="40">
        <f t="shared" si="137"/>
        <v>1.037037037037037</v>
      </c>
      <c r="AS180" s="40">
        <f t="shared" si="138"/>
        <v>1</v>
      </c>
      <c r="AT180" s="40" cm="1">
        <f t="array" ref="AT180">_xlfn.IFS(AG180&gt;sheet2!$C$2,1,AG180=sheet2!$C$2,0,AG180&lt;sheet2!$C$2,-1)</f>
        <v>1</v>
      </c>
      <c r="AU180" s="40" cm="1">
        <f t="array" ref="AU180">_xlfn.IFS(AH180&gt;sheet2!$D$2,1,AH180=sheet2!$D$2,0,AH180&lt;sheet2!$D$2,-1)</f>
        <v>1</v>
      </c>
      <c r="AV180" s="40" cm="1">
        <f t="array" ref="AV180">_xlfn.IFS(AI180&gt;sheet2!$E$2,1,AI180=sheet2!$E$2,0,AI180&lt;sheet2!$E$2,-1)</f>
        <v>0</v>
      </c>
      <c r="AW180" s="40" cm="1">
        <f t="array" ref="AW180">_xlfn.IFS(AJ180&gt;sheet2!$F$2,1,AJ180=sheet2!$F$2,0,AJ180&lt;sheet2!$F$2,-1)</f>
        <v>1</v>
      </c>
      <c r="AX180" s="40" cm="1">
        <f t="array" ref="AX180">_xlfn.IFS(AK180&gt;sheet2!$G$2,1,AK180=sheet2!$G$2,0,AK180&lt;sheet2!$G$2,-1)</f>
        <v>0</v>
      </c>
      <c r="AY180">
        <v>0.39473053456488782</v>
      </c>
      <c r="AZ180">
        <v>0.53503184713375795</v>
      </c>
      <c r="BA180">
        <v>1.7117313563017881E-2</v>
      </c>
      <c r="BB180">
        <v>8.4171101277271104E-3</v>
      </c>
      <c r="BC180">
        <v>0.40288539788823075</v>
      </c>
    </row>
    <row r="181" spans="1:55" ht="14.4" x14ac:dyDescent="0.25">
      <c r="A181" s="2">
        <v>23</v>
      </c>
      <c r="B181" s="2" t="s">
        <v>36</v>
      </c>
      <c r="C181" s="2">
        <v>2019</v>
      </c>
      <c r="D181" s="2">
        <v>20791</v>
      </c>
      <c r="E181" s="17">
        <v>25348.6126245089</v>
      </c>
      <c r="F181" s="5">
        <v>46615.82</v>
      </c>
      <c r="G181" s="3">
        <f t="shared" si="92"/>
        <v>0.44600738547557461</v>
      </c>
      <c r="H181" s="2">
        <f t="shared" si="133"/>
        <v>-8.9036633493897593E-2</v>
      </c>
      <c r="I181" s="14">
        <v>0.26794546049903106</v>
      </c>
      <c r="J181" s="2">
        <f t="shared" si="134"/>
        <v>3.6270732275194728E-2</v>
      </c>
      <c r="K181">
        <f t="shared" si="95"/>
        <v>0.54377704016595441</v>
      </c>
      <c r="L181">
        <f t="shared" si="135"/>
        <v>-0.14184076211135696</v>
      </c>
      <c r="M181" s="2">
        <v>0</v>
      </c>
      <c r="N181" s="2">
        <v>0</v>
      </c>
      <c r="O181" s="2">
        <v>0</v>
      </c>
      <c r="P181" s="4">
        <v>1</v>
      </c>
      <c r="Q181" s="40">
        <v>0.87548603567559702</v>
      </c>
      <c r="R181" s="40">
        <v>0.43841642228738997</v>
      </c>
      <c r="S181" s="40">
        <v>0.17036784899688129</v>
      </c>
      <c r="T181" s="40">
        <v>0.1</v>
      </c>
      <c r="U181" s="40">
        <v>-0.13000000000000009</v>
      </c>
      <c r="V181" s="40">
        <v>0.40644171779141097</v>
      </c>
      <c r="W181" s="40">
        <v>0.2767527675276753</v>
      </c>
      <c r="X181" s="40">
        <v>7.5657894736842105E-2</v>
      </c>
      <c r="Y181" s="40">
        <v>0.48634832366595188</v>
      </c>
      <c r="Z181" s="40">
        <v>0.31506849315068475</v>
      </c>
      <c r="AA181" s="40">
        <v>0.12217436241515528</v>
      </c>
      <c r="AB181" s="40">
        <v>2.8571428571428574E-2</v>
      </c>
      <c r="AC181" s="40">
        <v>-7.558139534883726E-2</v>
      </c>
      <c r="AD181" s="40">
        <v>0.328517029828644</v>
      </c>
      <c r="AE181" s="40">
        <v>0.29586357244646616</v>
      </c>
      <c r="AF181" s="40">
        <v>8.8267543859649134E-2</v>
      </c>
      <c r="AG181" s="40">
        <v>0.41499999999999998</v>
      </c>
      <c r="AH181" s="40">
        <v>0.14000000000000001</v>
      </c>
      <c r="AI181" s="40">
        <v>0.18</v>
      </c>
      <c r="AJ181" s="40">
        <v>0.435</v>
      </c>
      <c r="AK181" s="40">
        <v>0.65</v>
      </c>
      <c r="AL181" s="40">
        <v>2.0749999999999997</v>
      </c>
      <c r="AM181" s="40">
        <v>1.037037037037037</v>
      </c>
      <c r="AN181" s="40">
        <v>1</v>
      </c>
      <c r="AO181" s="40">
        <v>1.74</v>
      </c>
      <c r="AP181" s="40">
        <v>1</v>
      </c>
      <c r="AQ181" s="40">
        <f t="shared" si="136"/>
        <v>1.9074999999999998</v>
      </c>
      <c r="AR181" s="40">
        <f t="shared" si="137"/>
        <v>1.037037037037037</v>
      </c>
      <c r="AS181" s="40">
        <f t="shared" si="138"/>
        <v>1</v>
      </c>
      <c r="AT181" s="40" cm="1">
        <f t="array" ref="AT181">_xlfn.IFS(AG181&gt;sheet2!$C$2,1,AG181=sheet2!$C$2,0,AG181&lt;sheet2!$C$2,-1)</f>
        <v>1</v>
      </c>
      <c r="AU181" s="40" cm="1">
        <f t="array" ref="AU181">_xlfn.IFS(AH181&gt;sheet2!$D$2,1,AH181=sheet2!$D$2,0,AH181&lt;sheet2!$D$2,-1)</f>
        <v>1</v>
      </c>
      <c r="AV181" s="40" cm="1">
        <f t="array" ref="AV181">_xlfn.IFS(AI181&gt;sheet2!$E$2,1,AI181=sheet2!$E$2,0,AI181&lt;sheet2!$E$2,-1)</f>
        <v>0</v>
      </c>
      <c r="AW181" s="40" cm="1">
        <f t="array" ref="AW181">_xlfn.IFS(AJ181&gt;sheet2!$F$2,1,AJ181=sheet2!$F$2,0,AJ181&lt;sheet2!$F$2,-1)</f>
        <v>1</v>
      </c>
      <c r="AX181" s="40" cm="1">
        <f t="array" ref="AX181">_xlfn.IFS(AK181&gt;sheet2!$G$2,1,AK181=sheet2!$G$2,0,AK181&lt;sheet2!$G$2,-1)</f>
        <v>0</v>
      </c>
      <c r="AY181">
        <v>0.36903137175319456</v>
      </c>
      <c r="AZ181">
        <v>0.55358639683870192</v>
      </c>
      <c r="BA181">
        <v>1.7179027228069021E-2</v>
      </c>
      <c r="BB181">
        <v>8.3202912659264602E-3</v>
      </c>
      <c r="BC181">
        <v>0.3933864635003097</v>
      </c>
    </row>
    <row r="182" spans="1:55" ht="14.4" x14ac:dyDescent="0.25">
      <c r="A182" s="2">
        <v>23</v>
      </c>
      <c r="B182" s="2" t="s">
        <v>36</v>
      </c>
      <c r="C182" s="2">
        <v>2020</v>
      </c>
      <c r="D182" s="2">
        <v>16355</v>
      </c>
      <c r="E182" s="17">
        <v>24925.377456145099</v>
      </c>
      <c r="F182" s="5">
        <v>48598.76</v>
      </c>
      <c r="G182" s="3">
        <f t="shared" si="92"/>
        <v>0.33653122013812697</v>
      </c>
      <c r="H182" s="2">
        <f t="shared" si="133"/>
        <v>-0.24545818948875467</v>
      </c>
      <c r="I182" s="14">
        <v>0.28735795021641081</v>
      </c>
      <c r="J182" s="2">
        <f t="shared" si="134"/>
        <v>7.2449406984635006E-2</v>
      </c>
      <c r="K182">
        <f t="shared" si="95"/>
        <v>0.51288093474288432</v>
      </c>
      <c r="L182">
        <f t="shared" si="135"/>
        <v>-5.6817598281900528E-2</v>
      </c>
      <c r="M182" s="2">
        <v>0</v>
      </c>
      <c r="N182" s="2">
        <v>0</v>
      </c>
      <c r="O182" s="2">
        <v>0</v>
      </c>
      <c r="P182" s="4">
        <v>1</v>
      </c>
      <c r="Q182" s="40">
        <v>0.87548603567559702</v>
      </c>
      <c r="R182" s="40">
        <v>0.43841642228738997</v>
      </c>
      <c r="S182" s="40">
        <v>0.17036784899688129</v>
      </c>
      <c r="T182" s="40">
        <v>0.1</v>
      </c>
      <c r="U182" s="40">
        <v>-0.13000000000000009</v>
      </c>
      <c r="V182" s="40">
        <v>0.40644171779141097</v>
      </c>
      <c r="W182" s="40">
        <v>0.2767527675276753</v>
      </c>
      <c r="X182" s="40">
        <v>7.5657894736842105E-2</v>
      </c>
      <c r="Y182" s="40">
        <v>0.48634832366595188</v>
      </c>
      <c r="Z182" s="40">
        <v>0.31506849315068475</v>
      </c>
      <c r="AA182" s="40">
        <v>0.12217436241515528</v>
      </c>
      <c r="AB182" s="40">
        <v>2.8571428571428574E-2</v>
      </c>
      <c r="AC182" s="40">
        <v>-7.558139534883726E-2</v>
      </c>
      <c r="AD182" s="40">
        <v>0.328517029828644</v>
      </c>
      <c r="AE182" s="40">
        <v>0.29586357244646616</v>
      </c>
      <c r="AF182" s="40">
        <v>8.8267543859649134E-2</v>
      </c>
      <c r="AG182" s="40">
        <v>0.41499999999999998</v>
      </c>
      <c r="AH182" s="40">
        <v>0.14000000000000001</v>
      </c>
      <c r="AI182" s="40">
        <v>0.18</v>
      </c>
      <c r="AJ182" s="40">
        <v>0.435</v>
      </c>
      <c r="AK182" s="40">
        <v>0.65</v>
      </c>
      <c r="AL182" s="40">
        <v>2.0749999999999997</v>
      </c>
      <c r="AM182" s="40">
        <v>1.037037037037037</v>
      </c>
      <c r="AN182" s="40">
        <v>1</v>
      </c>
      <c r="AO182" s="40">
        <v>1.74</v>
      </c>
      <c r="AP182" s="40">
        <v>1</v>
      </c>
      <c r="AQ182" s="40">
        <f t="shared" si="136"/>
        <v>1.9074999999999998</v>
      </c>
      <c r="AR182" s="40">
        <f t="shared" si="137"/>
        <v>1.037037037037037</v>
      </c>
      <c r="AS182" s="40">
        <f t="shared" si="138"/>
        <v>1</v>
      </c>
      <c r="AT182" s="40" cm="1">
        <f t="array" ref="AT182">_xlfn.IFS(AG182&gt;sheet2!$C$2,1,AG182=sheet2!$C$2,0,AG182&lt;sheet2!$C$2,-1)</f>
        <v>1</v>
      </c>
      <c r="AU182" s="40" cm="1">
        <f t="array" ref="AU182">_xlfn.IFS(AH182&gt;sheet2!$D$2,1,AH182=sheet2!$D$2,0,AH182&lt;sheet2!$D$2,-1)</f>
        <v>1</v>
      </c>
      <c r="AV182" s="40" cm="1">
        <f t="array" ref="AV182">_xlfn.IFS(AI182&gt;sheet2!$E$2,1,AI182=sheet2!$E$2,0,AI182&lt;sheet2!$E$2,-1)</f>
        <v>0</v>
      </c>
      <c r="AW182" s="40" cm="1">
        <f t="array" ref="AW182">_xlfn.IFS(AJ182&gt;sheet2!$F$2,1,AJ182=sheet2!$F$2,0,AJ182&lt;sheet2!$F$2,-1)</f>
        <v>1</v>
      </c>
      <c r="AX182" s="40" cm="1">
        <f t="array" ref="AX182">_xlfn.IFS(AK182&gt;sheet2!$G$2,1,AK182=sheet2!$G$2,0,AK182&lt;sheet2!$G$2,-1)</f>
        <v>0</v>
      </c>
      <c r="AY182">
        <v>0.36204215910035564</v>
      </c>
      <c r="AZ182">
        <v>0.56731573288734916</v>
      </c>
      <c r="BA182">
        <v>1.7220169671436449E-2</v>
      </c>
      <c r="BB182">
        <v>8.7993664858938784E-3</v>
      </c>
      <c r="BC182">
        <v>0.38048620623759882</v>
      </c>
    </row>
    <row r="183" spans="1:55" ht="14.4" x14ac:dyDescent="0.25">
      <c r="A183" s="2">
        <v>23</v>
      </c>
      <c r="B183" s="2" t="s">
        <v>36</v>
      </c>
      <c r="C183" s="2">
        <v>2021</v>
      </c>
      <c r="D183" s="2">
        <v>17241.3</v>
      </c>
      <c r="E183" s="17">
        <v>26838.593714948998</v>
      </c>
      <c r="F183" s="30">
        <v>53850.79</v>
      </c>
      <c r="G183" s="3">
        <f t="shared" si="92"/>
        <v>0.32016800496334408</v>
      </c>
      <c r="H183" s="2">
        <f t="shared" si="133"/>
        <v>-4.862317133033519E-2</v>
      </c>
      <c r="I183" s="14">
        <v>0.30438942936967972</v>
      </c>
      <c r="J183" s="2">
        <f t="shared" si="134"/>
        <v>5.9269211589386743E-2</v>
      </c>
      <c r="K183">
        <f t="shared" si="95"/>
        <v>0.49838811491807267</v>
      </c>
      <c r="L183">
        <f t="shared" si="135"/>
        <v>-2.8257669262120543E-2</v>
      </c>
      <c r="M183" s="2">
        <v>0</v>
      </c>
      <c r="N183" s="2">
        <v>0</v>
      </c>
      <c r="O183" s="2">
        <v>0</v>
      </c>
      <c r="P183" s="4">
        <v>1</v>
      </c>
      <c r="Q183" s="40">
        <v>0.87548603567559702</v>
      </c>
      <c r="R183" s="40">
        <v>0.43841642228738997</v>
      </c>
      <c r="S183" s="40">
        <v>0.17036784899688129</v>
      </c>
      <c r="T183" s="40">
        <v>0.1</v>
      </c>
      <c r="U183" s="40">
        <v>-0.13000000000000009</v>
      </c>
      <c r="V183" s="40">
        <v>0.40644171779141097</v>
      </c>
      <c r="W183" s="40">
        <v>0.2767527675276753</v>
      </c>
      <c r="X183" s="40">
        <v>7.5657894736842105E-2</v>
      </c>
      <c r="Y183" s="40">
        <v>0.48634832366595188</v>
      </c>
      <c r="Z183" s="40">
        <v>0.31506849315068475</v>
      </c>
      <c r="AA183" s="40">
        <v>0.12217436241515528</v>
      </c>
      <c r="AB183" s="40">
        <v>2.8571428571428574E-2</v>
      </c>
      <c r="AC183" s="40">
        <v>-7.558139534883726E-2</v>
      </c>
      <c r="AD183" s="40">
        <v>0.328517029828644</v>
      </c>
      <c r="AE183" s="40">
        <v>0.29586357244646616</v>
      </c>
      <c r="AF183" s="40">
        <v>8.8267543859649134E-2</v>
      </c>
      <c r="AG183" s="40">
        <v>0.41499999999999998</v>
      </c>
      <c r="AH183" s="40">
        <v>0.14000000000000001</v>
      </c>
      <c r="AI183" s="40">
        <v>0.18</v>
      </c>
      <c r="AJ183" s="40">
        <v>0.435</v>
      </c>
      <c r="AK183" s="40">
        <v>0.65</v>
      </c>
      <c r="AL183" s="40">
        <v>2.0749999999999997</v>
      </c>
      <c r="AM183" s="40">
        <v>1.037037037037037</v>
      </c>
      <c r="AN183" s="40">
        <v>1</v>
      </c>
      <c r="AO183" s="40">
        <v>1.74</v>
      </c>
      <c r="AP183" s="40">
        <v>1</v>
      </c>
      <c r="AQ183" s="40">
        <f t="shared" si="136"/>
        <v>1.9074999999999998</v>
      </c>
      <c r="AR183" s="40">
        <f t="shared" si="137"/>
        <v>1.037037037037037</v>
      </c>
      <c r="AS183" s="40">
        <f t="shared" si="138"/>
        <v>1</v>
      </c>
      <c r="AT183" s="40" cm="1">
        <f t="array" ref="AT183">_xlfn.IFS(AG183&gt;sheet2!$C$2,1,AG183=sheet2!$C$2,0,AG183&lt;sheet2!$C$2,-1)</f>
        <v>1</v>
      </c>
      <c r="AU183" s="40" cm="1">
        <f t="array" ref="AU183">_xlfn.IFS(AH183&gt;sheet2!$D$2,1,AH183=sheet2!$D$2,0,AH183&lt;sheet2!$D$2,-1)</f>
        <v>1</v>
      </c>
      <c r="AV183" s="40" cm="1">
        <f t="array" ref="AV183">_xlfn.IFS(AI183&gt;sheet2!$E$2,1,AI183=sheet2!$E$2,0,AI183&lt;sheet2!$E$2,-1)</f>
        <v>0</v>
      </c>
      <c r="AW183" s="40" cm="1">
        <f t="array" ref="AW183">_xlfn.IFS(AJ183&gt;sheet2!$F$2,1,AJ183=sheet2!$F$2,0,AJ183&lt;sheet2!$F$2,-1)</f>
        <v>1</v>
      </c>
      <c r="AX183" s="40" cm="1">
        <f t="array" ref="AX183">_xlfn.IFS(AK183&gt;sheet2!$G$2,1,AK183=sheet2!$G$2,0,AK183&lt;sheet2!$G$2,-1)</f>
        <v>0</v>
      </c>
      <c r="AY183">
        <v>0.37170299637201237</v>
      </c>
      <c r="AZ183">
        <v>0.57823698041089344</v>
      </c>
      <c r="BA183">
        <v>1.7222226793604817E-2</v>
      </c>
      <c r="BB183">
        <v>8.9166937012437521E-3</v>
      </c>
      <c r="BC183">
        <v>0.42557791807726492</v>
      </c>
    </row>
    <row r="184" spans="1:55" ht="14.4" x14ac:dyDescent="0.25">
      <c r="A184" s="2">
        <v>23</v>
      </c>
      <c r="B184" s="2" t="s">
        <v>36</v>
      </c>
      <c r="C184" s="2">
        <v>2022</v>
      </c>
      <c r="D184" s="2">
        <v>17196.117213000001</v>
      </c>
      <c r="E184" s="17">
        <v>26336.319143188201</v>
      </c>
      <c r="F184" s="30">
        <v>56749.8</v>
      </c>
      <c r="G184" s="3">
        <f t="shared" si="92"/>
        <v>0.30301634918537157</v>
      </c>
      <c r="H184" s="2">
        <f t="shared" si="133"/>
        <v>-5.3570798805883786E-2</v>
      </c>
      <c r="I184" s="14">
        <v>0.32120963659883772</v>
      </c>
      <c r="J184" s="2">
        <f t="shared" si="134"/>
        <v>5.5258841491272449E-2</v>
      </c>
      <c r="K184">
        <f t="shared" si="95"/>
        <v>0.46407774376628991</v>
      </c>
      <c r="L184">
        <f t="shared" si="135"/>
        <v>-6.8842675266088268E-2</v>
      </c>
      <c r="M184" s="2">
        <v>1</v>
      </c>
      <c r="N184" s="2">
        <v>1</v>
      </c>
      <c r="O184" s="2">
        <v>0</v>
      </c>
      <c r="P184" s="4">
        <v>1</v>
      </c>
      <c r="Q184" s="40">
        <v>0.87548603567559702</v>
      </c>
      <c r="R184" s="40">
        <v>0.43841642228738997</v>
      </c>
      <c r="S184" s="40">
        <v>0.17036784899688129</v>
      </c>
      <c r="T184" s="40">
        <v>0.1</v>
      </c>
      <c r="U184" s="40">
        <v>-0.13000000000000009</v>
      </c>
      <c r="V184" s="40">
        <v>0.40644171779141097</v>
      </c>
      <c r="W184" s="40">
        <v>0.2767527675276753</v>
      </c>
      <c r="X184" s="40">
        <v>7.5657894736842105E-2</v>
      </c>
      <c r="Y184" s="40">
        <v>0.48634832366595188</v>
      </c>
      <c r="Z184" s="40">
        <v>0.31506849315068475</v>
      </c>
      <c r="AA184" s="40">
        <v>0.12217436241515528</v>
      </c>
      <c r="AB184" s="40">
        <v>2.8571428571428574E-2</v>
      </c>
      <c r="AC184" s="40">
        <v>-7.558139534883726E-2</v>
      </c>
      <c r="AD184" s="40">
        <v>0.328517029828644</v>
      </c>
      <c r="AE184" s="40">
        <v>0.29586357244646616</v>
      </c>
      <c r="AF184" s="40">
        <v>8.8267543859649134E-2</v>
      </c>
      <c r="AG184" s="40">
        <v>0.41499999999999998</v>
      </c>
      <c r="AH184" s="40">
        <v>0.14000000000000001</v>
      </c>
      <c r="AI184" s="40">
        <v>0.18</v>
      </c>
      <c r="AJ184" s="40">
        <v>0.435</v>
      </c>
      <c r="AK184" s="40">
        <v>0.65</v>
      </c>
      <c r="AL184" s="40">
        <v>2.0749999999999997</v>
      </c>
      <c r="AM184" s="40">
        <v>1.037037037037037</v>
      </c>
      <c r="AN184" s="40">
        <v>1</v>
      </c>
      <c r="AO184" s="40">
        <v>1.74</v>
      </c>
      <c r="AP184" s="40">
        <v>1</v>
      </c>
      <c r="AQ184" s="40">
        <f t="shared" si="136"/>
        <v>1.9074999999999998</v>
      </c>
      <c r="AR184" s="40">
        <f t="shared" si="137"/>
        <v>1.037037037037037</v>
      </c>
      <c r="AS184" s="40">
        <f t="shared" si="138"/>
        <v>1</v>
      </c>
      <c r="AT184" s="40" cm="1">
        <f t="array" ref="AT184">_xlfn.IFS(AG184&gt;sheet2!$C$2,1,AG184=sheet2!$C$2,0,AG184&lt;sheet2!$C$2,-1)</f>
        <v>1</v>
      </c>
      <c r="AU184" s="40" cm="1">
        <f t="array" ref="AU184">_xlfn.IFS(AH184&gt;sheet2!$D$2,1,AH184=sheet2!$D$2,0,AH184&lt;sheet2!$D$2,-1)</f>
        <v>1</v>
      </c>
      <c r="AV184" s="40" cm="1">
        <f t="array" ref="AV184">_xlfn.IFS(AI184&gt;sheet2!$E$2,1,AI184=sheet2!$E$2,0,AI184&lt;sheet2!$E$2,-1)</f>
        <v>0</v>
      </c>
      <c r="AW184" s="40" cm="1">
        <f t="array" ref="AW184">_xlfn.IFS(AJ184&gt;sheet2!$F$2,1,AJ184=sheet2!$F$2,0,AJ184&lt;sheet2!$F$2,-1)</f>
        <v>1</v>
      </c>
      <c r="AX184" s="40" cm="1">
        <f t="array" ref="AX184">_xlfn.IFS(AK184&gt;sheet2!$G$2,1,AK184=sheet2!$G$2,0,AK184&lt;sheet2!$G$2,-1)</f>
        <v>0</v>
      </c>
      <c r="AY184">
        <v>0.35795720865976616</v>
      </c>
      <c r="AZ184">
        <v>0.5834726534511584</v>
      </c>
      <c r="BA184">
        <v>1.7226341037941562E-2</v>
      </c>
      <c r="BB184">
        <v>9.3406056056585217E-3</v>
      </c>
      <c r="BC184">
        <v>0.40962562087378074</v>
      </c>
    </row>
    <row r="185" spans="1:55" ht="14.4" x14ac:dyDescent="0.25">
      <c r="A185" s="2">
        <v>23</v>
      </c>
      <c r="B185" s="2" t="s">
        <v>36</v>
      </c>
      <c r="C185" s="2">
        <v>2023</v>
      </c>
      <c r="D185" s="2">
        <v>22928.288858819997</v>
      </c>
      <c r="E185">
        <v>27860.193931830901</v>
      </c>
      <c r="F185" s="32">
        <v>60132.9</v>
      </c>
      <c r="G185" s="3">
        <f t="shared" si="92"/>
        <v>0.38129358236206795</v>
      </c>
      <c r="H185" s="2">
        <f t="shared" si="133"/>
        <v>0.25832676483343792</v>
      </c>
      <c r="I185" s="14"/>
      <c r="K185">
        <f t="shared" si="95"/>
        <v>0.46331033314260417</v>
      </c>
      <c r="L185">
        <f t="shared" si="135"/>
        <v>-1.6536251393090011E-3</v>
      </c>
      <c r="M185" s="2">
        <v>1</v>
      </c>
      <c r="N185" s="2">
        <v>1</v>
      </c>
      <c r="O185" s="2">
        <v>1</v>
      </c>
      <c r="P185" s="4">
        <v>1</v>
      </c>
      <c r="Q185" s="40">
        <v>0.87548603567559702</v>
      </c>
      <c r="R185" s="40">
        <v>0.43841642228738997</v>
      </c>
      <c r="S185" s="40">
        <v>0.17036784899688129</v>
      </c>
      <c r="T185" s="40">
        <v>0.1</v>
      </c>
      <c r="U185" s="40">
        <v>-0.13000000000000009</v>
      </c>
      <c r="V185" s="40">
        <v>0.40644171779141097</v>
      </c>
      <c r="W185" s="40">
        <v>0.2767527675276753</v>
      </c>
      <c r="X185" s="40">
        <v>7.5657894736842105E-2</v>
      </c>
      <c r="Y185" s="40">
        <v>0.48634832366595188</v>
      </c>
      <c r="Z185" s="40">
        <v>0.31506849315068475</v>
      </c>
      <c r="AA185" s="40">
        <v>0.12217436241515528</v>
      </c>
      <c r="AB185" s="40">
        <v>2.8571428571428574E-2</v>
      </c>
      <c r="AC185" s="40">
        <v>-7.558139534883726E-2</v>
      </c>
      <c r="AD185" s="40">
        <v>0.328517029828644</v>
      </c>
      <c r="AE185" s="40">
        <v>0.29586357244646616</v>
      </c>
      <c r="AF185" s="40">
        <v>8.8267543859649134E-2</v>
      </c>
      <c r="AG185" s="40">
        <v>0.41499999999999998</v>
      </c>
      <c r="AH185" s="40">
        <v>0.14000000000000001</v>
      </c>
      <c r="AI185" s="40">
        <v>0.18</v>
      </c>
      <c r="AJ185" s="40">
        <v>0.435</v>
      </c>
      <c r="AK185" s="40">
        <v>0.65</v>
      </c>
      <c r="AL185" s="40">
        <v>2.0749999999999997</v>
      </c>
      <c r="AM185" s="40">
        <v>1.037037037037037</v>
      </c>
      <c r="AN185" s="40">
        <v>1</v>
      </c>
      <c r="AO185" s="40">
        <v>1.74</v>
      </c>
      <c r="AP185" s="40">
        <v>1</v>
      </c>
      <c r="AQ185" s="40">
        <f t="shared" si="136"/>
        <v>1.9074999999999998</v>
      </c>
      <c r="AR185" s="40">
        <f t="shared" si="137"/>
        <v>1.037037037037037</v>
      </c>
      <c r="AS185" s="40">
        <f t="shared" si="138"/>
        <v>1</v>
      </c>
      <c r="AT185" s="40" cm="1">
        <f t="array" ref="AT185">_xlfn.IFS(AG185&gt;sheet2!$C$2,1,AG185=sheet2!$C$2,0,AG185&lt;sheet2!$C$2,-1)</f>
        <v>1</v>
      </c>
      <c r="AU185" s="40" cm="1">
        <f t="array" ref="AU185">_xlfn.IFS(AH185&gt;sheet2!$D$2,1,AH185=sheet2!$D$2,0,AH185&lt;sheet2!$D$2,-1)</f>
        <v>1</v>
      </c>
      <c r="AV185" s="40" cm="1">
        <f t="array" ref="AV185">_xlfn.IFS(AI185&gt;sheet2!$E$2,1,AI185=sheet2!$E$2,0,AI185&lt;sheet2!$E$2,-1)</f>
        <v>0</v>
      </c>
      <c r="AW185" s="40" cm="1">
        <f t="array" ref="AW185">_xlfn.IFS(AJ185&gt;sheet2!$F$2,1,AJ185=sheet2!$F$2,0,AJ185&lt;sheet2!$F$2,-1)</f>
        <v>1</v>
      </c>
      <c r="AX185" s="40" cm="1">
        <f t="array" ref="AX185">_xlfn.IFS(AK185&gt;sheet2!$G$2,1,AK185=sheet2!$G$2,0,AK185&lt;sheet2!$G$2,-1)</f>
        <v>0</v>
      </c>
      <c r="AY185">
        <v>0.3638457483341066</v>
      </c>
      <c r="AZ185">
        <v>0.59488527724665397</v>
      </c>
      <c r="BA185">
        <v>1.7213998304931335E-2</v>
      </c>
      <c r="BB185">
        <v>9.5093085482323321E-3</v>
      </c>
      <c r="BC185">
        <v>0.43424025684865608</v>
      </c>
    </row>
    <row r="186" spans="1:55" s="40" customFormat="1" ht="14.4" x14ac:dyDescent="0.25">
      <c r="A186" s="35">
        <v>24</v>
      </c>
      <c r="B186" s="35" t="s">
        <v>37</v>
      </c>
      <c r="C186" s="35">
        <v>2016</v>
      </c>
      <c r="D186" s="35">
        <v>9606</v>
      </c>
      <c r="E186" s="36">
        <v>19257.302297231599</v>
      </c>
      <c r="F186" s="37">
        <v>11776.73</v>
      </c>
      <c r="G186" s="38">
        <f t="shared" si="92"/>
        <v>0.81567633799874839</v>
      </c>
      <c r="H186" s="35"/>
      <c r="I186" s="39">
        <v>0.20289548920682518</v>
      </c>
      <c r="J186" s="35"/>
      <c r="K186" s="40">
        <f t="shared" si="95"/>
        <v>1.6351994396773637</v>
      </c>
      <c r="M186" s="35">
        <v>0</v>
      </c>
      <c r="N186" s="35">
        <v>0</v>
      </c>
      <c r="O186" s="35">
        <v>0</v>
      </c>
      <c r="P186" s="41">
        <v>1</v>
      </c>
      <c r="Q186" s="40">
        <v>0.86926660439835268</v>
      </c>
      <c r="R186" s="40">
        <v>0.64662756598240467</v>
      </c>
      <c r="S186" s="40">
        <v>0.65102173811851227</v>
      </c>
      <c r="T186" s="40">
        <v>1.3</v>
      </c>
      <c r="U186" s="40">
        <v>0.43999999999999989</v>
      </c>
      <c r="V186" s="40">
        <v>0.51869158878504673</v>
      </c>
      <c r="W186" s="40">
        <v>0.52272727272727271</v>
      </c>
      <c r="X186" s="40">
        <v>0.36267605633802819</v>
      </c>
      <c r="Y186" s="40">
        <v>0.46069159169724616</v>
      </c>
      <c r="Z186" s="40">
        <v>0.46469968387776589</v>
      </c>
      <c r="AA186" s="40">
        <v>0.46686136052871946</v>
      </c>
      <c r="AB186" s="40">
        <v>0.37142857142857144</v>
      </c>
      <c r="AC186" s="40">
        <v>0.25581395348837205</v>
      </c>
      <c r="AD186" s="40">
        <v>0.41924589107315513</v>
      </c>
      <c r="AE186" s="40">
        <v>0.55882352941176461</v>
      </c>
      <c r="AF186" s="40">
        <v>0.42312206572769956</v>
      </c>
      <c r="AG186" s="40">
        <v>0.21600000000000003</v>
      </c>
      <c r="AH186" s="40">
        <v>0.13500000000000001</v>
      </c>
      <c r="AI186" s="40">
        <v>0.18</v>
      </c>
      <c r="AJ186" s="40">
        <v>0.25</v>
      </c>
      <c r="AK186" s="40">
        <v>0.65</v>
      </c>
      <c r="AL186" s="40">
        <v>1.08</v>
      </c>
      <c r="AM186" s="40">
        <v>1</v>
      </c>
      <c r="AN186" s="40">
        <v>1</v>
      </c>
      <c r="AO186" s="40">
        <v>1</v>
      </c>
      <c r="AP186" s="40">
        <v>1</v>
      </c>
      <c r="AQ186" s="40">
        <f t="shared" si="106"/>
        <v>1.04</v>
      </c>
      <c r="AR186" s="40">
        <f t="shared" si="107"/>
        <v>1</v>
      </c>
      <c r="AS186" s="40">
        <f t="shared" si="108"/>
        <v>1</v>
      </c>
      <c r="AT186" s="40" cm="1">
        <f t="array" ref="AT186">_xlfn.IFS(AG186&gt;sheet2!$C$2,1,AG186=sheet2!$C$2,0,AG186&lt;sheet2!$C$2,-1)</f>
        <v>1</v>
      </c>
      <c r="AU186" s="40" cm="1">
        <f t="array" ref="AU186">_xlfn.IFS(AH186&gt;sheet2!$D$2,1,AH186=sheet2!$D$2,0,AH186&lt;sheet2!$D$2,-1)</f>
        <v>0</v>
      </c>
      <c r="AV186" s="40" cm="1">
        <f t="array" ref="AV186">_xlfn.IFS(AI186&gt;sheet2!$E$2,1,AI186=sheet2!$E$2,0,AI186&lt;sheet2!$E$2,-1)</f>
        <v>0</v>
      </c>
      <c r="AW186" s="40" cm="1">
        <f t="array" ref="AW186">_xlfn.IFS(AJ186&gt;sheet2!$F$2,1,AJ186=sheet2!$F$2,0,AJ186&lt;sheet2!$F$2,-1)</f>
        <v>0</v>
      </c>
      <c r="AX186" s="40" cm="1">
        <f t="array" ref="AX186">_xlfn.IFS(AK186&gt;sheet2!$G$2,1,AK186=sheet2!$G$2,0,AK186&lt;sheet2!$G$2,-1)</f>
        <v>0</v>
      </c>
      <c r="AY186" s="40">
        <v>0.37945168140901592</v>
      </c>
      <c r="AZ186" s="40">
        <v>0.4555614688664183</v>
      </c>
      <c r="BA186" s="40">
        <v>2.1340268826058068E-2</v>
      </c>
      <c r="BB186" s="40">
        <v>4.7284178205664901E-3</v>
      </c>
      <c r="BC186" s="40">
        <v>0.3663088054505016</v>
      </c>
    </row>
    <row r="187" spans="1:55" ht="14.4" x14ac:dyDescent="0.25">
      <c r="A187" s="2">
        <v>24</v>
      </c>
      <c r="B187" s="2" t="s">
        <v>37</v>
      </c>
      <c r="C187" s="2">
        <v>2017</v>
      </c>
      <c r="D187" s="2">
        <v>9846</v>
      </c>
      <c r="E187" s="17">
        <v>19967.977921575202</v>
      </c>
      <c r="F187" s="5">
        <v>13540.83</v>
      </c>
      <c r="G187" s="3">
        <f t="shared" si="92"/>
        <v>0.7271341564734215</v>
      </c>
      <c r="H187" s="2">
        <f t="shared" ref="H187:H193" si="139">(G187-G186)/G186</f>
        <v>-0.10855063142148272</v>
      </c>
      <c r="I187" s="14">
        <v>0.2258386784564996</v>
      </c>
      <c r="J187" s="2">
        <f t="shared" ref="J187:J192" si="140">(I187-I186)/I186</f>
        <v>0.1130788532528038</v>
      </c>
      <c r="K187">
        <f t="shared" si="95"/>
        <v>1.4746494802442098</v>
      </c>
      <c r="L187">
        <f t="shared" ref="L187:L193" si="141">(K187-K186)/K186</f>
        <v>-9.8183717250313815E-2</v>
      </c>
      <c r="M187" s="2">
        <v>0</v>
      </c>
      <c r="N187" s="2">
        <v>0</v>
      </c>
      <c r="O187" s="2">
        <v>0</v>
      </c>
      <c r="P187" s="4">
        <v>1</v>
      </c>
      <c r="Q187" s="40">
        <v>0.86926660439835268</v>
      </c>
      <c r="R187" s="40">
        <v>0.64662756598240467</v>
      </c>
      <c r="S187" s="40">
        <v>0.65102173811851227</v>
      </c>
      <c r="T187" s="40">
        <v>1.3</v>
      </c>
      <c r="U187" s="40">
        <v>0.43999999999999989</v>
      </c>
      <c r="V187" s="40">
        <v>0.51869158878504673</v>
      </c>
      <c r="W187" s="40">
        <v>0.52272727272727271</v>
      </c>
      <c r="X187" s="40">
        <v>0.36267605633802819</v>
      </c>
      <c r="Y187" s="40">
        <v>0.46069159169724616</v>
      </c>
      <c r="Z187" s="40">
        <v>0.46469968387776589</v>
      </c>
      <c r="AA187" s="40">
        <v>0.46686136052871946</v>
      </c>
      <c r="AB187" s="40">
        <v>0.37142857142857144</v>
      </c>
      <c r="AC187" s="40">
        <v>0.25581395348837205</v>
      </c>
      <c r="AD187" s="40">
        <v>0.41924589107315513</v>
      </c>
      <c r="AE187" s="40">
        <v>0.55882352941176461</v>
      </c>
      <c r="AF187" s="40">
        <v>0.42312206572769956</v>
      </c>
      <c r="AG187" s="40">
        <v>0.21600000000000003</v>
      </c>
      <c r="AH187" s="40">
        <v>0.13500000000000001</v>
      </c>
      <c r="AI187" s="40">
        <v>0.18</v>
      </c>
      <c r="AJ187" s="40">
        <v>0.25</v>
      </c>
      <c r="AK187" s="40">
        <v>0.65</v>
      </c>
      <c r="AL187" s="40">
        <v>1.08</v>
      </c>
      <c r="AM187" s="40">
        <v>1</v>
      </c>
      <c r="AN187" s="40">
        <v>1</v>
      </c>
      <c r="AO187" s="40">
        <v>1</v>
      </c>
      <c r="AP187" s="40">
        <v>1</v>
      </c>
      <c r="AQ187" s="40">
        <f t="shared" ref="AQ187:AQ193" si="142">AVERAGE(AL187,AO187)</f>
        <v>1.04</v>
      </c>
      <c r="AR187" s="40">
        <f t="shared" ref="AR187:AR193" si="143">AVERAGE(AM187)</f>
        <v>1</v>
      </c>
      <c r="AS187" s="40">
        <f t="shared" ref="AS187:AS193" si="144">AVERAGE(AN187,AP187)</f>
        <v>1</v>
      </c>
      <c r="AT187" s="40" cm="1">
        <f t="array" ref="AT187">_xlfn.IFS(AG187&gt;sheet2!$C$2,1,AG187=sheet2!$C$2,0,AG187&lt;sheet2!$C$2,-1)</f>
        <v>1</v>
      </c>
      <c r="AU187" s="40" cm="1">
        <f t="array" ref="AU187">_xlfn.IFS(AH187&gt;sheet2!$D$2,1,AH187=sheet2!$D$2,0,AH187&lt;sheet2!$D$2,-1)</f>
        <v>0</v>
      </c>
      <c r="AV187" s="40" cm="1">
        <f t="array" ref="AV187">_xlfn.IFS(AI187&gt;sheet2!$E$2,1,AI187=sheet2!$E$2,0,AI187&lt;sheet2!$E$2,-1)</f>
        <v>0</v>
      </c>
      <c r="AW187" s="40" cm="1">
        <f t="array" ref="AW187">_xlfn.IFS(AJ187&gt;sheet2!$F$2,1,AJ187=sheet2!$F$2,0,AJ187&lt;sheet2!$F$2,-1)</f>
        <v>0</v>
      </c>
      <c r="AX187" s="40" cm="1">
        <f t="array" ref="AX187">_xlfn.IFS(AK187&gt;sheet2!$G$2,1,AK187=sheet2!$G$2,0,AK187&lt;sheet2!$G$2,-1)</f>
        <v>0</v>
      </c>
      <c r="AY187">
        <v>0.36710452756588774</v>
      </c>
      <c r="AZ187">
        <v>0.47751774914541151</v>
      </c>
      <c r="BA187">
        <v>2.1595806904071004E-2</v>
      </c>
      <c r="BB187">
        <v>4.789780242422363E-3</v>
      </c>
      <c r="BC187">
        <v>0.34988249373444447</v>
      </c>
    </row>
    <row r="188" spans="1:55" ht="14.4" x14ac:dyDescent="0.25">
      <c r="A188" s="2">
        <v>24</v>
      </c>
      <c r="B188" s="2" t="s">
        <v>37</v>
      </c>
      <c r="C188" s="2">
        <v>2018</v>
      </c>
      <c r="D188" s="2">
        <v>10036</v>
      </c>
      <c r="E188" s="17">
        <v>20930.161737975799</v>
      </c>
      <c r="F188" s="5">
        <v>14806.45</v>
      </c>
      <c r="G188" s="3">
        <f t="shared" si="92"/>
        <v>0.67781271000138454</v>
      </c>
      <c r="H188" s="2">
        <f t="shared" si="139"/>
        <v>-6.7829912861258598E-2</v>
      </c>
      <c r="I188" s="14">
        <v>0.24444318176343194</v>
      </c>
      <c r="J188" s="2">
        <f t="shared" si="140"/>
        <v>8.2379614661604039E-2</v>
      </c>
      <c r="K188">
        <f t="shared" si="95"/>
        <v>1.4135840622144942</v>
      </c>
      <c r="L188">
        <f t="shared" si="141"/>
        <v>-4.1410124133094257E-2</v>
      </c>
      <c r="M188" s="2">
        <v>0</v>
      </c>
      <c r="N188" s="2">
        <v>0</v>
      </c>
      <c r="O188" s="2">
        <v>0</v>
      </c>
      <c r="P188" s="4">
        <v>1</v>
      </c>
      <c r="Q188" s="40">
        <v>0.86926660439835268</v>
      </c>
      <c r="R188" s="40">
        <v>0.64662756598240467</v>
      </c>
      <c r="S188" s="40">
        <v>0.65102173811851227</v>
      </c>
      <c r="T188" s="40">
        <v>1.3</v>
      </c>
      <c r="U188" s="40">
        <v>0.43999999999999989</v>
      </c>
      <c r="V188" s="40">
        <v>0.51869158878504673</v>
      </c>
      <c r="W188" s="40">
        <v>0.52272727272727271</v>
      </c>
      <c r="X188" s="40">
        <v>0.36267605633802819</v>
      </c>
      <c r="Y188" s="40">
        <v>0.46069159169724616</v>
      </c>
      <c r="Z188" s="40">
        <v>0.46469968387776589</v>
      </c>
      <c r="AA188" s="40">
        <v>0.46686136052871946</v>
      </c>
      <c r="AB188" s="40">
        <v>0.37142857142857144</v>
      </c>
      <c r="AC188" s="40">
        <v>0.25581395348837205</v>
      </c>
      <c r="AD188" s="40">
        <v>0.41924589107315513</v>
      </c>
      <c r="AE188" s="40">
        <v>0.55882352941176461</v>
      </c>
      <c r="AF188" s="40">
        <v>0.42312206572769956</v>
      </c>
      <c r="AG188" s="40">
        <v>0.21600000000000003</v>
      </c>
      <c r="AH188" s="40">
        <v>0.13500000000000001</v>
      </c>
      <c r="AI188" s="40">
        <v>0.18</v>
      </c>
      <c r="AJ188" s="40">
        <v>0.25</v>
      </c>
      <c r="AK188" s="40">
        <v>0.65</v>
      </c>
      <c r="AL188" s="40">
        <v>1.08</v>
      </c>
      <c r="AM188" s="40">
        <v>1</v>
      </c>
      <c r="AN188" s="40">
        <v>1</v>
      </c>
      <c r="AO188" s="40">
        <v>1</v>
      </c>
      <c r="AP188" s="40">
        <v>1</v>
      </c>
      <c r="AQ188" s="40">
        <f t="shared" si="142"/>
        <v>1.04</v>
      </c>
      <c r="AR188" s="40">
        <f t="shared" si="143"/>
        <v>1</v>
      </c>
      <c r="AS188" s="40">
        <f t="shared" si="144"/>
        <v>1</v>
      </c>
      <c r="AT188" s="40" cm="1">
        <f t="array" ref="AT188">_xlfn.IFS(AG188&gt;sheet2!$C$2,1,AG188=sheet2!$C$2,0,AG188&lt;sheet2!$C$2,-1)</f>
        <v>1</v>
      </c>
      <c r="AU188" s="40" cm="1">
        <f t="array" ref="AU188">_xlfn.IFS(AH188&gt;sheet2!$D$2,1,AH188=sheet2!$D$2,0,AH188&lt;sheet2!$D$2,-1)</f>
        <v>0</v>
      </c>
      <c r="AV188" s="40" cm="1">
        <f t="array" ref="AV188">_xlfn.IFS(AI188&gt;sheet2!$E$2,1,AI188=sheet2!$E$2,0,AI188&lt;sheet2!$E$2,-1)</f>
        <v>0</v>
      </c>
      <c r="AW188" s="40" cm="1">
        <f t="array" ref="AW188">_xlfn.IFS(AJ188&gt;sheet2!$F$2,1,AJ188=sheet2!$F$2,0,AJ188&lt;sheet2!$F$2,-1)</f>
        <v>0</v>
      </c>
      <c r="AX188" s="40" cm="1">
        <f t="array" ref="AX188">_xlfn.IFS(AK188&gt;sheet2!$G$2,1,AK188=sheet2!$G$2,0,AK188&lt;sheet2!$G$2,-1)</f>
        <v>0</v>
      </c>
      <c r="AY188">
        <v>0.37187847188218642</v>
      </c>
      <c r="AZ188">
        <v>0.49529042386185246</v>
      </c>
      <c r="BA188">
        <v>2.1703700759232024E-2</v>
      </c>
      <c r="BB188">
        <v>5.1482968571129467E-3</v>
      </c>
      <c r="BC188">
        <v>0.343331981358655</v>
      </c>
    </row>
    <row r="189" spans="1:55" ht="14.4" x14ac:dyDescent="0.25">
      <c r="A189" s="2">
        <v>24</v>
      </c>
      <c r="B189" s="2" t="s">
        <v>37</v>
      </c>
      <c r="C189" s="2">
        <v>2019</v>
      </c>
      <c r="D189" s="2">
        <v>10423</v>
      </c>
      <c r="E189" s="17">
        <v>21441.749464828899</v>
      </c>
      <c r="F189" s="5">
        <v>16769.34</v>
      </c>
      <c r="G189" s="3">
        <f t="shared" si="92"/>
        <v>0.62155099723662355</v>
      </c>
      <c r="H189" s="2">
        <f t="shared" si="139"/>
        <v>-8.3004806393562724E-2</v>
      </c>
      <c r="I189" s="14">
        <v>0.2532258094864816</v>
      </c>
      <c r="J189" s="2">
        <f t="shared" si="140"/>
        <v>3.5929117186624351E-2</v>
      </c>
      <c r="K189">
        <f t="shared" si="95"/>
        <v>1.2786281072975383</v>
      </c>
      <c r="L189">
        <f t="shared" si="141"/>
        <v>-9.5470767196919604E-2</v>
      </c>
      <c r="M189" s="2">
        <v>0</v>
      </c>
      <c r="N189" s="2">
        <v>0</v>
      </c>
      <c r="O189" s="2">
        <v>0</v>
      </c>
      <c r="P189" s="4">
        <v>1</v>
      </c>
      <c r="Q189" s="40">
        <v>0.86926660439835268</v>
      </c>
      <c r="R189" s="40">
        <v>0.64662756598240467</v>
      </c>
      <c r="S189" s="40">
        <v>0.65102173811851227</v>
      </c>
      <c r="T189" s="40">
        <v>1.3</v>
      </c>
      <c r="U189" s="40">
        <v>0.43999999999999989</v>
      </c>
      <c r="V189" s="40">
        <v>0.51869158878504673</v>
      </c>
      <c r="W189" s="40">
        <v>0.52272727272727271</v>
      </c>
      <c r="X189" s="40">
        <v>0.36267605633802819</v>
      </c>
      <c r="Y189" s="40">
        <v>0.46069159169724616</v>
      </c>
      <c r="Z189" s="40">
        <v>0.46469968387776589</v>
      </c>
      <c r="AA189" s="40">
        <v>0.46686136052871946</v>
      </c>
      <c r="AB189" s="40">
        <v>0.37142857142857144</v>
      </c>
      <c r="AC189" s="40">
        <v>0.25581395348837205</v>
      </c>
      <c r="AD189" s="40">
        <v>0.41924589107315513</v>
      </c>
      <c r="AE189" s="40">
        <v>0.55882352941176461</v>
      </c>
      <c r="AF189" s="40">
        <v>0.42312206572769956</v>
      </c>
      <c r="AG189" s="40">
        <v>0.21600000000000003</v>
      </c>
      <c r="AH189" s="40">
        <v>0.13500000000000001</v>
      </c>
      <c r="AI189" s="40">
        <v>0.18</v>
      </c>
      <c r="AJ189" s="40">
        <v>0.25</v>
      </c>
      <c r="AK189" s="40">
        <v>0.65</v>
      </c>
      <c r="AL189" s="40">
        <v>1.08</v>
      </c>
      <c r="AM189" s="40">
        <v>1</v>
      </c>
      <c r="AN189" s="40">
        <v>1</v>
      </c>
      <c r="AO189" s="40">
        <v>1</v>
      </c>
      <c r="AP189" s="40">
        <v>1</v>
      </c>
      <c r="AQ189" s="40">
        <f t="shared" si="142"/>
        <v>1.04</v>
      </c>
      <c r="AR189" s="40">
        <f t="shared" si="143"/>
        <v>1</v>
      </c>
      <c r="AS189" s="40">
        <f t="shared" si="144"/>
        <v>1</v>
      </c>
      <c r="AT189" s="40" cm="1">
        <f t="array" ref="AT189">_xlfn.IFS(AG189&gt;sheet2!$C$2,1,AG189=sheet2!$C$2,0,AG189&lt;sheet2!$C$2,-1)</f>
        <v>1</v>
      </c>
      <c r="AU189" s="40" cm="1">
        <f t="array" ref="AU189">_xlfn.IFS(AH189&gt;sheet2!$D$2,1,AH189=sheet2!$D$2,0,AH189&lt;sheet2!$D$2,-1)</f>
        <v>0</v>
      </c>
      <c r="AV189" s="40" cm="1">
        <f t="array" ref="AV189">_xlfn.IFS(AI189&gt;sheet2!$E$2,1,AI189=sheet2!$E$2,0,AI189&lt;sheet2!$E$2,-1)</f>
        <v>0</v>
      </c>
      <c r="AW189" s="40" cm="1">
        <f t="array" ref="AW189">_xlfn.IFS(AJ189&gt;sheet2!$F$2,1,AJ189=sheet2!$F$2,0,AJ189&lt;sheet2!$F$2,-1)</f>
        <v>0</v>
      </c>
      <c r="AX189" s="40" cm="1">
        <f t="array" ref="AX189">_xlfn.IFS(AK189&gt;sheet2!$G$2,1,AK189=sheet2!$G$2,0,AK189&lt;sheet2!$G$2,-1)</f>
        <v>0</v>
      </c>
      <c r="AY189">
        <v>0.34805186131356391</v>
      </c>
      <c r="AZ189">
        <v>0.51481288981288986</v>
      </c>
      <c r="BA189">
        <v>2.185134498208394E-2</v>
      </c>
      <c r="BB189">
        <v>5.4277985895688202E-3</v>
      </c>
      <c r="BC189">
        <v>0.29711670034326598</v>
      </c>
    </row>
    <row r="190" spans="1:55" ht="14.4" x14ac:dyDescent="0.25">
      <c r="A190" s="2">
        <v>24</v>
      </c>
      <c r="B190" s="2" t="s">
        <v>37</v>
      </c>
      <c r="C190" s="2">
        <v>2020</v>
      </c>
      <c r="D190" s="2">
        <v>10621.44</v>
      </c>
      <c r="E190" s="17">
        <v>22089.715061995499</v>
      </c>
      <c r="F190" s="5">
        <v>17826.560000000001</v>
      </c>
      <c r="G190" s="3">
        <f t="shared" si="92"/>
        <v>0.59582106699217341</v>
      </c>
      <c r="H190" s="2">
        <f t="shared" si="139"/>
        <v>-4.1396330082074974E-2</v>
      </c>
      <c r="I190" s="14">
        <v>0.25851904074859594</v>
      </c>
      <c r="J190" s="2">
        <f t="shared" si="140"/>
        <v>2.0903206007509743E-2</v>
      </c>
      <c r="K190">
        <f t="shared" si="95"/>
        <v>1.2391462549137633</v>
      </c>
      <c r="L190">
        <f t="shared" si="141"/>
        <v>-3.0878292255926077E-2</v>
      </c>
      <c r="M190" s="2">
        <v>0</v>
      </c>
      <c r="N190" s="2">
        <v>0</v>
      </c>
      <c r="O190" s="2">
        <v>0</v>
      </c>
      <c r="P190" s="4">
        <v>1</v>
      </c>
      <c r="Q190" s="40">
        <v>0.86926660439835268</v>
      </c>
      <c r="R190" s="40">
        <v>0.64662756598240467</v>
      </c>
      <c r="S190" s="40">
        <v>0.65102173811851227</v>
      </c>
      <c r="T190" s="40">
        <v>1.3</v>
      </c>
      <c r="U190" s="40">
        <v>0.43999999999999989</v>
      </c>
      <c r="V190" s="40">
        <v>0.51869158878504673</v>
      </c>
      <c r="W190" s="40">
        <v>0.52272727272727271</v>
      </c>
      <c r="X190" s="40">
        <v>0.36267605633802819</v>
      </c>
      <c r="Y190" s="40">
        <v>0.46069159169724616</v>
      </c>
      <c r="Z190" s="40">
        <v>0.46469968387776589</v>
      </c>
      <c r="AA190" s="40">
        <v>0.46686136052871946</v>
      </c>
      <c r="AB190" s="40">
        <v>0.37142857142857144</v>
      </c>
      <c r="AC190" s="40">
        <v>0.25581395348837205</v>
      </c>
      <c r="AD190" s="40">
        <v>0.41924589107315513</v>
      </c>
      <c r="AE190" s="40">
        <v>0.55882352941176461</v>
      </c>
      <c r="AF190" s="40">
        <v>0.42312206572769956</v>
      </c>
      <c r="AG190" s="40">
        <v>0.21600000000000003</v>
      </c>
      <c r="AH190" s="40">
        <v>0.13500000000000001</v>
      </c>
      <c r="AI190" s="40">
        <v>0.18</v>
      </c>
      <c r="AJ190" s="40">
        <v>0.25</v>
      </c>
      <c r="AK190" s="40">
        <v>0.65</v>
      </c>
      <c r="AL190" s="40">
        <v>1.08</v>
      </c>
      <c r="AM190" s="40">
        <v>1</v>
      </c>
      <c r="AN190" s="40">
        <v>1</v>
      </c>
      <c r="AO190" s="40">
        <v>1</v>
      </c>
      <c r="AP190" s="40">
        <v>1</v>
      </c>
      <c r="AQ190" s="40">
        <f t="shared" si="142"/>
        <v>1.04</v>
      </c>
      <c r="AR190" s="40">
        <f t="shared" si="143"/>
        <v>1</v>
      </c>
      <c r="AS190" s="40">
        <f t="shared" si="144"/>
        <v>1</v>
      </c>
      <c r="AT190" s="40" cm="1">
        <f t="array" ref="AT190">_xlfn.IFS(AG190&gt;sheet2!$C$2,1,AG190=sheet2!$C$2,0,AG190&lt;sheet2!$C$2,-1)</f>
        <v>1</v>
      </c>
      <c r="AU190" s="40" cm="1">
        <f t="array" ref="AU190">_xlfn.IFS(AH190&gt;sheet2!$D$2,1,AH190=sheet2!$D$2,0,AH190&lt;sheet2!$D$2,-1)</f>
        <v>0</v>
      </c>
      <c r="AV190" s="40" cm="1">
        <f t="array" ref="AV190">_xlfn.IFS(AI190&gt;sheet2!$E$2,1,AI190=sheet2!$E$2,0,AI190&lt;sheet2!$E$2,-1)</f>
        <v>0</v>
      </c>
      <c r="AW190" s="40" cm="1">
        <f t="array" ref="AW190">_xlfn.IFS(AJ190&gt;sheet2!$F$2,1,AJ190=sheet2!$F$2,0,AJ190&lt;sheet2!$F$2,-1)</f>
        <v>0</v>
      </c>
      <c r="AX190" s="40" cm="1">
        <f t="array" ref="AX190">_xlfn.IFS(AK190&gt;sheet2!$G$2,1,AK190=sheet2!$G$2,0,AK190&lt;sheet2!$G$2,-1)</f>
        <v>0</v>
      </c>
      <c r="AY190">
        <v>0.32990661125870613</v>
      </c>
      <c r="AZ190">
        <v>0.53162260238465531</v>
      </c>
      <c r="BA190">
        <v>2.1908131221642372E-2</v>
      </c>
      <c r="BB190">
        <v>5.9101363358943053E-3</v>
      </c>
      <c r="BC190">
        <v>0.31131631675233035</v>
      </c>
    </row>
    <row r="191" spans="1:55" ht="14.4" x14ac:dyDescent="0.25">
      <c r="A191" s="2">
        <v>24</v>
      </c>
      <c r="B191" s="2" t="s">
        <v>37</v>
      </c>
      <c r="C191" s="2">
        <v>2021</v>
      </c>
      <c r="D191" s="2">
        <v>11263.82</v>
      </c>
      <c r="E191" s="17">
        <v>22678.489170089502</v>
      </c>
      <c r="F191" s="30">
        <v>19586.422399999999</v>
      </c>
      <c r="G191" s="3">
        <f t="shared" si="92"/>
        <v>0.57508307387468571</v>
      </c>
      <c r="H191" s="2">
        <f t="shared" si="139"/>
        <v>-3.4805739955079677E-2</v>
      </c>
      <c r="I191" s="14">
        <v>0.27889246121149786</v>
      </c>
      <c r="J191" s="2">
        <f t="shared" si="140"/>
        <v>7.8808200757307531E-2</v>
      </c>
      <c r="K191">
        <f t="shared" si="95"/>
        <v>1.1578678692280986</v>
      </c>
      <c r="L191">
        <f t="shared" si="141"/>
        <v>-6.5592245760627471E-2</v>
      </c>
      <c r="M191" s="2">
        <v>0</v>
      </c>
      <c r="N191" s="2">
        <v>0</v>
      </c>
      <c r="O191" s="2">
        <v>0</v>
      </c>
      <c r="P191" s="4">
        <v>1</v>
      </c>
      <c r="Q191" s="40">
        <v>0.86926660439835268</v>
      </c>
      <c r="R191" s="40">
        <v>0.64662756598240467</v>
      </c>
      <c r="S191" s="40">
        <v>0.65102173811851227</v>
      </c>
      <c r="T191" s="40">
        <v>1.3</v>
      </c>
      <c r="U191" s="40">
        <v>0.43999999999999989</v>
      </c>
      <c r="V191" s="40">
        <v>0.51869158878504673</v>
      </c>
      <c r="W191" s="40">
        <v>0.52272727272727271</v>
      </c>
      <c r="X191" s="40">
        <v>0.36267605633802819</v>
      </c>
      <c r="Y191" s="40">
        <v>0.46069159169724616</v>
      </c>
      <c r="Z191" s="40">
        <v>0.46469968387776589</v>
      </c>
      <c r="AA191" s="40">
        <v>0.46686136052871946</v>
      </c>
      <c r="AB191" s="40">
        <v>0.37142857142857144</v>
      </c>
      <c r="AC191" s="40">
        <v>0.25581395348837205</v>
      </c>
      <c r="AD191" s="40">
        <v>0.41924589107315513</v>
      </c>
      <c r="AE191" s="40">
        <v>0.55882352941176461</v>
      </c>
      <c r="AF191" s="40">
        <v>0.42312206572769956</v>
      </c>
      <c r="AG191" s="40">
        <v>0.21600000000000003</v>
      </c>
      <c r="AH191" s="40">
        <v>0.13500000000000001</v>
      </c>
      <c r="AI191" s="40">
        <v>0.18</v>
      </c>
      <c r="AJ191" s="40">
        <v>0.25</v>
      </c>
      <c r="AK191" s="40">
        <v>0.65</v>
      </c>
      <c r="AL191" s="40">
        <v>1.08</v>
      </c>
      <c r="AM191" s="40">
        <v>1</v>
      </c>
      <c r="AN191" s="40">
        <v>1</v>
      </c>
      <c r="AO191" s="40">
        <v>1</v>
      </c>
      <c r="AP191" s="40">
        <v>1</v>
      </c>
      <c r="AQ191" s="40">
        <f t="shared" si="142"/>
        <v>1.04</v>
      </c>
      <c r="AR191" s="40">
        <f t="shared" si="143"/>
        <v>1</v>
      </c>
      <c r="AS191" s="40">
        <f t="shared" si="144"/>
        <v>1</v>
      </c>
      <c r="AT191" s="40" cm="1">
        <f t="array" ref="AT191">_xlfn.IFS(AG191&gt;sheet2!$C$2,1,AG191=sheet2!$C$2,0,AG191&lt;sheet2!$C$2,-1)</f>
        <v>1</v>
      </c>
      <c r="AU191" s="40" cm="1">
        <f t="array" ref="AU191">_xlfn.IFS(AH191&gt;sheet2!$D$2,1,AH191=sheet2!$D$2,0,AH191&lt;sheet2!$D$2,-1)</f>
        <v>0</v>
      </c>
      <c r="AV191" s="40" cm="1">
        <f t="array" ref="AV191">_xlfn.IFS(AI191&gt;sheet2!$E$2,1,AI191=sheet2!$E$2,0,AI191&lt;sheet2!$E$2,-1)</f>
        <v>0</v>
      </c>
      <c r="AW191" s="40" cm="1">
        <f t="array" ref="AW191">_xlfn.IFS(AJ191&gt;sheet2!$F$2,1,AJ191=sheet2!$F$2,0,AJ191&lt;sheet2!$F$2,-1)</f>
        <v>0</v>
      </c>
      <c r="AX191" s="40" cm="1">
        <f t="array" ref="AX191">_xlfn.IFS(AK191&gt;sheet2!$G$2,1,AK191=sheet2!$G$2,0,AK191&lt;sheet2!$G$2,-1)</f>
        <v>0</v>
      </c>
      <c r="AY191">
        <v>0.32429607971693697</v>
      </c>
      <c r="AZ191">
        <v>0.54335410176531673</v>
      </c>
      <c r="BA191">
        <v>2.1874059477907312E-2</v>
      </c>
      <c r="BB191">
        <v>6.1806437912826796E-3</v>
      </c>
      <c r="BC191">
        <v>0.35230527315693533</v>
      </c>
    </row>
    <row r="192" spans="1:55" ht="14.4" x14ac:dyDescent="0.25">
      <c r="A192" s="2">
        <v>24</v>
      </c>
      <c r="B192" s="2" t="s">
        <v>37</v>
      </c>
      <c r="C192" s="2">
        <v>2022</v>
      </c>
      <c r="D192" s="2">
        <v>10980.64</v>
      </c>
      <c r="E192" s="17">
        <v>22558.808731232999</v>
      </c>
      <c r="F192" s="30">
        <v>20164.599999999999</v>
      </c>
      <c r="G192" s="3">
        <f t="shared" si="92"/>
        <v>0.54455035061444312</v>
      </c>
      <c r="H192" s="2">
        <f t="shared" si="139"/>
        <v>-5.3092717639079509E-2</v>
      </c>
      <c r="I192" s="14">
        <v>0.29392817999617427</v>
      </c>
      <c r="J192" s="2">
        <f t="shared" si="140"/>
        <v>5.3912245312626381E-2</v>
      </c>
      <c r="K192">
        <f t="shared" si="95"/>
        <v>1.118733261816897</v>
      </c>
      <c r="L192">
        <f t="shared" si="141"/>
        <v>-3.379885430044012E-2</v>
      </c>
      <c r="M192" s="2">
        <v>1</v>
      </c>
      <c r="N192" s="2">
        <v>1</v>
      </c>
      <c r="O192" s="2">
        <v>0</v>
      </c>
      <c r="P192" s="4">
        <v>1</v>
      </c>
      <c r="Q192" s="40">
        <v>0.86926660439835268</v>
      </c>
      <c r="R192" s="40">
        <v>0.64662756598240467</v>
      </c>
      <c r="S192" s="40">
        <v>0.65102173811851227</v>
      </c>
      <c r="T192" s="40">
        <v>1.3</v>
      </c>
      <c r="U192" s="40">
        <v>0.43999999999999989</v>
      </c>
      <c r="V192" s="40">
        <v>0.51869158878504673</v>
      </c>
      <c r="W192" s="40">
        <v>0.52272727272727271</v>
      </c>
      <c r="X192" s="40">
        <v>0.36267605633802819</v>
      </c>
      <c r="Y192" s="40">
        <v>0.46069159169724616</v>
      </c>
      <c r="Z192" s="40">
        <v>0.46469968387776589</v>
      </c>
      <c r="AA192" s="40">
        <v>0.46686136052871946</v>
      </c>
      <c r="AB192" s="40">
        <v>0.37142857142857144</v>
      </c>
      <c r="AC192" s="40">
        <v>0.25581395348837205</v>
      </c>
      <c r="AD192" s="40">
        <v>0.41924589107315513</v>
      </c>
      <c r="AE192" s="40">
        <v>0.55882352941176461</v>
      </c>
      <c r="AF192" s="40">
        <v>0.42312206572769956</v>
      </c>
      <c r="AG192" s="40">
        <v>0.21600000000000003</v>
      </c>
      <c r="AH192" s="40">
        <v>0.13500000000000001</v>
      </c>
      <c r="AI192" s="40">
        <v>0.18</v>
      </c>
      <c r="AJ192" s="40">
        <v>0.25</v>
      </c>
      <c r="AK192" s="40">
        <v>0.65</v>
      </c>
      <c r="AL192" s="40">
        <v>1.08</v>
      </c>
      <c r="AM192" s="40">
        <v>1</v>
      </c>
      <c r="AN192" s="40">
        <v>1</v>
      </c>
      <c r="AO192" s="40">
        <v>1</v>
      </c>
      <c r="AP192" s="40">
        <v>1</v>
      </c>
      <c r="AQ192" s="40">
        <f t="shared" si="142"/>
        <v>1.04</v>
      </c>
      <c r="AR192" s="40">
        <f t="shared" si="143"/>
        <v>1</v>
      </c>
      <c r="AS192" s="40">
        <f t="shared" si="144"/>
        <v>1</v>
      </c>
      <c r="AT192" s="40" cm="1">
        <f t="array" ref="AT192">_xlfn.IFS(AG192&gt;sheet2!$C$2,1,AG192=sheet2!$C$2,0,AG192&lt;sheet2!$C$2,-1)</f>
        <v>1</v>
      </c>
      <c r="AU192" s="40" cm="1">
        <f t="array" ref="AU192">_xlfn.IFS(AH192&gt;sheet2!$D$2,1,AH192=sheet2!$D$2,0,AH192&lt;sheet2!$D$2,-1)</f>
        <v>0</v>
      </c>
      <c r="AV192" s="40" cm="1">
        <f t="array" ref="AV192">_xlfn.IFS(AI192&gt;sheet2!$E$2,1,AI192=sheet2!$E$2,0,AI192&lt;sheet2!$E$2,-1)</f>
        <v>0</v>
      </c>
      <c r="AW192" s="40" cm="1">
        <f t="array" ref="AW192">_xlfn.IFS(AJ192&gt;sheet2!$F$2,1,AJ192=sheet2!$F$2,0,AJ192&lt;sheet2!$F$2,-1)</f>
        <v>0</v>
      </c>
      <c r="AX192" s="40" cm="1">
        <f t="array" ref="AX192">_xlfn.IFS(AK192&gt;sheet2!$G$2,1,AK192=sheet2!$G$2,0,AK192&lt;sheet2!$G$2,-1)</f>
        <v>0</v>
      </c>
      <c r="AY192">
        <v>0.31543893754401281</v>
      </c>
      <c r="AZ192">
        <v>0.54823651452282163</v>
      </c>
      <c r="BA192">
        <v>2.1896773973730684E-2</v>
      </c>
      <c r="BB192">
        <v>6.5337720559792917E-3</v>
      </c>
      <c r="BC192">
        <v>0.3223882994722595</v>
      </c>
    </row>
    <row r="193" spans="1:55" ht="14.4" x14ac:dyDescent="0.25">
      <c r="A193" s="2">
        <v>24</v>
      </c>
      <c r="B193" s="2" t="s">
        <v>37</v>
      </c>
      <c r="C193" s="2">
        <v>2023</v>
      </c>
      <c r="D193" s="2">
        <v>11091.3000542888</v>
      </c>
      <c r="E193">
        <v>23323.9899975431</v>
      </c>
      <c r="F193" s="32">
        <v>20913.25</v>
      </c>
      <c r="G193" s="3">
        <f t="shared" si="92"/>
        <v>0.53034798772494951</v>
      </c>
      <c r="H193" s="2">
        <f t="shared" si="139"/>
        <v>-2.6080899357549554E-2</v>
      </c>
      <c r="I193" s="14"/>
      <c r="K193">
        <f t="shared" si="95"/>
        <v>1.115273331382884</v>
      </c>
      <c r="L193">
        <f t="shared" si="141"/>
        <v>-3.0927215200466027E-3</v>
      </c>
      <c r="M193" s="2">
        <v>1</v>
      </c>
      <c r="N193" s="2">
        <v>1</v>
      </c>
      <c r="O193" s="2">
        <v>1</v>
      </c>
      <c r="P193" s="4">
        <v>1</v>
      </c>
      <c r="Q193" s="40">
        <v>0.86926660439835268</v>
      </c>
      <c r="R193" s="40">
        <v>0.64662756598240467</v>
      </c>
      <c r="S193" s="40">
        <v>0.65102173811851227</v>
      </c>
      <c r="T193" s="40">
        <v>1.3</v>
      </c>
      <c r="U193" s="40">
        <v>0.43999999999999989</v>
      </c>
      <c r="V193" s="40">
        <v>0.51869158878504673</v>
      </c>
      <c r="W193" s="40">
        <v>0.52272727272727271</v>
      </c>
      <c r="X193" s="40">
        <v>0.36267605633802819</v>
      </c>
      <c r="Y193" s="40">
        <v>0.46069159169724616</v>
      </c>
      <c r="Z193" s="40">
        <v>0.46469968387776589</v>
      </c>
      <c r="AA193" s="40">
        <v>0.46686136052871946</v>
      </c>
      <c r="AB193" s="40">
        <v>0.37142857142857144</v>
      </c>
      <c r="AC193" s="40">
        <v>0.25581395348837205</v>
      </c>
      <c r="AD193" s="40">
        <v>0.41924589107315513</v>
      </c>
      <c r="AE193" s="40">
        <v>0.55882352941176461</v>
      </c>
      <c r="AF193" s="40">
        <v>0.42312206572769956</v>
      </c>
      <c r="AG193" s="40">
        <v>0.21600000000000003</v>
      </c>
      <c r="AH193" s="40">
        <v>0.13500000000000001</v>
      </c>
      <c r="AI193" s="40">
        <v>0.18</v>
      </c>
      <c r="AJ193" s="40">
        <v>0.25</v>
      </c>
      <c r="AK193" s="40">
        <v>0.65</v>
      </c>
      <c r="AL193" s="40">
        <v>1.08</v>
      </c>
      <c r="AM193" s="40">
        <v>1</v>
      </c>
      <c r="AN193" s="40">
        <v>1</v>
      </c>
      <c r="AO193" s="40">
        <v>1</v>
      </c>
      <c r="AP193" s="40">
        <v>1</v>
      </c>
      <c r="AQ193" s="40">
        <f t="shared" si="142"/>
        <v>1.04</v>
      </c>
      <c r="AR193" s="40">
        <f t="shared" si="143"/>
        <v>1</v>
      </c>
      <c r="AS193" s="40">
        <f t="shared" si="144"/>
        <v>1</v>
      </c>
      <c r="AT193" s="40" cm="1">
        <f t="array" ref="AT193">_xlfn.IFS(AG193&gt;sheet2!$C$2,1,AG193=sheet2!$C$2,0,AG193&lt;sheet2!$C$2,-1)</f>
        <v>1</v>
      </c>
      <c r="AU193" s="40" cm="1">
        <f t="array" ref="AU193">_xlfn.IFS(AH193&gt;sheet2!$D$2,1,AH193=sheet2!$D$2,0,AH193&lt;sheet2!$D$2,-1)</f>
        <v>0</v>
      </c>
      <c r="AV193" s="40" cm="1">
        <f t="array" ref="AV193">_xlfn.IFS(AI193&gt;sheet2!$E$2,1,AI193=sheet2!$E$2,0,AI193&lt;sheet2!$E$2,-1)</f>
        <v>0</v>
      </c>
      <c r="AW193" s="40" cm="1">
        <f t="array" ref="AW193">_xlfn.IFS(AJ193&gt;sheet2!$F$2,1,AJ193=sheet2!$F$2,0,AJ193&lt;sheet2!$F$2,-1)</f>
        <v>0</v>
      </c>
      <c r="AX193" s="40" cm="1">
        <f t="array" ref="AX193">_xlfn.IFS(AK193&gt;sheet2!$G$2,1,AK193=sheet2!$G$2,0,AK193&lt;sheet2!$G$2,-1)</f>
        <v>0</v>
      </c>
      <c r="AY193">
        <v>0.31743033722639952</v>
      </c>
      <c r="AZ193">
        <v>0.55937904269081495</v>
      </c>
      <c r="BA193">
        <v>2.1947881589333272E-2</v>
      </c>
      <c r="BB193">
        <v>6.0344088078132284E-3</v>
      </c>
      <c r="BC193">
        <v>0.33502103583345422</v>
      </c>
    </row>
    <row r="194" spans="1:55" s="40" customFormat="1" ht="14.4" x14ac:dyDescent="0.25">
      <c r="A194" s="35">
        <v>25</v>
      </c>
      <c r="B194" s="35" t="s">
        <v>38</v>
      </c>
      <c r="C194" s="35">
        <v>2016</v>
      </c>
      <c r="D194" s="35">
        <v>10726</v>
      </c>
      <c r="E194" s="36">
        <v>21064.24176189</v>
      </c>
      <c r="F194" s="37">
        <v>14788.42</v>
      </c>
      <c r="G194" s="38">
        <f t="shared" si="92"/>
        <v>0.72529722580235079</v>
      </c>
      <c r="H194" s="35"/>
      <c r="I194" s="39">
        <v>0.23463349641010409</v>
      </c>
      <c r="J194" s="35"/>
      <c r="K194" s="40">
        <f t="shared" si="95"/>
        <v>1.4243740549625992</v>
      </c>
      <c r="M194" s="35">
        <v>0</v>
      </c>
      <c r="N194" s="35">
        <v>0</v>
      </c>
      <c r="O194" s="35">
        <v>0</v>
      </c>
      <c r="P194" s="41">
        <v>1</v>
      </c>
      <c r="Q194" s="40">
        <v>0.79679411361294405</v>
      </c>
      <c r="R194" s="40">
        <v>0.91055718475073311</v>
      </c>
      <c r="S194" s="40">
        <v>0.65092631382953958</v>
      </c>
      <c r="T194" s="40">
        <v>1.2</v>
      </c>
      <c r="U194" s="40">
        <v>1.253333333333333</v>
      </c>
      <c r="V194" s="40">
        <v>0.65241635687732347</v>
      </c>
      <c r="W194" s="40">
        <v>0.48314606741573041</v>
      </c>
      <c r="X194" s="40">
        <v>-0.1818181818181818</v>
      </c>
      <c r="Y194" s="40">
        <v>0.16172418000014679</v>
      </c>
      <c r="Z194" s="40">
        <v>0.6543730242360376</v>
      </c>
      <c r="AA194" s="40">
        <v>0.46679292976708925</v>
      </c>
      <c r="AB194" s="40">
        <v>0.34285714285714286</v>
      </c>
      <c r="AC194" s="40">
        <v>0.72868217054263551</v>
      </c>
      <c r="AD194" s="40">
        <v>0.52733239328291259</v>
      </c>
      <c r="AE194" s="40">
        <v>0.51650909508893939</v>
      </c>
      <c r="AF194" s="40">
        <v>-0.2121212121212121</v>
      </c>
      <c r="AG194" s="40">
        <v>0.2</v>
      </c>
      <c r="AH194" s="40">
        <v>0.13500000000000001</v>
      </c>
      <c r="AI194" s="40">
        <v>0.18</v>
      </c>
      <c r="AJ194" s="40">
        <v>0.25</v>
      </c>
      <c r="AK194" s="40">
        <v>0.65</v>
      </c>
      <c r="AL194" s="40">
        <v>1</v>
      </c>
      <c r="AM194" s="40">
        <v>1</v>
      </c>
      <c r="AN194" s="40">
        <v>1</v>
      </c>
      <c r="AO194" s="40">
        <v>1</v>
      </c>
      <c r="AP194" s="40">
        <v>1</v>
      </c>
      <c r="AQ194" s="40">
        <f t="shared" si="106"/>
        <v>1</v>
      </c>
      <c r="AR194" s="40">
        <f t="shared" si="107"/>
        <v>1</v>
      </c>
      <c r="AS194" s="40">
        <f t="shared" si="108"/>
        <v>1</v>
      </c>
      <c r="AT194" s="40" cm="1">
        <f t="array" ref="AT194">_xlfn.IFS(AG194&gt;sheet2!$C$2,1,AG194=sheet2!$C$2,0,AG194&lt;sheet2!$C$2,-1)</f>
        <v>0</v>
      </c>
      <c r="AU194" s="40" cm="1">
        <f t="array" ref="AU194">_xlfn.IFS(AH194&gt;sheet2!$D$2,1,AH194=sheet2!$D$2,0,AH194&lt;sheet2!$D$2,-1)</f>
        <v>0</v>
      </c>
      <c r="AV194" s="40" cm="1">
        <f t="array" ref="AV194">_xlfn.IFS(AI194&gt;sheet2!$E$2,1,AI194=sheet2!$E$2,0,AI194&lt;sheet2!$E$2,-1)</f>
        <v>0</v>
      </c>
      <c r="AW194" s="40" cm="1">
        <f t="array" ref="AW194">_xlfn.IFS(AJ194&gt;sheet2!$F$2,1,AJ194=sheet2!$F$2,0,AJ194&lt;sheet2!$F$2,-1)</f>
        <v>0</v>
      </c>
      <c r="AX194" s="40" cm="1">
        <f t="array" ref="AX194">_xlfn.IFS(AK194&gt;sheet2!$G$2,1,AK194=sheet2!$G$2,0,AK194&lt;sheet2!$G$2,-1)</f>
        <v>0</v>
      </c>
      <c r="AY194" s="40">
        <v>0.38864192388368735</v>
      </c>
      <c r="AZ194" s="40">
        <v>0.44644002565747276</v>
      </c>
      <c r="BA194" s="40">
        <v>1.2205560745956271E-2</v>
      </c>
      <c r="BB194" s="40">
        <v>5.0164047274827194E-3</v>
      </c>
      <c r="BC194" s="40">
        <v>0.36109594609134349</v>
      </c>
    </row>
    <row r="195" spans="1:55" ht="14.4" x14ac:dyDescent="0.25">
      <c r="A195" s="2">
        <v>25</v>
      </c>
      <c r="B195" s="2" t="s">
        <v>38</v>
      </c>
      <c r="C195" s="2">
        <v>2017</v>
      </c>
      <c r="D195" s="2">
        <v>11164</v>
      </c>
      <c r="E195" s="17">
        <v>21254.229907716799</v>
      </c>
      <c r="F195" s="5">
        <v>16376.34</v>
      </c>
      <c r="G195" s="3">
        <f t="shared" ref="G195:G241" si="145">D195/F195</f>
        <v>0.68171520620602655</v>
      </c>
      <c r="H195" s="2">
        <f t="shared" ref="H195:H201" si="146">(G195-G194)/G194</f>
        <v>-6.0088496199764432E-2</v>
      </c>
      <c r="I195" s="14">
        <v>0.25204692800866818</v>
      </c>
      <c r="J195" s="2">
        <f t="shared" ref="J195:J200" si="147">(I195-I194)/I194</f>
        <v>7.4215454591905469E-2</v>
      </c>
      <c r="K195">
        <f t="shared" ref="K195:K241" si="148">E195/F195</f>
        <v>1.2978620319141394</v>
      </c>
      <c r="L195">
        <f t="shared" ref="L195:L201" si="149">(K195-K194)/K194</f>
        <v>-8.8819381824377361E-2</v>
      </c>
      <c r="M195" s="2">
        <v>0</v>
      </c>
      <c r="N195" s="2">
        <v>0</v>
      </c>
      <c r="O195" s="2">
        <v>0</v>
      </c>
      <c r="P195" s="4">
        <v>1</v>
      </c>
      <c r="Q195" s="40">
        <v>0.79679411361294405</v>
      </c>
      <c r="R195" s="40">
        <v>0.91055718475073311</v>
      </c>
      <c r="S195" s="40">
        <v>0.65092631382953958</v>
      </c>
      <c r="T195" s="40">
        <v>1.2</v>
      </c>
      <c r="U195" s="40">
        <v>1.253333333333333</v>
      </c>
      <c r="V195" s="40">
        <v>0.65241635687732347</v>
      </c>
      <c r="W195" s="40">
        <v>0.48314606741573041</v>
      </c>
      <c r="X195" s="40">
        <v>-0.1818181818181818</v>
      </c>
      <c r="Y195" s="40">
        <v>0.16172418000014679</v>
      </c>
      <c r="Z195" s="40">
        <v>0.6543730242360376</v>
      </c>
      <c r="AA195" s="40">
        <v>0.46679292976708925</v>
      </c>
      <c r="AB195" s="40">
        <v>0.34285714285714286</v>
      </c>
      <c r="AC195" s="40">
        <v>0.72868217054263551</v>
      </c>
      <c r="AD195" s="40">
        <v>0.52733239328291259</v>
      </c>
      <c r="AE195" s="40">
        <v>0.51650909508893939</v>
      </c>
      <c r="AF195" s="40">
        <v>-0.2121212121212121</v>
      </c>
      <c r="AG195" s="40">
        <v>0.2</v>
      </c>
      <c r="AH195" s="40">
        <v>0.13500000000000001</v>
      </c>
      <c r="AI195" s="40">
        <v>0.18</v>
      </c>
      <c r="AJ195" s="40">
        <v>0.25</v>
      </c>
      <c r="AK195" s="40">
        <v>0.65</v>
      </c>
      <c r="AL195" s="40">
        <v>1</v>
      </c>
      <c r="AM195" s="40">
        <v>1</v>
      </c>
      <c r="AN195" s="40">
        <v>1</v>
      </c>
      <c r="AO195" s="40">
        <v>1</v>
      </c>
      <c r="AP195" s="40">
        <v>1</v>
      </c>
      <c r="AQ195" s="40">
        <f t="shared" ref="AQ195:AQ201" si="150">AVERAGE(AL195,AO195)</f>
        <v>1</v>
      </c>
      <c r="AR195" s="40">
        <f t="shared" ref="AR195:AR201" si="151">AVERAGE(AM195)</f>
        <v>1</v>
      </c>
      <c r="AS195" s="40">
        <f t="shared" ref="AS195:AS201" si="152">AVERAGE(AN195,AP195)</f>
        <v>1</v>
      </c>
      <c r="AT195" s="40" cm="1">
        <f t="array" ref="AT195">_xlfn.IFS(AG195&gt;sheet2!$C$2,1,AG195=sheet2!$C$2,0,AG195&lt;sheet2!$C$2,-1)</f>
        <v>0</v>
      </c>
      <c r="AU195" s="40" cm="1">
        <f t="array" ref="AU195">_xlfn.IFS(AH195&gt;sheet2!$D$2,1,AH195=sheet2!$D$2,0,AH195&lt;sheet2!$D$2,-1)</f>
        <v>0</v>
      </c>
      <c r="AV195" s="40" cm="1">
        <f t="array" ref="AV195">_xlfn.IFS(AI195&gt;sheet2!$E$2,1,AI195=sheet2!$E$2,0,AI195&lt;sheet2!$E$2,-1)</f>
        <v>0</v>
      </c>
      <c r="AW195" s="40" cm="1">
        <f t="array" ref="AW195">_xlfn.IFS(AJ195&gt;sheet2!$F$2,1,AJ195=sheet2!$F$2,0,AJ195&lt;sheet2!$F$2,-1)</f>
        <v>0</v>
      </c>
      <c r="AX195" s="40" cm="1">
        <f t="array" ref="AX195">_xlfn.IFS(AK195&gt;sheet2!$G$2,1,AK195=sheet2!$G$2,0,AK195&lt;sheet2!$G$2,-1)</f>
        <v>0</v>
      </c>
      <c r="AY195">
        <v>0.38578827747836208</v>
      </c>
      <c r="AZ195">
        <v>0.46281696143191986</v>
      </c>
      <c r="BA195">
        <v>1.224731592490331E-2</v>
      </c>
      <c r="BB195">
        <v>5.4077284668002743E-3</v>
      </c>
      <c r="BC195">
        <v>0.33015576836566618</v>
      </c>
    </row>
    <row r="196" spans="1:55" ht="14.4" x14ac:dyDescent="0.25">
      <c r="A196" s="2">
        <v>25</v>
      </c>
      <c r="B196" s="2" t="s">
        <v>38</v>
      </c>
      <c r="C196" s="2">
        <v>2018</v>
      </c>
      <c r="D196" s="2">
        <v>11590</v>
      </c>
      <c r="E196" s="17">
        <v>21735.823252208902</v>
      </c>
      <c r="F196" s="5">
        <v>17881.12</v>
      </c>
      <c r="G196" s="3">
        <f t="shared" si="145"/>
        <v>0.64816968959438781</v>
      </c>
      <c r="H196" s="2">
        <f t="shared" si="146"/>
        <v>-4.920752288676495E-2</v>
      </c>
      <c r="I196" s="14">
        <v>0.25729242118056034</v>
      </c>
      <c r="J196" s="2">
        <f t="shared" si="147"/>
        <v>2.0811573516626072E-2</v>
      </c>
      <c r="K196">
        <f t="shared" si="148"/>
        <v>1.2155739267008387</v>
      </c>
      <c r="L196">
        <f t="shared" si="149"/>
        <v>-6.34028141588662E-2</v>
      </c>
      <c r="M196" s="2">
        <v>0</v>
      </c>
      <c r="N196" s="2">
        <v>0</v>
      </c>
      <c r="O196" s="2">
        <v>0</v>
      </c>
      <c r="P196" s="4">
        <v>1</v>
      </c>
      <c r="Q196" s="40">
        <v>0.79679411361294405</v>
      </c>
      <c r="R196" s="40">
        <v>0.91055718475073311</v>
      </c>
      <c r="S196" s="40">
        <v>0.65092631382953958</v>
      </c>
      <c r="T196" s="40">
        <v>1.2</v>
      </c>
      <c r="U196" s="40">
        <v>1.253333333333333</v>
      </c>
      <c r="V196" s="40">
        <v>0.65241635687732347</v>
      </c>
      <c r="W196" s="40">
        <v>0.48314606741573041</v>
      </c>
      <c r="X196" s="40">
        <v>-0.1818181818181818</v>
      </c>
      <c r="Y196" s="40">
        <v>0.16172418000014679</v>
      </c>
      <c r="Z196" s="40">
        <v>0.6543730242360376</v>
      </c>
      <c r="AA196" s="40">
        <v>0.46679292976708925</v>
      </c>
      <c r="AB196" s="40">
        <v>0.34285714285714286</v>
      </c>
      <c r="AC196" s="40">
        <v>0.72868217054263551</v>
      </c>
      <c r="AD196" s="40">
        <v>0.52733239328291259</v>
      </c>
      <c r="AE196" s="40">
        <v>0.51650909508893939</v>
      </c>
      <c r="AF196" s="40">
        <v>-0.2121212121212121</v>
      </c>
      <c r="AG196" s="40">
        <v>0.2</v>
      </c>
      <c r="AH196" s="40">
        <v>0.13500000000000001</v>
      </c>
      <c r="AI196" s="40">
        <v>0.18</v>
      </c>
      <c r="AJ196" s="40">
        <v>0.25</v>
      </c>
      <c r="AK196" s="40">
        <v>0.65</v>
      </c>
      <c r="AL196" s="40">
        <v>1</v>
      </c>
      <c r="AM196" s="40">
        <v>1</v>
      </c>
      <c r="AN196" s="40">
        <v>1</v>
      </c>
      <c r="AO196" s="40">
        <v>1</v>
      </c>
      <c r="AP196" s="40">
        <v>1</v>
      </c>
      <c r="AQ196" s="40">
        <f t="shared" si="150"/>
        <v>1</v>
      </c>
      <c r="AR196" s="40">
        <f t="shared" si="151"/>
        <v>1</v>
      </c>
      <c r="AS196" s="40">
        <f t="shared" si="152"/>
        <v>1</v>
      </c>
      <c r="AT196" s="40" cm="1">
        <f t="array" ref="AT196">_xlfn.IFS(AG196&gt;sheet2!$C$2,1,AG196=sheet2!$C$2,0,AG196&lt;sheet2!$C$2,-1)</f>
        <v>0</v>
      </c>
      <c r="AU196" s="40" cm="1">
        <f t="array" ref="AU196">_xlfn.IFS(AH196&gt;sheet2!$D$2,1,AH196=sheet2!$D$2,0,AH196&lt;sheet2!$D$2,-1)</f>
        <v>0</v>
      </c>
      <c r="AV196" s="40" cm="1">
        <f t="array" ref="AV196">_xlfn.IFS(AI196&gt;sheet2!$E$2,1,AI196=sheet2!$E$2,0,AI196&lt;sheet2!$E$2,-1)</f>
        <v>0</v>
      </c>
      <c r="AW196" s="40" cm="1">
        <f t="array" ref="AW196">_xlfn.IFS(AJ196&gt;sheet2!$F$2,1,AJ196=sheet2!$F$2,0,AJ196&lt;sheet2!$F$2,-1)</f>
        <v>0</v>
      </c>
      <c r="AX196" s="40" cm="1">
        <f t="array" ref="AX196">_xlfn.IFS(AK196&gt;sheet2!$G$2,1,AK196=sheet2!$G$2,0,AK196&lt;sheet2!$G$2,-1)</f>
        <v>0</v>
      </c>
      <c r="AY196">
        <v>0.4064342725735301</v>
      </c>
      <c r="AZ196">
        <v>0.47437805655964277</v>
      </c>
      <c r="BA196">
        <v>1.227341291174521E-2</v>
      </c>
      <c r="BB196">
        <v>5.9849271186592336E-3</v>
      </c>
      <c r="BC196">
        <v>0.32828644467599338</v>
      </c>
    </row>
    <row r="197" spans="1:55" ht="14.4" x14ac:dyDescent="0.25">
      <c r="A197" s="2">
        <v>25</v>
      </c>
      <c r="B197" s="2" t="s">
        <v>38</v>
      </c>
      <c r="C197" s="2">
        <v>2019</v>
      </c>
      <c r="D197" s="2">
        <v>12158</v>
      </c>
      <c r="E197" s="17">
        <v>21682.987867349202</v>
      </c>
      <c r="F197" s="5">
        <v>23223.75</v>
      </c>
      <c r="G197" s="3">
        <f t="shared" si="145"/>
        <v>0.52351579740567311</v>
      </c>
      <c r="H197" s="2">
        <f t="shared" si="146"/>
        <v>-0.19231675622894481</v>
      </c>
      <c r="I197" s="14">
        <v>0.2628292038525521</v>
      </c>
      <c r="J197" s="2">
        <f t="shared" si="147"/>
        <v>2.1519416104783765E-2</v>
      </c>
      <c r="K197">
        <f t="shared" si="148"/>
        <v>0.93365575616983487</v>
      </c>
      <c r="L197">
        <f t="shared" si="149"/>
        <v>-0.23192186368800416</v>
      </c>
      <c r="M197" s="2">
        <v>0</v>
      </c>
      <c r="N197" s="2">
        <v>0</v>
      </c>
      <c r="O197" s="2">
        <v>0</v>
      </c>
      <c r="P197" s="4">
        <v>1</v>
      </c>
      <c r="Q197" s="40">
        <v>0.79679411361294405</v>
      </c>
      <c r="R197" s="40">
        <v>0.91055718475073311</v>
      </c>
      <c r="S197" s="40">
        <v>0.65092631382953958</v>
      </c>
      <c r="T197" s="40">
        <v>1.2</v>
      </c>
      <c r="U197" s="40">
        <v>1.253333333333333</v>
      </c>
      <c r="V197" s="40">
        <v>0.65241635687732347</v>
      </c>
      <c r="W197" s="40">
        <v>0.48314606741573041</v>
      </c>
      <c r="X197" s="40">
        <v>-0.1818181818181818</v>
      </c>
      <c r="Y197" s="40">
        <v>0.16172418000014679</v>
      </c>
      <c r="Z197" s="40">
        <v>0.6543730242360376</v>
      </c>
      <c r="AA197" s="40">
        <v>0.46679292976708925</v>
      </c>
      <c r="AB197" s="40">
        <v>0.34285714285714286</v>
      </c>
      <c r="AC197" s="40">
        <v>0.72868217054263551</v>
      </c>
      <c r="AD197" s="40">
        <v>0.52733239328291259</v>
      </c>
      <c r="AE197" s="40">
        <v>0.51650909508893939</v>
      </c>
      <c r="AF197" s="40">
        <v>-0.2121212121212121</v>
      </c>
      <c r="AG197" s="40">
        <v>0.2</v>
      </c>
      <c r="AH197" s="40">
        <v>0.13500000000000001</v>
      </c>
      <c r="AI197" s="40">
        <v>0.18</v>
      </c>
      <c r="AJ197" s="40">
        <v>0.25</v>
      </c>
      <c r="AK197" s="40">
        <v>0.65</v>
      </c>
      <c r="AL197" s="40">
        <v>1</v>
      </c>
      <c r="AM197" s="40">
        <v>1</v>
      </c>
      <c r="AN197" s="40">
        <v>1</v>
      </c>
      <c r="AO197" s="40">
        <v>1</v>
      </c>
      <c r="AP197" s="40">
        <v>1</v>
      </c>
      <c r="AQ197" s="40">
        <f t="shared" si="150"/>
        <v>1</v>
      </c>
      <c r="AR197" s="40">
        <f t="shared" si="151"/>
        <v>1</v>
      </c>
      <c r="AS197" s="40">
        <f t="shared" si="152"/>
        <v>1</v>
      </c>
      <c r="AT197" s="40" cm="1">
        <f t="array" ref="AT197">_xlfn.IFS(AG197&gt;sheet2!$C$2,1,AG197=sheet2!$C$2,0,AG197&lt;sheet2!$C$2,-1)</f>
        <v>0</v>
      </c>
      <c r="AU197" s="40" cm="1">
        <f t="array" ref="AU197">_xlfn.IFS(AH197&gt;sheet2!$D$2,1,AH197=sheet2!$D$2,0,AH197&lt;sheet2!$D$2,-1)</f>
        <v>0</v>
      </c>
      <c r="AV197" s="40" cm="1">
        <f t="array" ref="AV197">_xlfn.IFS(AI197&gt;sheet2!$E$2,1,AI197=sheet2!$E$2,0,AI197&lt;sheet2!$E$2,-1)</f>
        <v>0</v>
      </c>
      <c r="AW197" s="40" cm="1">
        <f t="array" ref="AW197">_xlfn.IFS(AJ197&gt;sheet2!$F$2,1,AJ197=sheet2!$F$2,0,AJ197&lt;sheet2!$F$2,-1)</f>
        <v>0</v>
      </c>
      <c r="AX197" s="40" cm="1">
        <f t="array" ref="AX197">_xlfn.IFS(AK197&gt;sheet2!$G$2,1,AK197=sheet2!$G$2,0,AK197&lt;sheet2!$G$2,-1)</f>
        <v>0</v>
      </c>
      <c r="AY197">
        <v>0.35102427471876851</v>
      </c>
      <c r="AZ197">
        <v>0.4866355536699194</v>
      </c>
      <c r="BA197">
        <v>1.2302119597271299E-2</v>
      </c>
      <c r="BB197">
        <v>5.587990742235858E-3</v>
      </c>
      <c r="BC197">
        <v>0.3062824866434567</v>
      </c>
    </row>
    <row r="198" spans="1:55" ht="14.4" x14ac:dyDescent="0.25">
      <c r="A198" s="2">
        <v>25</v>
      </c>
      <c r="B198" s="2" t="s">
        <v>38</v>
      </c>
      <c r="C198" s="2">
        <v>2020</v>
      </c>
      <c r="D198" s="2">
        <v>12981.94</v>
      </c>
      <c r="E198" s="17">
        <v>21573.5429403614</v>
      </c>
      <c r="F198" s="5">
        <v>24521.9</v>
      </c>
      <c r="G198" s="3">
        <f t="shared" si="145"/>
        <v>0.52940188158340096</v>
      </c>
      <c r="H198" s="2">
        <f t="shared" si="146"/>
        <v>1.1243374520686548E-2</v>
      </c>
      <c r="I198" s="14">
        <v>0.28573227949482205</v>
      </c>
      <c r="J198" s="2">
        <f t="shared" si="147"/>
        <v>8.7140528170220541E-2</v>
      </c>
      <c r="K198">
        <f t="shared" si="148"/>
        <v>0.87976636966798649</v>
      </c>
      <c r="L198">
        <f t="shared" si="149"/>
        <v>-5.7718689298206109E-2</v>
      </c>
      <c r="M198" s="2">
        <v>0</v>
      </c>
      <c r="N198" s="2">
        <v>0</v>
      </c>
      <c r="O198" s="2">
        <v>0</v>
      </c>
      <c r="P198" s="4">
        <v>1</v>
      </c>
      <c r="Q198" s="40">
        <v>0.79679411361294405</v>
      </c>
      <c r="R198" s="40">
        <v>0.91055718475073311</v>
      </c>
      <c r="S198" s="40">
        <v>0.65092631382953958</v>
      </c>
      <c r="T198" s="40">
        <v>1.2</v>
      </c>
      <c r="U198" s="40">
        <v>1.253333333333333</v>
      </c>
      <c r="V198" s="40">
        <v>0.65241635687732347</v>
      </c>
      <c r="W198" s="40">
        <v>0.48314606741573041</v>
      </c>
      <c r="X198" s="40">
        <v>-0.1818181818181818</v>
      </c>
      <c r="Y198" s="40">
        <v>0.16172418000014679</v>
      </c>
      <c r="Z198" s="40">
        <v>0.6543730242360376</v>
      </c>
      <c r="AA198" s="40">
        <v>0.46679292976708925</v>
      </c>
      <c r="AB198" s="40">
        <v>0.34285714285714286</v>
      </c>
      <c r="AC198" s="40">
        <v>0.72868217054263551</v>
      </c>
      <c r="AD198" s="40">
        <v>0.52733239328291259</v>
      </c>
      <c r="AE198" s="40">
        <v>0.51650909508893939</v>
      </c>
      <c r="AF198" s="40">
        <v>-0.2121212121212121</v>
      </c>
      <c r="AG198" s="40">
        <v>0.2</v>
      </c>
      <c r="AH198" s="40">
        <v>0.13500000000000001</v>
      </c>
      <c r="AI198" s="40">
        <v>0.18</v>
      </c>
      <c r="AJ198" s="40">
        <v>0.25</v>
      </c>
      <c r="AK198" s="40">
        <v>0.65</v>
      </c>
      <c r="AL198" s="40">
        <v>1</v>
      </c>
      <c r="AM198" s="40">
        <v>1</v>
      </c>
      <c r="AN198" s="40">
        <v>1</v>
      </c>
      <c r="AO198" s="40">
        <v>1</v>
      </c>
      <c r="AP198" s="40">
        <v>1</v>
      </c>
      <c r="AQ198" s="40">
        <f t="shared" si="150"/>
        <v>1</v>
      </c>
      <c r="AR198" s="40">
        <f t="shared" si="151"/>
        <v>1</v>
      </c>
      <c r="AS198" s="40">
        <f t="shared" si="152"/>
        <v>1</v>
      </c>
      <c r="AT198" s="40" cm="1">
        <f t="array" ref="AT198">_xlfn.IFS(AG198&gt;sheet2!$C$2,1,AG198=sheet2!$C$2,0,AG198&lt;sheet2!$C$2,-1)</f>
        <v>0</v>
      </c>
      <c r="AU198" s="40" cm="1">
        <f t="array" ref="AU198">_xlfn.IFS(AH198&gt;sheet2!$D$2,1,AH198=sheet2!$D$2,0,AH198&lt;sheet2!$D$2,-1)</f>
        <v>0</v>
      </c>
      <c r="AV198" s="40" cm="1">
        <f t="array" ref="AV198">_xlfn.IFS(AI198&gt;sheet2!$E$2,1,AI198=sheet2!$E$2,0,AI198&lt;sheet2!$E$2,-1)</f>
        <v>0</v>
      </c>
      <c r="AW198" s="40" cm="1">
        <f t="array" ref="AW198">_xlfn.IFS(AJ198&gt;sheet2!$F$2,1,AJ198=sheet2!$F$2,0,AJ198&lt;sheet2!$F$2,-1)</f>
        <v>0</v>
      </c>
      <c r="AX198" s="40" cm="1">
        <f t="array" ref="AX198">_xlfn.IFS(AK198&gt;sheet2!$G$2,1,AK198=sheet2!$G$2,0,AK198&lt;sheet2!$G$2,-1)</f>
        <v>0</v>
      </c>
      <c r="AY198">
        <v>0.34368462476398642</v>
      </c>
      <c r="AZ198">
        <v>0.50042354934349853</v>
      </c>
      <c r="BA198">
        <v>1.2322997186744818E-2</v>
      </c>
      <c r="BB198">
        <v>5.9190111696075746E-3</v>
      </c>
      <c r="BC198">
        <v>0.30351074416190377</v>
      </c>
    </row>
    <row r="199" spans="1:55" ht="14.4" x14ac:dyDescent="0.25">
      <c r="A199" s="2">
        <v>25</v>
      </c>
      <c r="B199" s="2" t="s">
        <v>38</v>
      </c>
      <c r="C199" s="2">
        <v>2021</v>
      </c>
      <c r="D199" s="2">
        <v>13426.35</v>
      </c>
      <c r="E199" s="17">
        <v>21919.074580466</v>
      </c>
      <c r="F199" s="30">
        <v>27146.7644</v>
      </c>
      <c r="G199" s="3">
        <f t="shared" si="145"/>
        <v>0.4945838038805096</v>
      </c>
      <c r="H199" s="2">
        <f t="shared" si="146"/>
        <v>-6.5768707883608432E-2</v>
      </c>
      <c r="I199" s="14">
        <v>0.30791658159433372</v>
      </c>
      <c r="J199" s="2">
        <f t="shared" si="147"/>
        <v>7.7640167707805949E-2</v>
      </c>
      <c r="K199">
        <f t="shared" si="148"/>
        <v>0.80742862233946378</v>
      </c>
      <c r="L199">
        <f t="shared" si="149"/>
        <v>-8.2223815120168936E-2</v>
      </c>
      <c r="M199" s="2">
        <v>0</v>
      </c>
      <c r="N199" s="2">
        <v>0</v>
      </c>
      <c r="O199" s="2">
        <v>0</v>
      </c>
      <c r="P199" s="4">
        <v>1</v>
      </c>
      <c r="Q199" s="40">
        <v>0.79679411361294405</v>
      </c>
      <c r="R199" s="40">
        <v>0.91055718475073311</v>
      </c>
      <c r="S199" s="40">
        <v>0.65092631382953958</v>
      </c>
      <c r="T199" s="40">
        <v>1.2</v>
      </c>
      <c r="U199" s="40">
        <v>1.253333333333333</v>
      </c>
      <c r="V199" s="40">
        <v>0.65241635687732347</v>
      </c>
      <c r="W199" s="40">
        <v>0.48314606741573041</v>
      </c>
      <c r="X199" s="40">
        <v>-0.1818181818181818</v>
      </c>
      <c r="Y199" s="40">
        <v>0.16172418000014679</v>
      </c>
      <c r="Z199" s="40">
        <v>0.6543730242360376</v>
      </c>
      <c r="AA199" s="40">
        <v>0.46679292976708925</v>
      </c>
      <c r="AB199" s="40">
        <v>0.34285714285714286</v>
      </c>
      <c r="AC199" s="40">
        <v>0.72868217054263551</v>
      </c>
      <c r="AD199" s="40">
        <v>0.52733239328291259</v>
      </c>
      <c r="AE199" s="40">
        <v>0.51650909508893939</v>
      </c>
      <c r="AF199" s="40">
        <v>-0.2121212121212121</v>
      </c>
      <c r="AG199" s="40">
        <v>0.2</v>
      </c>
      <c r="AH199" s="40">
        <v>0.13500000000000001</v>
      </c>
      <c r="AI199" s="40">
        <v>0.18</v>
      </c>
      <c r="AJ199" s="40">
        <v>0.25</v>
      </c>
      <c r="AK199" s="40">
        <v>0.65</v>
      </c>
      <c r="AL199" s="40">
        <v>1</v>
      </c>
      <c r="AM199" s="40">
        <v>1</v>
      </c>
      <c r="AN199" s="40">
        <v>1</v>
      </c>
      <c r="AO199" s="40">
        <v>1</v>
      </c>
      <c r="AP199" s="40">
        <v>1</v>
      </c>
      <c r="AQ199" s="40">
        <f t="shared" si="150"/>
        <v>1</v>
      </c>
      <c r="AR199" s="40">
        <f t="shared" si="151"/>
        <v>1</v>
      </c>
      <c r="AS199" s="40">
        <f t="shared" si="152"/>
        <v>1</v>
      </c>
      <c r="AT199" s="40" cm="1">
        <f t="array" ref="AT199">_xlfn.IFS(AG199&gt;sheet2!$C$2,1,AG199=sheet2!$C$2,0,AG199&lt;sheet2!$C$2,-1)</f>
        <v>0</v>
      </c>
      <c r="AU199" s="40" cm="1">
        <f t="array" ref="AU199">_xlfn.IFS(AH199&gt;sheet2!$D$2,1,AH199=sheet2!$D$2,0,AH199&lt;sheet2!$D$2,-1)</f>
        <v>0</v>
      </c>
      <c r="AV199" s="40" cm="1">
        <f t="array" ref="AV199">_xlfn.IFS(AI199&gt;sheet2!$E$2,1,AI199=sheet2!$E$2,0,AI199&lt;sheet2!$E$2,-1)</f>
        <v>0</v>
      </c>
      <c r="AW199" s="40" cm="1">
        <f t="array" ref="AW199">_xlfn.IFS(AJ199&gt;sheet2!$F$2,1,AJ199=sheet2!$F$2,0,AJ199&lt;sheet2!$F$2,-1)</f>
        <v>0</v>
      </c>
      <c r="AX199" s="40" cm="1">
        <f t="array" ref="AX199">_xlfn.IFS(AK199&gt;sheet2!$G$2,1,AK199=sheet2!$G$2,0,AK199&lt;sheet2!$G$2,-1)</f>
        <v>0</v>
      </c>
      <c r="AY199">
        <v>0.35124627964870836</v>
      </c>
      <c r="AZ199">
        <v>0.5104477611940299</v>
      </c>
      <c r="BA199">
        <v>1.2239486828850741E-2</v>
      </c>
      <c r="BB199">
        <v>6.5015335676615665E-3</v>
      </c>
      <c r="BC199">
        <v>0.34340765348880675</v>
      </c>
    </row>
    <row r="200" spans="1:55" ht="14.4" x14ac:dyDescent="0.25">
      <c r="A200" s="2">
        <v>25</v>
      </c>
      <c r="B200" s="2" t="s">
        <v>38</v>
      </c>
      <c r="C200" s="2">
        <v>2022</v>
      </c>
      <c r="D200" s="2">
        <v>14158.53</v>
      </c>
      <c r="E200" s="17">
        <v>21259.157694756101</v>
      </c>
      <c r="F200" s="30">
        <v>28954.2</v>
      </c>
      <c r="G200" s="3">
        <f t="shared" si="145"/>
        <v>0.48899745114698384</v>
      </c>
      <c r="H200" s="2">
        <f t="shared" si="146"/>
        <v>-1.1295057965293597E-2</v>
      </c>
      <c r="I200" s="14">
        <v>0.35117894170911651</v>
      </c>
      <c r="J200" s="2">
        <f t="shared" si="147"/>
        <v>0.14050026111220931</v>
      </c>
      <c r="K200">
        <f t="shared" si="148"/>
        <v>0.73423398659800998</v>
      </c>
      <c r="L200">
        <f t="shared" si="149"/>
        <v>-9.0651524749491591E-2</v>
      </c>
      <c r="M200" s="2">
        <v>1</v>
      </c>
      <c r="N200" s="2">
        <v>1</v>
      </c>
      <c r="O200" s="2">
        <v>0</v>
      </c>
      <c r="P200" s="4">
        <v>1</v>
      </c>
      <c r="Q200" s="40">
        <v>0.79679411361294405</v>
      </c>
      <c r="R200" s="40">
        <v>0.91055718475073311</v>
      </c>
      <c r="S200" s="40">
        <v>0.65092631382953958</v>
      </c>
      <c r="T200" s="40">
        <v>1.2</v>
      </c>
      <c r="U200" s="40">
        <v>1.253333333333333</v>
      </c>
      <c r="V200" s="40">
        <v>0.65241635687732347</v>
      </c>
      <c r="W200" s="40">
        <v>0.48314606741573041</v>
      </c>
      <c r="X200" s="40">
        <v>-0.1818181818181818</v>
      </c>
      <c r="Y200" s="40">
        <v>0.16172418000014679</v>
      </c>
      <c r="Z200" s="40">
        <v>0.6543730242360376</v>
      </c>
      <c r="AA200" s="40">
        <v>0.46679292976708925</v>
      </c>
      <c r="AB200" s="40">
        <v>0.34285714285714286</v>
      </c>
      <c r="AC200" s="40">
        <v>0.72868217054263551</v>
      </c>
      <c r="AD200" s="40">
        <v>0.52733239328291259</v>
      </c>
      <c r="AE200" s="40">
        <v>0.51650909508893939</v>
      </c>
      <c r="AF200" s="40">
        <v>-0.2121212121212121</v>
      </c>
      <c r="AG200" s="40">
        <v>0.2</v>
      </c>
      <c r="AH200" s="40">
        <v>0.13500000000000001</v>
      </c>
      <c r="AI200" s="40">
        <v>0.18</v>
      </c>
      <c r="AJ200" s="40">
        <v>0.25</v>
      </c>
      <c r="AK200" s="40">
        <v>0.65</v>
      </c>
      <c r="AL200" s="40">
        <v>1</v>
      </c>
      <c r="AM200" s="40">
        <v>1</v>
      </c>
      <c r="AN200" s="40">
        <v>1</v>
      </c>
      <c r="AO200" s="40">
        <v>1</v>
      </c>
      <c r="AP200" s="40">
        <v>1</v>
      </c>
      <c r="AQ200" s="40">
        <f t="shared" si="150"/>
        <v>1</v>
      </c>
      <c r="AR200" s="40">
        <f t="shared" si="151"/>
        <v>1</v>
      </c>
      <c r="AS200" s="40">
        <f t="shared" si="152"/>
        <v>1</v>
      </c>
      <c r="AT200" s="40" cm="1">
        <f t="array" ref="AT200">_xlfn.IFS(AG200&gt;sheet2!$C$2,1,AG200=sheet2!$C$2,0,AG200&lt;sheet2!$C$2,-1)</f>
        <v>0</v>
      </c>
      <c r="AU200" s="40" cm="1">
        <f t="array" ref="AU200">_xlfn.IFS(AH200&gt;sheet2!$D$2,1,AH200=sheet2!$D$2,0,AH200&lt;sheet2!$D$2,-1)</f>
        <v>0</v>
      </c>
      <c r="AV200" s="40" cm="1">
        <f t="array" ref="AV200">_xlfn.IFS(AI200&gt;sheet2!$E$2,1,AI200=sheet2!$E$2,0,AI200&lt;sheet2!$E$2,-1)</f>
        <v>0</v>
      </c>
      <c r="AW200" s="40" cm="1">
        <f t="array" ref="AW200">_xlfn.IFS(AJ200&gt;sheet2!$F$2,1,AJ200=sheet2!$F$2,0,AJ200&lt;sheet2!$F$2,-1)</f>
        <v>0</v>
      </c>
      <c r="AX200" s="40" cm="1">
        <f t="array" ref="AX200">_xlfn.IFS(AK200&gt;sheet2!$G$2,1,AK200=sheet2!$G$2,0,AK200&lt;sheet2!$G$2,-1)</f>
        <v>0</v>
      </c>
      <c r="AY200">
        <v>0.34488260770458168</v>
      </c>
      <c r="AZ200">
        <v>0.51715320690389943</v>
      </c>
      <c r="BA200">
        <v>1.224731592490331E-2</v>
      </c>
      <c r="BB200">
        <v>6.8614605135006316E-3</v>
      </c>
      <c r="BC200">
        <v>0.2909732991631081</v>
      </c>
    </row>
    <row r="201" spans="1:55" ht="14.4" x14ac:dyDescent="0.25">
      <c r="A201" s="2">
        <v>25</v>
      </c>
      <c r="B201" s="2" t="s">
        <v>38</v>
      </c>
      <c r="C201" s="2">
        <v>2023</v>
      </c>
      <c r="D201" s="2">
        <v>14500.78</v>
      </c>
      <c r="E201">
        <v>22428.616754466901</v>
      </c>
      <c r="F201" s="32">
        <v>30021.119999999999</v>
      </c>
      <c r="G201" s="3">
        <f t="shared" si="145"/>
        <v>0.483019287754754</v>
      </c>
      <c r="H201" s="2">
        <f t="shared" si="146"/>
        <v>-1.2225346733827682E-2</v>
      </c>
      <c r="I201" s="14"/>
      <c r="K201">
        <f t="shared" si="148"/>
        <v>0.74709460388109772</v>
      </c>
      <c r="L201">
        <f t="shared" si="149"/>
        <v>1.7515693250153064E-2</v>
      </c>
      <c r="M201" s="2">
        <v>1</v>
      </c>
      <c r="N201" s="2">
        <v>1</v>
      </c>
      <c r="O201" s="2">
        <v>1</v>
      </c>
      <c r="P201" s="4">
        <v>1</v>
      </c>
      <c r="Q201" s="40">
        <v>0.79679411361294405</v>
      </c>
      <c r="R201" s="40">
        <v>0.91055718475073311</v>
      </c>
      <c r="S201" s="40">
        <v>0.65092631382953958</v>
      </c>
      <c r="T201" s="40">
        <v>1.2</v>
      </c>
      <c r="U201" s="40">
        <v>1.253333333333333</v>
      </c>
      <c r="V201" s="40">
        <v>0.65241635687732347</v>
      </c>
      <c r="W201" s="40">
        <v>0.48314606741573041</v>
      </c>
      <c r="X201" s="40">
        <v>-0.1818181818181818</v>
      </c>
      <c r="Y201" s="40">
        <v>0.16172418000014679</v>
      </c>
      <c r="Z201" s="40">
        <v>0.6543730242360376</v>
      </c>
      <c r="AA201" s="40">
        <v>0.46679292976708925</v>
      </c>
      <c r="AB201" s="40">
        <v>0.34285714285714286</v>
      </c>
      <c r="AC201" s="40">
        <v>0.72868217054263551</v>
      </c>
      <c r="AD201" s="40">
        <v>0.52733239328291259</v>
      </c>
      <c r="AE201" s="40">
        <v>0.51650909508893939</v>
      </c>
      <c r="AF201" s="40">
        <v>-0.2121212121212121</v>
      </c>
      <c r="AG201" s="40">
        <v>0.2</v>
      </c>
      <c r="AH201" s="40">
        <v>0.13500000000000001</v>
      </c>
      <c r="AI201" s="40">
        <v>0.18</v>
      </c>
      <c r="AJ201" s="40">
        <v>0.25</v>
      </c>
      <c r="AK201" s="40">
        <v>0.65</v>
      </c>
      <c r="AL201" s="40">
        <v>1</v>
      </c>
      <c r="AM201" s="40">
        <v>1</v>
      </c>
      <c r="AN201" s="40">
        <v>1</v>
      </c>
      <c r="AO201" s="40">
        <v>1</v>
      </c>
      <c r="AP201" s="40">
        <v>1</v>
      </c>
      <c r="AQ201" s="40">
        <f t="shared" si="150"/>
        <v>1</v>
      </c>
      <c r="AR201" s="40">
        <f t="shared" si="151"/>
        <v>1</v>
      </c>
      <c r="AS201" s="40">
        <f t="shared" si="152"/>
        <v>1</v>
      </c>
      <c r="AT201" s="40" cm="1">
        <f t="array" ref="AT201">_xlfn.IFS(AG201&gt;sheet2!$C$2,1,AG201=sheet2!$C$2,0,AG201&lt;sheet2!$C$2,-1)</f>
        <v>0</v>
      </c>
      <c r="AU201" s="40" cm="1">
        <f t="array" ref="AU201">_xlfn.IFS(AH201&gt;sheet2!$D$2,1,AH201=sheet2!$D$2,0,AH201&lt;sheet2!$D$2,-1)</f>
        <v>0</v>
      </c>
      <c r="AV201" s="40" cm="1">
        <f t="array" ref="AV201">_xlfn.IFS(AI201&gt;sheet2!$E$2,1,AI201=sheet2!$E$2,0,AI201&lt;sheet2!$E$2,-1)</f>
        <v>0</v>
      </c>
      <c r="AW201" s="40" cm="1">
        <f t="array" ref="AW201">_xlfn.IFS(AJ201&gt;sheet2!$F$2,1,AJ201=sheet2!$F$2,0,AJ201&lt;sheet2!$F$2,-1)</f>
        <v>0</v>
      </c>
      <c r="AX201" s="40" cm="1">
        <f t="array" ref="AX201">_xlfn.IFS(AK201&gt;sheet2!$G$2,1,AK201=sheet2!$G$2,0,AK201&lt;sheet2!$G$2,-1)</f>
        <v>0</v>
      </c>
      <c r="AY201">
        <v>0.33381166325573464</v>
      </c>
      <c r="AZ201">
        <v>0.52921035737213784</v>
      </c>
      <c r="BA201">
        <v>1.2195121951219513E-2</v>
      </c>
      <c r="BB201">
        <v>6.9999786816747674E-3</v>
      </c>
      <c r="BC201">
        <v>0.31937807574352756</v>
      </c>
    </row>
    <row r="202" spans="1:55" s="40" customFormat="1" ht="14.4" x14ac:dyDescent="0.25">
      <c r="A202" s="35">
        <v>26</v>
      </c>
      <c r="B202" s="35" t="s">
        <v>39</v>
      </c>
      <c r="C202" s="35">
        <v>2016</v>
      </c>
      <c r="D202" s="35">
        <v>12146</v>
      </c>
      <c r="E202" s="36">
        <v>29528.044994074102</v>
      </c>
      <c r="F202" s="37">
        <v>19399.59</v>
      </c>
      <c r="G202" s="38">
        <f t="shared" si="145"/>
        <v>0.626095706146367</v>
      </c>
      <c r="H202" s="35"/>
      <c r="I202" s="39">
        <v>0.27769652397110073</v>
      </c>
      <c r="J202" s="35"/>
      <c r="K202" s="40">
        <f t="shared" si="148"/>
        <v>1.522096342967769</v>
      </c>
      <c r="M202" s="35">
        <v>0</v>
      </c>
      <c r="N202" s="35">
        <v>0</v>
      </c>
      <c r="O202" s="35">
        <v>0</v>
      </c>
      <c r="P202" s="41">
        <v>1</v>
      </c>
      <c r="Q202" s="40">
        <v>0.82696144182311471</v>
      </c>
      <c r="R202" s="40">
        <v>0.49706744868035191</v>
      </c>
      <c r="S202" s="40">
        <v>0.19442640692640689</v>
      </c>
      <c r="T202" s="40">
        <v>0.8</v>
      </c>
      <c r="U202" s="40">
        <v>0.46555555555555561</v>
      </c>
      <c r="V202" s="40">
        <v>0.38118811881188119</v>
      </c>
      <c r="W202" s="40">
        <v>-0.12561576354679799</v>
      </c>
      <c r="X202" s="40">
        <v>-0.21022727272727271</v>
      </c>
      <c r="Y202" s="40">
        <v>0.28617206270804285</v>
      </c>
      <c r="Z202" s="40">
        <v>0.35721812434141187</v>
      </c>
      <c r="AA202" s="40">
        <v>0.13942725956079968</v>
      </c>
      <c r="AB202" s="40">
        <v>0.22857142857142859</v>
      </c>
      <c r="AC202" s="40">
        <v>0.27067183462532302</v>
      </c>
      <c r="AD202" s="40">
        <v>0.30810515534312061</v>
      </c>
      <c r="AE202" s="40">
        <v>-0.13428999785821369</v>
      </c>
      <c r="AF202" s="40">
        <v>-0.24526515151515149</v>
      </c>
      <c r="AG202" s="40">
        <v>0.16</v>
      </c>
      <c r="AH202" s="40">
        <v>0.13500000000000001</v>
      </c>
      <c r="AI202" s="40">
        <v>0.18</v>
      </c>
      <c r="AJ202" s="40">
        <v>0.2</v>
      </c>
      <c r="AK202" s="40">
        <v>0.65</v>
      </c>
      <c r="AL202" s="40">
        <v>0.79999999999999993</v>
      </c>
      <c r="AM202" s="40">
        <v>1</v>
      </c>
      <c r="AN202" s="40">
        <v>1</v>
      </c>
      <c r="AO202" s="40">
        <v>0.8</v>
      </c>
      <c r="AP202" s="40">
        <v>1</v>
      </c>
      <c r="AQ202" s="40">
        <f t="shared" si="106"/>
        <v>0.8</v>
      </c>
      <c r="AR202" s="40">
        <f t="shared" si="107"/>
        <v>1</v>
      </c>
      <c r="AS202" s="40">
        <f t="shared" si="108"/>
        <v>1</v>
      </c>
      <c r="AT202" s="40" cm="1">
        <f t="array" ref="AT202">_xlfn.IFS(AG202&gt;sheet2!$C$2,1,AG202=sheet2!$C$2,0,AG202&lt;sheet2!$C$2,-1)</f>
        <v>-1</v>
      </c>
      <c r="AU202" s="40" cm="1">
        <f t="array" ref="AU202">_xlfn.IFS(AH202&gt;sheet2!$D$2,1,AH202=sheet2!$D$2,0,AH202&lt;sheet2!$D$2,-1)</f>
        <v>0</v>
      </c>
      <c r="AV202" s="40" cm="1">
        <f t="array" ref="AV202">_xlfn.IFS(AI202&gt;sheet2!$E$2,1,AI202=sheet2!$E$2,0,AI202&lt;sheet2!$E$2,-1)</f>
        <v>0</v>
      </c>
      <c r="AW202" s="40" cm="1">
        <f t="array" ref="AW202">_xlfn.IFS(AJ202&gt;sheet2!$F$2,1,AJ202=sheet2!$F$2,0,AJ202&lt;sheet2!$F$2,-1)</f>
        <v>-1</v>
      </c>
      <c r="AX202" s="40" cm="1">
        <f t="array" ref="AX202">_xlfn.IFS(AK202&gt;sheet2!$G$2,1,AK202=sheet2!$G$2,0,AK202&lt;sheet2!$G$2,-1)</f>
        <v>0</v>
      </c>
      <c r="AY202" s="40">
        <v>0.45910764093467954</v>
      </c>
      <c r="AZ202" s="40">
        <v>0.56401652039235928</v>
      </c>
      <c r="BA202" s="40">
        <v>1.8840213204684278E-2</v>
      </c>
      <c r="BB202" s="40">
        <v>9.506468951147937E-3</v>
      </c>
      <c r="BC202" s="40">
        <v>0.41782533712127257</v>
      </c>
    </row>
    <row r="203" spans="1:55" ht="14.4" x14ac:dyDescent="0.25">
      <c r="A203" s="2">
        <v>26</v>
      </c>
      <c r="B203" s="2" t="s">
        <v>39</v>
      </c>
      <c r="C203" s="2">
        <v>2017</v>
      </c>
      <c r="D203" s="2">
        <v>12549</v>
      </c>
      <c r="E203" s="17">
        <v>29811.344652998196</v>
      </c>
      <c r="F203" s="5">
        <v>21898.81</v>
      </c>
      <c r="G203" s="3">
        <f t="shared" si="145"/>
        <v>0.57304483668290651</v>
      </c>
      <c r="H203" s="2">
        <f t="shared" ref="H203:H209" si="153">(G203-G202)/G202</f>
        <v>-8.4732843465721519E-2</v>
      </c>
      <c r="I203" s="14">
        <v>0.32347962209988768</v>
      </c>
      <c r="J203" s="2">
        <f>(I203-I202)/I202</f>
        <v>0.16486737923140693</v>
      </c>
      <c r="K203">
        <f t="shared" si="148"/>
        <v>1.361322585702063</v>
      </c>
      <c r="L203">
        <f t="shared" ref="L203:L209" si="154">(K203-K202)/K202</f>
        <v>-0.10562653146661585</v>
      </c>
      <c r="M203" s="2">
        <v>0</v>
      </c>
      <c r="N203" s="2">
        <v>0</v>
      </c>
      <c r="O203" s="2">
        <v>0</v>
      </c>
      <c r="P203" s="4">
        <v>1</v>
      </c>
      <c r="Q203" s="40">
        <v>0.82696144182311471</v>
      </c>
      <c r="R203" s="40">
        <v>0.49706744868035191</v>
      </c>
      <c r="S203" s="40">
        <v>0.19442640692640689</v>
      </c>
      <c r="T203" s="40">
        <v>0.8</v>
      </c>
      <c r="U203" s="40">
        <v>0.46555555555555561</v>
      </c>
      <c r="V203" s="40">
        <v>0.38118811881188119</v>
      </c>
      <c r="W203" s="40">
        <v>-0.12561576354679799</v>
      </c>
      <c r="X203" s="40">
        <v>-0.21022727272727271</v>
      </c>
      <c r="Y203" s="40">
        <v>0.28617206270804285</v>
      </c>
      <c r="Z203" s="40">
        <v>0.35721812434141187</v>
      </c>
      <c r="AA203" s="40">
        <v>0.13942725956079968</v>
      </c>
      <c r="AB203" s="40">
        <v>0.22857142857142859</v>
      </c>
      <c r="AC203" s="40">
        <v>0.27067183462532302</v>
      </c>
      <c r="AD203" s="40">
        <v>0.30810515534312061</v>
      </c>
      <c r="AE203" s="40">
        <v>-0.13428999785821369</v>
      </c>
      <c r="AF203" s="40">
        <v>-0.24526515151515149</v>
      </c>
      <c r="AG203" s="40">
        <v>0.16</v>
      </c>
      <c r="AH203" s="40">
        <v>0.13500000000000001</v>
      </c>
      <c r="AI203" s="40">
        <v>0.18</v>
      </c>
      <c r="AJ203" s="40">
        <v>0.2</v>
      </c>
      <c r="AK203" s="40">
        <v>0.65</v>
      </c>
      <c r="AL203" s="40">
        <v>0.79999999999999993</v>
      </c>
      <c r="AM203" s="40">
        <v>1</v>
      </c>
      <c r="AN203" s="40">
        <v>1</v>
      </c>
      <c r="AO203" s="40">
        <v>0.8</v>
      </c>
      <c r="AP203" s="40">
        <v>1</v>
      </c>
      <c r="AQ203" s="40">
        <f t="shared" ref="AQ203:AQ209" si="155">AVERAGE(AL203,AO203)</f>
        <v>0.8</v>
      </c>
      <c r="AR203" s="40">
        <f t="shared" ref="AR203:AR209" si="156">AVERAGE(AM203)</f>
        <v>1</v>
      </c>
      <c r="AS203" s="40">
        <f t="shared" ref="AS203:AS209" si="157">AVERAGE(AN203,AP203)</f>
        <v>1</v>
      </c>
      <c r="AT203" s="40" cm="1">
        <f t="array" ref="AT203">_xlfn.IFS(AG203&gt;sheet2!$C$2,1,AG203=sheet2!$C$2,0,AG203&lt;sheet2!$C$2,-1)</f>
        <v>-1</v>
      </c>
      <c r="AU203" s="40" cm="1">
        <f t="array" ref="AU203">_xlfn.IFS(AH203&gt;sheet2!$D$2,1,AH203=sheet2!$D$2,0,AH203&lt;sheet2!$D$2,-1)</f>
        <v>0</v>
      </c>
      <c r="AV203" s="40" cm="1">
        <f t="array" ref="AV203">_xlfn.IFS(AI203&gt;sheet2!$E$2,1,AI203=sheet2!$E$2,0,AI203&lt;sheet2!$E$2,-1)</f>
        <v>0</v>
      </c>
      <c r="AW203" s="40" cm="1">
        <f t="array" ref="AW203">_xlfn.IFS(AJ203&gt;sheet2!$F$2,1,AJ203=sheet2!$F$2,0,AJ203&lt;sheet2!$F$2,-1)</f>
        <v>-1</v>
      </c>
      <c r="AX203" s="40" cm="1">
        <f t="array" ref="AX203">_xlfn.IFS(AK203&gt;sheet2!$G$2,1,AK203=sheet2!$G$2,0,AK203&lt;sheet2!$G$2,-1)</f>
        <v>0</v>
      </c>
      <c r="AY203">
        <v>0.46185614652120366</v>
      </c>
      <c r="AZ203">
        <v>0.58068647540983609</v>
      </c>
      <c r="BA203">
        <v>1.8986110570750496E-2</v>
      </c>
      <c r="BB203">
        <v>8.9671402236011898E-3</v>
      </c>
      <c r="BC203">
        <v>0.41518955389711559</v>
      </c>
    </row>
    <row r="204" spans="1:55" ht="14.4" x14ac:dyDescent="0.25">
      <c r="A204" s="2">
        <v>26</v>
      </c>
      <c r="B204" s="2" t="s">
        <v>39</v>
      </c>
      <c r="C204" s="2">
        <v>2018</v>
      </c>
      <c r="D204" s="2">
        <v>12900</v>
      </c>
      <c r="E204" s="17">
        <v>32779.451079801496</v>
      </c>
      <c r="F204" s="5">
        <v>24438.32</v>
      </c>
      <c r="G204" s="3">
        <f t="shared" si="145"/>
        <v>0.5278595255320333</v>
      </c>
      <c r="H204" s="2">
        <f t="shared" si="153"/>
        <v>-7.8851266529911049E-2</v>
      </c>
      <c r="I204" s="14">
        <v>0.33505535192869573</v>
      </c>
      <c r="J204" s="2">
        <f>(I204-I203)/I203</f>
        <v>3.5785035711565077E-2</v>
      </c>
      <c r="K204">
        <f t="shared" si="148"/>
        <v>1.34131360420035</v>
      </c>
      <c r="L204">
        <f t="shared" si="154"/>
        <v>-1.4698192560578126E-2</v>
      </c>
      <c r="M204" s="2">
        <v>0</v>
      </c>
      <c r="N204" s="2">
        <v>0</v>
      </c>
      <c r="O204" s="2">
        <v>0</v>
      </c>
      <c r="P204" s="4">
        <v>1</v>
      </c>
      <c r="Q204" s="40">
        <v>0.82696144182311471</v>
      </c>
      <c r="R204" s="40">
        <v>0.49706744868035191</v>
      </c>
      <c r="S204" s="40">
        <v>0.19442640692640689</v>
      </c>
      <c r="T204" s="40">
        <v>0.8</v>
      </c>
      <c r="U204" s="40">
        <v>0.46555555555555561</v>
      </c>
      <c r="V204" s="40">
        <v>0.38118811881188119</v>
      </c>
      <c r="W204" s="40">
        <v>-0.12561576354679799</v>
      </c>
      <c r="X204" s="40">
        <v>-0.21022727272727271</v>
      </c>
      <c r="Y204" s="40">
        <v>0.28617206270804285</v>
      </c>
      <c r="Z204" s="40">
        <v>0.35721812434141187</v>
      </c>
      <c r="AA204" s="40">
        <v>0.13942725956079968</v>
      </c>
      <c r="AB204" s="40">
        <v>0.22857142857142859</v>
      </c>
      <c r="AC204" s="40">
        <v>0.27067183462532302</v>
      </c>
      <c r="AD204" s="40">
        <v>0.30810515534312061</v>
      </c>
      <c r="AE204" s="40">
        <v>-0.13428999785821369</v>
      </c>
      <c r="AF204" s="40">
        <v>-0.24526515151515149</v>
      </c>
      <c r="AG204" s="40">
        <v>0.16</v>
      </c>
      <c r="AH204" s="40">
        <v>0.13500000000000001</v>
      </c>
      <c r="AI204" s="40">
        <v>0.18</v>
      </c>
      <c r="AJ204" s="40">
        <v>0.2</v>
      </c>
      <c r="AK204" s="40">
        <v>0.65</v>
      </c>
      <c r="AL204" s="40">
        <v>0.79999999999999993</v>
      </c>
      <c r="AM204" s="40">
        <v>1</v>
      </c>
      <c r="AN204" s="40">
        <v>1</v>
      </c>
      <c r="AO204" s="40">
        <v>0.8</v>
      </c>
      <c r="AP204" s="40">
        <v>1</v>
      </c>
      <c r="AQ204" s="40">
        <f t="shared" si="155"/>
        <v>0.8</v>
      </c>
      <c r="AR204" s="40">
        <f t="shared" si="156"/>
        <v>1</v>
      </c>
      <c r="AS204" s="40">
        <f t="shared" si="157"/>
        <v>1</v>
      </c>
      <c r="AT204" s="40" cm="1">
        <f t="array" ref="AT204">_xlfn.IFS(AG204&gt;sheet2!$C$2,1,AG204=sheet2!$C$2,0,AG204&lt;sheet2!$C$2,-1)</f>
        <v>-1</v>
      </c>
      <c r="AU204" s="40" cm="1">
        <f t="array" ref="AU204">_xlfn.IFS(AH204&gt;sheet2!$D$2,1,AH204=sheet2!$D$2,0,AH204&lt;sheet2!$D$2,-1)</f>
        <v>0</v>
      </c>
      <c r="AV204" s="40" cm="1">
        <f t="array" ref="AV204">_xlfn.IFS(AI204&gt;sheet2!$E$2,1,AI204=sheet2!$E$2,0,AI204&lt;sheet2!$E$2,-1)</f>
        <v>0</v>
      </c>
      <c r="AW204" s="40" cm="1">
        <f t="array" ref="AW204">_xlfn.IFS(AJ204&gt;sheet2!$F$2,1,AJ204=sheet2!$F$2,0,AJ204&lt;sheet2!$F$2,-1)</f>
        <v>-1</v>
      </c>
      <c r="AX204" s="40" cm="1">
        <f t="array" ref="AX204">_xlfn.IFS(AK204&gt;sheet2!$G$2,1,AK204=sheet2!$G$2,0,AK204&lt;sheet2!$G$2,-1)</f>
        <v>0</v>
      </c>
      <c r="AY204">
        <v>0.45892270827127229</v>
      </c>
      <c r="AZ204">
        <v>0.59654032052912742</v>
      </c>
      <c r="BA204">
        <v>1.9117418200210092E-2</v>
      </c>
      <c r="BB204">
        <v>8.8613047050697426E-3</v>
      </c>
      <c r="BC204">
        <v>0.42303920459260264</v>
      </c>
    </row>
    <row r="205" spans="1:55" ht="14.4" x14ac:dyDescent="0.25">
      <c r="A205" s="2">
        <v>26</v>
      </c>
      <c r="B205" s="2" t="s">
        <v>39</v>
      </c>
      <c r="C205" s="2">
        <v>2019</v>
      </c>
      <c r="D205" s="2">
        <v>13478</v>
      </c>
      <c r="E205" s="17">
        <v>34784.294957501101</v>
      </c>
      <c r="F205" s="5">
        <v>25793.17</v>
      </c>
      <c r="G205" s="3">
        <f t="shared" si="145"/>
        <v>0.52254143247999374</v>
      </c>
      <c r="H205" s="2">
        <f t="shared" si="153"/>
        <v>-1.0074826340737945E-2</v>
      </c>
      <c r="I205" s="14">
        <v>0.34628220727820058</v>
      </c>
      <c r="J205" s="2">
        <f>(I205-I204)/I204</f>
        <v>3.3507464617052514E-2</v>
      </c>
      <c r="K205">
        <f t="shared" si="148"/>
        <v>1.3485854959859955</v>
      </c>
      <c r="L205">
        <f t="shared" si="154"/>
        <v>5.4214702384837573E-3</v>
      </c>
      <c r="M205" s="2">
        <v>0</v>
      </c>
      <c r="N205" s="2">
        <v>0</v>
      </c>
      <c r="O205" s="2">
        <v>0</v>
      </c>
      <c r="P205" s="4">
        <v>1</v>
      </c>
      <c r="Q205" s="40">
        <v>0.82696144182311471</v>
      </c>
      <c r="R205" s="40">
        <v>0.49706744868035191</v>
      </c>
      <c r="S205" s="40">
        <v>0.19442640692640689</v>
      </c>
      <c r="T205" s="40">
        <v>0.8</v>
      </c>
      <c r="U205" s="40">
        <v>0.46555555555555561</v>
      </c>
      <c r="V205" s="40">
        <v>0.38118811881188119</v>
      </c>
      <c r="W205" s="40">
        <v>-0.12561576354679799</v>
      </c>
      <c r="X205" s="40">
        <v>-0.21022727272727271</v>
      </c>
      <c r="Y205" s="40">
        <v>0.28617206270804285</v>
      </c>
      <c r="Z205" s="40">
        <v>0.35721812434141187</v>
      </c>
      <c r="AA205" s="40">
        <v>0.13942725956079968</v>
      </c>
      <c r="AB205" s="40">
        <v>0.22857142857142859</v>
      </c>
      <c r="AC205" s="40">
        <v>0.27067183462532302</v>
      </c>
      <c r="AD205" s="40">
        <v>0.30810515534312061</v>
      </c>
      <c r="AE205" s="40">
        <v>-0.13428999785821369</v>
      </c>
      <c r="AF205" s="40">
        <v>-0.24526515151515149</v>
      </c>
      <c r="AG205" s="40">
        <v>0.16</v>
      </c>
      <c r="AH205" s="40">
        <v>0.13500000000000001</v>
      </c>
      <c r="AI205" s="40">
        <v>0.18</v>
      </c>
      <c r="AJ205" s="40">
        <v>0.2</v>
      </c>
      <c r="AK205" s="40">
        <v>0.65</v>
      </c>
      <c r="AL205" s="40">
        <v>0.79999999999999993</v>
      </c>
      <c r="AM205" s="40">
        <v>1</v>
      </c>
      <c r="AN205" s="40">
        <v>1</v>
      </c>
      <c r="AO205" s="40">
        <v>0.8</v>
      </c>
      <c r="AP205" s="40">
        <v>1</v>
      </c>
      <c r="AQ205" s="40">
        <f t="shared" si="155"/>
        <v>0.8</v>
      </c>
      <c r="AR205" s="40">
        <f t="shared" si="156"/>
        <v>1</v>
      </c>
      <c r="AS205" s="40">
        <f t="shared" si="157"/>
        <v>1</v>
      </c>
      <c r="AT205" s="40" cm="1">
        <f t="array" ref="AT205">_xlfn.IFS(AG205&gt;sheet2!$C$2,1,AG205=sheet2!$C$2,0,AG205&lt;sheet2!$C$2,-1)</f>
        <v>-1</v>
      </c>
      <c r="AU205" s="40" cm="1">
        <f t="array" ref="AU205">_xlfn.IFS(AH205&gt;sheet2!$D$2,1,AH205=sheet2!$D$2,0,AH205&lt;sheet2!$D$2,-1)</f>
        <v>0</v>
      </c>
      <c r="AV205" s="40" cm="1">
        <f t="array" ref="AV205">_xlfn.IFS(AI205&gt;sheet2!$E$2,1,AI205=sheet2!$E$2,0,AI205&lt;sheet2!$E$2,-1)</f>
        <v>0</v>
      </c>
      <c r="AW205" s="40" cm="1">
        <f t="array" ref="AW205">_xlfn.IFS(AJ205&gt;sheet2!$F$2,1,AJ205=sheet2!$F$2,0,AJ205&lt;sheet2!$F$2,-1)</f>
        <v>-1</v>
      </c>
      <c r="AX205" s="40" cm="1">
        <f t="array" ref="AX205">_xlfn.IFS(AK205&gt;sheet2!$G$2,1,AK205=sheet2!$G$2,0,AK205&lt;sheet2!$G$2,-1)</f>
        <v>0</v>
      </c>
      <c r="AY205">
        <v>0.44935151437376647</v>
      </c>
      <c r="AZ205">
        <v>0.6128296146044625</v>
      </c>
      <c r="BA205">
        <v>1.918064039217212E-2</v>
      </c>
      <c r="BB205">
        <v>9.3359482374597621E-3</v>
      </c>
      <c r="BC205">
        <v>0.40008603624714084</v>
      </c>
    </row>
    <row r="206" spans="1:55" ht="14.4" x14ac:dyDescent="0.25">
      <c r="A206" s="2">
        <v>26</v>
      </c>
      <c r="B206" s="2" t="s">
        <v>39</v>
      </c>
      <c r="C206" s="2">
        <v>2020</v>
      </c>
      <c r="D206" s="2">
        <v>13512.26</v>
      </c>
      <c r="E206" s="17">
        <v>36044.341115414798</v>
      </c>
      <c r="F206" s="5">
        <v>26181.86</v>
      </c>
      <c r="G206" s="3">
        <f t="shared" si="145"/>
        <v>0.51609243957457562</v>
      </c>
      <c r="H206" s="2">
        <f t="shared" si="153"/>
        <v>-1.2341591507511752E-2</v>
      </c>
      <c r="I206" s="14">
        <v>0.36227319641791245</v>
      </c>
      <c r="J206" s="2">
        <f>(I206-I205)/I205</f>
        <v>4.6179066679174832E-2</v>
      </c>
      <c r="K206">
        <f t="shared" si="148"/>
        <v>1.3766913853872413</v>
      </c>
      <c r="L206">
        <f t="shared" si="154"/>
        <v>2.0841014147713832E-2</v>
      </c>
      <c r="M206" s="2">
        <v>0</v>
      </c>
      <c r="N206" s="2">
        <v>0</v>
      </c>
      <c r="O206" s="2">
        <v>0</v>
      </c>
      <c r="P206" s="4">
        <v>1</v>
      </c>
      <c r="Q206" s="40">
        <v>0.82696144182311471</v>
      </c>
      <c r="R206" s="40">
        <v>0.49706744868035191</v>
      </c>
      <c r="S206" s="40">
        <v>0.19442640692640689</v>
      </c>
      <c r="T206" s="40">
        <v>0.8</v>
      </c>
      <c r="U206" s="40">
        <v>0.46555555555555561</v>
      </c>
      <c r="V206" s="40">
        <v>0.38118811881188119</v>
      </c>
      <c r="W206" s="40">
        <v>-0.12561576354679799</v>
      </c>
      <c r="X206" s="40">
        <v>-0.21022727272727271</v>
      </c>
      <c r="Y206" s="40">
        <v>0.28617206270804285</v>
      </c>
      <c r="Z206" s="40">
        <v>0.35721812434141187</v>
      </c>
      <c r="AA206" s="40">
        <v>0.13942725956079968</v>
      </c>
      <c r="AB206" s="40">
        <v>0.22857142857142859</v>
      </c>
      <c r="AC206" s="40">
        <v>0.27067183462532302</v>
      </c>
      <c r="AD206" s="40">
        <v>0.30810515534312061</v>
      </c>
      <c r="AE206" s="40">
        <v>-0.13428999785821369</v>
      </c>
      <c r="AF206" s="40">
        <v>-0.24526515151515149</v>
      </c>
      <c r="AG206" s="40">
        <v>0.16</v>
      </c>
      <c r="AH206" s="40">
        <v>0.13500000000000001</v>
      </c>
      <c r="AI206" s="40">
        <v>0.18</v>
      </c>
      <c r="AJ206" s="40">
        <v>0.2</v>
      </c>
      <c r="AK206" s="40">
        <v>0.65</v>
      </c>
      <c r="AL206" s="40">
        <v>0.79999999999999993</v>
      </c>
      <c r="AM206" s="40">
        <v>1</v>
      </c>
      <c r="AN206" s="40">
        <v>1</v>
      </c>
      <c r="AO206" s="40">
        <v>0.8</v>
      </c>
      <c r="AP206" s="40">
        <v>1</v>
      </c>
      <c r="AQ206" s="40">
        <f t="shared" si="155"/>
        <v>0.8</v>
      </c>
      <c r="AR206" s="40">
        <f t="shared" si="156"/>
        <v>1</v>
      </c>
      <c r="AS206" s="40">
        <f t="shared" si="157"/>
        <v>1</v>
      </c>
      <c r="AT206" s="40" cm="1">
        <f t="array" ref="AT206">_xlfn.IFS(AG206&gt;sheet2!$C$2,1,AG206=sheet2!$C$2,0,AG206&lt;sheet2!$C$2,-1)</f>
        <v>-1</v>
      </c>
      <c r="AU206" s="40" cm="1">
        <f t="array" ref="AU206">_xlfn.IFS(AH206&gt;sheet2!$D$2,1,AH206=sheet2!$D$2,0,AH206&lt;sheet2!$D$2,-1)</f>
        <v>0</v>
      </c>
      <c r="AV206" s="40" cm="1">
        <f t="array" ref="AV206">_xlfn.IFS(AI206&gt;sheet2!$E$2,1,AI206=sheet2!$E$2,0,AI206&lt;sheet2!$E$2,-1)</f>
        <v>0</v>
      </c>
      <c r="AW206" s="40" cm="1">
        <f t="array" ref="AW206">_xlfn.IFS(AJ206&gt;sheet2!$F$2,1,AJ206=sheet2!$F$2,0,AJ206&lt;sheet2!$F$2,-1)</f>
        <v>-1</v>
      </c>
      <c r="AX206" s="40" cm="1">
        <f t="array" ref="AX206">_xlfn.IFS(AK206&gt;sheet2!$G$2,1,AK206=sheet2!$G$2,0,AK206&lt;sheet2!$G$2,-1)</f>
        <v>0</v>
      </c>
      <c r="AY206">
        <v>0.40948580429350706</v>
      </c>
      <c r="AZ206">
        <v>0.6265486725663717</v>
      </c>
      <c r="BA206">
        <v>1.9234136093063067E-2</v>
      </c>
      <c r="BB206">
        <v>1.0251448903935778E-2</v>
      </c>
      <c r="BC206">
        <v>0.38063881881584805</v>
      </c>
    </row>
    <row r="207" spans="1:55" ht="14.4" x14ac:dyDescent="0.25">
      <c r="A207" s="2">
        <v>26</v>
      </c>
      <c r="B207" s="2" t="s">
        <v>39</v>
      </c>
      <c r="C207" s="2">
        <v>2021</v>
      </c>
      <c r="D207" s="2">
        <v>14515.23</v>
      </c>
      <c r="E207" s="17">
        <v>38460.680534486404</v>
      </c>
      <c r="F207" s="30">
        <v>29800.979289843701</v>
      </c>
      <c r="G207" s="3">
        <f t="shared" si="145"/>
        <v>0.48707224882864342</v>
      </c>
      <c r="H207" s="2">
        <f t="shared" si="153"/>
        <v>-5.6230606225997182E-2</v>
      </c>
      <c r="I207" s="14">
        <v>0.36835206690086458</v>
      </c>
      <c r="J207" s="2">
        <f>(I207-I206)/I206</f>
        <v>1.677979641623735E-2</v>
      </c>
      <c r="K207">
        <f t="shared" si="148"/>
        <v>1.2905844522899275</v>
      </c>
      <c r="L207">
        <f t="shared" si="154"/>
        <v>-6.254628598049472E-2</v>
      </c>
      <c r="M207" s="2">
        <v>0</v>
      </c>
      <c r="N207" s="2">
        <v>0</v>
      </c>
      <c r="O207" s="2">
        <v>0</v>
      </c>
      <c r="P207" s="4">
        <v>1</v>
      </c>
      <c r="Q207" s="40">
        <v>0.82696144182311471</v>
      </c>
      <c r="R207" s="40">
        <v>0.49706744868035191</v>
      </c>
      <c r="S207" s="40">
        <v>0.19442640692640689</v>
      </c>
      <c r="T207" s="40">
        <v>0.8</v>
      </c>
      <c r="U207" s="40">
        <v>0.46555555555555561</v>
      </c>
      <c r="V207" s="40">
        <v>0.38118811881188119</v>
      </c>
      <c r="W207" s="40">
        <v>-0.12561576354679799</v>
      </c>
      <c r="X207" s="40">
        <v>-0.21022727272727271</v>
      </c>
      <c r="Y207" s="40">
        <v>0.28617206270804285</v>
      </c>
      <c r="Z207" s="40">
        <v>0.35721812434141187</v>
      </c>
      <c r="AA207" s="40">
        <v>0.13942725956079968</v>
      </c>
      <c r="AB207" s="40">
        <v>0.22857142857142859</v>
      </c>
      <c r="AC207" s="40">
        <v>0.27067183462532302</v>
      </c>
      <c r="AD207" s="40">
        <v>0.30810515534312061</v>
      </c>
      <c r="AE207" s="40">
        <v>-0.13428999785821369</v>
      </c>
      <c r="AF207" s="40">
        <v>-0.24526515151515149</v>
      </c>
      <c r="AG207" s="40">
        <v>0.16</v>
      </c>
      <c r="AH207" s="40">
        <v>0.13500000000000001</v>
      </c>
      <c r="AI207" s="40">
        <v>0.18</v>
      </c>
      <c r="AJ207" s="40">
        <v>0.2</v>
      </c>
      <c r="AK207" s="40">
        <v>0.65</v>
      </c>
      <c r="AL207" s="40">
        <v>0.79999999999999993</v>
      </c>
      <c r="AM207" s="40">
        <v>1</v>
      </c>
      <c r="AN207" s="40">
        <v>1</v>
      </c>
      <c r="AO207" s="40">
        <v>0.8</v>
      </c>
      <c r="AP207" s="40">
        <v>1</v>
      </c>
      <c r="AQ207" s="40">
        <f t="shared" si="155"/>
        <v>0.8</v>
      </c>
      <c r="AR207" s="40">
        <f t="shared" si="156"/>
        <v>1</v>
      </c>
      <c r="AS207" s="40">
        <f t="shared" si="157"/>
        <v>1</v>
      </c>
      <c r="AT207" s="40" cm="1">
        <f t="array" ref="AT207">_xlfn.IFS(AG207&gt;sheet2!$C$2,1,AG207=sheet2!$C$2,0,AG207&lt;sheet2!$C$2,-1)</f>
        <v>-1</v>
      </c>
      <c r="AU207" s="40" cm="1">
        <f t="array" ref="AU207">_xlfn.IFS(AH207&gt;sheet2!$D$2,1,AH207=sheet2!$D$2,0,AH207&lt;sheet2!$D$2,-1)</f>
        <v>0</v>
      </c>
      <c r="AV207" s="40" cm="1">
        <f t="array" ref="AV207">_xlfn.IFS(AI207&gt;sheet2!$E$2,1,AI207=sheet2!$E$2,0,AI207&lt;sheet2!$E$2,-1)</f>
        <v>0</v>
      </c>
      <c r="AW207" s="40" cm="1">
        <f t="array" ref="AW207">_xlfn.IFS(AJ207&gt;sheet2!$F$2,1,AJ207=sheet2!$F$2,0,AJ207&lt;sheet2!$F$2,-1)</f>
        <v>-1</v>
      </c>
      <c r="AX207" s="40" cm="1">
        <f t="array" ref="AX207">_xlfn.IFS(AK207&gt;sheet2!$G$2,1,AK207=sheet2!$G$2,0,AK207&lt;sheet2!$G$2,-1)</f>
        <v>0</v>
      </c>
      <c r="AY207">
        <v>0.43499577225027458</v>
      </c>
      <c r="AZ207">
        <v>0.63631765300961052</v>
      </c>
      <c r="BA207">
        <v>1.9229272847527526E-2</v>
      </c>
      <c r="BB207">
        <v>1.0727389086470409E-2</v>
      </c>
      <c r="BC207">
        <v>0.45729434754383597</v>
      </c>
    </row>
    <row r="208" spans="1:55" ht="14.4" x14ac:dyDescent="0.25">
      <c r="A208" s="2">
        <v>26</v>
      </c>
      <c r="B208" s="2" t="s">
        <v>39</v>
      </c>
      <c r="C208" s="2">
        <v>2022</v>
      </c>
      <c r="D208" s="2">
        <v>16099.28</v>
      </c>
      <c r="E208" s="17">
        <v>38579.915458739502</v>
      </c>
      <c r="F208" s="30">
        <v>32772.699999999997</v>
      </c>
      <c r="G208" s="3">
        <f t="shared" si="145"/>
        <v>0.49124057523487541</v>
      </c>
      <c r="H208" s="2">
        <f t="shared" si="153"/>
        <v>8.557922189688226E-3</v>
      </c>
      <c r="K208">
        <f t="shared" si="148"/>
        <v>1.1771967356592379</v>
      </c>
      <c r="L208">
        <f t="shared" si="154"/>
        <v>-8.7857649632693116E-2</v>
      </c>
      <c r="M208" s="2">
        <v>1</v>
      </c>
      <c r="N208" s="2">
        <v>1</v>
      </c>
      <c r="O208" s="2">
        <v>0</v>
      </c>
      <c r="P208" s="4">
        <v>1</v>
      </c>
      <c r="Q208" s="40">
        <v>0.82696144182311471</v>
      </c>
      <c r="R208" s="40">
        <v>0.49706744868035191</v>
      </c>
      <c r="S208" s="40">
        <v>0.19442640692640689</v>
      </c>
      <c r="T208" s="40">
        <v>0.8</v>
      </c>
      <c r="U208" s="40">
        <v>0.46555555555555561</v>
      </c>
      <c r="V208" s="40">
        <v>0.38118811881188119</v>
      </c>
      <c r="W208" s="40">
        <v>-0.12561576354679799</v>
      </c>
      <c r="X208" s="40">
        <v>-0.21022727272727271</v>
      </c>
      <c r="Y208" s="40">
        <v>0.28617206270804285</v>
      </c>
      <c r="Z208" s="40">
        <v>0.35721812434141187</v>
      </c>
      <c r="AA208" s="40">
        <v>0.13942725956079968</v>
      </c>
      <c r="AB208" s="40">
        <v>0.22857142857142859</v>
      </c>
      <c r="AC208" s="40">
        <v>0.27067183462532302</v>
      </c>
      <c r="AD208" s="40">
        <v>0.30810515534312061</v>
      </c>
      <c r="AE208" s="40">
        <v>-0.13428999785821369</v>
      </c>
      <c r="AF208" s="40">
        <v>-0.24526515151515149</v>
      </c>
      <c r="AG208" s="40">
        <v>0.16</v>
      </c>
      <c r="AH208" s="40">
        <v>0.13500000000000001</v>
      </c>
      <c r="AI208" s="40">
        <v>0.18</v>
      </c>
      <c r="AJ208" s="40">
        <v>0.2</v>
      </c>
      <c r="AK208" s="40">
        <v>0.65</v>
      </c>
      <c r="AL208" s="40">
        <v>0.79999999999999993</v>
      </c>
      <c r="AM208" s="40">
        <v>1</v>
      </c>
      <c r="AN208" s="40">
        <v>1</v>
      </c>
      <c r="AO208" s="40">
        <v>0.8</v>
      </c>
      <c r="AP208" s="40">
        <v>1</v>
      </c>
      <c r="AQ208" s="40">
        <f t="shared" si="155"/>
        <v>0.8</v>
      </c>
      <c r="AR208" s="40">
        <f t="shared" si="156"/>
        <v>1</v>
      </c>
      <c r="AS208" s="40">
        <f t="shared" si="157"/>
        <v>1</v>
      </c>
      <c r="AT208" s="40" cm="1">
        <f t="array" ref="AT208">_xlfn.IFS(AG208&gt;sheet2!$C$2,1,AG208=sheet2!$C$2,0,AG208&lt;sheet2!$C$2,-1)</f>
        <v>-1</v>
      </c>
      <c r="AU208" s="40" cm="1">
        <f t="array" ref="AU208">_xlfn.IFS(AH208&gt;sheet2!$D$2,1,AH208=sheet2!$D$2,0,AH208&lt;sheet2!$D$2,-1)</f>
        <v>0</v>
      </c>
      <c r="AV208" s="40" cm="1">
        <f t="array" ref="AV208">_xlfn.IFS(AI208&gt;sheet2!$E$2,1,AI208=sheet2!$E$2,0,AI208&lt;sheet2!$E$2,-1)</f>
        <v>0</v>
      </c>
      <c r="AW208" s="40" cm="1">
        <f t="array" ref="AW208">_xlfn.IFS(AJ208&gt;sheet2!$F$2,1,AJ208=sheet2!$F$2,0,AJ208&lt;sheet2!$F$2,-1)</f>
        <v>-1</v>
      </c>
      <c r="AX208" s="40" cm="1">
        <f t="array" ref="AX208">_xlfn.IFS(AK208&gt;sheet2!$G$2,1,AK208=sheet2!$G$2,0,AK208&lt;sheet2!$G$2,-1)</f>
        <v>0</v>
      </c>
      <c r="AY208">
        <v>0.43526166595977756</v>
      </c>
      <c r="AZ208">
        <v>0.64004044489383216</v>
      </c>
      <c r="BA208">
        <v>1.9238999338598607E-2</v>
      </c>
      <c r="BB208">
        <v>1.0814195961882909E-2</v>
      </c>
      <c r="BC208">
        <v>0.48980621152554815</v>
      </c>
    </row>
    <row r="209" spans="1:55" ht="14.4" x14ac:dyDescent="0.25">
      <c r="A209" s="2">
        <v>26</v>
      </c>
      <c r="B209" s="6" t="s">
        <v>40</v>
      </c>
      <c r="C209" s="2">
        <v>2023</v>
      </c>
      <c r="D209" s="2">
        <v>17169.59</v>
      </c>
      <c r="E209" s="17">
        <v>42761.3190897694</v>
      </c>
      <c r="F209" s="30">
        <v>33786.1</v>
      </c>
      <c r="G209" s="3">
        <f t="shared" si="145"/>
        <v>0.50818502283483447</v>
      </c>
      <c r="H209" s="2">
        <f t="shared" si="153"/>
        <v>3.4493175959370737E-2</v>
      </c>
      <c r="I209" s="14">
        <v>0.35947080755878325</v>
      </c>
      <c r="K209">
        <f t="shared" si="148"/>
        <v>1.2656482722116316</v>
      </c>
      <c r="L209">
        <f t="shared" si="154"/>
        <v>7.5137429346387244E-2</v>
      </c>
      <c r="M209" s="2">
        <v>1</v>
      </c>
      <c r="N209" s="2">
        <v>1</v>
      </c>
      <c r="O209" s="2">
        <v>1</v>
      </c>
      <c r="P209" s="4">
        <v>1</v>
      </c>
      <c r="Q209" s="40">
        <v>0.82696144182311471</v>
      </c>
      <c r="R209" s="40">
        <v>0.49706744868035191</v>
      </c>
      <c r="S209" s="40">
        <v>0.19442640692640689</v>
      </c>
      <c r="T209" s="40">
        <v>0.8</v>
      </c>
      <c r="U209" s="40">
        <v>0.46555555555555561</v>
      </c>
      <c r="V209" s="40">
        <v>0.38118811881188119</v>
      </c>
      <c r="W209" s="40">
        <v>-0.12561576354679799</v>
      </c>
      <c r="X209" s="40">
        <v>-0.21022727272727271</v>
      </c>
      <c r="Y209" s="40">
        <v>0.28617206270804285</v>
      </c>
      <c r="Z209" s="40">
        <v>0.35721812434141187</v>
      </c>
      <c r="AA209" s="40">
        <v>0.13942725956079968</v>
      </c>
      <c r="AB209" s="40">
        <v>0.22857142857142859</v>
      </c>
      <c r="AC209" s="40">
        <v>0.27067183462532302</v>
      </c>
      <c r="AD209" s="40">
        <v>0.30810515534312061</v>
      </c>
      <c r="AE209" s="40">
        <v>-0.13428999785821369</v>
      </c>
      <c r="AF209" s="40">
        <v>-0.24526515151515149</v>
      </c>
      <c r="AG209" s="40">
        <v>0.16</v>
      </c>
      <c r="AH209" s="40">
        <v>0.13500000000000001</v>
      </c>
      <c r="AI209" s="40">
        <v>0.18</v>
      </c>
      <c r="AJ209" s="40">
        <v>0.2</v>
      </c>
      <c r="AK209" s="40">
        <v>0.65</v>
      </c>
      <c r="AL209" s="40">
        <v>0.79999999999999993</v>
      </c>
      <c r="AM209" s="40">
        <v>1</v>
      </c>
      <c r="AN209" s="40">
        <v>1</v>
      </c>
      <c r="AO209" s="40">
        <v>0.8</v>
      </c>
      <c r="AP209" s="40">
        <v>1</v>
      </c>
      <c r="AQ209" s="40">
        <f t="shared" si="155"/>
        <v>0.8</v>
      </c>
      <c r="AR209" s="40">
        <f t="shared" si="156"/>
        <v>1</v>
      </c>
      <c r="AS209" s="40">
        <f t="shared" si="157"/>
        <v>1</v>
      </c>
      <c r="AT209" s="40" cm="1">
        <f t="array" ref="AT209">_xlfn.IFS(AG209&gt;sheet2!$C$2,1,AG209=sheet2!$C$2,0,AG209&lt;sheet2!$C$2,-1)</f>
        <v>-1</v>
      </c>
      <c r="AU209" s="40" cm="1">
        <f t="array" ref="AU209">_xlfn.IFS(AH209&gt;sheet2!$D$2,1,AH209=sheet2!$D$2,0,AH209&lt;sheet2!$D$2,-1)</f>
        <v>0</v>
      </c>
      <c r="AV209" s="40" cm="1">
        <f t="array" ref="AV209">_xlfn.IFS(AI209&gt;sheet2!$E$2,1,AI209=sheet2!$E$2,0,AI209&lt;sheet2!$E$2,-1)</f>
        <v>0</v>
      </c>
      <c r="AW209" s="40" cm="1">
        <f t="array" ref="AW209">_xlfn.IFS(AJ209&gt;sheet2!$F$2,1,AJ209=sheet2!$F$2,0,AJ209&lt;sheet2!$F$2,-1)</f>
        <v>-1</v>
      </c>
      <c r="AX209" s="40" cm="1">
        <f t="array" ref="AX209">_xlfn.IFS(AK209&gt;sheet2!$G$2,1,AK209=sheet2!$G$2,0,AK209&lt;sheet2!$G$2,-1)</f>
        <v>0</v>
      </c>
      <c r="AY209">
        <v>0.4125157979168948</v>
      </c>
      <c r="AZ209">
        <v>0.65156882591093113</v>
      </c>
      <c r="BA209">
        <v>1.9219546356456445E-2</v>
      </c>
      <c r="BB209">
        <v>1.114539115198262E-2</v>
      </c>
      <c r="BC209">
        <v>0.47910267202595652</v>
      </c>
    </row>
    <row r="210" spans="1:55" s="40" customFormat="1" ht="14.4" x14ac:dyDescent="0.25">
      <c r="A210" s="35">
        <v>27</v>
      </c>
      <c r="B210" s="35" t="s">
        <v>41</v>
      </c>
      <c r="C210" s="35">
        <v>2016</v>
      </c>
      <c r="D210" s="35">
        <v>7300</v>
      </c>
      <c r="E210" s="36">
        <v>19181.833854291701</v>
      </c>
      <c r="F210" s="37">
        <v>7200.37</v>
      </c>
      <c r="G210" s="38">
        <f t="shared" si="145"/>
        <v>1.0138367889427904</v>
      </c>
      <c r="H210" s="35"/>
      <c r="I210" s="39">
        <v>0.33078390940691293</v>
      </c>
      <c r="J210" s="35"/>
      <c r="K210" s="40">
        <f t="shared" si="148"/>
        <v>2.6640066905300284</v>
      </c>
      <c r="M210" s="35">
        <v>0</v>
      </c>
      <c r="N210" s="35">
        <v>0</v>
      </c>
      <c r="O210" s="35">
        <v>0</v>
      </c>
      <c r="P210" s="41">
        <v>1</v>
      </c>
      <c r="Q210" s="40">
        <v>0.88683592469111916</v>
      </c>
      <c r="R210" s="40">
        <v>0.70967741935483875</v>
      </c>
      <c r="S210" s="40">
        <v>0.66182155657962116</v>
      </c>
      <c r="T210" s="40">
        <v>1.2</v>
      </c>
      <c r="U210" s="40">
        <v>0.40000000000000019</v>
      </c>
      <c r="V210" s="40">
        <v>0.661993769470405</v>
      </c>
      <c r="W210" s="40">
        <v>0.5529197080291971</v>
      </c>
      <c r="X210" s="40">
        <v>0.44324324324324332</v>
      </c>
      <c r="Y210" s="40">
        <v>0.53316949546846959</v>
      </c>
      <c r="Z210" s="40">
        <v>0.51001053740779756</v>
      </c>
      <c r="AA210" s="40">
        <v>0.47460613715444039</v>
      </c>
      <c r="AB210" s="40">
        <v>0.34285714285714286</v>
      </c>
      <c r="AC210" s="40">
        <v>0.23255813953488383</v>
      </c>
      <c r="AD210" s="40">
        <v>0.53507358470297584</v>
      </c>
      <c r="AE210" s="40">
        <v>0.59110086433811859</v>
      </c>
      <c r="AF210" s="40">
        <v>0.51711711711711728</v>
      </c>
      <c r="AG210" s="40">
        <v>0.3</v>
      </c>
      <c r="AH210" s="40">
        <v>0.125</v>
      </c>
      <c r="AI210" s="40">
        <v>0.18</v>
      </c>
      <c r="AJ210" s="40">
        <v>0.35</v>
      </c>
      <c r="AK210" s="40">
        <v>0.65</v>
      </c>
      <c r="AL210" s="40">
        <v>1.4999999999999998</v>
      </c>
      <c r="AM210" s="40">
        <v>0.92592592592592582</v>
      </c>
      <c r="AN210" s="40">
        <v>1</v>
      </c>
      <c r="AO210" s="40">
        <v>1.4</v>
      </c>
      <c r="AP210" s="40">
        <v>1</v>
      </c>
      <c r="AQ210" s="40">
        <f t="shared" si="106"/>
        <v>1.4499999999999997</v>
      </c>
      <c r="AR210" s="40">
        <f t="shared" si="107"/>
        <v>0.92592592592592582</v>
      </c>
      <c r="AS210" s="40">
        <f t="shared" si="108"/>
        <v>1</v>
      </c>
      <c r="AT210" s="40" cm="1">
        <f t="array" ref="AT210">_xlfn.IFS(AG210&gt;sheet2!$C$2,1,AG210=sheet2!$C$2,0,AG210&lt;sheet2!$C$2,-1)</f>
        <v>1</v>
      </c>
      <c r="AU210" s="40" cm="1">
        <f t="array" ref="AU210">_xlfn.IFS(AH210&gt;sheet2!$D$2,1,AH210=sheet2!$D$2,0,AH210&lt;sheet2!$D$2,-1)</f>
        <v>-1</v>
      </c>
      <c r="AV210" s="40" cm="1">
        <f t="array" ref="AV210">_xlfn.IFS(AI210&gt;sheet2!$E$2,1,AI210=sheet2!$E$2,0,AI210&lt;sheet2!$E$2,-1)</f>
        <v>0</v>
      </c>
      <c r="AW210" s="40" cm="1">
        <f t="array" ref="AW210">_xlfn.IFS(AJ210&gt;sheet2!$F$2,1,AJ210=sheet2!$F$2,0,AJ210&lt;sheet2!$F$2,-1)</f>
        <v>1</v>
      </c>
      <c r="AX210" s="40" cm="1">
        <f t="array" ref="AX210">_xlfn.IFS(AK210&gt;sheet2!$G$2,1,AK210=sheet2!$G$2,0,AK210&lt;sheet2!$G$2,-1)</f>
        <v>0</v>
      </c>
      <c r="AY210" s="40">
        <v>0.34491283086841373</v>
      </c>
      <c r="AZ210" s="40">
        <v>0.46071428571428569</v>
      </c>
      <c r="BA210" s="40">
        <v>5.9170347203144485E-3</v>
      </c>
      <c r="BB210" s="40">
        <v>7.0722476761610866E-3</v>
      </c>
      <c r="BC210" s="40">
        <v>0.24982936670444408</v>
      </c>
    </row>
    <row r="211" spans="1:55" ht="14.4" x14ac:dyDescent="0.25">
      <c r="A211" s="2">
        <v>27</v>
      </c>
      <c r="B211" s="2" t="s">
        <v>41</v>
      </c>
      <c r="C211" s="2">
        <v>2017</v>
      </c>
      <c r="D211" s="2">
        <v>7504</v>
      </c>
      <c r="E211" s="17">
        <v>19944.243856408797</v>
      </c>
      <c r="F211" s="5">
        <v>7459.9</v>
      </c>
      <c r="G211" s="3">
        <f t="shared" si="145"/>
        <v>1.0059116073942009</v>
      </c>
      <c r="H211" s="2">
        <f t="shared" ref="H211:H217" si="158">(G211-G210)/G210</f>
        <v>-7.8170191050708302E-3</v>
      </c>
      <c r="I211" s="14">
        <v>0.40296175310354743</v>
      </c>
      <c r="J211" s="2">
        <f>(I211-I210)/I210</f>
        <v>0.21820240236608701</v>
      </c>
      <c r="K211">
        <f t="shared" si="148"/>
        <v>2.673526971730023</v>
      </c>
      <c r="L211">
        <f t="shared" ref="L211:L217" si="159">(K211-K210)/K210</f>
        <v>3.5736701539966663E-3</v>
      </c>
      <c r="M211" s="2">
        <v>0</v>
      </c>
      <c r="N211" s="2">
        <v>0</v>
      </c>
      <c r="O211" s="2">
        <v>0</v>
      </c>
      <c r="P211" s="4">
        <v>1</v>
      </c>
      <c r="Q211" s="40">
        <v>0.88683592469111916</v>
      </c>
      <c r="R211" s="40">
        <v>0.70967741935483875</v>
      </c>
      <c r="S211" s="40">
        <v>0.66182155657962116</v>
      </c>
      <c r="T211" s="40">
        <v>1.2</v>
      </c>
      <c r="U211" s="40">
        <v>0.40000000000000019</v>
      </c>
      <c r="V211" s="40">
        <v>0.661993769470405</v>
      </c>
      <c r="W211" s="40">
        <v>0.5529197080291971</v>
      </c>
      <c r="X211" s="40">
        <v>0.44324324324324332</v>
      </c>
      <c r="Y211" s="40">
        <v>0.53316949546846959</v>
      </c>
      <c r="Z211" s="40">
        <v>0.51001053740779756</v>
      </c>
      <c r="AA211" s="40">
        <v>0.47460613715444039</v>
      </c>
      <c r="AB211" s="40">
        <v>0.34285714285714286</v>
      </c>
      <c r="AC211" s="40">
        <v>0.23255813953488383</v>
      </c>
      <c r="AD211" s="40">
        <v>0.53507358470297584</v>
      </c>
      <c r="AE211" s="40">
        <v>0.59110086433811859</v>
      </c>
      <c r="AF211" s="40">
        <v>0.51711711711711728</v>
      </c>
      <c r="AG211" s="40">
        <v>0.3</v>
      </c>
      <c r="AH211" s="40">
        <v>0.125</v>
      </c>
      <c r="AI211" s="40">
        <v>0.18</v>
      </c>
      <c r="AJ211" s="40">
        <v>0.35</v>
      </c>
      <c r="AK211" s="40">
        <v>0.65</v>
      </c>
      <c r="AL211" s="40">
        <v>1.4999999999999998</v>
      </c>
      <c r="AM211" s="40">
        <v>0.92592592592592582</v>
      </c>
      <c r="AN211" s="40">
        <v>1</v>
      </c>
      <c r="AO211" s="40">
        <v>1.4</v>
      </c>
      <c r="AP211" s="40">
        <v>1</v>
      </c>
      <c r="AQ211" s="40">
        <f t="shared" ref="AQ211:AQ217" si="160">AVERAGE(AL211,AO211)</f>
        <v>1.4499999999999997</v>
      </c>
      <c r="AR211" s="40">
        <f t="shared" ref="AR211:AR217" si="161">AVERAGE(AM211)</f>
        <v>0.92592592592592582</v>
      </c>
      <c r="AS211" s="40">
        <f t="shared" ref="AS211:AS217" si="162">AVERAGE(AN211,AP211)</f>
        <v>1</v>
      </c>
      <c r="AT211" s="40" cm="1">
        <f t="array" ref="AT211">_xlfn.IFS(AG211&gt;sheet2!$C$2,1,AG211=sheet2!$C$2,0,AG211&lt;sheet2!$C$2,-1)</f>
        <v>1</v>
      </c>
      <c r="AU211" s="40" cm="1">
        <f t="array" ref="AU211">_xlfn.IFS(AH211&gt;sheet2!$D$2,1,AH211=sheet2!$D$2,0,AH211&lt;sheet2!$D$2,-1)</f>
        <v>-1</v>
      </c>
      <c r="AV211" s="40" cm="1">
        <f t="array" ref="AV211">_xlfn.IFS(AI211&gt;sheet2!$E$2,1,AI211=sheet2!$E$2,0,AI211&lt;sheet2!$E$2,-1)</f>
        <v>0</v>
      </c>
      <c r="AW211" s="40" cm="1">
        <f t="array" ref="AW211">_xlfn.IFS(AJ211&gt;sheet2!$F$2,1,AJ211=sheet2!$F$2,0,AJ211&lt;sheet2!$F$2,-1)</f>
        <v>1</v>
      </c>
      <c r="AX211" s="40" cm="1">
        <f t="array" ref="AX211">_xlfn.IFS(AK211&gt;sheet2!$G$2,1,AK211=sheet2!$G$2,0,AK211&lt;sheet2!$G$2,-1)</f>
        <v>0</v>
      </c>
      <c r="AY211">
        <v>0.33722972157803721</v>
      </c>
      <c r="AZ211">
        <v>0.48136399682791436</v>
      </c>
      <c r="BA211">
        <v>5.9217307796162848E-3</v>
      </c>
      <c r="BB211">
        <v>6.2589578948779477E-3</v>
      </c>
      <c r="BC211">
        <v>0.24685877183425936</v>
      </c>
    </row>
    <row r="212" spans="1:55" ht="14.4" x14ac:dyDescent="0.25">
      <c r="A212" s="2">
        <v>27</v>
      </c>
      <c r="B212" s="2" t="s">
        <v>41</v>
      </c>
      <c r="C212" s="2">
        <v>2018</v>
      </c>
      <c r="D212" s="2">
        <v>7823</v>
      </c>
      <c r="E212" s="17">
        <v>20546.416680684302</v>
      </c>
      <c r="F212" s="5">
        <v>8246.07</v>
      </c>
      <c r="G212" s="3">
        <f t="shared" si="145"/>
        <v>0.94869434773170735</v>
      </c>
      <c r="H212" s="2">
        <f t="shared" si="158"/>
        <v>-5.6881001513357662E-2</v>
      </c>
      <c r="I212" s="14">
        <v>0.40494791589549584</v>
      </c>
      <c r="J212" s="2">
        <f>(I212-I211)/I211</f>
        <v>4.928911433036259E-3</v>
      </c>
      <c r="K212">
        <f t="shared" si="148"/>
        <v>2.4916616861952789</v>
      </c>
      <c r="L212">
        <f t="shared" si="159"/>
        <v>-6.8024481315428847E-2</v>
      </c>
      <c r="M212" s="2">
        <v>0</v>
      </c>
      <c r="N212" s="2">
        <v>0</v>
      </c>
      <c r="O212" s="2">
        <v>0</v>
      </c>
      <c r="P212" s="4">
        <v>1</v>
      </c>
      <c r="Q212" s="40">
        <v>0.88683592469111916</v>
      </c>
      <c r="R212" s="40">
        <v>0.70967741935483875</v>
      </c>
      <c r="S212" s="40">
        <v>0.66182155657962116</v>
      </c>
      <c r="T212" s="40">
        <v>1.2</v>
      </c>
      <c r="U212" s="40">
        <v>0.40000000000000019</v>
      </c>
      <c r="V212" s="40">
        <v>0.661993769470405</v>
      </c>
      <c r="W212" s="40">
        <v>0.5529197080291971</v>
      </c>
      <c r="X212" s="40">
        <v>0.44324324324324332</v>
      </c>
      <c r="Y212" s="40">
        <v>0.53316949546846959</v>
      </c>
      <c r="Z212" s="40">
        <v>0.51001053740779756</v>
      </c>
      <c r="AA212" s="40">
        <v>0.47460613715444039</v>
      </c>
      <c r="AB212" s="40">
        <v>0.34285714285714286</v>
      </c>
      <c r="AC212" s="40">
        <v>0.23255813953488383</v>
      </c>
      <c r="AD212" s="40">
        <v>0.53507358470297584</v>
      </c>
      <c r="AE212" s="40">
        <v>0.59110086433811859</v>
      </c>
      <c r="AF212" s="40">
        <v>0.51711711711711728</v>
      </c>
      <c r="AG212" s="40">
        <v>0.3</v>
      </c>
      <c r="AH212" s="40">
        <v>0.125</v>
      </c>
      <c r="AI212" s="40">
        <v>0.18</v>
      </c>
      <c r="AJ212" s="40">
        <v>0.35</v>
      </c>
      <c r="AK212" s="40">
        <v>0.65</v>
      </c>
      <c r="AL212" s="40">
        <v>1.4999999999999998</v>
      </c>
      <c r="AM212" s="40">
        <v>0.92592592592592582</v>
      </c>
      <c r="AN212" s="40">
        <v>1</v>
      </c>
      <c r="AO212" s="40">
        <v>1.4</v>
      </c>
      <c r="AP212" s="40">
        <v>1</v>
      </c>
      <c r="AQ212" s="40">
        <f t="shared" si="160"/>
        <v>1.4499999999999997</v>
      </c>
      <c r="AR212" s="40">
        <f t="shared" si="161"/>
        <v>0.92592592592592582</v>
      </c>
      <c r="AS212" s="40">
        <f t="shared" si="162"/>
        <v>1</v>
      </c>
      <c r="AT212" s="40" cm="1">
        <f t="array" ref="AT212">_xlfn.IFS(AG212&gt;sheet2!$C$2,1,AG212=sheet2!$C$2,0,AG212&lt;sheet2!$C$2,-1)</f>
        <v>1</v>
      </c>
      <c r="AU212" s="40" cm="1">
        <f t="array" ref="AU212">_xlfn.IFS(AH212&gt;sheet2!$D$2,1,AH212=sheet2!$D$2,0,AH212&lt;sheet2!$D$2,-1)</f>
        <v>-1</v>
      </c>
      <c r="AV212" s="40" cm="1">
        <f t="array" ref="AV212">_xlfn.IFS(AI212&gt;sheet2!$E$2,1,AI212=sheet2!$E$2,0,AI212&lt;sheet2!$E$2,-1)</f>
        <v>0</v>
      </c>
      <c r="AW212" s="40" cm="1">
        <f t="array" ref="AW212">_xlfn.IFS(AJ212&gt;sheet2!$F$2,1,AJ212=sheet2!$F$2,0,AJ212&lt;sheet2!$F$2,-1)</f>
        <v>1</v>
      </c>
      <c r="AX212" s="40" cm="1">
        <f t="array" ref="AX212">_xlfn.IFS(AK212&gt;sheet2!$G$2,1,AK212=sheet2!$G$2,0,AK212&lt;sheet2!$G$2,-1)</f>
        <v>0</v>
      </c>
      <c r="AY212">
        <v>0.33489892761036472</v>
      </c>
      <c r="AZ212">
        <v>0.49701789264413521</v>
      </c>
      <c r="BA212">
        <v>5.9052945720598563E-3</v>
      </c>
      <c r="BB212">
        <v>5.7742779287587908E-3</v>
      </c>
      <c r="BC212">
        <v>0.23091115865151382</v>
      </c>
    </row>
    <row r="213" spans="1:55" ht="14.4" x14ac:dyDescent="0.25">
      <c r="A213" s="2">
        <v>27</v>
      </c>
      <c r="B213" s="2" t="s">
        <v>41</v>
      </c>
      <c r="C213" s="2">
        <v>2019</v>
      </c>
      <c r="D213" s="2">
        <v>7818</v>
      </c>
      <c r="E213" s="17">
        <v>20869.8425777056</v>
      </c>
      <c r="F213" s="5">
        <v>8718.2999999999993</v>
      </c>
      <c r="G213" s="3">
        <f t="shared" si="145"/>
        <v>0.89673445511166172</v>
      </c>
      <c r="H213" s="2">
        <f t="shared" si="158"/>
        <v>-5.4769897959526997E-2</v>
      </c>
      <c r="I213" s="14">
        <v>0.41570728979798016</v>
      </c>
      <c r="J213" s="2">
        <f>(I213-I212)/I212</f>
        <v>2.656977225994905E-2</v>
      </c>
      <c r="K213">
        <f t="shared" si="148"/>
        <v>2.3937972514946266</v>
      </c>
      <c r="L213">
        <f t="shared" si="159"/>
        <v>-3.9276774709366538E-2</v>
      </c>
      <c r="M213" s="2">
        <v>0</v>
      </c>
      <c r="N213" s="2">
        <v>0</v>
      </c>
      <c r="O213" s="2">
        <v>0</v>
      </c>
      <c r="P213" s="4">
        <v>1</v>
      </c>
      <c r="Q213" s="40">
        <v>0.88683592469111916</v>
      </c>
      <c r="R213" s="40">
        <v>0.70967741935483875</v>
      </c>
      <c r="S213" s="40">
        <v>0.66182155657962116</v>
      </c>
      <c r="T213" s="40">
        <v>1.2</v>
      </c>
      <c r="U213" s="40">
        <v>0.40000000000000019</v>
      </c>
      <c r="V213" s="40">
        <v>0.661993769470405</v>
      </c>
      <c r="W213" s="40">
        <v>0.5529197080291971</v>
      </c>
      <c r="X213" s="40">
        <v>0.44324324324324332</v>
      </c>
      <c r="Y213" s="40">
        <v>0.53316949546846959</v>
      </c>
      <c r="Z213" s="40">
        <v>0.51001053740779756</v>
      </c>
      <c r="AA213" s="40">
        <v>0.47460613715444039</v>
      </c>
      <c r="AB213" s="40">
        <v>0.34285714285714286</v>
      </c>
      <c r="AC213" s="40">
        <v>0.23255813953488383</v>
      </c>
      <c r="AD213" s="40">
        <v>0.53507358470297584</v>
      </c>
      <c r="AE213" s="40">
        <v>0.59110086433811859</v>
      </c>
      <c r="AF213" s="40">
        <v>0.51711711711711728</v>
      </c>
      <c r="AG213" s="40">
        <v>0.3</v>
      </c>
      <c r="AH213" s="40">
        <v>0.125</v>
      </c>
      <c r="AI213" s="40">
        <v>0.18</v>
      </c>
      <c r="AJ213" s="40">
        <v>0.35</v>
      </c>
      <c r="AK213" s="40">
        <v>0.65</v>
      </c>
      <c r="AL213" s="40">
        <v>1.4999999999999998</v>
      </c>
      <c r="AM213" s="40">
        <v>0.92592592592592582</v>
      </c>
      <c r="AN213" s="40">
        <v>1</v>
      </c>
      <c r="AO213" s="40">
        <v>1.4</v>
      </c>
      <c r="AP213" s="40">
        <v>1</v>
      </c>
      <c r="AQ213" s="40">
        <f t="shared" si="160"/>
        <v>1.4499999999999997</v>
      </c>
      <c r="AR213" s="40">
        <f t="shared" si="161"/>
        <v>0.92592592592592582</v>
      </c>
      <c r="AS213" s="40">
        <f t="shared" si="162"/>
        <v>1</v>
      </c>
      <c r="AT213" s="40" cm="1">
        <f t="array" ref="AT213">_xlfn.IFS(AG213&gt;sheet2!$C$2,1,AG213=sheet2!$C$2,0,AG213&lt;sheet2!$C$2,-1)</f>
        <v>1</v>
      </c>
      <c r="AU213" s="40" cm="1">
        <f t="array" ref="AU213">_xlfn.IFS(AH213&gt;sheet2!$D$2,1,AH213=sheet2!$D$2,0,AH213&lt;sheet2!$D$2,-1)</f>
        <v>-1</v>
      </c>
      <c r="AV213" s="40" cm="1">
        <f t="array" ref="AV213">_xlfn.IFS(AI213&gt;sheet2!$E$2,1,AI213=sheet2!$E$2,0,AI213&lt;sheet2!$E$2,-1)</f>
        <v>0</v>
      </c>
      <c r="AW213" s="40" cm="1">
        <f t="array" ref="AW213">_xlfn.IFS(AJ213&gt;sheet2!$F$2,1,AJ213=sheet2!$F$2,0,AJ213&lt;sheet2!$F$2,-1)</f>
        <v>1</v>
      </c>
      <c r="AX213" s="40" cm="1">
        <f t="array" ref="AX213">_xlfn.IFS(AK213&gt;sheet2!$G$2,1,AK213=sheet2!$G$2,0,AK213&lt;sheet2!$G$2,-1)</f>
        <v>0</v>
      </c>
      <c r="AY213">
        <v>0.33426241354392483</v>
      </c>
      <c r="AZ213">
        <v>0.50697489039457955</v>
      </c>
      <c r="BA213">
        <v>5.891206394154345E-3</v>
      </c>
      <c r="BB213">
        <v>5.7986534072009457E-3</v>
      </c>
      <c r="BC213">
        <v>0.21522674359753013</v>
      </c>
    </row>
    <row r="214" spans="1:55" ht="14.4" x14ac:dyDescent="0.25">
      <c r="A214" s="2">
        <v>27</v>
      </c>
      <c r="B214" s="2" t="s">
        <v>41</v>
      </c>
      <c r="C214" s="2">
        <v>2020</v>
      </c>
      <c r="D214" s="2">
        <v>8104.71</v>
      </c>
      <c r="E214" s="17">
        <v>21370.050814898801</v>
      </c>
      <c r="F214" s="5">
        <v>9016.7000000000007</v>
      </c>
      <c r="G214" s="3">
        <f t="shared" si="145"/>
        <v>0.89885545709627679</v>
      </c>
      <c r="H214" s="2">
        <f t="shared" si="158"/>
        <v>2.3652509084765337E-3</v>
      </c>
      <c r="I214" s="14">
        <v>0.43627577504040621</v>
      </c>
      <c r="J214" s="2">
        <f>(I214-I213)/I213</f>
        <v>4.9478288563141737E-2</v>
      </c>
      <c r="K214">
        <f t="shared" si="148"/>
        <v>2.3700523267823925</v>
      </c>
      <c r="L214">
        <f t="shared" si="159"/>
        <v>-9.9193549902391997E-3</v>
      </c>
      <c r="M214" s="2">
        <v>0</v>
      </c>
      <c r="N214" s="2">
        <v>0</v>
      </c>
      <c r="O214" s="2">
        <v>0</v>
      </c>
      <c r="P214" s="4">
        <v>1</v>
      </c>
      <c r="Q214" s="40">
        <v>0.88683592469111916</v>
      </c>
      <c r="R214" s="40">
        <v>0.70967741935483875</v>
      </c>
      <c r="S214" s="40">
        <v>0.66182155657962116</v>
      </c>
      <c r="T214" s="40">
        <v>1.2</v>
      </c>
      <c r="U214" s="40">
        <v>0.40000000000000019</v>
      </c>
      <c r="V214" s="40">
        <v>0.661993769470405</v>
      </c>
      <c r="W214" s="40">
        <v>0.5529197080291971</v>
      </c>
      <c r="X214" s="40">
        <v>0.44324324324324332</v>
      </c>
      <c r="Y214" s="40">
        <v>0.53316949546846959</v>
      </c>
      <c r="Z214" s="40">
        <v>0.51001053740779756</v>
      </c>
      <c r="AA214" s="40">
        <v>0.47460613715444039</v>
      </c>
      <c r="AB214" s="40">
        <v>0.34285714285714286</v>
      </c>
      <c r="AC214" s="40">
        <v>0.23255813953488383</v>
      </c>
      <c r="AD214" s="40">
        <v>0.53507358470297584</v>
      </c>
      <c r="AE214" s="40">
        <v>0.59110086433811859</v>
      </c>
      <c r="AF214" s="40">
        <v>0.51711711711711728</v>
      </c>
      <c r="AG214" s="40">
        <v>0.3</v>
      </c>
      <c r="AH214" s="40">
        <v>0.125</v>
      </c>
      <c r="AI214" s="40">
        <v>0.18</v>
      </c>
      <c r="AJ214" s="40">
        <v>0.35</v>
      </c>
      <c r="AK214" s="40">
        <v>0.65</v>
      </c>
      <c r="AL214" s="40">
        <v>1.4999999999999998</v>
      </c>
      <c r="AM214" s="40">
        <v>0.92592592592592582</v>
      </c>
      <c r="AN214" s="40">
        <v>1</v>
      </c>
      <c r="AO214" s="40">
        <v>1.4</v>
      </c>
      <c r="AP214" s="40">
        <v>1</v>
      </c>
      <c r="AQ214" s="40">
        <f t="shared" si="160"/>
        <v>1.4499999999999997</v>
      </c>
      <c r="AR214" s="40">
        <f t="shared" si="161"/>
        <v>0.92592592592592582</v>
      </c>
      <c r="AS214" s="40">
        <f t="shared" si="162"/>
        <v>1</v>
      </c>
      <c r="AT214" s="40" cm="1">
        <f t="array" ref="AT214">_xlfn.IFS(AG214&gt;sheet2!$C$2,1,AG214=sheet2!$C$2,0,AG214&lt;sheet2!$C$2,-1)</f>
        <v>1</v>
      </c>
      <c r="AU214" s="40" cm="1">
        <f t="array" ref="AU214">_xlfn.IFS(AH214&gt;sheet2!$D$2,1,AH214=sheet2!$D$2,0,AH214&lt;sheet2!$D$2,-1)</f>
        <v>-1</v>
      </c>
      <c r="AV214" s="40" cm="1">
        <f t="array" ref="AV214">_xlfn.IFS(AI214&gt;sheet2!$E$2,1,AI214=sheet2!$E$2,0,AI214&lt;sheet2!$E$2,-1)</f>
        <v>0</v>
      </c>
      <c r="AW214" s="40" cm="1">
        <f t="array" ref="AW214">_xlfn.IFS(AJ214&gt;sheet2!$F$2,1,AJ214=sheet2!$F$2,0,AJ214&lt;sheet2!$F$2,-1)</f>
        <v>1</v>
      </c>
      <c r="AX214" s="40" cm="1">
        <f t="array" ref="AX214">_xlfn.IFS(AK214&gt;sheet2!$G$2,1,AK214=sheet2!$G$2,0,AK214&lt;sheet2!$G$2,-1)</f>
        <v>0</v>
      </c>
      <c r="AY214">
        <v>0.32072709527876053</v>
      </c>
      <c r="AZ214">
        <v>0.52219112355057973</v>
      </c>
      <c r="BA214">
        <v>5.8724221569469983E-3</v>
      </c>
      <c r="BB214">
        <v>5.7818714163718424E-3</v>
      </c>
      <c r="BC214">
        <v>0.21005668444060144</v>
      </c>
    </row>
    <row r="215" spans="1:55" ht="14.4" x14ac:dyDescent="0.25">
      <c r="A215" s="2">
        <v>27</v>
      </c>
      <c r="B215" s="2" t="s">
        <v>41</v>
      </c>
      <c r="C215" s="2">
        <v>2021</v>
      </c>
      <c r="D215" s="2">
        <v>8434.23</v>
      </c>
      <c r="E215" s="17">
        <v>22608.0748696179</v>
      </c>
      <c r="F215" s="30">
        <v>10243.3051</v>
      </c>
      <c r="G215" s="3">
        <f t="shared" si="145"/>
        <v>0.82338951321483145</v>
      </c>
      <c r="H215" s="2">
        <f t="shared" si="158"/>
        <v>-8.3957819119478458E-2</v>
      </c>
      <c r="I215" s="14">
        <v>0.4432037740501743</v>
      </c>
      <c r="J215" s="2">
        <f>(I215-I214)/I214</f>
        <v>1.5879861789544578E-2</v>
      </c>
      <c r="K215">
        <f t="shared" si="148"/>
        <v>2.2071074373854098</v>
      </c>
      <c r="L215">
        <f t="shared" si="159"/>
        <v>-6.8751599935431965E-2</v>
      </c>
      <c r="M215" s="2">
        <v>0</v>
      </c>
      <c r="N215" s="2">
        <v>0</v>
      </c>
      <c r="O215" s="2">
        <v>0</v>
      </c>
      <c r="P215" s="4">
        <v>1</v>
      </c>
      <c r="Q215" s="40">
        <v>0.88683592469111916</v>
      </c>
      <c r="R215" s="40">
        <v>0.70967741935483875</v>
      </c>
      <c r="S215" s="40">
        <v>0.66182155657962116</v>
      </c>
      <c r="T215" s="40">
        <v>1.2</v>
      </c>
      <c r="U215" s="40">
        <v>0.40000000000000019</v>
      </c>
      <c r="V215" s="40">
        <v>0.661993769470405</v>
      </c>
      <c r="W215" s="40">
        <v>0.5529197080291971</v>
      </c>
      <c r="X215" s="40">
        <v>0.44324324324324332</v>
      </c>
      <c r="Y215" s="40">
        <v>0.53316949546846959</v>
      </c>
      <c r="Z215" s="40">
        <v>0.51001053740779756</v>
      </c>
      <c r="AA215" s="40">
        <v>0.47460613715444039</v>
      </c>
      <c r="AB215" s="40">
        <v>0.34285714285714286</v>
      </c>
      <c r="AC215" s="40">
        <v>0.23255813953488383</v>
      </c>
      <c r="AD215" s="40">
        <v>0.53507358470297584</v>
      </c>
      <c r="AE215" s="40">
        <v>0.59110086433811859</v>
      </c>
      <c r="AF215" s="40">
        <v>0.51711711711711728</v>
      </c>
      <c r="AG215" s="40">
        <v>0.3</v>
      </c>
      <c r="AH215" s="40">
        <v>0.125</v>
      </c>
      <c r="AI215" s="40">
        <v>0.18</v>
      </c>
      <c r="AJ215" s="40">
        <v>0.35</v>
      </c>
      <c r="AK215" s="40">
        <v>0.65</v>
      </c>
      <c r="AL215" s="40">
        <v>1.4999999999999998</v>
      </c>
      <c r="AM215" s="40">
        <v>0.92592592592592582</v>
      </c>
      <c r="AN215" s="40">
        <v>1</v>
      </c>
      <c r="AO215" s="40">
        <v>1.4</v>
      </c>
      <c r="AP215" s="40">
        <v>1</v>
      </c>
      <c r="AQ215" s="40">
        <f t="shared" si="160"/>
        <v>1.4499999999999997</v>
      </c>
      <c r="AR215" s="40">
        <f t="shared" si="161"/>
        <v>0.92592592592592582</v>
      </c>
      <c r="AS215" s="40">
        <f t="shared" si="162"/>
        <v>1</v>
      </c>
      <c r="AT215" s="40" cm="1">
        <f t="array" ref="AT215">_xlfn.IFS(AG215&gt;sheet2!$C$2,1,AG215=sheet2!$C$2,0,AG215&lt;sheet2!$C$2,-1)</f>
        <v>1</v>
      </c>
      <c r="AU215" s="40" cm="1">
        <f t="array" ref="AU215">_xlfn.IFS(AH215&gt;sheet2!$D$2,1,AH215=sheet2!$D$2,0,AH215&lt;sheet2!$D$2,-1)</f>
        <v>-1</v>
      </c>
      <c r="AV215" s="40" cm="1">
        <f t="array" ref="AV215">_xlfn.IFS(AI215&gt;sheet2!$E$2,1,AI215=sheet2!$E$2,0,AI215&lt;sheet2!$E$2,-1)</f>
        <v>0</v>
      </c>
      <c r="AW215" s="40" cm="1">
        <f t="array" ref="AW215">_xlfn.IFS(AJ215&gt;sheet2!$F$2,1,AJ215=sheet2!$F$2,0,AJ215&lt;sheet2!$F$2,-1)</f>
        <v>1</v>
      </c>
      <c r="AX215" s="40" cm="1">
        <f t="array" ref="AX215">_xlfn.IFS(AK215&gt;sheet2!$G$2,1,AK215=sheet2!$G$2,0,AK215&lt;sheet2!$G$2,-1)</f>
        <v>0</v>
      </c>
      <c r="AY215">
        <v>0.34477153277412387</v>
      </c>
      <c r="AZ215">
        <v>0.53333333333333333</v>
      </c>
      <c r="BA215">
        <v>5.8465938307868948E-3</v>
      </c>
      <c r="BB215">
        <v>6.2767631513777717E-3</v>
      </c>
      <c r="BC215">
        <v>0.24844267661237526</v>
      </c>
    </row>
    <row r="216" spans="1:55" ht="14.4" x14ac:dyDescent="0.25">
      <c r="A216" s="2">
        <v>27</v>
      </c>
      <c r="B216" s="2" t="s">
        <v>41</v>
      </c>
      <c r="C216" s="2">
        <v>2022</v>
      </c>
      <c r="D216" s="2">
        <v>8667.8942305642304</v>
      </c>
      <c r="E216" s="17">
        <v>22500.0927581738</v>
      </c>
      <c r="F216" s="30">
        <v>11201.6</v>
      </c>
      <c r="G216" s="3">
        <f t="shared" si="145"/>
        <v>0.77380858364557115</v>
      </c>
      <c r="H216" s="2">
        <f t="shared" si="158"/>
        <v>-6.0215643718459756E-2</v>
      </c>
      <c r="K216">
        <f t="shared" si="148"/>
        <v>2.0086499034221719</v>
      </c>
      <c r="L216">
        <f t="shared" si="159"/>
        <v>-8.9917477781840699E-2</v>
      </c>
      <c r="M216" s="2">
        <v>1</v>
      </c>
      <c r="N216" s="2">
        <v>1</v>
      </c>
      <c r="O216" s="2">
        <v>0</v>
      </c>
      <c r="P216" s="4">
        <v>1</v>
      </c>
      <c r="Q216" s="40">
        <v>0.88683592469111916</v>
      </c>
      <c r="R216" s="40">
        <v>0.70967741935483875</v>
      </c>
      <c r="S216" s="40">
        <v>0.66182155657962116</v>
      </c>
      <c r="T216" s="40">
        <v>1.2</v>
      </c>
      <c r="U216" s="40">
        <v>0.40000000000000019</v>
      </c>
      <c r="V216" s="40">
        <v>0.661993769470405</v>
      </c>
      <c r="W216" s="40">
        <v>0.5529197080291971</v>
      </c>
      <c r="X216" s="40">
        <v>0.44324324324324332</v>
      </c>
      <c r="Y216" s="40">
        <v>0.53316949546846959</v>
      </c>
      <c r="Z216" s="40">
        <v>0.51001053740779756</v>
      </c>
      <c r="AA216" s="40">
        <v>0.47460613715444039</v>
      </c>
      <c r="AB216" s="40">
        <v>0.34285714285714286</v>
      </c>
      <c r="AC216" s="40">
        <v>0.23255813953488383</v>
      </c>
      <c r="AD216" s="40">
        <v>0.53507358470297584</v>
      </c>
      <c r="AE216" s="40">
        <v>0.59110086433811859</v>
      </c>
      <c r="AF216" s="40">
        <v>0.51711711711711728</v>
      </c>
      <c r="AG216" s="40">
        <v>0.3</v>
      </c>
      <c r="AH216" s="40">
        <v>0.125</v>
      </c>
      <c r="AI216" s="40">
        <v>0.18</v>
      </c>
      <c r="AJ216" s="40">
        <v>0.35</v>
      </c>
      <c r="AK216" s="40">
        <v>0.65</v>
      </c>
      <c r="AL216" s="40">
        <v>1.4999999999999998</v>
      </c>
      <c r="AM216" s="40">
        <v>0.92592592592592582</v>
      </c>
      <c r="AN216" s="40">
        <v>1</v>
      </c>
      <c r="AO216" s="40">
        <v>1.4</v>
      </c>
      <c r="AP216" s="40">
        <v>1</v>
      </c>
      <c r="AQ216" s="40">
        <f t="shared" si="160"/>
        <v>1.4499999999999997</v>
      </c>
      <c r="AR216" s="40">
        <f t="shared" si="161"/>
        <v>0.92592592592592582</v>
      </c>
      <c r="AS216" s="40">
        <f t="shared" si="162"/>
        <v>1</v>
      </c>
      <c r="AT216" s="40" cm="1">
        <f t="array" ref="AT216">_xlfn.IFS(AG216&gt;sheet2!$C$2,1,AG216=sheet2!$C$2,0,AG216&lt;sheet2!$C$2,-1)</f>
        <v>1</v>
      </c>
      <c r="AU216" s="40" cm="1">
        <f t="array" ref="AU216">_xlfn.IFS(AH216&gt;sheet2!$D$2,1,AH216=sheet2!$D$2,0,AH216&lt;sheet2!$D$2,-1)</f>
        <v>-1</v>
      </c>
      <c r="AV216" s="40" cm="1">
        <f t="array" ref="AV216">_xlfn.IFS(AI216&gt;sheet2!$E$2,1,AI216=sheet2!$E$2,0,AI216&lt;sheet2!$E$2,-1)</f>
        <v>0</v>
      </c>
      <c r="AW216" s="40" cm="1">
        <f t="array" ref="AW216">_xlfn.IFS(AJ216&gt;sheet2!$F$2,1,AJ216=sheet2!$F$2,0,AJ216&lt;sheet2!$F$2,-1)</f>
        <v>1</v>
      </c>
      <c r="AX216" s="40" cm="1">
        <f t="array" ref="AX216">_xlfn.IFS(AK216&gt;sheet2!$G$2,1,AK216=sheet2!$G$2,0,AK216&lt;sheet2!$G$2,-1)</f>
        <v>0</v>
      </c>
      <c r="AY216">
        <v>0.35544029424367946</v>
      </c>
      <c r="AZ216">
        <v>0.5421348314606742</v>
      </c>
      <c r="BA216">
        <v>5.8512898900887319E-3</v>
      </c>
      <c r="BB216">
        <v>6.4277156834737894E-3</v>
      </c>
      <c r="BC216">
        <v>0.21320551729321896</v>
      </c>
    </row>
    <row r="217" spans="1:55" ht="14.4" x14ac:dyDescent="0.25">
      <c r="A217" s="2">
        <v>27</v>
      </c>
      <c r="B217" s="6" t="s">
        <v>42</v>
      </c>
      <c r="C217" s="2">
        <v>2023</v>
      </c>
      <c r="D217" s="2">
        <v>9088.69</v>
      </c>
      <c r="E217" s="17">
        <v>24608.367287428202</v>
      </c>
      <c r="F217" s="30">
        <v>11863.8</v>
      </c>
      <c r="G217" s="3">
        <f t="shared" si="145"/>
        <v>0.7660859083936008</v>
      </c>
      <c r="H217" s="2">
        <f t="shared" si="158"/>
        <v>-9.9800847589299625E-3</v>
      </c>
      <c r="I217" s="14">
        <v>0.36886990577557244</v>
      </c>
      <c r="K217">
        <f t="shared" si="148"/>
        <v>2.0742398967808127</v>
      </c>
      <c r="L217">
        <f t="shared" si="159"/>
        <v>3.2653770697867249E-2</v>
      </c>
      <c r="M217" s="2">
        <v>1</v>
      </c>
      <c r="N217" s="2">
        <v>1</v>
      </c>
      <c r="O217" s="2">
        <v>1</v>
      </c>
      <c r="P217" s="4">
        <v>1</v>
      </c>
      <c r="Q217" s="40">
        <v>0.88683592469111916</v>
      </c>
      <c r="R217" s="40">
        <v>0.70967741935483875</v>
      </c>
      <c r="S217" s="40">
        <v>0.66182155657962116</v>
      </c>
      <c r="T217" s="40">
        <v>1.2</v>
      </c>
      <c r="U217" s="40">
        <v>0.40000000000000019</v>
      </c>
      <c r="V217" s="40">
        <v>0.661993769470405</v>
      </c>
      <c r="W217" s="40">
        <v>0.5529197080291971</v>
      </c>
      <c r="X217" s="40">
        <v>0.44324324324324332</v>
      </c>
      <c r="Y217" s="40">
        <v>0.53316949546846959</v>
      </c>
      <c r="Z217" s="40">
        <v>0.51001053740779756</v>
      </c>
      <c r="AA217" s="40">
        <v>0.47460613715444039</v>
      </c>
      <c r="AB217" s="40">
        <v>0.34285714285714286</v>
      </c>
      <c r="AC217" s="40">
        <v>0.23255813953488383</v>
      </c>
      <c r="AD217" s="40">
        <v>0.53507358470297584</v>
      </c>
      <c r="AE217" s="40">
        <v>0.59110086433811859</v>
      </c>
      <c r="AF217" s="40">
        <v>0.51711711711711728</v>
      </c>
      <c r="AG217" s="40">
        <v>0.3</v>
      </c>
      <c r="AH217" s="40">
        <v>0.125</v>
      </c>
      <c r="AI217" s="40">
        <v>0.18</v>
      </c>
      <c r="AJ217" s="40">
        <v>0.35</v>
      </c>
      <c r="AK217" s="40">
        <v>0.65</v>
      </c>
      <c r="AL217" s="40">
        <v>1.4999999999999998</v>
      </c>
      <c r="AM217" s="40">
        <v>0.92592592592592582</v>
      </c>
      <c r="AN217" s="40">
        <v>1</v>
      </c>
      <c r="AO217" s="40">
        <v>1.4</v>
      </c>
      <c r="AP217" s="40">
        <v>1</v>
      </c>
      <c r="AQ217" s="40">
        <f t="shared" si="160"/>
        <v>1.4499999999999997</v>
      </c>
      <c r="AR217" s="40">
        <f t="shared" si="161"/>
        <v>0.92592592592592582</v>
      </c>
      <c r="AS217" s="40">
        <f t="shared" si="162"/>
        <v>1</v>
      </c>
      <c r="AT217" s="40" cm="1">
        <f t="array" ref="AT217">_xlfn.IFS(AG217&gt;sheet2!$C$2,1,AG217=sheet2!$C$2,0,AG217&lt;sheet2!$C$2,-1)</f>
        <v>1</v>
      </c>
      <c r="AU217" s="40" cm="1">
        <f t="array" ref="AU217">_xlfn.IFS(AH217&gt;sheet2!$D$2,1,AH217=sheet2!$D$2,0,AH217&lt;sheet2!$D$2,-1)</f>
        <v>-1</v>
      </c>
      <c r="AV217" s="40" cm="1">
        <f t="array" ref="AV217">_xlfn.IFS(AI217&gt;sheet2!$E$2,1,AI217=sheet2!$E$2,0,AI217&lt;sheet2!$E$2,-1)</f>
        <v>0</v>
      </c>
      <c r="AW217" s="40" cm="1">
        <f t="array" ref="AW217">_xlfn.IFS(AJ217&gt;sheet2!$F$2,1,AJ217=sheet2!$F$2,0,AJ217&lt;sheet2!$F$2,-1)</f>
        <v>1</v>
      </c>
      <c r="AX217" s="40" cm="1">
        <f t="array" ref="AX217">_xlfn.IFS(AK217&gt;sheet2!$G$2,1,AK217=sheet2!$G$2,0,AK217&lt;sheet2!$G$2,-1)</f>
        <v>0</v>
      </c>
      <c r="AY217">
        <v>0.34968559820630829</v>
      </c>
      <c r="AZ217">
        <v>0.55496957403651115</v>
      </c>
      <c r="BA217">
        <v>5.7878930895139341E-3</v>
      </c>
      <c r="BB217">
        <v>6.5939243749894641E-3</v>
      </c>
      <c r="BC217">
        <v>0.2219416075827875</v>
      </c>
    </row>
    <row r="218" spans="1:55" s="40" customFormat="1" ht="14.4" x14ac:dyDescent="0.25">
      <c r="A218" s="35">
        <v>28</v>
      </c>
      <c r="B218" s="35" t="s">
        <v>43</v>
      </c>
      <c r="C218" s="35">
        <v>2016</v>
      </c>
      <c r="D218" s="35">
        <v>4101</v>
      </c>
      <c r="E218" s="36">
        <v>7859.1389316997602</v>
      </c>
      <c r="F218" s="37">
        <v>2572.4899999999998</v>
      </c>
      <c r="G218" s="38">
        <f t="shared" si="145"/>
        <v>1.5941752931984188</v>
      </c>
      <c r="H218" s="35"/>
      <c r="I218" s="39">
        <v>0.34000430707597318</v>
      </c>
      <c r="J218" s="35"/>
      <c r="K218" s="40">
        <f t="shared" si="148"/>
        <v>3.0550707414605154</v>
      </c>
      <c r="M218" s="35">
        <v>0</v>
      </c>
      <c r="N218" s="35">
        <v>0</v>
      </c>
      <c r="O218" s="35">
        <v>0</v>
      </c>
      <c r="P218" s="41">
        <v>1</v>
      </c>
      <c r="Q218" s="40">
        <v>0.79741336951507502</v>
      </c>
      <c r="R218" s="40">
        <v>0.99853372434017595</v>
      </c>
      <c r="S218" s="40">
        <v>0.61287180561374111</v>
      </c>
      <c r="T218" s="40">
        <v>0.6</v>
      </c>
      <c r="U218" s="40">
        <v>0.62999999999999989</v>
      </c>
      <c r="V218" s="40">
        <v>0.83910034602076122</v>
      </c>
      <c r="W218" s="40">
        <v>0.42134831460674149</v>
      </c>
      <c r="X218" s="40">
        <v>0.2608695652173913</v>
      </c>
      <c r="Y218" s="40">
        <v>0.16427876770966046</v>
      </c>
      <c r="Z218" s="40">
        <v>0.71759747102212823</v>
      </c>
      <c r="AA218" s="40">
        <v>0.43950324274185376</v>
      </c>
      <c r="AB218" s="40">
        <v>0.17142857142857143</v>
      </c>
      <c r="AC218" s="40">
        <v>0.36627906976744179</v>
      </c>
      <c r="AD218" s="40">
        <v>0.67822455554229821</v>
      </c>
      <c r="AE218" s="40">
        <v>0.45044397827523769</v>
      </c>
      <c r="AF218" s="40">
        <v>0.30434782608695654</v>
      </c>
      <c r="AG218" s="40">
        <v>0.52200000000000002</v>
      </c>
      <c r="AH218" s="40">
        <v>0.13500000000000001</v>
      </c>
      <c r="AI218" s="40">
        <v>0.18</v>
      </c>
      <c r="AJ218" s="40">
        <v>0.55000000000000004</v>
      </c>
      <c r="AK218" s="40">
        <v>0.65</v>
      </c>
      <c r="AL218" s="40">
        <v>2.61</v>
      </c>
      <c r="AM218" s="40">
        <v>1</v>
      </c>
      <c r="AN218" s="40">
        <v>1</v>
      </c>
      <c r="AO218" s="40">
        <v>2.2000000000000002</v>
      </c>
      <c r="AP218" s="40">
        <v>1</v>
      </c>
      <c r="AQ218" s="40">
        <f t="shared" ref="AQ218:AQ234" si="163">AVERAGE(AL218,AO218)</f>
        <v>2.4050000000000002</v>
      </c>
      <c r="AR218" s="40">
        <f t="shared" ref="AR218:AR234" si="164">AVERAGE(AM218)</f>
        <v>1</v>
      </c>
      <c r="AS218" s="40">
        <f t="shared" ref="AS218:AS234" si="165">AVERAGE(AN218,AP218)</f>
        <v>1</v>
      </c>
      <c r="AT218" s="40" cm="1">
        <f t="array" ref="AT218">_xlfn.IFS(AG218&gt;sheet2!$C$2,1,AG218=sheet2!$C$2,0,AG218&lt;sheet2!$C$2,-1)</f>
        <v>1</v>
      </c>
      <c r="AU218" s="40" cm="1">
        <f t="array" ref="AU218">_xlfn.IFS(AH218&gt;sheet2!$D$2,1,AH218=sheet2!$D$2,0,AH218&lt;sheet2!$D$2,-1)</f>
        <v>0</v>
      </c>
      <c r="AV218" s="40" cm="1">
        <f t="array" ref="AV218">_xlfn.IFS(AI218&gt;sheet2!$E$2,1,AI218=sheet2!$E$2,0,AI218&lt;sheet2!$E$2,-1)</f>
        <v>0</v>
      </c>
      <c r="AW218" s="40" cm="1">
        <f t="array" ref="AW218">_xlfn.IFS(AJ218&gt;sheet2!$F$2,1,AJ218=sheet2!$F$2,0,AJ218&lt;sheet2!$F$2,-1)</f>
        <v>1</v>
      </c>
      <c r="AX218" s="40" cm="1">
        <f t="array" ref="AX218">_xlfn.IFS(AK218&gt;sheet2!$G$2,1,AK218=sheet2!$G$2,0,AK218&lt;sheet2!$G$2,-1)</f>
        <v>0</v>
      </c>
      <c r="AY218" s="40">
        <v>0.33729965908516657</v>
      </c>
      <c r="AZ218" s="40">
        <v>0.53608247422680411</v>
      </c>
      <c r="BA218" s="40">
        <v>8.3543028248165858E-4</v>
      </c>
      <c r="BB218" s="40">
        <v>3.0297493867809011E-3</v>
      </c>
      <c r="BC218" s="40">
        <v>0.15642051416579222</v>
      </c>
    </row>
    <row r="219" spans="1:55" ht="14.4" x14ac:dyDescent="0.25">
      <c r="A219" s="2">
        <v>28</v>
      </c>
      <c r="B219" s="2" t="s">
        <v>43</v>
      </c>
      <c r="C219" s="2">
        <v>2017</v>
      </c>
      <c r="D219" s="2">
        <v>4193</v>
      </c>
      <c r="E219" s="17">
        <v>7988.1559485873595</v>
      </c>
      <c r="F219" s="5">
        <v>2624.83</v>
      </c>
      <c r="G219" s="3">
        <f t="shared" si="145"/>
        <v>1.5974367863823562</v>
      </c>
      <c r="H219" s="2">
        <f t="shared" ref="H219:H225" si="166">(G219-G218)/G218</f>
        <v>2.0458811511209914E-3</v>
      </c>
      <c r="I219" s="14">
        <v>0.38291037445180581</v>
      </c>
      <c r="J219" s="2">
        <f>(I219-I218)/I218</f>
        <v>0.12619271721827152</v>
      </c>
      <c r="K219">
        <f t="shared" si="148"/>
        <v>3.0433041182047447</v>
      </c>
      <c r="L219">
        <f t="shared" ref="L219:L225" si="167">(K219-K218)/K218</f>
        <v>-3.8515059884163369E-3</v>
      </c>
      <c r="M219" s="2">
        <v>0</v>
      </c>
      <c r="N219" s="2">
        <v>0</v>
      </c>
      <c r="O219" s="2">
        <v>0</v>
      </c>
      <c r="P219" s="4">
        <v>1</v>
      </c>
      <c r="Q219" s="40">
        <v>0.79741336951507502</v>
      </c>
      <c r="R219" s="40">
        <v>0.99853372434017595</v>
      </c>
      <c r="S219" s="40">
        <v>0.61287180561374111</v>
      </c>
      <c r="T219" s="40">
        <v>0.6</v>
      </c>
      <c r="U219" s="40">
        <v>0.62999999999999989</v>
      </c>
      <c r="V219" s="40">
        <v>0.83910034602076122</v>
      </c>
      <c r="W219" s="40">
        <v>0.42134831460674149</v>
      </c>
      <c r="X219" s="40">
        <v>0.2608695652173913</v>
      </c>
      <c r="Y219" s="40">
        <v>0.16427876770966046</v>
      </c>
      <c r="Z219" s="40">
        <v>0.71759747102212823</v>
      </c>
      <c r="AA219" s="40">
        <v>0.43950324274185376</v>
      </c>
      <c r="AB219" s="40">
        <v>0.17142857142857143</v>
      </c>
      <c r="AC219" s="40">
        <v>0.36627906976744179</v>
      </c>
      <c r="AD219" s="40">
        <v>0.67822455554229821</v>
      </c>
      <c r="AE219" s="40">
        <v>0.45044397827523769</v>
      </c>
      <c r="AF219" s="40">
        <v>0.30434782608695654</v>
      </c>
      <c r="AG219" s="40">
        <v>0.52200000000000002</v>
      </c>
      <c r="AH219" s="40">
        <v>0.13500000000000001</v>
      </c>
      <c r="AI219" s="40">
        <v>0.18</v>
      </c>
      <c r="AJ219" s="40">
        <v>0.55000000000000004</v>
      </c>
      <c r="AK219" s="40">
        <v>0.65</v>
      </c>
      <c r="AL219" s="40">
        <v>2.61</v>
      </c>
      <c r="AM219" s="40">
        <v>1</v>
      </c>
      <c r="AN219" s="40">
        <v>1</v>
      </c>
      <c r="AO219" s="40">
        <v>2.2000000000000002</v>
      </c>
      <c r="AP219" s="40">
        <v>1</v>
      </c>
      <c r="AQ219" s="40">
        <f t="shared" ref="AQ219:AQ225" si="168">AVERAGE(AL219,AO219)</f>
        <v>2.4050000000000002</v>
      </c>
      <c r="AR219" s="40">
        <f t="shared" ref="AR219:AR225" si="169">AVERAGE(AM219)</f>
        <v>1</v>
      </c>
      <c r="AS219" s="40">
        <f t="shared" ref="AS219:AS225" si="170">AVERAGE(AN219,AP219)</f>
        <v>1</v>
      </c>
      <c r="AT219" s="40" cm="1">
        <f t="array" ref="AT219">_xlfn.IFS(AG219&gt;sheet2!$C$2,1,AG219=sheet2!$C$2,0,AG219&lt;sheet2!$C$2,-1)</f>
        <v>1</v>
      </c>
      <c r="AU219" s="40" cm="1">
        <f t="array" ref="AU219">_xlfn.IFS(AH219&gt;sheet2!$D$2,1,AH219=sheet2!$D$2,0,AH219&lt;sheet2!$D$2,-1)</f>
        <v>0</v>
      </c>
      <c r="AV219" s="40" cm="1">
        <f t="array" ref="AV219">_xlfn.IFS(AI219&gt;sheet2!$E$2,1,AI219=sheet2!$E$2,0,AI219&lt;sheet2!$E$2,-1)</f>
        <v>0</v>
      </c>
      <c r="AW219" s="40" cm="1">
        <f t="array" ref="AW219">_xlfn.IFS(AJ219&gt;sheet2!$F$2,1,AJ219=sheet2!$F$2,0,AJ219&lt;sheet2!$F$2,-1)</f>
        <v>1</v>
      </c>
      <c r="AX219" s="40" cm="1">
        <f t="array" ref="AX219">_xlfn.IFS(AK219&gt;sheet2!$G$2,1,AK219=sheet2!$G$2,0,AK219&lt;sheet2!$G$2,-1)</f>
        <v>0</v>
      </c>
      <c r="AY219">
        <v>0.37171931134587766</v>
      </c>
      <c r="AZ219">
        <v>0.55460750853242324</v>
      </c>
      <c r="BA219">
        <v>8.4117207136469405E-4</v>
      </c>
      <c r="BB219">
        <v>3.1726245128255925E-3</v>
      </c>
      <c r="BC219">
        <v>0.16086876976555761</v>
      </c>
    </row>
    <row r="220" spans="1:55" ht="14.4" x14ac:dyDescent="0.25">
      <c r="A220" s="2">
        <v>28</v>
      </c>
      <c r="B220" s="2" t="s">
        <v>43</v>
      </c>
      <c r="C220" s="2">
        <v>2018</v>
      </c>
      <c r="D220" s="2">
        <v>4364</v>
      </c>
      <c r="E220" s="17">
        <v>8272.1746555665195</v>
      </c>
      <c r="F220" s="5">
        <v>2865.23</v>
      </c>
      <c r="G220" s="3">
        <f t="shared" si="145"/>
        <v>1.5230888968773886</v>
      </c>
      <c r="H220" s="2">
        <f t="shared" si="166"/>
        <v>-4.6541991607279794E-2</v>
      </c>
      <c r="I220" s="14">
        <v>0.36762513999575863</v>
      </c>
      <c r="J220" s="2">
        <f>(I220-I219)/I219</f>
        <v>-3.9918569659885314E-2</v>
      </c>
      <c r="K220">
        <f t="shared" si="148"/>
        <v>2.887089223401444</v>
      </c>
      <c r="L220">
        <f t="shared" si="167"/>
        <v>-5.1330688204586118E-2</v>
      </c>
      <c r="M220" s="2">
        <v>0</v>
      </c>
      <c r="N220" s="2">
        <v>0</v>
      </c>
      <c r="O220" s="2">
        <v>0</v>
      </c>
      <c r="P220" s="4">
        <v>1</v>
      </c>
      <c r="Q220" s="40">
        <v>0.79741336951507502</v>
      </c>
      <c r="R220" s="40">
        <v>0.99853372434017595</v>
      </c>
      <c r="S220" s="40">
        <v>0.61287180561374111</v>
      </c>
      <c r="T220" s="40">
        <v>0.6</v>
      </c>
      <c r="U220" s="40">
        <v>0.62999999999999989</v>
      </c>
      <c r="V220" s="40">
        <v>0.83910034602076122</v>
      </c>
      <c r="W220" s="40">
        <v>0.42134831460674149</v>
      </c>
      <c r="X220" s="40">
        <v>0.2608695652173913</v>
      </c>
      <c r="Y220" s="40">
        <v>0.16427876770966046</v>
      </c>
      <c r="Z220" s="40">
        <v>0.71759747102212823</v>
      </c>
      <c r="AA220" s="40">
        <v>0.43950324274185376</v>
      </c>
      <c r="AB220" s="40">
        <v>0.17142857142857143</v>
      </c>
      <c r="AC220" s="40">
        <v>0.36627906976744179</v>
      </c>
      <c r="AD220" s="40">
        <v>0.67822455554229821</v>
      </c>
      <c r="AE220" s="40">
        <v>0.45044397827523769</v>
      </c>
      <c r="AF220" s="40">
        <v>0.30434782608695654</v>
      </c>
      <c r="AG220" s="40">
        <v>0.52200000000000002</v>
      </c>
      <c r="AH220" s="40">
        <v>0.13500000000000001</v>
      </c>
      <c r="AI220" s="40">
        <v>0.18</v>
      </c>
      <c r="AJ220" s="40">
        <v>0.55000000000000004</v>
      </c>
      <c r="AK220" s="40">
        <v>0.65</v>
      </c>
      <c r="AL220" s="40">
        <v>2.61</v>
      </c>
      <c r="AM220" s="40">
        <v>1</v>
      </c>
      <c r="AN220" s="40">
        <v>1</v>
      </c>
      <c r="AO220" s="40">
        <v>2.2000000000000002</v>
      </c>
      <c r="AP220" s="40">
        <v>1</v>
      </c>
      <c r="AQ220" s="40">
        <f t="shared" si="168"/>
        <v>2.4050000000000002</v>
      </c>
      <c r="AR220" s="40">
        <f t="shared" si="169"/>
        <v>1</v>
      </c>
      <c r="AS220" s="40">
        <f t="shared" si="170"/>
        <v>1</v>
      </c>
      <c r="AT220" s="40" cm="1">
        <f t="array" ref="AT220">_xlfn.IFS(AG220&gt;sheet2!$C$2,1,AG220=sheet2!$C$2,0,AG220&lt;sheet2!$C$2,-1)</f>
        <v>1</v>
      </c>
      <c r="AU220" s="40" cm="1">
        <f t="array" ref="AU220">_xlfn.IFS(AH220&gt;sheet2!$D$2,1,AH220=sheet2!$D$2,0,AH220&lt;sheet2!$D$2,-1)</f>
        <v>0</v>
      </c>
      <c r="AV220" s="40" cm="1">
        <f t="array" ref="AV220">_xlfn.IFS(AI220&gt;sheet2!$E$2,1,AI220=sheet2!$E$2,0,AI220&lt;sheet2!$E$2,-1)</f>
        <v>0</v>
      </c>
      <c r="AW220" s="40" cm="1">
        <f t="array" ref="AW220">_xlfn.IFS(AJ220&gt;sheet2!$F$2,1,AJ220=sheet2!$F$2,0,AJ220&lt;sheet2!$F$2,-1)</f>
        <v>1</v>
      </c>
      <c r="AX220" s="40" cm="1">
        <f t="array" ref="AX220">_xlfn.IFS(AK220&gt;sheet2!$G$2,1,AK220=sheet2!$G$2,0,AK220&lt;sheet2!$G$2,-1)</f>
        <v>0</v>
      </c>
      <c r="AY220">
        <v>0.38171455694656276</v>
      </c>
      <c r="AZ220">
        <v>0.57240204429301533</v>
      </c>
      <c r="BA220">
        <v>8.4260751858545289E-4</v>
      </c>
      <c r="BB220">
        <v>2.3633704798567655E-3</v>
      </c>
      <c r="BC220">
        <v>0.16564588480238915</v>
      </c>
    </row>
    <row r="221" spans="1:55" ht="14.4" x14ac:dyDescent="0.25">
      <c r="A221" s="2">
        <v>28</v>
      </c>
      <c r="B221" s="2" t="s">
        <v>43</v>
      </c>
      <c r="C221" s="2">
        <v>2019</v>
      </c>
      <c r="D221" s="2">
        <v>4235</v>
      </c>
      <c r="E221" s="17">
        <v>8158.8623144820194</v>
      </c>
      <c r="F221" s="5">
        <v>2965.95</v>
      </c>
      <c r="G221" s="3">
        <f t="shared" si="145"/>
        <v>1.4278730255061618</v>
      </c>
      <c r="H221" s="2">
        <f t="shared" si="166"/>
        <v>-6.2514979635421658E-2</v>
      </c>
      <c r="I221" s="14">
        <v>0.38969812773162082</v>
      </c>
      <c r="J221" s="2">
        <f>(I221-I220)/I220</f>
        <v>6.0042106304582038E-2</v>
      </c>
      <c r="K221">
        <f t="shared" si="148"/>
        <v>2.7508428377019234</v>
      </c>
      <c r="L221">
        <f t="shared" si="167"/>
        <v>-4.7191608972514197E-2</v>
      </c>
      <c r="M221" s="2">
        <v>0</v>
      </c>
      <c r="N221" s="2">
        <v>0</v>
      </c>
      <c r="O221" s="2">
        <v>0</v>
      </c>
      <c r="P221" s="4">
        <v>1</v>
      </c>
      <c r="Q221" s="40">
        <v>0.79741336951507502</v>
      </c>
      <c r="R221" s="40">
        <v>0.99853372434017595</v>
      </c>
      <c r="S221" s="40">
        <v>0.61287180561374111</v>
      </c>
      <c r="T221" s="40">
        <v>0.6</v>
      </c>
      <c r="U221" s="40">
        <v>0.62999999999999989</v>
      </c>
      <c r="V221" s="40">
        <v>0.83910034602076122</v>
      </c>
      <c r="W221" s="40">
        <v>0.42134831460674149</v>
      </c>
      <c r="X221" s="40">
        <v>0.2608695652173913</v>
      </c>
      <c r="Y221" s="40">
        <v>0.16427876770966046</v>
      </c>
      <c r="Z221" s="40">
        <v>0.71759747102212823</v>
      </c>
      <c r="AA221" s="40">
        <v>0.43950324274185376</v>
      </c>
      <c r="AB221" s="40">
        <v>0.17142857142857143</v>
      </c>
      <c r="AC221" s="40">
        <v>0.36627906976744179</v>
      </c>
      <c r="AD221" s="40">
        <v>0.67822455554229821</v>
      </c>
      <c r="AE221" s="40">
        <v>0.45044397827523769</v>
      </c>
      <c r="AF221" s="40">
        <v>0.30434782608695654</v>
      </c>
      <c r="AG221" s="40">
        <v>0.52200000000000002</v>
      </c>
      <c r="AH221" s="40">
        <v>0.13500000000000001</v>
      </c>
      <c r="AI221" s="40">
        <v>0.18</v>
      </c>
      <c r="AJ221" s="40">
        <v>0.55000000000000004</v>
      </c>
      <c r="AK221" s="40">
        <v>0.65</v>
      </c>
      <c r="AL221" s="40">
        <v>2.61</v>
      </c>
      <c r="AM221" s="40">
        <v>1</v>
      </c>
      <c r="AN221" s="40">
        <v>1</v>
      </c>
      <c r="AO221" s="40">
        <v>2.2000000000000002</v>
      </c>
      <c r="AP221" s="40">
        <v>1</v>
      </c>
      <c r="AQ221" s="40">
        <f t="shared" si="168"/>
        <v>2.4050000000000002</v>
      </c>
      <c r="AR221" s="40">
        <f t="shared" si="169"/>
        <v>1</v>
      </c>
      <c r="AS221" s="40">
        <f t="shared" si="170"/>
        <v>1</v>
      </c>
      <c r="AT221" s="40" cm="1">
        <f t="array" ref="AT221">_xlfn.IFS(AG221&gt;sheet2!$C$2,1,AG221=sheet2!$C$2,0,AG221&lt;sheet2!$C$2,-1)</f>
        <v>1</v>
      </c>
      <c r="AU221" s="40" cm="1">
        <f t="array" ref="AU221">_xlfn.IFS(AH221&gt;sheet2!$D$2,1,AH221=sheet2!$D$2,0,AH221&lt;sheet2!$D$2,-1)</f>
        <v>0</v>
      </c>
      <c r="AV221" s="40" cm="1">
        <f t="array" ref="AV221">_xlfn.IFS(AI221&gt;sheet2!$E$2,1,AI221=sheet2!$E$2,0,AI221&lt;sheet2!$E$2,-1)</f>
        <v>0</v>
      </c>
      <c r="AW221" s="40" cm="1">
        <f t="array" ref="AW221">_xlfn.IFS(AJ221&gt;sheet2!$F$2,1,AJ221=sheet2!$F$2,0,AJ221&lt;sheet2!$F$2,-1)</f>
        <v>1</v>
      </c>
      <c r="AX221" s="40" cm="1">
        <f t="array" ref="AX221">_xlfn.IFS(AK221&gt;sheet2!$G$2,1,AK221=sheet2!$G$2,0,AK221&lt;sheet2!$G$2,-1)</f>
        <v>0</v>
      </c>
      <c r="AY221">
        <v>0.39515163775518808</v>
      </c>
      <c r="AZ221">
        <v>0.58813559322033904</v>
      </c>
      <c r="BA221">
        <v>8.4691386024772952E-4</v>
      </c>
      <c r="BB221">
        <v>3.1595947335592307E-3</v>
      </c>
      <c r="BC221">
        <v>0.15144848605171515</v>
      </c>
    </row>
    <row r="222" spans="1:55" ht="14.4" x14ac:dyDescent="0.25">
      <c r="A222" s="2">
        <v>28</v>
      </c>
      <c r="B222" s="2" t="s">
        <v>43</v>
      </c>
      <c r="C222" s="2">
        <v>2020</v>
      </c>
      <c r="D222" s="2">
        <v>4150.3599999999997</v>
      </c>
      <c r="E222" s="17">
        <v>8061.7612296520992</v>
      </c>
      <c r="F222" s="5">
        <v>3005.92</v>
      </c>
      <c r="G222" s="3">
        <f t="shared" si="145"/>
        <v>1.3807286953744609</v>
      </c>
      <c r="H222" s="2">
        <f t="shared" si="166"/>
        <v>-3.3017172598375062E-2</v>
      </c>
      <c r="I222" s="14">
        <v>0.39547149234219164</v>
      </c>
      <c r="J222" s="2">
        <f>(I222-I221)/I221</f>
        <v>1.481496625138227E-2</v>
      </c>
      <c r="K222">
        <f t="shared" si="148"/>
        <v>2.6819613395074051</v>
      </c>
      <c r="L222">
        <f t="shared" si="167"/>
        <v>-2.5040143061049042E-2</v>
      </c>
      <c r="M222" s="2">
        <v>0</v>
      </c>
      <c r="N222" s="2">
        <v>0</v>
      </c>
      <c r="O222" s="2">
        <v>0</v>
      </c>
      <c r="P222" s="4">
        <v>1</v>
      </c>
      <c r="Q222" s="40">
        <v>0.79741336951507502</v>
      </c>
      <c r="R222" s="40">
        <v>0.99853372434017595</v>
      </c>
      <c r="S222" s="40">
        <v>0.61287180561374111</v>
      </c>
      <c r="T222" s="40">
        <v>0.6</v>
      </c>
      <c r="U222" s="40">
        <v>0.62999999999999989</v>
      </c>
      <c r="V222" s="40">
        <v>0.83910034602076122</v>
      </c>
      <c r="W222" s="40">
        <v>0.42134831460674149</v>
      </c>
      <c r="X222" s="40">
        <v>0.2608695652173913</v>
      </c>
      <c r="Y222" s="40">
        <v>0.16427876770966046</v>
      </c>
      <c r="Z222" s="40">
        <v>0.71759747102212823</v>
      </c>
      <c r="AA222" s="40">
        <v>0.43950324274185376</v>
      </c>
      <c r="AB222" s="40">
        <v>0.17142857142857143</v>
      </c>
      <c r="AC222" s="40">
        <v>0.36627906976744179</v>
      </c>
      <c r="AD222" s="40">
        <v>0.67822455554229821</v>
      </c>
      <c r="AE222" s="40">
        <v>0.45044397827523769</v>
      </c>
      <c r="AF222" s="40">
        <v>0.30434782608695654</v>
      </c>
      <c r="AG222" s="40">
        <v>0.52200000000000002</v>
      </c>
      <c r="AH222" s="40">
        <v>0.13500000000000001</v>
      </c>
      <c r="AI222" s="40">
        <v>0.18</v>
      </c>
      <c r="AJ222" s="40">
        <v>0.55000000000000004</v>
      </c>
      <c r="AK222" s="40">
        <v>0.65</v>
      </c>
      <c r="AL222" s="40">
        <v>2.61</v>
      </c>
      <c r="AM222" s="40">
        <v>1</v>
      </c>
      <c r="AN222" s="40">
        <v>1</v>
      </c>
      <c r="AO222" s="40">
        <v>2.2000000000000002</v>
      </c>
      <c r="AP222" s="40">
        <v>1</v>
      </c>
      <c r="AQ222" s="40">
        <f t="shared" si="168"/>
        <v>2.4050000000000002</v>
      </c>
      <c r="AR222" s="40">
        <f t="shared" si="169"/>
        <v>1</v>
      </c>
      <c r="AS222" s="40">
        <f t="shared" si="170"/>
        <v>1</v>
      </c>
      <c r="AT222" s="40" cm="1">
        <f t="array" ref="AT222">_xlfn.IFS(AG222&gt;sheet2!$C$2,1,AG222=sheet2!$C$2,0,AG222&lt;sheet2!$C$2,-1)</f>
        <v>1</v>
      </c>
      <c r="AU222" s="40" cm="1">
        <f t="array" ref="AU222">_xlfn.IFS(AH222&gt;sheet2!$D$2,1,AH222=sheet2!$D$2,0,AH222&lt;sheet2!$D$2,-1)</f>
        <v>0</v>
      </c>
      <c r="AV222" s="40" cm="1">
        <f t="array" ref="AV222">_xlfn.IFS(AI222&gt;sheet2!$E$2,1,AI222=sheet2!$E$2,0,AI222&lt;sheet2!$E$2,-1)</f>
        <v>0</v>
      </c>
      <c r="AW222" s="40" cm="1">
        <f t="array" ref="AW222">_xlfn.IFS(AJ222&gt;sheet2!$F$2,1,AJ222=sheet2!$F$2,0,AJ222&lt;sheet2!$F$2,-1)</f>
        <v>1</v>
      </c>
      <c r="AX222" s="40" cm="1">
        <f t="array" ref="AX222">_xlfn.IFS(AK222&gt;sheet2!$G$2,1,AK222=sheet2!$G$2,0,AK222&lt;sheet2!$G$2,-1)</f>
        <v>0</v>
      </c>
      <c r="AY222">
        <v>0.38507345504870388</v>
      </c>
      <c r="AZ222">
        <v>0.6003372681281619</v>
      </c>
      <c r="BA222">
        <v>8.5122020191000605E-4</v>
      </c>
      <c r="BB222">
        <v>3.4498256773300689E-3</v>
      </c>
      <c r="BC222">
        <v>0.15417209908735333</v>
      </c>
    </row>
    <row r="223" spans="1:55" ht="14.4" x14ac:dyDescent="0.25">
      <c r="A223" s="2">
        <v>28</v>
      </c>
      <c r="B223" s="2" t="s">
        <v>43</v>
      </c>
      <c r="C223" s="2">
        <v>2021</v>
      </c>
      <c r="D223" s="2">
        <v>4694.47</v>
      </c>
      <c r="E223" s="17">
        <v>8455.0523400267302</v>
      </c>
      <c r="F223" s="30">
        <v>3346.6341000000002</v>
      </c>
      <c r="G223" s="3">
        <f t="shared" si="145"/>
        <v>1.4027437298866943</v>
      </c>
      <c r="H223" s="2">
        <f t="shared" si="166"/>
        <v>1.5944504221564553E-2</v>
      </c>
      <c r="I223" s="14">
        <v>0.42087962143312468</v>
      </c>
      <c r="J223" s="2">
        <f>(I223-I222)/I222</f>
        <v>6.4247688096182712E-2</v>
      </c>
      <c r="K223">
        <f t="shared" si="148"/>
        <v>2.5264346466877661</v>
      </c>
      <c r="L223">
        <f t="shared" si="167"/>
        <v>-5.7989908552598515E-2</v>
      </c>
      <c r="M223" s="2">
        <v>0</v>
      </c>
      <c r="N223" s="2">
        <v>0</v>
      </c>
      <c r="O223" s="2">
        <v>0</v>
      </c>
      <c r="P223" s="4">
        <v>1</v>
      </c>
      <c r="Q223" s="40">
        <v>0.79741336951507502</v>
      </c>
      <c r="R223" s="40">
        <v>0.99853372434017595</v>
      </c>
      <c r="S223" s="40">
        <v>0.61287180561374111</v>
      </c>
      <c r="T223" s="40">
        <v>0.6</v>
      </c>
      <c r="U223" s="40">
        <v>0.62999999999999989</v>
      </c>
      <c r="V223" s="40">
        <v>0.83910034602076122</v>
      </c>
      <c r="W223" s="40">
        <v>0.42134831460674149</v>
      </c>
      <c r="X223" s="40">
        <v>0.2608695652173913</v>
      </c>
      <c r="Y223" s="40">
        <v>0.16427876770966046</v>
      </c>
      <c r="Z223" s="40">
        <v>0.71759747102212823</v>
      </c>
      <c r="AA223" s="40">
        <v>0.43950324274185376</v>
      </c>
      <c r="AB223" s="40">
        <v>0.17142857142857143</v>
      </c>
      <c r="AC223" s="40">
        <v>0.36627906976744179</v>
      </c>
      <c r="AD223" s="40">
        <v>0.67822455554229821</v>
      </c>
      <c r="AE223" s="40">
        <v>0.45044397827523769</v>
      </c>
      <c r="AF223" s="40">
        <v>0.30434782608695654</v>
      </c>
      <c r="AG223" s="40">
        <v>0.52200000000000002</v>
      </c>
      <c r="AH223" s="40">
        <v>0.13500000000000001</v>
      </c>
      <c r="AI223" s="40">
        <v>0.18</v>
      </c>
      <c r="AJ223" s="40">
        <v>0.55000000000000004</v>
      </c>
      <c r="AK223" s="40">
        <v>0.65</v>
      </c>
      <c r="AL223" s="40">
        <v>2.61</v>
      </c>
      <c r="AM223" s="40">
        <v>1</v>
      </c>
      <c r="AN223" s="40">
        <v>1</v>
      </c>
      <c r="AO223" s="40">
        <v>2.2000000000000002</v>
      </c>
      <c r="AP223" s="40">
        <v>1</v>
      </c>
      <c r="AQ223" s="40">
        <f t="shared" si="168"/>
        <v>2.4050000000000002</v>
      </c>
      <c r="AR223" s="40">
        <f t="shared" si="169"/>
        <v>1</v>
      </c>
      <c r="AS223" s="40">
        <f t="shared" si="170"/>
        <v>1</v>
      </c>
      <c r="AT223" s="40" cm="1">
        <f t="array" ref="AT223">_xlfn.IFS(AG223&gt;sheet2!$C$2,1,AG223=sheet2!$C$2,0,AG223&lt;sheet2!$C$2,-1)</f>
        <v>1</v>
      </c>
      <c r="AU223" s="40" cm="1">
        <f t="array" ref="AU223">_xlfn.IFS(AH223&gt;sheet2!$D$2,1,AH223=sheet2!$D$2,0,AH223&lt;sheet2!$D$2,-1)</f>
        <v>0</v>
      </c>
      <c r="AV223" s="40" cm="1">
        <f t="array" ref="AV223">_xlfn.IFS(AI223&gt;sheet2!$E$2,1,AI223=sheet2!$E$2,0,AI223&lt;sheet2!$E$2,-1)</f>
        <v>0</v>
      </c>
      <c r="AW223" s="40" cm="1">
        <f t="array" ref="AW223">_xlfn.IFS(AJ223&gt;sheet2!$F$2,1,AJ223=sheet2!$F$2,0,AJ223&lt;sheet2!$F$2,-1)</f>
        <v>1</v>
      </c>
      <c r="AX223" s="40" cm="1">
        <f t="array" ref="AX223">_xlfn.IFS(AK223&gt;sheet2!$G$2,1,AK223=sheet2!$G$2,0,AK223&lt;sheet2!$G$2,-1)</f>
        <v>0</v>
      </c>
      <c r="AY223">
        <v>0.41525304484287662</v>
      </c>
      <c r="AZ223">
        <v>0.60942760942760943</v>
      </c>
      <c r="BA223">
        <v>8.5265564913076489E-4</v>
      </c>
      <c r="BB223">
        <v>4.1381279178384035E-3</v>
      </c>
      <c r="BC223">
        <v>0.17727498220563812</v>
      </c>
    </row>
    <row r="224" spans="1:55" ht="14.4" x14ac:dyDescent="0.25">
      <c r="A224" s="2">
        <v>28</v>
      </c>
      <c r="B224" s="2" t="s">
        <v>43</v>
      </c>
      <c r="C224" s="2">
        <v>2022</v>
      </c>
      <c r="D224" s="2">
        <v>4798.04</v>
      </c>
      <c r="E224" s="17">
        <v>8511.88199821337</v>
      </c>
      <c r="F224" s="30">
        <v>3610.1</v>
      </c>
      <c r="G224" s="3">
        <f t="shared" si="145"/>
        <v>1.3290601368383148</v>
      </c>
      <c r="H224" s="2">
        <f t="shared" si="166"/>
        <v>-5.2528192768561653E-2</v>
      </c>
      <c r="K224">
        <f t="shared" si="148"/>
        <v>2.3577967364375976</v>
      </c>
      <c r="L224">
        <f t="shared" si="167"/>
        <v>-6.6749365740078809E-2</v>
      </c>
      <c r="M224" s="2">
        <v>1</v>
      </c>
      <c r="N224" s="2">
        <v>1</v>
      </c>
      <c r="O224" s="2">
        <v>0</v>
      </c>
      <c r="P224" s="4">
        <v>1</v>
      </c>
      <c r="Q224" s="40">
        <v>0.79741336951507502</v>
      </c>
      <c r="R224" s="40">
        <v>0.99853372434017595</v>
      </c>
      <c r="S224" s="40">
        <v>0.61287180561374111</v>
      </c>
      <c r="T224" s="40">
        <v>0.6</v>
      </c>
      <c r="U224" s="40">
        <v>0.62999999999999989</v>
      </c>
      <c r="V224" s="40">
        <v>0.83910034602076122</v>
      </c>
      <c r="W224" s="40">
        <v>0.42134831460674149</v>
      </c>
      <c r="X224" s="40">
        <v>0.2608695652173913</v>
      </c>
      <c r="Y224" s="40">
        <v>0.16427876770966046</v>
      </c>
      <c r="Z224" s="40">
        <v>0.71759747102212823</v>
      </c>
      <c r="AA224" s="40">
        <v>0.43950324274185376</v>
      </c>
      <c r="AB224" s="40">
        <v>0.17142857142857143</v>
      </c>
      <c r="AC224" s="40">
        <v>0.36627906976744179</v>
      </c>
      <c r="AD224" s="40">
        <v>0.67822455554229821</v>
      </c>
      <c r="AE224" s="40">
        <v>0.45044397827523769</v>
      </c>
      <c r="AF224" s="40">
        <v>0.30434782608695654</v>
      </c>
      <c r="AG224" s="40">
        <v>0.52200000000000002</v>
      </c>
      <c r="AH224" s="40">
        <v>0.13500000000000001</v>
      </c>
      <c r="AI224" s="40">
        <v>0.18</v>
      </c>
      <c r="AJ224" s="40">
        <v>0.55000000000000004</v>
      </c>
      <c r="AK224" s="40">
        <v>0.65</v>
      </c>
      <c r="AL224" s="40">
        <v>2.61</v>
      </c>
      <c r="AM224" s="40">
        <v>1</v>
      </c>
      <c r="AN224" s="40">
        <v>1</v>
      </c>
      <c r="AO224" s="40">
        <v>2.2000000000000002</v>
      </c>
      <c r="AP224" s="40">
        <v>1</v>
      </c>
      <c r="AQ224" s="40">
        <f t="shared" si="168"/>
        <v>2.4050000000000002</v>
      </c>
      <c r="AR224" s="40">
        <f t="shared" si="169"/>
        <v>1</v>
      </c>
      <c r="AS224" s="40">
        <f t="shared" si="170"/>
        <v>1</v>
      </c>
      <c r="AT224" s="40" cm="1">
        <f t="array" ref="AT224">_xlfn.IFS(AG224&gt;sheet2!$C$2,1,AG224=sheet2!$C$2,0,AG224&lt;sheet2!$C$2,-1)</f>
        <v>1</v>
      </c>
      <c r="AU224" s="40" cm="1">
        <f t="array" ref="AU224">_xlfn.IFS(AH224&gt;sheet2!$D$2,1,AH224=sheet2!$D$2,0,AH224&lt;sheet2!$D$2,-1)</f>
        <v>0</v>
      </c>
      <c r="AV224" s="40" cm="1">
        <f t="array" ref="AV224">_xlfn.IFS(AI224&gt;sheet2!$E$2,1,AI224=sheet2!$E$2,0,AI224&lt;sheet2!$E$2,-1)</f>
        <v>0</v>
      </c>
      <c r="AW224" s="40" cm="1">
        <f t="array" ref="AW224">_xlfn.IFS(AJ224&gt;sheet2!$F$2,1,AJ224=sheet2!$F$2,0,AJ224&lt;sheet2!$F$2,-1)</f>
        <v>1</v>
      </c>
      <c r="AX224" s="40" cm="1">
        <f t="array" ref="AX224">_xlfn.IFS(AK224&gt;sheet2!$G$2,1,AK224=sheet2!$G$2,0,AK224&lt;sheet2!$G$2,-1)</f>
        <v>0</v>
      </c>
      <c r="AY224">
        <v>0.44838093127614198</v>
      </c>
      <c r="AZ224">
        <v>0.6151260504201681</v>
      </c>
      <c r="BA224">
        <v>8.5409109635152384E-4</v>
      </c>
      <c r="BB224">
        <v>4.133237306445805E-3</v>
      </c>
      <c r="BC224">
        <v>0.16662447471014127</v>
      </c>
    </row>
    <row r="225" spans="1:55" ht="14.4" x14ac:dyDescent="0.25">
      <c r="A225" s="2">
        <v>28</v>
      </c>
      <c r="B225" s="6" t="s">
        <v>44</v>
      </c>
      <c r="C225" s="2">
        <v>2023</v>
      </c>
      <c r="D225" s="2">
        <v>5035.1000000000004</v>
      </c>
      <c r="E225" s="17">
        <v>9276.2593033281501</v>
      </c>
      <c r="F225" s="30">
        <v>3799.1</v>
      </c>
      <c r="G225" s="3">
        <f t="shared" si="145"/>
        <v>1.3253402121555107</v>
      </c>
      <c r="H225" s="2">
        <f t="shared" si="166"/>
        <v>-2.7989137434017218E-3</v>
      </c>
      <c r="I225" s="14">
        <v>0.34215391173497323</v>
      </c>
      <c r="K225">
        <f t="shared" si="148"/>
        <v>2.4416991664678873</v>
      </c>
      <c r="L225">
        <f t="shared" si="167"/>
        <v>3.5585098890694958E-2</v>
      </c>
      <c r="M225" s="2">
        <v>1</v>
      </c>
      <c r="N225" s="2">
        <v>1</v>
      </c>
      <c r="O225" s="2">
        <v>1</v>
      </c>
      <c r="P225" s="4">
        <v>1</v>
      </c>
      <c r="Q225" s="40">
        <v>0.79741336951507502</v>
      </c>
      <c r="R225" s="40">
        <v>0.99853372434017595</v>
      </c>
      <c r="S225" s="40">
        <v>0.61287180561374111</v>
      </c>
      <c r="T225" s="40">
        <v>0.6</v>
      </c>
      <c r="U225" s="40">
        <v>0.62999999999999989</v>
      </c>
      <c r="V225" s="40">
        <v>0.83910034602076122</v>
      </c>
      <c r="W225" s="40">
        <v>0.42134831460674149</v>
      </c>
      <c r="X225" s="40">
        <v>0.2608695652173913</v>
      </c>
      <c r="Y225" s="40">
        <v>0.16427876770966046</v>
      </c>
      <c r="Z225" s="40">
        <v>0.71759747102212823</v>
      </c>
      <c r="AA225" s="40">
        <v>0.43950324274185376</v>
      </c>
      <c r="AB225" s="40">
        <v>0.17142857142857143</v>
      </c>
      <c r="AC225" s="40">
        <v>0.36627906976744179</v>
      </c>
      <c r="AD225" s="40">
        <v>0.67822455554229821</v>
      </c>
      <c r="AE225" s="40">
        <v>0.45044397827523769</v>
      </c>
      <c r="AF225" s="40">
        <v>0.30434782608695654</v>
      </c>
      <c r="AG225" s="40">
        <v>0.52200000000000002</v>
      </c>
      <c r="AH225" s="40">
        <v>0.13500000000000001</v>
      </c>
      <c r="AI225" s="40">
        <v>0.18</v>
      </c>
      <c r="AJ225" s="40">
        <v>0.55000000000000004</v>
      </c>
      <c r="AK225" s="40">
        <v>0.65</v>
      </c>
      <c r="AL225" s="40">
        <v>2.61</v>
      </c>
      <c r="AM225" s="40">
        <v>1</v>
      </c>
      <c r="AN225" s="40">
        <v>1</v>
      </c>
      <c r="AO225" s="40">
        <v>2.2000000000000002</v>
      </c>
      <c r="AP225" s="40">
        <v>1</v>
      </c>
      <c r="AQ225" s="40">
        <f t="shared" si="168"/>
        <v>2.4050000000000002</v>
      </c>
      <c r="AR225" s="40">
        <f t="shared" si="169"/>
        <v>1</v>
      </c>
      <c r="AS225" s="40">
        <f t="shared" si="170"/>
        <v>1</v>
      </c>
      <c r="AT225" s="40" cm="1">
        <f t="array" ref="AT225">_xlfn.IFS(AG225&gt;sheet2!$C$2,1,AG225=sheet2!$C$2,0,AG225&lt;sheet2!$C$2,-1)</f>
        <v>1</v>
      </c>
      <c r="AU225" s="40" cm="1">
        <f t="array" ref="AU225">_xlfn.IFS(AH225&gt;sheet2!$D$2,1,AH225=sheet2!$D$2,0,AH225&lt;sheet2!$D$2,-1)</f>
        <v>0</v>
      </c>
      <c r="AV225" s="40" cm="1">
        <f t="array" ref="AV225">_xlfn.IFS(AI225&gt;sheet2!$E$2,1,AI225=sheet2!$E$2,0,AI225&lt;sheet2!$E$2,-1)</f>
        <v>0</v>
      </c>
      <c r="AW225" s="40" cm="1">
        <f t="array" ref="AW225">_xlfn.IFS(AJ225&gt;sheet2!$F$2,1,AJ225=sheet2!$F$2,0,AJ225&lt;sheet2!$F$2,-1)</f>
        <v>1</v>
      </c>
      <c r="AX225" s="40" cm="1">
        <f t="array" ref="AX225">_xlfn.IFS(AK225&gt;sheet2!$G$2,1,AK225=sheet2!$G$2,0,AK225&lt;sheet2!$G$2,-1)</f>
        <v>0</v>
      </c>
      <c r="AY225">
        <v>0.43075991682240533</v>
      </c>
      <c r="AZ225">
        <v>0.62794612794612792</v>
      </c>
      <c r="BA225">
        <v>8.5265564913076489E-4</v>
      </c>
      <c r="BB225">
        <v>3.9963675607380695E-3</v>
      </c>
      <c r="BC225">
        <v>0.17422968675755693</v>
      </c>
    </row>
    <row r="226" spans="1:55" s="40" customFormat="1" ht="14.4" x14ac:dyDescent="0.25">
      <c r="A226" s="35">
        <v>29</v>
      </c>
      <c r="B226" s="35" t="s">
        <v>45</v>
      </c>
      <c r="C226" s="35">
        <v>2016</v>
      </c>
      <c r="D226" s="35">
        <v>5591</v>
      </c>
      <c r="E226" s="36">
        <v>12232.223719247701</v>
      </c>
      <c r="F226" s="37">
        <v>3168.59</v>
      </c>
      <c r="G226" s="38">
        <f t="shared" si="145"/>
        <v>1.7645072413912812</v>
      </c>
      <c r="H226" s="35"/>
      <c r="I226" s="39">
        <v>0.36182529315831341</v>
      </c>
      <c r="J226" s="35"/>
      <c r="K226" s="40">
        <f t="shared" si="148"/>
        <v>3.8604627671133533</v>
      </c>
      <c r="M226" s="35">
        <v>0</v>
      </c>
      <c r="N226" s="35">
        <v>0</v>
      </c>
      <c r="O226" s="35">
        <v>0</v>
      </c>
      <c r="P226" s="41">
        <v>1</v>
      </c>
      <c r="Q226" s="40">
        <v>0.84429188251844944</v>
      </c>
      <c r="R226" s="40">
        <v>0.54985337243401755</v>
      </c>
      <c r="S226" s="40">
        <v>0.35931957827119121</v>
      </c>
      <c r="T226" s="40">
        <v>0.4</v>
      </c>
      <c r="U226" s="40">
        <v>0.98000000000000009</v>
      </c>
      <c r="V226" s="40">
        <v>0.34294871794871801</v>
      </c>
      <c r="W226" s="40">
        <v>0.23605150214592269</v>
      </c>
      <c r="X226" s="40">
        <v>8.0357142857142863E-2</v>
      </c>
      <c r="Y226" s="40">
        <v>0.35766452753301997</v>
      </c>
      <c r="Z226" s="40">
        <v>0.39515279241306622</v>
      </c>
      <c r="AA226" s="40">
        <v>0.25767561565779284</v>
      </c>
      <c r="AB226" s="40">
        <v>0.1142857142857143</v>
      </c>
      <c r="AC226" s="40">
        <v>0.56976744186046513</v>
      </c>
      <c r="AD226" s="40">
        <v>0.27719717064544663</v>
      </c>
      <c r="AE226" s="40">
        <v>0.25235173375190711</v>
      </c>
      <c r="AF226" s="40">
        <v>9.3750000000000014E-2</v>
      </c>
      <c r="AG226" s="40">
        <v>0.2</v>
      </c>
      <c r="AH226" s="40">
        <v>0.13500000000000001</v>
      </c>
      <c r="AI226" s="40">
        <v>0.18</v>
      </c>
      <c r="AJ226" s="40">
        <v>0.3</v>
      </c>
      <c r="AK226" s="40">
        <v>0.65</v>
      </c>
      <c r="AL226" s="40">
        <v>1</v>
      </c>
      <c r="AM226" s="40">
        <v>1</v>
      </c>
      <c r="AN226" s="40">
        <v>1</v>
      </c>
      <c r="AO226" s="40">
        <v>1.2</v>
      </c>
      <c r="AP226" s="40">
        <v>1</v>
      </c>
      <c r="AQ226" s="40">
        <f t="shared" si="163"/>
        <v>1.1000000000000001</v>
      </c>
      <c r="AR226" s="40">
        <f t="shared" si="164"/>
        <v>1</v>
      </c>
      <c r="AS226" s="40">
        <f t="shared" si="165"/>
        <v>1</v>
      </c>
      <c r="AT226" s="40" cm="1">
        <f t="array" ref="AT226">_xlfn.IFS(AG226&gt;sheet2!$C$2,1,AG226=sheet2!$C$2,0,AG226&lt;sheet2!$C$2,-1)</f>
        <v>0</v>
      </c>
      <c r="AU226" s="40" cm="1">
        <f t="array" ref="AU226">_xlfn.IFS(AH226&gt;sheet2!$D$2,1,AH226=sheet2!$D$2,0,AH226&lt;sheet2!$D$2,-1)</f>
        <v>0</v>
      </c>
      <c r="AV226" s="40" cm="1">
        <f t="array" ref="AV226">_xlfn.IFS(AI226&gt;sheet2!$E$2,1,AI226=sheet2!$E$2,0,AI226&lt;sheet2!$E$2,-1)</f>
        <v>0</v>
      </c>
      <c r="AW226" s="40" cm="1">
        <f t="array" ref="AW226">_xlfn.IFS(AJ226&gt;sheet2!$F$2,1,AJ226=sheet2!$F$2,0,AJ226&lt;sheet2!$F$2,-1)</f>
        <v>1</v>
      </c>
      <c r="AX226" s="40" cm="1">
        <f t="array" ref="AX226">_xlfn.IFS(AK226&gt;sheet2!$G$2,1,AK226=sheet2!$G$2,0,AK226&lt;sheet2!$G$2,-1)</f>
        <v>0</v>
      </c>
      <c r="AY226" s="40">
        <v>0.37231071233577079</v>
      </c>
      <c r="AZ226" s="40">
        <v>0.58705035971223019</v>
      </c>
      <c r="BA226" s="40">
        <v>1.3392943171526025E-2</v>
      </c>
      <c r="BB226" s="40">
        <v>7.5624804723867711E-3</v>
      </c>
      <c r="BC226" s="40">
        <v>0.30900569132909278</v>
      </c>
    </row>
    <row r="227" spans="1:55" ht="14.4" x14ac:dyDescent="0.25">
      <c r="A227" s="2">
        <v>29</v>
      </c>
      <c r="B227" s="2" t="s">
        <v>45</v>
      </c>
      <c r="C227" s="2">
        <v>2017</v>
      </c>
      <c r="D227" s="2">
        <v>6461</v>
      </c>
      <c r="E227" s="17">
        <v>14242.714808106199</v>
      </c>
      <c r="F227" s="5">
        <v>3443.56</v>
      </c>
      <c r="G227" s="3">
        <f t="shared" si="145"/>
        <v>1.8762559676613737</v>
      </c>
      <c r="H227" s="2">
        <f t="shared" ref="H227:H233" si="171">(G227-G226)/G226</f>
        <v>6.3331407006287296E-2</v>
      </c>
      <c r="I227" s="14">
        <v>0.35143440521582681</v>
      </c>
      <c r="J227" s="2">
        <f t="shared" ref="J227:J232" si="172">(I227-I226)/I226</f>
        <v>-2.8717970078283511E-2</v>
      </c>
      <c r="K227">
        <f t="shared" si="148"/>
        <v>4.1360437477802616</v>
      </c>
      <c r="L227">
        <f t="shared" ref="L227:L233" si="173">(K227-K226)/K226</f>
        <v>7.1385478190474277E-2</v>
      </c>
      <c r="M227" s="2">
        <v>0</v>
      </c>
      <c r="N227" s="2">
        <v>0</v>
      </c>
      <c r="O227" s="2">
        <v>0</v>
      </c>
      <c r="P227" s="4">
        <v>1</v>
      </c>
      <c r="Q227" s="40">
        <v>0.84429188251844944</v>
      </c>
      <c r="R227" s="40">
        <v>0.54985337243401755</v>
      </c>
      <c r="S227" s="40">
        <v>0.35931957827119121</v>
      </c>
      <c r="T227" s="40">
        <v>0.4</v>
      </c>
      <c r="U227" s="40">
        <v>0.98000000000000009</v>
      </c>
      <c r="V227" s="40">
        <v>0.34294871794871801</v>
      </c>
      <c r="W227" s="40">
        <v>0.23605150214592269</v>
      </c>
      <c r="X227" s="40">
        <v>8.0357142857142863E-2</v>
      </c>
      <c r="Y227" s="40">
        <v>0.35766452753301997</v>
      </c>
      <c r="Z227" s="40">
        <v>0.39515279241306622</v>
      </c>
      <c r="AA227" s="40">
        <v>0.25767561565779284</v>
      </c>
      <c r="AB227" s="40">
        <v>0.1142857142857143</v>
      </c>
      <c r="AC227" s="40">
        <v>0.56976744186046513</v>
      </c>
      <c r="AD227" s="40">
        <v>0.27719717064544663</v>
      </c>
      <c r="AE227" s="40">
        <v>0.25235173375190711</v>
      </c>
      <c r="AF227" s="40">
        <v>9.3750000000000014E-2</v>
      </c>
      <c r="AG227" s="40">
        <v>0.2</v>
      </c>
      <c r="AH227" s="40">
        <v>0.13500000000000001</v>
      </c>
      <c r="AI227" s="40">
        <v>0.18</v>
      </c>
      <c r="AJ227" s="40">
        <v>0.3</v>
      </c>
      <c r="AK227" s="40">
        <v>0.65</v>
      </c>
      <c r="AL227" s="40">
        <v>1</v>
      </c>
      <c r="AM227" s="40">
        <v>1</v>
      </c>
      <c r="AN227" s="40">
        <v>1</v>
      </c>
      <c r="AO227" s="40">
        <v>1.2</v>
      </c>
      <c r="AP227" s="40">
        <v>1</v>
      </c>
      <c r="AQ227" s="40">
        <f t="shared" ref="AQ227:AQ233" si="174">AVERAGE(AL227,AO227)</f>
        <v>1.1000000000000001</v>
      </c>
      <c r="AR227" s="40">
        <f t="shared" ref="AR227:AR233" si="175">AVERAGE(AM227)</f>
        <v>1</v>
      </c>
      <c r="AS227" s="40">
        <f t="shared" ref="AS227:AS233" si="176">AVERAGE(AN227,AP227)</f>
        <v>1</v>
      </c>
      <c r="AT227" s="40" cm="1">
        <f t="array" ref="AT227">_xlfn.IFS(AG227&gt;sheet2!$C$2,1,AG227=sheet2!$C$2,0,AG227&lt;sheet2!$C$2,-1)</f>
        <v>0</v>
      </c>
      <c r="AU227" s="40" cm="1">
        <f t="array" ref="AU227">_xlfn.IFS(AH227&gt;sheet2!$D$2,1,AH227=sheet2!$D$2,0,AH227&lt;sheet2!$D$2,-1)</f>
        <v>0</v>
      </c>
      <c r="AV227" s="40" cm="1">
        <f t="array" ref="AV227">_xlfn.IFS(AI227&gt;sheet2!$E$2,1,AI227=sheet2!$E$2,0,AI227&lt;sheet2!$E$2,-1)</f>
        <v>0</v>
      </c>
      <c r="AW227" s="40" cm="1">
        <f t="array" ref="AW227">_xlfn.IFS(AJ227&gt;sheet2!$F$2,1,AJ227=sheet2!$F$2,0,AJ227&lt;sheet2!$F$2,-1)</f>
        <v>1</v>
      </c>
      <c r="AX227" s="40" cm="1">
        <f t="array" ref="AX227">_xlfn.IFS(AK227&gt;sheet2!$G$2,1,AK227=sheet2!$G$2,0,AK227&lt;sheet2!$G$2,-1)</f>
        <v>0</v>
      </c>
      <c r="AY227">
        <v>0.40829838887662767</v>
      </c>
      <c r="AZ227">
        <v>0.60992907801418439</v>
      </c>
      <c r="BA227">
        <v>1.3585647389821364E-2</v>
      </c>
      <c r="BB227">
        <v>8.4534899929143096E-3</v>
      </c>
      <c r="BC227">
        <v>0.3041929515290141</v>
      </c>
    </row>
    <row r="228" spans="1:55" ht="14.4" x14ac:dyDescent="0.25">
      <c r="A228" s="2">
        <v>29</v>
      </c>
      <c r="B228" s="2" t="s">
        <v>45</v>
      </c>
      <c r="C228" s="2">
        <v>2018</v>
      </c>
      <c r="D228" s="2">
        <v>7100</v>
      </c>
      <c r="E228" s="17">
        <v>15491.2319731444</v>
      </c>
      <c r="F228" s="5">
        <v>3705.18</v>
      </c>
      <c r="G228" s="3">
        <f t="shared" si="145"/>
        <v>1.9162361882553616</v>
      </c>
      <c r="H228" s="2">
        <f t="shared" si="171"/>
        <v>2.1308510823190352E-2</v>
      </c>
      <c r="I228" s="14">
        <v>0.34591233878018951</v>
      </c>
      <c r="J228" s="2">
        <f t="shared" si="172"/>
        <v>-1.5712936336571896E-2</v>
      </c>
      <c r="K228">
        <f t="shared" si="148"/>
        <v>4.1809660996616635</v>
      </c>
      <c r="L228">
        <f t="shared" si="173"/>
        <v>1.0861188764144703E-2</v>
      </c>
      <c r="M228" s="2">
        <v>0</v>
      </c>
      <c r="N228" s="2">
        <v>0</v>
      </c>
      <c r="O228" s="2">
        <v>0</v>
      </c>
      <c r="P228" s="4">
        <v>1</v>
      </c>
      <c r="Q228" s="40">
        <v>0.84429188251844944</v>
      </c>
      <c r="R228" s="40">
        <v>0.54985337243401755</v>
      </c>
      <c r="S228" s="40">
        <v>0.35931957827119121</v>
      </c>
      <c r="T228" s="40">
        <v>0.4</v>
      </c>
      <c r="U228" s="40">
        <v>0.98000000000000009</v>
      </c>
      <c r="V228" s="40">
        <v>0.34294871794871801</v>
      </c>
      <c r="W228" s="40">
        <v>0.23605150214592269</v>
      </c>
      <c r="X228" s="40">
        <v>8.0357142857142863E-2</v>
      </c>
      <c r="Y228" s="40">
        <v>0.35766452753301997</v>
      </c>
      <c r="Z228" s="40">
        <v>0.39515279241306622</v>
      </c>
      <c r="AA228" s="40">
        <v>0.25767561565779284</v>
      </c>
      <c r="AB228" s="40">
        <v>0.1142857142857143</v>
      </c>
      <c r="AC228" s="40">
        <v>0.56976744186046513</v>
      </c>
      <c r="AD228" s="40">
        <v>0.27719717064544663</v>
      </c>
      <c r="AE228" s="40">
        <v>0.25235173375190711</v>
      </c>
      <c r="AF228" s="40">
        <v>9.3750000000000014E-2</v>
      </c>
      <c r="AG228" s="40">
        <v>0.2</v>
      </c>
      <c r="AH228" s="40">
        <v>0.13500000000000001</v>
      </c>
      <c r="AI228" s="40">
        <v>0.18</v>
      </c>
      <c r="AJ228" s="40">
        <v>0.3</v>
      </c>
      <c r="AK228" s="40">
        <v>0.65</v>
      </c>
      <c r="AL228" s="40">
        <v>1</v>
      </c>
      <c r="AM228" s="40">
        <v>1</v>
      </c>
      <c r="AN228" s="40">
        <v>1</v>
      </c>
      <c r="AO228" s="40">
        <v>1.2</v>
      </c>
      <c r="AP228" s="40">
        <v>1</v>
      </c>
      <c r="AQ228" s="40">
        <f t="shared" si="174"/>
        <v>1.1000000000000001</v>
      </c>
      <c r="AR228" s="40">
        <f t="shared" si="175"/>
        <v>1</v>
      </c>
      <c r="AS228" s="40">
        <f t="shared" si="176"/>
        <v>1</v>
      </c>
      <c r="AT228" s="40" cm="1">
        <f t="array" ref="AT228">_xlfn.IFS(AG228&gt;sheet2!$C$2,1,AG228=sheet2!$C$2,0,AG228&lt;sheet2!$C$2,-1)</f>
        <v>0</v>
      </c>
      <c r="AU228" s="40" cm="1">
        <f t="array" ref="AU228">_xlfn.IFS(AH228&gt;sheet2!$D$2,1,AH228=sheet2!$D$2,0,AH228&lt;sheet2!$D$2,-1)</f>
        <v>0</v>
      </c>
      <c r="AV228" s="40" cm="1">
        <f t="array" ref="AV228">_xlfn.IFS(AI228&gt;sheet2!$E$2,1,AI228=sheet2!$E$2,0,AI228&lt;sheet2!$E$2,-1)</f>
        <v>0</v>
      </c>
      <c r="AW228" s="40" cm="1">
        <f t="array" ref="AW228">_xlfn.IFS(AJ228&gt;sheet2!$F$2,1,AJ228=sheet2!$F$2,0,AJ228&lt;sheet2!$F$2,-1)</f>
        <v>1</v>
      </c>
      <c r="AX228" s="40" cm="1">
        <f t="array" ref="AX228">_xlfn.IFS(AK228&gt;sheet2!$G$2,1,AK228=sheet2!$G$2,0,AK228&lt;sheet2!$G$2,-1)</f>
        <v>0</v>
      </c>
      <c r="AY228">
        <v>0.40162691151307089</v>
      </c>
      <c r="AZ228">
        <v>0.62112676056338023</v>
      </c>
      <c r="BA228">
        <v>1.3681999498969033E-2</v>
      </c>
      <c r="BB228">
        <v>9.9835905408104334E-3</v>
      </c>
      <c r="BC228">
        <v>0.30761208123687511</v>
      </c>
    </row>
    <row r="229" spans="1:55" ht="14.4" x14ac:dyDescent="0.25">
      <c r="A229" s="2">
        <v>29</v>
      </c>
      <c r="B229" s="2" t="s">
        <v>45</v>
      </c>
      <c r="C229" s="2">
        <v>2019</v>
      </c>
      <c r="D229" s="2">
        <v>7648</v>
      </c>
      <c r="E229" s="17">
        <v>17400.3965418345</v>
      </c>
      <c r="F229" s="5">
        <v>3748.48</v>
      </c>
      <c r="G229" s="3">
        <f t="shared" si="145"/>
        <v>2.0402936656991635</v>
      </c>
      <c r="H229" s="2">
        <f t="shared" si="171"/>
        <v>6.4740180883834639E-2</v>
      </c>
      <c r="I229" s="14">
        <v>0.36460155819230494</v>
      </c>
      <c r="J229" s="2">
        <f t="shared" si="172"/>
        <v>5.4028773526900768E-2</v>
      </c>
      <c r="K229">
        <f t="shared" si="148"/>
        <v>4.6419872966734514</v>
      </c>
      <c r="L229">
        <f t="shared" si="173"/>
        <v>0.11026666708660832</v>
      </c>
      <c r="M229" s="2">
        <v>0</v>
      </c>
      <c r="N229" s="2">
        <v>0</v>
      </c>
      <c r="O229" s="2">
        <v>0</v>
      </c>
      <c r="P229" s="4">
        <v>1</v>
      </c>
      <c r="Q229" s="40">
        <v>0.84429188251844944</v>
      </c>
      <c r="R229" s="40">
        <v>0.54985337243401755</v>
      </c>
      <c r="S229" s="40">
        <v>0.35931957827119121</v>
      </c>
      <c r="T229" s="40">
        <v>0.4</v>
      </c>
      <c r="U229" s="40">
        <v>0.98000000000000009</v>
      </c>
      <c r="V229" s="40">
        <v>0.34294871794871801</v>
      </c>
      <c r="W229" s="40">
        <v>0.23605150214592269</v>
      </c>
      <c r="X229" s="40">
        <v>8.0357142857142863E-2</v>
      </c>
      <c r="Y229" s="40">
        <v>0.35766452753301997</v>
      </c>
      <c r="Z229" s="40">
        <v>0.39515279241306622</v>
      </c>
      <c r="AA229" s="40">
        <v>0.25767561565779284</v>
      </c>
      <c r="AB229" s="40">
        <v>0.1142857142857143</v>
      </c>
      <c r="AC229" s="40">
        <v>0.56976744186046513</v>
      </c>
      <c r="AD229" s="40">
        <v>0.27719717064544663</v>
      </c>
      <c r="AE229" s="40">
        <v>0.25235173375190711</v>
      </c>
      <c r="AF229" s="40">
        <v>9.3750000000000014E-2</v>
      </c>
      <c r="AG229" s="40">
        <v>0.2</v>
      </c>
      <c r="AH229" s="40">
        <v>0.13500000000000001</v>
      </c>
      <c r="AI229" s="40">
        <v>0.18</v>
      </c>
      <c r="AJ229" s="40">
        <v>0.3</v>
      </c>
      <c r="AK229" s="40">
        <v>0.65</v>
      </c>
      <c r="AL229" s="40">
        <v>1</v>
      </c>
      <c r="AM229" s="40">
        <v>1</v>
      </c>
      <c r="AN229" s="40">
        <v>1</v>
      </c>
      <c r="AO229" s="40">
        <v>1.2</v>
      </c>
      <c r="AP229" s="40">
        <v>1</v>
      </c>
      <c r="AQ229" s="40">
        <f t="shared" si="174"/>
        <v>1.1000000000000001</v>
      </c>
      <c r="AR229" s="40">
        <f t="shared" si="175"/>
        <v>1</v>
      </c>
      <c r="AS229" s="40">
        <f t="shared" si="176"/>
        <v>1</v>
      </c>
      <c r="AT229" s="40" cm="1">
        <f t="array" ref="AT229">_xlfn.IFS(AG229&gt;sheet2!$C$2,1,AG229=sheet2!$C$2,0,AG229&lt;sheet2!$C$2,-1)</f>
        <v>0</v>
      </c>
      <c r="AU229" s="40" cm="1">
        <f t="array" ref="AU229">_xlfn.IFS(AH229&gt;sheet2!$D$2,1,AH229=sheet2!$D$2,0,AH229&lt;sheet2!$D$2,-1)</f>
        <v>0</v>
      </c>
      <c r="AV229" s="40" cm="1">
        <f t="array" ref="AV229">_xlfn.IFS(AI229&gt;sheet2!$E$2,1,AI229=sheet2!$E$2,0,AI229&lt;sheet2!$E$2,-1)</f>
        <v>0</v>
      </c>
      <c r="AW229" s="40" cm="1">
        <f t="array" ref="AW229">_xlfn.IFS(AJ229&gt;sheet2!$F$2,1,AJ229=sheet2!$F$2,0,AJ229&lt;sheet2!$F$2,-1)</f>
        <v>1</v>
      </c>
      <c r="AX229" s="40" cm="1">
        <f t="array" ref="AX229">_xlfn.IFS(AK229&gt;sheet2!$G$2,1,AK229=sheet2!$G$2,0,AK229&lt;sheet2!$G$2,-1)</f>
        <v>0</v>
      </c>
      <c r="AY229">
        <v>0.42363838142393717</v>
      </c>
      <c r="AZ229">
        <v>0.63598326359832635</v>
      </c>
      <c r="BA229">
        <v>1.3816892451775769E-2</v>
      </c>
      <c r="BB229">
        <v>1.1090708767287006E-2</v>
      </c>
      <c r="BC229">
        <v>0.29450249949592922</v>
      </c>
    </row>
    <row r="230" spans="1:55" ht="14.4" x14ac:dyDescent="0.25">
      <c r="A230" s="2">
        <v>29</v>
      </c>
      <c r="B230" s="2" t="s">
        <v>45</v>
      </c>
      <c r="C230" s="2">
        <v>2020</v>
      </c>
      <c r="D230" s="2">
        <v>8581.7999999999993</v>
      </c>
      <c r="E230" s="17">
        <v>17430.5461292359</v>
      </c>
      <c r="F230" s="5">
        <v>3920.55</v>
      </c>
      <c r="G230" s="3">
        <f t="shared" si="145"/>
        <v>2.1889275739373297</v>
      </c>
      <c r="H230" s="2">
        <f t="shared" si="171"/>
        <v>7.2849272012630931E-2</v>
      </c>
      <c r="I230" s="14">
        <v>0.37457244810835921</v>
      </c>
      <c r="J230" s="2">
        <f t="shared" si="172"/>
        <v>2.7347359582032389E-2</v>
      </c>
      <c r="K230">
        <f t="shared" si="148"/>
        <v>4.4459440969343325</v>
      </c>
      <c r="L230">
        <f t="shared" si="173"/>
        <v>-4.2232601515219091E-2</v>
      </c>
      <c r="M230" s="2">
        <v>0</v>
      </c>
      <c r="N230" s="2">
        <v>0</v>
      </c>
      <c r="O230" s="2">
        <v>0</v>
      </c>
      <c r="P230" s="4">
        <v>1</v>
      </c>
      <c r="Q230" s="40">
        <v>0.84429188251844944</v>
      </c>
      <c r="R230" s="40">
        <v>0.54985337243401755</v>
      </c>
      <c r="S230" s="40">
        <v>0.35931957827119121</v>
      </c>
      <c r="T230" s="40">
        <v>0.4</v>
      </c>
      <c r="U230" s="40">
        <v>0.98000000000000009</v>
      </c>
      <c r="V230" s="40">
        <v>0.34294871794871801</v>
      </c>
      <c r="W230" s="40">
        <v>0.23605150214592269</v>
      </c>
      <c r="X230" s="40">
        <v>8.0357142857142863E-2</v>
      </c>
      <c r="Y230" s="40">
        <v>0.35766452753301997</v>
      </c>
      <c r="Z230" s="40">
        <v>0.39515279241306622</v>
      </c>
      <c r="AA230" s="40">
        <v>0.25767561565779284</v>
      </c>
      <c r="AB230" s="40">
        <v>0.1142857142857143</v>
      </c>
      <c r="AC230" s="40">
        <v>0.56976744186046513</v>
      </c>
      <c r="AD230" s="40">
        <v>0.27719717064544663</v>
      </c>
      <c r="AE230" s="40">
        <v>0.25235173375190711</v>
      </c>
      <c r="AF230" s="40">
        <v>9.3750000000000014E-2</v>
      </c>
      <c r="AG230" s="40">
        <v>0.2</v>
      </c>
      <c r="AH230" s="40">
        <v>0.13500000000000001</v>
      </c>
      <c r="AI230" s="40">
        <v>0.18</v>
      </c>
      <c r="AJ230" s="40">
        <v>0.3</v>
      </c>
      <c r="AK230" s="40">
        <v>0.65</v>
      </c>
      <c r="AL230" s="40">
        <v>1</v>
      </c>
      <c r="AM230" s="40">
        <v>1</v>
      </c>
      <c r="AN230" s="40">
        <v>1</v>
      </c>
      <c r="AO230" s="40">
        <v>1.2</v>
      </c>
      <c r="AP230" s="40">
        <v>1</v>
      </c>
      <c r="AQ230" s="40">
        <f t="shared" si="174"/>
        <v>1.1000000000000001</v>
      </c>
      <c r="AR230" s="40">
        <f t="shared" si="175"/>
        <v>1</v>
      </c>
      <c r="AS230" s="40">
        <f t="shared" si="176"/>
        <v>1</v>
      </c>
      <c r="AT230" s="40" cm="1">
        <f t="array" ref="AT230">_xlfn.IFS(AG230&gt;sheet2!$C$2,1,AG230=sheet2!$C$2,0,AG230&lt;sheet2!$C$2,-1)</f>
        <v>0</v>
      </c>
      <c r="AU230" s="40" cm="1">
        <f t="array" ref="AU230">_xlfn.IFS(AH230&gt;sheet2!$D$2,1,AH230=sheet2!$D$2,0,AH230&lt;sheet2!$D$2,-1)</f>
        <v>0</v>
      </c>
      <c r="AV230" s="40" cm="1">
        <f t="array" ref="AV230">_xlfn.IFS(AI230&gt;sheet2!$E$2,1,AI230=sheet2!$E$2,0,AI230&lt;sheet2!$E$2,-1)</f>
        <v>0</v>
      </c>
      <c r="AW230" s="40" cm="1">
        <f t="array" ref="AW230">_xlfn.IFS(AJ230&gt;sheet2!$F$2,1,AJ230=sheet2!$F$2,0,AJ230&lt;sheet2!$F$2,-1)</f>
        <v>1</v>
      </c>
      <c r="AX230" s="40" cm="1">
        <f t="array" ref="AX230">_xlfn.IFS(AK230&gt;sheet2!$G$2,1,AK230=sheet2!$G$2,0,AK230&lt;sheet2!$G$2,-1)</f>
        <v>0</v>
      </c>
      <c r="AY230">
        <v>0.40933032355154247</v>
      </c>
      <c r="AZ230">
        <v>0.64909847434119283</v>
      </c>
      <c r="BA230">
        <v>1.3893974139093905E-2</v>
      </c>
      <c r="BB230">
        <v>1.1567025034752777E-2</v>
      </c>
      <c r="BC230">
        <v>0.28333648571968983</v>
      </c>
    </row>
    <row r="231" spans="1:55" ht="14.4" x14ac:dyDescent="0.25">
      <c r="A231" s="2">
        <v>29</v>
      </c>
      <c r="B231" s="2" t="s">
        <v>45</v>
      </c>
      <c r="C231" s="2">
        <v>2021</v>
      </c>
      <c r="D231" s="2">
        <v>8636.7999999999993</v>
      </c>
      <c r="E231" s="17">
        <v>18887.986836325501</v>
      </c>
      <c r="F231" s="30">
        <v>4522.3087999999998</v>
      </c>
      <c r="G231" s="3">
        <f t="shared" si="145"/>
        <v>1.9098209304061677</v>
      </c>
      <c r="H231" s="2">
        <f t="shared" si="171"/>
        <v>-0.12750839582559573</v>
      </c>
      <c r="I231" s="14">
        <v>0.38356216382689717</v>
      </c>
      <c r="J231" s="2">
        <f t="shared" si="172"/>
        <v>2.3999938500381495E-2</v>
      </c>
      <c r="K231">
        <f t="shared" si="148"/>
        <v>4.1766247444945606</v>
      </c>
      <c r="L231">
        <f t="shared" si="173"/>
        <v>-6.0576414495512675E-2</v>
      </c>
      <c r="M231" s="2">
        <v>0</v>
      </c>
      <c r="N231" s="2">
        <v>0</v>
      </c>
      <c r="O231" s="2">
        <v>0</v>
      </c>
      <c r="P231" s="4">
        <v>1</v>
      </c>
      <c r="Q231" s="40">
        <v>0.84429188251844944</v>
      </c>
      <c r="R231" s="40">
        <v>0.54985337243401755</v>
      </c>
      <c r="S231" s="40">
        <v>0.35931957827119121</v>
      </c>
      <c r="T231" s="40">
        <v>0.4</v>
      </c>
      <c r="U231" s="40">
        <v>0.98000000000000009</v>
      </c>
      <c r="V231" s="40">
        <v>0.34294871794871801</v>
      </c>
      <c r="W231" s="40">
        <v>0.23605150214592269</v>
      </c>
      <c r="X231" s="40">
        <v>8.0357142857142863E-2</v>
      </c>
      <c r="Y231" s="40">
        <v>0.35766452753301997</v>
      </c>
      <c r="Z231" s="40">
        <v>0.39515279241306622</v>
      </c>
      <c r="AA231" s="40">
        <v>0.25767561565779284</v>
      </c>
      <c r="AB231" s="40">
        <v>0.1142857142857143</v>
      </c>
      <c r="AC231" s="40">
        <v>0.56976744186046513</v>
      </c>
      <c r="AD231" s="40">
        <v>0.27719717064544663</v>
      </c>
      <c r="AE231" s="40">
        <v>0.25235173375190711</v>
      </c>
      <c r="AF231" s="40">
        <v>9.3750000000000014E-2</v>
      </c>
      <c r="AG231" s="40">
        <v>0.2</v>
      </c>
      <c r="AH231" s="40">
        <v>0.13500000000000001</v>
      </c>
      <c r="AI231" s="40">
        <v>0.18</v>
      </c>
      <c r="AJ231" s="40">
        <v>0.3</v>
      </c>
      <c r="AK231" s="40">
        <v>0.65</v>
      </c>
      <c r="AL231" s="40">
        <v>1</v>
      </c>
      <c r="AM231" s="40">
        <v>1</v>
      </c>
      <c r="AN231" s="40">
        <v>1</v>
      </c>
      <c r="AO231" s="40">
        <v>1.2</v>
      </c>
      <c r="AP231" s="40">
        <v>1</v>
      </c>
      <c r="AQ231" s="40">
        <f t="shared" si="174"/>
        <v>1.1000000000000001</v>
      </c>
      <c r="AR231" s="40">
        <f t="shared" si="175"/>
        <v>1</v>
      </c>
      <c r="AS231" s="40">
        <f t="shared" si="176"/>
        <v>1</v>
      </c>
      <c r="AT231" s="40" cm="1">
        <f t="array" ref="AT231">_xlfn.IFS(AG231&gt;sheet2!$C$2,1,AG231=sheet2!$C$2,0,AG231&lt;sheet2!$C$2,-1)</f>
        <v>0</v>
      </c>
      <c r="AU231" s="40" cm="1">
        <f t="array" ref="AU231">_xlfn.IFS(AH231&gt;sheet2!$D$2,1,AH231=sheet2!$D$2,0,AH231&lt;sheet2!$D$2,-1)</f>
        <v>0</v>
      </c>
      <c r="AV231" s="40" cm="1">
        <f t="array" ref="AV231">_xlfn.IFS(AI231&gt;sheet2!$E$2,1,AI231=sheet2!$E$2,0,AI231&lt;sheet2!$E$2,-1)</f>
        <v>0</v>
      </c>
      <c r="AW231" s="40" cm="1">
        <f t="array" ref="AW231">_xlfn.IFS(AJ231&gt;sheet2!$F$2,1,AJ231=sheet2!$F$2,0,AJ231&lt;sheet2!$F$2,-1)</f>
        <v>1</v>
      </c>
      <c r="AX231" s="40" cm="1">
        <f t="array" ref="AX231">_xlfn.IFS(AK231&gt;sheet2!$G$2,1,AK231=sheet2!$G$2,0,AK231&lt;sheet2!$G$2,-1)</f>
        <v>0</v>
      </c>
      <c r="AY231">
        <v>0.45034518651181005</v>
      </c>
      <c r="AZ231">
        <v>0.66068965517241385</v>
      </c>
      <c r="BA231">
        <v>1.3971055826412041E-2</v>
      </c>
      <c r="BB231">
        <v>1.1444972532614315E-2</v>
      </c>
      <c r="BC231">
        <v>0.32216067063989517</v>
      </c>
    </row>
    <row r="232" spans="1:55" ht="14.4" x14ac:dyDescent="0.25">
      <c r="A232" s="2">
        <v>29</v>
      </c>
      <c r="B232" s="6" t="s">
        <v>46</v>
      </c>
      <c r="C232" s="2">
        <v>2022</v>
      </c>
      <c r="D232" s="2">
        <v>9283.7000000000007</v>
      </c>
      <c r="E232" s="17">
        <v>19161.715957394703</v>
      </c>
      <c r="F232" s="30">
        <v>5069.6000000000004</v>
      </c>
      <c r="G232" s="3">
        <f t="shared" si="145"/>
        <v>1.8312490137288937</v>
      </c>
      <c r="H232" s="2">
        <f t="shared" si="171"/>
        <v>-4.1140986270667736E-2</v>
      </c>
      <c r="I232" s="14">
        <v>0.39158882885523077</v>
      </c>
      <c r="J232" s="2">
        <f t="shared" si="172"/>
        <v>2.0926634025237329E-2</v>
      </c>
      <c r="K232">
        <f t="shared" si="148"/>
        <v>3.7797293588043832</v>
      </c>
      <c r="L232">
        <f t="shared" si="173"/>
        <v>-9.5027781993904784E-2</v>
      </c>
      <c r="M232" s="2">
        <v>1</v>
      </c>
      <c r="N232" s="2">
        <v>1</v>
      </c>
      <c r="O232" s="2">
        <v>0</v>
      </c>
      <c r="P232" s="4">
        <v>1</v>
      </c>
      <c r="Q232" s="40">
        <v>0.84429188251844944</v>
      </c>
      <c r="R232" s="40">
        <v>0.54985337243401755</v>
      </c>
      <c r="S232" s="40">
        <v>0.35931957827119121</v>
      </c>
      <c r="T232" s="40">
        <v>0.4</v>
      </c>
      <c r="U232" s="40">
        <v>0.98000000000000009</v>
      </c>
      <c r="V232" s="40">
        <v>0.34294871794871801</v>
      </c>
      <c r="W232" s="40">
        <v>0.23605150214592269</v>
      </c>
      <c r="X232" s="40">
        <v>8.0357142857142863E-2</v>
      </c>
      <c r="Y232" s="40">
        <v>0.35766452753301997</v>
      </c>
      <c r="Z232" s="40">
        <v>0.39515279241306622</v>
      </c>
      <c r="AA232" s="40">
        <v>0.25767561565779284</v>
      </c>
      <c r="AB232" s="40">
        <v>0.1142857142857143</v>
      </c>
      <c r="AC232" s="40">
        <v>0.56976744186046513</v>
      </c>
      <c r="AD232" s="40">
        <v>0.27719717064544663</v>
      </c>
      <c r="AE232" s="40">
        <v>0.25235173375190711</v>
      </c>
      <c r="AF232" s="40">
        <v>9.3750000000000014E-2</v>
      </c>
      <c r="AG232" s="40">
        <v>0.2</v>
      </c>
      <c r="AH232" s="40">
        <v>0.13500000000000001</v>
      </c>
      <c r="AI232" s="40">
        <v>0.18</v>
      </c>
      <c r="AJ232" s="40">
        <v>0.3</v>
      </c>
      <c r="AK232" s="40">
        <v>0.65</v>
      </c>
      <c r="AL232" s="40">
        <v>1</v>
      </c>
      <c r="AM232" s="40">
        <v>1</v>
      </c>
      <c r="AN232" s="40">
        <v>1</v>
      </c>
      <c r="AO232" s="40">
        <v>1.2</v>
      </c>
      <c r="AP232" s="40">
        <v>1</v>
      </c>
      <c r="AQ232" s="40">
        <f t="shared" si="174"/>
        <v>1.1000000000000001</v>
      </c>
      <c r="AR232" s="40">
        <f t="shared" si="175"/>
        <v>1</v>
      </c>
      <c r="AS232" s="40">
        <f t="shared" si="176"/>
        <v>1</v>
      </c>
      <c r="AT232" s="40" cm="1">
        <f t="array" ref="AT232">_xlfn.IFS(AG232&gt;sheet2!$C$2,1,AG232=sheet2!$C$2,0,AG232&lt;sheet2!$C$2,-1)</f>
        <v>0</v>
      </c>
      <c r="AU232" s="40" cm="1">
        <f t="array" ref="AU232">_xlfn.IFS(AH232&gt;sheet2!$D$2,1,AH232=sheet2!$D$2,0,AH232&lt;sheet2!$D$2,-1)</f>
        <v>0</v>
      </c>
      <c r="AV232" s="40" cm="1">
        <f t="array" ref="AV232">_xlfn.IFS(AI232&gt;sheet2!$E$2,1,AI232=sheet2!$E$2,0,AI232&lt;sheet2!$E$2,-1)</f>
        <v>0</v>
      </c>
      <c r="AW232" s="40" cm="1">
        <f t="array" ref="AW232">_xlfn.IFS(AJ232&gt;sheet2!$F$2,1,AJ232=sheet2!$F$2,0,AJ232&lt;sheet2!$F$2,-1)</f>
        <v>1</v>
      </c>
      <c r="AX232" s="40" cm="1">
        <f t="array" ref="AX232">_xlfn.IFS(AK232&gt;sheet2!$G$2,1,AK232=sheet2!$G$2,0,AK232&lt;sheet2!$G$2,-1)</f>
        <v>0</v>
      </c>
      <c r="AY232">
        <v>0.45735363736783963</v>
      </c>
      <c r="AZ232">
        <v>0.66346153846153844</v>
      </c>
      <c r="BA232">
        <v>1.4028867091900642E-2</v>
      </c>
      <c r="BB232">
        <v>1.1777122455420544E-2</v>
      </c>
      <c r="BC232">
        <v>0.28979437604307712</v>
      </c>
    </row>
    <row r="233" spans="1:55" ht="14.4" x14ac:dyDescent="0.25">
      <c r="A233" s="2">
        <v>29</v>
      </c>
      <c r="B233" s="6" t="s">
        <v>46</v>
      </c>
      <c r="C233" s="2">
        <v>2023</v>
      </c>
      <c r="D233" s="2">
        <v>8499.9988462704605</v>
      </c>
      <c r="E233">
        <v>20108.469663380398</v>
      </c>
      <c r="F233" s="32">
        <v>5314.95</v>
      </c>
      <c r="G233" s="3">
        <f t="shared" si="145"/>
        <v>1.5992622407116643</v>
      </c>
      <c r="H233" s="2">
        <f t="shared" si="171"/>
        <v>-0.1266822650977677</v>
      </c>
      <c r="I233" s="14"/>
      <c r="K233">
        <f t="shared" si="148"/>
        <v>3.7833788960160302</v>
      </c>
      <c r="L233">
        <f t="shared" si="173"/>
        <v>9.6555516683908616E-4</v>
      </c>
      <c r="M233" s="2">
        <v>1</v>
      </c>
      <c r="N233" s="2">
        <v>1</v>
      </c>
      <c r="O233" s="2">
        <v>1</v>
      </c>
      <c r="P233" s="4">
        <v>1</v>
      </c>
      <c r="Q233" s="40">
        <v>0.84429188251844944</v>
      </c>
      <c r="R233" s="40">
        <v>0.54985337243401755</v>
      </c>
      <c r="S233" s="40">
        <v>0.35931957827119121</v>
      </c>
      <c r="T233" s="40">
        <v>0.4</v>
      </c>
      <c r="U233" s="40">
        <v>0.98000000000000009</v>
      </c>
      <c r="V233" s="40">
        <v>0.34294871794871801</v>
      </c>
      <c r="W233" s="40">
        <v>0.23605150214592269</v>
      </c>
      <c r="X233" s="40">
        <v>8.0357142857142863E-2</v>
      </c>
      <c r="Y233" s="40">
        <v>0.35766452753301997</v>
      </c>
      <c r="Z233" s="40">
        <v>0.39515279241306622</v>
      </c>
      <c r="AA233" s="40">
        <v>0.25767561565779284</v>
      </c>
      <c r="AB233" s="40">
        <v>0.1142857142857143</v>
      </c>
      <c r="AC233" s="40">
        <v>0.56976744186046513</v>
      </c>
      <c r="AD233" s="40">
        <v>0.27719717064544663</v>
      </c>
      <c r="AE233" s="40">
        <v>0.25235173375190711</v>
      </c>
      <c r="AF233" s="40">
        <v>9.3750000000000014E-2</v>
      </c>
      <c r="AG233" s="40">
        <v>0.2</v>
      </c>
      <c r="AH233" s="40">
        <v>0.13500000000000001</v>
      </c>
      <c r="AI233" s="40">
        <v>0.18</v>
      </c>
      <c r="AJ233" s="40">
        <v>0.3</v>
      </c>
      <c r="AK233" s="40">
        <v>0.65</v>
      </c>
      <c r="AL233" s="40">
        <v>1</v>
      </c>
      <c r="AM233" s="40">
        <v>1</v>
      </c>
      <c r="AN233" s="40">
        <v>1</v>
      </c>
      <c r="AO233" s="40">
        <v>1.2</v>
      </c>
      <c r="AP233" s="40">
        <v>1</v>
      </c>
      <c r="AQ233" s="40">
        <f t="shared" si="174"/>
        <v>1.1000000000000001</v>
      </c>
      <c r="AR233" s="40">
        <f t="shared" si="175"/>
        <v>1</v>
      </c>
      <c r="AS233" s="40">
        <f t="shared" si="176"/>
        <v>1</v>
      </c>
      <c r="AT233" s="40" cm="1">
        <f t="array" ref="AT233">_xlfn.IFS(AG233&gt;sheet2!$C$2,1,AG233=sheet2!$C$2,0,AG233&lt;sheet2!$C$2,-1)</f>
        <v>0</v>
      </c>
      <c r="AU233" s="40" cm="1">
        <f t="array" ref="AU233">_xlfn.IFS(AH233&gt;sheet2!$D$2,1,AH233=sheet2!$D$2,0,AH233&lt;sheet2!$D$2,-1)</f>
        <v>0</v>
      </c>
      <c r="AV233" s="40" cm="1">
        <f t="array" ref="AV233">_xlfn.IFS(AI233&gt;sheet2!$E$2,1,AI233=sheet2!$E$2,0,AI233&lt;sheet2!$E$2,-1)</f>
        <v>0</v>
      </c>
      <c r="AW233" s="40" cm="1">
        <f t="array" ref="AW233">_xlfn.IFS(AJ233&gt;sheet2!$F$2,1,AJ233=sheet2!$F$2,0,AJ233&lt;sheet2!$F$2,-1)</f>
        <v>1</v>
      </c>
      <c r="AX233" s="40" cm="1">
        <f t="array" ref="AX233">_xlfn.IFS(AK233&gt;sheet2!$G$2,1,AK233=sheet2!$G$2,0,AK233&lt;sheet2!$G$2,-1)</f>
        <v>0</v>
      </c>
      <c r="AY233">
        <v>0.43819791343286391</v>
      </c>
      <c r="AZ233">
        <v>0.6735253772290809</v>
      </c>
      <c r="BA233">
        <v>1.4048137513730175E-2</v>
      </c>
      <c r="BB233">
        <v>1.258408827928767E-2</v>
      </c>
      <c r="BC233">
        <v>0.28680811702771525</v>
      </c>
    </row>
    <row r="234" spans="1:55" s="40" customFormat="1" ht="14.4" x14ac:dyDescent="0.25">
      <c r="A234" s="35">
        <v>30</v>
      </c>
      <c r="B234" s="35" t="s">
        <v>47</v>
      </c>
      <c r="C234" s="35">
        <v>2016</v>
      </c>
      <c r="D234" s="35">
        <v>16302</v>
      </c>
      <c r="E234" s="36">
        <v>36088.113222593805</v>
      </c>
      <c r="F234" s="37">
        <v>9649.7000000000007</v>
      </c>
      <c r="G234" s="38">
        <f t="shared" si="145"/>
        <v>1.6893789444231426</v>
      </c>
      <c r="H234" s="35"/>
      <c r="I234" s="39">
        <v>0.38303371932945279</v>
      </c>
      <c r="J234" s="35"/>
      <c r="K234" s="40">
        <f t="shared" si="148"/>
        <v>3.739817115826793</v>
      </c>
      <c r="M234" s="35">
        <v>0</v>
      </c>
      <c r="N234" s="35">
        <v>0</v>
      </c>
      <c r="O234" s="35">
        <v>0</v>
      </c>
      <c r="P234" s="41">
        <v>1</v>
      </c>
      <c r="Q234" s="41">
        <v>0.99999999580495169</v>
      </c>
      <c r="R234" s="40">
        <v>0</v>
      </c>
      <c r="S234" s="40">
        <v>0</v>
      </c>
      <c r="T234" s="40">
        <v>0</v>
      </c>
      <c r="U234" s="40">
        <v>0</v>
      </c>
      <c r="V234" s="40">
        <v>0</v>
      </c>
      <c r="W234" s="40">
        <v>0</v>
      </c>
      <c r="X234" s="40">
        <v>0</v>
      </c>
      <c r="Y234" s="40">
        <v>1</v>
      </c>
      <c r="Z234" s="40">
        <v>0</v>
      </c>
      <c r="AA234" s="40">
        <v>0</v>
      </c>
      <c r="AB234" s="40">
        <v>0</v>
      </c>
      <c r="AC234" s="40">
        <v>0</v>
      </c>
      <c r="AD234" s="40">
        <v>0</v>
      </c>
      <c r="AE234" s="40">
        <v>0</v>
      </c>
      <c r="AF234" s="40">
        <v>0</v>
      </c>
      <c r="AG234" s="40">
        <v>0.2</v>
      </c>
      <c r="AH234" s="40">
        <v>0.13500000000000001</v>
      </c>
      <c r="AI234" s="40">
        <v>0.18</v>
      </c>
      <c r="AJ234" s="40">
        <v>0.25</v>
      </c>
      <c r="AK234" s="40">
        <v>0.65</v>
      </c>
      <c r="AL234" s="40">
        <v>1</v>
      </c>
      <c r="AM234" s="40">
        <v>1</v>
      </c>
      <c r="AN234" s="40">
        <v>1</v>
      </c>
      <c r="AO234" s="40">
        <v>1</v>
      </c>
      <c r="AP234" s="40">
        <v>1</v>
      </c>
      <c r="AQ234" s="40">
        <f t="shared" si="163"/>
        <v>1</v>
      </c>
      <c r="AR234" s="40">
        <f t="shared" si="164"/>
        <v>1</v>
      </c>
      <c r="AS234" s="40">
        <f t="shared" si="165"/>
        <v>1</v>
      </c>
      <c r="AT234" s="40" cm="1">
        <f t="array" ref="AT234">_xlfn.IFS(AG234&gt;sheet2!$C$2,1,AG234=sheet2!$C$2,0,AG234&lt;sheet2!$C$2,-1)</f>
        <v>0</v>
      </c>
      <c r="AU234" s="40" cm="1">
        <f t="array" ref="AU234">_xlfn.IFS(AH234&gt;sheet2!$D$2,1,AH234=sheet2!$D$2,0,AH234&lt;sheet2!$D$2,-1)</f>
        <v>0</v>
      </c>
      <c r="AV234" s="40" cm="1">
        <f t="array" ref="AV234">_xlfn.IFS(AI234&gt;sheet2!$E$2,1,AI234=sheet2!$E$2,0,AI234&lt;sheet2!$E$2,-1)</f>
        <v>0</v>
      </c>
      <c r="AW234" s="40" cm="1">
        <f t="array" ref="AW234">_xlfn.IFS(AJ234&gt;sheet2!$F$2,1,AJ234=sheet2!$F$2,0,AJ234&lt;sheet2!$F$2,-1)</f>
        <v>0</v>
      </c>
      <c r="AX234" s="40" cm="1">
        <f t="array" ref="AX234">_xlfn.IFS(AK234&gt;sheet2!$G$2,1,AK234=sheet2!$G$2,0,AK234&lt;sheet2!$G$2,-1)</f>
        <v>0</v>
      </c>
      <c r="AY234" s="40">
        <v>0.35711991046353769</v>
      </c>
      <c r="AZ234" s="40">
        <v>0.50411861614497533</v>
      </c>
      <c r="BA234" s="40">
        <v>1.4881235117998755E-3</v>
      </c>
      <c r="BB234" s="40">
        <v>4.0513798356425585E-3</v>
      </c>
      <c r="BC234" s="40">
        <v>0.31388872107775029</v>
      </c>
    </row>
    <row r="235" spans="1:55" ht="14.4" x14ac:dyDescent="0.25">
      <c r="A235" s="2">
        <v>30</v>
      </c>
      <c r="B235" s="2" t="s">
        <v>47</v>
      </c>
      <c r="C235" s="2">
        <v>2017</v>
      </c>
      <c r="D235" s="2">
        <v>17386</v>
      </c>
      <c r="E235" s="17">
        <v>39190.713249534099</v>
      </c>
      <c r="F235" s="5">
        <v>10881.96</v>
      </c>
      <c r="G235" s="3">
        <f t="shared" si="145"/>
        <v>1.597690122000081</v>
      </c>
      <c r="H235" s="2">
        <f t="shared" ref="H235:H241" si="177">(G235-G234)/G234</f>
        <v>-5.4273686034585815E-2</v>
      </c>
      <c r="I235" s="14">
        <v>0.43729288425958823</v>
      </c>
      <c r="J235" s="2">
        <f>(I235-I234)/I234</f>
        <v>0.1416563665076869</v>
      </c>
      <c r="K235">
        <f t="shared" si="148"/>
        <v>3.6014388262348054</v>
      </c>
      <c r="L235">
        <f t="shared" ref="L235:L241" si="178">(K235-K234)/K234</f>
        <v>-3.7001352019694997E-2</v>
      </c>
      <c r="M235" s="2">
        <v>0</v>
      </c>
      <c r="N235" s="2">
        <v>0</v>
      </c>
      <c r="O235" s="2">
        <v>0</v>
      </c>
      <c r="P235" s="4">
        <v>1</v>
      </c>
      <c r="Q235" s="41">
        <v>0.99999999580495169</v>
      </c>
      <c r="R235" s="40">
        <v>0</v>
      </c>
      <c r="S235" s="40">
        <v>0</v>
      </c>
      <c r="T235" s="40">
        <v>0</v>
      </c>
      <c r="U235" s="40">
        <v>0</v>
      </c>
      <c r="V235" s="40">
        <v>0</v>
      </c>
      <c r="W235" s="40">
        <v>0</v>
      </c>
      <c r="X235" s="40">
        <v>0</v>
      </c>
      <c r="Y235" s="40">
        <v>1</v>
      </c>
      <c r="Z235" s="40">
        <v>0</v>
      </c>
      <c r="AA235" s="40">
        <v>0</v>
      </c>
      <c r="AB235" s="40">
        <v>0</v>
      </c>
      <c r="AC235" s="40">
        <v>0</v>
      </c>
      <c r="AD235" s="40">
        <v>0</v>
      </c>
      <c r="AE235" s="40">
        <v>0</v>
      </c>
      <c r="AF235" s="40">
        <v>0</v>
      </c>
      <c r="AG235" s="40">
        <v>0.2</v>
      </c>
      <c r="AH235" s="40">
        <v>0.13500000000000001</v>
      </c>
      <c r="AI235" s="40">
        <v>0.18</v>
      </c>
      <c r="AJ235" s="40">
        <v>0.25</v>
      </c>
      <c r="AK235" s="40">
        <v>0.65</v>
      </c>
      <c r="AL235" s="40">
        <v>1</v>
      </c>
      <c r="AM235" s="40">
        <v>1</v>
      </c>
      <c r="AN235" s="40">
        <v>1</v>
      </c>
      <c r="AO235" s="40">
        <v>1</v>
      </c>
      <c r="AP235" s="40">
        <v>1</v>
      </c>
      <c r="AQ235" s="40">
        <f t="shared" ref="AQ235:AQ241" si="179">AVERAGE(AL235,AO235)</f>
        <v>1</v>
      </c>
      <c r="AR235" s="40">
        <f t="shared" ref="AR235:AR241" si="180">AVERAGE(AM235)</f>
        <v>1</v>
      </c>
      <c r="AS235" s="40">
        <f t="shared" ref="AS235:AS241" si="181">AVERAGE(AN235,AP235)</f>
        <v>1</v>
      </c>
      <c r="AT235" s="40" cm="1">
        <f t="array" ref="AT235">_xlfn.IFS(AG235&gt;sheet2!$C$2,1,AG235=sheet2!$C$2,0,AG235&lt;sheet2!$C$2,-1)</f>
        <v>0</v>
      </c>
      <c r="AU235" s="40" cm="1">
        <f t="array" ref="AU235">_xlfn.IFS(AH235&gt;sheet2!$D$2,1,AH235=sheet2!$D$2,0,AH235&lt;sheet2!$D$2,-1)</f>
        <v>0</v>
      </c>
      <c r="AV235" s="40" cm="1">
        <f t="array" ref="AV235">_xlfn.IFS(AI235&gt;sheet2!$E$2,1,AI235=sheet2!$E$2,0,AI235&lt;sheet2!$E$2,-1)</f>
        <v>0</v>
      </c>
      <c r="AW235" s="40" cm="1">
        <f t="array" ref="AW235">_xlfn.IFS(AJ235&gt;sheet2!$F$2,1,AJ235=sheet2!$F$2,0,AJ235&lt;sheet2!$F$2,-1)</f>
        <v>0</v>
      </c>
      <c r="AX235" s="40" cm="1">
        <f t="array" ref="AX235">_xlfn.IFS(AK235&gt;sheet2!$G$2,1,AK235=sheet2!$G$2,0,AK235&lt;sheet2!$G$2,-1)</f>
        <v>0</v>
      </c>
      <c r="AY235">
        <v>0.37642115942348625</v>
      </c>
      <c r="AZ235">
        <v>0.51895161290322578</v>
      </c>
      <c r="BA235">
        <v>1.5199943613112402E-3</v>
      </c>
      <c r="BB235">
        <v>3.6801090979933769E-3</v>
      </c>
      <c r="BC235">
        <v>0.31624845813458008</v>
      </c>
    </row>
    <row r="236" spans="1:55" ht="14.4" x14ac:dyDescent="0.25">
      <c r="A236" s="2">
        <v>30</v>
      </c>
      <c r="B236" s="2" t="s">
        <v>47</v>
      </c>
      <c r="C236" s="2">
        <v>2018</v>
      </c>
      <c r="D236" s="2">
        <v>17694</v>
      </c>
      <c r="E236" s="17">
        <v>41949.754206344303</v>
      </c>
      <c r="F236" s="5">
        <v>12199.08</v>
      </c>
      <c r="G236" s="3">
        <f t="shared" si="145"/>
        <v>1.45043724608741</v>
      </c>
      <c r="H236" s="2">
        <f t="shared" si="177"/>
        <v>-9.216610523217815E-2</v>
      </c>
      <c r="I236" s="14">
        <v>0.44615306925465142</v>
      </c>
      <c r="J236" s="2">
        <f>(I236-I235)/I235</f>
        <v>2.0261443334631441E-2</v>
      </c>
      <c r="K236">
        <f t="shared" si="148"/>
        <v>3.4387637597543672</v>
      </c>
      <c r="L236">
        <f t="shared" si="178"/>
        <v>-4.5169465407943636E-2</v>
      </c>
      <c r="M236" s="2">
        <v>0</v>
      </c>
      <c r="N236" s="2">
        <v>0</v>
      </c>
      <c r="O236" s="2">
        <v>0</v>
      </c>
      <c r="P236" s="4">
        <v>1</v>
      </c>
      <c r="Q236" s="41">
        <v>0.99999999580495169</v>
      </c>
      <c r="R236" s="40">
        <v>0</v>
      </c>
      <c r="S236" s="40">
        <v>0</v>
      </c>
      <c r="T236" s="40">
        <v>0</v>
      </c>
      <c r="U236" s="40">
        <v>0</v>
      </c>
      <c r="V236" s="40">
        <v>0</v>
      </c>
      <c r="W236" s="40">
        <v>0</v>
      </c>
      <c r="X236" s="40">
        <v>0</v>
      </c>
      <c r="Y236" s="40">
        <v>1</v>
      </c>
      <c r="Z236" s="40">
        <v>0</v>
      </c>
      <c r="AA236" s="40">
        <v>0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0.2</v>
      </c>
      <c r="AH236" s="40">
        <v>0.13500000000000001</v>
      </c>
      <c r="AI236" s="40">
        <v>0.18</v>
      </c>
      <c r="AJ236" s="40">
        <v>0.25</v>
      </c>
      <c r="AK236" s="40">
        <v>0.65</v>
      </c>
      <c r="AL236" s="40">
        <v>1</v>
      </c>
      <c r="AM236" s="40">
        <v>1</v>
      </c>
      <c r="AN236" s="40">
        <v>1</v>
      </c>
      <c r="AO236" s="40">
        <v>1</v>
      </c>
      <c r="AP236" s="40">
        <v>1</v>
      </c>
      <c r="AQ236" s="40">
        <f t="shared" si="179"/>
        <v>1</v>
      </c>
      <c r="AR236" s="40">
        <f t="shared" si="180"/>
        <v>1</v>
      </c>
      <c r="AS236" s="40">
        <f t="shared" si="181"/>
        <v>1</v>
      </c>
      <c r="AT236" s="40" cm="1">
        <f t="array" ref="AT236">_xlfn.IFS(AG236&gt;sheet2!$C$2,1,AG236=sheet2!$C$2,0,AG236&lt;sheet2!$C$2,-1)</f>
        <v>0</v>
      </c>
      <c r="AU236" s="40" cm="1">
        <f t="array" ref="AU236">_xlfn.IFS(AH236&gt;sheet2!$D$2,1,AH236=sheet2!$D$2,0,AH236&lt;sheet2!$D$2,-1)</f>
        <v>0</v>
      </c>
      <c r="AV236" s="40" cm="1">
        <f t="array" ref="AV236">_xlfn.IFS(AI236&gt;sheet2!$E$2,1,AI236=sheet2!$E$2,0,AI236&lt;sheet2!$E$2,-1)</f>
        <v>0</v>
      </c>
      <c r="AW236" s="40" cm="1">
        <f t="array" ref="AW236">_xlfn.IFS(AJ236&gt;sheet2!$F$2,1,AJ236=sheet2!$F$2,0,AJ236&lt;sheet2!$F$2,-1)</f>
        <v>0</v>
      </c>
      <c r="AX236" s="40" cm="1">
        <f t="array" ref="AX236">_xlfn.IFS(AK236&gt;sheet2!$G$2,1,AK236=sheet2!$G$2,0,AK236&lt;sheet2!$G$2,-1)</f>
        <v>0</v>
      </c>
      <c r="AY236">
        <v>0.3817664938667506</v>
      </c>
      <c r="AZ236">
        <v>0.54007936507936505</v>
      </c>
      <c r="BA236">
        <v>1.5445103993969055E-3</v>
      </c>
      <c r="BB236">
        <v>3.6787938106808056E-3</v>
      </c>
      <c r="BC236">
        <v>0.30552324711468448</v>
      </c>
    </row>
    <row r="237" spans="1:55" ht="14.4" x14ac:dyDescent="0.25">
      <c r="A237" s="2">
        <v>30</v>
      </c>
      <c r="B237" s="2" t="s">
        <v>47</v>
      </c>
      <c r="C237" s="2">
        <v>2019</v>
      </c>
      <c r="D237" s="2">
        <v>18490</v>
      </c>
      <c r="E237" s="17">
        <v>43281.478038947804</v>
      </c>
      <c r="F237" s="5">
        <v>13597.11</v>
      </c>
      <c r="G237" s="3">
        <f t="shared" si="145"/>
        <v>1.3598477911850386</v>
      </c>
      <c r="H237" s="2">
        <f t="shared" si="177"/>
        <v>-6.2456652396881446E-2</v>
      </c>
      <c r="I237" s="14">
        <v>0.47256880589831957</v>
      </c>
      <c r="J237" s="2">
        <f>(I237-I236)/I236</f>
        <v>5.9207788680684374E-2</v>
      </c>
      <c r="K237">
        <f t="shared" si="148"/>
        <v>3.1831380373438032</v>
      </c>
      <c r="L237">
        <f t="shared" si="178"/>
        <v>-7.4336517501517319E-2</v>
      </c>
      <c r="M237" s="2">
        <v>0</v>
      </c>
      <c r="N237" s="2">
        <v>0</v>
      </c>
      <c r="O237" s="2">
        <v>0</v>
      </c>
      <c r="P237" s="4">
        <v>1</v>
      </c>
      <c r="Q237" s="41">
        <v>0.99999999580495169</v>
      </c>
      <c r="R237" s="40">
        <v>0</v>
      </c>
      <c r="S237" s="40">
        <v>0</v>
      </c>
      <c r="T237" s="40">
        <v>0</v>
      </c>
      <c r="U237" s="40">
        <v>0</v>
      </c>
      <c r="V237" s="40">
        <v>0</v>
      </c>
      <c r="W237" s="40">
        <v>0</v>
      </c>
      <c r="X237" s="40">
        <v>0</v>
      </c>
      <c r="Y237" s="40">
        <v>1</v>
      </c>
      <c r="Z237" s="40">
        <v>0</v>
      </c>
      <c r="AA237" s="40">
        <v>0</v>
      </c>
      <c r="AB237" s="40">
        <v>0</v>
      </c>
      <c r="AC237" s="40">
        <v>0</v>
      </c>
      <c r="AD237" s="40">
        <v>0</v>
      </c>
      <c r="AE237" s="40">
        <v>0</v>
      </c>
      <c r="AF237" s="40">
        <v>0</v>
      </c>
      <c r="AG237" s="40">
        <v>0.2</v>
      </c>
      <c r="AH237" s="40">
        <v>0.13500000000000001</v>
      </c>
      <c r="AI237" s="40">
        <v>0.18</v>
      </c>
      <c r="AJ237" s="40">
        <v>0.25</v>
      </c>
      <c r="AK237" s="40">
        <v>0.65</v>
      </c>
      <c r="AL237" s="40">
        <v>1</v>
      </c>
      <c r="AM237" s="40">
        <v>1</v>
      </c>
      <c r="AN237" s="40">
        <v>1</v>
      </c>
      <c r="AO237" s="40">
        <v>1</v>
      </c>
      <c r="AP237" s="40">
        <v>1</v>
      </c>
      <c r="AQ237" s="40">
        <f t="shared" si="179"/>
        <v>1</v>
      </c>
      <c r="AR237" s="40">
        <f t="shared" si="180"/>
        <v>1</v>
      </c>
      <c r="AS237" s="40">
        <f t="shared" si="181"/>
        <v>1</v>
      </c>
      <c r="AT237" s="40" cm="1">
        <f t="array" ref="AT237">_xlfn.IFS(AG237&gt;sheet2!$C$2,1,AG237=sheet2!$C$2,0,AG237&lt;sheet2!$C$2,-1)</f>
        <v>0</v>
      </c>
      <c r="AU237" s="40" cm="1">
        <f t="array" ref="AU237">_xlfn.IFS(AH237&gt;sheet2!$D$2,1,AH237=sheet2!$D$2,0,AH237&lt;sheet2!$D$2,-1)</f>
        <v>0</v>
      </c>
      <c r="AV237" s="40" cm="1">
        <f t="array" ref="AV237">_xlfn.IFS(AI237&gt;sheet2!$E$2,1,AI237=sheet2!$E$2,0,AI237&lt;sheet2!$E$2,-1)</f>
        <v>0</v>
      </c>
      <c r="AW237" s="40" cm="1">
        <f t="array" ref="AW237">_xlfn.IFS(AJ237&gt;sheet2!$F$2,1,AJ237=sheet2!$F$2,0,AJ237&lt;sheet2!$F$2,-1)</f>
        <v>0</v>
      </c>
      <c r="AX237" s="40" cm="1">
        <f t="array" ref="AX237">_xlfn.IFS(AK237&gt;sheet2!$G$2,1,AK237=sheet2!$G$2,0,AK237&lt;sheet2!$G$2,-1)</f>
        <v>0</v>
      </c>
      <c r="AY237">
        <v>0.35484746390961014</v>
      </c>
      <c r="AZ237">
        <v>0.55529503712387651</v>
      </c>
      <c r="BA237">
        <v>1.5684135365304291E-3</v>
      </c>
      <c r="BB237">
        <v>3.2458882806714073E-3</v>
      </c>
      <c r="BC237">
        <v>0.29679860182222151</v>
      </c>
    </row>
    <row r="238" spans="1:55" ht="14.4" x14ac:dyDescent="0.25">
      <c r="A238" s="2">
        <v>30</v>
      </c>
      <c r="B238" s="2" t="s">
        <v>47</v>
      </c>
      <c r="C238" s="2">
        <v>2020</v>
      </c>
      <c r="D238" s="2">
        <v>18981.810000000001</v>
      </c>
      <c r="E238" s="17">
        <v>44571.102778560606</v>
      </c>
      <c r="F238" s="5">
        <v>13797.58</v>
      </c>
      <c r="G238" s="3">
        <f t="shared" si="145"/>
        <v>1.3757347302932834</v>
      </c>
      <c r="H238" s="2">
        <f t="shared" si="177"/>
        <v>1.1682880401195583E-2</v>
      </c>
      <c r="I238" s="14">
        <v>0.48654233419702941</v>
      </c>
      <c r="J238" s="2">
        <f>(I238-I237)/I237</f>
        <v>2.9569298955624393E-2</v>
      </c>
      <c r="K238">
        <f t="shared" si="148"/>
        <v>3.2303565392308364</v>
      </c>
      <c r="L238">
        <f t="shared" si="178"/>
        <v>1.4833947297628077E-2</v>
      </c>
      <c r="M238" s="2">
        <v>0</v>
      </c>
      <c r="N238" s="2">
        <v>0</v>
      </c>
      <c r="O238" s="2">
        <v>0</v>
      </c>
      <c r="P238" s="4">
        <v>1</v>
      </c>
      <c r="Q238" s="41">
        <v>0.99999999580495169</v>
      </c>
      <c r="R238" s="40">
        <v>0</v>
      </c>
      <c r="S238" s="40">
        <v>0</v>
      </c>
      <c r="T238" s="40">
        <v>0</v>
      </c>
      <c r="U238" s="40">
        <v>0</v>
      </c>
      <c r="V238" s="40">
        <v>0</v>
      </c>
      <c r="W238" s="40">
        <v>0</v>
      </c>
      <c r="X238" s="40">
        <v>0</v>
      </c>
      <c r="Y238" s="40">
        <v>1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0.2</v>
      </c>
      <c r="AH238" s="40">
        <v>0.13500000000000001</v>
      </c>
      <c r="AI238" s="40">
        <v>0.18</v>
      </c>
      <c r="AJ238" s="40">
        <v>0.25</v>
      </c>
      <c r="AK238" s="40">
        <v>0.65</v>
      </c>
      <c r="AL238" s="40">
        <v>1</v>
      </c>
      <c r="AM238" s="40">
        <v>1</v>
      </c>
      <c r="AN238" s="40">
        <v>1</v>
      </c>
      <c r="AO238" s="40">
        <v>1</v>
      </c>
      <c r="AP238" s="40">
        <v>1</v>
      </c>
      <c r="AQ238" s="40">
        <f t="shared" si="179"/>
        <v>1</v>
      </c>
      <c r="AR238" s="40">
        <f t="shared" si="180"/>
        <v>1</v>
      </c>
      <c r="AS238" s="40">
        <f t="shared" si="181"/>
        <v>1</v>
      </c>
      <c r="AT238" s="40" cm="1">
        <f t="array" ref="AT238">_xlfn.IFS(AG238&gt;sheet2!$C$2,1,AG238=sheet2!$C$2,0,AG238&lt;sheet2!$C$2,-1)</f>
        <v>0</v>
      </c>
      <c r="AU238" s="40" cm="1">
        <f t="array" ref="AU238">_xlfn.IFS(AH238&gt;sheet2!$D$2,1,AH238=sheet2!$D$2,0,AH238&lt;sheet2!$D$2,-1)</f>
        <v>0</v>
      </c>
      <c r="AV238" s="40" cm="1">
        <f t="array" ref="AV238">_xlfn.IFS(AI238&gt;sheet2!$E$2,1,AI238=sheet2!$E$2,0,AI238&lt;sheet2!$E$2,-1)</f>
        <v>0</v>
      </c>
      <c r="AW238" s="40" cm="1">
        <f t="array" ref="AW238">_xlfn.IFS(AJ238&gt;sheet2!$F$2,1,AJ238=sheet2!$F$2,0,AJ238&lt;sheet2!$F$2,-1)</f>
        <v>0</v>
      </c>
      <c r="AX238" s="40" cm="1">
        <f t="array" ref="AX238">_xlfn.IFS(AK238&gt;sheet2!$G$2,1,AK238=sheet2!$G$2,0,AK238&lt;sheet2!$G$2,-1)</f>
        <v>0</v>
      </c>
      <c r="AY238">
        <v>0.34777837852724897</v>
      </c>
      <c r="AZ238">
        <v>0.5652509652509653</v>
      </c>
      <c r="BA238">
        <v>1.5874134660468196E-3</v>
      </c>
      <c r="BB238">
        <v>2.8406358216440854E-3</v>
      </c>
      <c r="BC238">
        <v>0.26697583297790051</v>
      </c>
    </row>
    <row r="239" spans="1:55" ht="14.4" x14ac:dyDescent="0.25">
      <c r="A239" s="2">
        <v>30</v>
      </c>
      <c r="B239" s="2" t="s">
        <v>47</v>
      </c>
      <c r="C239" s="2">
        <v>2021</v>
      </c>
      <c r="D239" s="2">
        <v>19661.223108851202</v>
      </c>
      <c r="E239" s="17">
        <v>48279.494085315695</v>
      </c>
      <c r="F239" s="30">
        <v>15983.6469</v>
      </c>
      <c r="G239" s="3">
        <f t="shared" si="145"/>
        <v>1.2300836743866759</v>
      </c>
      <c r="H239" s="2">
        <f t="shared" si="177"/>
        <v>-0.10587146831392212</v>
      </c>
      <c r="K239">
        <f t="shared" si="148"/>
        <v>3.0205555958143506</v>
      </c>
      <c r="L239">
        <f t="shared" si="178"/>
        <v>-6.4946683398124358E-2</v>
      </c>
      <c r="M239" s="2">
        <v>0</v>
      </c>
      <c r="N239" s="2">
        <v>0</v>
      </c>
      <c r="O239" s="2">
        <v>0</v>
      </c>
      <c r="P239" s="4">
        <v>1</v>
      </c>
      <c r="Q239" s="41">
        <v>0.99999999580495169</v>
      </c>
      <c r="R239" s="40">
        <v>0</v>
      </c>
      <c r="S239" s="40">
        <v>0</v>
      </c>
      <c r="T239" s="40">
        <v>0</v>
      </c>
      <c r="U239" s="40">
        <v>0</v>
      </c>
      <c r="V239" s="40">
        <v>0</v>
      </c>
      <c r="W239" s="40">
        <v>0</v>
      </c>
      <c r="X239" s="40">
        <v>0</v>
      </c>
      <c r="Y239" s="40">
        <v>1</v>
      </c>
      <c r="Z239" s="40">
        <v>0</v>
      </c>
      <c r="AA239" s="40">
        <v>0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0.2</v>
      </c>
      <c r="AH239" s="40">
        <v>0.13500000000000001</v>
      </c>
      <c r="AI239" s="40">
        <v>0.18</v>
      </c>
      <c r="AJ239" s="40">
        <v>0.25</v>
      </c>
      <c r="AK239" s="40">
        <v>0.65</v>
      </c>
      <c r="AL239" s="40">
        <v>1</v>
      </c>
      <c r="AM239" s="40">
        <v>1</v>
      </c>
      <c r="AN239" s="40">
        <v>1</v>
      </c>
      <c r="AO239" s="40">
        <v>1</v>
      </c>
      <c r="AP239" s="40">
        <v>1</v>
      </c>
      <c r="AQ239" s="40">
        <f t="shared" si="179"/>
        <v>1</v>
      </c>
      <c r="AR239" s="40">
        <f t="shared" si="180"/>
        <v>1</v>
      </c>
      <c r="AS239" s="40">
        <f t="shared" si="181"/>
        <v>1</v>
      </c>
      <c r="AT239" s="40" cm="1">
        <f t="array" ref="AT239">_xlfn.IFS(AG239&gt;sheet2!$C$2,1,AG239=sheet2!$C$2,0,AG239&lt;sheet2!$C$2,-1)</f>
        <v>0</v>
      </c>
      <c r="AU239" s="40" cm="1">
        <f t="array" ref="AU239">_xlfn.IFS(AH239&gt;sheet2!$D$2,1,AH239=sheet2!$D$2,0,AH239&lt;sheet2!$D$2,-1)</f>
        <v>0</v>
      </c>
      <c r="AV239" s="40" cm="1">
        <f t="array" ref="AV239">_xlfn.IFS(AI239&gt;sheet2!$E$2,1,AI239=sheet2!$E$2,0,AI239&lt;sheet2!$E$2,-1)</f>
        <v>0</v>
      </c>
      <c r="AW239" s="40" cm="1">
        <f t="array" ref="AW239">_xlfn.IFS(AJ239&gt;sheet2!$F$2,1,AJ239=sheet2!$F$2,0,AJ239&lt;sheet2!$F$2,-1)</f>
        <v>0</v>
      </c>
      <c r="AX239" s="40" cm="1">
        <f t="array" ref="AX239">_xlfn.IFS(AK239&gt;sheet2!$G$2,1,AK239=sheet2!$G$2,0,AK239&lt;sheet2!$G$2,-1)</f>
        <v>0</v>
      </c>
      <c r="AY239">
        <v>0.39298290554704385</v>
      </c>
      <c r="AZ239">
        <v>0.57242178447276937</v>
      </c>
      <c r="BA239">
        <v>1.5868005650946778E-3</v>
      </c>
      <c r="BB239">
        <v>3.3898333927784657E-3</v>
      </c>
      <c r="BC239">
        <v>0.30102977360603023</v>
      </c>
    </row>
    <row r="240" spans="1:55" ht="14.4" x14ac:dyDescent="0.25">
      <c r="A240" s="2">
        <v>30</v>
      </c>
      <c r="B240" s="2" t="s">
        <v>47</v>
      </c>
      <c r="C240" s="2">
        <v>2022</v>
      </c>
      <c r="D240">
        <v>20853.224979999999</v>
      </c>
      <c r="E240" s="17">
        <f>484931166.364866/10000</f>
        <v>48493.1166364866</v>
      </c>
      <c r="F240" s="34">
        <v>18042.669999999998</v>
      </c>
      <c r="G240" s="3">
        <f t="shared" si="145"/>
        <v>1.1557726755519</v>
      </c>
      <c r="H240" s="2">
        <f t="shared" si="177"/>
        <v>-6.0411336547351223E-2</v>
      </c>
      <c r="K240">
        <f t="shared" si="148"/>
        <v>2.6876907152038254</v>
      </c>
      <c r="L240">
        <f t="shared" si="178"/>
        <v>-0.1101998854355746</v>
      </c>
      <c r="M240" s="2">
        <v>1</v>
      </c>
      <c r="N240" s="2">
        <v>1</v>
      </c>
      <c r="O240" s="2">
        <v>0</v>
      </c>
      <c r="P240" s="4">
        <v>1</v>
      </c>
      <c r="Q240" s="41">
        <v>0.99999999580495169</v>
      </c>
      <c r="R240" s="40">
        <v>0</v>
      </c>
      <c r="S240" s="40">
        <v>0</v>
      </c>
      <c r="T240" s="40">
        <v>0</v>
      </c>
      <c r="U240" s="40">
        <v>0</v>
      </c>
      <c r="V240" s="40">
        <v>0</v>
      </c>
      <c r="W240" s="40">
        <v>0</v>
      </c>
      <c r="X240" s="40">
        <v>0</v>
      </c>
      <c r="Y240" s="40">
        <v>1</v>
      </c>
      <c r="Z240" s="40">
        <v>0</v>
      </c>
      <c r="AA240" s="40">
        <v>0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0.2</v>
      </c>
      <c r="AH240" s="40">
        <v>0.13500000000000001</v>
      </c>
      <c r="AI240" s="40">
        <v>0.18</v>
      </c>
      <c r="AJ240" s="40">
        <v>0.25</v>
      </c>
      <c r="AK240" s="40">
        <v>0.65</v>
      </c>
      <c r="AL240" s="40">
        <v>1</v>
      </c>
      <c r="AM240" s="40">
        <v>1</v>
      </c>
      <c r="AN240" s="40">
        <v>1</v>
      </c>
      <c r="AO240" s="40">
        <v>1</v>
      </c>
      <c r="AP240" s="40">
        <v>1</v>
      </c>
      <c r="AQ240" s="40">
        <f t="shared" si="179"/>
        <v>1</v>
      </c>
      <c r="AR240" s="40">
        <f t="shared" si="180"/>
        <v>1</v>
      </c>
      <c r="AS240" s="40">
        <f t="shared" si="181"/>
        <v>1</v>
      </c>
      <c r="AT240" s="40" cm="1">
        <f t="array" ref="AT240">_xlfn.IFS(AG240&gt;sheet2!$C$2,1,AG240=sheet2!$C$2,0,AG240&lt;sheet2!$C$2,-1)</f>
        <v>0</v>
      </c>
      <c r="AU240" s="40" cm="1">
        <f t="array" ref="AU240">_xlfn.IFS(AH240&gt;sheet2!$D$2,1,AH240=sheet2!$D$2,0,AH240&lt;sheet2!$D$2,-1)</f>
        <v>0</v>
      </c>
      <c r="AV240" s="40" cm="1">
        <f t="array" ref="AV240">_xlfn.IFS(AI240&gt;sheet2!$E$2,1,AI240=sheet2!$E$2,0,AI240&lt;sheet2!$E$2,-1)</f>
        <v>0</v>
      </c>
      <c r="AW240" s="40" cm="1">
        <f t="array" ref="AW240">_xlfn.IFS(AJ240&gt;sheet2!$F$2,1,AJ240=sheet2!$F$2,0,AJ240&lt;sheet2!$F$2,-1)</f>
        <v>0</v>
      </c>
      <c r="AX240" s="40" cm="1">
        <f t="array" ref="AX240">_xlfn.IFS(AK240&gt;sheet2!$G$2,1,AK240=sheet2!$G$2,0,AK240&lt;sheet2!$G$2,-1)</f>
        <v>0</v>
      </c>
      <c r="AY240">
        <v>0.40530032417596734</v>
      </c>
      <c r="AZ240">
        <v>0.57904909161190565</v>
      </c>
      <c r="BA240">
        <v>1.5855747631903945E-3</v>
      </c>
      <c r="BB240">
        <v>3.5537423230597247E-3</v>
      </c>
      <c r="BC240">
        <v>0.27646662960470492</v>
      </c>
    </row>
    <row r="241" spans="1:55" ht="14.4" x14ac:dyDescent="0.25">
      <c r="A241" s="2">
        <v>30</v>
      </c>
      <c r="B241" s="2" t="s">
        <v>47</v>
      </c>
      <c r="C241" s="2">
        <v>2023</v>
      </c>
      <c r="D241">
        <v>21632.054578288102</v>
      </c>
      <c r="E241">
        <v>52262.416536984405</v>
      </c>
      <c r="F241" s="32">
        <v>19125.91</v>
      </c>
      <c r="G241" s="3">
        <f t="shared" si="145"/>
        <v>1.1310340045670038</v>
      </c>
      <c r="H241" s="2">
        <f t="shared" si="177"/>
        <v>-2.1404443545166116E-2</v>
      </c>
      <c r="K241">
        <f t="shared" si="148"/>
        <v>2.7325453553312968</v>
      </c>
      <c r="L241">
        <f t="shared" si="178"/>
        <v>1.6688914343356578E-2</v>
      </c>
      <c r="M241" s="2">
        <v>1</v>
      </c>
      <c r="N241" s="2">
        <v>1</v>
      </c>
      <c r="O241" s="2">
        <v>1</v>
      </c>
      <c r="P241" s="4">
        <v>1</v>
      </c>
      <c r="Q241" s="41">
        <v>0.99999999580495169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  <c r="W241" s="40">
        <v>0</v>
      </c>
      <c r="X241" s="40">
        <v>0</v>
      </c>
      <c r="Y241" s="40">
        <v>1</v>
      </c>
      <c r="Z241" s="40">
        <v>0</v>
      </c>
      <c r="AA241" s="40">
        <v>0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0.2</v>
      </c>
      <c r="AH241" s="40">
        <v>0.13500000000000001</v>
      </c>
      <c r="AI241" s="40">
        <v>0.18</v>
      </c>
      <c r="AJ241" s="40">
        <v>0.25</v>
      </c>
      <c r="AK241" s="40">
        <v>0.65</v>
      </c>
      <c r="AL241" s="40">
        <v>1</v>
      </c>
      <c r="AM241" s="40">
        <v>1</v>
      </c>
      <c r="AN241" s="40">
        <v>1</v>
      </c>
      <c r="AO241" s="40">
        <v>1</v>
      </c>
      <c r="AP241" s="40">
        <v>1</v>
      </c>
      <c r="AQ241" s="40">
        <f t="shared" si="179"/>
        <v>1</v>
      </c>
      <c r="AR241" s="40">
        <f t="shared" si="180"/>
        <v>1</v>
      </c>
      <c r="AS241" s="40">
        <f t="shared" si="181"/>
        <v>1</v>
      </c>
      <c r="AT241" s="40" cm="1">
        <f t="array" ref="AT241">_xlfn.IFS(AG241&gt;sheet2!$C$2,1,AG241=sheet2!$C$2,0,AG241&lt;sheet2!$C$2,-1)</f>
        <v>0</v>
      </c>
      <c r="AU241" s="40" cm="1">
        <f t="array" ref="AU241">_xlfn.IFS(AH241&gt;sheet2!$D$2,1,AH241=sheet2!$D$2,0,AH241&lt;sheet2!$D$2,-1)</f>
        <v>0</v>
      </c>
      <c r="AV241" s="40" cm="1">
        <f t="array" ref="AV241">_xlfn.IFS(AI241&gt;sheet2!$E$2,1,AI241=sheet2!$E$2,0,AI241&lt;sheet2!$E$2,-1)</f>
        <v>0</v>
      </c>
      <c r="AW241" s="40" cm="1">
        <f t="array" ref="AW241">_xlfn.IFS(AJ241&gt;sheet2!$F$2,1,AJ241=sheet2!$F$2,0,AJ241&lt;sheet2!$F$2,-1)</f>
        <v>0</v>
      </c>
      <c r="AX241" s="40" cm="1">
        <f t="array" ref="AX241">_xlfn.IFS(AK241&gt;sheet2!$G$2,1,AK241=sheet2!$G$2,0,AK241&lt;sheet2!$G$2,-1)</f>
        <v>0</v>
      </c>
      <c r="AY241">
        <v>0.39525962424794425</v>
      </c>
      <c r="AZ241">
        <v>0.59237875288683606</v>
      </c>
      <c r="BA241">
        <v>1.5923166736639526E-3</v>
      </c>
      <c r="BB241">
        <v>4.2403263426419972E-3</v>
      </c>
      <c r="BC241">
        <v>0.28805282953040712</v>
      </c>
    </row>
  </sheetData>
  <autoFilter ref="A1:P241" xr:uid="{1BBACB0B-A000-407F-B163-14ABA742E5CA}">
    <sortState xmlns:xlrd2="http://schemas.microsoft.com/office/spreadsheetml/2017/richdata2" ref="A2:P239">
      <sortCondition ref="A1:A239"/>
    </sortState>
  </autoFilter>
  <sortState xmlns:xlrd2="http://schemas.microsoft.com/office/spreadsheetml/2017/richdata2" ref="A7:AX241">
    <sortCondition ref="B1:B24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9C6-D1A2-4FE7-9BAE-2B5454F8304F}">
  <dimension ref="A1:B45"/>
  <sheetViews>
    <sheetView zoomScale="115" zoomScaleNormal="115" workbookViewId="0">
      <selection activeCell="B23" sqref="B23"/>
    </sheetView>
  </sheetViews>
  <sheetFormatPr defaultRowHeight="13.8" x14ac:dyDescent="0.25"/>
  <cols>
    <col min="1" max="1" width="22.44140625" bestFit="1" customWidth="1"/>
    <col min="2" max="2" width="44.6640625" style="13" bestFit="1" customWidth="1"/>
  </cols>
  <sheetData>
    <row r="1" spans="1:2" x14ac:dyDescent="0.25">
      <c r="A1" s="27" t="s">
        <v>140</v>
      </c>
      <c r="B1" s="26" t="s">
        <v>139</v>
      </c>
    </row>
    <row r="2" spans="1:2" x14ac:dyDescent="0.25">
      <c r="A2" s="12" t="s">
        <v>0</v>
      </c>
      <c r="B2" s="13" t="s">
        <v>143</v>
      </c>
    </row>
    <row r="3" spans="1:2" x14ac:dyDescent="0.25">
      <c r="A3" s="12" t="s">
        <v>6</v>
      </c>
      <c r="B3" s="13" t="s">
        <v>142</v>
      </c>
    </row>
    <row r="4" spans="1:2" x14ac:dyDescent="0.25">
      <c r="A4" s="12" t="s">
        <v>1</v>
      </c>
      <c r="B4" s="13" t="s">
        <v>141</v>
      </c>
    </row>
    <row r="5" spans="1:2" x14ac:dyDescent="0.25">
      <c r="A5" s="12" t="s">
        <v>108</v>
      </c>
      <c r="B5" s="13" t="s">
        <v>144</v>
      </c>
    </row>
    <row r="6" spans="1:2" x14ac:dyDescent="0.25">
      <c r="A6" s="12" t="s">
        <v>109</v>
      </c>
      <c r="B6" s="13" t="s">
        <v>145</v>
      </c>
    </row>
    <row r="7" spans="1:2" x14ac:dyDescent="0.25">
      <c r="A7" s="12" t="s">
        <v>110</v>
      </c>
      <c r="B7" s="13" t="s">
        <v>146</v>
      </c>
    </row>
    <row r="8" spans="1:2" x14ac:dyDescent="0.25">
      <c r="A8" s="23" t="s">
        <v>102</v>
      </c>
      <c r="B8" s="13" t="s">
        <v>147</v>
      </c>
    </row>
    <row r="9" spans="1:2" x14ac:dyDescent="0.25">
      <c r="A9" s="23" t="s">
        <v>111</v>
      </c>
      <c r="B9" s="13" t="s">
        <v>148</v>
      </c>
    </row>
    <row r="10" spans="1:2" ht="14.4" x14ac:dyDescent="0.25">
      <c r="A10" s="22" t="s">
        <v>104</v>
      </c>
      <c r="B10" s="13" t="s">
        <v>149</v>
      </c>
    </row>
    <row r="11" spans="1:2" ht="14.4" x14ac:dyDescent="0.25">
      <c r="A11" s="22" t="s">
        <v>105</v>
      </c>
      <c r="B11" s="13" t="s">
        <v>150</v>
      </c>
    </row>
    <row r="12" spans="1:2" ht="14.4" x14ac:dyDescent="0.25">
      <c r="A12" s="22" t="s">
        <v>103</v>
      </c>
      <c r="B12" s="13" t="s">
        <v>151</v>
      </c>
    </row>
    <row r="13" spans="1:2" x14ac:dyDescent="0.25">
      <c r="A13" s="12" t="s">
        <v>93</v>
      </c>
      <c r="B13" s="13" t="s">
        <v>152</v>
      </c>
    </row>
    <row r="14" spans="1:2" x14ac:dyDescent="0.25">
      <c r="A14" s="12" t="s">
        <v>52</v>
      </c>
      <c r="B14" s="13" t="s">
        <v>153</v>
      </c>
    </row>
    <row r="15" spans="1:2" x14ac:dyDescent="0.25">
      <c r="A15" s="12" t="s">
        <v>94</v>
      </c>
      <c r="B15" s="13" t="s">
        <v>154</v>
      </c>
    </row>
    <row r="16" spans="1:2" x14ac:dyDescent="0.25">
      <c r="A16" s="12" t="s">
        <v>106</v>
      </c>
      <c r="B16" s="13" t="s">
        <v>158</v>
      </c>
    </row>
    <row r="17" spans="1:2" x14ac:dyDescent="0.25">
      <c r="A17" s="12" t="s">
        <v>107</v>
      </c>
      <c r="B17" s="13" t="s">
        <v>159</v>
      </c>
    </row>
    <row r="18" spans="1:2" x14ac:dyDescent="0.25">
      <c r="A18" s="12" t="s">
        <v>97</v>
      </c>
      <c r="B18" s="13" t="s">
        <v>155</v>
      </c>
    </row>
    <row r="19" spans="1:2" x14ac:dyDescent="0.25">
      <c r="A19" s="12" t="s">
        <v>98</v>
      </c>
      <c r="B19" s="13" t="s">
        <v>156</v>
      </c>
    </row>
    <row r="20" spans="1:2" x14ac:dyDescent="0.25">
      <c r="A20" s="12" t="s">
        <v>100</v>
      </c>
      <c r="B20" s="13" t="s">
        <v>157</v>
      </c>
    </row>
    <row r="21" spans="1:2" x14ac:dyDescent="0.25">
      <c r="A21" s="12" t="s">
        <v>121</v>
      </c>
      <c r="B21" s="13" t="s">
        <v>162</v>
      </c>
    </row>
    <row r="22" spans="1:2" x14ac:dyDescent="0.25">
      <c r="A22" s="12" t="s">
        <v>122</v>
      </c>
      <c r="B22" s="13" t="s">
        <v>160</v>
      </c>
    </row>
    <row r="23" spans="1:2" x14ac:dyDescent="0.25">
      <c r="A23" s="12" t="s">
        <v>123</v>
      </c>
      <c r="B23" s="13" t="s">
        <v>161</v>
      </c>
    </row>
    <row r="24" spans="1:2" x14ac:dyDescent="0.25">
      <c r="A24" s="12" t="s">
        <v>124</v>
      </c>
      <c r="B24" s="13" t="s">
        <v>163</v>
      </c>
    </row>
    <row r="25" spans="1:2" x14ac:dyDescent="0.25">
      <c r="A25" s="12" t="s">
        <v>125</v>
      </c>
      <c r="B25" s="13" t="s">
        <v>164</v>
      </c>
    </row>
    <row r="26" spans="1:2" x14ac:dyDescent="0.25">
      <c r="A26" s="12" t="s">
        <v>126</v>
      </c>
      <c r="B26" s="13" t="s">
        <v>165</v>
      </c>
    </row>
    <row r="27" spans="1:2" x14ac:dyDescent="0.25">
      <c r="A27" s="12" t="s">
        <v>127</v>
      </c>
      <c r="B27" s="13" t="s">
        <v>165</v>
      </c>
    </row>
    <row r="28" spans="1:2" x14ac:dyDescent="0.25">
      <c r="A28" s="12" t="s">
        <v>128</v>
      </c>
      <c r="B28" s="13" t="s">
        <v>165</v>
      </c>
    </row>
    <row r="29" spans="1:2" x14ac:dyDescent="0.25">
      <c r="A29" s="12" t="s">
        <v>129</v>
      </c>
      <c r="B29" s="13" t="s">
        <v>165</v>
      </c>
    </row>
    <row r="30" spans="1:2" x14ac:dyDescent="0.25">
      <c r="A30" s="12" t="s">
        <v>130</v>
      </c>
      <c r="B30" s="13" t="s">
        <v>165</v>
      </c>
    </row>
    <row r="31" spans="1:2" x14ac:dyDescent="0.25">
      <c r="A31" s="12" t="s">
        <v>131</v>
      </c>
      <c r="B31" s="13" t="s">
        <v>166</v>
      </c>
    </row>
    <row r="32" spans="1:2" x14ac:dyDescent="0.25">
      <c r="A32" s="12" t="s">
        <v>132</v>
      </c>
      <c r="B32" s="13" t="s">
        <v>166</v>
      </c>
    </row>
    <row r="33" spans="1:2" x14ac:dyDescent="0.25">
      <c r="A33" s="12" t="s">
        <v>133</v>
      </c>
      <c r="B33" s="13" t="s">
        <v>166</v>
      </c>
    </row>
    <row r="34" spans="1:2" x14ac:dyDescent="0.25">
      <c r="A34" s="12" t="s">
        <v>134</v>
      </c>
      <c r="B34" s="13" t="s">
        <v>167</v>
      </c>
    </row>
    <row r="35" spans="1:2" x14ac:dyDescent="0.25">
      <c r="A35" s="12" t="s">
        <v>135</v>
      </c>
      <c r="B35" s="13" t="s">
        <v>168</v>
      </c>
    </row>
    <row r="36" spans="1:2" x14ac:dyDescent="0.25">
      <c r="A36" s="12" t="s">
        <v>136</v>
      </c>
      <c r="B36" s="13" t="s">
        <v>169</v>
      </c>
    </row>
    <row r="37" spans="1:2" x14ac:dyDescent="0.25">
      <c r="A37" s="12" t="s">
        <v>137</v>
      </c>
      <c r="B37" s="13" t="s">
        <v>170</v>
      </c>
    </row>
    <row r="38" spans="1:2" x14ac:dyDescent="0.25">
      <c r="A38" s="12" t="s">
        <v>138</v>
      </c>
      <c r="B38" s="13" t="s">
        <v>171</v>
      </c>
    </row>
    <row r="39" spans="1:2" x14ac:dyDescent="0.25">
      <c r="A39" s="27" t="s">
        <v>172</v>
      </c>
      <c r="B39" s="26" t="s">
        <v>139</v>
      </c>
    </row>
    <row r="40" spans="1:2" ht="14.4" x14ac:dyDescent="0.25">
      <c r="A40" s="11" t="s">
        <v>48</v>
      </c>
      <c r="B40" s="13" t="s">
        <v>173</v>
      </c>
    </row>
    <row r="41" spans="1:2" ht="14.4" x14ac:dyDescent="0.25">
      <c r="A41" s="11" t="s">
        <v>53</v>
      </c>
      <c r="B41" s="13" t="s">
        <v>173</v>
      </c>
    </row>
    <row r="42" spans="1:2" x14ac:dyDescent="0.25">
      <c r="A42" s="15" t="s">
        <v>54</v>
      </c>
      <c r="B42" s="13" t="s">
        <v>173</v>
      </c>
    </row>
    <row r="43" spans="1:2" x14ac:dyDescent="0.25">
      <c r="A43" s="15" t="s">
        <v>56</v>
      </c>
      <c r="B43" s="13" t="s">
        <v>173</v>
      </c>
    </row>
    <row r="44" spans="1:2" x14ac:dyDescent="0.25">
      <c r="A44" s="18" t="s">
        <v>57</v>
      </c>
      <c r="B44" s="13" t="s">
        <v>173</v>
      </c>
    </row>
    <row r="45" spans="1:2" x14ac:dyDescent="0.25">
      <c r="A45" s="18" t="s">
        <v>58</v>
      </c>
      <c r="B45" s="13" t="s">
        <v>173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C5C9-C764-475D-94E9-1FF379534BCF}">
  <sheetPr filterMode="1"/>
  <dimension ref="A1:AA222"/>
  <sheetViews>
    <sheetView workbookViewId="0">
      <selection activeCell="M7" sqref="M7:M222"/>
    </sheetView>
  </sheetViews>
  <sheetFormatPr defaultRowHeight="13.8" x14ac:dyDescent="0.25"/>
  <sheetData>
    <row r="1" spans="1:27" ht="39.6" x14ac:dyDescent="0.25">
      <c r="A1" s="21">
        <v>0.35300316122233916</v>
      </c>
      <c r="B1" s="4">
        <v>1</v>
      </c>
      <c r="E1" s="1" t="s">
        <v>2</v>
      </c>
      <c r="F1" s="1" t="s">
        <v>3</v>
      </c>
      <c r="G1" s="1" t="s">
        <v>4</v>
      </c>
      <c r="H1" s="15" t="s">
        <v>54</v>
      </c>
      <c r="I1" s="15" t="s">
        <v>56</v>
      </c>
      <c r="J1" s="12" t="s">
        <v>121</v>
      </c>
      <c r="K1" s="12" t="s">
        <v>122</v>
      </c>
      <c r="L1" s="12" t="s">
        <v>123</v>
      </c>
      <c r="M1" s="12" t="s">
        <v>124</v>
      </c>
      <c r="N1" s="12" t="s">
        <v>125</v>
      </c>
      <c r="O1" s="12" t="s">
        <v>126</v>
      </c>
      <c r="P1" s="12" t="s">
        <v>127</v>
      </c>
      <c r="Q1" s="12" t="s">
        <v>128</v>
      </c>
      <c r="R1" s="12" t="s">
        <v>129</v>
      </c>
      <c r="S1" s="12" t="s">
        <v>130</v>
      </c>
      <c r="T1" s="12" t="s">
        <v>131</v>
      </c>
      <c r="U1" s="12" t="s">
        <v>132</v>
      </c>
      <c r="V1" s="12" t="s">
        <v>133</v>
      </c>
      <c r="W1" s="12" t="s">
        <v>134</v>
      </c>
      <c r="X1" s="12" t="s">
        <v>135</v>
      </c>
      <c r="Y1" s="12" t="s">
        <v>136</v>
      </c>
      <c r="Z1" s="12" t="s">
        <v>137</v>
      </c>
      <c r="AA1" s="12" t="s">
        <v>138</v>
      </c>
    </row>
    <row r="2" spans="1:27" ht="14.4" hidden="1" x14ac:dyDescent="0.25">
      <c r="A2" s="21">
        <v>1</v>
      </c>
      <c r="B2" s="4">
        <v>1</v>
      </c>
      <c r="E2" s="2">
        <v>1</v>
      </c>
      <c r="F2" s="2" t="s">
        <v>7</v>
      </c>
      <c r="G2" s="2">
        <v>2016</v>
      </c>
      <c r="H2" s="14">
        <v>0.35776976242132996</v>
      </c>
      <c r="I2" s="2"/>
      <c r="J2">
        <v>0.14400000000000002</v>
      </c>
      <c r="K2">
        <v>0.14000000000000001</v>
      </c>
      <c r="L2">
        <v>0.18</v>
      </c>
      <c r="M2">
        <v>0.25</v>
      </c>
      <c r="N2">
        <v>0.65</v>
      </c>
      <c r="O2">
        <v>0.72000000000000008</v>
      </c>
      <c r="P2">
        <v>1.037037037037037</v>
      </c>
      <c r="Q2">
        <v>1</v>
      </c>
      <c r="R2">
        <v>1</v>
      </c>
      <c r="S2">
        <v>1</v>
      </c>
      <c r="T2">
        <f>AVERAGE(O2,R2)</f>
        <v>0.8600000000000001</v>
      </c>
      <c r="U2">
        <f>AVERAGE(P2)</f>
        <v>1.037037037037037</v>
      </c>
      <c r="V2">
        <f>AVERAGE(Q2,S2)</f>
        <v>1</v>
      </c>
      <c r="W2" cm="1">
        <f t="array" ref="W2">_xlfn.IFS(J2&gt;sheet2!$C$2,1,J2=sheet2!$C$2,0,J2&lt;sheet2!$C$2,-1)</f>
        <v>-1</v>
      </c>
      <c r="X2" cm="1">
        <f t="array" ref="X2">_xlfn.IFS(K2&gt;sheet2!$D$2,1,K2=sheet2!$D$2,0,K2&lt;sheet2!$D$2,-1)</f>
        <v>1</v>
      </c>
      <c r="Y2" cm="1">
        <f t="array" ref="Y2">_xlfn.IFS(L2&gt;sheet2!$E$2,1,L2=sheet2!$E$2,0,L2&lt;sheet2!$E$2,-1)</f>
        <v>0</v>
      </c>
      <c r="Z2" cm="1">
        <f t="array" ref="Z2">_xlfn.IFS(M2&gt;sheet2!$F$2,1,M2=sheet2!$F$2,0,M2&lt;sheet2!$F$2,-1)</f>
        <v>0</v>
      </c>
      <c r="AA2" cm="1">
        <f t="array" ref="AA2">_xlfn.IFS(N2&gt;sheet2!$G$2,1,N2=sheet2!$G$2,0,N2&lt;sheet2!$G$2,-1)</f>
        <v>0</v>
      </c>
    </row>
    <row r="3" spans="1:27" ht="14.4" hidden="1" x14ac:dyDescent="0.25">
      <c r="A3">
        <v>2.3182297154899886E-2</v>
      </c>
      <c r="B3" s="4">
        <v>1</v>
      </c>
      <c r="E3" s="2">
        <v>1</v>
      </c>
      <c r="F3" s="2" t="s">
        <v>7</v>
      </c>
      <c r="G3" s="2">
        <v>2017</v>
      </c>
      <c r="H3" s="14">
        <v>0.36853607721180265</v>
      </c>
      <c r="I3" s="2">
        <f t="shared" ref="I3:I8" si="0">(H3-H2)/H2</f>
        <v>3.0092858372401141E-2</v>
      </c>
      <c r="J3">
        <v>0.14400000000000002</v>
      </c>
      <c r="K3">
        <v>0.14000000000000001</v>
      </c>
      <c r="L3">
        <v>0.18</v>
      </c>
      <c r="M3">
        <v>0.25</v>
      </c>
      <c r="N3">
        <v>0.65</v>
      </c>
      <c r="O3">
        <v>0.72000000000000008</v>
      </c>
      <c r="P3">
        <v>1.037037037037037</v>
      </c>
      <c r="Q3">
        <v>1</v>
      </c>
      <c r="R3">
        <v>1</v>
      </c>
      <c r="S3">
        <v>1</v>
      </c>
      <c r="T3">
        <f t="shared" ref="T3:T66" si="1">AVERAGE(O3,R3)</f>
        <v>0.8600000000000001</v>
      </c>
      <c r="U3">
        <f t="shared" ref="U3:U66" si="2">AVERAGE(P3)</f>
        <v>1.037037037037037</v>
      </c>
      <c r="V3">
        <f t="shared" ref="V3:V66" si="3">AVERAGE(Q3,S3)</f>
        <v>1</v>
      </c>
      <c r="W3" cm="1">
        <f t="array" ref="W3">_xlfn.IFS(J3&gt;sheet2!$C$2,1,J3=sheet2!$C$2,0,J3&lt;sheet2!$C$2,-1)</f>
        <v>-1</v>
      </c>
      <c r="X3" cm="1">
        <f t="array" ref="X3">_xlfn.IFS(K3&gt;sheet2!$D$2,1,K3=sheet2!$D$2,0,K3&lt;sheet2!$D$2,-1)</f>
        <v>1</v>
      </c>
      <c r="Y3" cm="1">
        <f t="array" ref="Y3">_xlfn.IFS(L3&gt;sheet2!$E$2,1,L3=sheet2!$E$2,0,L3&lt;sheet2!$E$2,-1)</f>
        <v>0</v>
      </c>
      <c r="Z3" cm="1">
        <f t="array" ref="Z3">_xlfn.IFS(M3&gt;sheet2!$F$2,1,M3=sheet2!$F$2,0,M3&lt;sheet2!$F$2,-1)</f>
        <v>0</v>
      </c>
      <c r="AA3" cm="1">
        <f t="array" ref="AA3">_xlfn.IFS(N3&gt;sheet2!$G$2,1,N3=sheet2!$G$2,0,N3&lt;sheet2!$G$2,-1)</f>
        <v>0</v>
      </c>
    </row>
    <row r="4" spans="1:27" ht="14.4" hidden="1" x14ac:dyDescent="0.25">
      <c r="A4">
        <v>0.5879873551106426</v>
      </c>
      <c r="B4" s="4">
        <v>1</v>
      </c>
      <c r="E4" s="2">
        <v>1</v>
      </c>
      <c r="F4" s="2" t="s">
        <v>7</v>
      </c>
      <c r="G4" s="2">
        <v>2018</v>
      </c>
      <c r="H4" s="14">
        <v>0.38943710048553515</v>
      </c>
      <c r="I4" s="2">
        <f t="shared" si="0"/>
        <v>5.6713642343678608E-2</v>
      </c>
      <c r="J4">
        <v>0.14400000000000002</v>
      </c>
      <c r="K4">
        <v>0.14000000000000001</v>
      </c>
      <c r="L4">
        <v>0.18</v>
      </c>
      <c r="M4">
        <v>0.25</v>
      </c>
      <c r="N4">
        <v>0.65</v>
      </c>
      <c r="O4">
        <v>0.72000000000000008</v>
      </c>
      <c r="P4">
        <v>1.037037037037037</v>
      </c>
      <c r="Q4">
        <v>1</v>
      </c>
      <c r="R4">
        <v>1</v>
      </c>
      <c r="S4">
        <v>1</v>
      </c>
      <c r="T4">
        <f t="shared" si="1"/>
        <v>0.8600000000000001</v>
      </c>
      <c r="U4">
        <f t="shared" si="2"/>
        <v>1.037037037037037</v>
      </c>
      <c r="V4">
        <f t="shared" si="3"/>
        <v>1</v>
      </c>
      <c r="W4" cm="1">
        <f t="array" ref="W4">_xlfn.IFS(J4&gt;sheet2!$C$2,1,J4=sheet2!$C$2,0,J4&lt;sheet2!$C$2,-1)</f>
        <v>-1</v>
      </c>
      <c r="X4" cm="1">
        <f t="array" ref="X4">_xlfn.IFS(K4&gt;sheet2!$D$2,1,K4=sheet2!$D$2,0,K4&lt;sheet2!$D$2,-1)</f>
        <v>1</v>
      </c>
      <c r="Y4" cm="1">
        <f t="array" ref="Y4">_xlfn.IFS(L4&gt;sheet2!$E$2,1,L4=sheet2!$E$2,0,L4&lt;sheet2!$E$2,-1)</f>
        <v>0</v>
      </c>
      <c r="Z4" cm="1">
        <f t="array" ref="Z4">_xlfn.IFS(M4&gt;sheet2!$F$2,1,M4=sheet2!$F$2,0,M4&lt;sheet2!$F$2,-1)</f>
        <v>0</v>
      </c>
      <c r="AA4" cm="1">
        <f t="array" ref="AA4">_xlfn.IFS(N4&gt;sheet2!$G$2,1,N4=sheet2!$G$2,0,N4&lt;sheet2!$G$2,-1)</f>
        <v>0</v>
      </c>
    </row>
    <row r="5" spans="1:27" ht="14.4" hidden="1" x14ac:dyDescent="0.25">
      <c r="A5">
        <v>-0.55005268703898813</v>
      </c>
      <c r="B5" s="4">
        <v>1</v>
      </c>
      <c r="E5" s="2">
        <v>1</v>
      </c>
      <c r="F5" s="2" t="s">
        <v>7</v>
      </c>
      <c r="G5" s="2">
        <v>2019</v>
      </c>
      <c r="H5" s="14">
        <v>0.3937850751222417</v>
      </c>
      <c r="I5" s="2">
        <f t="shared" si="0"/>
        <v>1.116476738165333E-2</v>
      </c>
      <c r="J5">
        <v>0.14400000000000002</v>
      </c>
      <c r="K5">
        <v>0.14000000000000001</v>
      </c>
      <c r="L5">
        <v>0.18</v>
      </c>
      <c r="M5">
        <v>0.25</v>
      </c>
      <c r="N5">
        <v>0.65</v>
      </c>
      <c r="O5">
        <v>0.72000000000000008</v>
      </c>
      <c r="P5">
        <v>1.037037037037037</v>
      </c>
      <c r="Q5">
        <v>1</v>
      </c>
      <c r="R5">
        <v>1</v>
      </c>
      <c r="S5">
        <v>1</v>
      </c>
      <c r="T5">
        <f t="shared" si="1"/>
        <v>0.8600000000000001</v>
      </c>
      <c r="U5">
        <f t="shared" si="2"/>
        <v>1.037037037037037</v>
      </c>
      <c r="V5">
        <f t="shared" si="3"/>
        <v>1</v>
      </c>
      <c r="W5" cm="1">
        <f t="array" ref="W5">_xlfn.IFS(J5&gt;sheet2!$C$2,1,J5=sheet2!$C$2,0,J5&lt;sheet2!$C$2,-1)</f>
        <v>-1</v>
      </c>
      <c r="X5" cm="1">
        <f t="array" ref="X5">_xlfn.IFS(K5&gt;sheet2!$D$2,1,K5=sheet2!$D$2,0,K5&lt;sheet2!$D$2,-1)</f>
        <v>1</v>
      </c>
      <c r="Y5" cm="1">
        <f t="array" ref="Y5">_xlfn.IFS(L5&gt;sheet2!$E$2,1,L5=sheet2!$E$2,0,L5&lt;sheet2!$E$2,-1)</f>
        <v>0</v>
      </c>
      <c r="Z5" cm="1">
        <f t="array" ref="Z5">_xlfn.IFS(M5&gt;sheet2!$F$2,1,M5=sheet2!$F$2,0,M5&lt;sheet2!$F$2,-1)</f>
        <v>0</v>
      </c>
      <c r="AA5" cm="1">
        <f t="array" ref="AA5">_xlfn.IFS(N5&gt;sheet2!$G$2,1,N5=sheet2!$G$2,0,N5&lt;sheet2!$G$2,-1)</f>
        <v>0</v>
      </c>
    </row>
    <row r="6" spans="1:27" ht="14.4" hidden="1" x14ac:dyDescent="0.25">
      <c r="A6">
        <v>0.61222339304531059</v>
      </c>
      <c r="B6" s="4">
        <v>1</v>
      </c>
      <c r="E6" s="2">
        <v>1</v>
      </c>
      <c r="F6" s="2" t="s">
        <v>7</v>
      </c>
      <c r="G6" s="2">
        <v>2020</v>
      </c>
      <c r="H6" s="14">
        <v>0.45559969112697413</v>
      </c>
      <c r="I6" s="2">
        <f t="shared" si="0"/>
        <v>0.15697551763622192</v>
      </c>
      <c r="J6">
        <v>0.14400000000000002</v>
      </c>
      <c r="K6">
        <v>0.14000000000000001</v>
      </c>
      <c r="L6">
        <v>0.18</v>
      </c>
      <c r="M6">
        <v>0.25</v>
      </c>
      <c r="N6">
        <v>0.65</v>
      </c>
      <c r="O6">
        <v>0.72000000000000008</v>
      </c>
      <c r="P6">
        <v>1.037037037037037</v>
      </c>
      <c r="Q6">
        <v>1</v>
      </c>
      <c r="R6">
        <v>1</v>
      </c>
      <c r="S6">
        <v>1</v>
      </c>
      <c r="T6">
        <f t="shared" si="1"/>
        <v>0.8600000000000001</v>
      </c>
      <c r="U6">
        <f t="shared" si="2"/>
        <v>1.037037037037037</v>
      </c>
      <c r="V6">
        <f t="shared" si="3"/>
        <v>1</v>
      </c>
      <c r="W6" cm="1">
        <f t="array" ref="W6">_xlfn.IFS(J6&gt;sheet2!$C$2,1,J6=sheet2!$C$2,0,J6&lt;sheet2!$C$2,-1)</f>
        <v>-1</v>
      </c>
      <c r="X6" cm="1">
        <f t="array" ref="X6">_xlfn.IFS(K6&gt;sheet2!$D$2,1,K6=sheet2!$D$2,0,K6&lt;sheet2!$D$2,-1)</f>
        <v>1</v>
      </c>
      <c r="Y6" cm="1">
        <f t="array" ref="Y6">_xlfn.IFS(L6&gt;sheet2!$E$2,1,L6=sheet2!$E$2,0,L6&lt;sheet2!$E$2,-1)</f>
        <v>0</v>
      </c>
      <c r="Z6" cm="1">
        <f t="array" ref="Z6">_xlfn.IFS(M6&gt;sheet2!$F$2,1,M6=sheet2!$F$2,0,M6&lt;sheet2!$F$2,-1)</f>
        <v>0</v>
      </c>
      <c r="AA6" cm="1">
        <f t="array" ref="AA6">_xlfn.IFS(N6&gt;sheet2!$G$2,1,N6=sheet2!$G$2,0,N6&lt;sheet2!$G$2,-1)</f>
        <v>0</v>
      </c>
    </row>
    <row r="7" spans="1:27" ht="14.4" x14ac:dyDescent="0.25">
      <c r="A7">
        <v>9.4836670179135871E-2</v>
      </c>
      <c r="B7" s="4">
        <v>1</v>
      </c>
      <c r="E7" s="2">
        <v>1</v>
      </c>
      <c r="F7" s="2" t="s">
        <v>7</v>
      </c>
      <c r="G7" s="2">
        <v>2021</v>
      </c>
      <c r="H7" s="14">
        <v>0.44803090590260669</v>
      </c>
      <c r="I7" s="2">
        <f t="shared" si="0"/>
        <v>-1.6612797093091183E-2</v>
      </c>
      <c r="J7">
        <v>0.155</v>
      </c>
      <c r="K7">
        <v>0.14000000000000001</v>
      </c>
      <c r="L7">
        <v>0.18</v>
      </c>
      <c r="M7">
        <v>0.22</v>
      </c>
      <c r="N7">
        <v>0.65</v>
      </c>
      <c r="O7">
        <v>0.77499999999999991</v>
      </c>
      <c r="P7">
        <v>1.037037037037037</v>
      </c>
      <c r="Q7">
        <v>1</v>
      </c>
      <c r="R7">
        <v>0.88</v>
      </c>
      <c r="S7">
        <v>1</v>
      </c>
      <c r="T7">
        <f t="shared" si="1"/>
        <v>0.8274999999999999</v>
      </c>
      <c r="U7">
        <f t="shared" si="2"/>
        <v>1.037037037037037</v>
      </c>
      <c r="V7">
        <f t="shared" si="3"/>
        <v>1</v>
      </c>
      <c r="W7" cm="1">
        <f t="array" ref="W7">_xlfn.IFS(J7&gt;sheet2!$C$2,1,J7=sheet2!$C$2,0,J7&lt;sheet2!$C$2,-1)</f>
        <v>-1</v>
      </c>
      <c r="X7" cm="1">
        <f t="array" ref="X7">_xlfn.IFS(K7&gt;sheet2!$D$2,1,K7=sheet2!$D$2,0,K7&lt;sheet2!$D$2,-1)</f>
        <v>1</v>
      </c>
      <c r="Y7" cm="1">
        <f t="array" ref="Y7">_xlfn.IFS(L7&gt;sheet2!$E$2,1,L7=sheet2!$E$2,0,L7&lt;sheet2!$E$2,-1)</f>
        <v>0</v>
      </c>
      <c r="Z7" cm="1">
        <f t="array" ref="Z7">_xlfn.IFS(M7&gt;sheet2!$F$2,1,M7=sheet2!$F$2,0,M7&lt;sheet2!$F$2,-1)</f>
        <v>-1</v>
      </c>
      <c r="AA7" cm="1">
        <f t="array" ref="AA7">_xlfn.IFS(N7&gt;sheet2!$G$2,1,N7=sheet2!$G$2,0,N7&lt;sheet2!$G$2,-1)</f>
        <v>0</v>
      </c>
    </row>
    <row r="8" spans="1:27" ht="14.4" hidden="1" x14ac:dyDescent="0.25">
      <c r="A8">
        <v>0</v>
      </c>
      <c r="B8" s="4">
        <v>0</v>
      </c>
      <c r="E8" s="2">
        <v>1</v>
      </c>
      <c r="F8" s="2" t="s">
        <v>7</v>
      </c>
      <c r="G8" s="2">
        <v>2022</v>
      </c>
      <c r="H8" s="14">
        <v>0.49718447849820774</v>
      </c>
      <c r="I8" s="2">
        <f t="shared" si="0"/>
        <v>0.10971022745981299</v>
      </c>
      <c r="J8">
        <v>0.155</v>
      </c>
      <c r="K8">
        <v>0.14000000000000001</v>
      </c>
      <c r="L8">
        <v>0.18</v>
      </c>
      <c r="M8">
        <v>0.22</v>
      </c>
      <c r="N8">
        <v>0.65</v>
      </c>
      <c r="O8">
        <v>0.77499999999999991</v>
      </c>
      <c r="P8">
        <v>1.037037037037037</v>
      </c>
      <c r="Q8">
        <v>1</v>
      </c>
      <c r="R8">
        <v>0.88</v>
      </c>
      <c r="S8">
        <v>1</v>
      </c>
      <c r="T8">
        <f t="shared" si="1"/>
        <v>0.8274999999999999</v>
      </c>
      <c r="U8">
        <f t="shared" si="2"/>
        <v>1.037037037037037</v>
      </c>
      <c r="V8">
        <f t="shared" si="3"/>
        <v>1</v>
      </c>
      <c r="W8" cm="1">
        <f t="array" ref="W8">_xlfn.IFS(J8&gt;sheet2!$C$2,1,J8=sheet2!$C$2,0,J8&lt;sheet2!$C$2,-1)</f>
        <v>-1</v>
      </c>
      <c r="X8" cm="1">
        <f t="array" ref="X8">_xlfn.IFS(K8&gt;sheet2!$D$2,1,K8=sheet2!$D$2,0,K8&lt;sheet2!$D$2,-1)</f>
        <v>1</v>
      </c>
      <c r="Y8" cm="1">
        <f t="array" ref="Y8">_xlfn.IFS(L8&gt;sheet2!$E$2,1,L8=sheet2!$E$2,0,L8&lt;sheet2!$E$2,-1)</f>
        <v>0</v>
      </c>
      <c r="Z8" cm="1">
        <f t="array" ref="Z8">_xlfn.IFS(M8&gt;sheet2!$F$2,1,M8=sheet2!$F$2,0,M8&lt;sheet2!$F$2,-1)</f>
        <v>-1</v>
      </c>
      <c r="AA8" cm="1">
        <f t="array" ref="AA8">_xlfn.IFS(N8&gt;sheet2!$G$2,1,N8=sheet2!$G$2,0,N8&lt;sheet2!$G$2,-1)</f>
        <v>0</v>
      </c>
    </row>
    <row r="9" spans="1:27" ht="14.4" hidden="1" x14ac:dyDescent="0.25">
      <c r="A9">
        <v>0.34562697576396195</v>
      </c>
      <c r="B9" s="4">
        <v>1</v>
      </c>
      <c r="E9" s="2">
        <v>1</v>
      </c>
      <c r="F9" s="2" t="s">
        <v>7</v>
      </c>
      <c r="G9" s="2">
        <v>2023</v>
      </c>
      <c r="H9" s="16"/>
      <c r="I9" s="2"/>
      <c r="J9">
        <v>0.14400000000000002</v>
      </c>
      <c r="K9">
        <v>0.14000000000000001</v>
      </c>
      <c r="L9">
        <v>0.18</v>
      </c>
      <c r="M9">
        <v>0.25</v>
      </c>
      <c r="N9">
        <v>0.65</v>
      </c>
      <c r="O9">
        <v>0.72000000000000008</v>
      </c>
      <c r="P9">
        <v>1.037037037037037</v>
      </c>
      <c r="Q9">
        <v>1</v>
      </c>
      <c r="R9">
        <v>1</v>
      </c>
      <c r="S9">
        <v>1</v>
      </c>
      <c r="T9">
        <f t="shared" si="1"/>
        <v>0.8600000000000001</v>
      </c>
      <c r="U9">
        <f t="shared" si="2"/>
        <v>1.037037037037037</v>
      </c>
      <c r="V9">
        <f t="shared" si="3"/>
        <v>1</v>
      </c>
      <c r="W9" cm="1">
        <f t="array" ref="W9">_xlfn.IFS(J9&gt;sheet2!$C$2,1,J9=sheet2!$C$2,0,J9&lt;sheet2!$C$2,-1)</f>
        <v>-1</v>
      </c>
      <c r="X9" cm="1">
        <f t="array" ref="X9">_xlfn.IFS(K9&gt;sheet2!$D$2,1,K9=sheet2!$D$2,0,K9&lt;sheet2!$D$2,-1)</f>
        <v>1</v>
      </c>
      <c r="Y9" cm="1">
        <f t="array" ref="Y9">_xlfn.IFS(L9&gt;sheet2!$E$2,1,L9=sheet2!$E$2,0,L9&lt;sheet2!$E$2,-1)</f>
        <v>0</v>
      </c>
      <c r="Z9" cm="1">
        <f t="array" ref="Z9">_xlfn.IFS(M9&gt;sheet2!$F$2,1,M9=sheet2!$F$2,0,M9&lt;sheet2!$F$2,-1)</f>
        <v>0</v>
      </c>
      <c r="AA9" cm="1">
        <f t="array" ref="AA9">_xlfn.IFS(N9&gt;sheet2!$G$2,1,N9=sheet2!$G$2,0,N9&lt;sheet2!$G$2,-1)</f>
        <v>0</v>
      </c>
    </row>
    <row r="10" spans="1:27" ht="14.4" hidden="1" x14ac:dyDescent="0.25">
      <c r="A10">
        <v>0.49420442571127488</v>
      </c>
      <c r="B10" s="4">
        <v>1</v>
      </c>
      <c r="E10" s="2">
        <v>2</v>
      </c>
      <c r="F10" s="2" t="s">
        <v>8</v>
      </c>
      <c r="G10" s="2">
        <v>2016</v>
      </c>
      <c r="H10" s="14">
        <v>0.31494388428958991</v>
      </c>
      <c r="I10" s="2"/>
      <c r="J10">
        <v>0.11699999999999999</v>
      </c>
      <c r="K10">
        <v>0.13500000000000001</v>
      </c>
      <c r="L10">
        <v>0.18</v>
      </c>
      <c r="M10">
        <v>0.16</v>
      </c>
      <c r="N10">
        <v>0.65</v>
      </c>
      <c r="O10">
        <v>0.58499999999999996</v>
      </c>
      <c r="P10">
        <v>1</v>
      </c>
      <c r="Q10">
        <v>1</v>
      </c>
      <c r="R10">
        <v>0.64</v>
      </c>
      <c r="S10">
        <v>1</v>
      </c>
      <c r="T10">
        <f t="shared" si="1"/>
        <v>0.61250000000000004</v>
      </c>
      <c r="U10">
        <f t="shared" si="2"/>
        <v>1</v>
      </c>
      <c r="V10">
        <f t="shared" si="3"/>
        <v>1</v>
      </c>
      <c r="W10" cm="1">
        <f t="array" ref="W10">_xlfn.IFS(J10&gt;sheet2!$C$2,1,J10=sheet2!$C$2,0,J10&lt;sheet2!$C$2,-1)</f>
        <v>-1</v>
      </c>
      <c r="X10" cm="1">
        <f t="array" ref="X10">_xlfn.IFS(K10&gt;sheet2!$D$2,1,K10=sheet2!$D$2,0,K10&lt;sheet2!$D$2,-1)</f>
        <v>0</v>
      </c>
      <c r="Y10" cm="1">
        <f t="array" ref="Y10">_xlfn.IFS(L10&gt;sheet2!$E$2,1,L10=sheet2!$E$2,0,L10&lt;sheet2!$E$2,-1)</f>
        <v>0</v>
      </c>
      <c r="Z10" cm="1">
        <f t="array" ref="Z10">_xlfn.IFS(M10&gt;sheet2!$F$2,1,M10=sheet2!$F$2,0,M10&lt;sheet2!$F$2,-1)</f>
        <v>-1</v>
      </c>
      <c r="AA10" cm="1">
        <f t="array" ref="AA10">_xlfn.IFS(N10&gt;sheet2!$G$2,1,N10=sheet2!$G$2,0,N10&lt;sheet2!$G$2,-1)</f>
        <v>0</v>
      </c>
    </row>
    <row r="11" spans="1:27" ht="14.4" hidden="1" x14ac:dyDescent="0.25">
      <c r="A11">
        <v>0</v>
      </c>
      <c r="B11" s="4">
        <v>0</v>
      </c>
      <c r="E11" s="2">
        <v>2</v>
      </c>
      <c r="F11" s="2" t="s">
        <v>8</v>
      </c>
      <c r="G11" s="2">
        <v>2017</v>
      </c>
      <c r="H11" s="14">
        <v>0.33162626816748303</v>
      </c>
      <c r="I11" s="2">
        <f t="shared" ref="I11:I16" si="4">(H11-H10)/H10</f>
        <v>5.2969385055763506E-2</v>
      </c>
      <c r="J11">
        <v>0.11699999999999999</v>
      </c>
      <c r="K11">
        <v>0.13500000000000001</v>
      </c>
      <c r="L11">
        <v>0.18</v>
      </c>
      <c r="M11">
        <v>0.16</v>
      </c>
      <c r="N11">
        <v>0.65</v>
      </c>
      <c r="O11">
        <v>0.58499999999999996</v>
      </c>
      <c r="P11">
        <v>1</v>
      </c>
      <c r="Q11">
        <v>1</v>
      </c>
      <c r="R11">
        <v>0.64</v>
      </c>
      <c r="S11">
        <v>1</v>
      </c>
      <c r="T11">
        <f t="shared" si="1"/>
        <v>0.61250000000000004</v>
      </c>
      <c r="U11">
        <f t="shared" si="2"/>
        <v>1</v>
      </c>
      <c r="V11">
        <f t="shared" si="3"/>
        <v>1</v>
      </c>
      <c r="W11" cm="1">
        <f t="array" ref="W11">_xlfn.IFS(J11&gt;sheet2!$C$2,1,J11=sheet2!$C$2,0,J11&lt;sheet2!$C$2,-1)</f>
        <v>-1</v>
      </c>
      <c r="X11" cm="1">
        <f t="array" ref="X11">_xlfn.IFS(K11&gt;sheet2!$D$2,1,K11=sheet2!$D$2,0,K11&lt;sheet2!$D$2,-1)</f>
        <v>0</v>
      </c>
      <c r="Y11" cm="1">
        <f t="array" ref="Y11">_xlfn.IFS(L11&gt;sheet2!$E$2,1,L11=sheet2!$E$2,0,L11&lt;sheet2!$E$2,-1)</f>
        <v>0</v>
      </c>
      <c r="Z11" cm="1">
        <f t="array" ref="Z11">_xlfn.IFS(M11&gt;sheet2!$F$2,1,M11=sheet2!$F$2,0,M11&lt;sheet2!$F$2,-1)</f>
        <v>-1</v>
      </c>
      <c r="AA11" cm="1">
        <f t="array" ref="AA11">_xlfn.IFS(N11&gt;sheet2!$G$2,1,N11=sheet2!$G$2,0,N11&lt;sheet2!$G$2,-1)</f>
        <v>0</v>
      </c>
    </row>
    <row r="12" spans="1:27" ht="14.4" hidden="1" x14ac:dyDescent="0.25">
      <c r="A12">
        <v>-1.5806111696522653E-2</v>
      </c>
      <c r="B12" s="4">
        <v>1</v>
      </c>
      <c r="E12" s="2">
        <v>2</v>
      </c>
      <c r="F12" s="2" t="s">
        <v>8</v>
      </c>
      <c r="G12" s="2">
        <v>2018</v>
      </c>
      <c r="H12" s="14">
        <v>0.34692660898639399</v>
      </c>
      <c r="I12" s="2">
        <f t="shared" si="4"/>
        <v>4.6137300592797879E-2</v>
      </c>
      <c r="J12">
        <v>0.11699999999999999</v>
      </c>
      <c r="K12">
        <v>0.13500000000000001</v>
      </c>
      <c r="L12">
        <v>0.18</v>
      </c>
      <c r="M12">
        <v>0.16</v>
      </c>
      <c r="N12">
        <v>0.65</v>
      </c>
      <c r="O12">
        <v>0.58499999999999996</v>
      </c>
      <c r="P12">
        <v>1</v>
      </c>
      <c r="Q12">
        <v>1</v>
      </c>
      <c r="R12">
        <v>0.64</v>
      </c>
      <c r="S12">
        <v>1</v>
      </c>
      <c r="T12">
        <f t="shared" si="1"/>
        <v>0.61250000000000004</v>
      </c>
      <c r="U12">
        <f t="shared" si="2"/>
        <v>1</v>
      </c>
      <c r="V12">
        <f t="shared" si="3"/>
        <v>1</v>
      </c>
      <c r="W12" cm="1">
        <f t="array" ref="W12">_xlfn.IFS(J12&gt;sheet2!$C$2,1,J12=sheet2!$C$2,0,J12&lt;sheet2!$C$2,-1)</f>
        <v>-1</v>
      </c>
      <c r="X12" cm="1">
        <f t="array" ref="X12">_xlfn.IFS(K12&gt;sheet2!$D$2,1,K12=sheet2!$D$2,0,K12&lt;sheet2!$D$2,-1)</f>
        <v>0</v>
      </c>
      <c r="Y12" cm="1">
        <f t="array" ref="Y12">_xlfn.IFS(L12&gt;sheet2!$E$2,1,L12=sheet2!$E$2,0,L12&lt;sheet2!$E$2,-1)</f>
        <v>0</v>
      </c>
      <c r="Z12" cm="1">
        <f t="array" ref="Z12">_xlfn.IFS(M12&gt;sheet2!$F$2,1,M12=sheet2!$F$2,0,M12&lt;sheet2!$F$2,-1)</f>
        <v>-1</v>
      </c>
      <c r="AA12" cm="1">
        <f t="array" ref="AA12">_xlfn.IFS(N12&gt;sheet2!$G$2,1,N12=sheet2!$G$2,0,N12&lt;sheet2!$G$2,-1)</f>
        <v>0</v>
      </c>
    </row>
    <row r="13" spans="1:27" ht="14.4" hidden="1" x14ac:dyDescent="0.25">
      <c r="A13">
        <v>0</v>
      </c>
      <c r="B13" s="4">
        <v>0</v>
      </c>
      <c r="E13" s="2">
        <v>2</v>
      </c>
      <c r="F13" s="2" t="s">
        <v>8</v>
      </c>
      <c r="G13" s="2">
        <v>2019</v>
      </c>
      <c r="H13" s="14">
        <v>0.35395048252672495</v>
      </c>
      <c r="I13" s="2">
        <f t="shared" si="4"/>
        <v>2.024599254825803E-2</v>
      </c>
      <c r="J13">
        <v>0.11699999999999999</v>
      </c>
      <c r="K13">
        <v>0.13500000000000001</v>
      </c>
      <c r="L13">
        <v>0.18</v>
      </c>
      <c r="M13">
        <v>0.16</v>
      </c>
      <c r="N13">
        <v>0.65</v>
      </c>
      <c r="O13">
        <v>0.58499999999999996</v>
      </c>
      <c r="P13">
        <v>1</v>
      </c>
      <c r="Q13">
        <v>1</v>
      </c>
      <c r="R13">
        <v>0.64</v>
      </c>
      <c r="S13">
        <v>1</v>
      </c>
      <c r="T13">
        <f t="shared" si="1"/>
        <v>0.61250000000000004</v>
      </c>
      <c r="U13">
        <f t="shared" si="2"/>
        <v>1</v>
      </c>
      <c r="V13">
        <f t="shared" si="3"/>
        <v>1</v>
      </c>
      <c r="W13" cm="1">
        <f t="array" ref="W13">_xlfn.IFS(J13&gt;sheet2!$C$2,1,J13=sheet2!$C$2,0,J13&lt;sheet2!$C$2,-1)</f>
        <v>-1</v>
      </c>
      <c r="X13" cm="1">
        <f t="array" ref="X13">_xlfn.IFS(K13&gt;sheet2!$D$2,1,K13=sheet2!$D$2,0,K13&lt;sheet2!$D$2,-1)</f>
        <v>0</v>
      </c>
      <c r="Y13" cm="1">
        <f t="array" ref="Y13">_xlfn.IFS(L13&gt;sheet2!$E$2,1,L13=sheet2!$E$2,0,L13&lt;sheet2!$E$2,-1)</f>
        <v>0</v>
      </c>
      <c r="Z13" cm="1">
        <f t="array" ref="Z13">_xlfn.IFS(M13&gt;sheet2!$F$2,1,M13=sheet2!$F$2,0,M13&lt;sheet2!$F$2,-1)</f>
        <v>-1</v>
      </c>
      <c r="AA13" cm="1">
        <f t="array" ref="AA13">_xlfn.IFS(N13&gt;sheet2!$G$2,1,N13=sheet2!$G$2,0,N13&lt;sheet2!$G$2,-1)</f>
        <v>0</v>
      </c>
    </row>
    <row r="14" spans="1:27" ht="14.4" hidden="1" x14ac:dyDescent="0.25">
      <c r="A14">
        <v>0.26554267650158048</v>
      </c>
      <c r="B14" s="4">
        <v>1</v>
      </c>
      <c r="E14" s="2">
        <v>2</v>
      </c>
      <c r="F14" s="2" t="s">
        <v>8</v>
      </c>
      <c r="G14" s="2">
        <v>2020</v>
      </c>
      <c r="H14" s="14">
        <v>0.36016631627607859</v>
      </c>
      <c r="I14" s="2">
        <f t="shared" si="4"/>
        <v>1.7561308872871259E-2</v>
      </c>
      <c r="J14">
        <v>0.11699999999999999</v>
      </c>
      <c r="K14">
        <v>0.13500000000000001</v>
      </c>
      <c r="L14">
        <v>0.18</v>
      </c>
      <c r="M14">
        <v>0.16</v>
      </c>
      <c r="N14">
        <v>0.65</v>
      </c>
      <c r="O14">
        <v>0.58499999999999996</v>
      </c>
      <c r="P14">
        <v>1</v>
      </c>
      <c r="Q14">
        <v>1</v>
      </c>
      <c r="R14">
        <v>0.64</v>
      </c>
      <c r="S14">
        <v>1</v>
      </c>
      <c r="T14">
        <f t="shared" si="1"/>
        <v>0.61250000000000004</v>
      </c>
      <c r="U14">
        <f t="shared" si="2"/>
        <v>1</v>
      </c>
      <c r="V14">
        <f t="shared" si="3"/>
        <v>1</v>
      </c>
      <c r="W14" cm="1">
        <f t="array" ref="W14">_xlfn.IFS(J14&gt;sheet2!$C$2,1,J14=sheet2!$C$2,0,J14&lt;sheet2!$C$2,-1)</f>
        <v>-1</v>
      </c>
      <c r="X14" cm="1">
        <f t="array" ref="X14">_xlfn.IFS(K14&gt;sheet2!$D$2,1,K14=sheet2!$D$2,0,K14&lt;sheet2!$D$2,-1)</f>
        <v>0</v>
      </c>
      <c r="Y14" cm="1">
        <f t="array" ref="Y14">_xlfn.IFS(L14&gt;sheet2!$E$2,1,L14=sheet2!$E$2,0,L14&lt;sheet2!$E$2,-1)</f>
        <v>0</v>
      </c>
      <c r="Z14" cm="1">
        <f t="array" ref="Z14">_xlfn.IFS(M14&gt;sheet2!$F$2,1,M14=sheet2!$F$2,0,M14&lt;sheet2!$F$2,-1)</f>
        <v>-1</v>
      </c>
      <c r="AA14" cm="1">
        <f t="array" ref="AA14">_xlfn.IFS(N14&gt;sheet2!$G$2,1,N14=sheet2!$G$2,0,N14&lt;sheet2!$G$2,-1)</f>
        <v>0</v>
      </c>
    </row>
    <row r="15" spans="1:27" ht="14.4" x14ac:dyDescent="0.25">
      <c r="A15">
        <v>-2.1074815595363533E-2</v>
      </c>
      <c r="B15" s="4">
        <v>1</v>
      </c>
      <c r="E15" s="2">
        <v>2</v>
      </c>
      <c r="F15" s="2" t="s">
        <v>8</v>
      </c>
      <c r="G15" s="2">
        <v>2021</v>
      </c>
      <c r="H15" s="14">
        <v>0.35929796808971892</v>
      </c>
      <c r="I15" s="2">
        <f t="shared" si="4"/>
        <v>-2.4109644548049656E-3</v>
      </c>
      <c r="J15">
        <v>0.14400000000000002</v>
      </c>
      <c r="K15">
        <v>0.14000000000000001</v>
      </c>
      <c r="L15">
        <v>0.18</v>
      </c>
      <c r="M15">
        <v>0.25</v>
      </c>
      <c r="N15">
        <v>0.65</v>
      </c>
      <c r="O15">
        <v>0.72000000000000008</v>
      </c>
      <c r="P15">
        <v>1.037037037037037</v>
      </c>
      <c r="Q15">
        <v>1</v>
      </c>
      <c r="R15">
        <v>1</v>
      </c>
      <c r="S15">
        <v>1</v>
      </c>
      <c r="T15">
        <f t="shared" si="1"/>
        <v>0.8600000000000001</v>
      </c>
      <c r="U15">
        <f t="shared" si="2"/>
        <v>1.037037037037037</v>
      </c>
      <c r="V15">
        <f t="shared" si="3"/>
        <v>1</v>
      </c>
      <c r="W15" cm="1">
        <f t="array" ref="W15">_xlfn.IFS(J15&gt;sheet2!$C$2,1,J15=sheet2!$C$2,0,J15&lt;sheet2!$C$2,-1)</f>
        <v>-1</v>
      </c>
      <c r="X15" cm="1">
        <f t="array" ref="X15">_xlfn.IFS(K15&gt;sheet2!$D$2,1,K15=sheet2!$D$2,0,K15&lt;sheet2!$D$2,-1)</f>
        <v>1</v>
      </c>
      <c r="Y15" cm="1">
        <f t="array" ref="Y15">_xlfn.IFS(L15&gt;sheet2!$E$2,1,L15=sheet2!$E$2,0,L15&lt;sheet2!$E$2,-1)</f>
        <v>0</v>
      </c>
      <c r="Z15" cm="1">
        <f t="array" ref="Z15">_xlfn.IFS(M15&gt;sheet2!$F$2,1,M15=sheet2!$F$2,0,M15&lt;sheet2!$F$2,-1)</f>
        <v>0</v>
      </c>
      <c r="AA15" cm="1">
        <f t="array" ref="AA15">_xlfn.IFS(N15&gt;sheet2!$G$2,1,N15=sheet2!$G$2,0,N15&lt;sheet2!$G$2,-1)</f>
        <v>0</v>
      </c>
    </row>
    <row r="16" spans="1:27" ht="14.4" hidden="1" x14ac:dyDescent="0.25">
      <c r="A16">
        <v>0.66807165437302396</v>
      </c>
      <c r="B16" s="4">
        <v>1</v>
      </c>
      <c r="E16" s="2">
        <v>2</v>
      </c>
      <c r="F16" s="2" t="s">
        <v>8</v>
      </c>
      <c r="G16" s="2">
        <v>2022</v>
      </c>
      <c r="H16" s="14">
        <v>0.39162796527583293</v>
      </c>
      <c r="I16" s="2">
        <f t="shared" si="4"/>
        <v>8.9981018701561402E-2</v>
      </c>
      <c r="J16">
        <v>0.14400000000000002</v>
      </c>
      <c r="K16">
        <v>0.14000000000000001</v>
      </c>
      <c r="L16">
        <v>0.18</v>
      </c>
      <c r="M16">
        <v>0.25</v>
      </c>
      <c r="N16">
        <v>0.65</v>
      </c>
      <c r="O16">
        <v>0.72000000000000008</v>
      </c>
      <c r="P16">
        <v>1.037037037037037</v>
      </c>
      <c r="Q16">
        <v>1</v>
      </c>
      <c r="R16">
        <v>1</v>
      </c>
      <c r="S16">
        <v>1</v>
      </c>
      <c r="T16">
        <f t="shared" si="1"/>
        <v>0.8600000000000001</v>
      </c>
      <c r="U16">
        <f t="shared" si="2"/>
        <v>1.037037037037037</v>
      </c>
      <c r="V16">
        <f t="shared" si="3"/>
        <v>1</v>
      </c>
      <c r="W16" cm="1">
        <f t="array" ref="W16">_xlfn.IFS(J16&gt;sheet2!$C$2,1,J16=sheet2!$C$2,0,J16&lt;sheet2!$C$2,-1)</f>
        <v>-1</v>
      </c>
      <c r="X16" cm="1">
        <f t="array" ref="X16">_xlfn.IFS(K16&gt;sheet2!$D$2,1,K16=sheet2!$D$2,0,K16&lt;sheet2!$D$2,-1)</f>
        <v>1</v>
      </c>
      <c r="Y16" cm="1">
        <f t="array" ref="Y16">_xlfn.IFS(L16&gt;sheet2!$E$2,1,L16=sheet2!$E$2,0,L16&lt;sheet2!$E$2,-1)</f>
        <v>0</v>
      </c>
      <c r="Z16" cm="1">
        <f t="array" ref="Z16">_xlfn.IFS(M16&gt;sheet2!$F$2,1,M16=sheet2!$F$2,0,M16&lt;sheet2!$F$2,-1)</f>
        <v>0</v>
      </c>
      <c r="AA16" cm="1">
        <f t="array" ref="AA16">_xlfn.IFS(N16&gt;sheet2!$G$2,1,N16=sheet2!$G$2,0,N16&lt;sheet2!$G$2,-1)</f>
        <v>0</v>
      </c>
    </row>
    <row r="17" spans="1:27" ht="14.4" hidden="1" x14ac:dyDescent="0.25">
      <c r="A17">
        <v>0</v>
      </c>
      <c r="B17" s="4">
        <v>0</v>
      </c>
      <c r="E17" s="2">
        <v>2</v>
      </c>
      <c r="F17" s="2" t="s">
        <v>8</v>
      </c>
      <c r="G17" s="2">
        <v>2023</v>
      </c>
      <c r="H17" s="16"/>
      <c r="I17" s="2"/>
      <c r="J17">
        <v>0.2</v>
      </c>
      <c r="K17">
        <v>0.13500000000000001</v>
      </c>
      <c r="L17">
        <v>0.18</v>
      </c>
      <c r="M17">
        <v>0.25</v>
      </c>
      <c r="N17">
        <v>0.65</v>
      </c>
      <c r="O17">
        <v>1</v>
      </c>
      <c r="P17">
        <v>1</v>
      </c>
      <c r="Q17">
        <v>1</v>
      </c>
      <c r="R17">
        <v>1</v>
      </c>
      <c r="S17">
        <v>1</v>
      </c>
      <c r="T17">
        <f t="shared" si="1"/>
        <v>1</v>
      </c>
      <c r="U17">
        <f t="shared" si="2"/>
        <v>1</v>
      </c>
      <c r="V17">
        <f t="shared" si="3"/>
        <v>1</v>
      </c>
      <c r="W17" cm="1">
        <f t="array" ref="W17">_xlfn.IFS(J17&gt;sheet2!$C$2,1,J17=sheet2!$C$2,0,J17&lt;sheet2!$C$2,-1)</f>
        <v>0</v>
      </c>
      <c r="X17" cm="1">
        <f t="array" ref="X17">_xlfn.IFS(K17&gt;sheet2!$D$2,1,K17=sheet2!$D$2,0,K17&lt;sheet2!$D$2,-1)</f>
        <v>0</v>
      </c>
      <c r="Y17" cm="1">
        <f t="array" ref="Y17">_xlfn.IFS(L17&gt;sheet2!$E$2,1,L17=sheet2!$E$2,0,L17&lt;sheet2!$E$2,-1)</f>
        <v>0</v>
      </c>
      <c r="Z17" cm="1">
        <f t="array" ref="Z17">_xlfn.IFS(M17&gt;sheet2!$F$2,1,M17=sheet2!$F$2,0,M17&lt;sheet2!$F$2,-1)</f>
        <v>0</v>
      </c>
      <c r="AA17" cm="1">
        <f t="array" ref="AA17">_xlfn.IFS(N17&gt;sheet2!$G$2,1,N17=sheet2!$G$2,0,N17&lt;sheet2!$G$2,-1)</f>
        <v>0</v>
      </c>
    </row>
    <row r="18" spans="1:27" ht="14.4" hidden="1" x14ac:dyDescent="0.25">
      <c r="A18">
        <v>-0.16859852476290824</v>
      </c>
      <c r="B18" s="4">
        <v>1</v>
      </c>
      <c r="E18" s="2">
        <v>3</v>
      </c>
      <c r="F18" s="2" t="s">
        <v>9</v>
      </c>
      <c r="G18" s="2">
        <v>2016</v>
      </c>
      <c r="H18" s="14">
        <v>0.22307135076962681</v>
      </c>
      <c r="I18" s="2"/>
      <c r="J18">
        <v>0.13</v>
      </c>
      <c r="K18">
        <v>0.13500000000000001</v>
      </c>
      <c r="L18">
        <v>0.18</v>
      </c>
      <c r="M18">
        <v>0.19</v>
      </c>
      <c r="N18">
        <v>0.65</v>
      </c>
      <c r="O18">
        <v>0.65</v>
      </c>
      <c r="P18">
        <v>1</v>
      </c>
      <c r="Q18">
        <v>1</v>
      </c>
      <c r="R18">
        <v>0.76</v>
      </c>
      <c r="S18">
        <v>1</v>
      </c>
      <c r="T18">
        <f t="shared" si="1"/>
        <v>0.70500000000000007</v>
      </c>
      <c r="U18">
        <f t="shared" si="2"/>
        <v>1</v>
      </c>
      <c r="V18">
        <f t="shared" si="3"/>
        <v>1</v>
      </c>
      <c r="W18" cm="1">
        <f t="array" ref="W18">_xlfn.IFS(J18&gt;sheet2!$C$2,1,J18=sheet2!$C$2,0,J18&lt;sheet2!$C$2,-1)</f>
        <v>-1</v>
      </c>
      <c r="X18" cm="1">
        <f t="array" ref="X18">_xlfn.IFS(K18&gt;sheet2!$D$2,1,K18=sheet2!$D$2,0,K18&lt;sheet2!$D$2,-1)</f>
        <v>0</v>
      </c>
      <c r="Y18" cm="1">
        <f t="array" ref="Y18">_xlfn.IFS(L18&gt;sheet2!$E$2,1,L18=sheet2!$E$2,0,L18&lt;sheet2!$E$2,-1)</f>
        <v>0</v>
      </c>
      <c r="Z18" cm="1">
        <f t="array" ref="Z18">_xlfn.IFS(M18&gt;sheet2!$F$2,1,M18=sheet2!$F$2,0,M18&lt;sheet2!$F$2,-1)</f>
        <v>-1</v>
      </c>
      <c r="AA18" cm="1">
        <f t="array" ref="AA18">_xlfn.IFS(N18&gt;sheet2!$G$2,1,N18=sheet2!$G$2,0,N18&lt;sheet2!$G$2,-1)</f>
        <v>0</v>
      </c>
    </row>
    <row r="19" spans="1:27" ht="14.4" hidden="1" x14ac:dyDescent="0.25">
      <c r="A19">
        <v>5.4794520547945189E-2</v>
      </c>
      <c r="B19" s="4">
        <v>1</v>
      </c>
      <c r="E19" s="2">
        <v>3</v>
      </c>
      <c r="F19" s="2" t="s">
        <v>9</v>
      </c>
      <c r="G19" s="2">
        <v>2017</v>
      </c>
      <c r="H19" s="14">
        <v>0.24563240781170934</v>
      </c>
      <c r="I19" s="2">
        <f t="shared" ref="I19:I24" si="5">(H19-H18)/H18</f>
        <v>0.1011382993120532</v>
      </c>
      <c r="J19">
        <v>0.13</v>
      </c>
      <c r="K19">
        <v>0.13500000000000001</v>
      </c>
      <c r="L19">
        <v>0.18</v>
      </c>
      <c r="M19">
        <v>0.19</v>
      </c>
      <c r="N19">
        <v>0.65</v>
      </c>
      <c r="O19">
        <v>0.65</v>
      </c>
      <c r="P19">
        <v>1</v>
      </c>
      <c r="Q19">
        <v>1</v>
      </c>
      <c r="R19">
        <v>0.76</v>
      </c>
      <c r="S19">
        <v>1</v>
      </c>
      <c r="T19">
        <f t="shared" si="1"/>
        <v>0.70500000000000007</v>
      </c>
      <c r="U19">
        <f t="shared" si="2"/>
        <v>1</v>
      </c>
      <c r="V19">
        <f t="shared" si="3"/>
        <v>1</v>
      </c>
      <c r="W19" cm="1">
        <f t="array" ref="W19">_xlfn.IFS(J19&gt;sheet2!$C$2,1,J19=sheet2!$C$2,0,J19&lt;sheet2!$C$2,-1)</f>
        <v>-1</v>
      </c>
      <c r="X19" cm="1">
        <f t="array" ref="X19">_xlfn.IFS(K19&gt;sheet2!$D$2,1,K19=sheet2!$D$2,0,K19&lt;sheet2!$D$2,-1)</f>
        <v>0</v>
      </c>
      <c r="Y19" cm="1">
        <f t="array" ref="Y19">_xlfn.IFS(L19&gt;sheet2!$E$2,1,L19=sheet2!$E$2,0,L19&lt;sheet2!$E$2,-1)</f>
        <v>0</v>
      </c>
      <c r="Z19" cm="1">
        <f t="array" ref="Z19">_xlfn.IFS(M19&gt;sheet2!$F$2,1,M19=sheet2!$F$2,0,M19&lt;sheet2!$F$2,-1)</f>
        <v>-1</v>
      </c>
      <c r="AA19" cm="1">
        <f t="array" ref="AA19">_xlfn.IFS(N19&gt;sheet2!$G$2,1,N19=sheet2!$G$2,0,N19&lt;sheet2!$G$2,-1)</f>
        <v>0</v>
      </c>
    </row>
    <row r="20" spans="1:27" ht="14.4" hidden="1" x14ac:dyDescent="0.25">
      <c r="A20">
        <v>0.46469968387776589</v>
      </c>
      <c r="B20" s="4">
        <v>1</v>
      </c>
      <c r="E20" s="2">
        <v>3</v>
      </c>
      <c r="F20" s="2" t="s">
        <v>9</v>
      </c>
      <c r="G20" s="2">
        <v>2018</v>
      </c>
      <c r="H20" s="14">
        <v>0.28301300705448984</v>
      </c>
      <c r="I20" s="2">
        <f t="shared" si="5"/>
        <v>0.15218105613911817</v>
      </c>
      <c r="J20">
        <v>0.13</v>
      </c>
      <c r="K20">
        <v>0.13500000000000001</v>
      </c>
      <c r="L20">
        <v>0.18</v>
      </c>
      <c r="M20">
        <v>0.19</v>
      </c>
      <c r="N20">
        <v>0.65</v>
      </c>
      <c r="O20">
        <v>0.65</v>
      </c>
      <c r="P20">
        <v>1</v>
      </c>
      <c r="Q20">
        <v>1</v>
      </c>
      <c r="R20">
        <v>0.76</v>
      </c>
      <c r="S20">
        <v>1</v>
      </c>
      <c r="T20">
        <f t="shared" si="1"/>
        <v>0.70500000000000007</v>
      </c>
      <c r="U20">
        <f t="shared" si="2"/>
        <v>1</v>
      </c>
      <c r="V20">
        <f t="shared" si="3"/>
        <v>1</v>
      </c>
      <c r="W20" cm="1">
        <f t="array" ref="W20">_xlfn.IFS(J20&gt;sheet2!$C$2,1,J20=sheet2!$C$2,0,J20&lt;sheet2!$C$2,-1)</f>
        <v>-1</v>
      </c>
      <c r="X20" cm="1">
        <f t="array" ref="X20">_xlfn.IFS(K20&gt;sheet2!$D$2,1,K20=sheet2!$D$2,0,K20&lt;sheet2!$D$2,-1)</f>
        <v>0</v>
      </c>
      <c r="Y20" cm="1">
        <f t="array" ref="Y20">_xlfn.IFS(L20&gt;sheet2!$E$2,1,L20=sheet2!$E$2,0,L20&lt;sheet2!$E$2,-1)</f>
        <v>0</v>
      </c>
      <c r="Z20" cm="1">
        <f t="array" ref="Z20">_xlfn.IFS(M20&gt;sheet2!$F$2,1,M20=sheet2!$F$2,0,M20&lt;sheet2!$F$2,-1)</f>
        <v>-1</v>
      </c>
      <c r="AA20" cm="1">
        <f t="array" ref="AA20">_xlfn.IFS(N20&gt;sheet2!$G$2,1,N20=sheet2!$G$2,0,N20&lt;sheet2!$G$2,-1)</f>
        <v>0</v>
      </c>
    </row>
    <row r="21" spans="1:27" ht="14.4" hidden="1" x14ac:dyDescent="0.25">
      <c r="A21">
        <v>0.45626975763962047</v>
      </c>
      <c r="B21" s="4">
        <v>1</v>
      </c>
      <c r="E21" s="2">
        <v>3</v>
      </c>
      <c r="F21" s="2" t="s">
        <v>9</v>
      </c>
      <c r="G21" s="2">
        <v>2019</v>
      </c>
      <c r="H21" s="14">
        <v>0.26492563650582834</v>
      </c>
      <c r="I21" s="2">
        <f t="shared" si="5"/>
        <v>-6.3910032746936782E-2</v>
      </c>
      <c r="J21">
        <v>0.13</v>
      </c>
      <c r="K21">
        <v>0.13500000000000001</v>
      </c>
      <c r="L21">
        <v>0.18</v>
      </c>
      <c r="M21">
        <v>0.19</v>
      </c>
      <c r="N21">
        <v>0.65</v>
      </c>
      <c r="O21">
        <v>0.65</v>
      </c>
      <c r="P21">
        <v>1</v>
      </c>
      <c r="Q21">
        <v>1</v>
      </c>
      <c r="R21">
        <v>0.76</v>
      </c>
      <c r="S21">
        <v>1</v>
      </c>
      <c r="T21">
        <f t="shared" si="1"/>
        <v>0.70500000000000007</v>
      </c>
      <c r="U21">
        <f t="shared" si="2"/>
        <v>1</v>
      </c>
      <c r="V21">
        <f t="shared" si="3"/>
        <v>1</v>
      </c>
      <c r="W21" cm="1">
        <f t="array" ref="W21">_xlfn.IFS(J21&gt;sheet2!$C$2,1,J21=sheet2!$C$2,0,J21&lt;sheet2!$C$2,-1)</f>
        <v>-1</v>
      </c>
      <c r="X21" cm="1">
        <f t="array" ref="X21">_xlfn.IFS(K21&gt;sheet2!$D$2,1,K21=sheet2!$D$2,0,K21&lt;sheet2!$D$2,-1)</f>
        <v>0</v>
      </c>
      <c r="Y21" cm="1">
        <f t="array" ref="Y21">_xlfn.IFS(L21&gt;sheet2!$E$2,1,L21=sheet2!$E$2,0,L21&lt;sheet2!$E$2,-1)</f>
        <v>0</v>
      </c>
      <c r="Z21" cm="1">
        <f t="array" ref="Z21">_xlfn.IFS(M21&gt;sheet2!$F$2,1,M21=sheet2!$F$2,0,M21&lt;sheet2!$F$2,-1)</f>
        <v>-1</v>
      </c>
      <c r="AA21" cm="1">
        <f t="array" ref="AA21">_xlfn.IFS(N21&gt;sheet2!$G$2,1,N21=sheet2!$G$2,0,N21&lt;sheet2!$G$2,-1)</f>
        <v>0</v>
      </c>
    </row>
    <row r="22" spans="1:27" ht="14.4" hidden="1" x14ac:dyDescent="0.25">
      <c r="A22">
        <v>0</v>
      </c>
      <c r="B22" s="4">
        <v>0</v>
      </c>
      <c r="E22" s="2">
        <v>3</v>
      </c>
      <c r="F22" s="2" t="s">
        <v>9</v>
      </c>
      <c r="G22" s="2">
        <v>2020</v>
      </c>
      <c r="H22" s="14">
        <v>0.27888529188448369</v>
      </c>
      <c r="I22" s="2">
        <f t="shared" si="5"/>
        <v>5.2692731299140365E-2</v>
      </c>
      <c r="J22">
        <v>0.13</v>
      </c>
      <c r="K22">
        <v>0.13500000000000001</v>
      </c>
      <c r="L22">
        <v>0.18</v>
      </c>
      <c r="M22">
        <v>0.19</v>
      </c>
      <c r="N22">
        <v>0.65</v>
      </c>
      <c r="O22">
        <v>0.65</v>
      </c>
      <c r="P22">
        <v>1</v>
      </c>
      <c r="Q22">
        <v>1</v>
      </c>
      <c r="R22">
        <v>0.76</v>
      </c>
      <c r="S22">
        <v>1</v>
      </c>
      <c r="T22">
        <f t="shared" si="1"/>
        <v>0.70500000000000007</v>
      </c>
      <c r="U22">
        <f t="shared" si="2"/>
        <v>1</v>
      </c>
      <c r="V22">
        <f t="shared" si="3"/>
        <v>1</v>
      </c>
      <c r="W22" cm="1">
        <f t="array" ref="W22">_xlfn.IFS(J22&gt;sheet2!$C$2,1,J22=sheet2!$C$2,0,J22&lt;sheet2!$C$2,-1)</f>
        <v>-1</v>
      </c>
      <c r="X22" cm="1">
        <f t="array" ref="X22">_xlfn.IFS(K22&gt;sheet2!$D$2,1,K22=sheet2!$D$2,0,K22&lt;sheet2!$D$2,-1)</f>
        <v>0</v>
      </c>
      <c r="Y22" cm="1">
        <f t="array" ref="Y22">_xlfn.IFS(L22&gt;sheet2!$E$2,1,L22=sheet2!$E$2,0,L22&lt;sheet2!$E$2,-1)</f>
        <v>0</v>
      </c>
      <c r="Z22" cm="1">
        <f t="array" ref="Z22">_xlfn.IFS(M22&gt;sheet2!$F$2,1,M22=sheet2!$F$2,0,M22&lt;sheet2!$F$2,-1)</f>
        <v>-1</v>
      </c>
      <c r="AA22" cm="1">
        <f t="array" ref="AA22">_xlfn.IFS(N22&gt;sheet2!$G$2,1,N22=sheet2!$G$2,0,N22&lt;sheet2!$G$2,-1)</f>
        <v>0</v>
      </c>
    </row>
    <row r="23" spans="1:27" ht="14.4" x14ac:dyDescent="0.25">
      <c r="A23">
        <v>0.31506849315068475</v>
      </c>
      <c r="B23" s="4">
        <v>1</v>
      </c>
      <c r="E23" s="2">
        <v>3</v>
      </c>
      <c r="F23" s="2" t="s">
        <v>9</v>
      </c>
      <c r="G23" s="2">
        <v>2021</v>
      </c>
      <c r="H23" s="14">
        <v>0.31943667789638319</v>
      </c>
      <c r="I23" s="2">
        <f t="shared" si="5"/>
        <v>0.14540525152074418</v>
      </c>
      <c r="J23">
        <v>0.3</v>
      </c>
      <c r="K23">
        <v>0.125</v>
      </c>
      <c r="L23">
        <v>0.18</v>
      </c>
      <c r="M23">
        <v>0.35</v>
      </c>
      <c r="N23">
        <v>0.65</v>
      </c>
      <c r="O23">
        <v>1.4999999999999998</v>
      </c>
      <c r="P23">
        <v>0.92592592592592582</v>
      </c>
      <c r="Q23">
        <v>1</v>
      </c>
      <c r="R23">
        <v>1.4</v>
      </c>
      <c r="S23">
        <v>1</v>
      </c>
      <c r="T23">
        <f t="shared" si="1"/>
        <v>1.4499999999999997</v>
      </c>
      <c r="U23">
        <f t="shared" si="2"/>
        <v>0.92592592592592582</v>
      </c>
      <c r="V23">
        <f t="shared" si="3"/>
        <v>1</v>
      </c>
      <c r="W23" cm="1">
        <f t="array" ref="W23">_xlfn.IFS(J23&gt;sheet2!$C$2,1,J23=sheet2!$C$2,0,J23&lt;sheet2!$C$2,-1)</f>
        <v>1</v>
      </c>
      <c r="X23" cm="1">
        <f t="array" ref="X23">_xlfn.IFS(K23&gt;sheet2!$D$2,1,K23=sheet2!$D$2,0,K23&lt;sheet2!$D$2,-1)</f>
        <v>-1</v>
      </c>
      <c r="Y23" cm="1">
        <f t="array" ref="Y23">_xlfn.IFS(L23&gt;sheet2!$E$2,1,L23=sheet2!$E$2,0,L23&lt;sheet2!$E$2,-1)</f>
        <v>0</v>
      </c>
      <c r="Z23" cm="1">
        <f t="array" ref="Z23">_xlfn.IFS(M23&gt;sheet2!$F$2,1,M23=sheet2!$F$2,0,M23&lt;sheet2!$F$2,-1)</f>
        <v>1</v>
      </c>
      <c r="AA23" cm="1">
        <f t="array" ref="AA23">_xlfn.IFS(N23&gt;sheet2!$G$2,1,N23=sheet2!$G$2,0,N23&lt;sheet2!$G$2,-1)</f>
        <v>0</v>
      </c>
    </row>
    <row r="24" spans="1:27" ht="14.4" hidden="1" x14ac:dyDescent="0.25">
      <c r="A24">
        <v>0.46469968387776589</v>
      </c>
      <c r="B24" s="4">
        <v>1</v>
      </c>
      <c r="E24" s="2">
        <v>3</v>
      </c>
      <c r="F24" s="2" t="s">
        <v>9</v>
      </c>
      <c r="G24" s="2">
        <v>2022</v>
      </c>
      <c r="H24" s="14">
        <v>0.32134808865302389</v>
      </c>
      <c r="I24" s="2">
        <f t="shared" si="5"/>
        <v>5.9836921959872998E-3</v>
      </c>
      <c r="J24">
        <v>0.3</v>
      </c>
      <c r="K24">
        <v>0.125</v>
      </c>
      <c r="L24">
        <v>0.18</v>
      </c>
      <c r="M24">
        <v>0.35</v>
      </c>
      <c r="N24">
        <v>0.65</v>
      </c>
      <c r="O24">
        <v>1.4999999999999998</v>
      </c>
      <c r="P24">
        <v>0.92592592592592582</v>
      </c>
      <c r="Q24">
        <v>1</v>
      </c>
      <c r="R24">
        <v>1.4</v>
      </c>
      <c r="S24">
        <v>1</v>
      </c>
      <c r="T24">
        <f t="shared" si="1"/>
        <v>1.4499999999999997</v>
      </c>
      <c r="U24">
        <f t="shared" si="2"/>
        <v>0.92592592592592582</v>
      </c>
      <c r="V24">
        <f t="shared" si="3"/>
        <v>1</v>
      </c>
      <c r="W24" cm="1">
        <f t="array" ref="W24">_xlfn.IFS(J24&gt;sheet2!$C$2,1,J24=sheet2!$C$2,0,J24&lt;sheet2!$C$2,-1)</f>
        <v>1</v>
      </c>
      <c r="X24" cm="1">
        <f t="array" ref="X24">_xlfn.IFS(K24&gt;sheet2!$D$2,1,K24=sheet2!$D$2,0,K24&lt;sheet2!$D$2,-1)</f>
        <v>-1</v>
      </c>
      <c r="Y24" cm="1">
        <f t="array" ref="Y24">_xlfn.IFS(L24&gt;sheet2!$E$2,1,L24=sheet2!$E$2,0,L24&lt;sheet2!$E$2,-1)</f>
        <v>0</v>
      </c>
      <c r="Z24" cm="1">
        <f t="array" ref="Z24">_xlfn.IFS(M24&gt;sheet2!$F$2,1,M24=sheet2!$F$2,0,M24&lt;sheet2!$F$2,-1)</f>
        <v>1</v>
      </c>
      <c r="AA24" cm="1">
        <f t="array" ref="AA24">_xlfn.IFS(N24&gt;sheet2!$G$2,1,N24=sheet2!$G$2,0,N24&lt;sheet2!$G$2,-1)</f>
        <v>0</v>
      </c>
    </row>
    <row r="25" spans="1:27" ht="14.4" hidden="1" x14ac:dyDescent="0.25">
      <c r="A25">
        <v>0.6543730242360376</v>
      </c>
      <c r="B25" s="4">
        <v>1</v>
      </c>
      <c r="E25" s="2">
        <v>3</v>
      </c>
      <c r="F25" s="9" t="s">
        <v>50</v>
      </c>
      <c r="G25" s="2">
        <v>2023</v>
      </c>
      <c r="H25" s="16"/>
      <c r="I25" s="2"/>
      <c r="J25">
        <v>0.3</v>
      </c>
      <c r="K25">
        <v>0.125</v>
      </c>
      <c r="L25">
        <v>0.18</v>
      </c>
      <c r="M25">
        <v>0.35</v>
      </c>
      <c r="N25">
        <v>0.65</v>
      </c>
      <c r="O25">
        <v>1.4999999999999998</v>
      </c>
      <c r="P25">
        <v>0.92592592592592582</v>
      </c>
      <c r="Q25">
        <v>1</v>
      </c>
      <c r="R25">
        <v>1.4</v>
      </c>
      <c r="S25">
        <v>1</v>
      </c>
      <c r="T25">
        <f t="shared" si="1"/>
        <v>1.4499999999999997</v>
      </c>
      <c r="U25">
        <f t="shared" si="2"/>
        <v>0.92592592592592582</v>
      </c>
      <c r="V25">
        <f t="shared" si="3"/>
        <v>1</v>
      </c>
      <c r="W25" cm="1">
        <f t="array" ref="W25">_xlfn.IFS(J25&gt;sheet2!$C$2,1,J25=sheet2!$C$2,0,J25&lt;sheet2!$C$2,-1)</f>
        <v>1</v>
      </c>
      <c r="X25" cm="1">
        <f t="array" ref="X25">_xlfn.IFS(K25&gt;sheet2!$D$2,1,K25=sheet2!$D$2,0,K25&lt;sheet2!$D$2,-1)</f>
        <v>-1</v>
      </c>
      <c r="Y25" cm="1">
        <f t="array" ref="Y25">_xlfn.IFS(L25&gt;sheet2!$E$2,1,L25=sheet2!$E$2,0,L25&lt;sheet2!$E$2,-1)</f>
        <v>0</v>
      </c>
      <c r="Z25" cm="1">
        <f t="array" ref="Z25">_xlfn.IFS(M25&gt;sheet2!$F$2,1,M25=sheet2!$F$2,0,M25&lt;sheet2!$F$2,-1)</f>
        <v>1</v>
      </c>
      <c r="AA25" cm="1">
        <f t="array" ref="AA25">_xlfn.IFS(N25&gt;sheet2!$G$2,1,N25=sheet2!$G$2,0,N25&lt;sheet2!$G$2,-1)</f>
        <v>0</v>
      </c>
    </row>
    <row r="26" spans="1:27" ht="14.4" hidden="1" x14ac:dyDescent="0.25">
      <c r="A26">
        <v>0.35721812434141187</v>
      </c>
      <c r="B26" s="4">
        <v>1</v>
      </c>
      <c r="E26" s="2">
        <v>4</v>
      </c>
      <c r="F26" s="2" t="s">
        <v>10</v>
      </c>
      <c r="G26" s="2">
        <v>2016</v>
      </c>
      <c r="H26" s="14">
        <v>0.24061152917585291</v>
      </c>
      <c r="I26" s="2"/>
      <c r="J26">
        <v>0.12</v>
      </c>
      <c r="K26">
        <v>0.13500000000000001</v>
      </c>
      <c r="L26">
        <v>0.18</v>
      </c>
      <c r="M26">
        <v>0.18</v>
      </c>
      <c r="N26">
        <v>0.65</v>
      </c>
      <c r="O26">
        <v>0.6</v>
      </c>
      <c r="P26">
        <v>1</v>
      </c>
      <c r="Q26">
        <v>1</v>
      </c>
      <c r="R26">
        <v>0.72</v>
      </c>
      <c r="S26">
        <v>1</v>
      </c>
      <c r="T26">
        <f t="shared" si="1"/>
        <v>0.65999999999999992</v>
      </c>
      <c r="U26">
        <f t="shared" si="2"/>
        <v>1</v>
      </c>
      <c r="V26">
        <f t="shared" si="3"/>
        <v>1</v>
      </c>
      <c r="W26" cm="1">
        <f t="array" ref="W26">_xlfn.IFS(J26&gt;sheet2!$C$2,1,J26=sheet2!$C$2,0,J26&lt;sheet2!$C$2,-1)</f>
        <v>-1</v>
      </c>
      <c r="X26" cm="1">
        <f t="array" ref="X26">_xlfn.IFS(K26&gt;sheet2!$D$2,1,K26=sheet2!$D$2,0,K26&lt;sheet2!$D$2,-1)</f>
        <v>0</v>
      </c>
      <c r="Y26" cm="1">
        <f t="array" ref="Y26">_xlfn.IFS(L26&gt;sheet2!$E$2,1,L26=sheet2!$E$2,0,L26&lt;sheet2!$E$2,-1)</f>
        <v>0</v>
      </c>
      <c r="Z26" cm="1">
        <f t="array" ref="Z26">_xlfn.IFS(M26&gt;sheet2!$F$2,1,M26=sheet2!$F$2,0,M26&lt;sheet2!$F$2,-1)</f>
        <v>-1</v>
      </c>
      <c r="AA26" cm="1">
        <f t="array" ref="AA26">_xlfn.IFS(N26&gt;sheet2!$G$2,1,N26=sheet2!$G$2,0,N26&lt;sheet2!$G$2,-1)</f>
        <v>0</v>
      </c>
    </row>
    <row r="27" spans="1:27" ht="14.4" hidden="1" x14ac:dyDescent="0.25">
      <c r="A27">
        <v>0.51001053740779756</v>
      </c>
      <c r="B27" s="4">
        <v>1</v>
      </c>
      <c r="E27" s="2">
        <v>4</v>
      </c>
      <c r="F27" s="2" t="s">
        <v>10</v>
      </c>
      <c r="G27" s="2">
        <v>2017</v>
      </c>
      <c r="H27" s="14">
        <v>0.26312939212758013</v>
      </c>
      <c r="I27" s="2">
        <f t="shared" ref="I27:I32" si="6">(H27-H26)/H26</f>
        <v>9.3585968340153231E-2</v>
      </c>
      <c r="J27">
        <v>0.12</v>
      </c>
      <c r="K27">
        <v>0.13500000000000001</v>
      </c>
      <c r="L27">
        <v>0.18</v>
      </c>
      <c r="M27">
        <v>0.18</v>
      </c>
      <c r="N27">
        <v>0.65</v>
      </c>
      <c r="O27">
        <v>0.6</v>
      </c>
      <c r="P27">
        <v>1</v>
      </c>
      <c r="Q27">
        <v>1</v>
      </c>
      <c r="R27">
        <v>0.72</v>
      </c>
      <c r="S27">
        <v>1</v>
      </c>
      <c r="T27">
        <f t="shared" si="1"/>
        <v>0.65999999999999992</v>
      </c>
      <c r="U27">
        <f t="shared" si="2"/>
        <v>1</v>
      </c>
      <c r="V27">
        <f t="shared" si="3"/>
        <v>1</v>
      </c>
      <c r="W27" cm="1">
        <f t="array" ref="W27">_xlfn.IFS(J27&gt;sheet2!$C$2,1,J27=sheet2!$C$2,0,J27&lt;sheet2!$C$2,-1)</f>
        <v>-1</v>
      </c>
      <c r="X27" cm="1">
        <f t="array" ref="X27">_xlfn.IFS(K27&gt;sheet2!$D$2,1,K27=sheet2!$D$2,0,K27&lt;sheet2!$D$2,-1)</f>
        <v>0</v>
      </c>
      <c r="Y27" cm="1">
        <f t="array" ref="Y27">_xlfn.IFS(L27&gt;sheet2!$E$2,1,L27=sheet2!$E$2,0,L27&lt;sheet2!$E$2,-1)</f>
        <v>0</v>
      </c>
      <c r="Z27" cm="1">
        <f t="array" ref="Z27">_xlfn.IFS(M27&gt;sheet2!$F$2,1,M27=sheet2!$F$2,0,M27&lt;sheet2!$F$2,-1)</f>
        <v>-1</v>
      </c>
      <c r="AA27" cm="1">
        <f t="array" ref="AA27">_xlfn.IFS(N27&gt;sheet2!$G$2,1,N27=sheet2!$G$2,0,N27&lt;sheet2!$G$2,-1)</f>
        <v>0</v>
      </c>
    </row>
    <row r="28" spans="1:27" ht="14.4" hidden="1" x14ac:dyDescent="0.25">
      <c r="A28">
        <v>0.71759747102212823</v>
      </c>
      <c r="B28" s="4">
        <v>1</v>
      </c>
      <c r="E28" s="2">
        <v>4</v>
      </c>
      <c r="F28" s="2" t="s">
        <v>10</v>
      </c>
      <c r="G28" s="2">
        <v>2018</v>
      </c>
      <c r="H28" s="14">
        <v>0.29171651797939768</v>
      </c>
      <c r="I28" s="2">
        <f t="shared" si="6"/>
        <v>0.10864284533427145</v>
      </c>
      <c r="J28">
        <v>0.12</v>
      </c>
      <c r="K28">
        <v>0.13500000000000001</v>
      </c>
      <c r="L28">
        <v>0.18</v>
      </c>
      <c r="M28">
        <v>0.18</v>
      </c>
      <c r="N28">
        <v>0.65</v>
      </c>
      <c r="O28">
        <v>0.6</v>
      </c>
      <c r="P28">
        <v>1</v>
      </c>
      <c r="Q28">
        <v>1</v>
      </c>
      <c r="R28">
        <v>0.72</v>
      </c>
      <c r="S28">
        <v>1</v>
      </c>
      <c r="T28">
        <f t="shared" si="1"/>
        <v>0.65999999999999992</v>
      </c>
      <c r="U28">
        <f t="shared" si="2"/>
        <v>1</v>
      </c>
      <c r="V28">
        <f t="shared" si="3"/>
        <v>1</v>
      </c>
      <c r="W28" cm="1">
        <f t="array" ref="W28">_xlfn.IFS(J28&gt;sheet2!$C$2,1,J28=sheet2!$C$2,0,J28&lt;sheet2!$C$2,-1)</f>
        <v>-1</v>
      </c>
      <c r="X28" cm="1">
        <f t="array" ref="X28">_xlfn.IFS(K28&gt;sheet2!$D$2,1,K28=sheet2!$D$2,0,K28&lt;sheet2!$D$2,-1)</f>
        <v>0</v>
      </c>
      <c r="Y28" cm="1">
        <f t="array" ref="Y28">_xlfn.IFS(L28&gt;sheet2!$E$2,1,L28=sheet2!$E$2,0,L28&lt;sheet2!$E$2,-1)</f>
        <v>0</v>
      </c>
      <c r="Z28" cm="1">
        <f t="array" ref="Z28">_xlfn.IFS(M28&gt;sheet2!$F$2,1,M28=sheet2!$F$2,0,M28&lt;sheet2!$F$2,-1)</f>
        <v>-1</v>
      </c>
      <c r="AA28" cm="1">
        <f t="array" ref="AA28">_xlfn.IFS(N28&gt;sheet2!$G$2,1,N28=sheet2!$G$2,0,N28&lt;sheet2!$G$2,-1)</f>
        <v>0</v>
      </c>
    </row>
    <row r="29" spans="1:27" ht="14.4" hidden="1" x14ac:dyDescent="0.25">
      <c r="A29">
        <v>0.39515279241306622</v>
      </c>
      <c r="B29" s="4">
        <v>1</v>
      </c>
      <c r="E29" s="2">
        <v>4</v>
      </c>
      <c r="F29" s="2" t="s">
        <v>10</v>
      </c>
      <c r="G29" s="2">
        <v>2019</v>
      </c>
      <c r="H29" s="14">
        <v>0.29011883670198452</v>
      </c>
      <c r="I29" s="2">
        <f t="shared" si="6"/>
        <v>-5.4768282868575885E-3</v>
      </c>
      <c r="J29">
        <v>0.12</v>
      </c>
      <c r="K29">
        <v>0.13500000000000001</v>
      </c>
      <c r="L29">
        <v>0.18</v>
      </c>
      <c r="M29">
        <v>0.18</v>
      </c>
      <c r="N29">
        <v>0.65</v>
      </c>
      <c r="O29">
        <v>0.6</v>
      </c>
      <c r="P29">
        <v>1</v>
      </c>
      <c r="Q29">
        <v>1</v>
      </c>
      <c r="R29">
        <v>0.72</v>
      </c>
      <c r="S29">
        <v>1</v>
      </c>
      <c r="T29">
        <f t="shared" si="1"/>
        <v>0.65999999999999992</v>
      </c>
      <c r="U29">
        <f t="shared" si="2"/>
        <v>1</v>
      </c>
      <c r="V29">
        <f t="shared" si="3"/>
        <v>1</v>
      </c>
      <c r="W29" cm="1">
        <f t="array" ref="W29">_xlfn.IFS(J29&gt;sheet2!$C$2,1,J29=sheet2!$C$2,0,J29&lt;sheet2!$C$2,-1)</f>
        <v>-1</v>
      </c>
      <c r="X29" cm="1">
        <f t="array" ref="X29">_xlfn.IFS(K29&gt;sheet2!$D$2,1,K29=sheet2!$D$2,0,K29&lt;sheet2!$D$2,-1)</f>
        <v>0</v>
      </c>
      <c r="Y29" cm="1">
        <f t="array" ref="Y29">_xlfn.IFS(L29&gt;sheet2!$E$2,1,L29=sheet2!$E$2,0,L29&lt;sheet2!$E$2,-1)</f>
        <v>0</v>
      </c>
      <c r="Z29" cm="1">
        <f t="array" ref="Z29">_xlfn.IFS(M29&gt;sheet2!$F$2,1,M29=sheet2!$F$2,0,M29&lt;sheet2!$F$2,-1)</f>
        <v>-1</v>
      </c>
      <c r="AA29" cm="1">
        <f t="array" ref="AA29">_xlfn.IFS(N29&gt;sheet2!$G$2,1,N29=sheet2!$G$2,0,N29&lt;sheet2!$G$2,-1)</f>
        <v>0</v>
      </c>
    </row>
    <row r="30" spans="1:27" ht="14.4" hidden="1" x14ac:dyDescent="0.25">
      <c r="A30">
        <v>0</v>
      </c>
      <c r="B30" s="4">
        <v>1</v>
      </c>
      <c r="E30" s="2">
        <v>4</v>
      </c>
      <c r="F30" s="2" t="s">
        <v>10</v>
      </c>
      <c r="G30" s="2">
        <v>2020</v>
      </c>
      <c r="H30" s="14">
        <v>0.30115491169383812</v>
      </c>
      <c r="I30" s="2">
        <f t="shared" si="6"/>
        <v>3.8039842973691736E-2</v>
      </c>
      <c r="J30">
        <v>0.12</v>
      </c>
      <c r="K30">
        <v>0.13500000000000001</v>
      </c>
      <c r="L30">
        <v>0.18</v>
      </c>
      <c r="M30">
        <v>0.18</v>
      </c>
      <c r="N30">
        <v>0.65</v>
      </c>
      <c r="O30">
        <v>0.6</v>
      </c>
      <c r="P30">
        <v>1</v>
      </c>
      <c r="Q30">
        <v>1</v>
      </c>
      <c r="R30">
        <v>0.72</v>
      </c>
      <c r="S30">
        <v>1</v>
      </c>
      <c r="T30">
        <f t="shared" si="1"/>
        <v>0.65999999999999992</v>
      </c>
      <c r="U30">
        <f t="shared" si="2"/>
        <v>1</v>
      </c>
      <c r="V30">
        <f t="shared" si="3"/>
        <v>1</v>
      </c>
      <c r="W30" cm="1">
        <f t="array" ref="W30">_xlfn.IFS(J30&gt;sheet2!$C$2,1,J30=sheet2!$C$2,0,J30&lt;sheet2!$C$2,-1)</f>
        <v>-1</v>
      </c>
      <c r="X30" cm="1">
        <f t="array" ref="X30">_xlfn.IFS(K30&gt;sheet2!$D$2,1,K30=sheet2!$D$2,0,K30&lt;sheet2!$D$2,-1)</f>
        <v>0</v>
      </c>
      <c r="Y30" cm="1">
        <f t="array" ref="Y30">_xlfn.IFS(L30&gt;sheet2!$E$2,1,L30=sheet2!$E$2,0,L30&lt;sheet2!$E$2,-1)</f>
        <v>0</v>
      </c>
      <c r="Z30" cm="1">
        <f t="array" ref="Z30">_xlfn.IFS(M30&gt;sheet2!$F$2,1,M30=sheet2!$F$2,0,M30&lt;sheet2!$F$2,-1)</f>
        <v>-1</v>
      </c>
      <c r="AA30" cm="1">
        <f t="array" ref="AA30">_xlfn.IFS(N30&gt;sheet2!$G$2,1,N30=sheet2!$G$2,0,N30&lt;sheet2!$G$2,-1)</f>
        <v>0</v>
      </c>
    </row>
    <row r="31" spans="1:27" ht="14.4" x14ac:dyDescent="0.25">
      <c r="E31" s="2">
        <v>4</v>
      </c>
      <c r="F31" s="2" t="s">
        <v>10</v>
      </c>
      <c r="G31" s="2">
        <v>2021</v>
      </c>
      <c r="H31" s="14">
        <v>0.309443679404592</v>
      </c>
      <c r="I31" s="2">
        <f t="shared" si="6"/>
        <v>2.7523269217606023E-2</v>
      </c>
      <c r="J31">
        <v>0.32</v>
      </c>
      <c r="K31">
        <v>0.13500000000000001</v>
      </c>
      <c r="L31">
        <v>0.18</v>
      </c>
      <c r="M31">
        <v>0.35</v>
      </c>
      <c r="N31">
        <v>0.65</v>
      </c>
      <c r="O31">
        <v>1.5999999999999999</v>
      </c>
      <c r="P31">
        <v>1</v>
      </c>
      <c r="Q31">
        <v>1</v>
      </c>
      <c r="R31">
        <v>1.4</v>
      </c>
      <c r="S31">
        <v>1</v>
      </c>
      <c r="T31">
        <f t="shared" si="1"/>
        <v>1.5</v>
      </c>
      <c r="U31">
        <f t="shared" si="2"/>
        <v>1</v>
      </c>
      <c r="V31">
        <f t="shared" si="3"/>
        <v>1</v>
      </c>
      <c r="W31" cm="1">
        <f t="array" ref="W31">_xlfn.IFS(J31&gt;sheet2!$C$2,1,J31=sheet2!$C$2,0,J31&lt;sheet2!$C$2,-1)</f>
        <v>1</v>
      </c>
      <c r="X31" cm="1">
        <f t="array" ref="X31">_xlfn.IFS(K31&gt;sheet2!$D$2,1,K31=sheet2!$D$2,0,K31&lt;sheet2!$D$2,-1)</f>
        <v>0</v>
      </c>
      <c r="Y31" cm="1">
        <f t="array" ref="Y31">_xlfn.IFS(L31&gt;sheet2!$E$2,1,L31=sheet2!$E$2,0,L31&lt;sheet2!$E$2,-1)</f>
        <v>0</v>
      </c>
      <c r="Z31" cm="1">
        <f t="array" ref="Z31">_xlfn.IFS(M31&gt;sheet2!$F$2,1,M31=sheet2!$F$2,0,M31&lt;sheet2!$F$2,-1)</f>
        <v>1</v>
      </c>
      <c r="AA31" cm="1">
        <f t="array" ref="AA31">_xlfn.IFS(N31&gt;sheet2!$G$2,1,N31=sheet2!$G$2,0,N31&lt;sheet2!$G$2,-1)</f>
        <v>0</v>
      </c>
    </row>
    <row r="32" spans="1:27" ht="14.4" hidden="1" x14ac:dyDescent="0.25">
      <c r="E32" s="2">
        <v>4</v>
      </c>
      <c r="F32" s="2" t="s">
        <v>10</v>
      </c>
      <c r="G32" s="2">
        <v>2022</v>
      </c>
      <c r="H32" s="14">
        <v>0.37664799873694499</v>
      </c>
      <c r="I32" s="2">
        <f t="shared" si="6"/>
        <v>0.21717787049863946</v>
      </c>
      <c r="J32">
        <v>0.32</v>
      </c>
      <c r="K32">
        <v>0.13500000000000001</v>
      </c>
      <c r="L32">
        <v>0.18</v>
      </c>
      <c r="M32">
        <v>0.35</v>
      </c>
      <c r="N32">
        <v>0.65</v>
      </c>
      <c r="O32">
        <v>1.5999999999999999</v>
      </c>
      <c r="P32">
        <v>1</v>
      </c>
      <c r="Q32">
        <v>1</v>
      </c>
      <c r="R32">
        <v>1.4</v>
      </c>
      <c r="S32">
        <v>1</v>
      </c>
      <c r="T32">
        <f t="shared" si="1"/>
        <v>1.5</v>
      </c>
      <c r="U32">
        <f t="shared" si="2"/>
        <v>1</v>
      </c>
      <c r="V32">
        <f t="shared" si="3"/>
        <v>1</v>
      </c>
      <c r="W32" cm="1">
        <f t="array" ref="W32">_xlfn.IFS(J32&gt;sheet2!$C$2,1,J32=sheet2!$C$2,0,J32&lt;sheet2!$C$2,-1)</f>
        <v>1</v>
      </c>
      <c r="X32" cm="1">
        <f t="array" ref="X32">_xlfn.IFS(K32&gt;sheet2!$D$2,1,K32=sheet2!$D$2,0,K32&lt;sheet2!$D$2,-1)</f>
        <v>0</v>
      </c>
      <c r="Y32" cm="1">
        <f t="array" ref="Y32">_xlfn.IFS(L32&gt;sheet2!$E$2,1,L32=sheet2!$E$2,0,L32&lt;sheet2!$E$2,-1)</f>
        <v>0</v>
      </c>
      <c r="Z32" cm="1">
        <f t="array" ref="Z32">_xlfn.IFS(M32&gt;sheet2!$F$2,1,M32=sheet2!$F$2,0,M32&lt;sheet2!$F$2,-1)</f>
        <v>1</v>
      </c>
      <c r="AA32" cm="1">
        <f t="array" ref="AA32">_xlfn.IFS(N32&gt;sheet2!$G$2,1,N32=sheet2!$G$2,0,N32&lt;sheet2!$G$2,-1)</f>
        <v>0</v>
      </c>
    </row>
    <row r="33" spans="5:27" ht="14.4" hidden="1" x14ac:dyDescent="0.25">
      <c r="E33" s="2">
        <v>4</v>
      </c>
      <c r="F33" s="9" t="s">
        <v>51</v>
      </c>
      <c r="G33" s="2">
        <v>2023</v>
      </c>
      <c r="H33" s="16"/>
      <c r="I33" s="2"/>
      <c r="J33">
        <v>0.3</v>
      </c>
      <c r="K33">
        <v>0.13500000000000001</v>
      </c>
      <c r="L33">
        <v>0.18</v>
      </c>
      <c r="M33">
        <v>0.35</v>
      </c>
      <c r="N33">
        <v>0.65</v>
      </c>
      <c r="O33">
        <v>1.4999999999999998</v>
      </c>
      <c r="P33">
        <v>1</v>
      </c>
      <c r="Q33">
        <v>1</v>
      </c>
      <c r="R33">
        <v>1.4</v>
      </c>
      <c r="S33">
        <v>1</v>
      </c>
      <c r="T33">
        <f t="shared" si="1"/>
        <v>1.4499999999999997</v>
      </c>
      <c r="U33">
        <f t="shared" si="2"/>
        <v>1</v>
      </c>
      <c r="V33">
        <f t="shared" si="3"/>
        <v>1</v>
      </c>
      <c r="W33" cm="1">
        <f t="array" ref="W33">_xlfn.IFS(J33&gt;sheet2!$C$2,1,J33=sheet2!$C$2,0,J33&lt;sheet2!$C$2,-1)</f>
        <v>1</v>
      </c>
      <c r="X33" cm="1">
        <f t="array" ref="X33">_xlfn.IFS(K33&gt;sheet2!$D$2,1,K33=sheet2!$D$2,0,K33&lt;sheet2!$D$2,-1)</f>
        <v>0</v>
      </c>
      <c r="Y33" cm="1">
        <f t="array" ref="Y33">_xlfn.IFS(L33&gt;sheet2!$E$2,1,L33=sheet2!$E$2,0,L33&lt;sheet2!$E$2,-1)</f>
        <v>0</v>
      </c>
      <c r="Z33" cm="1">
        <f t="array" ref="Z33">_xlfn.IFS(M33&gt;sheet2!$F$2,1,M33=sheet2!$F$2,0,M33&lt;sheet2!$F$2,-1)</f>
        <v>1</v>
      </c>
      <c r="AA33" cm="1">
        <f t="array" ref="AA33">_xlfn.IFS(N33&gt;sheet2!$G$2,1,N33=sheet2!$G$2,0,N33&lt;sheet2!$G$2,-1)</f>
        <v>0</v>
      </c>
    </row>
    <row r="34" spans="5:27" ht="14.4" hidden="1" x14ac:dyDescent="0.25">
      <c r="E34" s="2">
        <v>5</v>
      </c>
      <c r="F34" s="2" t="s">
        <v>11</v>
      </c>
      <c r="G34" s="2">
        <v>2016</v>
      </c>
      <c r="H34" s="14">
        <v>0.32668047922991056</v>
      </c>
      <c r="I34" s="2"/>
      <c r="J34">
        <v>0.18</v>
      </c>
      <c r="K34">
        <v>0.13500000000000001</v>
      </c>
      <c r="L34">
        <v>0.18</v>
      </c>
      <c r="M34">
        <v>0.25</v>
      </c>
      <c r="N34">
        <v>0.65</v>
      </c>
      <c r="O34">
        <v>0.89999999999999991</v>
      </c>
      <c r="P34">
        <v>1</v>
      </c>
      <c r="Q34">
        <v>1</v>
      </c>
      <c r="R34">
        <v>1</v>
      </c>
      <c r="S34">
        <v>1</v>
      </c>
      <c r="T34">
        <f t="shared" si="1"/>
        <v>0.95</v>
      </c>
      <c r="U34">
        <f t="shared" si="2"/>
        <v>1</v>
      </c>
      <c r="V34">
        <f t="shared" si="3"/>
        <v>1</v>
      </c>
      <c r="W34" cm="1">
        <f t="array" ref="W34">_xlfn.IFS(J34&gt;sheet2!$C$2,1,J34=sheet2!$C$2,0,J34&lt;sheet2!$C$2,-1)</f>
        <v>-1</v>
      </c>
      <c r="X34" cm="1">
        <f t="array" ref="X34">_xlfn.IFS(K34&gt;sheet2!$D$2,1,K34=sheet2!$D$2,0,K34&lt;sheet2!$D$2,-1)</f>
        <v>0</v>
      </c>
      <c r="Y34" cm="1">
        <f t="array" ref="Y34">_xlfn.IFS(L34&gt;sheet2!$E$2,1,L34=sheet2!$E$2,0,L34&lt;sheet2!$E$2,-1)</f>
        <v>0</v>
      </c>
      <c r="Z34" cm="1">
        <f t="array" ref="Z34">_xlfn.IFS(M34&gt;sheet2!$F$2,1,M34=sheet2!$F$2,0,M34&lt;sheet2!$F$2,-1)</f>
        <v>0</v>
      </c>
      <c r="AA34" cm="1">
        <f t="array" ref="AA34">_xlfn.IFS(N34&gt;sheet2!$G$2,1,N34=sheet2!$G$2,0,N34&lt;sheet2!$G$2,-1)</f>
        <v>0</v>
      </c>
    </row>
    <row r="35" spans="5:27" ht="14.4" hidden="1" x14ac:dyDescent="0.25">
      <c r="E35" s="2">
        <v>5</v>
      </c>
      <c r="F35" s="2" t="s">
        <v>11</v>
      </c>
      <c r="G35" s="2">
        <v>2017</v>
      </c>
      <c r="H35" s="14">
        <v>0.35588348557152888</v>
      </c>
      <c r="I35" s="2">
        <f t="shared" ref="I35:I40" si="7">(H35-H34)/H34</f>
        <v>8.9393178344965893E-2</v>
      </c>
      <c r="J35">
        <v>0.18</v>
      </c>
      <c r="K35">
        <v>0.13500000000000001</v>
      </c>
      <c r="L35">
        <v>0.18</v>
      </c>
      <c r="M35">
        <v>0.25</v>
      </c>
      <c r="N35">
        <v>0.65</v>
      </c>
      <c r="O35">
        <v>0.89999999999999991</v>
      </c>
      <c r="P35">
        <v>1</v>
      </c>
      <c r="Q35">
        <v>1</v>
      </c>
      <c r="R35">
        <v>1</v>
      </c>
      <c r="S35">
        <v>1</v>
      </c>
      <c r="T35">
        <f t="shared" si="1"/>
        <v>0.95</v>
      </c>
      <c r="U35">
        <f t="shared" si="2"/>
        <v>1</v>
      </c>
      <c r="V35">
        <f t="shared" si="3"/>
        <v>1</v>
      </c>
      <c r="W35" cm="1">
        <f t="array" ref="W35">_xlfn.IFS(J35&gt;sheet2!$C$2,1,J35=sheet2!$C$2,0,J35&lt;sheet2!$C$2,-1)</f>
        <v>-1</v>
      </c>
      <c r="X35" cm="1">
        <f t="array" ref="X35">_xlfn.IFS(K35&gt;sheet2!$D$2,1,K35=sheet2!$D$2,0,K35&lt;sheet2!$D$2,-1)</f>
        <v>0</v>
      </c>
      <c r="Y35" cm="1">
        <f t="array" ref="Y35">_xlfn.IFS(L35&gt;sheet2!$E$2,1,L35=sheet2!$E$2,0,L35&lt;sheet2!$E$2,-1)</f>
        <v>0</v>
      </c>
      <c r="Z35" cm="1">
        <f t="array" ref="Z35">_xlfn.IFS(M35&gt;sheet2!$F$2,1,M35=sheet2!$F$2,0,M35&lt;sheet2!$F$2,-1)</f>
        <v>0</v>
      </c>
      <c r="AA35" cm="1">
        <f t="array" ref="AA35">_xlfn.IFS(N35&gt;sheet2!$G$2,1,N35=sheet2!$G$2,0,N35&lt;sheet2!$G$2,-1)</f>
        <v>0</v>
      </c>
    </row>
    <row r="36" spans="5:27" ht="14.4" hidden="1" x14ac:dyDescent="0.25">
      <c r="E36" s="2">
        <v>5</v>
      </c>
      <c r="F36" s="2" t="s">
        <v>11</v>
      </c>
      <c r="G36" s="2">
        <v>2018</v>
      </c>
      <c r="H36" s="14">
        <v>0.35655924672837475</v>
      </c>
      <c r="I36" s="2">
        <f t="shared" si="7"/>
        <v>1.8988269595051092E-3</v>
      </c>
      <c r="J36">
        <v>0.18</v>
      </c>
      <c r="K36">
        <v>0.13500000000000001</v>
      </c>
      <c r="L36">
        <v>0.18</v>
      </c>
      <c r="M36">
        <v>0.25</v>
      </c>
      <c r="N36">
        <v>0.65</v>
      </c>
      <c r="O36">
        <v>0.89999999999999991</v>
      </c>
      <c r="P36">
        <v>1</v>
      </c>
      <c r="Q36">
        <v>1</v>
      </c>
      <c r="R36">
        <v>1</v>
      </c>
      <c r="S36">
        <v>1</v>
      </c>
      <c r="T36">
        <f t="shared" si="1"/>
        <v>0.95</v>
      </c>
      <c r="U36">
        <f t="shared" si="2"/>
        <v>1</v>
      </c>
      <c r="V36">
        <f t="shared" si="3"/>
        <v>1</v>
      </c>
      <c r="W36" cm="1">
        <f t="array" ref="W36">_xlfn.IFS(J36&gt;sheet2!$C$2,1,J36=sheet2!$C$2,0,J36&lt;sheet2!$C$2,-1)</f>
        <v>-1</v>
      </c>
      <c r="X36" cm="1">
        <f t="array" ref="X36">_xlfn.IFS(K36&gt;sheet2!$D$2,1,K36=sheet2!$D$2,0,K36&lt;sheet2!$D$2,-1)</f>
        <v>0</v>
      </c>
      <c r="Y36" cm="1">
        <f t="array" ref="Y36">_xlfn.IFS(L36&gt;sheet2!$E$2,1,L36=sheet2!$E$2,0,L36&lt;sheet2!$E$2,-1)</f>
        <v>0</v>
      </c>
      <c r="Z36" cm="1">
        <f t="array" ref="Z36">_xlfn.IFS(M36&gt;sheet2!$F$2,1,M36=sheet2!$F$2,0,M36&lt;sheet2!$F$2,-1)</f>
        <v>0</v>
      </c>
      <c r="AA36" cm="1">
        <f t="array" ref="AA36">_xlfn.IFS(N36&gt;sheet2!$G$2,1,N36=sheet2!$G$2,0,N36&lt;sheet2!$G$2,-1)</f>
        <v>0</v>
      </c>
    </row>
    <row r="37" spans="5:27" ht="14.4" hidden="1" x14ac:dyDescent="0.25">
      <c r="E37" s="2">
        <v>5</v>
      </c>
      <c r="F37" s="2" t="s">
        <v>11</v>
      </c>
      <c r="G37" s="2">
        <v>2019</v>
      </c>
      <c r="H37" s="14">
        <v>0.35899209638703028</v>
      </c>
      <c r="I37" s="2">
        <f t="shared" si="7"/>
        <v>6.8231287814809298E-3</v>
      </c>
      <c r="J37">
        <v>0.18</v>
      </c>
      <c r="K37">
        <v>0.13500000000000001</v>
      </c>
      <c r="L37">
        <v>0.18</v>
      </c>
      <c r="M37">
        <v>0.25</v>
      </c>
      <c r="N37">
        <v>0.65</v>
      </c>
      <c r="O37">
        <v>0.89999999999999991</v>
      </c>
      <c r="P37">
        <v>1</v>
      </c>
      <c r="Q37">
        <v>1</v>
      </c>
      <c r="R37">
        <v>1</v>
      </c>
      <c r="S37">
        <v>1</v>
      </c>
      <c r="T37">
        <f t="shared" si="1"/>
        <v>0.95</v>
      </c>
      <c r="U37">
        <f t="shared" si="2"/>
        <v>1</v>
      </c>
      <c r="V37">
        <f t="shared" si="3"/>
        <v>1</v>
      </c>
      <c r="W37" cm="1">
        <f t="array" ref="W37">_xlfn.IFS(J37&gt;sheet2!$C$2,1,J37=sheet2!$C$2,0,J37&lt;sheet2!$C$2,-1)</f>
        <v>-1</v>
      </c>
      <c r="X37" cm="1">
        <f t="array" ref="X37">_xlfn.IFS(K37&gt;sheet2!$D$2,1,K37=sheet2!$D$2,0,K37&lt;sheet2!$D$2,-1)</f>
        <v>0</v>
      </c>
      <c r="Y37" cm="1">
        <f t="array" ref="Y37">_xlfn.IFS(L37&gt;sheet2!$E$2,1,L37=sheet2!$E$2,0,L37&lt;sheet2!$E$2,-1)</f>
        <v>0</v>
      </c>
      <c r="Z37" cm="1">
        <f t="array" ref="Z37">_xlfn.IFS(M37&gt;sheet2!$F$2,1,M37=sheet2!$F$2,0,M37&lt;sheet2!$F$2,-1)</f>
        <v>0</v>
      </c>
      <c r="AA37" cm="1">
        <f t="array" ref="AA37">_xlfn.IFS(N37&gt;sheet2!$G$2,1,N37=sheet2!$G$2,0,N37&lt;sheet2!$G$2,-1)</f>
        <v>0</v>
      </c>
    </row>
    <row r="38" spans="5:27" ht="14.4" hidden="1" x14ac:dyDescent="0.25">
      <c r="E38" s="2">
        <v>5</v>
      </c>
      <c r="F38" s="2" t="s">
        <v>11</v>
      </c>
      <c r="G38" s="2">
        <v>2020</v>
      </c>
      <c r="H38" s="14">
        <v>0.37054340387154944</v>
      </c>
      <c r="I38" s="2">
        <f t="shared" si="7"/>
        <v>3.2177052366260631E-2</v>
      </c>
      <c r="J38">
        <v>0.18</v>
      </c>
      <c r="K38">
        <v>0.13500000000000001</v>
      </c>
      <c r="L38">
        <v>0.18</v>
      </c>
      <c r="M38">
        <v>0.25</v>
      </c>
      <c r="N38">
        <v>0.65</v>
      </c>
      <c r="O38">
        <v>0.89999999999999991</v>
      </c>
      <c r="P38">
        <v>1</v>
      </c>
      <c r="Q38">
        <v>1</v>
      </c>
      <c r="R38">
        <v>1</v>
      </c>
      <c r="S38">
        <v>1</v>
      </c>
      <c r="T38">
        <f t="shared" si="1"/>
        <v>0.95</v>
      </c>
      <c r="U38">
        <f t="shared" si="2"/>
        <v>1</v>
      </c>
      <c r="V38">
        <f t="shared" si="3"/>
        <v>1</v>
      </c>
      <c r="W38" cm="1">
        <f t="array" ref="W38">_xlfn.IFS(J38&gt;sheet2!$C$2,1,J38=sheet2!$C$2,0,J38&lt;sheet2!$C$2,-1)</f>
        <v>-1</v>
      </c>
      <c r="X38" cm="1">
        <f t="array" ref="X38">_xlfn.IFS(K38&gt;sheet2!$D$2,1,K38=sheet2!$D$2,0,K38&lt;sheet2!$D$2,-1)</f>
        <v>0</v>
      </c>
      <c r="Y38" cm="1">
        <f t="array" ref="Y38">_xlfn.IFS(L38&gt;sheet2!$E$2,1,L38=sheet2!$E$2,0,L38&lt;sheet2!$E$2,-1)</f>
        <v>0</v>
      </c>
      <c r="Z38" cm="1">
        <f t="array" ref="Z38">_xlfn.IFS(M38&gt;sheet2!$F$2,1,M38=sheet2!$F$2,0,M38&lt;sheet2!$F$2,-1)</f>
        <v>0</v>
      </c>
      <c r="AA38" cm="1">
        <f t="array" ref="AA38">_xlfn.IFS(N38&gt;sheet2!$G$2,1,N38=sheet2!$G$2,0,N38&lt;sheet2!$G$2,-1)</f>
        <v>0</v>
      </c>
    </row>
    <row r="39" spans="5:27" ht="14.4" x14ac:dyDescent="0.25">
      <c r="E39" s="2">
        <v>5</v>
      </c>
      <c r="F39" s="2" t="s">
        <v>11</v>
      </c>
      <c r="G39" s="2">
        <v>2021</v>
      </c>
      <c r="H39" s="14">
        <v>0.40318423226954997</v>
      </c>
      <c r="I39" s="2">
        <f t="shared" si="7"/>
        <v>8.8089082296322896E-2</v>
      </c>
      <c r="J39">
        <v>0.3</v>
      </c>
      <c r="K39">
        <v>0.13500000000000001</v>
      </c>
      <c r="L39">
        <v>0.18</v>
      </c>
      <c r="M39">
        <v>0.35</v>
      </c>
      <c r="N39">
        <v>0.65</v>
      </c>
      <c r="O39">
        <v>1.4999999999999998</v>
      </c>
      <c r="P39">
        <v>1</v>
      </c>
      <c r="Q39">
        <v>1</v>
      </c>
      <c r="R39">
        <v>1.4</v>
      </c>
      <c r="S39">
        <v>1</v>
      </c>
      <c r="T39">
        <f t="shared" si="1"/>
        <v>1.4499999999999997</v>
      </c>
      <c r="U39">
        <f t="shared" si="2"/>
        <v>1</v>
      </c>
      <c r="V39">
        <f t="shared" si="3"/>
        <v>1</v>
      </c>
      <c r="W39" cm="1">
        <f t="array" ref="W39">_xlfn.IFS(J39&gt;sheet2!$C$2,1,J39=sheet2!$C$2,0,J39&lt;sheet2!$C$2,-1)</f>
        <v>1</v>
      </c>
      <c r="X39" cm="1">
        <f t="array" ref="X39">_xlfn.IFS(K39&gt;sheet2!$D$2,1,K39=sheet2!$D$2,0,K39&lt;sheet2!$D$2,-1)</f>
        <v>0</v>
      </c>
      <c r="Y39" cm="1">
        <f t="array" ref="Y39">_xlfn.IFS(L39&gt;sheet2!$E$2,1,L39=sheet2!$E$2,0,L39&lt;sheet2!$E$2,-1)</f>
        <v>0</v>
      </c>
      <c r="Z39" cm="1">
        <f t="array" ref="Z39">_xlfn.IFS(M39&gt;sheet2!$F$2,1,M39=sheet2!$F$2,0,M39&lt;sheet2!$F$2,-1)</f>
        <v>1</v>
      </c>
      <c r="AA39" cm="1">
        <f t="array" ref="AA39">_xlfn.IFS(N39&gt;sheet2!$G$2,1,N39=sheet2!$G$2,0,N39&lt;sheet2!$G$2,-1)</f>
        <v>0</v>
      </c>
    </row>
    <row r="40" spans="5:27" ht="14.4" hidden="1" x14ac:dyDescent="0.25">
      <c r="E40" s="2">
        <v>5</v>
      </c>
      <c r="F40" s="6" t="s">
        <v>12</v>
      </c>
      <c r="G40" s="2">
        <v>2022</v>
      </c>
      <c r="H40" s="14">
        <v>0.4110277056618617</v>
      </c>
      <c r="I40" s="2">
        <f t="shared" si="7"/>
        <v>1.9453819779013462E-2</v>
      </c>
      <c r="J40">
        <v>0.21600000000000003</v>
      </c>
      <c r="K40">
        <v>0.13500000000000001</v>
      </c>
      <c r="L40">
        <v>0.18</v>
      </c>
      <c r="M40">
        <v>0.25</v>
      </c>
      <c r="N40">
        <v>0.65</v>
      </c>
      <c r="O40">
        <v>1.08</v>
      </c>
      <c r="P40">
        <v>1</v>
      </c>
      <c r="Q40">
        <v>1</v>
      </c>
      <c r="R40">
        <v>1</v>
      </c>
      <c r="S40">
        <v>1</v>
      </c>
      <c r="T40">
        <f t="shared" si="1"/>
        <v>1.04</v>
      </c>
      <c r="U40">
        <f t="shared" si="2"/>
        <v>1</v>
      </c>
      <c r="V40">
        <f t="shared" si="3"/>
        <v>1</v>
      </c>
      <c r="W40" cm="1">
        <f t="array" ref="W40">_xlfn.IFS(J40&gt;sheet2!$C$2,1,J40=sheet2!$C$2,0,J40&lt;sheet2!$C$2,-1)</f>
        <v>1</v>
      </c>
      <c r="X40" cm="1">
        <f t="array" ref="X40">_xlfn.IFS(K40&gt;sheet2!$D$2,1,K40=sheet2!$D$2,0,K40&lt;sheet2!$D$2,-1)</f>
        <v>0</v>
      </c>
      <c r="Y40" cm="1">
        <f t="array" ref="Y40">_xlfn.IFS(L40&gt;sheet2!$E$2,1,L40=sheet2!$E$2,0,L40&lt;sheet2!$E$2,-1)</f>
        <v>0</v>
      </c>
      <c r="Z40" cm="1">
        <f t="array" ref="Z40">_xlfn.IFS(M40&gt;sheet2!$F$2,1,M40=sheet2!$F$2,0,M40&lt;sheet2!$F$2,-1)</f>
        <v>0</v>
      </c>
      <c r="AA40" cm="1">
        <f t="array" ref="AA40">_xlfn.IFS(N40&gt;sheet2!$G$2,1,N40=sheet2!$G$2,0,N40&lt;sheet2!$G$2,-1)</f>
        <v>0</v>
      </c>
    </row>
    <row r="41" spans="5:27" ht="14.4" hidden="1" x14ac:dyDescent="0.25">
      <c r="E41" s="2">
        <v>6</v>
      </c>
      <c r="F41" s="2" t="s">
        <v>13</v>
      </c>
      <c r="G41" s="2">
        <v>2016</v>
      </c>
      <c r="H41" s="14">
        <v>0.28841748271327849</v>
      </c>
      <c r="I41" s="2"/>
      <c r="J41">
        <v>0.13699999999999998</v>
      </c>
      <c r="K41">
        <v>0.14499999999999999</v>
      </c>
      <c r="L41">
        <v>0.18</v>
      </c>
      <c r="M41">
        <v>0.2</v>
      </c>
      <c r="N41">
        <v>0.65</v>
      </c>
      <c r="O41">
        <v>0.68499999999999983</v>
      </c>
      <c r="P41">
        <v>1.074074074074074</v>
      </c>
      <c r="Q41">
        <v>1</v>
      </c>
      <c r="R41">
        <v>0.8</v>
      </c>
      <c r="S41">
        <v>1</v>
      </c>
      <c r="T41">
        <f t="shared" si="1"/>
        <v>0.74249999999999994</v>
      </c>
      <c r="U41">
        <f t="shared" si="2"/>
        <v>1.074074074074074</v>
      </c>
      <c r="V41">
        <f t="shared" si="3"/>
        <v>1</v>
      </c>
      <c r="W41" cm="1">
        <f t="array" ref="W41">_xlfn.IFS(J41&gt;sheet2!$C$2,1,J41=sheet2!$C$2,0,J41&lt;sheet2!$C$2,-1)</f>
        <v>-1</v>
      </c>
      <c r="X41" cm="1">
        <f t="array" ref="X41">_xlfn.IFS(K41&gt;sheet2!$D$2,1,K41=sheet2!$D$2,0,K41&lt;sheet2!$D$2,-1)</f>
        <v>1</v>
      </c>
      <c r="Y41" cm="1">
        <f t="array" ref="Y41">_xlfn.IFS(L41&gt;sheet2!$E$2,1,L41=sheet2!$E$2,0,L41&lt;sheet2!$E$2,-1)</f>
        <v>0</v>
      </c>
      <c r="Z41" cm="1">
        <f t="array" ref="Z41">_xlfn.IFS(M41&gt;sheet2!$F$2,1,M41=sheet2!$F$2,0,M41&lt;sheet2!$F$2,-1)</f>
        <v>-1</v>
      </c>
      <c r="AA41" cm="1">
        <f t="array" ref="AA41">_xlfn.IFS(N41&gt;sheet2!$G$2,1,N41=sheet2!$G$2,0,N41&lt;sheet2!$G$2,-1)</f>
        <v>0</v>
      </c>
    </row>
    <row r="42" spans="5:27" ht="14.4" hidden="1" x14ac:dyDescent="0.25">
      <c r="E42" s="2">
        <v>6</v>
      </c>
      <c r="F42" s="2" t="s">
        <v>13</v>
      </c>
      <c r="G42" s="2">
        <v>2017</v>
      </c>
      <c r="H42" s="14">
        <v>0.29456883169284603</v>
      </c>
      <c r="I42" s="2">
        <f t="shared" ref="I42:I47" si="8">(H42-H41)/H41</f>
        <v>2.132793380518724E-2</v>
      </c>
      <c r="J42">
        <v>0.13699999999999998</v>
      </c>
      <c r="K42">
        <v>0.14499999999999999</v>
      </c>
      <c r="L42">
        <v>0.18</v>
      </c>
      <c r="M42">
        <v>0.2</v>
      </c>
      <c r="N42">
        <v>0.65</v>
      </c>
      <c r="O42">
        <v>0.68499999999999983</v>
      </c>
      <c r="P42">
        <v>1.074074074074074</v>
      </c>
      <c r="Q42">
        <v>1</v>
      </c>
      <c r="R42">
        <v>0.8</v>
      </c>
      <c r="S42">
        <v>1</v>
      </c>
      <c r="T42">
        <f t="shared" si="1"/>
        <v>0.74249999999999994</v>
      </c>
      <c r="U42">
        <f t="shared" si="2"/>
        <v>1.074074074074074</v>
      </c>
      <c r="V42">
        <f t="shared" si="3"/>
        <v>1</v>
      </c>
      <c r="W42" cm="1">
        <f t="array" ref="W42">_xlfn.IFS(J42&gt;sheet2!$C$2,1,J42=sheet2!$C$2,0,J42&lt;sheet2!$C$2,-1)</f>
        <v>-1</v>
      </c>
      <c r="X42" cm="1">
        <f t="array" ref="X42">_xlfn.IFS(K42&gt;sheet2!$D$2,1,K42=sheet2!$D$2,0,K42&lt;sheet2!$D$2,-1)</f>
        <v>1</v>
      </c>
      <c r="Y42" cm="1">
        <f t="array" ref="Y42">_xlfn.IFS(L42&gt;sheet2!$E$2,1,L42=sheet2!$E$2,0,L42&lt;sheet2!$E$2,-1)</f>
        <v>0</v>
      </c>
      <c r="Z42" cm="1">
        <f t="array" ref="Z42">_xlfn.IFS(M42&gt;sheet2!$F$2,1,M42=sheet2!$F$2,0,M42&lt;sheet2!$F$2,-1)</f>
        <v>-1</v>
      </c>
      <c r="AA42" cm="1">
        <f t="array" ref="AA42">_xlfn.IFS(N42&gt;sheet2!$G$2,1,N42=sheet2!$G$2,0,N42&lt;sheet2!$G$2,-1)</f>
        <v>0</v>
      </c>
    </row>
    <row r="43" spans="5:27" ht="14.4" hidden="1" x14ac:dyDescent="0.25">
      <c r="E43" s="2">
        <v>6</v>
      </c>
      <c r="F43" s="2" t="s">
        <v>13</v>
      </c>
      <c r="G43" s="2">
        <v>2018</v>
      </c>
      <c r="H43" s="14">
        <v>0.31191125921812479</v>
      </c>
      <c r="I43" s="2">
        <f t="shared" si="8"/>
        <v>5.8873939328931181E-2</v>
      </c>
      <c r="J43">
        <v>0.13699999999999998</v>
      </c>
      <c r="K43">
        <v>0.14499999999999999</v>
      </c>
      <c r="L43">
        <v>0.18</v>
      </c>
      <c r="M43">
        <v>0.2</v>
      </c>
      <c r="N43">
        <v>0.65</v>
      </c>
      <c r="O43">
        <v>0.68499999999999983</v>
      </c>
      <c r="P43">
        <v>1.074074074074074</v>
      </c>
      <c r="Q43">
        <v>1</v>
      </c>
      <c r="R43">
        <v>0.8</v>
      </c>
      <c r="S43">
        <v>1</v>
      </c>
      <c r="T43">
        <f t="shared" si="1"/>
        <v>0.74249999999999994</v>
      </c>
      <c r="U43">
        <f t="shared" si="2"/>
        <v>1.074074074074074</v>
      </c>
      <c r="V43">
        <f t="shared" si="3"/>
        <v>1</v>
      </c>
      <c r="W43" cm="1">
        <f t="array" ref="W43">_xlfn.IFS(J43&gt;sheet2!$C$2,1,J43=sheet2!$C$2,0,J43&lt;sheet2!$C$2,-1)</f>
        <v>-1</v>
      </c>
      <c r="X43" cm="1">
        <f t="array" ref="X43">_xlfn.IFS(K43&gt;sheet2!$D$2,1,K43=sheet2!$D$2,0,K43&lt;sheet2!$D$2,-1)</f>
        <v>1</v>
      </c>
      <c r="Y43" cm="1">
        <f t="array" ref="Y43">_xlfn.IFS(L43&gt;sheet2!$E$2,1,L43=sheet2!$E$2,0,L43&lt;sheet2!$E$2,-1)</f>
        <v>0</v>
      </c>
      <c r="Z43" cm="1">
        <f t="array" ref="Z43">_xlfn.IFS(M43&gt;sheet2!$F$2,1,M43=sheet2!$F$2,0,M43&lt;sheet2!$F$2,-1)</f>
        <v>-1</v>
      </c>
      <c r="AA43" cm="1">
        <f t="array" ref="AA43">_xlfn.IFS(N43&gt;sheet2!$G$2,1,N43=sheet2!$G$2,0,N43&lt;sheet2!$G$2,-1)</f>
        <v>0</v>
      </c>
    </row>
    <row r="44" spans="5:27" ht="14.4" hidden="1" x14ac:dyDescent="0.25">
      <c r="E44" s="2">
        <v>6</v>
      </c>
      <c r="F44" s="2" t="s">
        <v>13</v>
      </c>
      <c r="G44" s="2">
        <v>2019</v>
      </c>
      <c r="H44" s="14">
        <v>0.3120078845551354</v>
      </c>
      <c r="I44" s="2">
        <f t="shared" si="8"/>
        <v>3.0978470367762909E-4</v>
      </c>
      <c r="J44">
        <v>0.13699999999999998</v>
      </c>
      <c r="K44">
        <v>0.14499999999999999</v>
      </c>
      <c r="L44">
        <v>0.18</v>
      </c>
      <c r="M44">
        <v>0.2</v>
      </c>
      <c r="N44">
        <v>0.65</v>
      </c>
      <c r="O44">
        <v>0.68499999999999983</v>
      </c>
      <c r="P44">
        <v>1.074074074074074</v>
      </c>
      <c r="Q44">
        <v>1</v>
      </c>
      <c r="R44">
        <v>0.8</v>
      </c>
      <c r="S44">
        <v>1</v>
      </c>
      <c r="T44">
        <f t="shared" si="1"/>
        <v>0.74249999999999994</v>
      </c>
      <c r="U44">
        <f t="shared" si="2"/>
        <v>1.074074074074074</v>
      </c>
      <c r="V44">
        <f t="shared" si="3"/>
        <v>1</v>
      </c>
      <c r="W44" cm="1">
        <f t="array" ref="W44">_xlfn.IFS(J44&gt;sheet2!$C$2,1,J44=sheet2!$C$2,0,J44&lt;sheet2!$C$2,-1)</f>
        <v>-1</v>
      </c>
      <c r="X44" cm="1">
        <f t="array" ref="X44">_xlfn.IFS(K44&gt;sheet2!$D$2,1,K44=sheet2!$D$2,0,K44&lt;sheet2!$D$2,-1)</f>
        <v>1</v>
      </c>
      <c r="Y44" cm="1">
        <f t="array" ref="Y44">_xlfn.IFS(L44&gt;sheet2!$E$2,1,L44=sheet2!$E$2,0,L44&lt;sheet2!$E$2,-1)</f>
        <v>0</v>
      </c>
      <c r="Z44" cm="1">
        <f t="array" ref="Z44">_xlfn.IFS(M44&gt;sheet2!$F$2,1,M44=sheet2!$F$2,0,M44&lt;sheet2!$F$2,-1)</f>
        <v>-1</v>
      </c>
      <c r="AA44" cm="1">
        <f t="array" ref="AA44">_xlfn.IFS(N44&gt;sheet2!$G$2,1,N44=sheet2!$G$2,0,N44&lt;sheet2!$G$2,-1)</f>
        <v>0</v>
      </c>
    </row>
    <row r="45" spans="5:27" ht="14.4" hidden="1" x14ac:dyDescent="0.25">
      <c r="E45" s="2">
        <v>6</v>
      </c>
      <c r="F45" s="2" t="s">
        <v>13</v>
      </c>
      <c r="G45" s="2">
        <v>2020</v>
      </c>
      <c r="H45" s="14">
        <v>0.31899534459106288</v>
      </c>
      <c r="I45" s="2">
        <f t="shared" si="8"/>
        <v>2.2395139295567128E-2</v>
      </c>
      <c r="J45">
        <v>0.13699999999999998</v>
      </c>
      <c r="K45">
        <v>0.14499999999999999</v>
      </c>
      <c r="L45">
        <v>0.18</v>
      </c>
      <c r="M45">
        <v>0.2</v>
      </c>
      <c r="N45">
        <v>0.65</v>
      </c>
      <c r="O45">
        <v>0.68499999999999983</v>
      </c>
      <c r="P45">
        <v>1.074074074074074</v>
      </c>
      <c r="Q45">
        <v>1</v>
      </c>
      <c r="R45">
        <v>0.8</v>
      </c>
      <c r="S45">
        <v>1</v>
      </c>
      <c r="T45">
        <f t="shared" si="1"/>
        <v>0.74249999999999994</v>
      </c>
      <c r="U45">
        <f t="shared" si="2"/>
        <v>1.074074074074074</v>
      </c>
      <c r="V45">
        <f t="shared" si="3"/>
        <v>1</v>
      </c>
      <c r="W45" cm="1">
        <f t="array" ref="W45">_xlfn.IFS(J45&gt;sheet2!$C$2,1,J45=sheet2!$C$2,0,J45&lt;sheet2!$C$2,-1)</f>
        <v>-1</v>
      </c>
      <c r="X45" cm="1">
        <f t="array" ref="X45">_xlfn.IFS(K45&gt;sheet2!$D$2,1,K45=sheet2!$D$2,0,K45&lt;sheet2!$D$2,-1)</f>
        <v>1</v>
      </c>
      <c r="Y45" cm="1">
        <f t="array" ref="Y45">_xlfn.IFS(L45&gt;sheet2!$E$2,1,L45=sheet2!$E$2,0,L45&lt;sheet2!$E$2,-1)</f>
        <v>0</v>
      </c>
      <c r="Z45" cm="1">
        <f t="array" ref="Z45">_xlfn.IFS(M45&gt;sheet2!$F$2,1,M45=sheet2!$F$2,0,M45&lt;sheet2!$F$2,-1)</f>
        <v>-1</v>
      </c>
      <c r="AA45" cm="1">
        <f t="array" ref="AA45">_xlfn.IFS(N45&gt;sheet2!$G$2,1,N45=sheet2!$G$2,0,N45&lt;sheet2!$G$2,-1)</f>
        <v>0</v>
      </c>
    </row>
    <row r="46" spans="5:27" ht="14.4" x14ac:dyDescent="0.25">
      <c r="E46" s="2">
        <v>6</v>
      </c>
      <c r="F46" s="2" t="s">
        <v>13</v>
      </c>
      <c r="G46" s="2">
        <v>2021</v>
      </c>
      <c r="H46" s="14">
        <v>0.33859877593886512</v>
      </c>
      <c r="I46" s="2">
        <f t="shared" si="8"/>
        <v>6.1453659685638734E-2</v>
      </c>
      <c r="J46">
        <v>0.21600000000000003</v>
      </c>
      <c r="K46">
        <v>0.13500000000000001</v>
      </c>
      <c r="L46">
        <v>0.18</v>
      </c>
      <c r="M46">
        <v>0.25</v>
      </c>
      <c r="N46">
        <v>0.65</v>
      </c>
      <c r="O46">
        <v>1.08</v>
      </c>
      <c r="P46">
        <v>1</v>
      </c>
      <c r="Q46">
        <v>1</v>
      </c>
      <c r="R46">
        <v>1</v>
      </c>
      <c r="S46">
        <v>1</v>
      </c>
      <c r="T46">
        <f t="shared" si="1"/>
        <v>1.04</v>
      </c>
      <c r="U46">
        <f t="shared" si="2"/>
        <v>1</v>
      </c>
      <c r="V46">
        <f t="shared" si="3"/>
        <v>1</v>
      </c>
      <c r="W46" cm="1">
        <f t="array" ref="W46">_xlfn.IFS(J46&gt;sheet2!$C$2,1,J46=sheet2!$C$2,0,J46&lt;sheet2!$C$2,-1)</f>
        <v>1</v>
      </c>
      <c r="X46" cm="1">
        <f t="array" ref="X46">_xlfn.IFS(K46&gt;sheet2!$D$2,1,K46=sheet2!$D$2,0,K46&lt;sheet2!$D$2,-1)</f>
        <v>0</v>
      </c>
      <c r="Y46" cm="1">
        <f t="array" ref="Y46">_xlfn.IFS(L46&gt;sheet2!$E$2,1,L46=sheet2!$E$2,0,L46&lt;sheet2!$E$2,-1)</f>
        <v>0</v>
      </c>
      <c r="Z46" cm="1">
        <f t="array" ref="Z46">_xlfn.IFS(M46&gt;sheet2!$F$2,1,M46=sheet2!$F$2,0,M46&lt;sheet2!$F$2,-1)</f>
        <v>0</v>
      </c>
      <c r="AA46" cm="1">
        <f t="array" ref="AA46">_xlfn.IFS(N46&gt;sheet2!$G$2,1,N46=sheet2!$G$2,0,N46&lt;sheet2!$G$2,-1)</f>
        <v>0</v>
      </c>
    </row>
    <row r="47" spans="5:27" ht="14.4" hidden="1" x14ac:dyDescent="0.25">
      <c r="E47" s="2">
        <v>6</v>
      </c>
      <c r="F47" s="6" t="s">
        <v>14</v>
      </c>
      <c r="G47" s="2">
        <v>2022</v>
      </c>
      <c r="H47" s="14">
        <v>0.34558682063848178</v>
      </c>
      <c r="I47" s="2">
        <f t="shared" si="8"/>
        <v>2.063812747178501E-2</v>
      </c>
      <c r="J47">
        <v>0.22</v>
      </c>
      <c r="K47">
        <v>0.13500000000000001</v>
      </c>
      <c r="L47">
        <v>0.18</v>
      </c>
      <c r="M47">
        <v>0.54</v>
      </c>
      <c r="N47">
        <v>0.65</v>
      </c>
      <c r="O47">
        <v>1.0999999999999999</v>
      </c>
      <c r="P47">
        <v>1</v>
      </c>
      <c r="Q47">
        <v>1</v>
      </c>
      <c r="R47">
        <v>2.16</v>
      </c>
      <c r="S47">
        <v>1</v>
      </c>
      <c r="T47">
        <f t="shared" si="1"/>
        <v>1.63</v>
      </c>
      <c r="U47">
        <f t="shared" si="2"/>
        <v>1</v>
      </c>
      <c r="V47">
        <f t="shared" si="3"/>
        <v>1</v>
      </c>
      <c r="W47" cm="1">
        <f t="array" ref="W47">_xlfn.IFS(J47&gt;sheet2!$C$2,1,J47=sheet2!$C$2,0,J47&lt;sheet2!$C$2,-1)</f>
        <v>1</v>
      </c>
      <c r="X47" cm="1">
        <f t="array" ref="X47">_xlfn.IFS(K47&gt;sheet2!$D$2,1,K47=sheet2!$D$2,0,K47&lt;sheet2!$D$2,-1)</f>
        <v>0</v>
      </c>
      <c r="Y47" cm="1">
        <f t="array" ref="Y47">_xlfn.IFS(L47&gt;sheet2!$E$2,1,L47=sheet2!$E$2,0,L47&lt;sheet2!$E$2,-1)</f>
        <v>0</v>
      </c>
      <c r="Z47" cm="1">
        <f t="array" ref="Z47">_xlfn.IFS(M47&gt;sheet2!$F$2,1,M47=sheet2!$F$2,0,M47&lt;sheet2!$F$2,-1)</f>
        <v>1</v>
      </c>
      <c r="AA47" cm="1">
        <f t="array" ref="AA47">_xlfn.IFS(N47&gt;sheet2!$G$2,1,N47=sheet2!$G$2,0,N47&lt;sheet2!$G$2,-1)</f>
        <v>0</v>
      </c>
    </row>
    <row r="48" spans="5:27" ht="14.4" hidden="1" x14ac:dyDescent="0.25">
      <c r="E48" s="2">
        <v>7</v>
      </c>
      <c r="F48" s="2" t="s">
        <v>15</v>
      </c>
      <c r="G48" s="2">
        <v>2016</v>
      </c>
      <c r="H48" s="14">
        <v>0.31241226875417277</v>
      </c>
      <c r="I48" s="2"/>
      <c r="J48">
        <v>0.17699999999999999</v>
      </c>
      <c r="K48">
        <v>0.13500000000000001</v>
      </c>
      <c r="L48">
        <v>0.18</v>
      </c>
      <c r="M48">
        <v>0.2</v>
      </c>
      <c r="N48">
        <v>0.65</v>
      </c>
      <c r="O48">
        <v>0.8849999999999999</v>
      </c>
      <c r="P48">
        <v>1</v>
      </c>
      <c r="Q48">
        <v>1</v>
      </c>
      <c r="R48">
        <v>0.8</v>
      </c>
      <c r="S48">
        <v>1</v>
      </c>
      <c r="T48">
        <f t="shared" si="1"/>
        <v>0.84250000000000003</v>
      </c>
      <c r="U48">
        <f t="shared" si="2"/>
        <v>1</v>
      </c>
      <c r="V48">
        <f t="shared" si="3"/>
        <v>1</v>
      </c>
      <c r="W48" cm="1">
        <f t="array" ref="W48">_xlfn.IFS(J48&gt;sheet2!$C$2,1,J48=sheet2!$C$2,0,J48&lt;sheet2!$C$2,-1)</f>
        <v>-1</v>
      </c>
      <c r="X48" cm="1">
        <f t="array" ref="X48">_xlfn.IFS(K48&gt;sheet2!$D$2,1,K48=sheet2!$D$2,0,K48&lt;sheet2!$D$2,-1)</f>
        <v>0</v>
      </c>
      <c r="Y48" cm="1">
        <f t="array" ref="Y48">_xlfn.IFS(L48&gt;sheet2!$E$2,1,L48=sheet2!$E$2,0,L48&lt;sheet2!$E$2,-1)</f>
        <v>0</v>
      </c>
      <c r="Z48" cm="1">
        <f t="array" ref="Z48">_xlfn.IFS(M48&gt;sheet2!$F$2,1,M48=sheet2!$F$2,0,M48&lt;sheet2!$F$2,-1)</f>
        <v>-1</v>
      </c>
      <c r="AA48" cm="1">
        <f t="array" ref="AA48">_xlfn.IFS(N48&gt;sheet2!$G$2,1,N48=sheet2!$G$2,0,N48&lt;sheet2!$G$2,-1)</f>
        <v>0</v>
      </c>
    </row>
    <row r="49" spans="5:27" ht="14.4" hidden="1" x14ac:dyDescent="0.25">
      <c r="E49" s="2">
        <v>7</v>
      </c>
      <c r="F49" s="2" t="s">
        <v>15</v>
      </c>
      <c r="G49" s="2">
        <v>2017</v>
      </c>
      <c r="H49" s="14">
        <v>0.35822441611780997</v>
      </c>
      <c r="I49" s="2">
        <f t="shared" ref="I49:I54" si="9">(H49-H48)/H48</f>
        <v>0.14664003928631023</v>
      </c>
      <c r="J49">
        <v>0.17699999999999999</v>
      </c>
      <c r="K49">
        <v>0.13500000000000001</v>
      </c>
      <c r="L49">
        <v>0.18</v>
      </c>
      <c r="M49">
        <v>0.2</v>
      </c>
      <c r="N49">
        <v>0.65</v>
      </c>
      <c r="O49">
        <v>0.8849999999999999</v>
      </c>
      <c r="P49">
        <v>1</v>
      </c>
      <c r="Q49">
        <v>1</v>
      </c>
      <c r="R49">
        <v>0.8</v>
      </c>
      <c r="S49">
        <v>1</v>
      </c>
      <c r="T49">
        <f t="shared" si="1"/>
        <v>0.84250000000000003</v>
      </c>
      <c r="U49">
        <f t="shared" si="2"/>
        <v>1</v>
      </c>
      <c r="V49">
        <f t="shared" si="3"/>
        <v>1</v>
      </c>
      <c r="W49" cm="1">
        <f t="array" ref="W49">_xlfn.IFS(J49&gt;sheet2!$C$2,1,J49=sheet2!$C$2,0,J49&lt;sheet2!$C$2,-1)</f>
        <v>-1</v>
      </c>
      <c r="X49" cm="1">
        <f t="array" ref="X49">_xlfn.IFS(K49&gt;sheet2!$D$2,1,K49=sheet2!$D$2,0,K49&lt;sheet2!$D$2,-1)</f>
        <v>0</v>
      </c>
      <c r="Y49" cm="1">
        <f t="array" ref="Y49">_xlfn.IFS(L49&gt;sheet2!$E$2,1,L49=sheet2!$E$2,0,L49&lt;sheet2!$E$2,-1)</f>
        <v>0</v>
      </c>
      <c r="Z49" cm="1">
        <f t="array" ref="Z49">_xlfn.IFS(M49&gt;sheet2!$F$2,1,M49=sheet2!$F$2,0,M49&lt;sheet2!$F$2,-1)</f>
        <v>-1</v>
      </c>
      <c r="AA49" cm="1">
        <f t="array" ref="AA49">_xlfn.IFS(N49&gt;sheet2!$G$2,1,N49=sheet2!$G$2,0,N49&lt;sheet2!$G$2,-1)</f>
        <v>0</v>
      </c>
    </row>
    <row r="50" spans="5:27" ht="14.4" hidden="1" x14ac:dyDescent="0.25">
      <c r="E50" s="2">
        <v>7</v>
      </c>
      <c r="F50" s="2" t="s">
        <v>15</v>
      </c>
      <c r="G50" s="2">
        <v>2018</v>
      </c>
      <c r="H50" s="14">
        <v>0.36722919345668964</v>
      </c>
      <c r="I50" s="2">
        <f t="shared" si="9"/>
        <v>2.5137251772135619E-2</v>
      </c>
      <c r="J50">
        <v>0.17699999999999999</v>
      </c>
      <c r="K50">
        <v>0.13500000000000001</v>
      </c>
      <c r="L50">
        <v>0.18</v>
      </c>
      <c r="M50">
        <v>0.2</v>
      </c>
      <c r="N50">
        <v>0.65</v>
      </c>
      <c r="O50">
        <v>0.8849999999999999</v>
      </c>
      <c r="P50">
        <v>1</v>
      </c>
      <c r="Q50">
        <v>1</v>
      </c>
      <c r="R50">
        <v>0.8</v>
      </c>
      <c r="S50">
        <v>1</v>
      </c>
      <c r="T50">
        <f t="shared" si="1"/>
        <v>0.84250000000000003</v>
      </c>
      <c r="U50">
        <f t="shared" si="2"/>
        <v>1</v>
      </c>
      <c r="V50">
        <f t="shared" si="3"/>
        <v>1</v>
      </c>
      <c r="W50" cm="1">
        <f t="array" ref="W50">_xlfn.IFS(J50&gt;sheet2!$C$2,1,J50=sheet2!$C$2,0,J50&lt;sheet2!$C$2,-1)</f>
        <v>-1</v>
      </c>
      <c r="X50" cm="1">
        <f t="array" ref="X50">_xlfn.IFS(K50&gt;sheet2!$D$2,1,K50=sheet2!$D$2,0,K50&lt;sheet2!$D$2,-1)</f>
        <v>0</v>
      </c>
      <c r="Y50" cm="1">
        <f t="array" ref="Y50">_xlfn.IFS(L50&gt;sheet2!$E$2,1,L50=sheet2!$E$2,0,L50&lt;sheet2!$E$2,-1)</f>
        <v>0</v>
      </c>
      <c r="Z50" cm="1">
        <f t="array" ref="Z50">_xlfn.IFS(M50&gt;sheet2!$F$2,1,M50=sheet2!$F$2,0,M50&lt;sheet2!$F$2,-1)</f>
        <v>-1</v>
      </c>
      <c r="AA50" cm="1">
        <f t="array" ref="AA50">_xlfn.IFS(N50&gt;sheet2!$G$2,1,N50=sheet2!$G$2,0,N50&lt;sheet2!$G$2,-1)</f>
        <v>0</v>
      </c>
    </row>
    <row r="51" spans="5:27" ht="14.4" hidden="1" x14ac:dyDescent="0.25">
      <c r="E51" s="2">
        <v>7</v>
      </c>
      <c r="F51" s="2" t="s">
        <v>15</v>
      </c>
      <c r="G51" s="2">
        <v>2019</v>
      </c>
      <c r="H51" s="14">
        <v>0.36487620126397707</v>
      </c>
      <c r="I51" s="2">
        <f t="shared" si="9"/>
        <v>-6.4074213996008844E-3</v>
      </c>
      <c r="J51">
        <v>0.17699999999999999</v>
      </c>
      <c r="K51">
        <v>0.13500000000000001</v>
      </c>
      <c r="L51">
        <v>0.18</v>
      </c>
      <c r="M51">
        <v>0.2</v>
      </c>
      <c r="N51">
        <v>0.65</v>
      </c>
      <c r="O51">
        <v>0.8849999999999999</v>
      </c>
      <c r="P51">
        <v>1</v>
      </c>
      <c r="Q51">
        <v>1</v>
      </c>
      <c r="R51">
        <v>0.8</v>
      </c>
      <c r="S51">
        <v>1</v>
      </c>
      <c r="T51">
        <f t="shared" si="1"/>
        <v>0.84250000000000003</v>
      </c>
      <c r="U51">
        <f t="shared" si="2"/>
        <v>1</v>
      </c>
      <c r="V51">
        <f t="shared" si="3"/>
        <v>1</v>
      </c>
      <c r="W51" cm="1">
        <f t="array" ref="W51">_xlfn.IFS(J51&gt;sheet2!$C$2,1,J51=sheet2!$C$2,0,J51&lt;sheet2!$C$2,-1)</f>
        <v>-1</v>
      </c>
      <c r="X51" cm="1">
        <f t="array" ref="X51">_xlfn.IFS(K51&gt;sheet2!$D$2,1,K51=sheet2!$D$2,0,K51&lt;sheet2!$D$2,-1)</f>
        <v>0</v>
      </c>
      <c r="Y51" cm="1">
        <f t="array" ref="Y51">_xlfn.IFS(L51&gt;sheet2!$E$2,1,L51=sheet2!$E$2,0,L51&lt;sheet2!$E$2,-1)</f>
        <v>0</v>
      </c>
      <c r="Z51" cm="1">
        <f t="array" ref="Z51">_xlfn.IFS(M51&gt;sheet2!$F$2,1,M51=sheet2!$F$2,0,M51&lt;sheet2!$F$2,-1)</f>
        <v>-1</v>
      </c>
      <c r="AA51" cm="1">
        <f t="array" ref="AA51">_xlfn.IFS(N51&gt;sheet2!$G$2,1,N51=sheet2!$G$2,0,N51&lt;sheet2!$G$2,-1)</f>
        <v>0</v>
      </c>
    </row>
    <row r="52" spans="5:27" ht="14.4" hidden="1" x14ac:dyDescent="0.25">
      <c r="E52" s="2">
        <v>7</v>
      </c>
      <c r="F52" s="2" t="s">
        <v>15</v>
      </c>
      <c r="G52" s="2">
        <v>2020</v>
      </c>
      <c r="H52" s="14">
        <v>0.39364336670217531</v>
      </c>
      <c r="I52" s="2">
        <f t="shared" si="9"/>
        <v>7.8840892715241931E-2</v>
      </c>
      <c r="J52">
        <v>0.17699999999999999</v>
      </c>
      <c r="K52">
        <v>0.13500000000000001</v>
      </c>
      <c r="L52">
        <v>0.18</v>
      </c>
      <c r="M52">
        <v>0.2</v>
      </c>
      <c r="N52">
        <v>0.65</v>
      </c>
      <c r="O52">
        <v>0.8849999999999999</v>
      </c>
      <c r="P52">
        <v>1</v>
      </c>
      <c r="Q52">
        <v>1</v>
      </c>
      <c r="R52">
        <v>0.8</v>
      </c>
      <c r="S52">
        <v>1</v>
      </c>
      <c r="T52">
        <f t="shared" si="1"/>
        <v>0.84250000000000003</v>
      </c>
      <c r="U52">
        <f t="shared" si="2"/>
        <v>1</v>
      </c>
      <c r="V52">
        <f t="shared" si="3"/>
        <v>1</v>
      </c>
      <c r="W52" cm="1">
        <f t="array" ref="W52">_xlfn.IFS(J52&gt;sheet2!$C$2,1,J52=sheet2!$C$2,0,J52&lt;sheet2!$C$2,-1)</f>
        <v>-1</v>
      </c>
      <c r="X52" cm="1">
        <f t="array" ref="X52">_xlfn.IFS(K52&gt;sheet2!$D$2,1,K52=sheet2!$D$2,0,K52&lt;sheet2!$D$2,-1)</f>
        <v>0</v>
      </c>
      <c r="Y52" cm="1">
        <f t="array" ref="Y52">_xlfn.IFS(L52&gt;sheet2!$E$2,1,L52=sheet2!$E$2,0,L52&lt;sheet2!$E$2,-1)</f>
        <v>0</v>
      </c>
      <c r="Z52" cm="1">
        <f t="array" ref="Z52">_xlfn.IFS(M52&gt;sheet2!$F$2,1,M52=sheet2!$F$2,0,M52&lt;sheet2!$F$2,-1)</f>
        <v>-1</v>
      </c>
      <c r="AA52" cm="1">
        <f t="array" ref="AA52">_xlfn.IFS(N52&gt;sheet2!$G$2,1,N52=sheet2!$G$2,0,N52&lt;sheet2!$G$2,-1)</f>
        <v>0</v>
      </c>
    </row>
    <row r="53" spans="5:27" ht="14.4" x14ac:dyDescent="0.25">
      <c r="E53" s="2">
        <v>7</v>
      </c>
      <c r="F53" s="2" t="s">
        <v>15</v>
      </c>
      <c r="G53" s="2">
        <v>2021</v>
      </c>
      <c r="H53" s="14">
        <v>0.39998786739045983</v>
      </c>
      <c r="I53" s="2">
        <f t="shared" si="9"/>
        <v>1.6117382445528849E-2</v>
      </c>
      <c r="J53">
        <v>0.22</v>
      </c>
      <c r="K53">
        <v>0.13500000000000001</v>
      </c>
      <c r="L53">
        <v>0.18</v>
      </c>
      <c r="M53">
        <v>0.54</v>
      </c>
      <c r="N53">
        <v>0.65</v>
      </c>
      <c r="O53">
        <v>1.0999999999999999</v>
      </c>
      <c r="P53">
        <v>1</v>
      </c>
      <c r="Q53">
        <v>1</v>
      </c>
      <c r="R53">
        <v>2.16</v>
      </c>
      <c r="S53">
        <v>1</v>
      </c>
      <c r="T53">
        <f t="shared" si="1"/>
        <v>1.63</v>
      </c>
      <c r="U53">
        <f t="shared" si="2"/>
        <v>1</v>
      </c>
      <c r="V53">
        <f t="shared" si="3"/>
        <v>1</v>
      </c>
      <c r="W53" cm="1">
        <f t="array" ref="W53">_xlfn.IFS(J53&gt;sheet2!$C$2,1,J53=sheet2!$C$2,0,J53&lt;sheet2!$C$2,-1)</f>
        <v>1</v>
      </c>
      <c r="X53" cm="1">
        <f t="array" ref="X53">_xlfn.IFS(K53&gt;sheet2!$D$2,1,K53=sheet2!$D$2,0,K53&lt;sheet2!$D$2,-1)</f>
        <v>0</v>
      </c>
      <c r="Y53" cm="1">
        <f t="array" ref="Y53">_xlfn.IFS(L53&gt;sheet2!$E$2,1,L53=sheet2!$E$2,0,L53&lt;sheet2!$E$2,-1)</f>
        <v>0</v>
      </c>
      <c r="Z53" cm="1">
        <f t="array" ref="Z53">_xlfn.IFS(M53&gt;sheet2!$F$2,1,M53=sheet2!$F$2,0,M53&lt;sheet2!$F$2,-1)</f>
        <v>1</v>
      </c>
      <c r="AA53" cm="1">
        <f t="array" ref="AA53">_xlfn.IFS(N53&gt;sheet2!$G$2,1,N53=sheet2!$G$2,0,N53&lt;sheet2!$G$2,-1)</f>
        <v>0</v>
      </c>
    </row>
    <row r="54" spans="5:27" ht="14.4" hidden="1" x14ac:dyDescent="0.25">
      <c r="E54" s="2">
        <v>7</v>
      </c>
      <c r="F54" s="2" t="s">
        <v>15</v>
      </c>
      <c r="G54" s="2">
        <v>2022</v>
      </c>
      <c r="H54" s="14">
        <v>0.45648061194143041</v>
      </c>
      <c r="I54" s="2">
        <f t="shared" si="9"/>
        <v>0.14123614528493572</v>
      </c>
      <c r="J54">
        <v>0.22</v>
      </c>
      <c r="K54">
        <v>0.13500000000000001</v>
      </c>
      <c r="L54">
        <v>0.18</v>
      </c>
      <c r="M54">
        <v>0.54</v>
      </c>
      <c r="N54">
        <v>0.65</v>
      </c>
      <c r="O54">
        <v>1.0999999999999999</v>
      </c>
      <c r="P54">
        <v>1</v>
      </c>
      <c r="Q54">
        <v>1</v>
      </c>
      <c r="R54">
        <v>2.16</v>
      </c>
      <c r="S54">
        <v>1</v>
      </c>
      <c r="T54">
        <f t="shared" si="1"/>
        <v>1.63</v>
      </c>
      <c r="U54">
        <f t="shared" si="2"/>
        <v>1</v>
      </c>
      <c r="V54">
        <f t="shared" si="3"/>
        <v>1</v>
      </c>
      <c r="W54" cm="1">
        <f t="array" ref="W54">_xlfn.IFS(J54&gt;sheet2!$C$2,1,J54=sheet2!$C$2,0,J54&lt;sheet2!$C$2,-1)</f>
        <v>1</v>
      </c>
      <c r="X54" cm="1">
        <f t="array" ref="X54">_xlfn.IFS(K54&gt;sheet2!$D$2,1,K54=sheet2!$D$2,0,K54&lt;sheet2!$D$2,-1)</f>
        <v>0</v>
      </c>
      <c r="Y54" cm="1">
        <f t="array" ref="Y54">_xlfn.IFS(L54&gt;sheet2!$E$2,1,L54=sheet2!$E$2,0,L54&lt;sheet2!$E$2,-1)</f>
        <v>0</v>
      </c>
      <c r="Z54" cm="1">
        <f t="array" ref="Z54">_xlfn.IFS(M54&gt;sheet2!$F$2,1,M54=sheet2!$F$2,0,M54&lt;sheet2!$F$2,-1)</f>
        <v>1</v>
      </c>
      <c r="AA54" cm="1">
        <f t="array" ref="AA54">_xlfn.IFS(N54&gt;sheet2!$G$2,1,N54=sheet2!$G$2,0,N54&lt;sheet2!$G$2,-1)</f>
        <v>0</v>
      </c>
    </row>
    <row r="55" spans="5:27" ht="14.4" hidden="1" x14ac:dyDescent="0.25">
      <c r="E55" s="2">
        <v>7</v>
      </c>
      <c r="F55" s="2" t="s">
        <v>15</v>
      </c>
      <c r="G55" s="2">
        <v>2023</v>
      </c>
      <c r="H55" s="16"/>
      <c r="I55" s="2"/>
      <c r="J55">
        <v>0.13</v>
      </c>
      <c r="K55">
        <v>0.13500000000000001</v>
      </c>
      <c r="L55">
        <v>0.18</v>
      </c>
      <c r="M55">
        <v>0.19</v>
      </c>
      <c r="N55">
        <v>0.65</v>
      </c>
      <c r="O55">
        <v>0.65</v>
      </c>
      <c r="P55">
        <v>1</v>
      </c>
      <c r="Q55">
        <v>1</v>
      </c>
      <c r="R55">
        <v>0.76</v>
      </c>
      <c r="S55">
        <v>1</v>
      </c>
      <c r="T55">
        <f t="shared" si="1"/>
        <v>0.70500000000000007</v>
      </c>
      <c r="U55">
        <f t="shared" si="2"/>
        <v>1</v>
      </c>
      <c r="V55">
        <f t="shared" si="3"/>
        <v>1</v>
      </c>
      <c r="W55" cm="1">
        <f t="array" ref="W55">_xlfn.IFS(J55&gt;sheet2!$C$2,1,J55=sheet2!$C$2,0,J55&lt;sheet2!$C$2,-1)</f>
        <v>-1</v>
      </c>
      <c r="X55" cm="1">
        <f t="array" ref="X55">_xlfn.IFS(K55&gt;sheet2!$D$2,1,K55=sheet2!$D$2,0,K55&lt;sheet2!$D$2,-1)</f>
        <v>0</v>
      </c>
      <c r="Y55" cm="1">
        <f t="array" ref="Y55">_xlfn.IFS(L55&gt;sheet2!$E$2,1,L55=sheet2!$E$2,0,L55&lt;sheet2!$E$2,-1)</f>
        <v>0</v>
      </c>
      <c r="Z55" cm="1">
        <f t="array" ref="Z55">_xlfn.IFS(M55&gt;sheet2!$F$2,1,M55=sheet2!$F$2,0,M55&lt;sheet2!$F$2,-1)</f>
        <v>-1</v>
      </c>
      <c r="AA55" cm="1">
        <f t="array" ref="AA55">_xlfn.IFS(N55&gt;sheet2!$G$2,1,N55=sheet2!$G$2,0,N55&lt;sheet2!$G$2,-1)</f>
        <v>0</v>
      </c>
    </row>
    <row r="56" spans="5:27" ht="14.4" hidden="1" x14ac:dyDescent="0.25">
      <c r="E56" s="2">
        <v>8</v>
      </c>
      <c r="F56" s="2" t="s">
        <v>16</v>
      </c>
      <c r="G56" s="2">
        <v>2016</v>
      </c>
      <c r="H56" s="14">
        <v>0.26402981641303858</v>
      </c>
      <c r="I56" s="2"/>
      <c r="J56">
        <v>0.2</v>
      </c>
      <c r="K56">
        <v>0.13500000000000001</v>
      </c>
      <c r="L56">
        <v>0.18</v>
      </c>
      <c r="M56">
        <v>0.25</v>
      </c>
      <c r="N56">
        <v>0.65</v>
      </c>
      <c r="O56">
        <v>1</v>
      </c>
      <c r="P56">
        <v>1</v>
      </c>
      <c r="Q56">
        <v>1</v>
      </c>
      <c r="R56">
        <v>1</v>
      </c>
      <c r="S56">
        <v>1</v>
      </c>
      <c r="T56">
        <f t="shared" si="1"/>
        <v>1</v>
      </c>
      <c r="U56">
        <f t="shared" si="2"/>
        <v>1</v>
      </c>
      <c r="V56">
        <f t="shared" si="3"/>
        <v>1</v>
      </c>
      <c r="W56" cm="1">
        <f t="array" ref="W56">_xlfn.IFS(J56&gt;sheet2!$C$2,1,J56=sheet2!$C$2,0,J56&lt;sheet2!$C$2,-1)</f>
        <v>0</v>
      </c>
      <c r="X56" cm="1">
        <f t="array" ref="X56">_xlfn.IFS(K56&gt;sheet2!$D$2,1,K56=sheet2!$D$2,0,K56&lt;sheet2!$D$2,-1)</f>
        <v>0</v>
      </c>
      <c r="Y56" cm="1">
        <f t="array" ref="Y56">_xlfn.IFS(L56&gt;sheet2!$E$2,1,L56=sheet2!$E$2,0,L56&lt;sheet2!$E$2,-1)</f>
        <v>0</v>
      </c>
      <c r="Z56" cm="1">
        <f t="array" ref="Z56">_xlfn.IFS(M56&gt;sheet2!$F$2,1,M56=sheet2!$F$2,0,M56&lt;sheet2!$F$2,-1)</f>
        <v>0</v>
      </c>
      <c r="AA56" cm="1">
        <f t="array" ref="AA56">_xlfn.IFS(N56&gt;sheet2!$G$2,1,N56=sheet2!$G$2,0,N56&lt;sheet2!$G$2,-1)</f>
        <v>0</v>
      </c>
    </row>
    <row r="57" spans="5:27" ht="14.4" hidden="1" x14ac:dyDescent="0.25">
      <c r="E57" s="2">
        <v>8</v>
      </c>
      <c r="F57" s="2" t="s">
        <v>16</v>
      </c>
      <c r="G57" s="2">
        <v>2017</v>
      </c>
      <c r="H57" s="14">
        <v>0.29638354255277199</v>
      </c>
      <c r="I57" s="2">
        <f t="shared" ref="I57:I62" si="10">(H57-H56)/H56</f>
        <v>0.12253815337704298</v>
      </c>
      <c r="J57">
        <v>0.2</v>
      </c>
      <c r="K57">
        <v>0.13500000000000001</v>
      </c>
      <c r="L57">
        <v>0.18</v>
      </c>
      <c r="M57">
        <v>0.25</v>
      </c>
      <c r="N57">
        <v>0.65</v>
      </c>
      <c r="O57">
        <v>1</v>
      </c>
      <c r="P57">
        <v>1</v>
      </c>
      <c r="Q57">
        <v>1</v>
      </c>
      <c r="R57">
        <v>1</v>
      </c>
      <c r="S57">
        <v>1</v>
      </c>
      <c r="T57">
        <f t="shared" si="1"/>
        <v>1</v>
      </c>
      <c r="U57">
        <f t="shared" si="2"/>
        <v>1</v>
      </c>
      <c r="V57">
        <f t="shared" si="3"/>
        <v>1</v>
      </c>
      <c r="W57" cm="1">
        <f t="array" ref="W57">_xlfn.IFS(J57&gt;sheet2!$C$2,1,J57=sheet2!$C$2,0,J57&lt;sheet2!$C$2,-1)</f>
        <v>0</v>
      </c>
      <c r="X57" cm="1">
        <f t="array" ref="X57">_xlfn.IFS(K57&gt;sheet2!$D$2,1,K57=sheet2!$D$2,0,K57&lt;sheet2!$D$2,-1)</f>
        <v>0</v>
      </c>
      <c r="Y57" cm="1">
        <f t="array" ref="Y57">_xlfn.IFS(L57&gt;sheet2!$E$2,1,L57=sheet2!$E$2,0,L57&lt;sheet2!$E$2,-1)</f>
        <v>0</v>
      </c>
      <c r="Z57" cm="1">
        <f t="array" ref="Z57">_xlfn.IFS(M57&gt;sheet2!$F$2,1,M57=sheet2!$F$2,0,M57&lt;sheet2!$F$2,-1)</f>
        <v>0</v>
      </c>
      <c r="AA57" cm="1">
        <f t="array" ref="AA57">_xlfn.IFS(N57&gt;sheet2!$G$2,1,N57=sheet2!$G$2,0,N57&lt;sheet2!$G$2,-1)</f>
        <v>0</v>
      </c>
    </row>
    <row r="58" spans="5:27" ht="14.4" hidden="1" x14ac:dyDescent="0.25">
      <c r="E58" s="2">
        <v>8</v>
      </c>
      <c r="F58" s="2" t="s">
        <v>16</v>
      </c>
      <c r="G58" s="2">
        <v>2018</v>
      </c>
      <c r="H58" s="14">
        <v>0.35723127383420322</v>
      </c>
      <c r="I58" s="2">
        <f t="shared" si="10"/>
        <v>0.2053006410455368</v>
      </c>
      <c r="J58">
        <v>0.2</v>
      </c>
      <c r="K58">
        <v>0.13500000000000001</v>
      </c>
      <c r="L58">
        <v>0.18</v>
      </c>
      <c r="M58">
        <v>0.25</v>
      </c>
      <c r="N58">
        <v>0.65</v>
      </c>
      <c r="O58">
        <v>1</v>
      </c>
      <c r="P58">
        <v>1</v>
      </c>
      <c r="Q58">
        <v>1</v>
      </c>
      <c r="R58">
        <v>1</v>
      </c>
      <c r="S58">
        <v>1</v>
      </c>
      <c r="T58">
        <f t="shared" si="1"/>
        <v>1</v>
      </c>
      <c r="U58">
        <f t="shared" si="2"/>
        <v>1</v>
      </c>
      <c r="V58">
        <f t="shared" si="3"/>
        <v>1</v>
      </c>
      <c r="W58" cm="1">
        <f t="array" ref="W58">_xlfn.IFS(J58&gt;sheet2!$C$2,1,J58=sheet2!$C$2,0,J58&lt;sheet2!$C$2,-1)</f>
        <v>0</v>
      </c>
      <c r="X58" cm="1">
        <f t="array" ref="X58">_xlfn.IFS(K58&gt;sheet2!$D$2,1,K58=sheet2!$D$2,0,K58&lt;sheet2!$D$2,-1)</f>
        <v>0</v>
      </c>
      <c r="Y58" cm="1">
        <f t="array" ref="Y58">_xlfn.IFS(L58&gt;sheet2!$E$2,1,L58=sheet2!$E$2,0,L58&lt;sheet2!$E$2,-1)</f>
        <v>0</v>
      </c>
      <c r="Z58" cm="1">
        <f t="array" ref="Z58">_xlfn.IFS(M58&gt;sheet2!$F$2,1,M58=sheet2!$F$2,0,M58&lt;sheet2!$F$2,-1)</f>
        <v>0</v>
      </c>
      <c r="AA58" cm="1">
        <f t="array" ref="AA58">_xlfn.IFS(N58&gt;sheet2!$G$2,1,N58=sheet2!$G$2,0,N58&lt;sheet2!$G$2,-1)</f>
        <v>0</v>
      </c>
    </row>
    <row r="59" spans="5:27" ht="14.4" hidden="1" x14ac:dyDescent="0.25">
      <c r="E59" s="2">
        <v>8</v>
      </c>
      <c r="F59" s="2" t="s">
        <v>16</v>
      </c>
      <c r="G59" s="2">
        <v>2019</v>
      </c>
      <c r="H59" s="14">
        <v>0.34797522150450994</v>
      </c>
      <c r="I59" s="2">
        <f t="shared" si="10"/>
        <v>-2.5910531937327442E-2</v>
      </c>
      <c r="J59">
        <v>0.2</v>
      </c>
      <c r="K59">
        <v>0.13500000000000001</v>
      </c>
      <c r="L59">
        <v>0.18</v>
      </c>
      <c r="M59">
        <v>0.25</v>
      </c>
      <c r="N59">
        <v>0.65</v>
      </c>
      <c r="O59">
        <v>1</v>
      </c>
      <c r="P59">
        <v>1</v>
      </c>
      <c r="Q59">
        <v>1</v>
      </c>
      <c r="R59">
        <v>1</v>
      </c>
      <c r="S59">
        <v>1</v>
      </c>
      <c r="T59">
        <f t="shared" si="1"/>
        <v>1</v>
      </c>
      <c r="U59">
        <f t="shared" si="2"/>
        <v>1</v>
      </c>
      <c r="V59">
        <f t="shared" si="3"/>
        <v>1</v>
      </c>
      <c r="W59" cm="1">
        <f t="array" ref="W59">_xlfn.IFS(J59&gt;sheet2!$C$2,1,J59=sheet2!$C$2,0,J59&lt;sheet2!$C$2,-1)</f>
        <v>0</v>
      </c>
      <c r="X59" cm="1">
        <f t="array" ref="X59">_xlfn.IFS(K59&gt;sheet2!$D$2,1,K59=sheet2!$D$2,0,K59&lt;sheet2!$D$2,-1)</f>
        <v>0</v>
      </c>
      <c r="Y59" cm="1">
        <f t="array" ref="Y59">_xlfn.IFS(L59&gt;sheet2!$E$2,1,L59=sheet2!$E$2,0,L59&lt;sheet2!$E$2,-1)</f>
        <v>0</v>
      </c>
      <c r="Z59" cm="1">
        <f t="array" ref="Z59">_xlfn.IFS(M59&gt;sheet2!$F$2,1,M59=sheet2!$F$2,0,M59&lt;sheet2!$F$2,-1)</f>
        <v>0</v>
      </c>
      <c r="AA59" cm="1">
        <f t="array" ref="AA59">_xlfn.IFS(N59&gt;sheet2!$G$2,1,N59=sheet2!$G$2,0,N59&lt;sheet2!$G$2,-1)</f>
        <v>0</v>
      </c>
    </row>
    <row r="60" spans="5:27" ht="14.4" hidden="1" x14ac:dyDescent="0.25">
      <c r="E60" s="2">
        <v>8</v>
      </c>
      <c r="F60" s="2" t="s">
        <v>16</v>
      </c>
      <c r="G60" s="2">
        <v>2020</v>
      </c>
      <c r="H60" s="14">
        <v>0.40677692790920261</v>
      </c>
      <c r="I60" s="2">
        <f t="shared" si="10"/>
        <v>0.16898245268860496</v>
      </c>
      <c r="J60">
        <v>0.2</v>
      </c>
      <c r="K60">
        <v>0.13500000000000001</v>
      </c>
      <c r="L60">
        <v>0.18</v>
      </c>
      <c r="M60">
        <v>0.25</v>
      </c>
      <c r="N60">
        <v>0.65</v>
      </c>
      <c r="O60">
        <v>1</v>
      </c>
      <c r="P60">
        <v>1</v>
      </c>
      <c r="Q60">
        <v>1</v>
      </c>
      <c r="R60">
        <v>1</v>
      </c>
      <c r="S60">
        <v>1</v>
      </c>
      <c r="T60">
        <f t="shared" si="1"/>
        <v>1</v>
      </c>
      <c r="U60">
        <f t="shared" si="2"/>
        <v>1</v>
      </c>
      <c r="V60">
        <f t="shared" si="3"/>
        <v>1</v>
      </c>
      <c r="W60" cm="1">
        <f t="array" ref="W60">_xlfn.IFS(J60&gt;sheet2!$C$2,1,J60=sheet2!$C$2,0,J60&lt;sheet2!$C$2,-1)</f>
        <v>0</v>
      </c>
      <c r="X60" cm="1">
        <f t="array" ref="X60">_xlfn.IFS(K60&gt;sheet2!$D$2,1,K60=sheet2!$D$2,0,K60&lt;sheet2!$D$2,-1)</f>
        <v>0</v>
      </c>
      <c r="Y60" cm="1">
        <f t="array" ref="Y60">_xlfn.IFS(L60&gt;sheet2!$E$2,1,L60=sheet2!$E$2,0,L60&lt;sheet2!$E$2,-1)</f>
        <v>0</v>
      </c>
      <c r="Z60" cm="1">
        <f t="array" ref="Z60">_xlfn.IFS(M60&gt;sheet2!$F$2,1,M60=sheet2!$F$2,0,M60&lt;sheet2!$F$2,-1)</f>
        <v>0</v>
      </c>
      <c r="AA60" cm="1">
        <f t="array" ref="AA60">_xlfn.IFS(N60&gt;sheet2!$G$2,1,N60=sheet2!$G$2,0,N60&lt;sheet2!$G$2,-1)</f>
        <v>0</v>
      </c>
    </row>
    <row r="61" spans="5:27" ht="14.4" x14ac:dyDescent="0.25">
      <c r="E61" s="2">
        <v>8</v>
      </c>
      <c r="F61" s="2" t="s">
        <v>16</v>
      </c>
      <c r="G61" s="2">
        <v>2021</v>
      </c>
      <c r="H61" s="14">
        <v>0.41114865903590814</v>
      </c>
      <c r="I61" s="2">
        <f t="shared" si="10"/>
        <v>1.0747244562703779E-2</v>
      </c>
      <c r="J61">
        <v>0.13</v>
      </c>
      <c r="K61">
        <v>0.13500000000000001</v>
      </c>
      <c r="L61">
        <v>0.18</v>
      </c>
      <c r="M61">
        <v>0.19</v>
      </c>
      <c r="N61">
        <v>0.65</v>
      </c>
      <c r="O61">
        <v>0.65</v>
      </c>
      <c r="P61">
        <v>1</v>
      </c>
      <c r="Q61">
        <v>1</v>
      </c>
      <c r="R61">
        <v>0.76</v>
      </c>
      <c r="S61">
        <v>1</v>
      </c>
      <c r="T61">
        <f t="shared" si="1"/>
        <v>0.70500000000000007</v>
      </c>
      <c r="U61">
        <f t="shared" si="2"/>
        <v>1</v>
      </c>
      <c r="V61">
        <f t="shared" si="3"/>
        <v>1</v>
      </c>
      <c r="W61" cm="1">
        <f t="array" ref="W61">_xlfn.IFS(J61&gt;sheet2!$C$2,1,J61=sheet2!$C$2,0,J61&lt;sheet2!$C$2,-1)</f>
        <v>-1</v>
      </c>
      <c r="X61" cm="1">
        <f t="array" ref="X61">_xlfn.IFS(K61&gt;sheet2!$D$2,1,K61=sheet2!$D$2,0,K61&lt;sheet2!$D$2,-1)</f>
        <v>0</v>
      </c>
      <c r="Y61" cm="1">
        <f t="array" ref="Y61">_xlfn.IFS(L61&gt;sheet2!$E$2,1,L61=sheet2!$E$2,0,L61&lt;sheet2!$E$2,-1)</f>
        <v>0</v>
      </c>
      <c r="Z61" cm="1">
        <f t="array" ref="Z61">_xlfn.IFS(M61&gt;sheet2!$F$2,1,M61=sheet2!$F$2,0,M61&lt;sheet2!$F$2,-1)</f>
        <v>-1</v>
      </c>
      <c r="AA61" cm="1">
        <f t="array" ref="AA61">_xlfn.IFS(N61&gt;sheet2!$G$2,1,N61=sheet2!$G$2,0,N61&lt;sheet2!$G$2,-1)</f>
        <v>0</v>
      </c>
    </row>
    <row r="62" spans="5:27" ht="14.4" hidden="1" x14ac:dyDescent="0.25">
      <c r="E62" s="2">
        <v>8</v>
      </c>
      <c r="F62" s="2" t="s">
        <v>16</v>
      </c>
      <c r="G62" s="2">
        <v>2022</v>
      </c>
      <c r="H62" s="14">
        <v>0.42803672999782627</v>
      </c>
      <c r="I62" s="2">
        <f t="shared" si="10"/>
        <v>4.1075340003585405E-2</v>
      </c>
      <c r="J62">
        <v>0.13</v>
      </c>
      <c r="K62">
        <v>0.13500000000000001</v>
      </c>
      <c r="L62">
        <v>0.18</v>
      </c>
      <c r="M62">
        <v>0.19</v>
      </c>
      <c r="N62">
        <v>0.65</v>
      </c>
      <c r="O62">
        <v>0.65</v>
      </c>
      <c r="P62">
        <v>1</v>
      </c>
      <c r="Q62">
        <v>1</v>
      </c>
      <c r="R62">
        <v>0.76</v>
      </c>
      <c r="S62">
        <v>1</v>
      </c>
      <c r="T62">
        <f t="shared" si="1"/>
        <v>0.70500000000000007</v>
      </c>
      <c r="U62">
        <f t="shared" si="2"/>
        <v>1</v>
      </c>
      <c r="V62">
        <f t="shared" si="3"/>
        <v>1</v>
      </c>
      <c r="W62" cm="1">
        <f t="array" ref="W62">_xlfn.IFS(J62&gt;sheet2!$C$2,1,J62=sheet2!$C$2,0,J62&lt;sheet2!$C$2,-1)</f>
        <v>-1</v>
      </c>
      <c r="X62" cm="1">
        <f t="array" ref="X62">_xlfn.IFS(K62&gt;sheet2!$D$2,1,K62=sheet2!$D$2,0,K62&lt;sheet2!$D$2,-1)</f>
        <v>0</v>
      </c>
      <c r="Y62" cm="1">
        <f t="array" ref="Y62">_xlfn.IFS(L62&gt;sheet2!$E$2,1,L62=sheet2!$E$2,0,L62&lt;sheet2!$E$2,-1)</f>
        <v>0</v>
      </c>
      <c r="Z62" cm="1">
        <f t="array" ref="Z62">_xlfn.IFS(M62&gt;sheet2!$F$2,1,M62=sheet2!$F$2,0,M62&lt;sheet2!$F$2,-1)</f>
        <v>-1</v>
      </c>
      <c r="AA62" cm="1">
        <f t="array" ref="AA62">_xlfn.IFS(N62&gt;sheet2!$G$2,1,N62=sheet2!$G$2,0,N62&lt;sheet2!$G$2,-1)</f>
        <v>0</v>
      </c>
    </row>
    <row r="63" spans="5:27" ht="14.4" hidden="1" x14ac:dyDescent="0.25">
      <c r="E63" s="2">
        <v>8</v>
      </c>
      <c r="F63" s="6" t="s">
        <v>17</v>
      </c>
      <c r="G63" s="2">
        <v>2023</v>
      </c>
      <c r="H63" s="16"/>
      <c r="I63" s="2"/>
      <c r="J63">
        <v>0.2</v>
      </c>
      <c r="K63">
        <v>0.13500000000000001</v>
      </c>
      <c r="L63">
        <v>0.18</v>
      </c>
      <c r="M63">
        <v>0.25</v>
      </c>
      <c r="N63">
        <v>0.65</v>
      </c>
      <c r="O63">
        <v>1</v>
      </c>
      <c r="P63">
        <v>1</v>
      </c>
      <c r="Q63">
        <v>1</v>
      </c>
      <c r="R63">
        <v>1</v>
      </c>
      <c r="S63">
        <v>1</v>
      </c>
      <c r="T63">
        <f t="shared" si="1"/>
        <v>1</v>
      </c>
      <c r="U63">
        <f t="shared" si="2"/>
        <v>1</v>
      </c>
      <c r="V63">
        <f t="shared" si="3"/>
        <v>1</v>
      </c>
      <c r="W63" cm="1">
        <f t="array" ref="W63">_xlfn.IFS(J63&gt;sheet2!$C$2,1,J63=sheet2!$C$2,0,J63&lt;sheet2!$C$2,-1)</f>
        <v>0</v>
      </c>
      <c r="X63" cm="1">
        <f t="array" ref="X63">_xlfn.IFS(K63&gt;sheet2!$D$2,1,K63=sheet2!$D$2,0,K63&lt;sheet2!$D$2,-1)</f>
        <v>0</v>
      </c>
      <c r="Y63" cm="1">
        <f t="array" ref="Y63">_xlfn.IFS(L63&gt;sheet2!$E$2,1,L63=sheet2!$E$2,0,L63&lt;sheet2!$E$2,-1)</f>
        <v>0</v>
      </c>
      <c r="Z63" cm="1">
        <f t="array" ref="Z63">_xlfn.IFS(M63&gt;sheet2!$F$2,1,M63=sheet2!$F$2,0,M63&lt;sheet2!$F$2,-1)</f>
        <v>0</v>
      </c>
      <c r="AA63" cm="1">
        <f t="array" ref="AA63">_xlfn.IFS(N63&gt;sheet2!$G$2,1,N63=sheet2!$G$2,0,N63&lt;sheet2!$G$2,-1)</f>
        <v>0</v>
      </c>
    </row>
    <row r="64" spans="5:27" ht="14.4" hidden="1" x14ac:dyDescent="0.25">
      <c r="E64" s="2">
        <v>9</v>
      </c>
      <c r="F64" s="2" t="s">
        <v>18</v>
      </c>
      <c r="G64" s="2">
        <v>2016</v>
      </c>
      <c r="H64" s="14">
        <v>0.24997624247391714</v>
      </c>
      <c r="I64" s="2"/>
      <c r="J64">
        <v>0.2</v>
      </c>
      <c r="K64">
        <v>0.14000000000000001</v>
      </c>
      <c r="L64">
        <v>0.18</v>
      </c>
      <c r="M64">
        <v>0.25</v>
      </c>
      <c r="N64">
        <v>0.7</v>
      </c>
      <c r="O64">
        <v>1</v>
      </c>
      <c r="P64">
        <v>1.037037037037037</v>
      </c>
      <c r="Q64">
        <v>1</v>
      </c>
      <c r="R64">
        <v>1</v>
      </c>
      <c r="S64">
        <v>1.0769230769230769</v>
      </c>
      <c r="T64">
        <f t="shared" si="1"/>
        <v>1</v>
      </c>
      <c r="U64">
        <f t="shared" si="2"/>
        <v>1.037037037037037</v>
      </c>
      <c r="V64">
        <f t="shared" si="3"/>
        <v>1.0384615384615383</v>
      </c>
      <c r="W64" cm="1">
        <f t="array" ref="W64">_xlfn.IFS(J64&gt;sheet2!$C$2,1,J64=sheet2!$C$2,0,J64&lt;sheet2!$C$2,-1)</f>
        <v>0</v>
      </c>
      <c r="X64" cm="1">
        <f t="array" ref="X64">_xlfn.IFS(K64&gt;sheet2!$D$2,1,K64=sheet2!$D$2,0,K64&lt;sheet2!$D$2,-1)</f>
        <v>1</v>
      </c>
      <c r="Y64" cm="1">
        <f t="array" ref="Y64">_xlfn.IFS(L64&gt;sheet2!$E$2,1,L64=sheet2!$E$2,0,L64&lt;sheet2!$E$2,-1)</f>
        <v>0</v>
      </c>
      <c r="Z64" cm="1">
        <f t="array" ref="Z64">_xlfn.IFS(M64&gt;sheet2!$F$2,1,M64=sheet2!$F$2,0,M64&lt;sheet2!$F$2,-1)</f>
        <v>0</v>
      </c>
      <c r="AA64" cm="1">
        <f t="array" ref="AA64">_xlfn.IFS(N64&gt;sheet2!$G$2,1,N64=sheet2!$G$2,0,N64&lt;sheet2!$G$2,-1)</f>
        <v>1</v>
      </c>
    </row>
    <row r="65" spans="5:27" ht="14.4" hidden="1" x14ac:dyDescent="0.25">
      <c r="E65" s="2">
        <v>9</v>
      </c>
      <c r="F65" s="2" t="s">
        <v>18</v>
      </c>
      <c r="G65" s="2">
        <v>2017</v>
      </c>
      <c r="H65" s="14">
        <v>0.25182547542480321</v>
      </c>
      <c r="I65" s="2">
        <f t="shared" ref="I65:I70" si="11">(H65-H64)/H64</f>
        <v>7.3976348015512795E-3</v>
      </c>
      <c r="J65">
        <v>0.2</v>
      </c>
      <c r="K65">
        <v>0.14000000000000001</v>
      </c>
      <c r="L65">
        <v>0.18</v>
      </c>
      <c r="M65">
        <v>0.25</v>
      </c>
      <c r="N65">
        <v>0.7</v>
      </c>
      <c r="O65">
        <v>1</v>
      </c>
      <c r="P65">
        <v>1.037037037037037</v>
      </c>
      <c r="Q65">
        <v>1</v>
      </c>
      <c r="R65">
        <v>1</v>
      </c>
      <c r="S65">
        <v>1.0769230769230769</v>
      </c>
      <c r="T65">
        <f t="shared" si="1"/>
        <v>1</v>
      </c>
      <c r="U65">
        <f t="shared" si="2"/>
        <v>1.037037037037037</v>
      </c>
      <c r="V65">
        <f t="shared" si="3"/>
        <v>1.0384615384615383</v>
      </c>
      <c r="W65" cm="1">
        <f t="array" ref="W65">_xlfn.IFS(J65&gt;sheet2!$C$2,1,J65=sheet2!$C$2,0,J65&lt;sheet2!$C$2,-1)</f>
        <v>0</v>
      </c>
      <c r="X65" cm="1">
        <f t="array" ref="X65">_xlfn.IFS(K65&gt;sheet2!$D$2,1,K65=sheet2!$D$2,0,K65&lt;sheet2!$D$2,-1)</f>
        <v>1</v>
      </c>
      <c r="Y65" cm="1">
        <f t="array" ref="Y65">_xlfn.IFS(L65&gt;sheet2!$E$2,1,L65=sheet2!$E$2,0,L65&lt;sheet2!$E$2,-1)</f>
        <v>0</v>
      </c>
      <c r="Z65" cm="1">
        <f t="array" ref="Z65">_xlfn.IFS(M65&gt;sheet2!$F$2,1,M65=sheet2!$F$2,0,M65&lt;sheet2!$F$2,-1)</f>
        <v>0</v>
      </c>
      <c r="AA65" cm="1">
        <f t="array" ref="AA65">_xlfn.IFS(N65&gt;sheet2!$G$2,1,N65=sheet2!$G$2,0,N65&lt;sheet2!$G$2,-1)</f>
        <v>1</v>
      </c>
    </row>
    <row r="66" spans="5:27" ht="14.4" hidden="1" x14ac:dyDescent="0.25">
      <c r="E66" s="2">
        <v>9</v>
      </c>
      <c r="F66" s="2" t="s">
        <v>18</v>
      </c>
      <c r="G66" s="2">
        <v>2018</v>
      </c>
      <c r="H66" s="14">
        <v>0.26477959163738313</v>
      </c>
      <c r="I66" s="2">
        <f t="shared" si="11"/>
        <v>5.1440848828847342E-2</v>
      </c>
      <c r="J66">
        <v>0.2</v>
      </c>
      <c r="K66">
        <v>0.14000000000000001</v>
      </c>
      <c r="L66">
        <v>0.18</v>
      </c>
      <c r="M66">
        <v>0.25</v>
      </c>
      <c r="N66">
        <v>0.7</v>
      </c>
      <c r="O66">
        <v>1</v>
      </c>
      <c r="P66">
        <v>1.037037037037037</v>
      </c>
      <c r="Q66">
        <v>1</v>
      </c>
      <c r="R66">
        <v>1</v>
      </c>
      <c r="S66">
        <v>1.0769230769230769</v>
      </c>
      <c r="T66">
        <f t="shared" si="1"/>
        <v>1</v>
      </c>
      <c r="U66">
        <f t="shared" si="2"/>
        <v>1.037037037037037</v>
      </c>
      <c r="V66">
        <f t="shared" si="3"/>
        <v>1.0384615384615383</v>
      </c>
      <c r="W66" cm="1">
        <f t="array" ref="W66">_xlfn.IFS(J66&gt;sheet2!$C$2,1,J66=sheet2!$C$2,0,J66&lt;sheet2!$C$2,-1)</f>
        <v>0</v>
      </c>
      <c r="X66" cm="1">
        <f t="array" ref="X66">_xlfn.IFS(K66&gt;sheet2!$D$2,1,K66=sheet2!$D$2,0,K66&lt;sheet2!$D$2,-1)</f>
        <v>1</v>
      </c>
      <c r="Y66" cm="1">
        <f t="array" ref="Y66">_xlfn.IFS(L66&gt;sheet2!$E$2,1,L66=sheet2!$E$2,0,L66&lt;sheet2!$E$2,-1)</f>
        <v>0</v>
      </c>
      <c r="Z66" cm="1">
        <f t="array" ref="Z66">_xlfn.IFS(M66&gt;sheet2!$F$2,1,M66=sheet2!$F$2,0,M66&lt;sheet2!$F$2,-1)</f>
        <v>0</v>
      </c>
      <c r="AA66" cm="1">
        <f t="array" ref="AA66">_xlfn.IFS(N66&gt;sheet2!$G$2,1,N66=sheet2!$G$2,0,N66&lt;sheet2!$G$2,-1)</f>
        <v>1</v>
      </c>
    </row>
    <row r="67" spans="5:27" ht="14.4" hidden="1" x14ac:dyDescent="0.25">
      <c r="E67" s="2">
        <v>9</v>
      </c>
      <c r="F67" s="2" t="s">
        <v>18</v>
      </c>
      <c r="G67" s="2">
        <v>2019</v>
      </c>
      <c r="H67" s="14">
        <v>0.26525745903783232</v>
      </c>
      <c r="I67" s="2">
        <f t="shared" si="11"/>
        <v>1.8047742935703146E-3</v>
      </c>
      <c r="J67">
        <v>0.2</v>
      </c>
      <c r="K67">
        <v>0.14000000000000001</v>
      </c>
      <c r="L67">
        <v>0.18</v>
      </c>
      <c r="M67">
        <v>0.25</v>
      </c>
      <c r="N67">
        <v>0.7</v>
      </c>
      <c r="O67">
        <v>1</v>
      </c>
      <c r="P67">
        <v>1.037037037037037</v>
      </c>
      <c r="Q67">
        <v>1</v>
      </c>
      <c r="R67">
        <v>1</v>
      </c>
      <c r="S67">
        <v>1.0769230769230769</v>
      </c>
      <c r="T67">
        <f t="shared" ref="T67:T130" si="12">AVERAGE(O67,R67)</f>
        <v>1</v>
      </c>
      <c r="U67">
        <f t="shared" ref="U67:U130" si="13">AVERAGE(P67)</f>
        <v>1.037037037037037</v>
      </c>
      <c r="V67">
        <f t="shared" ref="V67:V130" si="14">AVERAGE(Q67,S67)</f>
        <v>1.0384615384615383</v>
      </c>
      <c r="W67" cm="1">
        <f t="array" ref="W67">_xlfn.IFS(J67&gt;sheet2!$C$2,1,J67=sheet2!$C$2,0,J67&lt;sheet2!$C$2,-1)</f>
        <v>0</v>
      </c>
      <c r="X67" cm="1">
        <f t="array" ref="X67">_xlfn.IFS(K67&gt;sheet2!$D$2,1,K67=sheet2!$D$2,0,K67&lt;sheet2!$D$2,-1)</f>
        <v>1</v>
      </c>
      <c r="Y67" cm="1">
        <f t="array" ref="Y67">_xlfn.IFS(L67&gt;sheet2!$E$2,1,L67=sheet2!$E$2,0,L67&lt;sheet2!$E$2,-1)</f>
        <v>0</v>
      </c>
      <c r="Z67" cm="1">
        <f t="array" ref="Z67">_xlfn.IFS(M67&gt;sheet2!$F$2,1,M67=sheet2!$F$2,0,M67&lt;sheet2!$F$2,-1)</f>
        <v>0</v>
      </c>
      <c r="AA67" cm="1">
        <f t="array" ref="AA67">_xlfn.IFS(N67&gt;sheet2!$G$2,1,N67=sheet2!$G$2,0,N67&lt;sheet2!$G$2,-1)</f>
        <v>1</v>
      </c>
    </row>
    <row r="68" spans="5:27" ht="14.4" hidden="1" x14ac:dyDescent="0.25">
      <c r="E68" s="2">
        <v>9</v>
      </c>
      <c r="F68" s="2" t="s">
        <v>18</v>
      </c>
      <c r="G68" s="2">
        <v>2020</v>
      </c>
      <c r="H68" s="14">
        <v>0.29025093688727033</v>
      </c>
      <c r="I68" s="2">
        <f t="shared" si="11"/>
        <v>9.4223468550504785E-2</v>
      </c>
      <c r="J68">
        <v>0.2</v>
      </c>
      <c r="K68">
        <v>0.14000000000000001</v>
      </c>
      <c r="L68">
        <v>0.18</v>
      </c>
      <c r="M68">
        <v>0.25</v>
      </c>
      <c r="N68">
        <v>0.7</v>
      </c>
      <c r="O68">
        <v>1</v>
      </c>
      <c r="P68">
        <v>1.037037037037037</v>
      </c>
      <c r="Q68">
        <v>1</v>
      </c>
      <c r="R68">
        <v>1</v>
      </c>
      <c r="S68">
        <v>1.0769230769230769</v>
      </c>
      <c r="T68">
        <f t="shared" si="12"/>
        <v>1</v>
      </c>
      <c r="U68">
        <f t="shared" si="13"/>
        <v>1.037037037037037</v>
      </c>
      <c r="V68">
        <f t="shared" si="14"/>
        <v>1.0384615384615383</v>
      </c>
      <c r="W68" cm="1">
        <f t="array" ref="W68">_xlfn.IFS(J68&gt;sheet2!$C$2,1,J68=sheet2!$C$2,0,J68&lt;sheet2!$C$2,-1)</f>
        <v>0</v>
      </c>
      <c r="X68" cm="1">
        <f t="array" ref="X68">_xlfn.IFS(K68&gt;sheet2!$D$2,1,K68=sheet2!$D$2,0,K68&lt;sheet2!$D$2,-1)</f>
        <v>1</v>
      </c>
      <c r="Y68" cm="1">
        <f t="array" ref="Y68">_xlfn.IFS(L68&gt;sheet2!$E$2,1,L68=sheet2!$E$2,0,L68&lt;sheet2!$E$2,-1)</f>
        <v>0</v>
      </c>
      <c r="Z68" cm="1">
        <f t="array" ref="Z68">_xlfn.IFS(M68&gt;sheet2!$F$2,1,M68=sheet2!$F$2,0,M68&lt;sheet2!$F$2,-1)</f>
        <v>0</v>
      </c>
      <c r="AA68" cm="1">
        <f t="array" ref="AA68">_xlfn.IFS(N68&gt;sheet2!$G$2,1,N68=sheet2!$G$2,0,N68&lt;sheet2!$G$2,-1)</f>
        <v>1</v>
      </c>
    </row>
    <row r="69" spans="5:27" ht="14.4" x14ac:dyDescent="0.25">
      <c r="E69" s="2">
        <v>9</v>
      </c>
      <c r="F69" s="2" t="s">
        <v>18</v>
      </c>
      <c r="G69" s="2">
        <v>2021</v>
      </c>
      <c r="H69" s="14">
        <v>0.30770891397055955</v>
      </c>
      <c r="I69" s="2">
        <f t="shared" si="11"/>
        <v>6.014787504396471E-2</v>
      </c>
      <c r="J69">
        <v>0.2</v>
      </c>
      <c r="K69">
        <v>0.13500000000000001</v>
      </c>
      <c r="L69">
        <v>0.18</v>
      </c>
      <c r="M69">
        <v>0.25</v>
      </c>
      <c r="N69">
        <v>0.65</v>
      </c>
      <c r="O69">
        <v>1</v>
      </c>
      <c r="P69">
        <v>1</v>
      </c>
      <c r="Q69">
        <v>1</v>
      </c>
      <c r="R69">
        <v>1</v>
      </c>
      <c r="S69">
        <v>1</v>
      </c>
      <c r="T69">
        <f t="shared" si="12"/>
        <v>1</v>
      </c>
      <c r="U69">
        <f t="shared" si="13"/>
        <v>1</v>
      </c>
      <c r="V69">
        <f t="shared" si="14"/>
        <v>1</v>
      </c>
      <c r="W69" cm="1">
        <f t="array" ref="W69">_xlfn.IFS(J69&gt;sheet2!$C$2,1,J69=sheet2!$C$2,0,J69&lt;sheet2!$C$2,-1)</f>
        <v>0</v>
      </c>
      <c r="X69" cm="1">
        <f t="array" ref="X69">_xlfn.IFS(K69&gt;sheet2!$D$2,1,K69=sheet2!$D$2,0,K69&lt;sheet2!$D$2,-1)</f>
        <v>0</v>
      </c>
      <c r="Y69" cm="1">
        <f t="array" ref="Y69">_xlfn.IFS(L69&gt;sheet2!$E$2,1,L69=sheet2!$E$2,0,L69&lt;sheet2!$E$2,-1)</f>
        <v>0</v>
      </c>
      <c r="Z69" cm="1">
        <f t="array" ref="Z69">_xlfn.IFS(M69&gt;sheet2!$F$2,1,M69=sheet2!$F$2,0,M69&lt;sheet2!$F$2,-1)</f>
        <v>0</v>
      </c>
      <c r="AA69" cm="1">
        <f t="array" ref="AA69">_xlfn.IFS(N69&gt;sheet2!$G$2,1,N69=sheet2!$G$2,0,N69&lt;sheet2!$G$2,-1)</f>
        <v>0</v>
      </c>
    </row>
    <row r="70" spans="5:27" ht="14.4" hidden="1" x14ac:dyDescent="0.25">
      <c r="E70" s="2">
        <v>9</v>
      </c>
      <c r="F70" s="2" t="s">
        <v>18</v>
      </c>
      <c r="G70" s="2">
        <v>2022</v>
      </c>
      <c r="H70" s="14">
        <v>0.33139145656681307</v>
      </c>
      <c r="I70" s="2">
        <f t="shared" si="11"/>
        <v>7.696410965370791E-2</v>
      </c>
      <c r="J70">
        <v>0.2</v>
      </c>
      <c r="K70">
        <v>0.13500000000000001</v>
      </c>
      <c r="L70">
        <v>0.18</v>
      </c>
      <c r="M70">
        <v>0.25</v>
      </c>
      <c r="N70">
        <v>0.65</v>
      </c>
      <c r="O70">
        <v>1</v>
      </c>
      <c r="P70">
        <v>1</v>
      </c>
      <c r="Q70">
        <v>1</v>
      </c>
      <c r="R70">
        <v>1</v>
      </c>
      <c r="S70">
        <v>1</v>
      </c>
      <c r="T70">
        <f t="shared" si="12"/>
        <v>1</v>
      </c>
      <c r="U70">
        <f t="shared" si="13"/>
        <v>1</v>
      </c>
      <c r="V70">
        <f t="shared" si="14"/>
        <v>1</v>
      </c>
      <c r="W70" cm="1">
        <f t="array" ref="W70">_xlfn.IFS(J70&gt;sheet2!$C$2,1,J70=sheet2!$C$2,0,J70&lt;sheet2!$C$2,-1)</f>
        <v>0</v>
      </c>
      <c r="X70" cm="1">
        <f t="array" ref="X70">_xlfn.IFS(K70&gt;sheet2!$D$2,1,K70=sheet2!$D$2,0,K70&lt;sheet2!$D$2,-1)</f>
        <v>0</v>
      </c>
      <c r="Y70" cm="1">
        <f t="array" ref="Y70">_xlfn.IFS(L70&gt;sheet2!$E$2,1,L70=sheet2!$E$2,0,L70&lt;sheet2!$E$2,-1)</f>
        <v>0</v>
      </c>
      <c r="Z70" cm="1">
        <f t="array" ref="Z70">_xlfn.IFS(M70&gt;sheet2!$F$2,1,M70=sheet2!$F$2,0,M70&lt;sheet2!$F$2,-1)</f>
        <v>0</v>
      </c>
      <c r="AA70" cm="1">
        <f t="array" ref="AA70">_xlfn.IFS(N70&gt;sheet2!$G$2,1,N70=sheet2!$G$2,0,N70&lt;sheet2!$G$2,-1)</f>
        <v>0</v>
      </c>
    </row>
    <row r="71" spans="5:27" ht="14.4" hidden="1" x14ac:dyDescent="0.25">
      <c r="E71" s="2">
        <v>9</v>
      </c>
      <c r="F71" s="9" t="s">
        <v>49</v>
      </c>
      <c r="G71" s="2">
        <v>2023</v>
      </c>
      <c r="H71" s="16"/>
      <c r="I71" s="2"/>
      <c r="J71">
        <v>0.2</v>
      </c>
      <c r="K71">
        <v>0.13500000000000001</v>
      </c>
      <c r="L71">
        <v>0.18</v>
      </c>
      <c r="M71">
        <v>0.25</v>
      </c>
      <c r="N71">
        <v>0.65</v>
      </c>
      <c r="O71">
        <v>1</v>
      </c>
      <c r="P71">
        <v>1</v>
      </c>
      <c r="Q71">
        <v>1</v>
      </c>
      <c r="R71">
        <v>1</v>
      </c>
      <c r="S71">
        <v>1</v>
      </c>
      <c r="T71">
        <f t="shared" si="12"/>
        <v>1</v>
      </c>
      <c r="U71">
        <f t="shared" si="13"/>
        <v>1</v>
      </c>
      <c r="V71">
        <f t="shared" si="14"/>
        <v>1</v>
      </c>
      <c r="W71" cm="1">
        <f t="array" ref="W71">_xlfn.IFS(J71&gt;sheet2!$C$2,1,J71=sheet2!$C$2,0,J71&lt;sheet2!$C$2,-1)</f>
        <v>0</v>
      </c>
      <c r="X71" cm="1">
        <f t="array" ref="X71">_xlfn.IFS(K71&gt;sheet2!$D$2,1,K71=sheet2!$D$2,0,K71&lt;sheet2!$D$2,-1)</f>
        <v>0</v>
      </c>
      <c r="Y71" cm="1">
        <f t="array" ref="Y71">_xlfn.IFS(L71&gt;sheet2!$E$2,1,L71=sheet2!$E$2,0,L71&lt;sheet2!$E$2,-1)</f>
        <v>0</v>
      </c>
      <c r="Z71" cm="1">
        <f t="array" ref="Z71">_xlfn.IFS(M71&gt;sheet2!$F$2,1,M71=sheet2!$F$2,0,M71&lt;sheet2!$F$2,-1)</f>
        <v>0</v>
      </c>
      <c r="AA71" cm="1">
        <f t="array" ref="AA71">_xlfn.IFS(N71&gt;sheet2!$G$2,1,N71=sheet2!$G$2,0,N71&lt;sheet2!$G$2,-1)</f>
        <v>0</v>
      </c>
    </row>
    <row r="72" spans="5:27" ht="14.4" hidden="1" x14ac:dyDescent="0.25">
      <c r="E72" s="2">
        <v>10</v>
      </c>
      <c r="F72" s="2" t="s">
        <v>19</v>
      </c>
      <c r="G72" s="2">
        <v>2016</v>
      </c>
      <c r="H72" s="14">
        <v>0.40424065355251787</v>
      </c>
      <c r="I72" s="2"/>
      <c r="J72">
        <v>0.18</v>
      </c>
      <c r="K72">
        <v>0.14000000000000001</v>
      </c>
      <c r="L72">
        <v>0.18</v>
      </c>
      <c r="M72">
        <v>0.25</v>
      </c>
      <c r="N72">
        <v>0.65</v>
      </c>
      <c r="O72">
        <v>0.89999999999999991</v>
      </c>
      <c r="P72">
        <v>1.037037037037037</v>
      </c>
      <c r="Q72">
        <v>1</v>
      </c>
      <c r="R72">
        <v>1</v>
      </c>
      <c r="S72">
        <v>1</v>
      </c>
      <c r="T72">
        <f t="shared" si="12"/>
        <v>0.95</v>
      </c>
      <c r="U72">
        <f t="shared" si="13"/>
        <v>1.037037037037037</v>
      </c>
      <c r="V72">
        <f t="shared" si="14"/>
        <v>1</v>
      </c>
      <c r="W72" cm="1">
        <f t="array" ref="W72">_xlfn.IFS(J72&gt;sheet2!$C$2,1,J72=sheet2!$C$2,0,J72&lt;sheet2!$C$2,-1)</f>
        <v>-1</v>
      </c>
      <c r="X72" cm="1">
        <f t="array" ref="X72">_xlfn.IFS(K72&gt;sheet2!$D$2,1,K72=sheet2!$D$2,0,K72&lt;sheet2!$D$2,-1)</f>
        <v>1</v>
      </c>
      <c r="Y72" cm="1">
        <f t="array" ref="Y72">_xlfn.IFS(L72&gt;sheet2!$E$2,1,L72=sheet2!$E$2,0,L72&lt;sheet2!$E$2,-1)</f>
        <v>0</v>
      </c>
      <c r="Z72" cm="1">
        <f t="array" ref="Z72">_xlfn.IFS(M72&gt;sheet2!$F$2,1,M72=sheet2!$F$2,0,M72&lt;sheet2!$F$2,-1)</f>
        <v>0</v>
      </c>
      <c r="AA72" cm="1">
        <f t="array" ref="AA72">_xlfn.IFS(N72&gt;sheet2!$G$2,1,N72=sheet2!$G$2,0,N72&lt;sheet2!$G$2,-1)</f>
        <v>0</v>
      </c>
    </row>
    <row r="73" spans="5:27" ht="14.4" hidden="1" x14ac:dyDescent="0.25">
      <c r="E73" s="2">
        <v>10</v>
      </c>
      <c r="F73" s="2" t="s">
        <v>19</v>
      </c>
      <c r="G73" s="2">
        <v>2017</v>
      </c>
      <c r="H73" s="14">
        <v>0.4239624657545118</v>
      </c>
      <c r="I73" s="2">
        <f t="shared" ref="I73:I78" si="15">(H73-H72)/H72</f>
        <v>4.8787305355550342E-2</v>
      </c>
      <c r="J73">
        <v>0.18</v>
      </c>
      <c r="K73">
        <v>0.14000000000000001</v>
      </c>
      <c r="L73">
        <v>0.18</v>
      </c>
      <c r="M73">
        <v>0.25</v>
      </c>
      <c r="N73">
        <v>0.65</v>
      </c>
      <c r="O73">
        <v>0.89999999999999991</v>
      </c>
      <c r="P73">
        <v>1.037037037037037</v>
      </c>
      <c r="Q73">
        <v>1</v>
      </c>
      <c r="R73">
        <v>1</v>
      </c>
      <c r="S73">
        <v>1</v>
      </c>
      <c r="T73">
        <f t="shared" si="12"/>
        <v>0.95</v>
      </c>
      <c r="U73">
        <f t="shared" si="13"/>
        <v>1.037037037037037</v>
      </c>
      <c r="V73">
        <f t="shared" si="14"/>
        <v>1</v>
      </c>
      <c r="W73" cm="1">
        <f t="array" ref="W73">_xlfn.IFS(J73&gt;sheet2!$C$2,1,J73=sheet2!$C$2,0,J73&lt;sheet2!$C$2,-1)</f>
        <v>-1</v>
      </c>
      <c r="X73" cm="1">
        <f t="array" ref="X73">_xlfn.IFS(K73&gt;sheet2!$D$2,1,K73=sheet2!$D$2,0,K73&lt;sheet2!$D$2,-1)</f>
        <v>1</v>
      </c>
      <c r="Y73" cm="1">
        <f t="array" ref="Y73">_xlfn.IFS(L73&gt;sheet2!$E$2,1,L73=sheet2!$E$2,0,L73&lt;sheet2!$E$2,-1)</f>
        <v>0</v>
      </c>
      <c r="Z73" cm="1">
        <f t="array" ref="Z73">_xlfn.IFS(M73&gt;sheet2!$F$2,1,M73=sheet2!$F$2,0,M73&lt;sheet2!$F$2,-1)</f>
        <v>0</v>
      </c>
      <c r="AA73" cm="1">
        <f t="array" ref="AA73">_xlfn.IFS(N73&gt;sheet2!$G$2,1,N73=sheet2!$G$2,0,N73&lt;sheet2!$G$2,-1)</f>
        <v>0</v>
      </c>
    </row>
    <row r="74" spans="5:27" ht="14.4" hidden="1" x14ac:dyDescent="0.25">
      <c r="E74" s="2">
        <v>10</v>
      </c>
      <c r="F74" s="2" t="s">
        <v>19</v>
      </c>
      <c r="G74" s="2">
        <v>2018</v>
      </c>
      <c r="H74" s="14">
        <v>0.43842733970513303</v>
      </c>
      <c r="I74" s="2">
        <f t="shared" si="15"/>
        <v>3.4118289044476106E-2</v>
      </c>
      <c r="J74">
        <v>0.18</v>
      </c>
      <c r="K74">
        <v>0.14000000000000001</v>
      </c>
      <c r="L74">
        <v>0.18</v>
      </c>
      <c r="M74">
        <v>0.25</v>
      </c>
      <c r="N74">
        <v>0.65</v>
      </c>
      <c r="O74">
        <v>0.89999999999999991</v>
      </c>
      <c r="P74">
        <v>1.037037037037037</v>
      </c>
      <c r="Q74">
        <v>1</v>
      </c>
      <c r="R74">
        <v>1</v>
      </c>
      <c r="S74">
        <v>1</v>
      </c>
      <c r="T74">
        <f t="shared" si="12"/>
        <v>0.95</v>
      </c>
      <c r="U74">
        <f t="shared" si="13"/>
        <v>1.037037037037037</v>
      </c>
      <c r="V74">
        <f t="shared" si="14"/>
        <v>1</v>
      </c>
      <c r="W74" cm="1">
        <f t="array" ref="W74">_xlfn.IFS(J74&gt;sheet2!$C$2,1,J74=sheet2!$C$2,0,J74&lt;sheet2!$C$2,-1)</f>
        <v>-1</v>
      </c>
      <c r="X74" cm="1">
        <f t="array" ref="X74">_xlfn.IFS(K74&gt;sheet2!$D$2,1,K74=sheet2!$D$2,0,K74&lt;sheet2!$D$2,-1)</f>
        <v>1</v>
      </c>
      <c r="Y74" cm="1">
        <f t="array" ref="Y74">_xlfn.IFS(L74&gt;sheet2!$E$2,1,L74=sheet2!$E$2,0,L74&lt;sheet2!$E$2,-1)</f>
        <v>0</v>
      </c>
      <c r="Z74" cm="1">
        <f t="array" ref="Z74">_xlfn.IFS(M74&gt;sheet2!$F$2,1,M74=sheet2!$F$2,0,M74&lt;sheet2!$F$2,-1)</f>
        <v>0</v>
      </c>
      <c r="AA74" cm="1">
        <f t="array" ref="AA74">_xlfn.IFS(N74&gt;sheet2!$G$2,1,N74=sheet2!$G$2,0,N74&lt;sheet2!$G$2,-1)</f>
        <v>0</v>
      </c>
    </row>
    <row r="75" spans="5:27" ht="14.4" hidden="1" x14ac:dyDescent="0.25">
      <c r="E75" s="2">
        <v>10</v>
      </c>
      <c r="F75" s="2" t="s">
        <v>19</v>
      </c>
      <c r="G75" s="2">
        <v>2019</v>
      </c>
      <c r="H75" s="14">
        <v>0.42680061788674156</v>
      </c>
      <c r="I75" s="2">
        <f t="shared" si="15"/>
        <v>-2.6519153267702454E-2</v>
      </c>
      <c r="J75">
        <v>0.18</v>
      </c>
      <c r="K75">
        <v>0.14000000000000001</v>
      </c>
      <c r="L75">
        <v>0.18</v>
      </c>
      <c r="M75">
        <v>0.25</v>
      </c>
      <c r="N75">
        <v>0.65</v>
      </c>
      <c r="O75">
        <v>0.89999999999999991</v>
      </c>
      <c r="P75">
        <v>1.037037037037037</v>
      </c>
      <c r="Q75">
        <v>1</v>
      </c>
      <c r="R75">
        <v>1</v>
      </c>
      <c r="S75">
        <v>1</v>
      </c>
      <c r="T75">
        <f t="shared" si="12"/>
        <v>0.95</v>
      </c>
      <c r="U75">
        <f t="shared" si="13"/>
        <v>1.037037037037037</v>
      </c>
      <c r="V75">
        <f t="shared" si="14"/>
        <v>1</v>
      </c>
      <c r="W75" cm="1">
        <f t="array" ref="W75">_xlfn.IFS(J75&gt;sheet2!$C$2,1,J75=sheet2!$C$2,0,J75&lt;sheet2!$C$2,-1)</f>
        <v>-1</v>
      </c>
      <c r="X75" cm="1">
        <f t="array" ref="X75">_xlfn.IFS(K75&gt;sheet2!$D$2,1,K75=sheet2!$D$2,0,K75&lt;sheet2!$D$2,-1)</f>
        <v>1</v>
      </c>
      <c r="Y75" cm="1">
        <f t="array" ref="Y75">_xlfn.IFS(L75&gt;sheet2!$E$2,1,L75=sheet2!$E$2,0,L75&lt;sheet2!$E$2,-1)</f>
        <v>0</v>
      </c>
      <c r="Z75" cm="1">
        <f t="array" ref="Z75">_xlfn.IFS(M75&gt;sheet2!$F$2,1,M75=sheet2!$F$2,0,M75&lt;sheet2!$F$2,-1)</f>
        <v>0</v>
      </c>
      <c r="AA75" cm="1">
        <f t="array" ref="AA75">_xlfn.IFS(N75&gt;sheet2!$G$2,1,N75=sheet2!$G$2,0,N75&lt;sheet2!$G$2,-1)</f>
        <v>0</v>
      </c>
    </row>
    <row r="76" spans="5:27" ht="14.4" hidden="1" x14ac:dyDescent="0.25">
      <c r="E76" s="2">
        <v>10</v>
      </c>
      <c r="F76" s="2" t="s">
        <v>19</v>
      </c>
      <c r="G76" s="2">
        <v>2020</v>
      </c>
      <c r="H76" s="14">
        <v>0.43433056766289396</v>
      </c>
      <c r="I76" s="2">
        <f t="shared" si="15"/>
        <v>1.7642780869053461E-2</v>
      </c>
      <c r="J76">
        <v>0.18</v>
      </c>
      <c r="K76">
        <v>0.14000000000000001</v>
      </c>
      <c r="L76">
        <v>0.18</v>
      </c>
      <c r="M76">
        <v>0.25</v>
      </c>
      <c r="N76">
        <v>0.65</v>
      </c>
      <c r="O76">
        <v>0.89999999999999991</v>
      </c>
      <c r="P76">
        <v>1.037037037037037</v>
      </c>
      <c r="Q76">
        <v>1</v>
      </c>
      <c r="R76">
        <v>1</v>
      </c>
      <c r="S76">
        <v>1</v>
      </c>
      <c r="T76">
        <f t="shared" si="12"/>
        <v>0.95</v>
      </c>
      <c r="U76">
        <f t="shared" si="13"/>
        <v>1.037037037037037</v>
      </c>
      <c r="V76">
        <f t="shared" si="14"/>
        <v>1</v>
      </c>
      <c r="W76" cm="1">
        <f t="array" ref="W76">_xlfn.IFS(J76&gt;sheet2!$C$2,1,J76=sheet2!$C$2,0,J76&lt;sheet2!$C$2,-1)</f>
        <v>-1</v>
      </c>
      <c r="X76" cm="1">
        <f t="array" ref="X76">_xlfn.IFS(K76&gt;sheet2!$D$2,1,K76=sheet2!$D$2,0,K76&lt;sheet2!$D$2,-1)</f>
        <v>1</v>
      </c>
      <c r="Y76" cm="1">
        <f t="array" ref="Y76">_xlfn.IFS(L76&gt;sheet2!$E$2,1,L76=sheet2!$E$2,0,L76&lt;sheet2!$E$2,-1)</f>
        <v>0</v>
      </c>
      <c r="Z76" cm="1">
        <f t="array" ref="Z76">_xlfn.IFS(M76&gt;sheet2!$F$2,1,M76=sheet2!$F$2,0,M76&lt;sheet2!$F$2,-1)</f>
        <v>0</v>
      </c>
      <c r="AA76" cm="1">
        <f t="array" ref="AA76">_xlfn.IFS(N76&gt;sheet2!$G$2,1,N76=sheet2!$G$2,0,N76&lt;sheet2!$G$2,-1)</f>
        <v>0</v>
      </c>
    </row>
    <row r="77" spans="5:27" ht="14.4" x14ac:dyDescent="0.25">
      <c r="E77" s="2">
        <v>10</v>
      </c>
      <c r="F77" s="2" t="s">
        <v>19</v>
      </c>
      <c r="G77" s="2">
        <v>2021</v>
      </c>
      <c r="H77" s="14">
        <v>0.45690353589244209</v>
      </c>
      <c r="I77" s="2">
        <f t="shared" si="15"/>
        <v>5.1971861780329857E-2</v>
      </c>
      <c r="J77">
        <v>0.2</v>
      </c>
      <c r="K77">
        <v>0.13500000000000001</v>
      </c>
      <c r="L77">
        <v>0.18</v>
      </c>
      <c r="M77">
        <v>0.25</v>
      </c>
      <c r="N77">
        <v>0.65</v>
      </c>
      <c r="O77">
        <v>1</v>
      </c>
      <c r="P77">
        <v>1</v>
      </c>
      <c r="Q77">
        <v>1</v>
      </c>
      <c r="R77">
        <v>1</v>
      </c>
      <c r="S77">
        <v>1</v>
      </c>
      <c r="T77">
        <f t="shared" si="12"/>
        <v>1</v>
      </c>
      <c r="U77">
        <f t="shared" si="13"/>
        <v>1</v>
      </c>
      <c r="V77">
        <f t="shared" si="14"/>
        <v>1</v>
      </c>
      <c r="W77" cm="1">
        <f t="array" ref="W77">_xlfn.IFS(J77&gt;sheet2!$C$2,1,J77=sheet2!$C$2,0,J77&lt;sheet2!$C$2,-1)</f>
        <v>0</v>
      </c>
      <c r="X77" cm="1">
        <f t="array" ref="X77">_xlfn.IFS(K77&gt;sheet2!$D$2,1,K77=sheet2!$D$2,0,K77&lt;sheet2!$D$2,-1)</f>
        <v>0</v>
      </c>
      <c r="Y77" cm="1">
        <f t="array" ref="Y77">_xlfn.IFS(L77&gt;sheet2!$E$2,1,L77=sheet2!$E$2,0,L77&lt;sheet2!$E$2,-1)</f>
        <v>0</v>
      </c>
      <c r="Z77" cm="1">
        <f t="array" ref="Z77">_xlfn.IFS(M77&gt;sheet2!$F$2,1,M77=sheet2!$F$2,0,M77&lt;sheet2!$F$2,-1)</f>
        <v>0</v>
      </c>
      <c r="AA77" cm="1">
        <f t="array" ref="AA77">_xlfn.IFS(N77&gt;sheet2!$G$2,1,N77=sheet2!$G$2,0,N77&lt;sheet2!$G$2,-1)</f>
        <v>0</v>
      </c>
    </row>
    <row r="78" spans="5:27" ht="14.4" hidden="1" x14ac:dyDescent="0.25">
      <c r="E78" s="2">
        <v>10</v>
      </c>
      <c r="F78" s="2" t="s">
        <v>19</v>
      </c>
      <c r="G78" s="2">
        <v>2022</v>
      </c>
      <c r="H78" s="14">
        <v>0.46599507198303802</v>
      </c>
      <c r="I78" s="2">
        <f t="shared" si="15"/>
        <v>1.98981521840009E-2</v>
      </c>
      <c r="J78">
        <v>0.2</v>
      </c>
      <c r="K78">
        <v>0.13500000000000001</v>
      </c>
      <c r="L78">
        <v>0.18</v>
      </c>
      <c r="M78">
        <v>0.25</v>
      </c>
      <c r="N78">
        <v>0.65</v>
      </c>
      <c r="O78">
        <v>1</v>
      </c>
      <c r="P78">
        <v>1</v>
      </c>
      <c r="Q78">
        <v>1</v>
      </c>
      <c r="R78">
        <v>1</v>
      </c>
      <c r="S78">
        <v>1</v>
      </c>
      <c r="T78">
        <f t="shared" si="12"/>
        <v>1</v>
      </c>
      <c r="U78">
        <f t="shared" si="13"/>
        <v>1</v>
      </c>
      <c r="V78">
        <f t="shared" si="14"/>
        <v>1</v>
      </c>
      <c r="W78" cm="1">
        <f t="array" ref="W78">_xlfn.IFS(J78&gt;sheet2!$C$2,1,J78=sheet2!$C$2,0,J78&lt;sheet2!$C$2,-1)</f>
        <v>0</v>
      </c>
      <c r="X78" cm="1">
        <f t="array" ref="X78">_xlfn.IFS(K78&gt;sheet2!$D$2,1,K78=sheet2!$D$2,0,K78&lt;sheet2!$D$2,-1)</f>
        <v>0</v>
      </c>
      <c r="Y78" cm="1">
        <f t="array" ref="Y78">_xlfn.IFS(L78&gt;sheet2!$E$2,1,L78=sheet2!$E$2,0,L78&lt;sheet2!$E$2,-1)</f>
        <v>0</v>
      </c>
      <c r="Z78" cm="1">
        <f t="array" ref="Z78">_xlfn.IFS(M78&gt;sheet2!$F$2,1,M78=sheet2!$F$2,0,M78&lt;sheet2!$F$2,-1)</f>
        <v>0</v>
      </c>
      <c r="AA78" cm="1">
        <f t="array" ref="AA78">_xlfn.IFS(N78&gt;sheet2!$G$2,1,N78=sheet2!$G$2,0,N78&lt;sheet2!$G$2,-1)</f>
        <v>0</v>
      </c>
    </row>
    <row r="79" spans="5:27" ht="14.4" hidden="1" x14ac:dyDescent="0.25">
      <c r="E79" s="2">
        <v>11</v>
      </c>
      <c r="F79" s="2" t="s">
        <v>20</v>
      </c>
      <c r="G79" s="2">
        <v>2016</v>
      </c>
      <c r="H79" s="14">
        <v>0.46980279869752378</v>
      </c>
      <c r="I79" s="2"/>
      <c r="J79">
        <v>0.2</v>
      </c>
      <c r="K79">
        <v>0.13500000000000001</v>
      </c>
      <c r="L79">
        <v>0.18</v>
      </c>
      <c r="M79">
        <v>0.25</v>
      </c>
      <c r="N79">
        <v>0.65</v>
      </c>
      <c r="O79">
        <v>1</v>
      </c>
      <c r="P79">
        <v>1</v>
      </c>
      <c r="Q79">
        <v>1</v>
      </c>
      <c r="R79">
        <v>1</v>
      </c>
      <c r="S79">
        <v>1</v>
      </c>
      <c r="T79">
        <f t="shared" si="12"/>
        <v>1</v>
      </c>
      <c r="U79">
        <f t="shared" si="13"/>
        <v>1</v>
      </c>
      <c r="V79">
        <f t="shared" si="14"/>
        <v>1</v>
      </c>
      <c r="W79" cm="1">
        <f t="array" ref="W79">_xlfn.IFS(J79&gt;sheet2!$C$2,1,J79=sheet2!$C$2,0,J79&lt;sheet2!$C$2,-1)</f>
        <v>0</v>
      </c>
      <c r="X79" cm="1">
        <f t="array" ref="X79">_xlfn.IFS(K79&gt;sheet2!$D$2,1,K79=sheet2!$D$2,0,K79&lt;sheet2!$D$2,-1)</f>
        <v>0</v>
      </c>
      <c r="Y79" cm="1">
        <f t="array" ref="Y79">_xlfn.IFS(L79&gt;sheet2!$E$2,1,L79=sheet2!$E$2,0,L79&lt;sheet2!$E$2,-1)</f>
        <v>0</v>
      </c>
      <c r="Z79" cm="1">
        <f t="array" ref="Z79">_xlfn.IFS(M79&gt;sheet2!$F$2,1,M79=sheet2!$F$2,0,M79&lt;sheet2!$F$2,-1)</f>
        <v>0</v>
      </c>
      <c r="AA79" cm="1">
        <f t="array" ref="AA79">_xlfn.IFS(N79&gt;sheet2!$G$2,1,N79=sheet2!$G$2,0,N79&lt;sheet2!$G$2,-1)</f>
        <v>0</v>
      </c>
    </row>
    <row r="80" spans="5:27" ht="14.4" hidden="1" x14ac:dyDescent="0.25">
      <c r="E80" s="2">
        <v>11</v>
      </c>
      <c r="F80" s="2" t="s">
        <v>20</v>
      </c>
      <c r="G80" s="2">
        <v>2017</v>
      </c>
      <c r="H80" s="14">
        <v>0.49649228055409927</v>
      </c>
      <c r="I80" s="2">
        <f t="shared" ref="I80:I85" si="16">(H80-H79)/H79</f>
        <v>5.6809967779181229E-2</v>
      </c>
      <c r="J80">
        <v>0.2</v>
      </c>
      <c r="K80">
        <v>0.13500000000000001</v>
      </c>
      <c r="L80">
        <v>0.18</v>
      </c>
      <c r="M80">
        <v>0.25</v>
      </c>
      <c r="N80">
        <v>0.65</v>
      </c>
      <c r="O80">
        <v>1</v>
      </c>
      <c r="P80">
        <v>1</v>
      </c>
      <c r="Q80">
        <v>1</v>
      </c>
      <c r="R80">
        <v>1</v>
      </c>
      <c r="S80">
        <v>1</v>
      </c>
      <c r="T80">
        <f t="shared" si="12"/>
        <v>1</v>
      </c>
      <c r="U80">
        <f t="shared" si="13"/>
        <v>1</v>
      </c>
      <c r="V80">
        <f t="shared" si="14"/>
        <v>1</v>
      </c>
      <c r="W80" cm="1">
        <f t="array" ref="W80">_xlfn.IFS(J80&gt;sheet2!$C$2,1,J80=sheet2!$C$2,0,J80&lt;sheet2!$C$2,-1)</f>
        <v>0</v>
      </c>
      <c r="X80" cm="1">
        <f t="array" ref="X80">_xlfn.IFS(K80&gt;sheet2!$D$2,1,K80=sheet2!$D$2,0,K80&lt;sheet2!$D$2,-1)</f>
        <v>0</v>
      </c>
      <c r="Y80" cm="1">
        <f t="array" ref="Y80">_xlfn.IFS(L80&gt;sheet2!$E$2,1,L80=sheet2!$E$2,0,L80&lt;sheet2!$E$2,-1)</f>
        <v>0</v>
      </c>
      <c r="Z80" cm="1">
        <f t="array" ref="Z80">_xlfn.IFS(M80&gt;sheet2!$F$2,1,M80=sheet2!$F$2,0,M80&lt;sheet2!$F$2,-1)</f>
        <v>0</v>
      </c>
      <c r="AA80" cm="1">
        <f t="array" ref="AA80">_xlfn.IFS(N80&gt;sheet2!$G$2,1,N80=sheet2!$G$2,0,N80&lt;sheet2!$G$2,-1)</f>
        <v>0</v>
      </c>
    </row>
    <row r="81" spans="5:27" ht="14.4" hidden="1" x14ac:dyDescent="0.25">
      <c r="E81" s="2">
        <v>11</v>
      </c>
      <c r="F81" s="2" t="s">
        <v>20</v>
      </c>
      <c r="G81" s="2">
        <v>2018</v>
      </c>
      <c r="H81" s="14">
        <v>0.52633807762963936</v>
      </c>
      <c r="I81" s="2">
        <f t="shared" si="16"/>
        <v>6.0113315442148138E-2</v>
      </c>
      <c r="J81">
        <v>0.2</v>
      </c>
      <c r="K81">
        <v>0.13500000000000001</v>
      </c>
      <c r="L81">
        <v>0.18</v>
      </c>
      <c r="M81">
        <v>0.25</v>
      </c>
      <c r="N81">
        <v>0.65</v>
      </c>
      <c r="O81">
        <v>1</v>
      </c>
      <c r="P81">
        <v>1</v>
      </c>
      <c r="Q81">
        <v>1</v>
      </c>
      <c r="R81">
        <v>1</v>
      </c>
      <c r="S81">
        <v>1</v>
      </c>
      <c r="T81">
        <f t="shared" si="12"/>
        <v>1</v>
      </c>
      <c r="U81">
        <f t="shared" si="13"/>
        <v>1</v>
      </c>
      <c r="V81">
        <f t="shared" si="14"/>
        <v>1</v>
      </c>
      <c r="W81" cm="1">
        <f t="array" ref="W81">_xlfn.IFS(J81&gt;sheet2!$C$2,1,J81=sheet2!$C$2,0,J81&lt;sheet2!$C$2,-1)</f>
        <v>0</v>
      </c>
      <c r="X81" cm="1">
        <f t="array" ref="X81">_xlfn.IFS(K81&gt;sheet2!$D$2,1,K81=sheet2!$D$2,0,K81&lt;sheet2!$D$2,-1)</f>
        <v>0</v>
      </c>
      <c r="Y81" cm="1">
        <f t="array" ref="Y81">_xlfn.IFS(L81&gt;sheet2!$E$2,1,L81=sheet2!$E$2,0,L81&lt;sheet2!$E$2,-1)</f>
        <v>0</v>
      </c>
      <c r="Z81" cm="1">
        <f t="array" ref="Z81">_xlfn.IFS(M81&gt;sheet2!$F$2,1,M81=sheet2!$F$2,0,M81&lt;sheet2!$F$2,-1)</f>
        <v>0</v>
      </c>
      <c r="AA81" cm="1">
        <f t="array" ref="AA81">_xlfn.IFS(N81&gt;sheet2!$G$2,1,N81=sheet2!$G$2,0,N81&lt;sheet2!$G$2,-1)</f>
        <v>0</v>
      </c>
    </row>
    <row r="82" spans="5:27" ht="14.4" hidden="1" x14ac:dyDescent="0.25">
      <c r="E82" s="2">
        <v>11</v>
      </c>
      <c r="F82" s="2" t="s">
        <v>20</v>
      </c>
      <c r="G82" s="2">
        <v>2019</v>
      </c>
      <c r="H82" s="14">
        <v>0.53464440964159288</v>
      </c>
      <c r="I82" s="2">
        <f t="shared" si="16"/>
        <v>1.5781362521520469E-2</v>
      </c>
      <c r="J82">
        <v>0.2</v>
      </c>
      <c r="K82">
        <v>0.13500000000000001</v>
      </c>
      <c r="L82">
        <v>0.18</v>
      </c>
      <c r="M82">
        <v>0.25</v>
      </c>
      <c r="N82">
        <v>0.65</v>
      </c>
      <c r="O82">
        <v>1</v>
      </c>
      <c r="P82">
        <v>1</v>
      </c>
      <c r="Q82">
        <v>1</v>
      </c>
      <c r="R82">
        <v>1</v>
      </c>
      <c r="S82">
        <v>1</v>
      </c>
      <c r="T82">
        <f t="shared" si="12"/>
        <v>1</v>
      </c>
      <c r="U82">
        <f t="shared" si="13"/>
        <v>1</v>
      </c>
      <c r="V82">
        <f t="shared" si="14"/>
        <v>1</v>
      </c>
      <c r="W82" cm="1">
        <f t="array" ref="W82">_xlfn.IFS(J82&gt;sheet2!$C$2,1,J82=sheet2!$C$2,0,J82&lt;sheet2!$C$2,-1)</f>
        <v>0</v>
      </c>
      <c r="X82" cm="1">
        <f t="array" ref="X82">_xlfn.IFS(K82&gt;sheet2!$D$2,1,K82=sheet2!$D$2,0,K82&lt;sheet2!$D$2,-1)</f>
        <v>0</v>
      </c>
      <c r="Y82" cm="1">
        <f t="array" ref="Y82">_xlfn.IFS(L82&gt;sheet2!$E$2,1,L82=sheet2!$E$2,0,L82&lt;sheet2!$E$2,-1)</f>
        <v>0</v>
      </c>
      <c r="Z82" cm="1">
        <f t="array" ref="Z82">_xlfn.IFS(M82&gt;sheet2!$F$2,1,M82=sheet2!$F$2,0,M82&lt;sheet2!$F$2,-1)</f>
        <v>0</v>
      </c>
      <c r="AA82" cm="1">
        <f t="array" ref="AA82">_xlfn.IFS(N82&gt;sheet2!$G$2,1,N82=sheet2!$G$2,0,N82&lt;sheet2!$G$2,-1)</f>
        <v>0</v>
      </c>
    </row>
    <row r="83" spans="5:27" ht="14.4" hidden="1" x14ac:dyDescent="0.25">
      <c r="E83" s="2">
        <v>11</v>
      </c>
      <c r="F83" s="2" t="s">
        <v>20</v>
      </c>
      <c r="G83" s="2">
        <v>2020</v>
      </c>
      <c r="H83" s="14">
        <v>0.48364119927943094</v>
      </c>
      <c r="I83" s="2">
        <f t="shared" si="16"/>
        <v>-9.5396509235648269E-2</v>
      </c>
      <c r="J83">
        <v>0.2</v>
      </c>
      <c r="K83">
        <v>0.13500000000000001</v>
      </c>
      <c r="L83">
        <v>0.18</v>
      </c>
      <c r="M83">
        <v>0.25</v>
      </c>
      <c r="N83">
        <v>0.65</v>
      </c>
      <c r="O83">
        <v>1</v>
      </c>
      <c r="P83">
        <v>1</v>
      </c>
      <c r="Q83">
        <v>1</v>
      </c>
      <c r="R83">
        <v>1</v>
      </c>
      <c r="S83">
        <v>1</v>
      </c>
      <c r="T83">
        <f t="shared" si="12"/>
        <v>1</v>
      </c>
      <c r="U83">
        <f t="shared" si="13"/>
        <v>1</v>
      </c>
      <c r="V83">
        <f t="shared" si="14"/>
        <v>1</v>
      </c>
      <c r="W83" cm="1">
        <f t="array" ref="W83">_xlfn.IFS(J83&gt;sheet2!$C$2,1,J83=sheet2!$C$2,0,J83&lt;sheet2!$C$2,-1)</f>
        <v>0</v>
      </c>
      <c r="X83" cm="1">
        <f t="array" ref="X83">_xlfn.IFS(K83&gt;sheet2!$D$2,1,K83=sheet2!$D$2,0,K83&lt;sheet2!$D$2,-1)</f>
        <v>0</v>
      </c>
      <c r="Y83" cm="1">
        <f t="array" ref="Y83">_xlfn.IFS(L83&gt;sheet2!$E$2,1,L83=sheet2!$E$2,0,L83&lt;sheet2!$E$2,-1)</f>
        <v>0</v>
      </c>
      <c r="Z83" cm="1">
        <f t="array" ref="Z83">_xlfn.IFS(M83&gt;sheet2!$F$2,1,M83=sheet2!$F$2,0,M83&lt;sheet2!$F$2,-1)</f>
        <v>0</v>
      </c>
      <c r="AA83" cm="1">
        <f t="array" ref="AA83">_xlfn.IFS(N83&gt;sheet2!$G$2,1,N83=sheet2!$G$2,0,N83&lt;sheet2!$G$2,-1)</f>
        <v>0</v>
      </c>
    </row>
    <row r="84" spans="5:27" ht="14.4" x14ac:dyDescent="0.25">
      <c r="E84" s="2">
        <v>11</v>
      </c>
      <c r="F84" s="2" t="s">
        <v>20</v>
      </c>
      <c r="G84" s="2">
        <v>2021</v>
      </c>
      <c r="H84" s="14">
        <v>0.51196254197261071</v>
      </c>
      <c r="I84" s="2">
        <f t="shared" si="16"/>
        <v>5.8558581724169209E-2</v>
      </c>
      <c r="J84">
        <v>0.2</v>
      </c>
      <c r="K84">
        <v>0.13500000000000001</v>
      </c>
      <c r="L84">
        <v>0.18</v>
      </c>
      <c r="M84">
        <v>0.25</v>
      </c>
      <c r="N84">
        <v>0.65</v>
      </c>
      <c r="O84">
        <v>1</v>
      </c>
      <c r="P84">
        <v>1</v>
      </c>
      <c r="Q84">
        <v>1</v>
      </c>
      <c r="R84">
        <v>1</v>
      </c>
      <c r="S84">
        <v>1</v>
      </c>
      <c r="T84">
        <f t="shared" si="12"/>
        <v>1</v>
      </c>
      <c r="U84">
        <f t="shared" si="13"/>
        <v>1</v>
      </c>
      <c r="V84">
        <f t="shared" si="14"/>
        <v>1</v>
      </c>
      <c r="W84" cm="1">
        <f t="array" ref="W84">_xlfn.IFS(J84&gt;sheet2!$C$2,1,J84=sheet2!$C$2,0,J84&lt;sheet2!$C$2,-1)</f>
        <v>0</v>
      </c>
      <c r="X84" cm="1">
        <f t="array" ref="X84">_xlfn.IFS(K84&gt;sheet2!$D$2,1,K84=sheet2!$D$2,0,K84&lt;sheet2!$D$2,-1)</f>
        <v>0</v>
      </c>
      <c r="Y84" cm="1">
        <f t="array" ref="Y84">_xlfn.IFS(L84&gt;sheet2!$E$2,1,L84=sheet2!$E$2,0,L84&lt;sheet2!$E$2,-1)</f>
        <v>0</v>
      </c>
      <c r="Z84" cm="1">
        <f t="array" ref="Z84">_xlfn.IFS(M84&gt;sheet2!$F$2,1,M84=sheet2!$F$2,0,M84&lt;sheet2!$F$2,-1)</f>
        <v>0</v>
      </c>
      <c r="AA84" cm="1">
        <f t="array" ref="AA84">_xlfn.IFS(N84&gt;sheet2!$G$2,1,N84=sheet2!$G$2,0,N84&lt;sheet2!$G$2,-1)</f>
        <v>0</v>
      </c>
    </row>
    <row r="85" spans="5:27" ht="14.4" hidden="1" x14ac:dyDescent="0.25">
      <c r="E85" s="2">
        <v>11</v>
      </c>
      <c r="F85" s="2" t="s">
        <v>20</v>
      </c>
      <c r="G85" s="2">
        <v>2022</v>
      </c>
      <c r="H85" s="14">
        <v>0.26993341642056229</v>
      </c>
      <c r="I85" s="2">
        <f t="shared" si="16"/>
        <v>-0.47274772216635458</v>
      </c>
      <c r="J85">
        <v>0.22</v>
      </c>
      <c r="K85">
        <v>0.13500000000000001</v>
      </c>
      <c r="L85">
        <v>0.18</v>
      </c>
      <c r="M85">
        <v>0.25</v>
      </c>
      <c r="N85">
        <v>0.65</v>
      </c>
      <c r="O85">
        <v>1.0999999999999999</v>
      </c>
      <c r="P85">
        <v>1</v>
      </c>
      <c r="Q85">
        <v>1</v>
      </c>
      <c r="R85">
        <v>1</v>
      </c>
      <c r="S85">
        <v>1</v>
      </c>
      <c r="T85">
        <f t="shared" si="12"/>
        <v>1.0499999999999998</v>
      </c>
      <c r="U85">
        <f t="shared" si="13"/>
        <v>1</v>
      </c>
      <c r="V85">
        <f t="shared" si="14"/>
        <v>1</v>
      </c>
      <c r="W85" cm="1">
        <f t="array" ref="W85">_xlfn.IFS(J85&gt;sheet2!$C$2,1,J85=sheet2!$C$2,0,J85&lt;sheet2!$C$2,-1)</f>
        <v>1</v>
      </c>
      <c r="X85" cm="1">
        <f t="array" ref="X85">_xlfn.IFS(K85&gt;sheet2!$D$2,1,K85=sheet2!$D$2,0,K85&lt;sheet2!$D$2,-1)</f>
        <v>0</v>
      </c>
      <c r="Y85" cm="1">
        <f t="array" ref="Y85">_xlfn.IFS(L85&gt;sheet2!$E$2,1,L85=sheet2!$E$2,0,L85&lt;sheet2!$E$2,-1)</f>
        <v>0</v>
      </c>
      <c r="Z85" cm="1">
        <f t="array" ref="Z85">_xlfn.IFS(M85&gt;sheet2!$F$2,1,M85=sheet2!$F$2,0,M85&lt;sheet2!$F$2,-1)</f>
        <v>0</v>
      </c>
      <c r="AA85" cm="1">
        <f t="array" ref="AA85">_xlfn.IFS(N85&gt;sheet2!$G$2,1,N85=sheet2!$G$2,0,N85&lt;sheet2!$G$2,-1)</f>
        <v>0</v>
      </c>
    </row>
    <row r="86" spans="5:27" ht="14.4" hidden="1" x14ac:dyDescent="0.25">
      <c r="E86" s="2">
        <v>12</v>
      </c>
      <c r="F86" s="2" t="s">
        <v>21</v>
      </c>
      <c r="G86" s="2">
        <v>2016</v>
      </c>
      <c r="H86" s="14">
        <v>0.25142082076700628</v>
      </c>
      <c r="I86" s="2"/>
      <c r="J86">
        <v>0.155</v>
      </c>
      <c r="K86">
        <v>0.14000000000000001</v>
      </c>
      <c r="L86">
        <v>0.18</v>
      </c>
      <c r="M86">
        <v>0.22</v>
      </c>
      <c r="N86">
        <v>0.65</v>
      </c>
      <c r="O86">
        <v>0.77499999999999991</v>
      </c>
      <c r="P86">
        <v>1.037037037037037</v>
      </c>
      <c r="Q86">
        <v>1</v>
      </c>
      <c r="R86">
        <v>0.88</v>
      </c>
      <c r="S86">
        <v>1</v>
      </c>
      <c r="T86">
        <f t="shared" si="12"/>
        <v>0.8274999999999999</v>
      </c>
      <c r="U86">
        <f t="shared" si="13"/>
        <v>1.037037037037037</v>
      </c>
      <c r="V86">
        <f t="shared" si="14"/>
        <v>1</v>
      </c>
      <c r="W86" cm="1">
        <f t="array" ref="W86">_xlfn.IFS(J86&gt;sheet2!$C$2,1,J86=sheet2!$C$2,0,J86&lt;sheet2!$C$2,-1)</f>
        <v>-1</v>
      </c>
      <c r="X86" cm="1">
        <f t="array" ref="X86">_xlfn.IFS(K86&gt;sheet2!$D$2,1,K86=sheet2!$D$2,0,K86&lt;sheet2!$D$2,-1)</f>
        <v>1</v>
      </c>
      <c r="Y86" cm="1">
        <f t="array" ref="Y86">_xlfn.IFS(L86&gt;sheet2!$E$2,1,L86=sheet2!$E$2,0,L86&lt;sheet2!$E$2,-1)</f>
        <v>0</v>
      </c>
      <c r="Z86" cm="1">
        <f t="array" ref="Z86">_xlfn.IFS(M86&gt;sheet2!$F$2,1,M86=sheet2!$F$2,0,M86&lt;sheet2!$F$2,-1)</f>
        <v>-1</v>
      </c>
      <c r="AA86" cm="1">
        <f t="array" ref="AA86">_xlfn.IFS(N86&gt;sheet2!$G$2,1,N86=sheet2!$G$2,0,N86&lt;sheet2!$G$2,-1)</f>
        <v>0</v>
      </c>
    </row>
    <row r="87" spans="5:27" ht="14.4" hidden="1" x14ac:dyDescent="0.25">
      <c r="E87" s="2">
        <v>12</v>
      </c>
      <c r="F87" s="2" t="s">
        <v>21</v>
      </c>
      <c r="G87" s="2">
        <v>2017</v>
      </c>
      <c r="H87" s="14">
        <v>0.26613754641171927</v>
      </c>
      <c r="I87" s="2">
        <f t="shared" ref="I87:I92" si="17">(H87-H86)/H86</f>
        <v>5.853423594679575E-2</v>
      </c>
      <c r="J87">
        <v>0.155</v>
      </c>
      <c r="K87">
        <v>0.14000000000000001</v>
      </c>
      <c r="L87">
        <v>0.18</v>
      </c>
      <c r="M87">
        <v>0.22</v>
      </c>
      <c r="N87">
        <v>0.65</v>
      </c>
      <c r="O87">
        <v>0.77499999999999991</v>
      </c>
      <c r="P87">
        <v>1.037037037037037</v>
      </c>
      <c r="Q87">
        <v>1</v>
      </c>
      <c r="R87">
        <v>0.88</v>
      </c>
      <c r="S87">
        <v>1</v>
      </c>
      <c r="T87">
        <f t="shared" si="12"/>
        <v>0.8274999999999999</v>
      </c>
      <c r="U87">
        <f t="shared" si="13"/>
        <v>1.037037037037037</v>
      </c>
      <c r="V87">
        <f t="shared" si="14"/>
        <v>1</v>
      </c>
      <c r="W87" cm="1">
        <f t="array" ref="W87">_xlfn.IFS(J87&gt;sheet2!$C$2,1,J87=sheet2!$C$2,0,J87&lt;sheet2!$C$2,-1)</f>
        <v>-1</v>
      </c>
      <c r="X87" cm="1">
        <f t="array" ref="X87">_xlfn.IFS(K87&gt;sheet2!$D$2,1,K87=sheet2!$D$2,0,K87&lt;sheet2!$D$2,-1)</f>
        <v>1</v>
      </c>
      <c r="Y87" cm="1">
        <f t="array" ref="Y87">_xlfn.IFS(L87&gt;sheet2!$E$2,1,L87=sheet2!$E$2,0,L87&lt;sheet2!$E$2,-1)</f>
        <v>0</v>
      </c>
      <c r="Z87" cm="1">
        <f t="array" ref="Z87">_xlfn.IFS(M87&gt;sheet2!$F$2,1,M87=sheet2!$F$2,0,M87&lt;sheet2!$F$2,-1)</f>
        <v>-1</v>
      </c>
      <c r="AA87" cm="1">
        <f t="array" ref="AA87">_xlfn.IFS(N87&gt;sheet2!$G$2,1,N87=sheet2!$G$2,0,N87&lt;sheet2!$G$2,-1)</f>
        <v>0</v>
      </c>
    </row>
    <row r="88" spans="5:27" ht="14.4" hidden="1" x14ac:dyDescent="0.25">
      <c r="E88" s="2">
        <v>12</v>
      </c>
      <c r="F88" s="2" t="s">
        <v>21</v>
      </c>
      <c r="G88" s="2">
        <v>2018</v>
      </c>
      <c r="H88" s="14">
        <v>0.29855706434912865</v>
      </c>
      <c r="I88" s="2">
        <f t="shared" si="17"/>
        <v>0.12181489750136885</v>
      </c>
      <c r="J88">
        <v>0.155</v>
      </c>
      <c r="K88">
        <v>0.14000000000000001</v>
      </c>
      <c r="L88">
        <v>0.18</v>
      </c>
      <c r="M88">
        <v>0.22</v>
      </c>
      <c r="N88">
        <v>0.65</v>
      </c>
      <c r="O88">
        <v>0.77499999999999991</v>
      </c>
      <c r="P88">
        <v>1.037037037037037</v>
      </c>
      <c r="Q88">
        <v>1</v>
      </c>
      <c r="R88">
        <v>0.88</v>
      </c>
      <c r="S88">
        <v>1</v>
      </c>
      <c r="T88">
        <f t="shared" si="12"/>
        <v>0.8274999999999999</v>
      </c>
      <c r="U88">
        <f t="shared" si="13"/>
        <v>1.037037037037037</v>
      </c>
      <c r="V88">
        <f t="shared" si="14"/>
        <v>1</v>
      </c>
      <c r="W88" cm="1">
        <f t="array" ref="W88">_xlfn.IFS(J88&gt;sheet2!$C$2,1,J88=sheet2!$C$2,0,J88&lt;sheet2!$C$2,-1)</f>
        <v>-1</v>
      </c>
      <c r="X88" cm="1">
        <f t="array" ref="X88">_xlfn.IFS(K88&gt;sheet2!$D$2,1,K88=sheet2!$D$2,0,K88&lt;sheet2!$D$2,-1)</f>
        <v>1</v>
      </c>
      <c r="Y88" cm="1">
        <f t="array" ref="Y88">_xlfn.IFS(L88&gt;sheet2!$E$2,1,L88=sheet2!$E$2,0,L88&lt;sheet2!$E$2,-1)</f>
        <v>0</v>
      </c>
      <c r="Z88" cm="1">
        <f t="array" ref="Z88">_xlfn.IFS(M88&gt;sheet2!$F$2,1,M88=sheet2!$F$2,0,M88&lt;sheet2!$F$2,-1)</f>
        <v>-1</v>
      </c>
      <c r="AA88" cm="1">
        <f t="array" ref="AA88">_xlfn.IFS(N88&gt;sheet2!$G$2,1,N88=sheet2!$G$2,0,N88&lt;sheet2!$G$2,-1)</f>
        <v>0</v>
      </c>
    </row>
    <row r="89" spans="5:27" ht="14.4" hidden="1" x14ac:dyDescent="0.25">
      <c r="E89" s="2">
        <v>12</v>
      </c>
      <c r="F89" s="2" t="s">
        <v>21</v>
      </c>
      <c r="G89" s="2">
        <v>2019</v>
      </c>
      <c r="H89" s="14">
        <v>0.30629165087946875</v>
      </c>
      <c r="I89" s="2">
        <f t="shared" si="17"/>
        <v>2.5906560098324687E-2</v>
      </c>
      <c r="J89">
        <v>0.155</v>
      </c>
      <c r="K89">
        <v>0.14000000000000001</v>
      </c>
      <c r="L89">
        <v>0.18</v>
      </c>
      <c r="M89">
        <v>0.22</v>
      </c>
      <c r="N89">
        <v>0.65</v>
      </c>
      <c r="O89">
        <v>0.77499999999999991</v>
      </c>
      <c r="P89">
        <v>1.037037037037037</v>
      </c>
      <c r="Q89">
        <v>1</v>
      </c>
      <c r="R89">
        <v>0.88</v>
      </c>
      <c r="S89">
        <v>1</v>
      </c>
      <c r="T89">
        <f t="shared" si="12"/>
        <v>0.8274999999999999</v>
      </c>
      <c r="U89">
        <f t="shared" si="13"/>
        <v>1.037037037037037</v>
      </c>
      <c r="V89">
        <f t="shared" si="14"/>
        <v>1</v>
      </c>
      <c r="W89" cm="1">
        <f t="array" ref="W89">_xlfn.IFS(J89&gt;sheet2!$C$2,1,J89=sheet2!$C$2,0,J89&lt;sheet2!$C$2,-1)</f>
        <v>-1</v>
      </c>
      <c r="X89" cm="1">
        <f t="array" ref="X89">_xlfn.IFS(K89&gt;sheet2!$D$2,1,K89=sheet2!$D$2,0,K89&lt;sheet2!$D$2,-1)</f>
        <v>1</v>
      </c>
      <c r="Y89" cm="1">
        <f t="array" ref="Y89">_xlfn.IFS(L89&gt;sheet2!$E$2,1,L89=sheet2!$E$2,0,L89&lt;sheet2!$E$2,-1)</f>
        <v>0</v>
      </c>
      <c r="Z89" cm="1">
        <f t="array" ref="Z89">_xlfn.IFS(M89&gt;sheet2!$F$2,1,M89=sheet2!$F$2,0,M89&lt;sheet2!$F$2,-1)</f>
        <v>-1</v>
      </c>
      <c r="AA89" cm="1">
        <f t="array" ref="AA89">_xlfn.IFS(N89&gt;sheet2!$G$2,1,N89=sheet2!$G$2,0,N89&lt;sheet2!$G$2,-1)</f>
        <v>0</v>
      </c>
    </row>
    <row r="90" spans="5:27" ht="14.4" hidden="1" x14ac:dyDescent="0.25">
      <c r="E90" s="2">
        <v>12</v>
      </c>
      <c r="F90" s="2" t="s">
        <v>21</v>
      </c>
      <c r="G90" s="2">
        <v>2020</v>
      </c>
      <c r="H90" s="14">
        <v>0.31147149484683045</v>
      </c>
      <c r="I90" s="2">
        <f t="shared" si="17"/>
        <v>1.6911476210626681E-2</v>
      </c>
      <c r="J90">
        <v>0.155</v>
      </c>
      <c r="K90">
        <v>0.14000000000000001</v>
      </c>
      <c r="L90">
        <v>0.18</v>
      </c>
      <c r="M90">
        <v>0.22</v>
      </c>
      <c r="N90">
        <v>0.65</v>
      </c>
      <c r="O90">
        <v>0.77499999999999991</v>
      </c>
      <c r="P90">
        <v>1.037037037037037</v>
      </c>
      <c r="Q90">
        <v>1</v>
      </c>
      <c r="R90">
        <v>0.88</v>
      </c>
      <c r="S90">
        <v>1</v>
      </c>
      <c r="T90">
        <f t="shared" si="12"/>
        <v>0.8274999999999999</v>
      </c>
      <c r="U90">
        <f t="shared" si="13"/>
        <v>1.037037037037037</v>
      </c>
      <c r="V90">
        <f t="shared" si="14"/>
        <v>1</v>
      </c>
      <c r="W90" cm="1">
        <f t="array" ref="W90">_xlfn.IFS(J90&gt;sheet2!$C$2,1,J90=sheet2!$C$2,0,J90&lt;sheet2!$C$2,-1)</f>
        <v>-1</v>
      </c>
      <c r="X90" cm="1">
        <f t="array" ref="X90">_xlfn.IFS(K90&gt;sheet2!$D$2,1,K90=sheet2!$D$2,0,K90&lt;sheet2!$D$2,-1)</f>
        <v>1</v>
      </c>
      <c r="Y90" cm="1">
        <f t="array" ref="Y90">_xlfn.IFS(L90&gt;sheet2!$E$2,1,L90=sheet2!$E$2,0,L90&lt;sheet2!$E$2,-1)</f>
        <v>0</v>
      </c>
      <c r="Z90" cm="1">
        <f t="array" ref="Z90">_xlfn.IFS(M90&gt;sheet2!$F$2,1,M90=sheet2!$F$2,0,M90&lt;sheet2!$F$2,-1)</f>
        <v>-1</v>
      </c>
      <c r="AA90" cm="1">
        <f t="array" ref="AA90">_xlfn.IFS(N90&gt;sheet2!$G$2,1,N90=sheet2!$G$2,0,N90&lt;sheet2!$G$2,-1)</f>
        <v>0</v>
      </c>
    </row>
    <row r="91" spans="5:27" ht="14.4" x14ac:dyDescent="0.25">
      <c r="E91" s="2">
        <v>12</v>
      </c>
      <c r="F91" s="2" t="s">
        <v>21</v>
      </c>
      <c r="G91" s="2">
        <v>2021</v>
      </c>
      <c r="H91" s="14">
        <v>0.33921889199157801</v>
      </c>
      <c r="I91" s="2">
        <f t="shared" si="17"/>
        <v>8.9084868451261137E-2</v>
      </c>
      <c r="J91">
        <v>0.22</v>
      </c>
      <c r="K91">
        <v>0.13500000000000001</v>
      </c>
      <c r="L91">
        <v>0.18</v>
      </c>
      <c r="M91">
        <v>0.25</v>
      </c>
      <c r="N91">
        <v>0.65</v>
      </c>
      <c r="O91">
        <v>1.0999999999999999</v>
      </c>
      <c r="P91">
        <v>1</v>
      </c>
      <c r="Q91">
        <v>1</v>
      </c>
      <c r="R91">
        <v>1</v>
      </c>
      <c r="S91">
        <v>1</v>
      </c>
      <c r="T91">
        <f t="shared" si="12"/>
        <v>1.0499999999999998</v>
      </c>
      <c r="U91">
        <f t="shared" si="13"/>
        <v>1</v>
      </c>
      <c r="V91">
        <f t="shared" si="14"/>
        <v>1</v>
      </c>
      <c r="W91" cm="1">
        <f t="array" ref="W91">_xlfn.IFS(J91&gt;sheet2!$C$2,1,J91=sheet2!$C$2,0,J91&lt;sheet2!$C$2,-1)</f>
        <v>1</v>
      </c>
      <c r="X91" cm="1">
        <f t="array" ref="X91">_xlfn.IFS(K91&gt;sheet2!$D$2,1,K91=sheet2!$D$2,0,K91&lt;sheet2!$D$2,-1)</f>
        <v>0</v>
      </c>
      <c r="Y91" cm="1">
        <f t="array" ref="Y91">_xlfn.IFS(L91&gt;sheet2!$E$2,1,L91=sheet2!$E$2,0,L91&lt;sheet2!$E$2,-1)</f>
        <v>0</v>
      </c>
      <c r="Z91" cm="1">
        <f t="array" ref="Z91">_xlfn.IFS(M91&gt;sheet2!$F$2,1,M91=sheet2!$F$2,0,M91&lt;sheet2!$F$2,-1)</f>
        <v>0</v>
      </c>
      <c r="AA91" cm="1">
        <f t="array" ref="AA91">_xlfn.IFS(N91&gt;sheet2!$G$2,1,N91=sheet2!$G$2,0,N91&lt;sheet2!$G$2,-1)</f>
        <v>0</v>
      </c>
    </row>
    <row r="92" spans="5:27" ht="14.4" hidden="1" x14ac:dyDescent="0.25">
      <c r="E92" s="2">
        <v>12</v>
      </c>
      <c r="F92" s="2" t="s">
        <v>21</v>
      </c>
      <c r="G92" s="2">
        <v>2022</v>
      </c>
      <c r="H92" s="14">
        <v>0.36818313803960484</v>
      </c>
      <c r="I92" s="2">
        <f t="shared" si="17"/>
        <v>8.5385120734212949E-2</v>
      </c>
      <c r="J92">
        <v>0.17699999999999999</v>
      </c>
      <c r="K92">
        <v>0.13500000000000001</v>
      </c>
      <c r="L92">
        <v>0.18</v>
      </c>
      <c r="M92">
        <v>0.2</v>
      </c>
      <c r="N92">
        <v>0.65</v>
      </c>
      <c r="O92">
        <v>0.8849999999999999</v>
      </c>
      <c r="P92">
        <v>1</v>
      </c>
      <c r="Q92">
        <v>1</v>
      </c>
      <c r="R92">
        <v>0.8</v>
      </c>
      <c r="S92">
        <v>1</v>
      </c>
      <c r="T92">
        <f t="shared" si="12"/>
        <v>0.84250000000000003</v>
      </c>
      <c r="U92">
        <f t="shared" si="13"/>
        <v>1</v>
      </c>
      <c r="V92">
        <f t="shared" si="14"/>
        <v>1</v>
      </c>
      <c r="W92" cm="1">
        <f t="array" ref="W92">_xlfn.IFS(J92&gt;sheet2!$C$2,1,J92=sheet2!$C$2,0,J92&lt;sheet2!$C$2,-1)</f>
        <v>-1</v>
      </c>
      <c r="X92" cm="1">
        <f t="array" ref="X92">_xlfn.IFS(K92&gt;sheet2!$D$2,1,K92=sheet2!$D$2,0,K92&lt;sheet2!$D$2,-1)</f>
        <v>0</v>
      </c>
      <c r="Y92" cm="1">
        <f t="array" ref="Y92">_xlfn.IFS(L92&gt;sheet2!$E$2,1,L92=sheet2!$E$2,0,L92&lt;sheet2!$E$2,-1)</f>
        <v>0</v>
      </c>
      <c r="Z92" cm="1">
        <f t="array" ref="Z92">_xlfn.IFS(M92&gt;sheet2!$F$2,1,M92=sheet2!$F$2,0,M92&lt;sheet2!$F$2,-1)</f>
        <v>-1</v>
      </c>
      <c r="AA92" cm="1">
        <f t="array" ref="AA92">_xlfn.IFS(N92&gt;sheet2!$G$2,1,N92=sheet2!$G$2,0,N92&lt;sheet2!$G$2,-1)</f>
        <v>0</v>
      </c>
    </row>
    <row r="93" spans="5:27" ht="14.4" hidden="1" x14ac:dyDescent="0.25">
      <c r="E93" s="2">
        <v>13</v>
      </c>
      <c r="F93" s="2" t="s">
        <v>22</v>
      </c>
      <c r="G93" s="2">
        <v>2016</v>
      </c>
      <c r="H93" s="14">
        <v>0.32953470833772719</v>
      </c>
      <c r="I93" s="2"/>
      <c r="J93">
        <v>0.2</v>
      </c>
      <c r="K93">
        <v>0.13500000000000001</v>
      </c>
      <c r="L93">
        <v>0.18</v>
      </c>
      <c r="M93">
        <v>0.25</v>
      </c>
      <c r="N93">
        <v>0.65</v>
      </c>
      <c r="O93">
        <v>1</v>
      </c>
      <c r="P93">
        <v>1</v>
      </c>
      <c r="Q93">
        <v>1</v>
      </c>
      <c r="R93">
        <v>1</v>
      </c>
      <c r="S93">
        <v>1</v>
      </c>
      <c r="T93">
        <f t="shared" si="12"/>
        <v>1</v>
      </c>
      <c r="U93">
        <f t="shared" si="13"/>
        <v>1</v>
      </c>
      <c r="V93">
        <f t="shared" si="14"/>
        <v>1</v>
      </c>
      <c r="W93" cm="1">
        <f t="array" ref="W93">_xlfn.IFS(J93&gt;sheet2!$C$2,1,J93=sheet2!$C$2,0,J93&lt;sheet2!$C$2,-1)</f>
        <v>0</v>
      </c>
      <c r="X93" cm="1">
        <f t="array" ref="X93">_xlfn.IFS(K93&gt;sheet2!$D$2,1,K93=sheet2!$D$2,0,K93&lt;sheet2!$D$2,-1)</f>
        <v>0</v>
      </c>
      <c r="Y93" cm="1">
        <f t="array" ref="Y93">_xlfn.IFS(L93&gt;sheet2!$E$2,1,L93=sheet2!$E$2,0,L93&lt;sheet2!$E$2,-1)</f>
        <v>0</v>
      </c>
      <c r="Z93" cm="1">
        <f t="array" ref="Z93">_xlfn.IFS(M93&gt;sheet2!$F$2,1,M93=sheet2!$F$2,0,M93&lt;sheet2!$F$2,-1)</f>
        <v>0</v>
      </c>
      <c r="AA93" cm="1">
        <f t="array" ref="AA93">_xlfn.IFS(N93&gt;sheet2!$G$2,1,N93=sheet2!$G$2,0,N93&lt;sheet2!$G$2,-1)</f>
        <v>0</v>
      </c>
    </row>
    <row r="94" spans="5:27" ht="14.4" hidden="1" x14ac:dyDescent="0.25">
      <c r="E94" s="2">
        <v>13</v>
      </c>
      <c r="F94" s="2" t="s">
        <v>22</v>
      </c>
      <c r="G94" s="2">
        <v>2017</v>
      </c>
      <c r="H94" s="14">
        <v>0.34138177972246897</v>
      </c>
      <c r="I94" s="2">
        <f>(H94-H93)/H93</f>
        <v>3.5950906186792871E-2</v>
      </c>
      <c r="J94">
        <v>0.2</v>
      </c>
      <c r="K94">
        <v>0.13500000000000001</v>
      </c>
      <c r="L94">
        <v>0.18</v>
      </c>
      <c r="M94">
        <v>0.25</v>
      </c>
      <c r="N94">
        <v>0.65</v>
      </c>
      <c r="O94">
        <v>1</v>
      </c>
      <c r="P94">
        <v>1</v>
      </c>
      <c r="Q94">
        <v>1</v>
      </c>
      <c r="R94">
        <v>1</v>
      </c>
      <c r="S94">
        <v>1</v>
      </c>
      <c r="T94">
        <f t="shared" si="12"/>
        <v>1</v>
      </c>
      <c r="U94">
        <f t="shared" si="13"/>
        <v>1</v>
      </c>
      <c r="V94">
        <f t="shared" si="14"/>
        <v>1</v>
      </c>
      <c r="W94" cm="1">
        <f t="array" ref="W94">_xlfn.IFS(J94&gt;sheet2!$C$2,1,J94=sheet2!$C$2,0,J94&lt;sheet2!$C$2,-1)</f>
        <v>0</v>
      </c>
      <c r="X94" cm="1">
        <f t="array" ref="X94">_xlfn.IFS(K94&gt;sheet2!$D$2,1,K94=sheet2!$D$2,0,K94&lt;sheet2!$D$2,-1)</f>
        <v>0</v>
      </c>
      <c r="Y94" cm="1">
        <f t="array" ref="Y94">_xlfn.IFS(L94&gt;sheet2!$E$2,1,L94=sheet2!$E$2,0,L94&lt;sheet2!$E$2,-1)</f>
        <v>0</v>
      </c>
      <c r="Z94" cm="1">
        <f t="array" ref="Z94">_xlfn.IFS(M94&gt;sheet2!$F$2,1,M94=sheet2!$F$2,0,M94&lt;sheet2!$F$2,-1)</f>
        <v>0</v>
      </c>
      <c r="AA94" cm="1">
        <f t="array" ref="AA94">_xlfn.IFS(N94&gt;sheet2!$G$2,1,N94=sheet2!$G$2,0,N94&lt;sheet2!$G$2,-1)</f>
        <v>0</v>
      </c>
    </row>
    <row r="95" spans="5:27" ht="14.4" hidden="1" x14ac:dyDescent="0.25">
      <c r="E95" s="2">
        <v>13</v>
      </c>
      <c r="F95" s="2" t="s">
        <v>22</v>
      </c>
      <c r="G95" s="2">
        <v>2018</v>
      </c>
      <c r="H95" s="14">
        <v>0.36580327075670033</v>
      </c>
      <c r="I95" s="2">
        <f>(H95-H94)/H94</f>
        <v>7.1537183542968064E-2</v>
      </c>
      <c r="J95">
        <v>0.2</v>
      </c>
      <c r="K95">
        <v>0.13500000000000001</v>
      </c>
      <c r="L95">
        <v>0.18</v>
      </c>
      <c r="M95">
        <v>0.25</v>
      </c>
      <c r="N95">
        <v>0.65</v>
      </c>
      <c r="O95">
        <v>1</v>
      </c>
      <c r="P95">
        <v>1</v>
      </c>
      <c r="Q95">
        <v>1</v>
      </c>
      <c r="R95">
        <v>1</v>
      </c>
      <c r="S95">
        <v>1</v>
      </c>
      <c r="T95">
        <f t="shared" si="12"/>
        <v>1</v>
      </c>
      <c r="U95">
        <f t="shared" si="13"/>
        <v>1</v>
      </c>
      <c r="V95">
        <f t="shared" si="14"/>
        <v>1</v>
      </c>
      <c r="W95" cm="1">
        <f t="array" ref="W95">_xlfn.IFS(J95&gt;sheet2!$C$2,1,J95=sheet2!$C$2,0,J95&lt;sheet2!$C$2,-1)</f>
        <v>0</v>
      </c>
      <c r="X95" cm="1">
        <f t="array" ref="X95">_xlfn.IFS(K95&gt;sheet2!$D$2,1,K95=sheet2!$D$2,0,K95&lt;sheet2!$D$2,-1)</f>
        <v>0</v>
      </c>
      <c r="Y95" cm="1">
        <f t="array" ref="Y95">_xlfn.IFS(L95&gt;sheet2!$E$2,1,L95=sheet2!$E$2,0,L95&lt;sheet2!$E$2,-1)</f>
        <v>0</v>
      </c>
      <c r="Z95" cm="1">
        <f t="array" ref="Z95">_xlfn.IFS(M95&gt;sheet2!$F$2,1,M95=sheet2!$F$2,0,M95&lt;sheet2!$F$2,-1)</f>
        <v>0</v>
      </c>
      <c r="AA95" cm="1">
        <f t="array" ref="AA95">_xlfn.IFS(N95&gt;sheet2!$G$2,1,N95=sheet2!$G$2,0,N95&lt;sheet2!$G$2,-1)</f>
        <v>0</v>
      </c>
    </row>
    <row r="96" spans="5:27" ht="14.4" hidden="1" x14ac:dyDescent="0.25">
      <c r="E96" s="2">
        <v>13</v>
      </c>
      <c r="F96" s="2" t="s">
        <v>22</v>
      </c>
      <c r="G96" s="2">
        <v>2019</v>
      </c>
      <c r="H96" s="14">
        <v>0.36856079587505075</v>
      </c>
      <c r="I96" s="2">
        <f>(H96-H95)/H95</f>
        <v>7.5382735442638595E-3</v>
      </c>
      <c r="J96">
        <v>0.2</v>
      </c>
      <c r="K96">
        <v>0.13500000000000001</v>
      </c>
      <c r="L96">
        <v>0.18</v>
      </c>
      <c r="M96">
        <v>0.25</v>
      </c>
      <c r="N96">
        <v>0.65</v>
      </c>
      <c r="O96">
        <v>1</v>
      </c>
      <c r="P96">
        <v>1</v>
      </c>
      <c r="Q96">
        <v>1</v>
      </c>
      <c r="R96">
        <v>1</v>
      </c>
      <c r="S96">
        <v>1</v>
      </c>
      <c r="T96">
        <f t="shared" si="12"/>
        <v>1</v>
      </c>
      <c r="U96">
        <f t="shared" si="13"/>
        <v>1</v>
      </c>
      <c r="V96">
        <f t="shared" si="14"/>
        <v>1</v>
      </c>
      <c r="W96" cm="1">
        <f t="array" ref="W96">_xlfn.IFS(J96&gt;sheet2!$C$2,1,J96=sheet2!$C$2,0,J96&lt;sheet2!$C$2,-1)</f>
        <v>0</v>
      </c>
      <c r="X96" cm="1">
        <f t="array" ref="X96">_xlfn.IFS(K96&gt;sheet2!$D$2,1,K96=sheet2!$D$2,0,K96&lt;sheet2!$D$2,-1)</f>
        <v>0</v>
      </c>
      <c r="Y96" cm="1">
        <f t="array" ref="Y96">_xlfn.IFS(L96&gt;sheet2!$E$2,1,L96=sheet2!$E$2,0,L96&lt;sheet2!$E$2,-1)</f>
        <v>0</v>
      </c>
      <c r="Z96" cm="1">
        <f t="array" ref="Z96">_xlfn.IFS(M96&gt;sheet2!$F$2,1,M96=sheet2!$F$2,0,M96&lt;sheet2!$F$2,-1)</f>
        <v>0</v>
      </c>
      <c r="AA96" cm="1">
        <f t="array" ref="AA96">_xlfn.IFS(N96&gt;sheet2!$G$2,1,N96=sheet2!$G$2,0,N96&lt;sheet2!$G$2,-1)</f>
        <v>0</v>
      </c>
    </row>
    <row r="97" spans="5:27" ht="14.4" hidden="1" x14ac:dyDescent="0.25">
      <c r="E97" s="2">
        <v>13</v>
      </c>
      <c r="F97" s="2" t="s">
        <v>22</v>
      </c>
      <c r="G97" s="2">
        <v>2020</v>
      </c>
      <c r="H97" s="14">
        <v>0.39578517500130039</v>
      </c>
      <c r="I97" s="2">
        <f>(H97-H96)/H96</f>
        <v>7.3866725465502936E-2</v>
      </c>
      <c r="J97">
        <v>0.2</v>
      </c>
      <c r="K97">
        <v>0.13500000000000001</v>
      </c>
      <c r="L97">
        <v>0.18</v>
      </c>
      <c r="M97">
        <v>0.25</v>
      </c>
      <c r="N97">
        <v>0.65</v>
      </c>
      <c r="O97">
        <v>1</v>
      </c>
      <c r="P97">
        <v>1</v>
      </c>
      <c r="Q97">
        <v>1</v>
      </c>
      <c r="R97">
        <v>1</v>
      </c>
      <c r="S97">
        <v>1</v>
      </c>
      <c r="T97">
        <f t="shared" si="12"/>
        <v>1</v>
      </c>
      <c r="U97">
        <f t="shared" si="13"/>
        <v>1</v>
      </c>
      <c r="V97">
        <f t="shared" si="14"/>
        <v>1</v>
      </c>
      <c r="W97" cm="1">
        <f t="array" ref="W97">_xlfn.IFS(J97&gt;sheet2!$C$2,1,J97=sheet2!$C$2,0,J97&lt;sheet2!$C$2,-1)</f>
        <v>0</v>
      </c>
      <c r="X97" cm="1">
        <f t="array" ref="X97">_xlfn.IFS(K97&gt;sheet2!$D$2,1,K97=sheet2!$D$2,0,K97&lt;sheet2!$D$2,-1)</f>
        <v>0</v>
      </c>
      <c r="Y97" cm="1">
        <f t="array" ref="Y97">_xlfn.IFS(L97&gt;sheet2!$E$2,1,L97=sheet2!$E$2,0,L97&lt;sheet2!$E$2,-1)</f>
        <v>0</v>
      </c>
      <c r="Z97" cm="1">
        <f t="array" ref="Z97">_xlfn.IFS(M97&gt;sheet2!$F$2,1,M97=sheet2!$F$2,0,M97&lt;sheet2!$F$2,-1)</f>
        <v>0</v>
      </c>
      <c r="AA97" cm="1">
        <f t="array" ref="AA97">_xlfn.IFS(N97&gt;sheet2!$G$2,1,N97=sheet2!$G$2,0,N97&lt;sheet2!$G$2,-1)</f>
        <v>0</v>
      </c>
    </row>
    <row r="98" spans="5:27" ht="14.4" x14ac:dyDescent="0.25">
      <c r="E98" s="2">
        <v>13</v>
      </c>
      <c r="F98" s="2" t="s">
        <v>22</v>
      </c>
      <c r="G98" s="2">
        <v>2021</v>
      </c>
      <c r="H98" s="14">
        <v>0.42719987967043971</v>
      </c>
      <c r="I98" s="2">
        <f>(H98-H97)/H97</f>
        <v>7.9373121211617131E-2</v>
      </c>
      <c r="J98">
        <v>0.17699999999999999</v>
      </c>
      <c r="K98">
        <v>0.13500000000000001</v>
      </c>
      <c r="L98">
        <v>0.18</v>
      </c>
      <c r="M98">
        <v>0.2</v>
      </c>
      <c r="N98">
        <v>0.65</v>
      </c>
      <c r="O98">
        <v>0.8849999999999999</v>
      </c>
      <c r="P98">
        <v>1</v>
      </c>
      <c r="Q98">
        <v>1</v>
      </c>
      <c r="R98">
        <v>0.8</v>
      </c>
      <c r="S98">
        <v>1</v>
      </c>
      <c r="T98">
        <f t="shared" si="12"/>
        <v>0.84250000000000003</v>
      </c>
      <c r="U98">
        <f t="shared" si="13"/>
        <v>1</v>
      </c>
      <c r="V98">
        <f t="shared" si="14"/>
        <v>1</v>
      </c>
      <c r="W98" cm="1">
        <f t="array" ref="W98">_xlfn.IFS(J98&gt;sheet2!$C$2,1,J98=sheet2!$C$2,0,J98&lt;sheet2!$C$2,-1)</f>
        <v>-1</v>
      </c>
      <c r="X98" cm="1">
        <f t="array" ref="X98">_xlfn.IFS(K98&gt;sheet2!$D$2,1,K98=sheet2!$D$2,0,K98&lt;sheet2!$D$2,-1)</f>
        <v>0</v>
      </c>
      <c r="Y98" cm="1">
        <f t="array" ref="Y98">_xlfn.IFS(L98&gt;sheet2!$E$2,1,L98=sheet2!$E$2,0,L98&lt;sheet2!$E$2,-1)</f>
        <v>0</v>
      </c>
      <c r="Z98" cm="1">
        <f t="array" ref="Z98">_xlfn.IFS(M98&gt;sheet2!$F$2,1,M98=sheet2!$F$2,0,M98&lt;sheet2!$F$2,-1)</f>
        <v>-1</v>
      </c>
      <c r="AA98" cm="1">
        <f t="array" ref="AA98">_xlfn.IFS(N98&gt;sheet2!$G$2,1,N98=sheet2!$G$2,0,N98&lt;sheet2!$G$2,-1)</f>
        <v>0</v>
      </c>
    </row>
    <row r="99" spans="5:27" ht="14.4" hidden="1" x14ac:dyDescent="0.25">
      <c r="E99" s="2">
        <v>14</v>
      </c>
      <c r="F99" s="2" t="s">
        <v>23</v>
      </c>
      <c r="G99" s="2">
        <v>2016</v>
      </c>
      <c r="H99" s="14">
        <v>0.23827790012306813</v>
      </c>
      <c r="I99" s="2"/>
      <c r="J99">
        <v>0.183</v>
      </c>
      <c r="K99">
        <v>0.13500000000000001</v>
      </c>
      <c r="L99">
        <v>0.18</v>
      </c>
      <c r="M99">
        <v>0.25</v>
      </c>
      <c r="N99">
        <v>0.65</v>
      </c>
      <c r="O99">
        <v>0.91499999999999992</v>
      </c>
      <c r="P99">
        <v>1</v>
      </c>
      <c r="Q99">
        <v>1</v>
      </c>
      <c r="R99">
        <v>1</v>
      </c>
      <c r="S99">
        <v>1</v>
      </c>
      <c r="T99">
        <f t="shared" si="12"/>
        <v>0.95750000000000002</v>
      </c>
      <c r="U99">
        <f t="shared" si="13"/>
        <v>1</v>
      </c>
      <c r="V99">
        <f t="shared" si="14"/>
        <v>1</v>
      </c>
      <c r="W99" cm="1">
        <f t="array" ref="W99">_xlfn.IFS(J99&gt;sheet2!$C$2,1,J99=sheet2!$C$2,0,J99&lt;sheet2!$C$2,-1)</f>
        <v>-1</v>
      </c>
      <c r="X99" cm="1">
        <f t="array" ref="X99">_xlfn.IFS(K99&gt;sheet2!$D$2,1,K99=sheet2!$D$2,0,K99&lt;sheet2!$D$2,-1)</f>
        <v>0</v>
      </c>
      <c r="Y99" cm="1">
        <f t="array" ref="Y99">_xlfn.IFS(L99&gt;sheet2!$E$2,1,L99=sheet2!$E$2,0,L99&lt;sheet2!$E$2,-1)</f>
        <v>0</v>
      </c>
      <c r="Z99" cm="1">
        <f t="array" ref="Z99">_xlfn.IFS(M99&gt;sheet2!$F$2,1,M99=sheet2!$F$2,0,M99&lt;sheet2!$F$2,-1)</f>
        <v>0</v>
      </c>
      <c r="AA99" cm="1">
        <f t="array" ref="AA99">_xlfn.IFS(N99&gt;sheet2!$G$2,1,N99=sheet2!$G$2,0,N99&lt;sheet2!$G$2,-1)</f>
        <v>0</v>
      </c>
    </row>
    <row r="100" spans="5:27" ht="14.4" hidden="1" x14ac:dyDescent="0.25">
      <c r="E100" s="2">
        <v>14</v>
      </c>
      <c r="F100" s="2" t="s">
        <v>23</v>
      </c>
      <c r="G100" s="2">
        <v>2017</v>
      </c>
      <c r="H100" s="14">
        <v>0.24881542149351926</v>
      </c>
      <c r="I100" s="2">
        <f t="shared" ref="I100:I105" si="18">(H100-H99)/H99</f>
        <v>4.4223662223851282E-2</v>
      </c>
      <c r="J100">
        <v>0.183</v>
      </c>
      <c r="K100">
        <v>0.13500000000000001</v>
      </c>
      <c r="L100">
        <v>0.18</v>
      </c>
      <c r="M100">
        <v>0.25</v>
      </c>
      <c r="N100">
        <v>0.65</v>
      </c>
      <c r="O100">
        <v>0.91499999999999992</v>
      </c>
      <c r="P100">
        <v>1</v>
      </c>
      <c r="Q100">
        <v>1</v>
      </c>
      <c r="R100">
        <v>1</v>
      </c>
      <c r="S100">
        <v>1</v>
      </c>
      <c r="T100">
        <f t="shared" si="12"/>
        <v>0.95750000000000002</v>
      </c>
      <c r="U100">
        <f t="shared" si="13"/>
        <v>1</v>
      </c>
      <c r="V100">
        <f t="shared" si="14"/>
        <v>1</v>
      </c>
      <c r="W100" cm="1">
        <f t="array" ref="W100">_xlfn.IFS(J100&gt;sheet2!$C$2,1,J100=sheet2!$C$2,0,J100&lt;sheet2!$C$2,-1)</f>
        <v>-1</v>
      </c>
      <c r="X100" cm="1">
        <f t="array" ref="X100">_xlfn.IFS(K100&gt;sheet2!$D$2,1,K100=sheet2!$D$2,0,K100&lt;sheet2!$D$2,-1)</f>
        <v>0</v>
      </c>
      <c r="Y100" cm="1">
        <f t="array" ref="Y100">_xlfn.IFS(L100&gt;sheet2!$E$2,1,L100=sheet2!$E$2,0,L100&lt;sheet2!$E$2,-1)</f>
        <v>0</v>
      </c>
      <c r="Z100" cm="1">
        <f t="array" ref="Z100">_xlfn.IFS(M100&gt;sheet2!$F$2,1,M100=sheet2!$F$2,0,M100&lt;sheet2!$F$2,-1)</f>
        <v>0</v>
      </c>
      <c r="AA100" cm="1">
        <f t="array" ref="AA100">_xlfn.IFS(N100&gt;sheet2!$G$2,1,N100=sheet2!$G$2,0,N100&lt;sheet2!$G$2,-1)</f>
        <v>0</v>
      </c>
    </row>
    <row r="101" spans="5:27" ht="14.4" hidden="1" x14ac:dyDescent="0.25">
      <c r="E101" s="2">
        <v>14</v>
      </c>
      <c r="F101" s="2" t="s">
        <v>23</v>
      </c>
      <c r="G101" s="2">
        <v>2018</v>
      </c>
      <c r="H101" s="14">
        <v>0.26836572080946308</v>
      </c>
      <c r="I101" s="2">
        <f t="shared" si="18"/>
        <v>7.8573503196034955E-2</v>
      </c>
      <c r="J101">
        <v>0.183</v>
      </c>
      <c r="K101">
        <v>0.13500000000000001</v>
      </c>
      <c r="L101">
        <v>0.18</v>
      </c>
      <c r="M101">
        <v>0.25</v>
      </c>
      <c r="N101">
        <v>0.65</v>
      </c>
      <c r="O101">
        <v>0.91499999999999992</v>
      </c>
      <c r="P101">
        <v>1</v>
      </c>
      <c r="Q101">
        <v>1</v>
      </c>
      <c r="R101">
        <v>1</v>
      </c>
      <c r="S101">
        <v>1</v>
      </c>
      <c r="T101">
        <f t="shared" si="12"/>
        <v>0.95750000000000002</v>
      </c>
      <c r="U101">
        <f t="shared" si="13"/>
        <v>1</v>
      </c>
      <c r="V101">
        <f t="shared" si="14"/>
        <v>1</v>
      </c>
      <c r="W101" cm="1">
        <f t="array" ref="W101">_xlfn.IFS(J101&gt;sheet2!$C$2,1,J101=sheet2!$C$2,0,J101&lt;sheet2!$C$2,-1)</f>
        <v>-1</v>
      </c>
      <c r="X101" cm="1">
        <f t="array" ref="X101">_xlfn.IFS(K101&gt;sheet2!$D$2,1,K101=sheet2!$D$2,0,K101&lt;sheet2!$D$2,-1)</f>
        <v>0</v>
      </c>
      <c r="Y101" cm="1">
        <f t="array" ref="Y101">_xlfn.IFS(L101&gt;sheet2!$E$2,1,L101=sheet2!$E$2,0,L101&lt;sheet2!$E$2,-1)</f>
        <v>0</v>
      </c>
      <c r="Z101" cm="1">
        <f t="array" ref="Z101">_xlfn.IFS(M101&gt;sheet2!$F$2,1,M101=sheet2!$F$2,0,M101&lt;sheet2!$F$2,-1)</f>
        <v>0</v>
      </c>
      <c r="AA101" cm="1">
        <f t="array" ref="AA101">_xlfn.IFS(N101&gt;sheet2!$G$2,1,N101=sheet2!$G$2,0,N101&lt;sheet2!$G$2,-1)</f>
        <v>0</v>
      </c>
    </row>
    <row r="102" spans="5:27" ht="14.4" hidden="1" x14ac:dyDescent="0.25">
      <c r="E102" s="2">
        <v>14</v>
      </c>
      <c r="F102" s="2" t="s">
        <v>23</v>
      </c>
      <c r="G102" s="2">
        <v>2019</v>
      </c>
      <c r="H102" s="14">
        <v>0.28244092684177041</v>
      </c>
      <c r="I102" s="2">
        <f t="shared" si="18"/>
        <v>5.2447853585222172E-2</v>
      </c>
      <c r="J102">
        <v>0.183</v>
      </c>
      <c r="K102">
        <v>0.13500000000000001</v>
      </c>
      <c r="L102">
        <v>0.18</v>
      </c>
      <c r="M102">
        <v>0.25</v>
      </c>
      <c r="N102">
        <v>0.65</v>
      </c>
      <c r="O102">
        <v>0.91499999999999992</v>
      </c>
      <c r="P102">
        <v>1</v>
      </c>
      <c r="Q102">
        <v>1</v>
      </c>
      <c r="R102">
        <v>1</v>
      </c>
      <c r="S102">
        <v>1</v>
      </c>
      <c r="T102">
        <f t="shared" si="12"/>
        <v>0.95750000000000002</v>
      </c>
      <c r="U102">
        <f t="shared" si="13"/>
        <v>1</v>
      </c>
      <c r="V102">
        <f t="shared" si="14"/>
        <v>1</v>
      </c>
      <c r="W102" cm="1">
        <f t="array" ref="W102">_xlfn.IFS(J102&gt;sheet2!$C$2,1,J102=sheet2!$C$2,0,J102&lt;sheet2!$C$2,-1)</f>
        <v>-1</v>
      </c>
      <c r="X102" cm="1">
        <f t="array" ref="X102">_xlfn.IFS(K102&gt;sheet2!$D$2,1,K102=sheet2!$D$2,0,K102&lt;sheet2!$D$2,-1)</f>
        <v>0</v>
      </c>
      <c r="Y102" cm="1">
        <f t="array" ref="Y102">_xlfn.IFS(L102&gt;sheet2!$E$2,1,L102=sheet2!$E$2,0,L102&lt;sheet2!$E$2,-1)</f>
        <v>0</v>
      </c>
      <c r="Z102" cm="1">
        <f t="array" ref="Z102">_xlfn.IFS(M102&gt;sheet2!$F$2,1,M102=sheet2!$F$2,0,M102&lt;sheet2!$F$2,-1)</f>
        <v>0</v>
      </c>
      <c r="AA102" cm="1">
        <f t="array" ref="AA102">_xlfn.IFS(N102&gt;sheet2!$G$2,1,N102=sheet2!$G$2,0,N102&lt;sheet2!$G$2,-1)</f>
        <v>0</v>
      </c>
    </row>
    <row r="103" spans="5:27" ht="14.4" hidden="1" x14ac:dyDescent="0.25">
      <c r="E103" s="2">
        <v>14</v>
      </c>
      <c r="F103" s="2" t="s">
        <v>23</v>
      </c>
      <c r="G103" s="2">
        <v>2020</v>
      </c>
      <c r="H103" s="14">
        <v>0.31501046454334775</v>
      </c>
      <c r="I103" s="2">
        <f t="shared" si="18"/>
        <v>0.11531451219115813</v>
      </c>
      <c r="J103">
        <v>0.183</v>
      </c>
      <c r="K103">
        <v>0.13500000000000001</v>
      </c>
      <c r="L103">
        <v>0.18</v>
      </c>
      <c r="M103">
        <v>0.25</v>
      </c>
      <c r="N103">
        <v>0.65</v>
      </c>
      <c r="O103">
        <v>0.91499999999999992</v>
      </c>
      <c r="P103">
        <v>1</v>
      </c>
      <c r="Q103">
        <v>1</v>
      </c>
      <c r="R103">
        <v>1</v>
      </c>
      <c r="S103">
        <v>1</v>
      </c>
      <c r="T103">
        <f t="shared" si="12"/>
        <v>0.95750000000000002</v>
      </c>
      <c r="U103">
        <f t="shared" si="13"/>
        <v>1</v>
      </c>
      <c r="V103">
        <f t="shared" si="14"/>
        <v>1</v>
      </c>
      <c r="W103" cm="1">
        <f t="array" ref="W103">_xlfn.IFS(J103&gt;sheet2!$C$2,1,J103=sheet2!$C$2,0,J103&lt;sheet2!$C$2,-1)</f>
        <v>-1</v>
      </c>
      <c r="X103" cm="1">
        <f t="array" ref="X103">_xlfn.IFS(K103&gt;sheet2!$D$2,1,K103=sheet2!$D$2,0,K103&lt;sheet2!$D$2,-1)</f>
        <v>0</v>
      </c>
      <c r="Y103" cm="1">
        <f t="array" ref="Y103">_xlfn.IFS(L103&gt;sheet2!$E$2,1,L103=sheet2!$E$2,0,L103&lt;sheet2!$E$2,-1)</f>
        <v>0</v>
      </c>
      <c r="Z103" cm="1">
        <f t="array" ref="Z103">_xlfn.IFS(M103&gt;sheet2!$F$2,1,M103=sheet2!$F$2,0,M103&lt;sheet2!$F$2,-1)</f>
        <v>0</v>
      </c>
      <c r="AA103" cm="1">
        <f t="array" ref="AA103">_xlfn.IFS(N103&gt;sheet2!$G$2,1,N103=sheet2!$G$2,0,N103&lt;sheet2!$G$2,-1)</f>
        <v>0</v>
      </c>
    </row>
    <row r="104" spans="5:27" ht="14.4" x14ac:dyDescent="0.25">
      <c r="E104" s="2">
        <v>14</v>
      </c>
      <c r="F104" s="2" t="s">
        <v>23</v>
      </c>
      <c r="G104" s="2">
        <v>2021</v>
      </c>
      <c r="H104" s="14">
        <v>0.35334336657899879</v>
      </c>
      <c r="I104" s="2">
        <f t="shared" si="18"/>
        <v>0.12168770993439855</v>
      </c>
      <c r="J104">
        <v>0.17699999999999999</v>
      </c>
      <c r="K104">
        <v>0.13500000000000001</v>
      </c>
      <c r="L104">
        <v>0.18</v>
      </c>
      <c r="M104">
        <v>0.2</v>
      </c>
      <c r="N104">
        <v>0.65</v>
      </c>
      <c r="O104">
        <v>0.8849999999999999</v>
      </c>
      <c r="P104">
        <v>1</v>
      </c>
      <c r="Q104">
        <v>1</v>
      </c>
      <c r="R104">
        <v>0.8</v>
      </c>
      <c r="S104">
        <v>1</v>
      </c>
      <c r="T104">
        <f t="shared" si="12"/>
        <v>0.84250000000000003</v>
      </c>
      <c r="U104">
        <f t="shared" si="13"/>
        <v>1</v>
      </c>
      <c r="V104">
        <f t="shared" si="14"/>
        <v>1</v>
      </c>
      <c r="W104" cm="1">
        <f t="array" ref="W104">_xlfn.IFS(J104&gt;sheet2!$C$2,1,J104=sheet2!$C$2,0,J104&lt;sheet2!$C$2,-1)</f>
        <v>-1</v>
      </c>
      <c r="X104" cm="1">
        <f t="array" ref="X104">_xlfn.IFS(K104&gt;sheet2!$D$2,1,K104=sheet2!$D$2,0,K104&lt;sheet2!$D$2,-1)</f>
        <v>0</v>
      </c>
      <c r="Y104" cm="1">
        <f t="array" ref="Y104">_xlfn.IFS(L104&gt;sheet2!$E$2,1,L104=sheet2!$E$2,0,L104&lt;sheet2!$E$2,-1)</f>
        <v>0</v>
      </c>
      <c r="Z104" cm="1">
        <f t="array" ref="Z104">_xlfn.IFS(M104&gt;sheet2!$F$2,1,M104=sheet2!$F$2,0,M104&lt;sheet2!$F$2,-1)</f>
        <v>-1</v>
      </c>
      <c r="AA104" cm="1">
        <f t="array" ref="AA104">_xlfn.IFS(N104&gt;sheet2!$G$2,1,N104=sheet2!$G$2,0,N104&lt;sheet2!$G$2,-1)</f>
        <v>0</v>
      </c>
    </row>
    <row r="105" spans="5:27" ht="14.4" hidden="1" x14ac:dyDescent="0.25">
      <c r="E105" s="2">
        <v>14</v>
      </c>
      <c r="F105" s="2" t="s">
        <v>23</v>
      </c>
      <c r="G105" s="2">
        <v>2022</v>
      </c>
      <c r="H105" s="14">
        <v>0.371389426444101</v>
      </c>
      <c r="I105" s="2">
        <f t="shared" si="18"/>
        <v>5.1072304087156441E-2</v>
      </c>
      <c r="J105">
        <v>0.18</v>
      </c>
      <c r="K105">
        <v>0.14000000000000001</v>
      </c>
      <c r="L105">
        <v>0.18</v>
      </c>
      <c r="M105">
        <v>0.25</v>
      </c>
      <c r="N105">
        <v>0.65</v>
      </c>
      <c r="O105">
        <v>0.89999999999999991</v>
      </c>
      <c r="P105">
        <v>1.037037037037037</v>
      </c>
      <c r="Q105">
        <v>1</v>
      </c>
      <c r="R105">
        <v>1</v>
      </c>
      <c r="S105">
        <v>1</v>
      </c>
      <c r="T105">
        <f t="shared" si="12"/>
        <v>0.95</v>
      </c>
      <c r="U105">
        <f t="shared" si="13"/>
        <v>1.037037037037037</v>
      </c>
      <c r="V105">
        <f t="shared" si="14"/>
        <v>1</v>
      </c>
      <c r="W105" cm="1">
        <f t="array" ref="W105">_xlfn.IFS(J105&gt;sheet2!$C$2,1,J105=sheet2!$C$2,0,J105&lt;sheet2!$C$2,-1)</f>
        <v>-1</v>
      </c>
      <c r="X105" cm="1">
        <f t="array" ref="X105">_xlfn.IFS(K105&gt;sheet2!$D$2,1,K105=sheet2!$D$2,0,K105&lt;sheet2!$D$2,-1)</f>
        <v>1</v>
      </c>
      <c r="Y105" cm="1">
        <f t="array" ref="Y105">_xlfn.IFS(L105&gt;sheet2!$E$2,1,L105=sheet2!$E$2,0,L105&lt;sheet2!$E$2,-1)</f>
        <v>0</v>
      </c>
      <c r="Z105" cm="1">
        <f t="array" ref="Z105">_xlfn.IFS(M105&gt;sheet2!$F$2,1,M105=sheet2!$F$2,0,M105&lt;sheet2!$F$2,-1)</f>
        <v>0</v>
      </c>
      <c r="AA105" cm="1">
        <f t="array" ref="AA105">_xlfn.IFS(N105&gt;sheet2!$G$2,1,N105=sheet2!$G$2,0,N105&lt;sheet2!$G$2,-1)</f>
        <v>0</v>
      </c>
    </row>
    <row r="106" spans="5:27" ht="14.4" hidden="1" x14ac:dyDescent="0.25">
      <c r="E106" s="2">
        <v>14</v>
      </c>
      <c r="F106" s="6" t="s">
        <v>24</v>
      </c>
      <c r="G106" s="2">
        <v>2023</v>
      </c>
      <c r="H106" s="16"/>
      <c r="I106" s="2"/>
      <c r="J106">
        <v>0.18</v>
      </c>
      <c r="K106">
        <v>0.14000000000000001</v>
      </c>
      <c r="L106">
        <v>0.18</v>
      </c>
      <c r="M106">
        <v>0.25</v>
      </c>
      <c r="N106">
        <v>0.65</v>
      </c>
      <c r="O106">
        <v>0.89999999999999991</v>
      </c>
      <c r="P106">
        <v>1.037037037037037</v>
      </c>
      <c r="Q106">
        <v>1</v>
      </c>
      <c r="R106">
        <v>1</v>
      </c>
      <c r="S106">
        <v>1</v>
      </c>
      <c r="T106">
        <f t="shared" si="12"/>
        <v>0.95</v>
      </c>
      <c r="U106">
        <f t="shared" si="13"/>
        <v>1.037037037037037</v>
      </c>
      <c r="V106">
        <f t="shared" si="14"/>
        <v>1</v>
      </c>
      <c r="W106" cm="1">
        <f t="array" ref="W106">_xlfn.IFS(J106&gt;sheet2!$C$2,1,J106=sheet2!$C$2,0,J106&lt;sheet2!$C$2,-1)</f>
        <v>-1</v>
      </c>
      <c r="X106" cm="1">
        <f t="array" ref="X106">_xlfn.IFS(K106&gt;sheet2!$D$2,1,K106=sheet2!$D$2,0,K106&lt;sheet2!$D$2,-1)</f>
        <v>1</v>
      </c>
      <c r="Y106" cm="1">
        <f t="array" ref="Y106">_xlfn.IFS(L106&gt;sheet2!$E$2,1,L106=sheet2!$E$2,0,L106&lt;sheet2!$E$2,-1)</f>
        <v>0</v>
      </c>
      <c r="Z106" cm="1">
        <f t="array" ref="Z106">_xlfn.IFS(M106&gt;sheet2!$F$2,1,M106=sheet2!$F$2,0,M106&lt;sheet2!$F$2,-1)</f>
        <v>0</v>
      </c>
      <c r="AA106" cm="1">
        <f t="array" ref="AA106">_xlfn.IFS(N106&gt;sheet2!$G$2,1,N106=sheet2!$G$2,0,N106&lt;sheet2!$G$2,-1)</f>
        <v>0</v>
      </c>
    </row>
    <row r="107" spans="5:27" ht="14.4" hidden="1" x14ac:dyDescent="0.25">
      <c r="E107" s="2">
        <v>15</v>
      </c>
      <c r="F107" s="2" t="s">
        <v>25</v>
      </c>
      <c r="G107" s="2">
        <v>2016</v>
      </c>
      <c r="H107" s="14">
        <v>0.40289378584684948</v>
      </c>
      <c r="I107" s="2"/>
      <c r="J107">
        <v>0.13</v>
      </c>
      <c r="K107">
        <v>0.14499999999999999</v>
      </c>
      <c r="L107">
        <v>0.20499999999999999</v>
      </c>
      <c r="M107">
        <v>0.2</v>
      </c>
      <c r="N107">
        <v>0.68</v>
      </c>
      <c r="O107">
        <v>0.65</v>
      </c>
      <c r="P107">
        <v>1.074074074074074</v>
      </c>
      <c r="Q107">
        <v>1.1388888888888888</v>
      </c>
      <c r="R107">
        <v>0.8</v>
      </c>
      <c r="S107">
        <v>1.0461538461538462</v>
      </c>
      <c r="T107">
        <f t="shared" si="12"/>
        <v>0.72500000000000009</v>
      </c>
      <c r="U107">
        <f t="shared" si="13"/>
        <v>1.074074074074074</v>
      </c>
      <c r="V107">
        <f t="shared" si="14"/>
        <v>1.0925213675213676</v>
      </c>
      <c r="W107" cm="1">
        <f t="array" ref="W107">_xlfn.IFS(J107&gt;sheet2!$C$2,1,J107=sheet2!$C$2,0,J107&lt;sheet2!$C$2,-1)</f>
        <v>-1</v>
      </c>
      <c r="X107" cm="1">
        <f t="array" ref="X107">_xlfn.IFS(K107&gt;sheet2!$D$2,1,K107=sheet2!$D$2,0,K107&lt;sheet2!$D$2,-1)</f>
        <v>1</v>
      </c>
      <c r="Y107" cm="1">
        <f t="array" ref="Y107">_xlfn.IFS(L107&gt;sheet2!$E$2,1,L107=sheet2!$E$2,0,L107&lt;sheet2!$E$2,-1)</f>
        <v>1</v>
      </c>
      <c r="Z107" cm="1">
        <f t="array" ref="Z107">_xlfn.IFS(M107&gt;sheet2!$F$2,1,M107=sheet2!$F$2,0,M107&lt;sheet2!$F$2,-1)</f>
        <v>-1</v>
      </c>
      <c r="AA107" cm="1">
        <f t="array" ref="AA107">_xlfn.IFS(N107&gt;sheet2!$G$2,1,N107=sheet2!$G$2,0,N107&lt;sheet2!$G$2,-1)</f>
        <v>1</v>
      </c>
    </row>
    <row r="108" spans="5:27" ht="14.4" hidden="1" x14ac:dyDescent="0.25">
      <c r="E108" s="2">
        <v>15</v>
      </c>
      <c r="F108" s="2" t="s">
        <v>25</v>
      </c>
      <c r="G108" s="2">
        <v>2017</v>
      </c>
      <c r="H108" s="14">
        <v>0.40697965046573431</v>
      </c>
      <c r="I108" s="2">
        <f t="shared" ref="I108:I113" si="19">(H108-H107)/H107</f>
        <v>1.0141294709464621E-2</v>
      </c>
      <c r="J108">
        <v>0.13</v>
      </c>
      <c r="K108">
        <v>0.14499999999999999</v>
      </c>
      <c r="L108">
        <v>0.20499999999999999</v>
      </c>
      <c r="M108">
        <v>0.2</v>
      </c>
      <c r="N108">
        <v>0.68</v>
      </c>
      <c r="O108">
        <v>0.65</v>
      </c>
      <c r="P108">
        <v>1.074074074074074</v>
      </c>
      <c r="Q108">
        <v>1.1388888888888888</v>
      </c>
      <c r="R108">
        <v>0.8</v>
      </c>
      <c r="S108">
        <v>1.0461538461538462</v>
      </c>
      <c r="T108">
        <f t="shared" si="12"/>
        <v>0.72500000000000009</v>
      </c>
      <c r="U108">
        <f t="shared" si="13"/>
        <v>1.074074074074074</v>
      </c>
      <c r="V108">
        <f t="shared" si="14"/>
        <v>1.0925213675213676</v>
      </c>
      <c r="W108" cm="1">
        <f t="array" ref="W108">_xlfn.IFS(J108&gt;sheet2!$C$2,1,J108=sheet2!$C$2,0,J108&lt;sheet2!$C$2,-1)</f>
        <v>-1</v>
      </c>
      <c r="X108" cm="1">
        <f t="array" ref="X108">_xlfn.IFS(K108&gt;sheet2!$D$2,1,K108=sheet2!$D$2,0,K108&lt;sheet2!$D$2,-1)</f>
        <v>1</v>
      </c>
      <c r="Y108" cm="1">
        <f t="array" ref="Y108">_xlfn.IFS(L108&gt;sheet2!$E$2,1,L108=sheet2!$E$2,0,L108&lt;sheet2!$E$2,-1)</f>
        <v>1</v>
      </c>
      <c r="Z108" cm="1">
        <f t="array" ref="Z108">_xlfn.IFS(M108&gt;sheet2!$F$2,1,M108=sheet2!$F$2,0,M108&lt;sheet2!$F$2,-1)</f>
        <v>-1</v>
      </c>
      <c r="AA108" cm="1">
        <f t="array" ref="AA108">_xlfn.IFS(N108&gt;sheet2!$G$2,1,N108=sheet2!$G$2,0,N108&lt;sheet2!$G$2,-1)</f>
        <v>1</v>
      </c>
    </row>
    <row r="109" spans="5:27" ht="14.4" hidden="1" x14ac:dyDescent="0.25">
      <c r="E109" s="2">
        <v>15</v>
      </c>
      <c r="F109" s="2" t="s">
        <v>25</v>
      </c>
      <c r="G109" s="2">
        <v>2018</v>
      </c>
      <c r="H109" s="14">
        <v>0.4692858336951754</v>
      </c>
      <c r="I109" s="2">
        <f t="shared" si="19"/>
        <v>0.15309409981098543</v>
      </c>
      <c r="J109">
        <v>0.13</v>
      </c>
      <c r="K109">
        <v>0.14499999999999999</v>
      </c>
      <c r="L109">
        <v>0.20499999999999999</v>
      </c>
      <c r="M109">
        <v>0.2</v>
      </c>
      <c r="N109">
        <v>0.68</v>
      </c>
      <c r="O109">
        <v>0.65</v>
      </c>
      <c r="P109">
        <v>1.074074074074074</v>
      </c>
      <c r="Q109">
        <v>1.1388888888888888</v>
      </c>
      <c r="R109">
        <v>0.8</v>
      </c>
      <c r="S109">
        <v>1.0461538461538462</v>
      </c>
      <c r="T109">
        <f t="shared" si="12"/>
        <v>0.72500000000000009</v>
      </c>
      <c r="U109">
        <f t="shared" si="13"/>
        <v>1.074074074074074</v>
      </c>
      <c r="V109">
        <f t="shared" si="14"/>
        <v>1.0925213675213676</v>
      </c>
      <c r="W109" cm="1">
        <f t="array" ref="W109">_xlfn.IFS(J109&gt;sheet2!$C$2,1,J109=sheet2!$C$2,0,J109&lt;sheet2!$C$2,-1)</f>
        <v>-1</v>
      </c>
      <c r="X109" cm="1">
        <f t="array" ref="X109">_xlfn.IFS(K109&gt;sheet2!$D$2,1,K109=sheet2!$D$2,0,K109&lt;sheet2!$D$2,-1)</f>
        <v>1</v>
      </c>
      <c r="Y109" cm="1">
        <f t="array" ref="Y109">_xlfn.IFS(L109&gt;sheet2!$E$2,1,L109=sheet2!$E$2,0,L109&lt;sheet2!$E$2,-1)</f>
        <v>1</v>
      </c>
      <c r="Z109" cm="1">
        <f t="array" ref="Z109">_xlfn.IFS(M109&gt;sheet2!$F$2,1,M109=sheet2!$F$2,0,M109&lt;sheet2!$F$2,-1)</f>
        <v>-1</v>
      </c>
      <c r="AA109" cm="1">
        <f t="array" ref="AA109">_xlfn.IFS(N109&gt;sheet2!$G$2,1,N109=sheet2!$G$2,0,N109&lt;sheet2!$G$2,-1)</f>
        <v>1</v>
      </c>
    </row>
    <row r="110" spans="5:27" ht="14.4" hidden="1" x14ac:dyDescent="0.25">
      <c r="E110" s="2">
        <v>15</v>
      </c>
      <c r="F110" s="2" t="s">
        <v>25</v>
      </c>
      <c r="G110" s="2">
        <v>2019</v>
      </c>
      <c r="H110" s="14">
        <v>0.46958980470376394</v>
      </c>
      <c r="I110" s="2">
        <f t="shared" si="19"/>
        <v>6.477310559218311E-4</v>
      </c>
      <c r="J110">
        <v>0.13</v>
      </c>
      <c r="K110">
        <v>0.14499999999999999</v>
      </c>
      <c r="L110">
        <v>0.20499999999999999</v>
      </c>
      <c r="M110">
        <v>0.2</v>
      </c>
      <c r="N110">
        <v>0.68</v>
      </c>
      <c r="O110">
        <v>0.65</v>
      </c>
      <c r="P110">
        <v>1.074074074074074</v>
      </c>
      <c r="Q110">
        <v>1.1388888888888888</v>
      </c>
      <c r="R110">
        <v>0.8</v>
      </c>
      <c r="S110">
        <v>1.0461538461538462</v>
      </c>
      <c r="T110">
        <f t="shared" si="12"/>
        <v>0.72500000000000009</v>
      </c>
      <c r="U110">
        <f t="shared" si="13"/>
        <v>1.074074074074074</v>
      </c>
      <c r="V110">
        <f t="shared" si="14"/>
        <v>1.0925213675213676</v>
      </c>
      <c r="W110" cm="1">
        <f t="array" ref="W110">_xlfn.IFS(J110&gt;sheet2!$C$2,1,J110=sheet2!$C$2,0,J110&lt;sheet2!$C$2,-1)</f>
        <v>-1</v>
      </c>
      <c r="X110" cm="1">
        <f t="array" ref="X110">_xlfn.IFS(K110&gt;sheet2!$D$2,1,K110=sheet2!$D$2,0,K110&lt;sheet2!$D$2,-1)</f>
        <v>1</v>
      </c>
      <c r="Y110" cm="1">
        <f t="array" ref="Y110">_xlfn.IFS(L110&gt;sheet2!$E$2,1,L110=sheet2!$E$2,0,L110&lt;sheet2!$E$2,-1)</f>
        <v>1</v>
      </c>
      <c r="Z110" cm="1">
        <f t="array" ref="Z110">_xlfn.IFS(M110&gt;sheet2!$F$2,1,M110=sheet2!$F$2,0,M110&lt;sheet2!$F$2,-1)</f>
        <v>-1</v>
      </c>
      <c r="AA110" cm="1">
        <f t="array" ref="AA110">_xlfn.IFS(N110&gt;sheet2!$G$2,1,N110=sheet2!$G$2,0,N110&lt;sheet2!$G$2,-1)</f>
        <v>1</v>
      </c>
    </row>
    <row r="111" spans="5:27" ht="14.4" hidden="1" x14ac:dyDescent="0.25">
      <c r="E111" s="2">
        <v>15</v>
      </c>
      <c r="F111" s="2" t="s">
        <v>25</v>
      </c>
      <c r="G111" s="2">
        <v>2020</v>
      </c>
      <c r="H111" s="14">
        <v>0.4714896596961532</v>
      </c>
      <c r="I111" s="2">
        <f t="shared" si="19"/>
        <v>4.0457756394173955E-3</v>
      </c>
      <c r="J111">
        <v>0.13</v>
      </c>
      <c r="K111">
        <v>0.14499999999999999</v>
      </c>
      <c r="L111">
        <v>0.20499999999999999</v>
      </c>
      <c r="M111">
        <v>0.2</v>
      </c>
      <c r="N111">
        <v>0.68</v>
      </c>
      <c r="O111">
        <v>0.65</v>
      </c>
      <c r="P111">
        <v>1.074074074074074</v>
      </c>
      <c r="Q111">
        <v>1.1388888888888888</v>
      </c>
      <c r="R111">
        <v>0.8</v>
      </c>
      <c r="S111">
        <v>1.0461538461538462</v>
      </c>
      <c r="T111">
        <f t="shared" si="12"/>
        <v>0.72500000000000009</v>
      </c>
      <c r="U111">
        <f t="shared" si="13"/>
        <v>1.074074074074074</v>
      </c>
      <c r="V111">
        <f t="shared" si="14"/>
        <v>1.0925213675213676</v>
      </c>
      <c r="W111" cm="1">
        <f t="array" ref="W111">_xlfn.IFS(J111&gt;sheet2!$C$2,1,J111=sheet2!$C$2,0,J111&lt;sheet2!$C$2,-1)</f>
        <v>-1</v>
      </c>
      <c r="X111" cm="1">
        <f t="array" ref="X111">_xlfn.IFS(K111&gt;sheet2!$D$2,1,K111=sheet2!$D$2,0,K111&lt;sheet2!$D$2,-1)</f>
        <v>1</v>
      </c>
      <c r="Y111" cm="1">
        <f t="array" ref="Y111">_xlfn.IFS(L111&gt;sheet2!$E$2,1,L111=sheet2!$E$2,0,L111&lt;sheet2!$E$2,-1)</f>
        <v>1</v>
      </c>
      <c r="Z111" cm="1">
        <f t="array" ref="Z111">_xlfn.IFS(M111&gt;sheet2!$F$2,1,M111=sheet2!$F$2,0,M111&lt;sheet2!$F$2,-1)</f>
        <v>-1</v>
      </c>
      <c r="AA111" cm="1">
        <f t="array" ref="AA111">_xlfn.IFS(N111&gt;sheet2!$G$2,1,N111=sheet2!$G$2,0,N111&lt;sheet2!$G$2,-1)</f>
        <v>1</v>
      </c>
    </row>
    <row r="112" spans="5:27" ht="14.4" x14ac:dyDescent="0.25">
      <c r="E112" s="2">
        <v>15</v>
      </c>
      <c r="F112" s="2" t="s">
        <v>25</v>
      </c>
      <c r="G112" s="2">
        <v>2021</v>
      </c>
      <c r="H112" s="14">
        <v>0.48482680754005048</v>
      </c>
      <c r="I112" s="2">
        <f t="shared" si="19"/>
        <v>2.8287254173277671E-2</v>
      </c>
      <c r="J112">
        <v>0.183</v>
      </c>
      <c r="K112">
        <v>0.13500000000000001</v>
      </c>
      <c r="L112">
        <v>0.18</v>
      </c>
      <c r="M112">
        <v>0.25</v>
      </c>
      <c r="N112">
        <v>0.65</v>
      </c>
      <c r="O112">
        <v>0.91499999999999992</v>
      </c>
      <c r="P112">
        <v>1</v>
      </c>
      <c r="Q112">
        <v>1</v>
      </c>
      <c r="R112">
        <v>1</v>
      </c>
      <c r="S112">
        <v>1</v>
      </c>
      <c r="T112">
        <f t="shared" si="12"/>
        <v>0.95750000000000002</v>
      </c>
      <c r="U112">
        <f t="shared" si="13"/>
        <v>1</v>
      </c>
      <c r="V112">
        <f t="shared" si="14"/>
        <v>1</v>
      </c>
      <c r="W112" cm="1">
        <f t="array" ref="W112">_xlfn.IFS(J112&gt;sheet2!$C$2,1,J112=sheet2!$C$2,0,J112&lt;sheet2!$C$2,-1)</f>
        <v>-1</v>
      </c>
      <c r="X112" cm="1">
        <f t="array" ref="X112">_xlfn.IFS(K112&gt;sheet2!$D$2,1,K112=sheet2!$D$2,0,K112&lt;sheet2!$D$2,-1)</f>
        <v>0</v>
      </c>
      <c r="Y112" cm="1">
        <f t="array" ref="Y112">_xlfn.IFS(L112&gt;sheet2!$E$2,1,L112=sheet2!$E$2,0,L112&lt;sheet2!$E$2,-1)</f>
        <v>0</v>
      </c>
      <c r="Z112" cm="1">
        <f t="array" ref="Z112">_xlfn.IFS(M112&gt;sheet2!$F$2,1,M112=sheet2!$F$2,0,M112&lt;sheet2!$F$2,-1)</f>
        <v>0</v>
      </c>
      <c r="AA112" cm="1">
        <f t="array" ref="AA112">_xlfn.IFS(N112&gt;sheet2!$G$2,1,N112=sheet2!$G$2,0,N112&lt;sheet2!$G$2,-1)</f>
        <v>0</v>
      </c>
    </row>
    <row r="113" spans="5:27" ht="14.4" hidden="1" x14ac:dyDescent="0.25">
      <c r="E113" s="2">
        <v>15</v>
      </c>
      <c r="F113" s="2" t="s">
        <v>25</v>
      </c>
      <c r="G113" s="2">
        <v>2022</v>
      </c>
      <c r="H113" s="14">
        <v>0.47837062941443642</v>
      </c>
      <c r="I113" s="2">
        <f t="shared" si="19"/>
        <v>-1.331646275578671E-2</v>
      </c>
      <c r="J113">
        <v>0.183</v>
      </c>
      <c r="K113">
        <v>0.13500000000000001</v>
      </c>
      <c r="L113">
        <v>0.18</v>
      </c>
      <c r="M113">
        <v>0.25</v>
      </c>
      <c r="N113">
        <v>0.65</v>
      </c>
      <c r="O113">
        <v>0.91499999999999992</v>
      </c>
      <c r="P113">
        <v>1</v>
      </c>
      <c r="Q113">
        <v>1</v>
      </c>
      <c r="R113">
        <v>1</v>
      </c>
      <c r="S113">
        <v>1</v>
      </c>
      <c r="T113">
        <f t="shared" si="12"/>
        <v>0.95750000000000002</v>
      </c>
      <c r="U113">
        <f t="shared" si="13"/>
        <v>1</v>
      </c>
      <c r="V113">
        <f t="shared" si="14"/>
        <v>1</v>
      </c>
      <c r="W113" cm="1">
        <f t="array" ref="W113">_xlfn.IFS(J113&gt;sheet2!$C$2,1,J113=sheet2!$C$2,0,J113&lt;sheet2!$C$2,-1)</f>
        <v>-1</v>
      </c>
      <c r="X113" cm="1">
        <f t="array" ref="X113">_xlfn.IFS(K113&gt;sheet2!$D$2,1,K113=sheet2!$D$2,0,K113&lt;sheet2!$D$2,-1)</f>
        <v>0</v>
      </c>
      <c r="Y113" cm="1">
        <f t="array" ref="Y113">_xlfn.IFS(L113&gt;sheet2!$E$2,1,L113=sheet2!$E$2,0,L113&lt;sheet2!$E$2,-1)</f>
        <v>0</v>
      </c>
      <c r="Z113" cm="1">
        <f t="array" ref="Z113">_xlfn.IFS(M113&gt;sheet2!$F$2,1,M113=sheet2!$F$2,0,M113&lt;sheet2!$F$2,-1)</f>
        <v>0</v>
      </c>
      <c r="AA113" cm="1">
        <f t="array" ref="AA113">_xlfn.IFS(N113&gt;sheet2!$G$2,1,N113=sheet2!$G$2,0,N113&lt;sheet2!$G$2,-1)</f>
        <v>0</v>
      </c>
    </row>
    <row r="114" spans="5:27" ht="14.4" hidden="1" x14ac:dyDescent="0.25">
      <c r="E114" s="2">
        <v>15</v>
      </c>
      <c r="F114" s="6" t="s">
        <v>26</v>
      </c>
      <c r="G114" s="2">
        <v>2023</v>
      </c>
      <c r="H114" s="16"/>
      <c r="I114" s="2"/>
      <c r="J114">
        <v>0.183</v>
      </c>
      <c r="K114">
        <v>0.13500000000000001</v>
      </c>
      <c r="L114">
        <v>0.18</v>
      </c>
      <c r="M114">
        <v>0.25</v>
      </c>
      <c r="N114">
        <v>0.65</v>
      </c>
      <c r="O114">
        <v>0.91499999999999992</v>
      </c>
      <c r="P114">
        <v>1</v>
      </c>
      <c r="Q114">
        <v>1</v>
      </c>
      <c r="R114">
        <v>1</v>
      </c>
      <c r="S114">
        <v>1</v>
      </c>
      <c r="T114">
        <f t="shared" si="12"/>
        <v>0.95750000000000002</v>
      </c>
      <c r="U114">
        <f t="shared" si="13"/>
        <v>1</v>
      </c>
      <c r="V114">
        <f t="shared" si="14"/>
        <v>1</v>
      </c>
      <c r="W114" cm="1">
        <f t="array" ref="W114">_xlfn.IFS(J114&gt;sheet2!$C$2,1,J114=sheet2!$C$2,0,J114&lt;sheet2!$C$2,-1)</f>
        <v>-1</v>
      </c>
      <c r="X114" cm="1">
        <f t="array" ref="X114">_xlfn.IFS(K114&gt;sheet2!$D$2,1,K114=sheet2!$D$2,0,K114&lt;sheet2!$D$2,-1)</f>
        <v>0</v>
      </c>
      <c r="Y114" cm="1">
        <f t="array" ref="Y114">_xlfn.IFS(L114&gt;sheet2!$E$2,1,L114=sheet2!$E$2,0,L114&lt;sheet2!$E$2,-1)</f>
        <v>0</v>
      </c>
      <c r="Z114" cm="1">
        <f t="array" ref="Z114">_xlfn.IFS(M114&gt;sheet2!$F$2,1,M114=sheet2!$F$2,0,M114&lt;sheet2!$F$2,-1)</f>
        <v>0</v>
      </c>
      <c r="AA114" cm="1">
        <f t="array" ref="AA114">_xlfn.IFS(N114&gt;sheet2!$G$2,1,N114=sheet2!$G$2,0,N114&lt;sheet2!$G$2,-1)</f>
        <v>0</v>
      </c>
    </row>
    <row r="115" spans="5:27" ht="14.4" hidden="1" x14ac:dyDescent="0.25">
      <c r="E115" s="2">
        <v>16</v>
      </c>
      <c r="F115" s="2" t="s">
        <v>27</v>
      </c>
      <c r="G115" s="2">
        <v>2016</v>
      </c>
      <c r="H115" s="14">
        <v>0.33138682562449251</v>
      </c>
      <c r="I115" s="2"/>
      <c r="J115">
        <v>0.2</v>
      </c>
      <c r="K115">
        <v>0.13500000000000001</v>
      </c>
      <c r="L115">
        <v>0.18</v>
      </c>
      <c r="M115">
        <v>0.25</v>
      </c>
      <c r="N115">
        <v>0.65</v>
      </c>
      <c r="O115">
        <v>1</v>
      </c>
      <c r="P115">
        <v>1</v>
      </c>
      <c r="Q115">
        <v>1</v>
      </c>
      <c r="R115">
        <v>1</v>
      </c>
      <c r="S115">
        <v>1</v>
      </c>
      <c r="T115">
        <f t="shared" si="12"/>
        <v>1</v>
      </c>
      <c r="U115">
        <f t="shared" si="13"/>
        <v>1</v>
      </c>
      <c r="V115">
        <f t="shared" si="14"/>
        <v>1</v>
      </c>
      <c r="W115" cm="1">
        <f t="array" ref="W115">_xlfn.IFS(J115&gt;sheet2!$C$2,1,J115=sheet2!$C$2,0,J115&lt;sheet2!$C$2,-1)</f>
        <v>0</v>
      </c>
      <c r="X115" cm="1">
        <f t="array" ref="X115">_xlfn.IFS(K115&gt;sheet2!$D$2,1,K115=sheet2!$D$2,0,K115&lt;sheet2!$D$2,-1)</f>
        <v>0</v>
      </c>
      <c r="Y115" cm="1">
        <f t="array" ref="Y115">_xlfn.IFS(L115&gt;sheet2!$E$2,1,L115=sheet2!$E$2,0,L115&lt;sheet2!$E$2,-1)</f>
        <v>0</v>
      </c>
      <c r="Z115" cm="1">
        <f t="array" ref="Z115">_xlfn.IFS(M115&gt;sheet2!$F$2,1,M115=sheet2!$F$2,0,M115&lt;sheet2!$F$2,-1)</f>
        <v>0</v>
      </c>
      <c r="AA115" cm="1">
        <f t="array" ref="AA115">_xlfn.IFS(N115&gt;sheet2!$G$2,1,N115=sheet2!$G$2,0,N115&lt;sheet2!$G$2,-1)</f>
        <v>0</v>
      </c>
    </row>
    <row r="116" spans="5:27" ht="14.4" hidden="1" x14ac:dyDescent="0.25">
      <c r="E116" s="2">
        <v>16</v>
      </c>
      <c r="F116" s="2" t="s">
        <v>27</v>
      </c>
      <c r="G116" s="2">
        <v>2017</v>
      </c>
      <c r="H116" s="14">
        <v>0.34893143827054285</v>
      </c>
      <c r="I116" s="2">
        <f t="shared" ref="I116:I121" si="20">(H116-H115)/H115</f>
        <v>5.2942999809928573E-2</v>
      </c>
      <c r="J116">
        <v>0.2</v>
      </c>
      <c r="K116">
        <v>0.13500000000000001</v>
      </c>
      <c r="L116">
        <v>0.18</v>
      </c>
      <c r="M116">
        <v>0.25</v>
      </c>
      <c r="N116">
        <v>0.65</v>
      </c>
      <c r="O116">
        <v>1</v>
      </c>
      <c r="P116">
        <v>1</v>
      </c>
      <c r="Q116">
        <v>1</v>
      </c>
      <c r="R116">
        <v>1</v>
      </c>
      <c r="S116">
        <v>1</v>
      </c>
      <c r="T116">
        <f t="shared" si="12"/>
        <v>1</v>
      </c>
      <c r="U116">
        <f t="shared" si="13"/>
        <v>1</v>
      </c>
      <c r="V116">
        <f t="shared" si="14"/>
        <v>1</v>
      </c>
      <c r="W116" cm="1">
        <f t="array" ref="W116">_xlfn.IFS(J116&gt;sheet2!$C$2,1,J116=sheet2!$C$2,0,J116&lt;sheet2!$C$2,-1)</f>
        <v>0</v>
      </c>
      <c r="X116" cm="1">
        <f t="array" ref="X116">_xlfn.IFS(K116&gt;sheet2!$D$2,1,K116=sheet2!$D$2,0,K116&lt;sheet2!$D$2,-1)</f>
        <v>0</v>
      </c>
      <c r="Y116" cm="1">
        <f t="array" ref="Y116">_xlfn.IFS(L116&gt;sheet2!$E$2,1,L116=sheet2!$E$2,0,L116&lt;sheet2!$E$2,-1)</f>
        <v>0</v>
      </c>
      <c r="Z116" cm="1">
        <f t="array" ref="Z116">_xlfn.IFS(M116&gt;sheet2!$F$2,1,M116=sheet2!$F$2,0,M116&lt;sheet2!$F$2,-1)</f>
        <v>0</v>
      </c>
      <c r="AA116" cm="1">
        <f t="array" ref="AA116">_xlfn.IFS(N116&gt;sheet2!$G$2,1,N116=sheet2!$G$2,0,N116&lt;sheet2!$G$2,-1)</f>
        <v>0</v>
      </c>
    </row>
    <row r="117" spans="5:27" ht="14.4" hidden="1" x14ac:dyDescent="0.25">
      <c r="E117" s="2">
        <v>16</v>
      </c>
      <c r="F117" s="2" t="s">
        <v>27</v>
      </c>
      <c r="G117" s="2">
        <v>2018</v>
      </c>
      <c r="H117" s="14">
        <v>0.35423819769012882</v>
      </c>
      <c r="I117" s="2">
        <f t="shared" si="20"/>
        <v>1.5208602142267824E-2</v>
      </c>
      <c r="J117">
        <v>0.2</v>
      </c>
      <c r="K117">
        <v>0.13500000000000001</v>
      </c>
      <c r="L117">
        <v>0.18</v>
      </c>
      <c r="M117">
        <v>0.25</v>
      </c>
      <c r="N117">
        <v>0.65</v>
      </c>
      <c r="O117">
        <v>1</v>
      </c>
      <c r="P117">
        <v>1</v>
      </c>
      <c r="Q117">
        <v>1</v>
      </c>
      <c r="R117">
        <v>1</v>
      </c>
      <c r="S117">
        <v>1</v>
      </c>
      <c r="T117">
        <f t="shared" si="12"/>
        <v>1</v>
      </c>
      <c r="U117">
        <f t="shared" si="13"/>
        <v>1</v>
      </c>
      <c r="V117">
        <f t="shared" si="14"/>
        <v>1</v>
      </c>
      <c r="W117" cm="1">
        <f t="array" ref="W117">_xlfn.IFS(J117&gt;sheet2!$C$2,1,J117=sheet2!$C$2,0,J117&lt;sheet2!$C$2,-1)</f>
        <v>0</v>
      </c>
      <c r="X117" cm="1">
        <f t="array" ref="X117">_xlfn.IFS(K117&gt;sheet2!$D$2,1,K117=sheet2!$D$2,0,K117&lt;sheet2!$D$2,-1)</f>
        <v>0</v>
      </c>
      <c r="Y117" cm="1">
        <f t="array" ref="Y117">_xlfn.IFS(L117&gt;sheet2!$E$2,1,L117=sheet2!$E$2,0,L117&lt;sheet2!$E$2,-1)</f>
        <v>0</v>
      </c>
      <c r="Z117" cm="1">
        <f t="array" ref="Z117">_xlfn.IFS(M117&gt;sheet2!$F$2,1,M117=sheet2!$F$2,0,M117&lt;sheet2!$F$2,-1)</f>
        <v>0</v>
      </c>
      <c r="AA117" cm="1">
        <f t="array" ref="AA117">_xlfn.IFS(N117&gt;sheet2!$G$2,1,N117=sheet2!$G$2,0,N117&lt;sheet2!$G$2,-1)</f>
        <v>0</v>
      </c>
    </row>
    <row r="118" spans="5:27" ht="14.4" hidden="1" x14ac:dyDescent="0.25">
      <c r="E118" s="2">
        <v>16</v>
      </c>
      <c r="F118" s="2" t="s">
        <v>27</v>
      </c>
      <c r="G118" s="2">
        <v>2019</v>
      </c>
      <c r="H118" s="14">
        <v>0.36673932848030816</v>
      </c>
      <c r="I118" s="2">
        <f t="shared" si="20"/>
        <v>3.5290182909960346E-2</v>
      </c>
      <c r="J118">
        <v>0.2</v>
      </c>
      <c r="K118">
        <v>0.13500000000000001</v>
      </c>
      <c r="L118">
        <v>0.18</v>
      </c>
      <c r="M118">
        <v>0.25</v>
      </c>
      <c r="N118">
        <v>0.65</v>
      </c>
      <c r="O118">
        <v>1</v>
      </c>
      <c r="P118">
        <v>1</v>
      </c>
      <c r="Q118">
        <v>1</v>
      </c>
      <c r="R118">
        <v>1</v>
      </c>
      <c r="S118">
        <v>1</v>
      </c>
      <c r="T118">
        <f t="shared" si="12"/>
        <v>1</v>
      </c>
      <c r="U118">
        <f t="shared" si="13"/>
        <v>1</v>
      </c>
      <c r="V118">
        <f t="shared" si="14"/>
        <v>1</v>
      </c>
      <c r="W118" cm="1">
        <f t="array" ref="W118">_xlfn.IFS(J118&gt;sheet2!$C$2,1,J118=sheet2!$C$2,0,J118&lt;sheet2!$C$2,-1)</f>
        <v>0</v>
      </c>
      <c r="X118" cm="1">
        <f t="array" ref="X118">_xlfn.IFS(K118&gt;sheet2!$D$2,1,K118=sheet2!$D$2,0,K118&lt;sheet2!$D$2,-1)</f>
        <v>0</v>
      </c>
      <c r="Y118" cm="1">
        <f t="array" ref="Y118">_xlfn.IFS(L118&gt;sheet2!$E$2,1,L118=sheet2!$E$2,0,L118&lt;sheet2!$E$2,-1)</f>
        <v>0</v>
      </c>
      <c r="Z118" cm="1">
        <f t="array" ref="Z118">_xlfn.IFS(M118&gt;sheet2!$F$2,1,M118=sheet2!$F$2,0,M118&lt;sheet2!$F$2,-1)</f>
        <v>0</v>
      </c>
      <c r="AA118" cm="1">
        <f t="array" ref="AA118">_xlfn.IFS(N118&gt;sheet2!$G$2,1,N118=sheet2!$G$2,0,N118&lt;sheet2!$G$2,-1)</f>
        <v>0</v>
      </c>
    </row>
    <row r="119" spans="5:27" ht="14.4" hidden="1" x14ac:dyDescent="0.25">
      <c r="E119" s="2">
        <v>16</v>
      </c>
      <c r="F119" s="2" t="s">
        <v>27</v>
      </c>
      <c r="G119" s="2">
        <v>2020</v>
      </c>
      <c r="H119" s="14">
        <v>0.37158107038406368</v>
      </c>
      <c r="I119" s="2">
        <f t="shared" si="20"/>
        <v>1.320213439834419E-2</v>
      </c>
      <c r="J119">
        <v>0.2</v>
      </c>
      <c r="K119">
        <v>0.13500000000000001</v>
      </c>
      <c r="L119">
        <v>0.18</v>
      </c>
      <c r="M119">
        <v>0.25</v>
      </c>
      <c r="N119">
        <v>0.65</v>
      </c>
      <c r="O119">
        <v>1</v>
      </c>
      <c r="P119">
        <v>1</v>
      </c>
      <c r="Q119">
        <v>1</v>
      </c>
      <c r="R119">
        <v>1</v>
      </c>
      <c r="S119">
        <v>1</v>
      </c>
      <c r="T119">
        <f t="shared" si="12"/>
        <v>1</v>
      </c>
      <c r="U119">
        <f t="shared" si="13"/>
        <v>1</v>
      </c>
      <c r="V119">
        <f t="shared" si="14"/>
        <v>1</v>
      </c>
      <c r="W119" cm="1">
        <f t="array" ref="W119">_xlfn.IFS(J119&gt;sheet2!$C$2,1,J119=sheet2!$C$2,0,J119&lt;sheet2!$C$2,-1)</f>
        <v>0</v>
      </c>
      <c r="X119" cm="1">
        <f t="array" ref="X119">_xlfn.IFS(K119&gt;sheet2!$D$2,1,K119=sheet2!$D$2,0,K119&lt;sheet2!$D$2,-1)</f>
        <v>0</v>
      </c>
      <c r="Y119" cm="1">
        <f t="array" ref="Y119">_xlfn.IFS(L119&gt;sheet2!$E$2,1,L119=sheet2!$E$2,0,L119&lt;sheet2!$E$2,-1)</f>
        <v>0</v>
      </c>
      <c r="Z119" cm="1">
        <f t="array" ref="Z119">_xlfn.IFS(M119&gt;sheet2!$F$2,1,M119=sheet2!$F$2,0,M119&lt;sheet2!$F$2,-1)</f>
        <v>0</v>
      </c>
      <c r="AA119" cm="1">
        <f t="array" ref="AA119">_xlfn.IFS(N119&gt;sheet2!$G$2,1,N119=sheet2!$G$2,0,N119&lt;sheet2!$G$2,-1)</f>
        <v>0</v>
      </c>
    </row>
    <row r="120" spans="5:27" ht="14.4" x14ac:dyDescent="0.25">
      <c r="E120" s="2">
        <v>16</v>
      </c>
      <c r="F120" s="2" t="s">
        <v>27</v>
      </c>
      <c r="G120" s="2">
        <v>2021</v>
      </c>
      <c r="H120" s="14">
        <v>0.39479043449244261</v>
      </c>
      <c r="I120" s="2">
        <f t="shared" si="20"/>
        <v>6.2461104610065002E-2</v>
      </c>
      <c r="J120">
        <v>0.13699999999999998</v>
      </c>
      <c r="K120">
        <v>0.14499999999999999</v>
      </c>
      <c r="L120">
        <v>0.18</v>
      </c>
      <c r="M120">
        <v>0.2</v>
      </c>
      <c r="N120">
        <v>0.65</v>
      </c>
      <c r="O120">
        <v>0.68499999999999983</v>
      </c>
      <c r="P120">
        <v>1.074074074074074</v>
      </c>
      <c r="Q120">
        <v>1</v>
      </c>
      <c r="R120">
        <v>0.8</v>
      </c>
      <c r="S120">
        <v>1</v>
      </c>
      <c r="T120">
        <f t="shared" si="12"/>
        <v>0.74249999999999994</v>
      </c>
      <c r="U120">
        <f t="shared" si="13"/>
        <v>1.074074074074074</v>
      </c>
      <c r="V120">
        <f t="shared" si="14"/>
        <v>1</v>
      </c>
      <c r="W120" cm="1">
        <f t="array" ref="W120">_xlfn.IFS(J120&gt;sheet2!$C$2,1,J120=sheet2!$C$2,0,J120&lt;sheet2!$C$2,-1)</f>
        <v>-1</v>
      </c>
      <c r="X120" cm="1">
        <f t="array" ref="X120">_xlfn.IFS(K120&gt;sheet2!$D$2,1,K120=sheet2!$D$2,0,K120&lt;sheet2!$D$2,-1)</f>
        <v>1</v>
      </c>
      <c r="Y120" cm="1">
        <f t="array" ref="Y120">_xlfn.IFS(L120&gt;sheet2!$E$2,1,L120=sheet2!$E$2,0,L120&lt;sheet2!$E$2,-1)</f>
        <v>0</v>
      </c>
      <c r="Z120" cm="1">
        <f t="array" ref="Z120">_xlfn.IFS(M120&gt;sheet2!$F$2,1,M120=sheet2!$F$2,0,M120&lt;sheet2!$F$2,-1)</f>
        <v>-1</v>
      </c>
      <c r="AA120" cm="1">
        <f t="array" ref="AA120">_xlfn.IFS(N120&gt;sheet2!$G$2,1,N120=sheet2!$G$2,0,N120&lt;sheet2!$G$2,-1)</f>
        <v>0</v>
      </c>
    </row>
    <row r="121" spans="5:27" ht="14.4" hidden="1" x14ac:dyDescent="0.25">
      <c r="E121" s="2">
        <v>16</v>
      </c>
      <c r="F121" s="2" t="s">
        <v>27</v>
      </c>
      <c r="G121" s="2">
        <v>2022</v>
      </c>
      <c r="H121" s="14">
        <v>0.40651461239536896</v>
      </c>
      <c r="I121" s="2">
        <f t="shared" si="20"/>
        <v>2.9697218773801826E-2</v>
      </c>
      <c r="J121">
        <v>0.13699999999999998</v>
      </c>
      <c r="K121">
        <v>0.14499999999999999</v>
      </c>
      <c r="L121">
        <v>0.18</v>
      </c>
      <c r="M121">
        <v>0.2</v>
      </c>
      <c r="N121">
        <v>0.65</v>
      </c>
      <c r="O121">
        <v>0.68499999999999983</v>
      </c>
      <c r="P121">
        <v>1.074074074074074</v>
      </c>
      <c r="Q121">
        <v>1</v>
      </c>
      <c r="R121">
        <v>0.8</v>
      </c>
      <c r="S121">
        <v>1</v>
      </c>
      <c r="T121">
        <f t="shared" si="12"/>
        <v>0.74249999999999994</v>
      </c>
      <c r="U121">
        <f t="shared" si="13"/>
        <v>1.074074074074074</v>
      </c>
      <c r="V121">
        <f t="shared" si="14"/>
        <v>1</v>
      </c>
      <c r="W121" cm="1">
        <f t="array" ref="W121">_xlfn.IFS(J121&gt;sheet2!$C$2,1,J121=sheet2!$C$2,0,J121&lt;sheet2!$C$2,-1)</f>
        <v>-1</v>
      </c>
      <c r="X121" cm="1">
        <f t="array" ref="X121">_xlfn.IFS(K121&gt;sheet2!$D$2,1,K121=sheet2!$D$2,0,K121&lt;sheet2!$D$2,-1)</f>
        <v>1</v>
      </c>
      <c r="Y121" cm="1">
        <f t="array" ref="Y121">_xlfn.IFS(L121&gt;sheet2!$E$2,1,L121=sheet2!$E$2,0,L121&lt;sheet2!$E$2,-1)</f>
        <v>0</v>
      </c>
      <c r="Z121" cm="1">
        <f t="array" ref="Z121">_xlfn.IFS(M121&gt;sheet2!$F$2,1,M121=sheet2!$F$2,0,M121&lt;sheet2!$F$2,-1)</f>
        <v>-1</v>
      </c>
      <c r="AA121" cm="1">
        <f t="array" ref="AA121">_xlfn.IFS(N121&gt;sheet2!$G$2,1,N121=sheet2!$G$2,0,N121&lt;sheet2!$G$2,-1)</f>
        <v>0</v>
      </c>
    </row>
    <row r="122" spans="5:27" ht="14.4" hidden="1" x14ac:dyDescent="0.25">
      <c r="E122" s="2">
        <v>17</v>
      </c>
      <c r="F122" s="2" t="s">
        <v>28</v>
      </c>
      <c r="G122" s="2">
        <v>2016</v>
      </c>
      <c r="H122" s="14">
        <v>0.22241516690060478</v>
      </c>
      <c r="I122" s="2"/>
      <c r="J122">
        <v>0.2</v>
      </c>
      <c r="K122">
        <v>0.13500000000000001</v>
      </c>
      <c r="L122">
        <v>0.18</v>
      </c>
      <c r="M122">
        <v>0.25</v>
      </c>
      <c r="N122">
        <v>0.65</v>
      </c>
      <c r="O122">
        <v>1</v>
      </c>
      <c r="P122">
        <v>1</v>
      </c>
      <c r="Q122">
        <v>1</v>
      </c>
      <c r="R122">
        <v>1</v>
      </c>
      <c r="S122">
        <v>1</v>
      </c>
      <c r="T122">
        <f t="shared" si="12"/>
        <v>1</v>
      </c>
      <c r="U122">
        <f t="shared" si="13"/>
        <v>1</v>
      </c>
      <c r="V122">
        <f t="shared" si="14"/>
        <v>1</v>
      </c>
      <c r="W122" cm="1">
        <f t="array" ref="W122">_xlfn.IFS(J122&gt;sheet2!$C$2,1,J122=sheet2!$C$2,0,J122&lt;sheet2!$C$2,-1)</f>
        <v>0</v>
      </c>
      <c r="X122" cm="1">
        <f t="array" ref="X122">_xlfn.IFS(K122&gt;sheet2!$D$2,1,K122=sheet2!$D$2,0,K122&lt;sheet2!$D$2,-1)</f>
        <v>0</v>
      </c>
      <c r="Y122" cm="1">
        <f t="array" ref="Y122">_xlfn.IFS(L122&gt;sheet2!$E$2,1,L122=sheet2!$E$2,0,L122&lt;sheet2!$E$2,-1)</f>
        <v>0</v>
      </c>
      <c r="Z122" cm="1">
        <f t="array" ref="Z122">_xlfn.IFS(M122&gt;sheet2!$F$2,1,M122=sheet2!$F$2,0,M122&lt;sheet2!$F$2,-1)</f>
        <v>0</v>
      </c>
      <c r="AA122" cm="1">
        <f t="array" ref="AA122">_xlfn.IFS(N122&gt;sheet2!$G$2,1,N122=sheet2!$G$2,0,N122&lt;sheet2!$G$2,-1)</f>
        <v>0</v>
      </c>
    </row>
    <row r="123" spans="5:27" ht="14.4" hidden="1" x14ac:dyDescent="0.25">
      <c r="E123" s="2">
        <v>17</v>
      </c>
      <c r="F123" s="2" t="s">
        <v>28</v>
      </c>
      <c r="G123" s="2">
        <v>2017</v>
      </c>
      <c r="H123" s="14">
        <v>0.23094083775105359</v>
      </c>
      <c r="I123" s="2">
        <f t="shared" ref="I123:I128" si="21">(H123-H122)/H122</f>
        <v>3.8332236822045722E-2</v>
      </c>
      <c r="J123">
        <v>0.2</v>
      </c>
      <c r="K123">
        <v>0.13500000000000001</v>
      </c>
      <c r="L123">
        <v>0.18</v>
      </c>
      <c r="M123">
        <v>0.25</v>
      </c>
      <c r="N123">
        <v>0.65</v>
      </c>
      <c r="O123">
        <v>1</v>
      </c>
      <c r="P123">
        <v>1</v>
      </c>
      <c r="Q123">
        <v>1</v>
      </c>
      <c r="R123">
        <v>1</v>
      </c>
      <c r="S123">
        <v>1</v>
      </c>
      <c r="T123">
        <f t="shared" si="12"/>
        <v>1</v>
      </c>
      <c r="U123">
        <f t="shared" si="13"/>
        <v>1</v>
      </c>
      <c r="V123">
        <f t="shared" si="14"/>
        <v>1</v>
      </c>
      <c r="W123" cm="1">
        <f t="array" ref="W123">_xlfn.IFS(J123&gt;sheet2!$C$2,1,J123=sheet2!$C$2,0,J123&lt;sheet2!$C$2,-1)</f>
        <v>0</v>
      </c>
      <c r="X123" cm="1">
        <f t="array" ref="X123">_xlfn.IFS(K123&gt;sheet2!$D$2,1,K123=sheet2!$D$2,0,K123&lt;sheet2!$D$2,-1)</f>
        <v>0</v>
      </c>
      <c r="Y123" cm="1">
        <f t="array" ref="Y123">_xlfn.IFS(L123&gt;sheet2!$E$2,1,L123=sheet2!$E$2,0,L123&lt;sheet2!$E$2,-1)</f>
        <v>0</v>
      </c>
      <c r="Z123" cm="1">
        <f t="array" ref="Z123">_xlfn.IFS(M123&gt;sheet2!$F$2,1,M123=sheet2!$F$2,0,M123&lt;sheet2!$F$2,-1)</f>
        <v>0</v>
      </c>
      <c r="AA123" cm="1">
        <f t="array" ref="AA123">_xlfn.IFS(N123&gt;sheet2!$G$2,1,N123=sheet2!$G$2,0,N123&lt;sheet2!$G$2,-1)</f>
        <v>0</v>
      </c>
    </row>
    <row r="124" spans="5:27" ht="14.4" hidden="1" x14ac:dyDescent="0.25">
      <c r="E124" s="2">
        <v>17</v>
      </c>
      <c r="F124" s="2" t="s">
        <v>28</v>
      </c>
      <c r="G124" s="2">
        <v>2018</v>
      </c>
      <c r="H124" s="14">
        <v>0.2567813538160692</v>
      </c>
      <c r="I124" s="2">
        <f t="shared" si="21"/>
        <v>0.11189236306863498</v>
      </c>
      <c r="J124">
        <v>0.2</v>
      </c>
      <c r="K124">
        <v>0.13500000000000001</v>
      </c>
      <c r="L124">
        <v>0.18</v>
      </c>
      <c r="M124">
        <v>0.25</v>
      </c>
      <c r="N124">
        <v>0.65</v>
      </c>
      <c r="O124">
        <v>1</v>
      </c>
      <c r="P124">
        <v>1</v>
      </c>
      <c r="Q124">
        <v>1</v>
      </c>
      <c r="R124">
        <v>1</v>
      </c>
      <c r="S124">
        <v>1</v>
      </c>
      <c r="T124">
        <f t="shared" si="12"/>
        <v>1</v>
      </c>
      <c r="U124">
        <f t="shared" si="13"/>
        <v>1</v>
      </c>
      <c r="V124">
        <f t="shared" si="14"/>
        <v>1</v>
      </c>
      <c r="W124" cm="1">
        <f t="array" ref="W124">_xlfn.IFS(J124&gt;sheet2!$C$2,1,J124=sheet2!$C$2,0,J124&lt;sheet2!$C$2,-1)</f>
        <v>0</v>
      </c>
      <c r="X124" cm="1">
        <f t="array" ref="X124">_xlfn.IFS(K124&gt;sheet2!$D$2,1,K124=sheet2!$D$2,0,K124&lt;sheet2!$D$2,-1)</f>
        <v>0</v>
      </c>
      <c r="Y124" cm="1">
        <f t="array" ref="Y124">_xlfn.IFS(L124&gt;sheet2!$E$2,1,L124=sheet2!$E$2,0,L124&lt;sheet2!$E$2,-1)</f>
        <v>0</v>
      </c>
      <c r="Z124" cm="1">
        <f t="array" ref="Z124">_xlfn.IFS(M124&gt;sheet2!$F$2,1,M124=sheet2!$F$2,0,M124&lt;sheet2!$F$2,-1)</f>
        <v>0</v>
      </c>
      <c r="AA124" cm="1">
        <f t="array" ref="AA124">_xlfn.IFS(N124&gt;sheet2!$G$2,1,N124=sheet2!$G$2,0,N124&lt;sheet2!$G$2,-1)</f>
        <v>0</v>
      </c>
    </row>
    <row r="125" spans="5:27" ht="14.4" hidden="1" x14ac:dyDescent="0.25">
      <c r="E125" s="2">
        <v>17</v>
      </c>
      <c r="F125" s="2" t="s">
        <v>28</v>
      </c>
      <c r="G125" s="2">
        <v>2019</v>
      </c>
      <c r="H125" s="14">
        <v>0.26637264964072332</v>
      </c>
      <c r="I125" s="2">
        <f t="shared" si="21"/>
        <v>3.7351994925318079E-2</v>
      </c>
      <c r="J125">
        <v>0.2</v>
      </c>
      <c r="K125">
        <v>0.13500000000000001</v>
      </c>
      <c r="L125">
        <v>0.18</v>
      </c>
      <c r="M125">
        <v>0.25</v>
      </c>
      <c r="N125">
        <v>0.65</v>
      </c>
      <c r="O125">
        <v>1</v>
      </c>
      <c r="P125">
        <v>1</v>
      </c>
      <c r="Q125">
        <v>1</v>
      </c>
      <c r="R125">
        <v>1</v>
      </c>
      <c r="S125">
        <v>1</v>
      </c>
      <c r="T125">
        <f t="shared" si="12"/>
        <v>1</v>
      </c>
      <c r="U125">
        <f t="shared" si="13"/>
        <v>1</v>
      </c>
      <c r="V125">
        <f t="shared" si="14"/>
        <v>1</v>
      </c>
      <c r="W125" cm="1">
        <f t="array" ref="W125">_xlfn.IFS(J125&gt;sheet2!$C$2,1,J125=sheet2!$C$2,0,J125&lt;sheet2!$C$2,-1)</f>
        <v>0</v>
      </c>
      <c r="X125" cm="1">
        <f t="array" ref="X125">_xlfn.IFS(K125&gt;sheet2!$D$2,1,K125=sheet2!$D$2,0,K125&lt;sheet2!$D$2,-1)</f>
        <v>0</v>
      </c>
      <c r="Y125" cm="1">
        <f t="array" ref="Y125">_xlfn.IFS(L125&gt;sheet2!$E$2,1,L125=sheet2!$E$2,0,L125&lt;sheet2!$E$2,-1)</f>
        <v>0</v>
      </c>
      <c r="Z125" cm="1">
        <f t="array" ref="Z125">_xlfn.IFS(M125&gt;sheet2!$F$2,1,M125=sheet2!$F$2,0,M125&lt;sheet2!$F$2,-1)</f>
        <v>0</v>
      </c>
      <c r="AA125" cm="1">
        <f t="array" ref="AA125">_xlfn.IFS(N125&gt;sheet2!$G$2,1,N125=sheet2!$G$2,0,N125&lt;sheet2!$G$2,-1)</f>
        <v>0</v>
      </c>
    </row>
    <row r="126" spans="5:27" ht="14.4" hidden="1" x14ac:dyDescent="0.25">
      <c r="E126" s="2">
        <v>17</v>
      </c>
      <c r="F126" s="2" t="s">
        <v>28</v>
      </c>
      <c r="G126" s="2">
        <v>2020</v>
      </c>
      <c r="H126" s="14">
        <v>0.27076394847982033</v>
      </c>
      <c r="I126" s="2">
        <f t="shared" si="21"/>
        <v>1.6485547014754985E-2</v>
      </c>
      <c r="J126">
        <v>0.2</v>
      </c>
      <c r="K126">
        <v>0.13500000000000001</v>
      </c>
      <c r="L126">
        <v>0.18</v>
      </c>
      <c r="M126">
        <v>0.25</v>
      </c>
      <c r="N126">
        <v>0.65</v>
      </c>
      <c r="O126">
        <v>1</v>
      </c>
      <c r="P126">
        <v>1</v>
      </c>
      <c r="Q126">
        <v>1</v>
      </c>
      <c r="R126">
        <v>1</v>
      </c>
      <c r="S126">
        <v>1</v>
      </c>
      <c r="T126">
        <f t="shared" si="12"/>
        <v>1</v>
      </c>
      <c r="U126">
        <f t="shared" si="13"/>
        <v>1</v>
      </c>
      <c r="V126">
        <f t="shared" si="14"/>
        <v>1</v>
      </c>
      <c r="W126" cm="1">
        <f t="array" ref="W126">_xlfn.IFS(J126&gt;sheet2!$C$2,1,J126=sheet2!$C$2,0,J126&lt;sheet2!$C$2,-1)</f>
        <v>0</v>
      </c>
      <c r="X126" cm="1">
        <f t="array" ref="X126">_xlfn.IFS(K126&gt;sheet2!$D$2,1,K126=sheet2!$D$2,0,K126&lt;sheet2!$D$2,-1)</f>
        <v>0</v>
      </c>
      <c r="Y126" cm="1">
        <f t="array" ref="Y126">_xlfn.IFS(L126&gt;sheet2!$E$2,1,L126=sheet2!$E$2,0,L126&lt;sheet2!$E$2,-1)</f>
        <v>0</v>
      </c>
      <c r="Z126" cm="1">
        <f t="array" ref="Z126">_xlfn.IFS(M126&gt;sheet2!$F$2,1,M126=sheet2!$F$2,0,M126&lt;sheet2!$F$2,-1)</f>
        <v>0</v>
      </c>
      <c r="AA126" cm="1">
        <f t="array" ref="AA126">_xlfn.IFS(N126&gt;sheet2!$G$2,1,N126=sheet2!$G$2,0,N126&lt;sheet2!$G$2,-1)</f>
        <v>0</v>
      </c>
    </row>
    <row r="127" spans="5:27" ht="14.4" x14ac:dyDescent="0.25">
      <c r="E127" s="2">
        <v>17</v>
      </c>
      <c r="F127" s="2" t="s">
        <v>28</v>
      </c>
      <c r="G127" s="2">
        <v>2021</v>
      </c>
      <c r="H127" s="14">
        <v>0.27757423954398414</v>
      </c>
      <c r="I127" s="2">
        <f t="shared" si="21"/>
        <v>2.5152133813971807E-2</v>
      </c>
      <c r="J127">
        <v>0.18</v>
      </c>
      <c r="K127">
        <v>0.13500000000000001</v>
      </c>
      <c r="L127">
        <v>0.18</v>
      </c>
      <c r="M127">
        <v>0.25</v>
      </c>
      <c r="N127">
        <v>0.65</v>
      </c>
      <c r="O127">
        <v>0.89999999999999991</v>
      </c>
      <c r="P127">
        <v>1</v>
      </c>
      <c r="Q127">
        <v>1</v>
      </c>
      <c r="R127">
        <v>1</v>
      </c>
      <c r="S127">
        <v>1</v>
      </c>
      <c r="T127">
        <f t="shared" si="12"/>
        <v>0.95</v>
      </c>
      <c r="U127">
        <f t="shared" si="13"/>
        <v>1</v>
      </c>
      <c r="V127">
        <f t="shared" si="14"/>
        <v>1</v>
      </c>
      <c r="W127" cm="1">
        <f t="array" ref="W127">_xlfn.IFS(J127&gt;sheet2!$C$2,1,J127=sheet2!$C$2,0,J127&lt;sheet2!$C$2,-1)</f>
        <v>-1</v>
      </c>
      <c r="X127" cm="1">
        <f t="array" ref="X127">_xlfn.IFS(K127&gt;sheet2!$D$2,1,K127=sheet2!$D$2,0,K127&lt;sheet2!$D$2,-1)</f>
        <v>0</v>
      </c>
      <c r="Y127" cm="1">
        <f t="array" ref="Y127">_xlfn.IFS(L127&gt;sheet2!$E$2,1,L127=sheet2!$E$2,0,L127&lt;sheet2!$E$2,-1)</f>
        <v>0</v>
      </c>
      <c r="Z127" cm="1">
        <f t="array" ref="Z127">_xlfn.IFS(M127&gt;sheet2!$F$2,1,M127=sheet2!$F$2,0,M127&lt;sheet2!$F$2,-1)</f>
        <v>0</v>
      </c>
      <c r="AA127" cm="1">
        <f t="array" ref="AA127">_xlfn.IFS(N127&gt;sheet2!$G$2,1,N127=sheet2!$G$2,0,N127&lt;sheet2!$G$2,-1)</f>
        <v>0</v>
      </c>
    </row>
    <row r="128" spans="5:27" ht="14.4" hidden="1" x14ac:dyDescent="0.25">
      <c r="E128" s="2">
        <v>17</v>
      </c>
      <c r="F128" s="2" t="s">
        <v>28</v>
      </c>
      <c r="G128" s="2">
        <v>2022</v>
      </c>
      <c r="H128" s="14">
        <v>0.2930218361679805</v>
      </c>
      <c r="I128" s="2">
        <f t="shared" si="21"/>
        <v>5.5652126254131559E-2</v>
      </c>
      <c r="J128">
        <v>0.18</v>
      </c>
      <c r="K128">
        <v>0.13500000000000001</v>
      </c>
      <c r="L128">
        <v>0.18</v>
      </c>
      <c r="M128">
        <v>0.25</v>
      </c>
      <c r="N128">
        <v>0.65</v>
      </c>
      <c r="O128">
        <v>0.89999999999999991</v>
      </c>
      <c r="P128">
        <v>1</v>
      </c>
      <c r="Q128">
        <v>1</v>
      </c>
      <c r="R128">
        <v>1</v>
      </c>
      <c r="S128">
        <v>1</v>
      </c>
      <c r="T128">
        <f t="shared" si="12"/>
        <v>0.95</v>
      </c>
      <c r="U128">
        <f t="shared" si="13"/>
        <v>1</v>
      </c>
      <c r="V128">
        <f t="shared" si="14"/>
        <v>1</v>
      </c>
      <c r="W128" cm="1">
        <f t="array" ref="W128">_xlfn.IFS(J128&gt;sheet2!$C$2,1,J128=sheet2!$C$2,0,J128&lt;sheet2!$C$2,-1)</f>
        <v>-1</v>
      </c>
      <c r="X128" cm="1">
        <f t="array" ref="X128">_xlfn.IFS(K128&gt;sheet2!$D$2,1,K128=sheet2!$D$2,0,K128&lt;sheet2!$D$2,-1)</f>
        <v>0</v>
      </c>
      <c r="Y128" cm="1">
        <f t="array" ref="Y128">_xlfn.IFS(L128&gt;sheet2!$E$2,1,L128=sheet2!$E$2,0,L128&lt;sheet2!$E$2,-1)</f>
        <v>0</v>
      </c>
      <c r="Z128" cm="1">
        <f t="array" ref="Z128">_xlfn.IFS(M128&gt;sheet2!$F$2,1,M128=sheet2!$F$2,0,M128&lt;sheet2!$F$2,-1)</f>
        <v>0</v>
      </c>
      <c r="AA128" cm="1">
        <f t="array" ref="AA128">_xlfn.IFS(N128&gt;sheet2!$G$2,1,N128=sheet2!$G$2,0,N128&lt;sheet2!$G$2,-1)</f>
        <v>0</v>
      </c>
    </row>
    <row r="129" spans="5:27" ht="14.4" hidden="1" x14ac:dyDescent="0.25">
      <c r="E129" s="2">
        <v>18</v>
      </c>
      <c r="F129" s="2" t="s">
        <v>29</v>
      </c>
      <c r="G129" s="2">
        <v>2016</v>
      </c>
      <c r="H129" s="14">
        <v>0.23809593664866158</v>
      </c>
      <c r="I129" s="2"/>
      <c r="J129">
        <v>0.22</v>
      </c>
      <c r="K129">
        <v>0.13500000000000001</v>
      </c>
      <c r="L129">
        <v>0.18</v>
      </c>
      <c r="M129">
        <v>0.25</v>
      </c>
      <c r="N129">
        <v>0.65</v>
      </c>
      <c r="O129">
        <v>1.0999999999999999</v>
      </c>
      <c r="P129">
        <v>1</v>
      </c>
      <c r="Q129">
        <v>1</v>
      </c>
      <c r="R129">
        <v>1</v>
      </c>
      <c r="S129">
        <v>1</v>
      </c>
      <c r="T129">
        <f t="shared" si="12"/>
        <v>1.0499999999999998</v>
      </c>
      <c r="U129">
        <f t="shared" si="13"/>
        <v>1</v>
      </c>
      <c r="V129">
        <f t="shared" si="14"/>
        <v>1</v>
      </c>
      <c r="W129" cm="1">
        <f t="array" ref="W129">_xlfn.IFS(J129&gt;sheet2!$C$2,1,J129=sheet2!$C$2,0,J129&lt;sheet2!$C$2,-1)</f>
        <v>1</v>
      </c>
      <c r="X129" cm="1">
        <f t="array" ref="X129">_xlfn.IFS(K129&gt;sheet2!$D$2,1,K129=sheet2!$D$2,0,K129&lt;sheet2!$D$2,-1)</f>
        <v>0</v>
      </c>
      <c r="Y129" cm="1">
        <f t="array" ref="Y129">_xlfn.IFS(L129&gt;sheet2!$E$2,1,L129=sheet2!$E$2,0,L129&lt;sheet2!$E$2,-1)</f>
        <v>0</v>
      </c>
      <c r="Z129" cm="1">
        <f t="array" ref="Z129">_xlfn.IFS(M129&gt;sheet2!$F$2,1,M129=sheet2!$F$2,0,M129&lt;sheet2!$F$2,-1)</f>
        <v>0</v>
      </c>
      <c r="AA129" cm="1">
        <f t="array" ref="AA129">_xlfn.IFS(N129&gt;sheet2!$G$2,1,N129=sheet2!$G$2,0,N129&lt;sheet2!$G$2,-1)</f>
        <v>0</v>
      </c>
    </row>
    <row r="130" spans="5:27" ht="14.4" hidden="1" x14ac:dyDescent="0.25">
      <c r="E130" s="2">
        <v>18</v>
      </c>
      <c r="F130" s="2" t="s">
        <v>29</v>
      </c>
      <c r="G130" s="2">
        <v>2017</v>
      </c>
      <c r="H130" s="14">
        <v>0.21590027024159655</v>
      </c>
      <c r="I130" s="2">
        <f t="shared" ref="I130:I135" si="22">(H130-H129)/H129</f>
        <v>-9.3221525404767094E-2</v>
      </c>
      <c r="J130">
        <v>0.22</v>
      </c>
      <c r="K130">
        <v>0.13500000000000001</v>
      </c>
      <c r="L130">
        <v>0.18</v>
      </c>
      <c r="M130">
        <v>0.25</v>
      </c>
      <c r="N130">
        <v>0.65</v>
      </c>
      <c r="O130">
        <v>1.0999999999999999</v>
      </c>
      <c r="P130">
        <v>1</v>
      </c>
      <c r="Q130">
        <v>1</v>
      </c>
      <c r="R130">
        <v>1</v>
      </c>
      <c r="S130">
        <v>1</v>
      </c>
      <c r="T130">
        <f t="shared" si="12"/>
        <v>1.0499999999999998</v>
      </c>
      <c r="U130">
        <f t="shared" si="13"/>
        <v>1</v>
      </c>
      <c r="V130">
        <f t="shared" si="14"/>
        <v>1</v>
      </c>
      <c r="W130" cm="1">
        <f t="array" ref="W130">_xlfn.IFS(J130&gt;sheet2!$C$2,1,J130=sheet2!$C$2,0,J130&lt;sheet2!$C$2,-1)</f>
        <v>1</v>
      </c>
      <c r="X130" cm="1">
        <f t="array" ref="X130">_xlfn.IFS(K130&gt;sheet2!$D$2,1,K130=sheet2!$D$2,0,K130&lt;sheet2!$D$2,-1)</f>
        <v>0</v>
      </c>
      <c r="Y130" cm="1">
        <f t="array" ref="Y130">_xlfn.IFS(L130&gt;sheet2!$E$2,1,L130=sheet2!$E$2,0,L130&lt;sheet2!$E$2,-1)</f>
        <v>0</v>
      </c>
      <c r="Z130" cm="1">
        <f t="array" ref="Z130">_xlfn.IFS(M130&gt;sheet2!$F$2,1,M130=sheet2!$F$2,0,M130&lt;sheet2!$F$2,-1)</f>
        <v>0</v>
      </c>
      <c r="AA130" cm="1">
        <f t="array" ref="AA130">_xlfn.IFS(N130&gt;sheet2!$G$2,1,N130=sheet2!$G$2,0,N130&lt;sheet2!$G$2,-1)</f>
        <v>0</v>
      </c>
    </row>
    <row r="131" spans="5:27" ht="14.4" hidden="1" x14ac:dyDescent="0.25">
      <c r="E131" s="2">
        <v>18</v>
      </c>
      <c r="F131" s="2" t="s">
        <v>29</v>
      </c>
      <c r="G131" s="2">
        <v>2018</v>
      </c>
      <c r="H131" s="14">
        <v>0.25256512334268472</v>
      </c>
      <c r="I131" s="2">
        <f t="shared" si="22"/>
        <v>0.16982309961937281</v>
      </c>
      <c r="J131">
        <v>0.22</v>
      </c>
      <c r="K131">
        <v>0.13500000000000001</v>
      </c>
      <c r="L131">
        <v>0.18</v>
      </c>
      <c r="M131">
        <v>0.25</v>
      </c>
      <c r="N131">
        <v>0.65</v>
      </c>
      <c r="O131">
        <v>1.0999999999999999</v>
      </c>
      <c r="P131">
        <v>1</v>
      </c>
      <c r="Q131">
        <v>1</v>
      </c>
      <c r="R131">
        <v>1</v>
      </c>
      <c r="S131">
        <v>1</v>
      </c>
      <c r="T131">
        <f t="shared" ref="T131:T194" si="23">AVERAGE(O131,R131)</f>
        <v>1.0499999999999998</v>
      </c>
      <c r="U131">
        <f t="shared" ref="U131:U194" si="24">AVERAGE(P131)</f>
        <v>1</v>
      </c>
      <c r="V131">
        <f t="shared" ref="V131:V194" si="25">AVERAGE(Q131,S131)</f>
        <v>1</v>
      </c>
      <c r="W131" cm="1">
        <f t="array" ref="W131">_xlfn.IFS(J131&gt;sheet2!$C$2,1,J131=sheet2!$C$2,0,J131&lt;sheet2!$C$2,-1)</f>
        <v>1</v>
      </c>
      <c r="X131" cm="1">
        <f t="array" ref="X131">_xlfn.IFS(K131&gt;sheet2!$D$2,1,K131=sheet2!$D$2,0,K131&lt;sheet2!$D$2,-1)</f>
        <v>0</v>
      </c>
      <c r="Y131" cm="1">
        <f t="array" ref="Y131">_xlfn.IFS(L131&gt;sheet2!$E$2,1,L131=sheet2!$E$2,0,L131&lt;sheet2!$E$2,-1)</f>
        <v>0</v>
      </c>
      <c r="Z131" cm="1">
        <f t="array" ref="Z131">_xlfn.IFS(M131&gt;sheet2!$F$2,1,M131=sheet2!$F$2,0,M131&lt;sheet2!$F$2,-1)</f>
        <v>0</v>
      </c>
      <c r="AA131" cm="1">
        <f t="array" ref="AA131">_xlfn.IFS(N131&gt;sheet2!$G$2,1,N131=sheet2!$G$2,0,N131&lt;sheet2!$G$2,-1)</f>
        <v>0</v>
      </c>
    </row>
    <row r="132" spans="5:27" ht="14.4" hidden="1" x14ac:dyDescent="0.25">
      <c r="E132" s="2">
        <v>18</v>
      </c>
      <c r="F132" s="2" t="s">
        <v>29</v>
      </c>
      <c r="G132" s="2">
        <v>2019</v>
      </c>
      <c r="H132" s="14">
        <v>0.26164590790714165</v>
      </c>
      <c r="I132" s="2">
        <f t="shared" si="22"/>
        <v>3.5954230118051447E-2</v>
      </c>
      <c r="J132">
        <v>0.22</v>
      </c>
      <c r="K132">
        <v>0.13500000000000001</v>
      </c>
      <c r="L132">
        <v>0.18</v>
      </c>
      <c r="M132">
        <v>0.25</v>
      </c>
      <c r="N132">
        <v>0.65</v>
      </c>
      <c r="O132">
        <v>1.0999999999999999</v>
      </c>
      <c r="P132">
        <v>1</v>
      </c>
      <c r="Q132">
        <v>1</v>
      </c>
      <c r="R132">
        <v>1</v>
      </c>
      <c r="S132">
        <v>1</v>
      </c>
      <c r="T132">
        <f t="shared" si="23"/>
        <v>1.0499999999999998</v>
      </c>
      <c r="U132">
        <f t="shared" si="24"/>
        <v>1</v>
      </c>
      <c r="V132">
        <f t="shared" si="25"/>
        <v>1</v>
      </c>
      <c r="W132" cm="1">
        <f t="array" ref="W132">_xlfn.IFS(J132&gt;sheet2!$C$2,1,J132=sheet2!$C$2,0,J132&lt;sheet2!$C$2,-1)</f>
        <v>1</v>
      </c>
      <c r="X132" cm="1">
        <f t="array" ref="X132">_xlfn.IFS(K132&gt;sheet2!$D$2,1,K132=sheet2!$D$2,0,K132&lt;sheet2!$D$2,-1)</f>
        <v>0</v>
      </c>
      <c r="Y132" cm="1">
        <f t="array" ref="Y132">_xlfn.IFS(L132&gt;sheet2!$E$2,1,L132=sheet2!$E$2,0,L132&lt;sheet2!$E$2,-1)</f>
        <v>0</v>
      </c>
      <c r="Z132" cm="1">
        <f t="array" ref="Z132">_xlfn.IFS(M132&gt;sheet2!$F$2,1,M132=sheet2!$F$2,0,M132&lt;sheet2!$F$2,-1)</f>
        <v>0</v>
      </c>
      <c r="AA132" cm="1">
        <f t="array" ref="AA132">_xlfn.IFS(N132&gt;sheet2!$G$2,1,N132=sheet2!$G$2,0,N132&lt;sheet2!$G$2,-1)</f>
        <v>0</v>
      </c>
    </row>
    <row r="133" spans="5:27" ht="14.4" hidden="1" x14ac:dyDescent="0.25">
      <c r="E133" s="2">
        <v>18</v>
      </c>
      <c r="F133" s="2" t="s">
        <v>29</v>
      </c>
      <c r="G133" s="2">
        <v>2020</v>
      </c>
      <c r="H133" s="14">
        <v>0.27512911909879789</v>
      </c>
      <c r="I133" s="2">
        <f t="shared" si="22"/>
        <v>5.1532283839277333E-2</v>
      </c>
      <c r="J133">
        <v>0.22</v>
      </c>
      <c r="K133">
        <v>0.13500000000000001</v>
      </c>
      <c r="L133">
        <v>0.18</v>
      </c>
      <c r="M133">
        <v>0.25</v>
      </c>
      <c r="N133">
        <v>0.65</v>
      </c>
      <c r="O133">
        <v>1.0999999999999999</v>
      </c>
      <c r="P133">
        <v>1</v>
      </c>
      <c r="Q133">
        <v>1</v>
      </c>
      <c r="R133">
        <v>1</v>
      </c>
      <c r="S133">
        <v>1</v>
      </c>
      <c r="T133">
        <f t="shared" si="23"/>
        <v>1.0499999999999998</v>
      </c>
      <c r="U133">
        <f t="shared" si="24"/>
        <v>1</v>
      </c>
      <c r="V133">
        <f t="shared" si="25"/>
        <v>1</v>
      </c>
      <c r="W133" cm="1">
        <f t="array" ref="W133">_xlfn.IFS(J133&gt;sheet2!$C$2,1,J133=sheet2!$C$2,0,J133&lt;sheet2!$C$2,-1)</f>
        <v>1</v>
      </c>
      <c r="X133" cm="1">
        <f t="array" ref="X133">_xlfn.IFS(K133&gt;sheet2!$D$2,1,K133=sheet2!$D$2,0,K133&lt;sheet2!$D$2,-1)</f>
        <v>0</v>
      </c>
      <c r="Y133" cm="1">
        <f t="array" ref="Y133">_xlfn.IFS(L133&gt;sheet2!$E$2,1,L133=sheet2!$E$2,0,L133&lt;sheet2!$E$2,-1)</f>
        <v>0</v>
      </c>
      <c r="Z133" cm="1">
        <f t="array" ref="Z133">_xlfn.IFS(M133&gt;sheet2!$F$2,1,M133=sheet2!$F$2,0,M133&lt;sheet2!$F$2,-1)</f>
        <v>0</v>
      </c>
      <c r="AA133" cm="1">
        <f t="array" ref="AA133">_xlfn.IFS(N133&gt;sheet2!$G$2,1,N133=sheet2!$G$2,0,N133&lt;sheet2!$G$2,-1)</f>
        <v>0</v>
      </c>
    </row>
    <row r="134" spans="5:27" ht="14.4" x14ac:dyDescent="0.25">
      <c r="E134" s="2">
        <v>18</v>
      </c>
      <c r="F134" s="2" t="s">
        <v>29</v>
      </c>
      <c r="G134" s="2">
        <v>2021</v>
      </c>
      <c r="H134" s="14">
        <v>0.28325302512719408</v>
      </c>
      <c r="I134" s="2">
        <f t="shared" si="22"/>
        <v>2.9527612544272067E-2</v>
      </c>
      <c r="J134">
        <v>0.2</v>
      </c>
      <c r="K134">
        <v>0.13500000000000001</v>
      </c>
      <c r="L134">
        <v>0.18</v>
      </c>
      <c r="M134">
        <v>0.3</v>
      </c>
      <c r="N134">
        <v>0.65</v>
      </c>
      <c r="O134">
        <v>1</v>
      </c>
      <c r="P134">
        <v>1</v>
      </c>
      <c r="Q134">
        <v>1</v>
      </c>
      <c r="R134">
        <v>1.2</v>
      </c>
      <c r="S134">
        <v>1</v>
      </c>
      <c r="T134">
        <f t="shared" si="23"/>
        <v>1.1000000000000001</v>
      </c>
      <c r="U134">
        <f t="shared" si="24"/>
        <v>1</v>
      </c>
      <c r="V134">
        <f t="shared" si="25"/>
        <v>1</v>
      </c>
      <c r="W134" cm="1">
        <f t="array" ref="W134">_xlfn.IFS(J134&gt;sheet2!$C$2,1,J134=sheet2!$C$2,0,J134&lt;sheet2!$C$2,-1)</f>
        <v>0</v>
      </c>
      <c r="X134" cm="1">
        <f t="array" ref="X134">_xlfn.IFS(K134&gt;sheet2!$D$2,1,K134=sheet2!$D$2,0,K134&lt;sheet2!$D$2,-1)</f>
        <v>0</v>
      </c>
      <c r="Y134" cm="1">
        <f t="array" ref="Y134">_xlfn.IFS(L134&gt;sheet2!$E$2,1,L134=sheet2!$E$2,0,L134&lt;sheet2!$E$2,-1)</f>
        <v>0</v>
      </c>
      <c r="Z134" cm="1">
        <f t="array" ref="Z134">_xlfn.IFS(M134&gt;sheet2!$F$2,1,M134=sheet2!$F$2,0,M134&lt;sheet2!$F$2,-1)</f>
        <v>1</v>
      </c>
      <c r="AA134" cm="1">
        <f t="array" ref="AA134">_xlfn.IFS(N134&gt;sheet2!$G$2,1,N134=sheet2!$G$2,0,N134&lt;sheet2!$G$2,-1)</f>
        <v>0</v>
      </c>
    </row>
    <row r="135" spans="5:27" ht="14.4" hidden="1" x14ac:dyDescent="0.25">
      <c r="E135" s="2">
        <v>18</v>
      </c>
      <c r="F135" s="6" t="s">
        <v>30</v>
      </c>
      <c r="G135" s="2">
        <v>2022</v>
      </c>
      <c r="H135" s="14">
        <v>0.28604079587366266</v>
      </c>
      <c r="I135" s="2">
        <f t="shared" si="22"/>
        <v>9.8419804879991482E-3</v>
      </c>
      <c r="J135">
        <v>0.2</v>
      </c>
      <c r="K135">
        <v>0.13500000000000001</v>
      </c>
      <c r="L135">
        <v>0.18</v>
      </c>
      <c r="M135">
        <v>0.3</v>
      </c>
      <c r="N135">
        <v>0.65</v>
      </c>
      <c r="O135">
        <v>1</v>
      </c>
      <c r="P135">
        <v>1</v>
      </c>
      <c r="Q135">
        <v>1</v>
      </c>
      <c r="R135">
        <v>1.2</v>
      </c>
      <c r="S135">
        <v>1</v>
      </c>
      <c r="T135">
        <f t="shared" si="23"/>
        <v>1.1000000000000001</v>
      </c>
      <c r="U135">
        <f t="shared" si="24"/>
        <v>1</v>
      </c>
      <c r="V135">
        <f t="shared" si="25"/>
        <v>1</v>
      </c>
      <c r="W135" cm="1">
        <f t="array" ref="W135">_xlfn.IFS(J135&gt;sheet2!$C$2,1,J135=sheet2!$C$2,0,J135&lt;sheet2!$C$2,-1)</f>
        <v>0</v>
      </c>
      <c r="X135" cm="1">
        <f t="array" ref="X135">_xlfn.IFS(K135&gt;sheet2!$D$2,1,K135=sheet2!$D$2,0,K135&lt;sheet2!$D$2,-1)</f>
        <v>0</v>
      </c>
      <c r="Y135" cm="1">
        <f t="array" ref="Y135">_xlfn.IFS(L135&gt;sheet2!$E$2,1,L135=sheet2!$E$2,0,L135&lt;sheet2!$E$2,-1)</f>
        <v>0</v>
      </c>
      <c r="Z135" cm="1">
        <f t="array" ref="Z135">_xlfn.IFS(M135&gt;sheet2!$F$2,1,M135=sheet2!$F$2,0,M135&lt;sheet2!$F$2,-1)</f>
        <v>1</v>
      </c>
      <c r="AA135" cm="1">
        <f t="array" ref="AA135">_xlfn.IFS(N135&gt;sheet2!$G$2,1,N135=sheet2!$G$2,0,N135&lt;sheet2!$G$2,-1)</f>
        <v>0</v>
      </c>
    </row>
    <row r="136" spans="5:27" ht="14.4" hidden="1" x14ac:dyDescent="0.25">
      <c r="E136" s="2">
        <v>19</v>
      </c>
      <c r="F136" s="2" t="s">
        <v>31</v>
      </c>
      <c r="G136" s="2">
        <v>2016</v>
      </c>
      <c r="H136" s="14">
        <v>0.14426044188759338</v>
      </c>
      <c r="I136" s="2"/>
      <c r="J136">
        <v>0.32</v>
      </c>
      <c r="K136">
        <v>0.13500000000000001</v>
      </c>
      <c r="L136">
        <v>0.18</v>
      </c>
      <c r="M136">
        <v>0.35</v>
      </c>
      <c r="N136">
        <v>0.65</v>
      </c>
      <c r="O136">
        <v>1.5999999999999999</v>
      </c>
      <c r="P136">
        <v>1</v>
      </c>
      <c r="Q136">
        <v>1</v>
      </c>
      <c r="R136">
        <v>1.4</v>
      </c>
      <c r="S136">
        <v>1</v>
      </c>
      <c r="T136">
        <f t="shared" si="23"/>
        <v>1.5</v>
      </c>
      <c r="U136">
        <f t="shared" si="24"/>
        <v>1</v>
      </c>
      <c r="V136">
        <f t="shared" si="25"/>
        <v>1</v>
      </c>
      <c r="W136" cm="1">
        <f t="array" ref="W136">_xlfn.IFS(J136&gt;sheet2!$C$2,1,J136=sheet2!$C$2,0,J136&lt;sheet2!$C$2,-1)</f>
        <v>1</v>
      </c>
      <c r="X136" cm="1">
        <f t="array" ref="X136">_xlfn.IFS(K136&gt;sheet2!$D$2,1,K136=sheet2!$D$2,0,K136&lt;sheet2!$D$2,-1)</f>
        <v>0</v>
      </c>
      <c r="Y136" cm="1">
        <f t="array" ref="Y136">_xlfn.IFS(L136&gt;sheet2!$E$2,1,L136=sheet2!$E$2,0,L136&lt;sheet2!$E$2,-1)</f>
        <v>0</v>
      </c>
      <c r="Z136" cm="1">
        <f t="array" ref="Z136">_xlfn.IFS(M136&gt;sheet2!$F$2,1,M136=sheet2!$F$2,0,M136&lt;sheet2!$F$2,-1)</f>
        <v>1</v>
      </c>
      <c r="AA136" cm="1">
        <f t="array" ref="AA136">_xlfn.IFS(N136&gt;sheet2!$G$2,1,N136=sheet2!$G$2,0,N136&lt;sheet2!$G$2,-1)</f>
        <v>0</v>
      </c>
    </row>
    <row r="137" spans="5:27" ht="14.4" hidden="1" x14ac:dyDescent="0.25">
      <c r="E137" s="2">
        <v>19</v>
      </c>
      <c r="F137" s="2" t="s">
        <v>31</v>
      </c>
      <c r="G137" s="2">
        <v>2017</v>
      </c>
      <c r="H137" s="14">
        <v>0.39875837870081915</v>
      </c>
      <c r="I137" s="2">
        <f t="shared" ref="I137:I142" si="26">(H137-H136)/H136</f>
        <v>1.764156087997627</v>
      </c>
      <c r="J137">
        <v>0.32</v>
      </c>
      <c r="K137">
        <v>0.13500000000000001</v>
      </c>
      <c r="L137">
        <v>0.18</v>
      </c>
      <c r="M137">
        <v>0.35</v>
      </c>
      <c r="N137">
        <v>0.65</v>
      </c>
      <c r="O137">
        <v>1.5999999999999999</v>
      </c>
      <c r="P137">
        <v>1</v>
      </c>
      <c r="Q137">
        <v>1</v>
      </c>
      <c r="R137">
        <v>1.4</v>
      </c>
      <c r="S137">
        <v>1</v>
      </c>
      <c r="T137">
        <f t="shared" si="23"/>
        <v>1.5</v>
      </c>
      <c r="U137">
        <f t="shared" si="24"/>
        <v>1</v>
      </c>
      <c r="V137">
        <f t="shared" si="25"/>
        <v>1</v>
      </c>
      <c r="W137" cm="1">
        <f t="array" ref="W137">_xlfn.IFS(J137&gt;sheet2!$C$2,1,J137=sheet2!$C$2,0,J137&lt;sheet2!$C$2,-1)</f>
        <v>1</v>
      </c>
      <c r="X137" cm="1">
        <f t="array" ref="X137">_xlfn.IFS(K137&gt;sheet2!$D$2,1,K137=sheet2!$D$2,0,K137&lt;sheet2!$D$2,-1)</f>
        <v>0</v>
      </c>
      <c r="Y137" cm="1">
        <f t="array" ref="Y137">_xlfn.IFS(L137&gt;sheet2!$E$2,1,L137=sheet2!$E$2,0,L137&lt;sheet2!$E$2,-1)</f>
        <v>0</v>
      </c>
      <c r="Z137" cm="1">
        <f t="array" ref="Z137">_xlfn.IFS(M137&gt;sheet2!$F$2,1,M137=sheet2!$F$2,0,M137&lt;sheet2!$F$2,-1)</f>
        <v>1</v>
      </c>
      <c r="AA137" cm="1">
        <f t="array" ref="AA137">_xlfn.IFS(N137&gt;sheet2!$G$2,1,N137=sheet2!$G$2,0,N137&lt;sheet2!$G$2,-1)</f>
        <v>0</v>
      </c>
    </row>
    <row r="138" spans="5:27" ht="14.4" hidden="1" x14ac:dyDescent="0.25">
      <c r="E138" s="2">
        <v>19</v>
      </c>
      <c r="F138" s="2" t="s">
        <v>31</v>
      </c>
      <c r="G138" s="2">
        <v>2018</v>
      </c>
      <c r="H138" s="14">
        <v>0.40996497563597606</v>
      </c>
      <c r="I138" s="2">
        <f t="shared" si="26"/>
        <v>2.8103727805466393E-2</v>
      </c>
      <c r="J138">
        <v>0.32</v>
      </c>
      <c r="K138">
        <v>0.13500000000000001</v>
      </c>
      <c r="L138">
        <v>0.18</v>
      </c>
      <c r="M138">
        <v>0.35</v>
      </c>
      <c r="N138">
        <v>0.65</v>
      </c>
      <c r="O138">
        <v>1.5999999999999999</v>
      </c>
      <c r="P138">
        <v>1</v>
      </c>
      <c r="Q138">
        <v>1</v>
      </c>
      <c r="R138">
        <v>1.4</v>
      </c>
      <c r="S138">
        <v>1</v>
      </c>
      <c r="T138">
        <f t="shared" si="23"/>
        <v>1.5</v>
      </c>
      <c r="U138">
        <f t="shared" si="24"/>
        <v>1</v>
      </c>
      <c r="V138">
        <f t="shared" si="25"/>
        <v>1</v>
      </c>
      <c r="W138" cm="1">
        <f t="array" ref="W138">_xlfn.IFS(J138&gt;sheet2!$C$2,1,J138=sheet2!$C$2,0,J138&lt;sheet2!$C$2,-1)</f>
        <v>1</v>
      </c>
      <c r="X138" cm="1">
        <f t="array" ref="X138">_xlfn.IFS(K138&gt;sheet2!$D$2,1,K138=sheet2!$D$2,0,K138&lt;sheet2!$D$2,-1)</f>
        <v>0</v>
      </c>
      <c r="Y138" cm="1">
        <f t="array" ref="Y138">_xlfn.IFS(L138&gt;sheet2!$E$2,1,L138=sheet2!$E$2,0,L138&lt;sheet2!$E$2,-1)</f>
        <v>0</v>
      </c>
      <c r="Z138" cm="1">
        <f t="array" ref="Z138">_xlfn.IFS(M138&gt;sheet2!$F$2,1,M138=sheet2!$F$2,0,M138&lt;sheet2!$F$2,-1)</f>
        <v>1</v>
      </c>
      <c r="AA138" cm="1">
        <f t="array" ref="AA138">_xlfn.IFS(N138&gt;sheet2!$G$2,1,N138=sheet2!$G$2,0,N138&lt;sheet2!$G$2,-1)</f>
        <v>0</v>
      </c>
    </row>
    <row r="139" spans="5:27" ht="14.4" hidden="1" x14ac:dyDescent="0.25">
      <c r="E139" s="2">
        <v>19</v>
      </c>
      <c r="F139" s="2" t="s">
        <v>31</v>
      </c>
      <c r="G139" s="2">
        <v>2019</v>
      </c>
      <c r="H139" s="14">
        <v>0.4258596038764737</v>
      </c>
      <c r="I139" s="2">
        <f t="shared" si="26"/>
        <v>3.8770697950088071E-2</v>
      </c>
      <c r="J139">
        <v>0.32</v>
      </c>
      <c r="K139">
        <v>0.13500000000000001</v>
      </c>
      <c r="L139">
        <v>0.18</v>
      </c>
      <c r="M139">
        <v>0.35</v>
      </c>
      <c r="N139">
        <v>0.65</v>
      </c>
      <c r="O139">
        <v>1.5999999999999999</v>
      </c>
      <c r="P139">
        <v>1</v>
      </c>
      <c r="Q139">
        <v>1</v>
      </c>
      <c r="R139">
        <v>1.4</v>
      </c>
      <c r="S139">
        <v>1</v>
      </c>
      <c r="T139">
        <f t="shared" si="23"/>
        <v>1.5</v>
      </c>
      <c r="U139">
        <f t="shared" si="24"/>
        <v>1</v>
      </c>
      <c r="V139">
        <f t="shared" si="25"/>
        <v>1</v>
      </c>
      <c r="W139" cm="1">
        <f t="array" ref="W139">_xlfn.IFS(J139&gt;sheet2!$C$2,1,J139=sheet2!$C$2,0,J139&lt;sheet2!$C$2,-1)</f>
        <v>1</v>
      </c>
      <c r="X139" cm="1">
        <f t="array" ref="X139">_xlfn.IFS(K139&gt;sheet2!$D$2,1,K139=sheet2!$D$2,0,K139&lt;sheet2!$D$2,-1)</f>
        <v>0</v>
      </c>
      <c r="Y139" cm="1">
        <f t="array" ref="Y139">_xlfn.IFS(L139&gt;sheet2!$E$2,1,L139=sheet2!$E$2,0,L139&lt;sheet2!$E$2,-1)</f>
        <v>0</v>
      </c>
      <c r="Z139" cm="1">
        <f t="array" ref="Z139">_xlfn.IFS(M139&gt;sheet2!$F$2,1,M139=sheet2!$F$2,0,M139&lt;sheet2!$F$2,-1)</f>
        <v>1</v>
      </c>
      <c r="AA139" cm="1">
        <f t="array" ref="AA139">_xlfn.IFS(N139&gt;sheet2!$G$2,1,N139=sheet2!$G$2,0,N139&lt;sheet2!$G$2,-1)</f>
        <v>0</v>
      </c>
    </row>
    <row r="140" spans="5:27" ht="14.4" hidden="1" x14ac:dyDescent="0.25">
      <c r="E140" s="2">
        <v>19</v>
      </c>
      <c r="F140" s="2" t="s">
        <v>31</v>
      </c>
      <c r="G140" s="2">
        <v>2020</v>
      </c>
      <c r="H140" s="14">
        <v>0.44027967295935772</v>
      </c>
      <c r="I140" s="2">
        <f t="shared" si="26"/>
        <v>3.3861086967682308E-2</v>
      </c>
      <c r="J140">
        <v>0.32</v>
      </c>
      <c r="K140">
        <v>0.13500000000000001</v>
      </c>
      <c r="L140">
        <v>0.18</v>
      </c>
      <c r="M140">
        <v>0.35</v>
      </c>
      <c r="N140">
        <v>0.65</v>
      </c>
      <c r="O140">
        <v>1.5999999999999999</v>
      </c>
      <c r="P140">
        <v>1</v>
      </c>
      <c r="Q140">
        <v>1</v>
      </c>
      <c r="R140">
        <v>1.4</v>
      </c>
      <c r="S140">
        <v>1</v>
      </c>
      <c r="T140">
        <f t="shared" si="23"/>
        <v>1.5</v>
      </c>
      <c r="U140">
        <f t="shared" si="24"/>
        <v>1</v>
      </c>
      <c r="V140">
        <f t="shared" si="25"/>
        <v>1</v>
      </c>
      <c r="W140" cm="1">
        <f t="array" ref="W140">_xlfn.IFS(J140&gt;sheet2!$C$2,1,J140=sheet2!$C$2,0,J140&lt;sheet2!$C$2,-1)</f>
        <v>1</v>
      </c>
      <c r="X140" cm="1">
        <f t="array" ref="X140">_xlfn.IFS(K140&gt;sheet2!$D$2,1,K140=sheet2!$D$2,0,K140&lt;sheet2!$D$2,-1)</f>
        <v>0</v>
      </c>
      <c r="Y140" cm="1">
        <f t="array" ref="Y140">_xlfn.IFS(L140&gt;sheet2!$E$2,1,L140=sheet2!$E$2,0,L140&lt;sheet2!$E$2,-1)</f>
        <v>0</v>
      </c>
      <c r="Z140" cm="1">
        <f t="array" ref="Z140">_xlfn.IFS(M140&gt;sheet2!$F$2,1,M140=sheet2!$F$2,0,M140&lt;sheet2!$F$2,-1)</f>
        <v>1</v>
      </c>
      <c r="AA140" cm="1">
        <f t="array" ref="AA140">_xlfn.IFS(N140&gt;sheet2!$G$2,1,N140=sheet2!$G$2,0,N140&lt;sheet2!$G$2,-1)</f>
        <v>0</v>
      </c>
    </row>
    <row r="141" spans="5:27" ht="14.4" x14ac:dyDescent="0.25">
      <c r="E141" s="2">
        <v>19</v>
      </c>
      <c r="F141" s="2" t="s">
        <v>31</v>
      </c>
      <c r="G141" s="2">
        <v>2021</v>
      </c>
      <c r="H141" s="14">
        <v>0.65990884751568935</v>
      </c>
      <c r="I141" s="2">
        <f t="shared" si="26"/>
        <v>0.49884014194905979</v>
      </c>
      <c r="J141">
        <v>0.52200000000000002</v>
      </c>
      <c r="K141">
        <v>0.13500000000000001</v>
      </c>
      <c r="L141">
        <v>0.18</v>
      </c>
      <c r="M141">
        <v>0.55000000000000004</v>
      </c>
      <c r="N141">
        <v>0.65</v>
      </c>
      <c r="O141">
        <v>2.61</v>
      </c>
      <c r="P141">
        <v>1</v>
      </c>
      <c r="Q141">
        <v>1</v>
      </c>
      <c r="R141">
        <v>2.2000000000000002</v>
      </c>
      <c r="S141">
        <v>1</v>
      </c>
      <c r="T141">
        <f t="shared" si="23"/>
        <v>2.4050000000000002</v>
      </c>
      <c r="U141">
        <f t="shared" si="24"/>
        <v>1</v>
      </c>
      <c r="V141">
        <f t="shared" si="25"/>
        <v>1</v>
      </c>
      <c r="W141" cm="1">
        <f t="array" ref="W141">_xlfn.IFS(J141&gt;sheet2!$C$2,1,J141=sheet2!$C$2,0,J141&lt;sheet2!$C$2,-1)</f>
        <v>1</v>
      </c>
      <c r="X141" cm="1">
        <f t="array" ref="X141">_xlfn.IFS(K141&gt;sheet2!$D$2,1,K141=sheet2!$D$2,0,K141&lt;sheet2!$D$2,-1)</f>
        <v>0</v>
      </c>
      <c r="Y141" cm="1">
        <f t="array" ref="Y141">_xlfn.IFS(L141&gt;sheet2!$E$2,1,L141=sheet2!$E$2,0,L141&lt;sheet2!$E$2,-1)</f>
        <v>0</v>
      </c>
      <c r="Z141" cm="1">
        <f t="array" ref="Z141">_xlfn.IFS(M141&gt;sheet2!$F$2,1,M141=sheet2!$F$2,0,M141&lt;sheet2!$F$2,-1)</f>
        <v>1</v>
      </c>
      <c r="AA141" cm="1">
        <f t="array" ref="AA141">_xlfn.IFS(N141&gt;sheet2!$G$2,1,N141=sheet2!$G$2,0,N141&lt;sheet2!$G$2,-1)</f>
        <v>0</v>
      </c>
    </row>
    <row r="142" spans="5:27" ht="14.4" hidden="1" x14ac:dyDescent="0.25">
      <c r="E142" s="2">
        <v>19</v>
      </c>
      <c r="F142" s="2" t="s">
        <v>31</v>
      </c>
      <c r="G142" s="2">
        <v>2022</v>
      </c>
      <c r="H142" s="14">
        <v>0.49528332887997656</v>
      </c>
      <c r="I142" s="2">
        <f t="shared" si="26"/>
        <v>-0.2494670578451349</v>
      </c>
      <c r="J142">
        <v>0.52200000000000002</v>
      </c>
      <c r="K142">
        <v>0.13500000000000001</v>
      </c>
      <c r="L142">
        <v>0.18</v>
      </c>
      <c r="M142">
        <v>0.55000000000000004</v>
      </c>
      <c r="N142">
        <v>0.65</v>
      </c>
      <c r="O142">
        <v>2.61</v>
      </c>
      <c r="P142">
        <v>1</v>
      </c>
      <c r="Q142">
        <v>1</v>
      </c>
      <c r="R142">
        <v>2.2000000000000002</v>
      </c>
      <c r="S142">
        <v>1</v>
      </c>
      <c r="T142">
        <f t="shared" si="23"/>
        <v>2.4050000000000002</v>
      </c>
      <c r="U142">
        <f t="shared" si="24"/>
        <v>1</v>
      </c>
      <c r="V142">
        <f t="shared" si="25"/>
        <v>1</v>
      </c>
      <c r="W142" cm="1">
        <f t="array" ref="W142">_xlfn.IFS(J142&gt;sheet2!$C$2,1,J142=sheet2!$C$2,0,J142&lt;sheet2!$C$2,-1)</f>
        <v>1</v>
      </c>
      <c r="X142" cm="1">
        <f t="array" ref="X142">_xlfn.IFS(K142&gt;sheet2!$D$2,1,K142=sheet2!$D$2,0,K142&lt;sheet2!$D$2,-1)</f>
        <v>0</v>
      </c>
      <c r="Y142" cm="1">
        <f t="array" ref="Y142">_xlfn.IFS(L142&gt;sheet2!$E$2,1,L142=sheet2!$E$2,0,L142&lt;sheet2!$E$2,-1)</f>
        <v>0</v>
      </c>
      <c r="Z142" cm="1">
        <f t="array" ref="Z142">_xlfn.IFS(M142&gt;sheet2!$F$2,1,M142=sheet2!$F$2,0,M142&lt;sheet2!$F$2,-1)</f>
        <v>1</v>
      </c>
      <c r="AA142" cm="1">
        <f t="array" ref="AA142">_xlfn.IFS(N142&gt;sheet2!$G$2,1,N142=sheet2!$G$2,0,N142&lt;sheet2!$G$2,-1)</f>
        <v>0</v>
      </c>
    </row>
    <row r="143" spans="5:27" ht="14.4" hidden="1" x14ac:dyDescent="0.25">
      <c r="E143" s="2">
        <v>20</v>
      </c>
      <c r="F143" s="2" t="s">
        <v>32</v>
      </c>
      <c r="G143" s="2">
        <v>2016</v>
      </c>
      <c r="H143" s="14">
        <v>0.29430757633090859</v>
      </c>
      <c r="I143" s="2"/>
      <c r="J143">
        <v>0.3</v>
      </c>
      <c r="K143">
        <v>0.13500000000000001</v>
      </c>
      <c r="L143">
        <v>0.18</v>
      </c>
      <c r="M143">
        <v>0.35</v>
      </c>
      <c r="N143">
        <v>0.65</v>
      </c>
      <c r="O143">
        <v>1.4999999999999998</v>
      </c>
      <c r="P143">
        <v>1</v>
      </c>
      <c r="Q143">
        <v>1</v>
      </c>
      <c r="R143">
        <v>1.4</v>
      </c>
      <c r="S143">
        <v>1</v>
      </c>
      <c r="T143">
        <f t="shared" si="23"/>
        <v>1.4499999999999997</v>
      </c>
      <c r="U143">
        <f t="shared" si="24"/>
        <v>1</v>
      </c>
      <c r="V143">
        <f t="shared" si="25"/>
        <v>1</v>
      </c>
      <c r="W143" cm="1">
        <f t="array" ref="W143">_xlfn.IFS(J143&gt;sheet2!$C$2,1,J143=sheet2!$C$2,0,J143&lt;sheet2!$C$2,-1)</f>
        <v>1</v>
      </c>
      <c r="X143" cm="1">
        <f t="array" ref="X143">_xlfn.IFS(K143&gt;sheet2!$D$2,1,K143=sheet2!$D$2,0,K143&lt;sheet2!$D$2,-1)</f>
        <v>0</v>
      </c>
      <c r="Y143" cm="1">
        <f t="array" ref="Y143">_xlfn.IFS(L143&gt;sheet2!$E$2,1,L143=sheet2!$E$2,0,L143&lt;sheet2!$E$2,-1)</f>
        <v>0</v>
      </c>
      <c r="Z143" cm="1">
        <f t="array" ref="Z143">_xlfn.IFS(M143&gt;sheet2!$F$2,1,M143=sheet2!$F$2,0,M143&lt;sheet2!$F$2,-1)</f>
        <v>1</v>
      </c>
      <c r="AA143" cm="1">
        <f t="array" ref="AA143">_xlfn.IFS(N143&gt;sheet2!$G$2,1,N143=sheet2!$G$2,0,N143&lt;sheet2!$G$2,-1)</f>
        <v>0</v>
      </c>
    </row>
    <row r="144" spans="5:27" ht="14.4" hidden="1" x14ac:dyDescent="0.25">
      <c r="E144" s="2">
        <v>20</v>
      </c>
      <c r="F144" s="2" t="s">
        <v>32</v>
      </c>
      <c r="G144" s="2">
        <v>2017</v>
      </c>
      <c r="H144" s="14">
        <v>0.31843667504174833</v>
      </c>
      <c r="I144" s="2">
        <f t="shared" ref="I144:I149" si="27">(H144-H143)/H143</f>
        <v>8.1985992381350958E-2</v>
      </c>
      <c r="J144">
        <v>0.3</v>
      </c>
      <c r="K144">
        <v>0.13500000000000001</v>
      </c>
      <c r="L144">
        <v>0.18</v>
      </c>
      <c r="M144">
        <v>0.35</v>
      </c>
      <c r="N144">
        <v>0.65</v>
      </c>
      <c r="O144">
        <v>1.4999999999999998</v>
      </c>
      <c r="P144">
        <v>1</v>
      </c>
      <c r="Q144">
        <v>1</v>
      </c>
      <c r="R144">
        <v>1.4</v>
      </c>
      <c r="S144">
        <v>1</v>
      </c>
      <c r="T144">
        <f t="shared" si="23"/>
        <v>1.4499999999999997</v>
      </c>
      <c r="U144">
        <f t="shared" si="24"/>
        <v>1</v>
      </c>
      <c r="V144">
        <f t="shared" si="25"/>
        <v>1</v>
      </c>
      <c r="W144" cm="1">
        <f t="array" ref="W144">_xlfn.IFS(J144&gt;sheet2!$C$2,1,J144=sheet2!$C$2,0,J144&lt;sheet2!$C$2,-1)</f>
        <v>1</v>
      </c>
      <c r="X144" cm="1">
        <f t="array" ref="X144">_xlfn.IFS(K144&gt;sheet2!$D$2,1,K144=sheet2!$D$2,0,K144&lt;sheet2!$D$2,-1)</f>
        <v>0</v>
      </c>
      <c r="Y144" cm="1">
        <f t="array" ref="Y144">_xlfn.IFS(L144&gt;sheet2!$E$2,1,L144=sheet2!$E$2,0,L144&lt;sheet2!$E$2,-1)</f>
        <v>0</v>
      </c>
      <c r="Z144" cm="1">
        <f t="array" ref="Z144">_xlfn.IFS(M144&gt;sheet2!$F$2,1,M144=sheet2!$F$2,0,M144&lt;sheet2!$F$2,-1)</f>
        <v>1</v>
      </c>
      <c r="AA144" cm="1">
        <f t="array" ref="AA144">_xlfn.IFS(N144&gt;sheet2!$G$2,1,N144=sheet2!$G$2,0,N144&lt;sheet2!$G$2,-1)</f>
        <v>0</v>
      </c>
    </row>
    <row r="145" spans="5:27" ht="14.4" hidden="1" x14ac:dyDescent="0.25">
      <c r="E145" s="2">
        <v>20</v>
      </c>
      <c r="F145" s="2" t="s">
        <v>32</v>
      </c>
      <c r="G145" s="2">
        <v>2018</v>
      </c>
      <c r="H145" s="14">
        <v>0.35418468175939705</v>
      </c>
      <c r="I145" s="2">
        <f t="shared" si="27"/>
        <v>0.11226095961767597</v>
      </c>
      <c r="J145">
        <v>0.3</v>
      </c>
      <c r="K145">
        <v>0.13500000000000001</v>
      </c>
      <c r="L145">
        <v>0.18</v>
      </c>
      <c r="M145">
        <v>0.35</v>
      </c>
      <c r="N145">
        <v>0.65</v>
      </c>
      <c r="O145">
        <v>1.4999999999999998</v>
      </c>
      <c r="P145">
        <v>1</v>
      </c>
      <c r="Q145">
        <v>1</v>
      </c>
      <c r="R145">
        <v>1.4</v>
      </c>
      <c r="S145">
        <v>1</v>
      </c>
      <c r="T145">
        <f t="shared" si="23"/>
        <v>1.4499999999999997</v>
      </c>
      <c r="U145">
        <f t="shared" si="24"/>
        <v>1</v>
      </c>
      <c r="V145">
        <f t="shared" si="25"/>
        <v>1</v>
      </c>
      <c r="W145" cm="1">
        <f t="array" ref="W145">_xlfn.IFS(J145&gt;sheet2!$C$2,1,J145=sheet2!$C$2,0,J145&lt;sheet2!$C$2,-1)</f>
        <v>1</v>
      </c>
      <c r="X145" cm="1">
        <f t="array" ref="X145">_xlfn.IFS(K145&gt;sheet2!$D$2,1,K145=sheet2!$D$2,0,K145&lt;sheet2!$D$2,-1)</f>
        <v>0</v>
      </c>
      <c r="Y145" cm="1">
        <f t="array" ref="Y145">_xlfn.IFS(L145&gt;sheet2!$E$2,1,L145=sheet2!$E$2,0,L145&lt;sheet2!$E$2,-1)</f>
        <v>0</v>
      </c>
      <c r="Z145" cm="1">
        <f t="array" ref="Z145">_xlfn.IFS(M145&gt;sheet2!$F$2,1,M145=sheet2!$F$2,0,M145&lt;sheet2!$F$2,-1)</f>
        <v>1</v>
      </c>
      <c r="AA145" cm="1">
        <f t="array" ref="AA145">_xlfn.IFS(N145&gt;sheet2!$G$2,1,N145=sheet2!$G$2,0,N145&lt;sheet2!$G$2,-1)</f>
        <v>0</v>
      </c>
    </row>
    <row r="146" spans="5:27" ht="14.4" hidden="1" x14ac:dyDescent="0.25">
      <c r="E146" s="2">
        <v>20</v>
      </c>
      <c r="F146" s="2" t="s">
        <v>32</v>
      </c>
      <c r="G146" s="2">
        <v>2019</v>
      </c>
      <c r="H146" s="14">
        <v>0.39477329949336493</v>
      </c>
      <c r="I146" s="2">
        <f t="shared" si="27"/>
        <v>0.11459732683058364</v>
      </c>
      <c r="J146">
        <v>0.3</v>
      </c>
      <c r="K146">
        <v>0.13500000000000001</v>
      </c>
      <c r="L146">
        <v>0.18</v>
      </c>
      <c r="M146">
        <v>0.35</v>
      </c>
      <c r="N146">
        <v>0.65</v>
      </c>
      <c r="O146">
        <v>1.4999999999999998</v>
      </c>
      <c r="P146">
        <v>1</v>
      </c>
      <c r="Q146">
        <v>1</v>
      </c>
      <c r="R146">
        <v>1.4</v>
      </c>
      <c r="S146">
        <v>1</v>
      </c>
      <c r="T146">
        <f t="shared" si="23"/>
        <v>1.4499999999999997</v>
      </c>
      <c r="U146">
        <f t="shared" si="24"/>
        <v>1</v>
      </c>
      <c r="V146">
        <f t="shared" si="25"/>
        <v>1</v>
      </c>
      <c r="W146" cm="1">
        <f t="array" ref="W146">_xlfn.IFS(J146&gt;sheet2!$C$2,1,J146=sheet2!$C$2,0,J146&lt;sheet2!$C$2,-1)</f>
        <v>1</v>
      </c>
      <c r="X146" cm="1">
        <f t="array" ref="X146">_xlfn.IFS(K146&gt;sheet2!$D$2,1,K146=sheet2!$D$2,0,K146&lt;sheet2!$D$2,-1)</f>
        <v>0</v>
      </c>
      <c r="Y146" cm="1">
        <f t="array" ref="Y146">_xlfn.IFS(L146&gt;sheet2!$E$2,1,L146=sheet2!$E$2,0,L146&lt;sheet2!$E$2,-1)</f>
        <v>0</v>
      </c>
      <c r="Z146" cm="1">
        <f t="array" ref="Z146">_xlfn.IFS(M146&gt;sheet2!$F$2,1,M146=sheet2!$F$2,0,M146&lt;sheet2!$F$2,-1)</f>
        <v>1</v>
      </c>
      <c r="AA146" cm="1">
        <f t="array" ref="AA146">_xlfn.IFS(N146&gt;sheet2!$G$2,1,N146=sheet2!$G$2,0,N146&lt;sheet2!$G$2,-1)</f>
        <v>0</v>
      </c>
    </row>
    <row r="147" spans="5:27" ht="14.4" hidden="1" x14ac:dyDescent="0.25">
      <c r="E147" s="2">
        <v>20</v>
      </c>
      <c r="F147" s="2" t="s">
        <v>32</v>
      </c>
      <c r="G147" s="2">
        <v>2020</v>
      </c>
      <c r="H147" s="14">
        <v>0.37275022716759326</v>
      </c>
      <c r="I147" s="2">
        <f t="shared" si="27"/>
        <v>-5.5786630843664267E-2</v>
      </c>
      <c r="J147">
        <v>0.3</v>
      </c>
      <c r="K147">
        <v>0.13500000000000001</v>
      </c>
      <c r="L147">
        <v>0.18</v>
      </c>
      <c r="M147">
        <v>0.35</v>
      </c>
      <c r="N147">
        <v>0.65</v>
      </c>
      <c r="O147">
        <v>1.4999999999999998</v>
      </c>
      <c r="P147">
        <v>1</v>
      </c>
      <c r="Q147">
        <v>1</v>
      </c>
      <c r="R147">
        <v>1.4</v>
      </c>
      <c r="S147">
        <v>1</v>
      </c>
      <c r="T147">
        <f t="shared" si="23"/>
        <v>1.4499999999999997</v>
      </c>
      <c r="U147">
        <f t="shared" si="24"/>
        <v>1</v>
      </c>
      <c r="V147">
        <f t="shared" si="25"/>
        <v>1</v>
      </c>
      <c r="W147" cm="1">
        <f t="array" ref="W147">_xlfn.IFS(J147&gt;sheet2!$C$2,1,J147=sheet2!$C$2,0,J147&lt;sheet2!$C$2,-1)</f>
        <v>1</v>
      </c>
      <c r="X147" cm="1">
        <f t="array" ref="X147">_xlfn.IFS(K147&gt;sheet2!$D$2,1,K147=sheet2!$D$2,0,K147&lt;sheet2!$D$2,-1)</f>
        <v>0</v>
      </c>
      <c r="Y147" cm="1">
        <f t="array" ref="Y147">_xlfn.IFS(L147&gt;sheet2!$E$2,1,L147=sheet2!$E$2,0,L147&lt;sheet2!$E$2,-1)</f>
        <v>0</v>
      </c>
      <c r="Z147" cm="1">
        <f t="array" ref="Z147">_xlfn.IFS(M147&gt;sheet2!$F$2,1,M147=sheet2!$F$2,0,M147&lt;sheet2!$F$2,-1)</f>
        <v>1</v>
      </c>
      <c r="AA147" cm="1">
        <f t="array" ref="AA147">_xlfn.IFS(N147&gt;sheet2!$G$2,1,N147=sheet2!$G$2,0,N147&lt;sheet2!$G$2,-1)</f>
        <v>0</v>
      </c>
    </row>
    <row r="148" spans="5:27" ht="14.4" x14ac:dyDescent="0.25">
      <c r="E148" s="2">
        <v>20</v>
      </c>
      <c r="F148" s="2" t="s">
        <v>32</v>
      </c>
      <c r="G148" s="2">
        <v>2021</v>
      </c>
      <c r="H148" s="14">
        <v>0.37277275761751111</v>
      </c>
      <c r="I148" s="2">
        <f t="shared" si="27"/>
        <v>6.0443826121977999E-5</v>
      </c>
      <c r="J148">
        <v>0.52200000000000002</v>
      </c>
      <c r="K148">
        <v>0.13500000000000001</v>
      </c>
      <c r="L148">
        <v>0.18</v>
      </c>
      <c r="M148">
        <v>0.55000000000000004</v>
      </c>
      <c r="N148">
        <v>0.65</v>
      </c>
      <c r="O148">
        <v>2.61</v>
      </c>
      <c r="P148">
        <v>1</v>
      </c>
      <c r="Q148">
        <v>1</v>
      </c>
      <c r="R148">
        <v>2.2000000000000002</v>
      </c>
      <c r="S148">
        <v>1</v>
      </c>
      <c r="T148">
        <f t="shared" si="23"/>
        <v>2.4050000000000002</v>
      </c>
      <c r="U148">
        <f t="shared" si="24"/>
        <v>1</v>
      </c>
      <c r="V148">
        <f t="shared" si="25"/>
        <v>1</v>
      </c>
      <c r="W148" cm="1">
        <f t="array" ref="W148">_xlfn.IFS(J148&gt;sheet2!$C$2,1,J148=sheet2!$C$2,0,J148&lt;sheet2!$C$2,-1)</f>
        <v>1</v>
      </c>
      <c r="X148" cm="1">
        <f t="array" ref="X148">_xlfn.IFS(K148&gt;sheet2!$D$2,1,K148=sheet2!$D$2,0,K148&lt;sheet2!$D$2,-1)</f>
        <v>0</v>
      </c>
      <c r="Y148" cm="1">
        <f t="array" ref="Y148">_xlfn.IFS(L148&gt;sheet2!$E$2,1,L148=sheet2!$E$2,0,L148&lt;sheet2!$E$2,-1)</f>
        <v>0</v>
      </c>
      <c r="Z148" cm="1">
        <f t="array" ref="Z148">_xlfn.IFS(M148&gt;sheet2!$F$2,1,M148=sheet2!$F$2,0,M148&lt;sheet2!$F$2,-1)</f>
        <v>1</v>
      </c>
      <c r="AA148" cm="1">
        <f t="array" ref="AA148">_xlfn.IFS(N148&gt;sheet2!$G$2,1,N148=sheet2!$G$2,0,N148&lt;sheet2!$G$2,-1)</f>
        <v>0</v>
      </c>
    </row>
    <row r="149" spans="5:27" ht="14.4" hidden="1" x14ac:dyDescent="0.25">
      <c r="E149" s="2">
        <v>20</v>
      </c>
      <c r="F149" s="2" t="s">
        <v>32</v>
      </c>
      <c r="G149" s="2">
        <v>2022</v>
      </c>
      <c r="H149" s="14">
        <v>0.3709898955356713</v>
      </c>
      <c r="I149" s="2">
        <f t="shared" si="27"/>
        <v>-4.7827048661885866E-3</v>
      </c>
      <c r="J149">
        <v>0.13</v>
      </c>
      <c r="K149">
        <v>0.14499999999999999</v>
      </c>
      <c r="L149">
        <v>0.20499999999999999</v>
      </c>
      <c r="M149">
        <v>0.2</v>
      </c>
      <c r="N149">
        <v>0.68</v>
      </c>
      <c r="O149">
        <v>0.65</v>
      </c>
      <c r="P149">
        <v>1.074074074074074</v>
      </c>
      <c r="Q149">
        <v>1.1388888888888888</v>
      </c>
      <c r="R149">
        <v>0.8</v>
      </c>
      <c r="S149">
        <v>1.0461538461538462</v>
      </c>
      <c r="T149">
        <f t="shared" si="23"/>
        <v>0.72500000000000009</v>
      </c>
      <c r="U149">
        <f t="shared" si="24"/>
        <v>1.074074074074074</v>
      </c>
      <c r="V149">
        <f t="shared" si="25"/>
        <v>1.0925213675213676</v>
      </c>
      <c r="W149" cm="1">
        <f t="array" ref="W149">_xlfn.IFS(J149&gt;sheet2!$C$2,1,J149=sheet2!$C$2,0,J149&lt;sheet2!$C$2,-1)</f>
        <v>-1</v>
      </c>
      <c r="X149" cm="1">
        <f t="array" ref="X149">_xlfn.IFS(K149&gt;sheet2!$D$2,1,K149=sheet2!$D$2,0,K149&lt;sheet2!$D$2,-1)</f>
        <v>1</v>
      </c>
      <c r="Y149" cm="1">
        <f t="array" ref="Y149">_xlfn.IFS(L149&gt;sheet2!$E$2,1,L149=sheet2!$E$2,0,L149&lt;sheet2!$E$2,-1)</f>
        <v>1</v>
      </c>
      <c r="Z149" cm="1">
        <f t="array" ref="Z149">_xlfn.IFS(M149&gt;sheet2!$F$2,1,M149=sheet2!$F$2,0,M149&lt;sheet2!$F$2,-1)</f>
        <v>-1</v>
      </c>
      <c r="AA149" cm="1">
        <f t="array" ref="AA149">_xlfn.IFS(N149&gt;sheet2!$G$2,1,N149=sheet2!$G$2,0,N149&lt;sheet2!$G$2,-1)</f>
        <v>1</v>
      </c>
    </row>
    <row r="150" spans="5:27" ht="14.4" hidden="1" x14ac:dyDescent="0.25">
      <c r="E150" s="2">
        <v>21</v>
      </c>
      <c r="F150" s="2" t="s">
        <v>33</v>
      </c>
      <c r="G150" s="2">
        <v>2016</v>
      </c>
      <c r="H150" s="14">
        <v>0.22205809502305135</v>
      </c>
      <c r="I150" s="2"/>
      <c r="J150">
        <v>0.22</v>
      </c>
      <c r="K150">
        <v>0.13500000000000001</v>
      </c>
      <c r="L150">
        <v>0.18</v>
      </c>
      <c r="M150">
        <v>0.54</v>
      </c>
      <c r="N150">
        <v>0.65</v>
      </c>
      <c r="O150">
        <v>1.0999999999999999</v>
      </c>
      <c r="P150">
        <v>1</v>
      </c>
      <c r="Q150">
        <v>1</v>
      </c>
      <c r="R150">
        <v>2.16</v>
      </c>
      <c r="S150">
        <v>1</v>
      </c>
      <c r="T150">
        <f t="shared" si="23"/>
        <v>1.63</v>
      </c>
      <c r="U150">
        <f t="shared" si="24"/>
        <v>1</v>
      </c>
      <c r="V150">
        <f t="shared" si="25"/>
        <v>1</v>
      </c>
      <c r="W150" cm="1">
        <f t="array" ref="W150">_xlfn.IFS(J150&gt;sheet2!$C$2,1,J150=sheet2!$C$2,0,J150&lt;sheet2!$C$2,-1)</f>
        <v>1</v>
      </c>
      <c r="X150" cm="1">
        <f t="array" ref="X150">_xlfn.IFS(K150&gt;sheet2!$D$2,1,K150=sheet2!$D$2,0,K150&lt;sheet2!$D$2,-1)</f>
        <v>0</v>
      </c>
      <c r="Y150" cm="1">
        <f t="array" ref="Y150">_xlfn.IFS(L150&gt;sheet2!$E$2,1,L150=sheet2!$E$2,0,L150&lt;sheet2!$E$2,-1)</f>
        <v>0</v>
      </c>
      <c r="Z150" cm="1">
        <f t="array" ref="Z150">_xlfn.IFS(M150&gt;sheet2!$F$2,1,M150=sheet2!$F$2,0,M150&lt;sheet2!$F$2,-1)</f>
        <v>1</v>
      </c>
      <c r="AA150" cm="1">
        <f t="array" ref="AA150">_xlfn.IFS(N150&gt;sheet2!$G$2,1,N150=sheet2!$G$2,0,N150&lt;sheet2!$G$2,-1)</f>
        <v>0</v>
      </c>
    </row>
    <row r="151" spans="5:27" ht="14.4" hidden="1" x14ac:dyDescent="0.25">
      <c r="E151" s="2">
        <v>21</v>
      </c>
      <c r="F151" s="2" t="s">
        <v>33</v>
      </c>
      <c r="G151" s="2">
        <v>2017</v>
      </c>
      <c r="H151" s="14">
        <v>0.23054176886017796</v>
      </c>
      <c r="I151" s="2">
        <f t="shared" ref="I151:I156" si="28">(H151-H150)/H150</f>
        <v>3.8204749240265005E-2</v>
      </c>
      <c r="J151">
        <v>0.22</v>
      </c>
      <c r="K151">
        <v>0.13500000000000001</v>
      </c>
      <c r="L151">
        <v>0.18</v>
      </c>
      <c r="M151">
        <v>0.54</v>
      </c>
      <c r="N151">
        <v>0.65</v>
      </c>
      <c r="O151">
        <v>1.0999999999999999</v>
      </c>
      <c r="P151">
        <v>1</v>
      </c>
      <c r="Q151">
        <v>1</v>
      </c>
      <c r="R151">
        <v>2.16</v>
      </c>
      <c r="S151">
        <v>1</v>
      </c>
      <c r="T151">
        <f t="shared" si="23"/>
        <v>1.63</v>
      </c>
      <c r="U151">
        <f t="shared" si="24"/>
        <v>1</v>
      </c>
      <c r="V151">
        <f t="shared" si="25"/>
        <v>1</v>
      </c>
      <c r="W151" cm="1">
        <f t="array" ref="W151">_xlfn.IFS(J151&gt;sheet2!$C$2,1,J151=sheet2!$C$2,0,J151&lt;sheet2!$C$2,-1)</f>
        <v>1</v>
      </c>
      <c r="X151" cm="1">
        <f t="array" ref="X151">_xlfn.IFS(K151&gt;sheet2!$D$2,1,K151=sheet2!$D$2,0,K151&lt;sheet2!$D$2,-1)</f>
        <v>0</v>
      </c>
      <c r="Y151" cm="1">
        <f t="array" ref="Y151">_xlfn.IFS(L151&gt;sheet2!$E$2,1,L151=sheet2!$E$2,0,L151&lt;sheet2!$E$2,-1)</f>
        <v>0</v>
      </c>
      <c r="Z151" cm="1">
        <f t="array" ref="Z151">_xlfn.IFS(M151&gt;sheet2!$F$2,1,M151=sheet2!$F$2,0,M151&lt;sheet2!$F$2,-1)</f>
        <v>1</v>
      </c>
      <c r="AA151" cm="1">
        <f t="array" ref="AA151">_xlfn.IFS(N151&gt;sheet2!$G$2,1,N151=sheet2!$G$2,0,N151&lt;sheet2!$G$2,-1)</f>
        <v>0</v>
      </c>
    </row>
    <row r="152" spans="5:27" ht="14.4" hidden="1" x14ac:dyDescent="0.25">
      <c r="E152" s="2">
        <v>21</v>
      </c>
      <c r="F152" s="2" t="s">
        <v>33</v>
      </c>
      <c r="G152" s="2">
        <v>2018</v>
      </c>
      <c r="H152" s="14">
        <v>0.23695449351841516</v>
      </c>
      <c r="I152" s="2">
        <f t="shared" si="28"/>
        <v>2.7815890760023058E-2</v>
      </c>
      <c r="J152">
        <v>0.22</v>
      </c>
      <c r="K152">
        <v>0.13500000000000001</v>
      </c>
      <c r="L152">
        <v>0.18</v>
      </c>
      <c r="M152">
        <v>0.54</v>
      </c>
      <c r="N152">
        <v>0.65</v>
      </c>
      <c r="O152">
        <v>1.0999999999999999</v>
      </c>
      <c r="P152">
        <v>1</v>
      </c>
      <c r="Q152">
        <v>1</v>
      </c>
      <c r="R152">
        <v>2.16</v>
      </c>
      <c r="S152">
        <v>1</v>
      </c>
      <c r="T152">
        <f t="shared" si="23"/>
        <v>1.63</v>
      </c>
      <c r="U152">
        <f t="shared" si="24"/>
        <v>1</v>
      </c>
      <c r="V152">
        <f t="shared" si="25"/>
        <v>1</v>
      </c>
      <c r="W152" cm="1">
        <f t="array" ref="W152">_xlfn.IFS(J152&gt;sheet2!$C$2,1,J152=sheet2!$C$2,0,J152&lt;sheet2!$C$2,-1)</f>
        <v>1</v>
      </c>
      <c r="X152" cm="1">
        <f t="array" ref="X152">_xlfn.IFS(K152&gt;sheet2!$D$2,1,K152=sheet2!$D$2,0,K152&lt;sheet2!$D$2,-1)</f>
        <v>0</v>
      </c>
      <c r="Y152" cm="1">
        <f t="array" ref="Y152">_xlfn.IFS(L152&gt;sheet2!$E$2,1,L152=sheet2!$E$2,0,L152&lt;sheet2!$E$2,-1)</f>
        <v>0</v>
      </c>
      <c r="Z152" cm="1">
        <f t="array" ref="Z152">_xlfn.IFS(M152&gt;sheet2!$F$2,1,M152=sheet2!$F$2,0,M152&lt;sheet2!$F$2,-1)</f>
        <v>1</v>
      </c>
      <c r="AA152" cm="1">
        <f t="array" ref="AA152">_xlfn.IFS(N152&gt;sheet2!$G$2,1,N152=sheet2!$G$2,0,N152&lt;sheet2!$G$2,-1)</f>
        <v>0</v>
      </c>
    </row>
    <row r="153" spans="5:27" ht="14.4" hidden="1" x14ac:dyDescent="0.25">
      <c r="E153" s="2">
        <v>21</v>
      </c>
      <c r="F153" s="2" t="s">
        <v>33</v>
      </c>
      <c r="G153" s="2">
        <v>2019</v>
      </c>
      <c r="H153" s="14">
        <v>0.25992271958920593</v>
      </c>
      <c r="I153" s="2">
        <f t="shared" si="28"/>
        <v>9.6930958049148669E-2</v>
      </c>
      <c r="J153">
        <v>0.22</v>
      </c>
      <c r="K153">
        <v>0.13500000000000001</v>
      </c>
      <c r="L153">
        <v>0.18</v>
      </c>
      <c r="M153">
        <v>0.54</v>
      </c>
      <c r="N153">
        <v>0.65</v>
      </c>
      <c r="O153">
        <v>1.0999999999999999</v>
      </c>
      <c r="P153">
        <v>1</v>
      </c>
      <c r="Q153">
        <v>1</v>
      </c>
      <c r="R153">
        <v>2.16</v>
      </c>
      <c r="S153">
        <v>1</v>
      </c>
      <c r="T153">
        <f t="shared" si="23"/>
        <v>1.63</v>
      </c>
      <c r="U153">
        <f t="shared" si="24"/>
        <v>1</v>
      </c>
      <c r="V153">
        <f t="shared" si="25"/>
        <v>1</v>
      </c>
      <c r="W153" cm="1">
        <f t="array" ref="W153">_xlfn.IFS(J153&gt;sheet2!$C$2,1,J153=sheet2!$C$2,0,J153&lt;sheet2!$C$2,-1)</f>
        <v>1</v>
      </c>
      <c r="X153" cm="1">
        <f t="array" ref="X153">_xlfn.IFS(K153&gt;sheet2!$D$2,1,K153=sheet2!$D$2,0,K153&lt;sheet2!$D$2,-1)</f>
        <v>0</v>
      </c>
      <c r="Y153" cm="1">
        <f t="array" ref="Y153">_xlfn.IFS(L153&gt;sheet2!$E$2,1,L153=sheet2!$E$2,0,L153&lt;sheet2!$E$2,-1)</f>
        <v>0</v>
      </c>
      <c r="Z153" cm="1">
        <f t="array" ref="Z153">_xlfn.IFS(M153&gt;sheet2!$F$2,1,M153=sheet2!$F$2,0,M153&lt;sheet2!$F$2,-1)</f>
        <v>1</v>
      </c>
      <c r="AA153" cm="1">
        <f t="array" ref="AA153">_xlfn.IFS(N153&gt;sheet2!$G$2,1,N153=sheet2!$G$2,0,N153&lt;sheet2!$G$2,-1)</f>
        <v>0</v>
      </c>
    </row>
    <row r="154" spans="5:27" ht="14.4" hidden="1" x14ac:dyDescent="0.25">
      <c r="E154" s="2">
        <v>21</v>
      </c>
      <c r="F154" s="2" t="s">
        <v>33</v>
      </c>
      <c r="G154" s="2">
        <v>2020</v>
      </c>
      <c r="H154" s="14">
        <v>0.29661110659145667</v>
      </c>
      <c r="I154" s="2">
        <f t="shared" si="28"/>
        <v>0.14115113546147406</v>
      </c>
      <c r="J154">
        <v>0.22</v>
      </c>
      <c r="K154">
        <v>0.13500000000000001</v>
      </c>
      <c r="L154">
        <v>0.18</v>
      </c>
      <c r="M154">
        <v>0.54</v>
      </c>
      <c r="N154">
        <v>0.65</v>
      </c>
      <c r="O154">
        <v>1.0999999999999999</v>
      </c>
      <c r="P154">
        <v>1</v>
      </c>
      <c r="Q154">
        <v>1</v>
      </c>
      <c r="R154">
        <v>2.16</v>
      </c>
      <c r="S154">
        <v>1</v>
      </c>
      <c r="T154">
        <f t="shared" si="23"/>
        <v>1.63</v>
      </c>
      <c r="U154">
        <f t="shared" si="24"/>
        <v>1</v>
      </c>
      <c r="V154">
        <f t="shared" si="25"/>
        <v>1</v>
      </c>
      <c r="W154" cm="1">
        <f t="array" ref="W154">_xlfn.IFS(J154&gt;sheet2!$C$2,1,J154=sheet2!$C$2,0,J154&lt;sheet2!$C$2,-1)</f>
        <v>1</v>
      </c>
      <c r="X154" cm="1">
        <f t="array" ref="X154">_xlfn.IFS(K154&gt;sheet2!$D$2,1,K154=sheet2!$D$2,0,K154&lt;sheet2!$D$2,-1)</f>
        <v>0</v>
      </c>
      <c r="Y154" cm="1">
        <f t="array" ref="Y154">_xlfn.IFS(L154&gt;sheet2!$E$2,1,L154=sheet2!$E$2,0,L154&lt;sheet2!$E$2,-1)</f>
        <v>0</v>
      </c>
      <c r="Z154" cm="1">
        <f t="array" ref="Z154">_xlfn.IFS(M154&gt;sheet2!$F$2,1,M154=sheet2!$F$2,0,M154&lt;sheet2!$F$2,-1)</f>
        <v>1</v>
      </c>
      <c r="AA154" cm="1">
        <f t="array" ref="AA154">_xlfn.IFS(N154&gt;sheet2!$G$2,1,N154=sheet2!$G$2,0,N154&lt;sheet2!$G$2,-1)</f>
        <v>0</v>
      </c>
    </row>
    <row r="155" spans="5:27" ht="14.4" x14ac:dyDescent="0.25">
      <c r="E155" s="2">
        <v>21</v>
      </c>
      <c r="F155" s="2" t="s">
        <v>33</v>
      </c>
      <c r="G155" s="2">
        <v>2021</v>
      </c>
      <c r="H155" s="14">
        <v>0.30773816825349215</v>
      </c>
      <c r="I155" s="2">
        <f t="shared" si="28"/>
        <v>3.7513975083075898E-2</v>
      </c>
      <c r="J155">
        <v>0.13</v>
      </c>
      <c r="K155">
        <v>0.14499999999999999</v>
      </c>
      <c r="L155">
        <v>0.20499999999999999</v>
      </c>
      <c r="M155">
        <v>0.2</v>
      </c>
      <c r="N155">
        <v>0.68</v>
      </c>
      <c r="O155">
        <v>0.65</v>
      </c>
      <c r="P155">
        <v>1.074074074074074</v>
      </c>
      <c r="Q155">
        <v>1.1388888888888888</v>
      </c>
      <c r="R155">
        <v>0.8</v>
      </c>
      <c r="S155">
        <v>1.0461538461538462</v>
      </c>
      <c r="T155">
        <f t="shared" si="23"/>
        <v>0.72500000000000009</v>
      </c>
      <c r="U155">
        <f t="shared" si="24"/>
        <v>1.074074074074074</v>
      </c>
      <c r="V155">
        <f t="shared" si="25"/>
        <v>1.0925213675213676</v>
      </c>
      <c r="W155" cm="1">
        <f t="array" ref="W155">_xlfn.IFS(J155&gt;sheet2!$C$2,1,J155=sheet2!$C$2,0,J155&lt;sheet2!$C$2,-1)</f>
        <v>-1</v>
      </c>
      <c r="X155" cm="1">
        <f t="array" ref="X155">_xlfn.IFS(K155&gt;sheet2!$D$2,1,K155=sheet2!$D$2,0,K155&lt;sheet2!$D$2,-1)</f>
        <v>1</v>
      </c>
      <c r="Y155" cm="1">
        <f t="array" ref="Y155">_xlfn.IFS(L155&gt;sheet2!$E$2,1,L155=sheet2!$E$2,0,L155&lt;sheet2!$E$2,-1)</f>
        <v>1</v>
      </c>
      <c r="Z155" cm="1">
        <f t="array" ref="Z155">_xlfn.IFS(M155&gt;sheet2!$F$2,1,M155=sheet2!$F$2,0,M155&lt;sheet2!$F$2,-1)</f>
        <v>-1</v>
      </c>
      <c r="AA155" cm="1">
        <f t="array" ref="AA155">_xlfn.IFS(N155&gt;sheet2!$G$2,1,N155=sheet2!$G$2,0,N155&lt;sheet2!$G$2,-1)</f>
        <v>1</v>
      </c>
    </row>
    <row r="156" spans="5:27" ht="14.4" hidden="1" x14ac:dyDescent="0.25">
      <c r="E156" s="2">
        <v>21</v>
      </c>
      <c r="F156" s="2" t="s">
        <v>33</v>
      </c>
      <c r="G156" s="2">
        <v>2022</v>
      </c>
      <c r="H156" s="14">
        <v>0.32340621910563694</v>
      </c>
      <c r="I156" s="2">
        <f t="shared" si="28"/>
        <v>5.0913576762563285E-2</v>
      </c>
      <c r="J156">
        <v>0.13</v>
      </c>
      <c r="K156">
        <v>0.14499999999999999</v>
      </c>
      <c r="L156">
        <v>0.20499999999999999</v>
      </c>
      <c r="M156">
        <v>0.2</v>
      </c>
      <c r="N156">
        <v>0.68</v>
      </c>
      <c r="O156">
        <v>0.65</v>
      </c>
      <c r="P156">
        <v>1.074074074074074</v>
      </c>
      <c r="Q156">
        <v>1.1388888888888888</v>
      </c>
      <c r="R156">
        <v>0.8</v>
      </c>
      <c r="S156">
        <v>1.0461538461538462</v>
      </c>
      <c r="T156">
        <f t="shared" si="23"/>
        <v>0.72500000000000009</v>
      </c>
      <c r="U156">
        <f t="shared" si="24"/>
        <v>1.074074074074074</v>
      </c>
      <c r="V156">
        <f t="shared" si="25"/>
        <v>1.0925213675213676</v>
      </c>
      <c r="W156" cm="1">
        <f t="array" ref="W156">_xlfn.IFS(J156&gt;sheet2!$C$2,1,J156=sheet2!$C$2,0,J156&lt;sheet2!$C$2,-1)</f>
        <v>-1</v>
      </c>
      <c r="X156" cm="1">
        <f t="array" ref="X156">_xlfn.IFS(K156&gt;sheet2!$D$2,1,K156=sheet2!$D$2,0,K156&lt;sheet2!$D$2,-1)</f>
        <v>1</v>
      </c>
      <c r="Y156" cm="1">
        <f t="array" ref="Y156">_xlfn.IFS(L156&gt;sheet2!$E$2,1,L156=sheet2!$E$2,0,L156&lt;sheet2!$E$2,-1)</f>
        <v>1</v>
      </c>
      <c r="Z156" cm="1">
        <f t="array" ref="Z156">_xlfn.IFS(M156&gt;sheet2!$F$2,1,M156=sheet2!$F$2,0,M156&lt;sheet2!$F$2,-1)</f>
        <v>-1</v>
      </c>
      <c r="AA156" cm="1">
        <f t="array" ref="AA156">_xlfn.IFS(N156&gt;sheet2!$G$2,1,N156=sheet2!$G$2,0,N156&lt;sheet2!$G$2,-1)</f>
        <v>1</v>
      </c>
    </row>
    <row r="157" spans="5:27" ht="14.4" hidden="1" x14ac:dyDescent="0.25">
      <c r="E157" s="2">
        <v>21</v>
      </c>
      <c r="F157" s="6" t="s">
        <v>34</v>
      </c>
      <c r="G157" s="2">
        <v>2023</v>
      </c>
      <c r="H157" s="16"/>
      <c r="I157" s="2"/>
      <c r="J157">
        <v>0.12</v>
      </c>
      <c r="K157">
        <v>0.13500000000000001</v>
      </c>
      <c r="L157">
        <v>0.18</v>
      </c>
      <c r="M157">
        <v>0.18</v>
      </c>
      <c r="N157">
        <v>0.65</v>
      </c>
      <c r="O157">
        <v>0.6</v>
      </c>
      <c r="P157">
        <v>1</v>
      </c>
      <c r="Q157">
        <v>1</v>
      </c>
      <c r="R157">
        <v>0.72</v>
      </c>
      <c r="S157">
        <v>1</v>
      </c>
      <c r="T157">
        <f t="shared" si="23"/>
        <v>0.65999999999999992</v>
      </c>
      <c r="U157">
        <f t="shared" si="24"/>
        <v>1</v>
      </c>
      <c r="V157">
        <f t="shared" si="25"/>
        <v>1</v>
      </c>
      <c r="W157" cm="1">
        <f t="array" ref="W157">_xlfn.IFS(J157&gt;sheet2!$C$2,1,J157=sheet2!$C$2,0,J157&lt;sheet2!$C$2,-1)</f>
        <v>-1</v>
      </c>
      <c r="X157" cm="1">
        <f t="array" ref="X157">_xlfn.IFS(K157&gt;sheet2!$D$2,1,K157=sheet2!$D$2,0,K157&lt;sheet2!$D$2,-1)</f>
        <v>0</v>
      </c>
      <c r="Y157" cm="1">
        <f t="array" ref="Y157">_xlfn.IFS(L157&gt;sheet2!$E$2,1,L157=sheet2!$E$2,0,L157&lt;sheet2!$E$2,-1)</f>
        <v>0</v>
      </c>
      <c r="Z157" cm="1">
        <f t="array" ref="Z157">_xlfn.IFS(M157&gt;sheet2!$F$2,1,M157=sheet2!$F$2,0,M157&lt;sheet2!$F$2,-1)</f>
        <v>-1</v>
      </c>
      <c r="AA157" cm="1">
        <f t="array" ref="AA157">_xlfn.IFS(N157&gt;sheet2!$G$2,1,N157=sheet2!$G$2,0,N157&lt;sheet2!$G$2,-1)</f>
        <v>0</v>
      </c>
    </row>
    <row r="158" spans="5:27" ht="14.4" hidden="1" x14ac:dyDescent="0.25">
      <c r="E158" s="2">
        <v>22</v>
      </c>
      <c r="F158" s="2" t="s">
        <v>35</v>
      </c>
      <c r="G158" s="2">
        <v>2016</v>
      </c>
      <c r="H158" s="14">
        <v>0.28599613518047928</v>
      </c>
      <c r="I158" s="2"/>
      <c r="J158">
        <v>0.2</v>
      </c>
      <c r="K158">
        <v>0.13500000000000001</v>
      </c>
      <c r="L158">
        <v>0.18</v>
      </c>
      <c r="M158">
        <v>0.25</v>
      </c>
      <c r="N158">
        <v>0.65</v>
      </c>
      <c r="O158">
        <v>1</v>
      </c>
      <c r="P158">
        <v>1</v>
      </c>
      <c r="Q158">
        <v>1</v>
      </c>
      <c r="R158">
        <v>1</v>
      </c>
      <c r="S158">
        <v>1</v>
      </c>
      <c r="T158">
        <f t="shared" si="23"/>
        <v>1</v>
      </c>
      <c r="U158">
        <f t="shared" si="24"/>
        <v>1</v>
      </c>
      <c r="V158">
        <f t="shared" si="25"/>
        <v>1</v>
      </c>
      <c r="W158" cm="1">
        <f t="array" ref="W158">_xlfn.IFS(J158&gt;sheet2!$C$2,1,J158=sheet2!$C$2,0,J158&lt;sheet2!$C$2,-1)</f>
        <v>0</v>
      </c>
      <c r="X158" cm="1">
        <f t="array" ref="X158">_xlfn.IFS(K158&gt;sheet2!$D$2,1,K158=sheet2!$D$2,0,K158&lt;sheet2!$D$2,-1)</f>
        <v>0</v>
      </c>
      <c r="Y158" cm="1">
        <f t="array" ref="Y158">_xlfn.IFS(L158&gt;sheet2!$E$2,1,L158=sheet2!$E$2,0,L158&lt;sheet2!$E$2,-1)</f>
        <v>0</v>
      </c>
      <c r="Z158" cm="1">
        <f t="array" ref="Z158">_xlfn.IFS(M158&gt;sheet2!$F$2,1,M158=sheet2!$F$2,0,M158&lt;sheet2!$F$2,-1)</f>
        <v>0</v>
      </c>
      <c r="AA158" cm="1">
        <f t="array" ref="AA158">_xlfn.IFS(N158&gt;sheet2!$G$2,1,N158=sheet2!$G$2,0,N158&lt;sheet2!$G$2,-1)</f>
        <v>0</v>
      </c>
    </row>
    <row r="159" spans="5:27" ht="14.4" hidden="1" x14ac:dyDescent="0.25">
      <c r="E159" s="2">
        <v>22</v>
      </c>
      <c r="F159" s="2" t="s">
        <v>35</v>
      </c>
      <c r="G159" s="2">
        <v>2017</v>
      </c>
      <c r="H159" s="14">
        <v>0.27242817553368753</v>
      </c>
      <c r="I159" s="2">
        <f t="shared" ref="I159:I164" si="29">(H159-H158)/H158</f>
        <v>-4.7441059433301853E-2</v>
      </c>
      <c r="J159">
        <v>0.2</v>
      </c>
      <c r="K159">
        <v>0.13500000000000001</v>
      </c>
      <c r="L159">
        <v>0.18</v>
      </c>
      <c r="M159">
        <v>0.25</v>
      </c>
      <c r="N159">
        <v>0.65</v>
      </c>
      <c r="O159">
        <v>1</v>
      </c>
      <c r="P159">
        <v>1</v>
      </c>
      <c r="Q159">
        <v>1</v>
      </c>
      <c r="R159">
        <v>1</v>
      </c>
      <c r="S159">
        <v>1</v>
      </c>
      <c r="T159">
        <f t="shared" si="23"/>
        <v>1</v>
      </c>
      <c r="U159">
        <f t="shared" si="24"/>
        <v>1</v>
      </c>
      <c r="V159">
        <f t="shared" si="25"/>
        <v>1</v>
      </c>
      <c r="W159" cm="1">
        <f t="array" ref="W159">_xlfn.IFS(J159&gt;sheet2!$C$2,1,J159=sheet2!$C$2,0,J159&lt;sheet2!$C$2,-1)</f>
        <v>0</v>
      </c>
      <c r="X159" cm="1">
        <f t="array" ref="X159">_xlfn.IFS(K159&gt;sheet2!$D$2,1,K159=sheet2!$D$2,0,K159&lt;sheet2!$D$2,-1)</f>
        <v>0</v>
      </c>
      <c r="Y159" cm="1">
        <f t="array" ref="Y159">_xlfn.IFS(L159&gt;sheet2!$E$2,1,L159=sheet2!$E$2,0,L159&lt;sheet2!$E$2,-1)</f>
        <v>0</v>
      </c>
      <c r="Z159" cm="1">
        <f t="array" ref="Z159">_xlfn.IFS(M159&gt;sheet2!$F$2,1,M159=sheet2!$F$2,0,M159&lt;sheet2!$F$2,-1)</f>
        <v>0</v>
      </c>
      <c r="AA159" cm="1">
        <f t="array" ref="AA159">_xlfn.IFS(N159&gt;sheet2!$G$2,1,N159=sheet2!$G$2,0,N159&lt;sheet2!$G$2,-1)</f>
        <v>0</v>
      </c>
    </row>
    <row r="160" spans="5:27" ht="14.4" hidden="1" x14ac:dyDescent="0.25">
      <c r="E160" s="2">
        <v>22</v>
      </c>
      <c r="F160" s="2" t="s">
        <v>35</v>
      </c>
      <c r="G160" s="2">
        <v>2018</v>
      </c>
      <c r="H160" s="14">
        <v>0.24931975876353871</v>
      </c>
      <c r="I160" s="2">
        <f t="shared" si="29"/>
        <v>-8.4823886974536966E-2</v>
      </c>
      <c r="J160">
        <v>0.2</v>
      </c>
      <c r="K160">
        <v>0.13500000000000001</v>
      </c>
      <c r="L160">
        <v>0.18</v>
      </c>
      <c r="M160">
        <v>0.25</v>
      </c>
      <c r="N160">
        <v>0.65</v>
      </c>
      <c r="O160">
        <v>1</v>
      </c>
      <c r="P160">
        <v>1</v>
      </c>
      <c r="Q160">
        <v>1</v>
      </c>
      <c r="R160">
        <v>1</v>
      </c>
      <c r="S160">
        <v>1</v>
      </c>
      <c r="T160">
        <f t="shared" si="23"/>
        <v>1</v>
      </c>
      <c r="U160">
        <f t="shared" si="24"/>
        <v>1</v>
      </c>
      <c r="V160">
        <f t="shared" si="25"/>
        <v>1</v>
      </c>
      <c r="W160" cm="1">
        <f t="array" ref="W160">_xlfn.IFS(J160&gt;sheet2!$C$2,1,J160=sheet2!$C$2,0,J160&lt;sheet2!$C$2,-1)</f>
        <v>0</v>
      </c>
      <c r="X160" cm="1">
        <f t="array" ref="X160">_xlfn.IFS(K160&gt;sheet2!$D$2,1,K160=sheet2!$D$2,0,K160&lt;sheet2!$D$2,-1)</f>
        <v>0</v>
      </c>
      <c r="Y160" cm="1">
        <f t="array" ref="Y160">_xlfn.IFS(L160&gt;sheet2!$E$2,1,L160=sheet2!$E$2,0,L160&lt;sheet2!$E$2,-1)</f>
        <v>0</v>
      </c>
      <c r="Z160" cm="1">
        <f t="array" ref="Z160">_xlfn.IFS(M160&gt;sheet2!$F$2,1,M160=sheet2!$F$2,0,M160&lt;sheet2!$F$2,-1)</f>
        <v>0</v>
      </c>
      <c r="AA160" cm="1">
        <f t="array" ref="AA160">_xlfn.IFS(N160&gt;sheet2!$G$2,1,N160=sheet2!$G$2,0,N160&lt;sheet2!$G$2,-1)</f>
        <v>0</v>
      </c>
    </row>
    <row r="161" spans="5:27" ht="14.4" hidden="1" x14ac:dyDescent="0.25">
      <c r="E161" s="2">
        <v>22</v>
      </c>
      <c r="F161" s="2" t="s">
        <v>35</v>
      </c>
      <c r="G161" s="2">
        <v>2019</v>
      </c>
      <c r="H161" s="14">
        <v>0.26189568507776467</v>
      </c>
      <c r="I161" s="2">
        <f t="shared" si="29"/>
        <v>5.0440953322730027E-2</v>
      </c>
      <c r="J161">
        <v>0.2</v>
      </c>
      <c r="K161">
        <v>0.13500000000000001</v>
      </c>
      <c r="L161">
        <v>0.18</v>
      </c>
      <c r="M161">
        <v>0.25</v>
      </c>
      <c r="N161">
        <v>0.65</v>
      </c>
      <c r="O161">
        <v>1</v>
      </c>
      <c r="P161">
        <v>1</v>
      </c>
      <c r="Q161">
        <v>1</v>
      </c>
      <c r="R161">
        <v>1</v>
      </c>
      <c r="S161">
        <v>1</v>
      </c>
      <c r="T161">
        <f t="shared" si="23"/>
        <v>1</v>
      </c>
      <c r="U161">
        <f t="shared" si="24"/>
        <v>1</v>
      </c>
      <c r="V161">
        <f t="shared" si="25"/>
        <v>1</v>
      </c>
      <c r="W161" cm="1">
        <f t="array" ref="W161">_xlfn.IFS(J161&gt;sheet2!$C$2,1,J161=sheet2!$C$2,0,J161&lt;sheet2!$C$2,-1)</f>
        <v>0</v>
      </c>
      <c r="X161" cm="1">
        <f t="array" ref="X161">_xlfn.IFS(K161&gt;sheet2!$D$2,1,K161=sheet2!$D$2,0,K161&lt;sheet2!$D$2,-1)</f>
        <v>0</v>
      </c>
      <c r="Y161" cm="1">
        <f t="array" ref="Y161">_xlfn.IFS(L161&gt;sheet2!$E$2,1,L161=sheet2!$E$2,0,L161&lt;sheet2!$E$2,-1)</f>
        <v>0</v>
      </c>
      <c r="Z161" cm="1">
        <f t="array" ref="Z161">_xlfn.IFS(M161&gt;sheet2!$F$2,1,M161=sheet2!$F$2,0,M161&lt;sheet2!$F$2,-1)</f>
        <v>0</v>
      </c>
      <c r="AA161" cm="1">
        <f t="array" ref="AA161">_xlfn.IFS(N161&gt;sheet2!$G$2,1,N161=sheet2!$G$2,0,N161&lt;sheet2!$G$2,-1)</f>
        <v>0</v>
      </c>
    </row>
    <row r="162" spans="5:27" ht="14.4" hidden="1" x14ac:dyDescent="0.25">
      <c r="E162" s="2">
        <v>22</v>
      </c>
      <c r="F162" s="2" t="s">
        <v>35</v>
      </c>
      <c r="G162" s="2">
        <v>2020</v>
      </c>
      <c r="H162" s="14">
        <v>0.26104775912144002</v>
      </c>
      <c r="I162" s="2">
        <f t="shared" si="29"/>
        <v>-3.2376476766804428E-3</v>
      </c>
      <c r="J162">
        <v>0.2</v>
      </c>
      <c r="K162">
        <v>0.13500000000000001</v>
      </c>
      <c r="L162">
        <v>0.18</v>
      </c>
      <c r="M162">
        <v>0.25</v>
      </c>
      <c r="N162">
        <v>0.65</v>
      </c>
      <c r="O162">
        <v>1</v>
      </c>
      <c r="P162">
        <v>1</v>
      </c>
      <c r="Q162">
        <v>1</v>
      </c>
      <c r="R162">
        <v>1</v>
      </c>
      <c r="S162">
        <v>1</v>
      </c>
      <c r="T162">
        <f t="shared" si="23"/>
        <v>1</v>
      </c>
      <c r="U162">
        <f t="shared" si="24"/>
        <v>1</v>
      </c>
      <c r="V162">
        <f t="shared" si="25"/>
        <v>1</v>
      </c>
      <c r="W162" cm="1">
        <f t="array" ref="W162">_xlfn.IFS(J162&gt;sheet2!$C$2,1,J162=sheet2!$C$2,0,J162&lt;sheet2!$C$2,-1)</f>
        <v>0</v>
      </c>
      <c r="X162" cm="1">
        <f t="array" ref="X162">_xlfn.IFS(K162&gt;sheet2!$D$2,1,K162=sheet2!$D$2,0,K162&lt;sheet2!$D$2,-1)</f>
        <v>0</v>
      </c>
      <c r="Y162" cm="1">
        <f t="array" ref="Y162">_xlfn.IFS(L162&gt;sheet2!$E$2,1,L162=sheet2!$E$2,0,L162&lt;sheet2!$E$2,-1)</f>
        <v>0</v>
      </c>
      <c r="Z162" cm="1">
        <f t="array" ref="Z162">_xlfn.IFS(M162&gt;sheet2!$F$2,1,M162=sheet2!$F$2,0,M162&lt;sheet2!$F$2,-1)</f>
        <v>0</v>
      </c>
      <c r="AA162" cm="1">
        <f t="array" ref="AA162">_xlfn.IFS(N162&gt;sheet2!$G$2,1,N162=sheet2!$G$2,0,N162&lt;sheet2!$G$2,-1)</f>
        <v>0</v>
      </c>
    </row>
    <row r="163" spans="5:27" ht="14.4" x14ac:dyDescent="0.25">
      <c r="E163" s="2">
        <v>22</v>
      </c>
      <c r="F163" s="2" t="s">
        <v>35</v>
      </c>
      <c r="G163" s="2">
        <v>2021</v>
      </c>
      <c r="H163" s="14">
        <v>0.28727369346296389</v>
      </c>
      <c r="I163" s="2">
        <f t="shared" si="29"/>
        <v>0.10046412361396102</v>
      </c>
      <c r="J163">
        <v>0.12</v>
      </c>
      <c r="K163">
        <v>0.13500000000000001</v>
      </c>
      <c r="L163">
        <v>0.18</v>
      </c>
      <c r="M163">
        <v>0.18</v>
      </c>
      <c r="N163">
        <v>0.65</v>
      </c>
      <c r="O163">
        <v>0.6</v>
      </c>
      <c r="P163">
        <v>1</v>
      </c>
      <c r="Q163">
        <v>1</v>
      </c>
      <c r="R163">
        <v>0.72</v>
      </c>
      <c r="S163">
        <v>1</v>
      </c>
      <c r="T163">
        <f t="shared" si="23"/>
        <v>0.65999999999999992</v>
      </c>
      <c r="U163">
        <f t="shared" si="24"/>
        <v>1</v>
      </c>
      <c r="V163">
        <f t="shared" si="25"/>
        <v>1</v>
      </c>
      <c r="W163" cm="1">
        <f t="array" ref="W163">_xlfn.IFS(J163&gt;sheet2!$C$2,1,J163=sheet2!$C$2,0,J163&lt;sheet2!$C$2,-1)</f>
        <v>-1</v>
      </c>
      <c r="X163" cm="1">
        <f t="array" ref="X163">_xlfn.IFS(K163&gt;sheet2!$D$2,1,K163=sheet2!$D$2,0,K163&lt;sheet2!$D$2,-1)</f>
        <v>0</v>
      </c>
      <c r="Y163" cm="1">
        <f t="array" ref="Y163">_xlfn.IFS(L163&gt;sheet2!$E$2,1,L163=sheet2!$E$2,0,L163&lt;sheet2!$E$2,-1)</f>
        <v>0</v>
      </c>
      <c r="Z163" cm="1">
        <f t="array" ref="Z163">_xlfn.IFS(M163&gt;sheet2!$F$2,1,M163=sheet2!$F$2,0,M163&lt;sheet2!$F$2,-1)</f>
        <v>-1</v>
      </c>
      <c r="AA163" cm="1">
        <f t="array" ref="AA163">_xlfn.IFS(N163&gt;sheet2!$G$2,1,N163=sheet2!$G$2,0,N163&lt;sheet2!$G$2,-1)</f>
        <v>0</v>
      </c>
    </row>
    <row r="164" spans="5:27" ht="14.4" hidden="1" x14ac:dyDescent="0.25">
      <c r="E164" s="2">
        <v>22</v>
      </c>
      <c r="F164" s="2" t="s">
        <v>35</v>
      </c>
      <c r="G164" s="2">
        <v>2022</v>
      </c>
      <c r="H164" s="14">
        <v>0.31617234985686388</v>
      </c>
      <c r="I164" s="2">
        <f t="shared" si="29"/>
        <v>0.10059625037551753</v>
      </c>
      <c r="J164">
        <v>0.12</v>
      </c>
      <c r="K164">
        <v>0.13500000000000001</v>
      </c>
      <c r="L164">
        <v>0.18</v>
      </c>
      <c r="M164">
        <v>0.18</v>
      </c>
      <c r="N164">
        <v>0.65</v>
      </c>
      <c r="O164">
        <v>0.6</v>
      </c>
      <c r="P164">
        <v>1</v>
      </c>
      <c r="Q164">
        <v>1</v>
      </c>
      <c r="R164">
        <v>0.72</v>
      </c>
      <c r="S164">
        <v>1</v>
      </c>
      <c r="T164">
        <f t="shared" si="23"/>
        <v>0.65999999999999992</v>
      </c>
      <c r="U164">
        <f t="shared" si="24"/>
        <v>1</v>
      </c>
      <c r="V164">
        <f t="shared" si="25"/>
        <v>1</v>
      </c>
      <c r="W164" cm="1">
        <f t="array" ref="W164">_xlfn.IFS(J164&gt;sheet2!$C$2,1,J164=sheet2!$C$2,0,J164&lt;sheet2!$C$2,-1)</f>
        <v>-1</v>
      </c>
      <c r="X164" cm="1">
        <f t="array" ref="X164">_xlfn.IFS(K164&gt;sheet2!$D$2,1,K164=sheet2!$D$2,0,K164&lt;sheet2!$D$2,-1)</f>
        <v>0</v>
      </c>
      <c r="Y164" cm="1">
        <f t="array" ref="Y164">_xlfn.IFS(L164&gt;sheet2!$E$2,1,L164=sheet2!$E$2,0,L164&lt;sheet2!$E$2,-1)</f>
        <v>0</v>
      </c>
      <c r="Z164" cm="1">
        <f t="array" ref="Z164">_xlfn.IFS(M164&gt;sheet2!$F$2,1,M164=sheet2!$F$2,0,M164&lt;sheet2!$F$2,-1)</f>
        <v>-1</v>
      </c>
      <c r="AA164" cm="1">
        <f t="array" ref="AA164">_xlfn.IFS(N164&gt;sheet2!$G$2,1,N164=sheet2!$G$2,0,N164&lt;sheet2!$G$2,-1)</f>
        <v>0</v>
      </c>
    </row>
    <row r="165" spans="5:27" ht="14.4" hidden="1" x14ac:dyDescent="0.25">
      <c r="E165" s="2">
        <v>23</v>
      </c>
      <c r="F165" s="2" t="s">
        <v>36</v>
      </c>
      <c r="G165" s="2">
        <v>2016</v>
      </c>
      <c r="H165" s="14">
        <v>0.2339518841730355</v>
      </c>
      <c r="I165" s="2"/>
      <c r="J165">
        <v>0.41499999999999998</v>
      </c>
      <c r="K165">
        <v>0.14000000000000001</v>
      </c>
      <c r="L165">
        <v>0.18</v>
      </c>
      <c r="M165">
        <v>0.435</v>
      </c>
      <c r="N165">
        <v>0.65</v>
      </c>
      <c r="O165">
        <v>2.0749999999999997</v>
      </c>
      <c r="P165">
        <v>1.037037037037037</v>
      </c>
      <c r="Q165">
        <v>1</v>
      </c>
      <c r="R165">
        <v>1.74</v>
      </c>
      <c r="S165">
        <v>1</v>
      </c>
      <c r="T165">
        <f t="shared" si="23"/>
        <v>1.9074999999999998</v>
      </c>
      <c r="U165">
        <f t="shared" si="24"/>
        <v>1.037037037037037</v>
      </c>
      <c r="V165">
        <f t="shared" si="25"/>
        <v>1</v>
      </c>
      <c r="W165" cm="1">
        <f t="array" ref="W165">_xlfn.IFS(J165&gt;sheet2!$C$2,1,J165=sheet2!$C$2,0,J165&lt;sheet2!$C$2,-1)</f>
        <v>1</v>
      </c>
      <c r="X165" cm="1">
        <f t="array" ref="X165">_xlfn.IFS(K165&gt;sheet2!$D$2,1,K165=sheet2!$D$2,0,K165&lt;sheet2!$D$2,-1)</f>
        <v>1</v>
      </c>
      <c r="Y165" cm="1">
        <f t="array" ref="Y165">_xlfn.IFS(L165&gt;sheet2!$E$2,1,L165=sheet2!$E$2,0,L165&lt;sheet2!$E$2,-1)</f>
        <v>0</v>
      </c>
      <c r="Z165" cm="1">
        <f t="array" ref="Z165">_xlfn.IFS(M165&gt;sheet2!$F$2,1,M165=sheet2!$F$2,0,M165&lt;sheet2!$F$2,-1)</f>
        <v>1</v>
      </c>
      <c r="AA165" cm="1">
        <f t="array" ref="AA165">_xlfn.IFS(N165&gt;sheet2!$G$2,1,N165=sheet2!$G$2,0,N165&lt;sheet2!$G$2,-1)</f>
        <v>0</v>
      </c>
    </row>
    <row r="166" spans="5:27" ht="14.4" hidden="1" x14ac:dyDescent="0.25">
      <c r="E166" s="2">
        <v>23</v>
      </c>
      <c r="F166" s="2" t="s">
        <v>36</v>
      </c>
      <c r="G166" s="2">
        <v>2017</v>
      </c>
      <c r="H166" s="14">
        <v>0.2439437696314827</v>
      </c>
      <c r="I166" s="2">
        <f t="shared" ref="I166:I171" si="30">(H166-H165)/H165</f>
        <v>4.2709147198220485E-2</v>
      </c>
      <c r="J166">
        <v>0.41499999999999998</v>
      </c>
      <c r="K166">
        <v>0.14000000000000001</v>
      </c>
      <c r="L166">
        <v>0.18</v>
      </c>
      <c r="M166">
        <v>0.435</v>
      </c>
      <c r="N166">
        <v>0.65</v>
      </c>
      <c r="O166">
        <v>2.0749999999999997</v>
      </c>
      <c r="P166">
        <v>1.037037037037037</v>
      </c>
      <c r="Q166">
        <v>1</v>
      </c>
      <c r="R166">
        <v>1.74</v>
      </c>
      <c r="S166">
        <v>1</v>
      </c>
      <c r="T166">
        <f t="shared" si="23"/>
        <v>1.9074999999999998</v>
      </c>
      <c r="U166">
        <f t="shared" si="24"/>
        <v>1.037037037037037</v>
      </c>
      <c r="V166">
        <f t="shared" si="25"/>
        <v>1</v>
      </c>
      <c r="W166" cm="1">
        <f t="array" ref="W166">_xlfn.IFS(J166&gt;sheet2!$C$2,1,J166=sheet2!$C$2,0,J166&lt;sheet2!$C$2,-1)</f>
        <v>1</v>
      </c>
      <c r="X166" cm="1">
        <f t="array" ref="X166">_xlfn.IFS(K166&gt;sheet2!$D$2,1,K166=sheet2!$D$2,0,K166&lt;sheet2!$D$2,-1)</f>
        <v>1</v>
      </c>
      <c r="Y166" cm="1">
        <f t="array" ref="Y166">_xlfn.IFS(L166&gt;sheet2!$E$2,1,L166=sheet2!$E$2,0,L166&lt;sheet2!$E$2,-1)</f>
        <v>0</v>
      </c>
      <c r="Z166" cm="1">
        <f t="array" ref="Z166">_xlfn.IFS(M166&gt;sheet2!$F$2,1,M166=sheet2!$F$2,0,M166&lt;sheet2!$F$2,-1)</f>
        <v>1</v>
      </c>
      <c r="AA166" cm="1">
        <f t="array" ref="AA166">_xlfn.IFS(N166&gt;sheet2!$G$2,1,N166=sheet2!$G$2,0,N166&lt;sheet2!$G$2,-1)</f>
        <v>0</v>
      </c>
    </row>
    <row r="167" spans="5:27" ht="14.4" hidden="1" x14ac:dyDescent="0.25">
      <c r="E167" s="2">
        <v>23</v>
      </c>
      <c r="F167" s="2" t="s">
        <v>36</v>
      </c>
      <c r="G167" s="2">
        <v>2018</v>
      </c>
      <c r="H167" s="14">
        <v>0.25856704445443585</v>
      </c>
      <c r="I167" s="2">
        <f t="shared" si="30"/>
        <v>5.9945268719279077E-2</v>
      </c>
      <c r="J167">
        <v>0.41499999999999998</v>
      </c>
      <c r="K167">
        <v>0.14000000000000001</v>
      </c>
      <c r="L167">
        <v>0.18</v>
      </c>
      <c r="M167">
        <v>0.435</v>
      </c>
      <c r="N167">
        <v>0.65</v>
      </c>
      <c r="O167">
        <v>2.0749999999999997</v>
      </c>
      <c r="P167">
        <v>1.037037037037037</v>
      </c>
      <c r="Q167">
        <v>1</v>
      </c>
      <c r="R167">
        <v>1.74</v>
      </c>
      <c r="S167">
        <v>1</v>
      </c>
      <c r="T167">
        <f t="shared" si="23"/>
        <v>1.9074999999999998</v>
      </c>
      <c r="U167">
        <f t="shared" si="24"/>
        <v>1.037037037037037</v>
      </c>
      <c r="V167">
        <f t="shared" si="25"/>
        <v>1</v>
      </c>
      <c r="W167" cm="1">
        <f t="array" ref="W167">_xlfn.IFS(J167&gt;sheet2!$C$2,1,J167=sheet2!$C$2,0,J167&lt;sheet2!$C$2,-1)</f>
        <v>1</v>
      </c>
      <c r="X167" cm="1">
        <f t="array" ref="X167">_xlfn.IFS(K167&gt;sheet2!$D$2,1,K167=sheet2!$D$2,0,K167&lt;sheet2!$D$2,-1)</f>
        <v>1</v>
      </c>
      <c r="Y167" cm="1">
        <f t="array" ref="Y167">_xlfn.IFS(L167&gt;sheet2!$E$2,1,L167=sheet2!$E$2,0,L167&lt;sheet2!$E$2,-1)</f>
        <v>0</v>
      </c>
      <c r="Z167" cm="1">
        <f t="array" ref="Z167">_xlfn.IFS(M167&gt;sheet2!$F$2,1,M167=sheet2!$F$2,0,M167&lt;sheet2!$F$2,-1)</f>
        <v>1</v>
      </c>
      <c r="AA167" cm="1">
        <f t="array" ref="AA167">_xlfn.IFS(N167&gt;sheet2!$G$2,1,N167=sheet2!$G$2,0,N167&lt;sheet2!$G$2,-1)</f>
        <v>0</v>
      </c>
    </row>
    <row r="168" spans="5:27" ht="14.4" hidden="1" x14ac:dyDescent="0.25">
      <c r="E168" s="2">
        <v>23</v>
      </c>
      <c r="F168" s="2" t="s">
        <v>36</v>
      </c>
      <c r="G168" s="2">
        <v>2019</v>
      </c>
      <c r="H168" s="14">
        <v>0.26794546049903106</v>
      </c>
      <c r="I168" s="2">
        <f t="shared" si="30"/>
        <v>3.6270732275194728E-2</v>
      </c>
      <c r="J168">
        <v>0.41499999999999998</v>
      </c>
      <c r="K168">
        <v>0.14000000000000001</v>
      </c>
      <c r="L168">
        <v>0.18</v>
      </c>
      <c r="M168">
        <v>0.435</v>
      </c>
      <c r="N168">
        <v>0.65</v>
      </c>
      <c r="O168">
        <v>2.0749999999999997</v>
      </c>
      <c r="P168">
        <v>1.037037037037037</v>
      </c>
      <c r="Q168">
        <v>1</v>
      </c>
      <c r="R168">
        <v>1.74</v>
      </c>
      <c r="S168">
        <v>1</v>
      </c>
      <c r="T168">
        <f t="shared" si="23"/>
        <v>1.9074999999999998</v>
      </c>
      <c r="U168">
        <f t="shared" si="24"/>
        <v>1.037037037037037</v>
      </c>
      <c r="V168">
        <f t="shared" si="25"/>
        <v>1</v>
      </c>
      <c r="W168" cm="1">
        <f t="array" ref="W168">_xlfn.IFS(J168&gt;sheet2!$C$2,1,J168=sheet2!$C$2,0,J168&lt;sheet2!$C$2,-1)</f>
        <v>1</v>
      </c>
      <c r="X168" cm="1">
        <f t="array" ref="X168">_xlfn.IFS(K168&gt;sheet2!$D$2,1,K168=sheet2!$D$2,0,K168&lt;sheet2!$D$2,-1)</f>
        <v>1</v>
      </c>
      <c r="Y168" cm="1">
        <f t="array" ref="Y168">_xlfn.IFS(L168&gt;sheet2!$E$2,1,L168=sheet2!$E$2,0,L168&lt;sheet2!$E$2,-1)</f>
        <v>0</v>
      </c>
      <c r="Z168" cm="1">
        <f t="array" ref="Z168">_xlfn.IFS(M168&gt;sheet2!$F$2,1,M168=sheet2!$F$2,0,M168&lt;sheet2!$F$2,-1)</f>
        <v>1</v>
      </c>
      <c r="AA168" cm="1">
        <f t="array" ref="AA168">_xlfn.IFS(N168&gt;sheet2!$G$2,1,N168=sheet2!$G$2,0,N168&lt;sheet2!$G$2,-1)</f>
        <v>0</v>
      </c>
    </row>
    <row r="169" spans="5:27" ht="14.4" hidden="1" x14ac:dyDescent="0.25">
      <c r="E169" s="2">
        <v>23</v>
      </c>
      <c r="F169" s="2" t="s">
        <v>36</v>
      </c>
      <c r="G169" s="2">
        <v>2020</v>
      </c>
      <c r="H169" s="14">
        <v>0.28735795021641081</v>
      </c>
      <c r="I169" s="2">
        <f t="shared" si="30"/>
        <v>7.2449406984635006E-2</v>
      </c>
      <c r="J169">
        <v>0.41499999999999998</v>
      </c>
      <c r="K169">
        <v>0.14000000000000001</v>
      </c>
      <c r="L169">
        <v>0.18</v>
      </c>
      <c r="M169">
        <v>0.435</v>
      </c>
      <c r="N169">
        <v>0.65</v>
      </c>
      <c r="O169">
        <v>2.0749999999999997</v>
      </c>
      <c r="P169">
        <v>1.037037037037037</v>
      </c>
      <c r="Q169">
        <v>1</v>
      </c>
      <c r="R169">
        <v>1.74</v>
      </c>
      <c r="S169">
        <v>1</v>
      </c>
      <c r="T169">
        <f t="shared" si="23"/>
        <v>1.9074999999999998</v>
      </c>
      <c r="U169">
        <f t="shared" si="24"/>
        <v>1.037037037037037</v>
      </c>
      <c r="V169">
        <f t="shared" si="25"/>
        <v>1</v>
      </c>
      <c r="W169" cm="1">
        <f t="array" ref="W169">_xlfn.IFS(J169&gt;sheet2!$C$2,1,J169=sheet2!$C$2,0,J169&lt;sheet2!$C$2,-1)</f>
        <v>1</v>
      </c>
      <c r="X169" cm="1">
        <f t="array" ref="X169">_xlfn.IFS(K169&gt;sheet2!$D$2,1,K169=sheet2!$D$2,0,K169&lt;sheet2!$D$2,-1)</f>
        <v>1</v>
      </c>
      <c r="Y169" cm="1">
        <f t="array" ref="Y169">_xlfn.IFS(L169&gt;sheet2!$E$2,1,L169=sheet2!$E$2,0,L169&lt;sheet2!$E$2,-1)</f>
        <v>0</v>
      </c>
      <c r="Z169" cm="1">
        <f t="array" ref="Z169">_xlfn.IFS(M169&gt;sheet2!$F$2,1,M169=sheet2!$F$2,0,M169&lt;sheet2!$F$2,-1)</f>
        <v>1</v>
      </c>
      <c r="AA169" cm="1">
        <f t="array" ref="AA169">_xlfn.IFS(N169&gt;sheet2!$G$2,1,N169=sheet2!$G$2,0,N169&lt;sheet2!$G$2,-1)</f>
        <v>0</v>
      </c>
    </row>
    <row r="170" spans="5:27" ht="14.4" x14ac:dyDescent="0.25">
      <c r="E170" s="2">
        <v>23</v>
      </c>
      <c r="F170" s="2" t="s">
        <v>36</v>
      </c>
      <c r="G170" s="2">
        <v>2021</v>
      </c>
      <c r="H170" s="14">
        <v>0.30438942936967972</v>
      </c>
      <c r="I170" s="2">
        <f t="shared" si="30"/>
        <v>5.9269211589386743E-2</v>
      </c>
      <c r="J170">
        <v>0.16</v>
      </c>
      <c r="K170">
        <v>0.13500000000000001</v>
      </c>
      <c r="L170">
        <v>0.18</v>
      </c>
      <c r="M170">
        <v>0.2</v>
      </c>
      <c r="N170">
        <v>0.65</v>
      </c>
      <c r="O170">
        <v>0.79999999999999993</v>
      </c>
      <c r="P170">
        <v>1</v>
      </c>
      <c r="Q170">
        <v>1</v>
      </c>
      <c r="R170">
        <v>0.8</v>
      </c>
      <c r="S170">
        <v>1</v>
      </c>
      <c r="T170">
        <f t="shared" si="23"/>
        <v>0.8</v>
      </c>
      <c r="U170">
        <f t="shared" si="24"/>
        <v>1</v>
      </c>
      <c r="V170">
        <f t="shared" si="25"/>
        <v>1</v>
      </c>
      <c r="W170" cm="1">
        <f t="array" ref="W170">_xlfn.IFS(J170&gt;sheet2!$C$2,1,J170=sheet2!$C$2,0,J170&lt;sheet2!$C$2,-1)</f>
        <v>-1</v>
      </c>
      <c r="X170" cm="1">
        <f t="array" ref="X170">_xlfn.IFS(K170&gt;sheet2!$D$2,1,K170=sheet2!$D$2,0,K170&lt;sheet2!$D$2,-1)</f>
        <v>0</v>
      </c>
      <c r="Y170" cm="1">
        <f t="array" ref="Y170">_xlfn.IFS(L170&gt;sheet2!$E$2,1,L170=sheet2!$E$2,0,L170&lt;sheet2!$E$2,-1)</f>
        <v>0</v>
      </c>
      <c r="Z170" cm="1">
        <f t="array" ref="Z170">_xlfn.IFS(M170&gt;sheet2!$F$2,1,M170=sheet2!$F$2,0,M170&lt;sheet2!$F$2,-1)</f>
        <v>-1</v>
      </c>
      <c r="AA170" cm="1">
        <f t="array" ref="AA170">_xlfn.IFS(N170&gt;sheet2!$G$2,1,N170=sheet2!$G$2,0,N170&lt;sheet2!$G$2,-1)</f>
        <v>0</v>
      </c>
    </row>
    <row r="171" spans="5:27" ht="14.4" hidden="1" x14ac:dyDescent="0.25">
      <c r="E171" s="2">
        <v>23</v>
      </c>
      <c r="F171" s="2" t="s">
        <v>36</v>
      </c>
      <c r="G171" s="2">
        <v>2022</v>
      </c>
      <c r="H171" s="14">
        <v>0.32120963659883772</v>
      </c>
      <c r="I171" s="2">
        <f t="shared" si="30"/>
        <v>5.5258841491272449E-2</v>
      </c>
      <c r="J171">
        <v>0.16</v>
      </c>
      <c r="K171">
        <v>0.13500000000000001</v>
      </c>
      <c r="L171">
        <v>0.18</v>
      </c>
      <c r="M171">
        <v>0.2</v>
      </c>
      <c r="N171">
        <v>0.65</v>
      </c>
      <c r="O171">
        <v>0.79999999999999993</v>
      </c>
      <c r="P171">
        <v>1</v>
      </c>
      <c r="Q171">
        <v>1</v>
      </c>
      <c r="R171">
        <v>0.8</v>
      </c>
      <c r="S171">
        <v>1</v>
      </c>
      <c r="T171">
        <f t="shared" si="23"/>
        <v>0.8</v>
      </c>
      <c r="U171">
        <f t="shared" si="24"/>
        <v>1</v>
      </c>
      <c r="V171">
        <f t="shared" si="25"/>
        <v>1</v>
      </c>
      <c r="W171" cm="1">
        <f t="array" ref="W171">_xlfn.IFS(J171&gt;sheet2!$C$2,1,J171=sheet2!$C$2,0,J171&lt;sheet2!$C$2,-1)</f>
        <v>-1</v>
      </c>
      <c r="X171" cm="1">
        <f t="array" ref="X171">_xlfn.IFS(K171&gt;sheet2!$D$2,1,K171=sheet2!$D$2,0,K171&lt;sheet2!$D$2,-1)</f>
        <v>0</v>
      </c>
      <c r="Y171" cm="1">
        <f t="array" ref="Y171">_xlfn.IFS(L171&gt;sheet2!$E$2,1,L171=sheet2!$E$2,0,L171&lt;sheet2!$E$2,-1)</f>
        <v>0</v>
      </c>
      <c r="Z171" cm="1">
        <f t="array" ref="Z171">_xlfn.IFS(M171&gt;sheet2!$F$2,1,M171=sheet2!$F$2,0,M171&lt;sheet2!$F$2,-1)</f>
        <v>-1</v>
      </c>
      <c r="AA171" cm="1">
        <f t="array" ref="AA171">_xlfn.IFS(N171&gt;sheet2!$G$2,1,N171=sheet2!$G$2,0,N171&lt;sheet2!$G$2,-1)</f>
        <v>0</v>
      </c>
    </row>
    <row r="172" spans="5:27" ht="14.4" hidden="1" x14ac:dyDescent="0.25">
      <c r="E172" s="2">
        <v>24</v>
      </c>
      <c r="F172" s="2" t="s">
        <v>37</v>
      </c>
      <c r="G172" s="2">
        <v>2016</v>
      </c>
      <c r="H172" s="14">
        <v>0.20289548920682518</v>
      </c>
      <c r="I172" s="2"/>
      <c r="J172">
        <v>0.21600000000000003</v>
      </c>
      <c r="K172">
        <v>0.13500000000000001</v>
      </c>
      <c r="L172">
        <v>0.18</v>
      </c>
      <c r="M172">
        <v>0.25</v>
      </c>
      <c r="N172">
        <v>0.65</v>
      </c>
      <c r="O172">
        <v>1.08</v>
      </c>
      <c r="P172">
        <v>1</v>
      </c>
      <c r="Q172">
        <v>1</v>
      </c>
      <c r="R172">
        <v>1</v>
      </c>
      <c r="S172">
        <v>1</v>
      </c>
      <c r="T172">
        <f t="shared" si="23"/>
        <v>1.04</v>
      </c>
      <c r="U172">
        <f t="shared" si="24"/>
        <v>1</v>
      </c>
      <c r="V172">
        <f t="shared" si="25"/>
        <v>1</v>
      </c>
      <c r="W172" cm="1">
        <f t="array" ref="W172">_xlfn.IFS(J172&gt;sheet2!$C$2,1,J172=sheet2!$C$2,0,J172&lt;sheet2!$C$2,-1)</f>
        <v>1</v>
      </c>
      <c r="X172" cm="1">
        <f t="array" ref="X172">_xlfn.IFS(K172&gt;sheet2!$D$2,1,K172=sheet2!$D$2,0,K172&lt;sheet2!$D$2,-1)</f>
        <v>0</v>
      </c>
      <c r="Y172" cm="1">
        <f t="array" ref="Y172">_xlfn.IFS(L172&gt;sheet2!$E$2,1,L172=sheet2!$E$2,0,L172&lt;sheet2!$E$2,-1)</f>
        <v>0</v>
      </c>
      <c r="Z172" cm="1">
        <f t="array" ref="Z172">_xlfn.IFS(M172&gt;sheet2!$F$2,1,M172=sheet2!$F$2,0,M172&lt;sheet2!$F$2,-1)</f>
        <v>0</v>
      </c>
      <c r="AA172" cm="1">
        <f t="array" ref="AA172">_xlfn.IFS(N172&gt;sheet2!$G$2,1,N172=sheet2!$G$2,0,N172&lt;sheet2!$G$2,-1)</f>
        <v>0</v>
      </c>
    </row>
    <row r="173" spans="5:27" ht="14.4" hidden="1" x14ac:dyDescent="0.25">
      <c r="E173" s="2">
        <v>24</v>
      </c>
      <c r="F173" s="2" t="s">
        <v>37</v>
      </c>
      <c r="G173" s="2">
        <v>2017</v>
      </c>
      <c r="H173" s="14">
        <v>0.2258386784564996</v>
      </c>
      <c r="I173" s="2">
        <f t="shared" ref="I173:I178" si="31">(H173-H172)/H172</f>
        <v>0.1130788532528038</v>
      </c>
      <c r="J173">
        <v>0.21600000000000003</v>
      </c>
      <c r="K173">
        <v>0.13500000000000001</v>
      </c>
      <c r="L173">
        <v>0.18</v>
      </c>
      <c r="M173">
        <v>0.25</v>
      </c>
      <c r="N173">
        <v>0.65</v>
      </c>
      <c r="O173">
        <v>1.08</v>
      </c>
      <c r="P173">
        <v>1</v>
      </c>
      <c r="Q173">
        <v>1</v>
      </c>
      <c r="R173">
        <v>1</v>
      </c>
      <c r="S173">
        <v>1</v>
      </c>
      <c r="T173">
        <f t="shared" si="23"/>
        <v>1.04</v>
      </c>
      <c r="U173">
        <f t="shared" si="24"/>
        <v>1</v>
      </c>
      <c r="V173">
        <f t="shared" si="25"/>
        <v>1</v>
      </c>
      <c r="W173" cm="1">
        <f t="array" ref="W173">_xlfn.IFS(J173&gt;sheet2!$C$2,1,J173=sheet2!$C$2,0,J173&lt;sheet2!$C$2,-1)</f>
        <v>1</v>
      </c>
      <c r="X173" cm="1">
        <f t="array" ref="X173">_xlfn.IFS(K173&gt;sheet2!$D$2,1,K173=sheet2!$D$2,0,K173&lt;sheet2!$D$2,-1)</f>
        <v>0</v>
      </c>
      <c r="Y173" cm="1">
        <f t="array" ref="Y173">_xlfn.IFS(L173&gt;sheet2!$E$2,1,L173=sheet2!$E$2,0,L173&lt;sheet2!$E$2,-1)</f>
        <v>0</v>
      </c>
      <c r="Z173" cm="1">
        <f t="array" ref="Z173">_xlfn.IFS(M173&gt;sheet2!$F$2,1,M173=sheet2!$F$2,0,M173&lt;sheet2!$F$2,-1)</f>
        <v>0</v>
      </c>
      <c r="AA173" cm="1">
        <f t="array" ref="AA173">_xlfn.IFS(N173&gt;sheet2!$G$2,1,N173=sheet2!$G$2,0,N173&lt;sheet2!$G$2,-1)</f>
        <v>0</v>
      </c>
    </row>
    <row r="174" spans="5:27" ht="14.4" hidden="1" x14ac:dyDescent="0.25">
      <c r="E174" s="2">
        <v>24</v>
      </c>
      <c r="F174" s="2" t="s">
        <v>37</v>
      </c>
      <c r="G174" s="2">
        <v>2018</v>
      </c>
      <c r="H174" s="14">
        <v>0.24444318176343194</v>
      </c>
      <c r="I174" s="2">
        <f t="shared" si="31"/>
        <v>8.2379614661604039E-2</v>
      </c>
      <c r="J174">
        <v>0.21600000000000003</v>
      </c>
      <c r="K174">
        <v>0.13500000000000001</v>
      </c>
      <c r="L174">
        <v>0.18</v>
      </c>
      <c r="M174">
        <v>0.25</v>
      </c>
      <c r="N174">
        <v>0.65</v>
      </c>
      <c r="O174">
        <v>1.08</v>
      </c>
      <c r="P174">
        <v>1</v>
      </c>
      <c r="Q174">
        <v>1</v>
      </c>
      <c r="R174">
        <v>1</v>
      </c>
      <c r="S174">
        <v>1</v>
      </c>
      <c r="T174">
        <f t="shared" si="23"/>
        <v>1.04</v>
      </c>
      <c r="U174">
        <f t="shared" si="24"/>
        <v>1</v>
      </c>
      <c r="V174">
        <f t="shared" si="25"/>
        <v>1</v>
      </c>
      <c r="W174" cm="1">
        <f t="array" ref="W174">_xlfn.IFS(J174&gt;sheet2!$C$2,1,J174=sheet2!$C$2,0,J174&lt;sheet2!$C$2,-1)</f>
        <v>1</v>
      </c>
      <c r="X174" cm="1">
        <f t="array" ref="X174">_xlfn.IFS(K174&gt;sheet2!$D$2,1,K174=sheet2!$D$2,0,K174&lt;sheet2!$D$2,-1)</f>
        <v>0</v>
      </c>
      <c r="Y174" cm="1">
        <f t="array" ref="Y174">_xlfn.IFS(L174&gt;sheet2!$E$2,1,L174=sheet2!$E$2,0,L174&lt;sheet2!$E$2,-1)</f>
        <v>0</v>
      </c>
      <c r="Z174" cm="1">
        <f t="array" ref="Z174">_xlfn.IFS(M174&gt;sheet2!$F$2,1,M174=sheet2!$F$2,0,M174&lt;sheet2!$F$2,-1)</f>
        <v>0</v>
      </c>
      <c r="AA174" cm="1">
        <f t="array" ref="AA174">_xlfn.IFS(N174&gt;sheet2!$G$2,1,N174=sheet2!$G$2,0,N174&lt;sheet2!$G$2,-1)</f>
        <v>0</v>
      </c>
    </row>
    <row r="175" spans="5:27" ht="14.4" hidden="1" x14ac:dyDescent="0.25">
      <c r="E175" s="2">
        <v>24</v>
      </c>
      <c r="F175" s="2" t="s">
        <v>37</v>
      </c>
      <c r="G175" s="2">
        <v>2019</v>
      </c>
      <c r="H175" s="14">
        <v>0.2532258094864816</v>
      </c>
      <c r="I175" s="2">
        <f t="shared" si="31"/>
        <v>3.5929117186624351E-2</v>
      </c>
      <c r="J175">
        <v>0.21600000000000003</v>
      </c>
      <c r="K175">
        <v>0.13500000000000001</v>
      </c>
      <c r="L175">
        <v>0.18</v>
      </c>
      <c r="M175">
        <v>0.25</v>
      </c>
      <c r="N175">
        <v>0.65</v>
      </c>
      <c r="O175">
        <v>1.08</v>
      </c>
      <c r="P175">
        <v>1</v>
      </c>
      <c r="Q175">
        <v>1</v>
      </c>
      <c r="R175">
        <v>1</v>
      </c>
      <c r="S175">
        <v>1</v>
      </c>
      <c r="T175">
        <f t="shared" si="23"/>
        <v>1.04</v>
      </c>
      <c r="U175">
        <f t="shared" si="24"/>
        <v>1</v>
      </c>
      <c r="V175">
        <f t="shared" si="25"/>
        <v>1</v>
      </c>
      <c r="W175" cm="1">
        <f t="array" ref="W175">_xlfn.IFS(J175&gt;sheet2!$C$2,1,J175=sheet2!$C$2,0,J175&lt;sheet2!$C$2,-1)</f>
        <v>1</v>
      </c>
      <c r="X175" cm="1">
        <f t="array" ref="X175">_xlfn.IFS(K175&gt;sheet2!$D$2,1,K175=sheet2!$D$2,0,K175&lt;sheet2!$D$2,-1)</f>
        <v>0</v>
      </c>
      <c r="Y175" cm="1">
        <f t="array" ref="Y175">_xlfn.IFS(L175&gt;sheet2!$E$2,1,L175=sheet2!$E$2,0,L175&lt;sheet2!$E$2,-1)</f>
        <v>0</v>
      </c>
      <c r="Z175" cm="1">
        <f t="array" ref="Z175">_xlfn.IFS(M175&gt;sheet2!$F$2,1,M175=sheet2!$F$2,0,M175&lt;sheet2!$F$2,-1)</f>
        <v>0</v>
      </c>
      <c r="AA175" cm="1">
        <f t="array" ref="AA175">_xlfn.IFS(N175&gt;sheet2!$G$2,1,N175=sheet2!$G$2,0,N175&lt;sheet2!$G$2,-1)</f>
        <v>0</v>
      </c>
    </row>
    <row r="176" spans="5:27" ht="14.4" hidden="1" x14ac:dyDescent="0.25">
      <c r="E176" s="2">
        <v>24</v>
      </c>
      <c r="F176" s="2" t="s">
        <v>37</v>
      </c>
      <c r="G176" s="2">
        <v>2020</v>
      </c>
      <c r="H176" s="14">
        <v>0.25851904074859594</v>
      </c>
      <c r="I176" s="2">
        <f t="shared" si="31"/>
        <v>2.0903206007509743E-2</v>
      </c>
      <c r="J176">
        <v>0.21600000000000003</v>
      </c>
      <c r="K176">
        <v>0.13500000000000001</v>
      </c>
      <c r="L176">
        <v>0.18</v>
      </c>
      <c r="M176">
        <v>0.25</v>
      </c>
      <c r="N176">
        <v>0.65</v>
      </c>
      <c r="O176">
        <v>1.08</v>
      </c>
      <c r="P176">
        <v>1</v>
      </c>
      <c r="Q176">
        <v>1</v>
      </c>
      <c r="R176">
        <v>1</v>
      </c>
      <c r="S176">
        <v>1</v>
      </c>
      <c r="T176">
        <f t="shared" si="23"/>
        <v>1.04</v>
      </c>
      <c r="U176">
        <f t="shared" si="24"/>
        <v>1</v>
      </c>
      <c r="V176">
        <f t="shared" si="25"/>
        <v>1</v>
      </c>
      <c r="W176" cm="1">
        <f t="array" ref="W176">_xlfn.IFS(J176&gt;sheet2!$C$2,1,J176=sheet2!$C$2,0,J176&lt;sheet2!$C$2,-1)</f>
        <v>1</v>
      </c>
      <c r="X176" cm="1">
        <f t="array" ref="X176">_xlfn.IFS(K176&gt;sheet2!$D$2,1,K176=sheet2!$D$2,0,K176&lt;sheet2!$D$2,-1)</f>
        <v>0</v>
      </c>
      <c r="Y176" cm="1">
        <f t="array" ref="Y176">_xlfn.IFS(L176&gt;sheet2!$E$2,1,L176=sheet2!$E$2,0,L176&lt;sheet2!$E$2,-1)</f>
        <v>0</v>
      </c>
      <c r="Z176" cm="1">
        <f t="array" ref="Z176">_xlfn.IFS(M176&gt;sheet2!$F$2,1,M176=sheet2!$F$2,0,M176&lt;sheet2!$F$2,-1)</f>
        <v>0</v>
      </c>
      <c r="AA176" cm="1">
        <f t="array" ref="AA176">_xlfn.IFS(N176&gt;sheet2!$G$2,1,N176=sheet2!$G$2,0,N176&lt;sheet2!$G$2,-1)</f>
        <v>0</v>
      </c>
    </row>
    <row r="177" spans="5:27" ht="14.4" x14ac:dyDescent="0.25">
      <c r="E177" s="2">
        <v>24</v>
      </c>
      <c r="F177" s="2" t="s">
        <v>37</v>
      </c>
      <c r="G177" s="2">
        <v>2021</v>
      </c>
      <c r="H177" s="14">
        <v>0.27889246121149786</v>
      </c>
      <c r="I177" s="2">
        <f t="shared" si="31"/>
        <v>7.8808200757307531E-2</v>
      </c>
      <c r="J177">
        <v>0.16</v>
      </c>
      <c r="K177">
        <v>0.13500000000000001</v>
      </c>
      <c r="L177">
        <v>0.18</v>
      </c>
      <c r="M177">
        <v>0.2</v>
      </c>
      <c r="N177">
        <v>0.65</v>
      </c>
      <c r="O177">
        <v>0.79999999999999993</v>
      </c>
      <c r="P177">
        <v>1</v>
      </c>
      <c r="Q177">
        <v>1</v>
      </c>
      <c r="R177">
        <v>0.8</v>
      </c>
      <c r="S177">
        <v>1</v>
      </c>
      <c r="T177">
        <f t="shared" si="23"/>
        <v>0.8</v>
      </c>
      <c r="U177">
        <f t="shared" si="24"/>
        <v>1</v>
      </c>
      <c r="V177">
        <f t="shared" si="25"/>
        <v>1</v>
      </c>
      <c r="W177" cm="1">
        <f t="array" ref="W177">_xlfn.IFS(J177&gt;sheet2!$C$2,1,J177=sheet2!$C$2,0,J177&lt;sheet2!$C$2,-1)</f>
        <v>-1</v>
      </c>
      <c r="X177" cm="1">
        <f t="array" ref="X177">_xlfn.IFS(K177&gt;sheet2!$D$2,1,K177=sheet2!$D$2,0,K177&lt;sheet2!$D$2,-1)</f>
        <v>0</v>
      </c>
      <c r="Y177" cm="1">
        <f t="array" ref="Y177">_xlfn.IFS(L177&gt;sheet2!$E$2,1,L177=sheet2!$E$2,0,L177&lt;sheet2!$E$2,-1)</f>
        <v>0</v>
      </c>
      <c r="Z177" cm="1">
        <f t="array" ref="Z177">_xlfn.IFS(M177&gt;sheet2!$F$2,1,M177=sheet2!$F$2,0,M177&lt;sheet2!$F$2,-1)</f>
        <v>-1</v>
      </c>
      <c r="AA177" cm="1">
        <f t="array" ref="AA177">_xlfn.IFS(N177&gt;sheet2!$G$2,1,N177=sheet2!$G$2,0,N177&lt;sheet2!$G$2,-1)</f>
        <v>0</v>
      </c>
    </row>
    <row r="178" spans="5:27" ht="14.4" hidden="1" x14ac:dyDescent="0.25">
      <c r="E178" s="2">
        <v>24</v>
      </c>
      <c r="F178" s="2" t="s">
        <v>37</v>
      </c>
      <c r="G178" s="2">
        <v>2022</v>
      </c>
      <c r="H178" s="14">
        <v>0.29392817999617427</v>
      </c>
      <c r="I178" s="2">
        <f t="shared" si="31"/>
        <v>5.3912245312626381E-2</v>
      </c>
      <c r="J178">
        <v>0.2</v>
      </c>
      <c r="K178">
        <v>0.14000000000000001</v>
      </c>
      <c r="L178">
        <v>0.18</v>
      </c>
      <c r="M178">
        <v>0.25</v>
      </c>
      <c r="N178">
        <v>0.7</v>
      </c>
      <c r="O178">
        <v>1</v>
      </c>
      <c r="P178">
        <v>1.037037037037037</v>
      </c>
      <c r="Q178">
        <v>1</v>
      </c>
      <c r="R178">
        <v>1</v>
      </c>
      <c r="S178">
        <v>1.0769230769230769</v>
      </c>
      <c r="T178">
        <f t="shared" si="23"/>
        <v>1</v>
      </c>
      <c r="U178">
        <f t="shared" si="24"/>
        <v>1.037037037037037</v>
      </c>
      <c r="V178">
        <f t="shared" si="25"/>
        <v>1.0384615384615383</v>
      </c>
      <c r="W178" cm="1">
        <f t="array" ref="W178">_xlfn.IFS(J178&gt;sheet2!$C$2,1,J178=sheet2!$C$2,0,J178&lt;sheet2!$C$2,-1)</f>
        <v>0</v>
      </c>
      <c r="X178" cm="1">
        <f t="array" ref="X178">_xlfn.IFS(K178&gt;sheet2!$D$2,1,K178=sheet2!$D$2,0,K178&lt;sheet2!$D$2,-1)</f>
        <v>1</v>
      </c>
      <c r="Y178" cm="1">
        <f t="array" ref="Y178">_xlfn.IFS(L178&gt;sheet2!$E$2,1,L178=sheet2!$E$2,0,L178&lt;sheet2!$E$2,-1)</f>
        <v>0</v>
      </c>
      <c r="Z178" cm="1">
        <f t="array" ref="Z178">_xlfn.IFS(M178&gt;sheet2!$F$2,1,M178=sheet2!$F$2,0,M178&lt;sheet2!$F$2,-1)</f>
        <v>0</v>
      </c>
      <c r="AA178" cm="1">
        <f t="array" ref="AA178">_xlfn.IFS(N178&gt;sheet2!$G$2,1,N178=sheet2!$G$2,0,N178&lt;sheet2!$G$2,-1)</f>
        <v>1</v>
      </c>
    </row>
    <row r="179" spans="5:27" ht="14.4" hidden="1" x14ac:dyDescent="0.25">
      <c r="E179" s="2">
        <v>25</v>
      </c>
      <c r="F179" s="2" t="s">
        <v>38</v>
      </c>
      <c r="G179" s="2">
        <v>2016</v>
      </c>
      <c r="H179" s="14">
        <v>0.23463349641010409</v>
      </c>
      <c r="I179" s="2"/>
      <c r="J179">
        <v>0.2</v>
      </c>
      <c r="K179">
        <v>0.13500000000000001</v>
      </c>
      <c r="L179">
        <v>0.18</v>
      </c>
      <c r="M179">
        <v>0.25</v>
      </c>
      <c r="N179">
        <v>0.65</v>
      </c>
      <c r="O179">
        <v>1</v>
      </c>
      <c r="P179">
        <v>1</v>
      </c>
      <c r="Q179">
        <v>1</v>
      </c>
      <c r="R179">
        <v>1</v>
      </c>
      <c r="S179">
        <v>1</v>
      </c>
      <c r="T179">
        <f t="shared" si="23"/>
        <v>1</v>
      </c>
      <c r="U179">
        <f t="shared" si="24"/>
        <v>1</v>
      </c>
      <c r="V179">
        <f t="shared" si="25"/>
        <v>1</v>
      </c>
      <c r="W179" cm="1">
        <f t="array" ref="W179">_xlfn.IFS(J179&gt;sheet2!$C$2,1,J179=sheet2!$C$2,0,J179&lt;sheet2!$C$2,-1)</f>
        <v>0</v>
      </c>
      <c r="X179" cm="1">
        <f t="array" ref="X179">_xlfn.IFS(K179&gt;sheet2!$D$2,1,K179=sheet2!$D$2,0,K179&lt;sheet2!$D$2,-1)</f>
        <v>0</v>
      </c>
      <c r="Y179" cm="1">
        <f t="array" ref="Y179">_xlfn.IFS(L179&gt;sheet2!$E$2,1,L179=sheet2!$E$2,0,L179&lt;sheet2!$E$2,-1)</f>
        <v>0</v>
      </c>
      <c r="Z179" cm="1">
        <f t="array" ref="Z179">_xlfn.IFS(M179&gt;sheet2!$F$2,1,M179=sheet2!$F$2,0,M179&lt;sheet2!$F$2,-1)</f>
        <v>0</v>
      </c>
      <c r="AA179" cm="1">
        <f t="array" ref="AA179">_xlfn.IFS(N179&gt;sheet2!$G$2,1,N179=sheet2!$G$2,0,N179&lt;sheet2!$G$2,-1)</f>
        <v>0</v>
      </c>
    </row>
    <row r="180" spans="5:27" ht="14.4" hidden="1" x14ac:dyDescent="0.25">
      <c r="E180" s="2">
        <v>25</v>
      </c>
      <c r="F180" s="2" t="s">
        <v>38</v>
      </c>
      <c r="G180" s="2">
        <v>2017</v>
      </c>
      <c r="H180" s="14">
        <v>0.25204692800866818</v>
      </c>
      <c r="I180" s="2">
        <f t="shared" ref="I180:I185" si="32">(H180-H179)/H179</f>
        <v>7.4215454591905469E-2</v>
      </c>
      <c r="J180">
        <v>0.2</v>
      </c>
      <c r="K180">
        <v>0.13500000000000001</v>
      </c>
      <c r="L180">
        <v>0.18</v>
      </c>
      <c r="M180">
        <v>0.25</v>
      </c>
      <c r="N180">
        <v>0.65</v>
      </c>
      <c r="O180">
        <v>1</v>
      </c>
      <c r="P180">
        <v>1</v>
      </c>
      <c r="Q180">
        <v>1</v>
      </c>
      <c r="R180">
        <v>1</v>
      </c>
      <c r="S180">
        <v>1</v>
      </c>
      <c r="T180">
        <f t="shared" si="23"/>
        <v>1</v>
      </c>
      <c r="U180">
        <f t="shared" si="24"/>
        <v>1</v>
      </c>
      <c r="V180">
        <f t="shared" si="25"/>
        <v>1</v>
      </c>
      <c r="W180" cm="1">
        <f t="array" ref="W180">_xlfn.IFS(J180&gt;sheet2!$C$2,1,J180=sheet2!$C$2,0,J180&lt;sheet2!$C$2,-1)</f>
        <v>0</v>
      </c>
      <c r="X180" cm="1">
        <f t="array" ref="X180">_xlfn.IFS(K180&gt;sheet2!$D$2,1,K180=sheet2!$D$2,0,K180&lt;sheet2!$D$2,-1)</f>
        <v>0</v>
      </c>
      <c r="Y180" cm="1">
        <f t="array" ref="Y180">_xlfn.IFS(L180&gt;sheet2!$E$2,1,L180=sheet2!$E$2,0,L180&lt;sheet2!$E$2,-1)</f>
        <v>0</v>
      </c>
      <c r="Z180" cm="1">
        <f t="array" ref="Z180">_xlfn.IFS(M180&gt;sheet2!$F$2,1,M180=sheet2!$F$2,0,M180&lt;sheet2!$F$2,-1)</f>
        <v>0</v>
      </c>
      <c r="AA180" cm="1">
        <f t="array" ref="AA180">_xlfn.IFS(N180&gt;sheet2!$G$2,1,N180=sheet2!$G$2,0,N180&lt;sheet2!$G$2,-1)</f>
        <v>0</v>
      </c>
    </row>
    <row r="181" spans="5:27" ht="14.4" hidden="1" x14ac:dyDescent="0.25">
      <c r="E181" s="2">
        <v>25</v>
      </c>
      <c r="F181" s="2" t="s">
        <v>38</v>
      </c>
      <c r="G181" s="2">
        <v>2018</v>
      </c>
      <c r="H181" s="14">
        <v>0.25729242118056034</v>
      </c>
      <c r="I181" s="2">
        <f t="shared" si="32"/>
        <v>2.0811573516626072E-2</v>
      </c>
      <c r="J181">
        <v>0.2</v>
      </c>
      <c r="K181">
        <v>0.13500000000000001</v>
      </c>
      <c r="L181">
        <v>0.18</v>
      </c>
      <c r="M181">
        <v>0.25</v>
      </c>
      <c r="N181">
        <v>0.65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f t="shared" si="23"/>
        <v>1</v>
      </c>
      <c r="U181">
        <f t="shared" si="24"/>
        <v>1</v>
      </c>
      <c r="V181">
        <f t="shared" si="25"/>
        <v>1</v>
      </c>
      <c r="W181" cm="1">
        <f t="array" ref="W181">_xlfn.IFS(J181&gt;sheet2!$C$2,1,J181=sheet2!$C$2,0,J181&lt;sheet2!$C$2,-1)</f>
        <v>0</v>
      </c>
      <c r="X181" cm="1">
        <f t="array" ref="X181">_xlfn.IFS(K181&gt;sheet2!$D$2,1,K181=sheet2!$D$2,0,K181&lt;sheet2!$D$2,-1)</f>
        <v>0</v>
      </c>
      <c r="Y181" cm="1">
        <f t="array" ref="Y181">_xlfn.IFS(L181&gt;sheet2!$E$2,1,L181=sheet2!$E$2,0,L181&lt;sheet2!$E$2,-1)</f>
        <v>0</v>
      </c>
      <c r="Z181" cm="1">
        <f t="array" ref="Z181">_xlfn.IFS(M181&gt;sheet2!$F$2,1,M181=sheet2!$F$2,0,M181&lt;sheet2!$F$2,-1)</f>
        <v>0</v>
      </c>
      <c r="AA181" cm="1">
        <f t="array" ref="AA181">_xlfn.IFS(N181&gt;sheet2!$G$2,1,N181=sheet2!$G$2,0,N181&lt;sheet2!$G$2,-1)</f>
        <v>0</v>
      </c>
    </row>
    <row r="182" spans="5:27" ht="14.4" hidden="1" x14ac:dyDescent="0.25">
      <c r="E182" s="2">
        <v>25</v>
      </c>
      <c r="F182" s="2" t="s">
        <v>38</v>
      </c>
      <c r="G182" s="2">
        <v>2019</v>
      </c>
      <c r="H182" s="14">
        <v>0.2628292038525521</v>
      </c>
      <c r="I182" s="2">
        <f t="shared" si="32"/>
        <v>2.1519416104783765E-2</v>
      </c>
      <c r="J182">
        <v>0.2</v>
      </c>
      <c r="K182">
        <v>0.13500000000000001</v>
      </c>
      <c r="L182">
        <v>0.18</v>
      </c>
      <c r="M182">
        <v>0.25</v>
      </c>
      <c r="N182">
        <v>0.65</v>
      </c>
      <c r="O182">
        <v>1</v>
      </c>
      <c r="P182">
        <v>1</v>
      </c>
      <c r="Q182">
        <v>1</v>
      </c>
      <c r="R182">
        <v>1</v>
      </c>
      <c r="S182">
        <v>1</v>
      </c>
      <c r="T182">
        <f t="shared" si="23"/>
        <v>1</v>
      </c>
      <c r="U182">
        <f t="shared" si="24"/>
        <v>1</v>
      </c>
      <c r="V182">
        <f t="shared" si="25"/>
        <v>1</v>
      </c>
      <c r="W182" cm="1">
        <f t="array" ref="W182">_xlfn.IFS(J182&gt;sheet2!$C$2,1,J182=sheet2!$C$2,0,J182&lt;sheet2!$C$2,-1)</f>
        <v>0</v>
      </c>
      <c r="X182" cm="1">
        <f t="array" ref="X182">_xlfn.IFS(K182&gt;sheet2!$D$2,1,K182=sheet2!$D$2,0,K182&lt;sheet2!$D$2,-1)</f>
        <v>0</v>
      </c>
      <c r="Y182" cm="1">
        <f t="array" ref="Y182">_xlfn.IFS(L182&gt;sheet2!$E$2,1,L182=sheet2!$E$2,0,L182&lt;sheet2!$E$2,-1)</f>
        <v>0</v>
      </c>
      <c r="Z182" cm="1">
        <f t="array" ref="Z182">_xlfn.IFS(M182&gt;sheet2!$F$2,1,M182=sheet2!$F$2,0,M182&lt;sheet2!$F$2,-1)</f>
        <v>0</v>
      </c>
      <c r="AA182" cm="1">
        <f t="array" ref="AA182">_xlfn.IFS(N182&gt;sheet2!$G$2,1,N182=sheet2!$G$2,0,N182&lt;sheet2!$G$2,-1)</f>
        <v>0</v>
      </c>
    </row>
    <row r="183" spans="5:27" ht="14.4" hidden="1" x14ac:dyDescent="0.25">
      <c r="E183" s="2">
        <v>25</v>
      </c>
      <c r="F183" s="2" t="s">
        <v>38</v>
      </c>
      <c r="G183" s="2">
        <v>2020</v>
      </c>
      <c r="H183" s="14">
        <v>0.28573227949482205</v>
      </c>
      <c r="I183" s="2">
        <f t="shared" si="32"/>
        <v>8.7140528170220541E-2</v>
      </c>
      <c r="J183">
        <v>0.2</v>
      </c>
      <c r="K183">
        <v>0.13500000000000001</v>
      </c>
      <c r="L183">
        <v>0.18</v>
      </c>
      <c r="M183">
        <v>0.25</v>
      </c>
      <c r="N183">
        <v>0.65</v>
      </c>
      <c r="O183">
        <v>1</v>
      </c>
      <c r="P183">
        <v>1</v>
      </c>
      <c r="Q183">
        <v>1</v>
      </c>
      <c r="R183">
        <v>1</v>
      </c>
      <c r="S183">
        <v>1</v>
      </c>
      <c r="T183">
        <f t="shared" si="23"/>
        <v>1</v>
      </c>
      <c r="U183">
        <f t="shared" si="24"/>
        <v>1</v>
      </c>
      <c r="V183">
        <f t="shared" si="25"/>
        <v>1</v>
      </c>
      <c r="W183" cm="1">
        <f t="array" ref="W183">_xlfn.IFS(J183&gt;sheet2!$C$2,1,J183=sheet2!$C$2,0,J183&lt;sheet2!$C$2,-1)</f>
        <v>0</v>
      </c>
      <c r="X183" cm="1">
        <f t="array" ref="X183">_xlfn.IFS(K183&gt;sheet2!$D$2,1,K183=sheet2!$D$2,0,K183&lt;sheet2!$D$2,-1)</f>
        <v>0</v>
      </c>
      <c r="Y183" cm="1">
        <f t="array" ref="Y183">_xlfn.IFS(L183&gt;sheet2!$E$2,1,L183=sheet2!$E$2,0,L183&lt;sheet2!$E$2,-1)</f>
        <v>0</v>
      </c>
      <c r="Z183" cm="1">
        <f t="array" ref="Z183">_xlfn.IFS(M183&gt;sheet2!$F$2,1,M183=sheet2!$F$2,0,M183&lt;sheet2!$F$2,-1)</f>
        <v>0</v>
      </c>
      <c r="AA183" cm="1">
        <f t="array" ref="AA183">_xlfn.IFS(N183&gt;sheet2!$G$2,1,N183=sheet2!$G$2,0,N183&lt;sheet2!$G$2,-1)</f>
        <v>0</v>
      </c>
    </row>
    <row r="184" spans="5:27" ht="14.4" x14ac:dyDescent="0.25">
      <c r="E184" s="2">
        <v>25</v>
      </c>
      <c r="F184" s="2" t="s">
        <v>38</v>
      </c>
      <c r="G184" s="2">
        <v>2021</v>
      </c>
      <c r="H184" s="14">
        <v>0.30791658159433372</v>
      </c>
      <c r="I184" s="2">
        <f t="shared" si="32"/>
        <v>7.7640167707805949E-2</v>
      </c>
      <c r="J184">
        <v>0.2</v>
      </c>
      <c r="K184">
        <v>0.14000000000000001</v>
      </c>
      <c r="L184">
        <v>0.18</v>
      </c>
      <c r="M184">
        <v>0.25</v>
      </c>
      <c r="N184">
        <v>0.7</v>
      </c>
      <c r="O184">
        <v>1</v>
      </c>
      <c r="P184">
        <v>1.037037037037037</v>
      </c>
      <c r="Q184">
        <v>1</v>
      </c>
      <c r="R184">
        <v>1</v>
      </c>
      <c r="S184">
        <v>1.0769230769230769</v>
      </c>
      <c r="T184">
        <f t="shared" si="23"/>
        <v>1</v>
      </c>
      <c r="U184">
        <f t="shared" si="24"/>
        <v>1.037037037037037</v>
      </c>
      <c r="V184">
        <f t="shared" si="25"/>
        <v>1.0384615384615383</v>
      </c>
      <c r="W184" cm="1">
        <f t="array" ref="W184">_xlfn.IFS(J184&gt;sheet2!$C$2,1,J184=sheet2!$C$2,0,J184&lt;sheet2!$C$2,-1)</f>
        <v>0</v>
      </c>
      <c r="X184" cm="1">
        <f t="array" ref="X184">_xlfn.IFS(K184&gt;sheet2!$D$2,1,K184=sheet2!$D$2,0,K184&lt;sheet2!$D$2,-1)</f>
        <v>1</v>
      </c>
      <c r="Y184" cm="1">
        <f t="array" ref="Y184">_xlfn.IFS(L184&gt;sheet2!$E$2,1,L184=sheet2!$E$2,0,L184&lt;sheet2!$E$2,-1)</f>
        <v>0</v>
      </c>
      <c r="Z184" cm="1">
        <f t="array" ref="Z184">_xlfn.IFS(M184&gt;sheet2!$F$2,1,M184=sheet2!$F$2,0,M184&lt;sheet2!$F$2,-1)</f>
        <v>0</v>
      </c>
      <c r="AA184" cm="1">
        <f t="array" ref="AA184">_xlfn.IFS(N184&gt;sheet2!$G$2,1,N184=sheet2!$G$2,0,N184&lt;sheet2!$G$2,-1)</f>
        <v>1</v>
      </c>
    </row>
    <row r="185" spans="5:27" ht="14.4" hidden="1" x14ac:dyDescent="0.25">
      <c r="E185" s="2">
        <v>25</v>
      </c>
      <c r="F185" s="2" t="s">
        <v>38</v>
      </c>
      <c r="G185" s="2">
        <v>2022</v>
      </c>
      <c r="H185" s="14">
        <v>0.35117894170911651</v>
      </c>
      <c r="I185" s="2">
        <f t="shared" si="32"/>
        <v>0.14050026111220931</v>
      </c>
      <c r="J185">
        <v>0.2</v>
      </c>
      <c r="K185">
        <v>0.14000000000000001</v>
      </c>
      <c r="L185">
        <v>0.18</v>
      </c>
      <c r="M185">
        <v>0.25</v>
      </c>
      <c r="N185">
        <v>0.7</v>
      </c>
      <c r="O185">
        <v>1</v>
      </c>
      <c r="P185">
        <v>1.037037037037037</v>
      </c>
      <c r="Q185">
        <v>1</v>
      </c>
      <c r="R185">
        <v>1</v>
      </c>
      <c r="S185">
        <v>1.0769230769230769</v>
      </c>
      <c r="T185">
        <f t="shared" si="23"/>
        <v>1</v>
      </c>
      <c r="U185">
        <f t="shared" si="24"/>
        <v>1.037037037037037</v>
      </c>
      <c r="V185">
        <f t="shared" si="25"/>
        <v>1.0384615384615383</v>
      </c>
      <c r="W185" cm="1">
        <f t="array" ref="W185">_xlfn.IFS(J185&gt;sheet2!$C$2,1,J185=sheet2!$C$2,0,J185&lt;sheet2!$C$2,-1)</f>
        <v>0</v>
      </c>
      <c r="X185" cm="1">
        <f t="array" ref="X185">_xlfn.IFS(K185&gt;sheet2!$D$2,1,K185=sheet2!$D$2,0,K185&lt;sheet2!$D$2,-1)</f>
        <v>1</v>
      </c>
      <c r="Y185" cm="1">
        <f t="array" ref="Y185">_xlfn.IFS(L185&gt;sheet2!$E$2,1,L185=sheet2!$E$2,0,L185&lt;sheet2!$E$2,-1)</f>
        <v>0</v>
      </c>
      <c r="Z185" cm="1">
        <f t="array" ref="Z185">_xlfn.IFS(M185&gt;sheet2!$F$2,1,M185=sheet2!$F$2,0,M185&lt;sheet2!$F$2,-1)</f>
        <v>0</v>
      </c>
      <c r="AA185" cm="1">
        <f t="array" ref="AA185">_xlfn.IFS(N185&gt;sheet2!$G$2,1,N185=sheet2!$G$2,0,N185&lt;sheet2!$G$2,-1)</f>
        <v>1</v>
      </c>
    </row>
    <row r="186" spans="5:27" ht="14.4" hidden="1" x14ac:dyDescent="0.25">
      <c r="E186" s="2">
        <v>26</v>
      </c>
      <c r="F186" s="2" t="s">
        <v>39</v>
      </c>
      <c r="G186" s="2">
        <v>2016</v>
      </c>
      <c r="H186" s="14">
        <v>0.27769652397110073</v>
      </c>
      <c r="I186" s="2"/>
      <c r="J186">
        <v>0.16</v>
      </c>
      <c r="K186">
        <v>0.13500000000000001</v>
      </c>
      <c r="L186">
        <v>0.18</v>
      </c>
      <c r="M186">
        <v>0.2</v>
      </c>
      <c r="N186">
        <v>0.65</v>
      </c>
      <c r="O186">
        <v>0.79999999999999993</v>
      </c>
      <c r="P186">
        <v>1</v>
      </c>
      <c r="Q186">
        <v>1</v>
      </c>
      <c r="R186">
        <v>0.8</v>
      </c>
      <c r="S186">
        <v>1</v>
      </c>
      <c r="T186">
        <f t="shared" si="23"/>
        <v>0.8</v>
      </c>
      <c r="U186">
        <f t="shared" si="24"/>
        <v>1</v>
      </c>
      <c r="V186">
        <f t="shared" si="25"/>
        <v>1</v>
      </c>
      <c r="W186" cm="1">
        <f t="array" ref="W186">_xlfn.IFS(J186&gt;sheet2!$C$2,1,J186=sheet2!$C$2,0,J186&lt;sheet2!$C$2,-1)</f>
        <v>-1</v>
      </c>
      <c r="X186" cm="1">
        <f t="array" ref="X186">_xlfn.IFS(K186&gt;sheet2!$D$2,1,K186=sheet2!$D$2,0,K186&lt;sheet2!$D$2,-1)</f>
        <v>0</v>
      </c>
      <c r="Y186" cm="1">
        <f t="array" ref="Y186">_xlfn.IFS(L186&gt;sheet2!$E$2,1,L186=sheet2!$E$2,0,L186&lt;sheet2!$E$2,-1)</f>
        <v>0</v>
      </c>
      <c r="Z186" cm="1">
        <f t="array" ref="Z186">_xlfn.IFS(M186&gt;sheet2!$F$2,1,M186=sheet2!$F$2,0,M186&lt;sheet2!$F$2,-1)</f>
        <v>-1</v>
      </c>
      <c r="AA186" cm="1">
        <f t="array" ref="AA186">_xlfn.IFS(N186&gt;sheet2!$G$2,1,N186=sheet2!$G$2,0,N186&lt;sheet2!$G$2,-1)</f>
        <v>0</v>
      </c>
    </row>
    <row r="187" spans="5:27" ht="14.4" hidden="1" x14ac:dyDescent="0.25">
      <c r="E187" s="2">
        <v>26</v>
      </c>
      <c r="F187" s="2" t="s">
        <v>39</v>
      </c>
      <c r="G187" s="2">
        <v>2017</v>
      </c>
      <c r="H187" s="14">
        <v>0.32347962209988768</v>
      </c>
      <c r="I187" s="2">
        <f>(H187-H186)/H186</f>
        <v>0.16486737923140693</v>
      </c>
      <c r="J187">
        <v>0.16</v>
      </c>
      <c r="K187">
        <v>0.13500000000000001</v>
      </c>
      <c r="L187">
        <v>0.18</v>
      </c>
      <c r="M187">
        <v>0.2</v>
      </c>
      <c r="N187">
        <v>0.65</v>
      </c>
      <c r="O187">
        <v>0.79999999999999993</v>
      </c>
      <c r="P187">
        <v>1</v>
      </c>
      <c r="Q187">
        <v>1</v>
      </c>
      <c r="R187">
        <v>0.8</v>
      </c>
      <c r="S187">
        <v>1</v>
      </c>
      <c r="T187">
        <f t="shared" si="23"/>
        <v>0.8</v>
      </c>
      <c r="U187">
        <f t="shared" si="24"/>
        <v>1</v>
      </c>
      <c r="V187">
        <f t="shared" si="25"/>
        <v>1</v>
      </c>
      <c r="W187" cm="1">
        <f t="array" ref="W187">_xlfn.IFS(J187&gt;sheet2!$C$2,1,J187=sheet2!$C$2,0,J187&lt;sheet2!$C$2,-1)</f>
        <v>-1</v>
      </c>
      <c r="X187" cm="1">
        <f t="array" ref="X187">_xlfn.IFS(K187&gt;sheet2!$D$2,1,K187=sheet2!$D$2,0,K187&lt;sheet2!$D$2,-1)</f>
        <v>0</v>
      </c>
      <c r="Y187" cm="1">
        <f t="array" ref="Y187">_xlfn.IFS(L187&gt;sheet2!$E$2,1,L187=sheet2!$E$2,0,L187&lt;sheet2!$E$2,-1)</f>
        <v>0</v>
      </c>
      <c r="Z187" cm="1">
        <f t="array" ref="Z187">_xlfn.IFS(M187&gt;sheet2!$F$2,1,M187=sheet2!$F$2,0,M187&lt;sheet2!$F$2,-1)</f>
        <v>-1</v>
      </c>
      <c r="AA187" cm="1">
        <f t="array" ref="AA187">_xlfn.IFS(N187&gt;sheet2!$G$2,1,N187=sheet2!$G$2,0,N187&lt;sheet2!$G$2,-1)</f>
        <v>0</v>
      </c>
    </row>
    <row r="188" spans="5:27" ht="14.4" hidden="1" x14ac:dyDescent="0.25">
      <c r="E188" s="2">
        <v>26</v>
      </c>
      <c r="F188" s="2" t="s">
        <v>39</v>
      </c>
      <c r="G188" s="2">
        <v>2018</v>
      </c>
      <c r="H188" s="14">
        <v>0.33505535192869573</v>
      </c>
      <c r="I188" s="2">
        <f>(H188-H187)/H187</f>
        <v>3.5785035711565077E-2</v>
      </c>
      <c r="J188">
        <v>0.16</v>
      </c>
      <c r="K188">
        <v>0.13500000000000001</v>
      </c>
      <c r="L188">
        <v>0.18</v>
      </c>
      <c r="M188">
        <v>0.2</v>
      </c>
      <c r="N188">
        <v>0.65</v>
      </c>
      <c r="O188">
        <v>0.79999999999999993</v>
      </c>
      <c r="P188">
        <v>1</v>
      </c>
      <c r="Q188">
        <v>1</v>
      </c>
      <c r="R188">
        <v>0.8</v>
      </c>
      <c r="S188">
        <v>1</v>
      </c>
      <c r="T188">
        <f t="shared" si="23"/>
        <v>0.8</v>
      </c>
      <c r="U188">
        <f t="shared" si="24"/>
        <v>1</v>
      </c>
      <c r="V188">
        <f t="shared" si="25"/>
        <v>1</v>
      </c>
      <c r="W188" cm="1">
        <f t="array" ref="W188">_xlfn.IFS(J188&gt;sheet2!$C$2,1,J188=sheet2!$C$2,0,J188&lt;sheet2!$C$2,-1)</f>
        <v>-1</v>
      </c>
      <c r="X188" cm="1">
        <f t="array" ref="X188">_xlfn.IFS(K188&gt;sheet2!$D$2,1,K188=sheet2!$D$2,0,K188&lt;sheet2!$D$2,-1)</f>
        <v>0</v>
      </c>
      <c r="Y188" cm="1">
        <f t="array" ref="Y188">_xlfn.IFS(L188&gt;sheet2!$E$2,1,L188=sheet2!$E$2,0,L188&lt;sheet2!$E$2,-1)</f>
        <v>0</v>
      </c>
      <c r="Z188" cm="1">
        <f t="array" ref="Z188">_xlfn.IFS(M188&gt;sheet2!$F$2,1,M188=sheet2!$F$2,0,M188&lt;sheet2!$F$2,-1)</f>
        <v>-1</v>
      </c>
      <c r="AA188" cm="1">
        <f t="array" ref="AA188">_xlfn.IFS(N188&gt;sheet2!$G$2,1,N188=sheet2!$G$2,0,N188&lt;sheet2!$G$2,-1)</f>
        <v>0</v>
      </c>
    </row>
    <row r="189" spans="5:27" ht="14.4" hidden="1" x14ac:dyDescent="0.25">
      <c r="E189" s="2">
        <v>26</v>
      </c>
      <c r="F189" s="2" t="s">
        <v>39</v>
      </c>
      <c r="G189" s="2">
        <v>2019</v>
      </c>
      <c r="H189" s="14">
        <v>0.34628220727820058</v>
      </c>
      <c r="I189" s="2">
        <f>(H189-H188)/H188</f>
        <v>3.3507464617052514E-2</v>
      </c>
      <c r="J189">
        <v>0.16</v>
      </c>
      <c r="K189">
        <v>0.13500000000000001</v>
      </c>
      <c r="L189">
        <v>0.18</v>
      </c>
      <c r="M189">
        <v>0.2</v>
      </c>
      <c r="N189">
        <v>0.65</v>
      </c>
      <c r="O189">
        <v>0.79999999999999993</v>
      </c>
      <c r="P189">
        <v>1</v>
      </c>
      <c r="Q189">
        <v>1</v>
      </c>
      <c r="R189">
        <v>0.8</v>
      </c>
      <c r="S189">
        <v>1</v>
      </c>
      <c r="T189">
        <f t="shared" si="23"/>
        <v>0.8</v>
      </c>
      <c r="U189">
        <f t="shared" si="24"/>
        <v>1</v>
      </c>
      <c r="V189">
        <f t="shared" si="25"/>
        <v>1</v>
      </c>
      <c r="W189" cm="1">
        <f t="array" ref="W189">_xlfn.IFS(J189&gt;sheet2!$C$2,1,J189=sheet2!$C$2,0,J189&lt;sheet2!$C$2,-1)</f>
        <v>-1</v>
      </c>
      <c r="X189" cm="1">
        <f t="array" ref="X189">_xlfn.IFS(K189&gt;sheet2!$D$2,1,K189=sheet2!$D$2,0,K189&lt;sheet2!$D$2,-1)</f>
        <v>0</v>
      </c>
      <c r="Y189" cm="1">
        <f t="array" ref="Y189">_xlfn.IFS(L189&gt;sheet2!$E$2,1,L189=sheet2!$E$2,0,L189&lt;sheet2!$E$2,-1)</f>
        <v>0</v>
      </c>
      <c r="Z189" cm="1">
        <f t="array" ref="Z189">_xlfn.IFS(M189&gt;sheet2!$F$2,1,M189=sheet2!$F$2,0,M189&lt;sheet2!$F$2,-1)</f>
        <v>-1</v>
      </c>
      <c r="AA189" cm="1">
        <f t="array" ref="AA189">_xlfn.IFS(N189&gt;sheet2!$G$2,1,N189=sheet2!$G$2,0,N189&lt;sheet2!$G$2,-1)</f>
        <v>0</v>
      </c>
    </row>
    <row r="190" spans="5:27" ht="14.4" hidden="1" x14ac:dyDescent="0.25">
      <c r="E190" s="2">
        <v>26</v>
      </c>
      <c r="F190" s="2" t="s">
        <v>39</v>
      </c>
      <c r="G190" s="2">
        <v>2020</v>
      </c>
      <c r="H190" s="14">
        <v>0.36227319641791245</v>
      </c>
      <c r="I190" s="2">
        <f>(H190-H189)/H189</f>
        <v>4.6179066679174832E-2</v>
      </c>
      <c r="J190">
        <v>0.16</v>
      </c>
      <c r="K190">
        <v>0.13500000000000001</v>
      </c>
      <c r="L190">
        <v>0.18</v>
      </c>
      <c r="M190">
        <v>0.2</v>
      </c>
      <c r="N190">
        <v>0.65</v>
      </c>
      <c r="O190">
        <v>0.79999999999999993</v>
      </c>
      <c r="P190">
        <v>1</v>
      </c>
      <c r="Q190">
        <v>1</v>
      </c>
      <c r="R190">
        <v>0.8</v>
      </c>
      <c r="S190">
        <v>1</v>
      </c>
      <c r="T190">
        <f t="shared" si="23"/>
        <v>0.8</v>
      </c>
      <c r="U190">
        <f t="shared" si="24"/>
        <v>1</v>
      </c>
      <c r="V190">
        <f t="shared" si="25"/>
        <v>1</v>
      </c>
      <c r="W190" cm="1">
        <f t="array" ref="W190">_xlfn.IFS(J190&gt;sheet2!$C$2,1,J190=sheet2!$C$2,0,J190&lt;sheet2!$C$2,-1)</f>
        <v>-1</v>
      </c>
      <c r="X190" cm="1">
        <f t="array" ref="X190">_xlfn.IFS(K190&gt;sheet2!$D$2,1,K190=sheet2!$D$2,0,K190&lt;sheet2!$D$2,-1)</f>
        <v>0</v>
      </c>
      <c r="Y190" cm="1">
        <f t="array" ref="Y190">_xlfn.IFS(L190&gt;sheet2!$E$2,1,L190=sheet2!$E$2,0,L190&lt;sheet2!$E$2,-1)</f>
        <v>0</v>
      </c>
      <c r="Z190" cm="1">
        <f t="array" ref="Z190">_xlfn.IFS(M190&gt;sheet2!$F$2,1,M190=sheet2!$F$2,0,M190&lt;sheet2!$F$2,-1)</f>
        <v>-1</v>
      </c>
      <c r="AA190" cm="1">
        <f t="array" ref="AA190">_xlfn.IFS(N190&gt;sheet2!$G$2,1,N190=sheet2!$G$2,0,N190&lt;sheet2!$G$2,-1)</f>
        <v>0</v>
      </c>
    </row>
    <row r="191" spans="5:27" ht="14.4" x14ac:dyDescent="0.25">
      <c r="E191" s="2">
        <v>26</v>
      </c>
      <c r="F191" s="2" t="s">
        <v>39</v>
      </c>
      <c r="G191" s="2">
        <v>2021</v>
      </c>
      <c r="H191" s="14">
        <v>0.36835206690086458</v>
      </c>
      <c r="I191" s="2">
        <f>(H191-H190)/H190</f>
        <v>1.677979641623735E-2</v>
      </c>
      <c r="J191">
        <v>0.41499999999999998</v>
      </c>
      <c r="K191">
        <v>0.14000000000000001</v>
      </c>
      <c r="L191">
        <v>0.18</v>
      </c>
      <c r="M191">
        <v>0.435</v>
      </c>
      <c r="N191">
        <v>0.65</v>
      </c>
      <c r="O191">
        <v>2.0749999999999997</v>
      </c>
      <c r="P191">
        <v>1.037037037037037</v>
      </c>
      <c r="Q191">
        <v>1</v>
      </c>
      <c r="R191">
        <v>1.74</v>
      </c>
      <c r="S191">
        <v>1</v>
      </c>
      <c r="T191">
        <f t="shared" si="23"/>
        <v>1.9074999999999998</v>
      </c>
      <c r="U191">
        <f t="shared" si="24"/>
        <v>1.037037037037037</v>
      </c>
      <c r="V191">
        <f t="shared" si="25"/>
        <v>1</v>
      </c>
      <c r="W191" cm="1">
        <f t="array" ref="W191">_xlfn.IFS(J191&gt;sheet2!$C$2,1,J191=sheet2!$C$2,0,J191&lt;sheet2!$C$2,-1)</f>
        <v>1</v>
      </c>
      <c r="X191" cm="1">
        <f t="array" ref="X191">_xlfn.IFS(K191&gt;sheet2!$D$2,1,K191=sheet2!$D$2,0,K191&lt;sheet2!$D$2,-1)</f>
        <v>1</v>
      </c>
      <c r="Y191" cm="1">
        <f t="array" ref="Y191">_xlfn.IFS(L191&gt;sheet2!$E$2,1,L191=sheet2!$E$2,0,L191&lt;sheet2!$E$2,-1)</f>
        <v>0</v>
      </c>
      <c r="Z191" cm="1">
        <f t="array" ref="Z191">_xlfn.IFS(M191&gt;sheet2!$F$2,1,M191=sheet2!$F$2,0,M191&lt;sheet2!$F$2,-1)</f>
        <v>1</v>
      </c>
      <c r="AA191" cm="1">
        <f t="array" ref="AA191">_xlfn.IFS(N191&gt;sheet2!$G$2,1,N191=sheet2!$G$2,0,N191&lt;sheet2!$G$2,-1)</f>
        <v>0</v>
      </c>
    </row>
    <row r="192" spans="5:27" ht="14.4" hidden="1" x14ac:dyDescent="0.25">
      <c r="E192" s="2">
        <v>26</v>
      </c>
      <c r="F192" s="2" t="s">
        <v>39</v>
      </c>
      <c r="G192" s="2">
        <v>2022</v>
      </c>
      <c r="H192" s="16"/>
      <c r="I192" s="2"/>
      <c r="J192">
        <v>0.41499999999999998</v>
      </c>
      <c r="K192">
        <v>0.14000000000000001</v>
      </c>
      <c r="L192">
        <v>0.18</v>
      </c>
      <c r="M192">
        <v>0.435</v>
      </c>
      <c r="N192">
        <v>0.65</v>
      </c>
      <c r="O192">
        <v>2.0749999999999997</v>
      </c>
      <c r="P192">
        <v>1.037037037037037</v>
      </c>
      <c r="Q192">
        <v>1</v>
      </c>
      <c r="R192">
        <v>1.74</v>
      </c>
      <c r="S192">
        <v>1</v>
      </c>
      <c r="T192">
        <f t="shared" si="23"/>
        <v>1.9074999999999998</v>
      </c>
      <c r="U192">
        <f t="shared" si="24"/>
        <v>1.037037037037037</v>
      </c>
      <c r="V192">
        <f t="shared" si="25"/>
        <v>1</v>
      </c>
      <c r="W192" cm="1">
        <f t="array" ref="W192">_xlfn.IFS(J192&gt;sheet2!$C$2,1,J192=sheet2!$C$2,0,J192&lt;sheet2!$C$2,-1)</f>
        <v>1</v>
      </c>
      <c r="X192" cm="1">
        <f t="array" ref="X192">_xlfn.IFS(K192&gt;sheet2!$D$2,1,K192=sheet2!$D$2,0,K192&lt;sheet2!$D$2,-1)</f>
        <v>1</v>
      </c>
      <c r="Y192" cm="1">
        <f t="array" ref="Y192">_xlfn.IFS(L192&gt;sheet2!$E$2,1,L192=sheet2!$E$2,0,L192&lt;sheet2!$E$2,-1)</f>
        <v>0</v>
      </c>
      <c r="Z192" cm="1">
        <f t="array" ref="Z192">_xlfn.IFS(M192&gt;sheet2!$F$2,1,M192=sheet2!$F$2,0,M192&lt;sheet2!$F$2,-1)</f>
        <v>1</v>
      </c>
      <c r="AA192" cm="1">
        <f t="array" ref="AA192">_xlfn.IFS(N192&gt;sheet2!$G$2,1,N192=sheet2!$G$2,0,N192&lt;sheet2!$G$2,-1)</f>
        <v>0</v>
      </c>
    </row>
    <row r="193" spans="5:27" ht="14.4" hidden="1" x14ac:dyDescent="0.25">
      <c r="E193" s="2">
        <v>26</v>
      </c>
      <c r="F193" s="6" t="s">
        <v>40</v>
      </c>
      <c r="G193" s="2">
        <v>2023</v>
      </c>
      <c r="H193" s="14">
        <v>0.35947080755878325</v>
      </c>
      <c r="I193" s="2"/>
      <c r="J193">
        <v>0.11699999999999999</v>
      </c>
      <c r="K193">
        <v>0.13500000000000001</v>
      </c>
      <c r="L193">
        <v>0.18</v>
      </c>
      <c r="M193">
        <v>0.16</v>
      </c>
      <c r="N193">
        <v>0.65</v>
      </c>
      <c r="O193">
        <v>0.58499999999999996</v>
      </c>
      <c r="P193">
        <v>1</v>
      </c>
      <c r="Q193">
        <v>1</v>
      </c>
      <c r="R193">
        <v>0.64</v>
      </c>
      <c r="S193">
        <v>1</v>
      </c>
      <c r="T193">
        <f t="shared" si="23"/>
        <v>0.61250000000000004</v>
      </c>
      <c r="U193">
        <f t="shared" si="24"/>
        <v>1</v>
      </c>
      <c r="V193">
        <f t="shared" si="25"/>
        <v>1</v>
      </c>
      <c r="W193" cm="1">
        <f t="array" ref="W193">_xlfn.IFS(J193&gt;sheet2!$C$2,1,J193=sheet2!$C$2,0,J193&lt;sheet2!$C$2,-1)</f>
        <v>-1</v>
      </c>
      <c r="X193" cm="1">
        <f t="array" ref="X193">_xlfn.IFS(K193&gt;sheet2!$D$2,1,K193=sheet2!$D$2,0,K193&lt;sheet2!$D$2,-1)</f>
        <v>0</v>
      </c>
      <c r="Y193" cm="1">
        <f t="array" ref="Y193">_xlfn.IFS(L193&gt;sheet2!$E$2,1,L193=sheet2!$E$2,0,L193&lt;sheet2!$E$2,-1)</f>
        <v>0</v>
      </c>
      <c r="Z193" cm="1">
        <f t="array" ref="Z193">_xlfn.IFS(M193&gt;sheet2!$F$2,1,M193=sheet2!$F$2,0,M193&lt;sheet2!$F$2,-1)</f>
        <v>-1</v>
      </c>
      <c r="AA193" cm="1">
        <f t="array" ref="AA193">_xlfn.IFS(N193&gt;sheet2!$G$2,1,N193=sheet2!$G$2,0,N193&lt;sheet2!$G$2,-1)</f>
        <v>0</v>
      </c>
    </row>
    <row r="194" spans="5:27" ht="14.4" hidden="1" x14ac:dyDescent="0.25">
      <c r="E194" s="2">
        <v>27</v>
      </c>
      <c r="F194" s="2" t="s">
        <v>41</v>
      </c>
      <c r="G194" s="2">
        <v>2016</v>
      </c>
      <c r="H194" s="14">
        <v>0.33078390940691293</v>
      </c>
      <c r="I194" s="2"/>
      <c r="J194">
        <v>0.3</v>
      </c>
      <c r="K194">
        <v>0.125</v>
      </c>
      <c r="L194">
        <v>0.18</v>
      </c>
      <c r="M194">
        <v>0.35</v>
      </c>
      <c r="N194">
        <v>0.65</v>
      </c>
      <c r="O194">
        <v>1.4999999999999998</v>
      </c>
      <c r="P194">
        <v>0.92592592592592582</v>
      </c>
      <c r="Q194">
        <v>1</v>
      </c>
      <c r="R194">
        <v>1.4</v>
      </c>
      <c r="S194">
        <v>1</v>
      </c>
      <c r="T194">
        <f t="shared" si="23"/>
        <v>1.4499999999999997</v>
      </c>
      <c r="U194">
        <f t="shared" si="24"/>
        <v>0.92592592592592582</v>
      </c>
      <c r="V194">
        <f t="shared" si="25"/>
        <v>1</v>
      </c>
      <c r="W194" cm="1">
        <f t="array" ref="W194">_xlfn.IFS(J194&gt;sheet2!$C$2,1,J194=sheet2!$C$2,0,J194&lt;sheet2!$C$2,-1)</f>
        <v>1</v>
      </c>
      <c r="X194" cm="1">
        <f t="array" ref="X194">_xlfn.IFS(K194&gt;sheet2!$D$2,1,K194=sheet2!$D$2,0,K194&lt;sheet2!$D$2,-1)</f>
        <v>-1</v>
      </c>
      <c r="Y194" cm="1">
        <f t="array" ref="Y194">_xlfn.IFS(L194&gt;sheet2!$E$2,1,L194=sheet2!$E$2,0,L194&lt;sheet2!$E$2,-1)</f>
        <v>0</v>
      </c>
      <c r="Z194" cm="1">
        <f t="array" ref="Z194">_xlfn.IFS(M194&gt;sheet2!$F$2,1,M194=sheet2!$F$2,0,M194&lt;sheet2!$F$2,-1)</f>
        <v>1</v>
      </c>
      <c r="AA194" cm="1">
        <f t="array" ref="AA194">_xlfn.IFS(N194&gt;sheet2!$G$2,1,N194=sheet2!$G$2,0,N194&lt;sheet2!$G$2,-1)</f>
        <v>0</v>
      </c>
    </row>
    <row r="195" spans="5:27" ht="14.4" hidden="1" x14ac:dyDescent="0.25">
      <c r="E195" s="2">
        <v>27</v>
      </c>
      <c r="F195" s="2" t="s">
        <v>41</v>
      </c>
      <c r="G195" s="2">
        <v>2017</v>
      </c>
      <c r="H195" s="14">
        <v>0.40296175310354743</v>
      </c>
      <c r="I195" s="2">
        <f>(H195-H194)/H194</f>
        <v>0.21820240236608701</v>
      </c>
      <c r="J195">
        <v>0.3</v>
      </c>
      <c r="K195">
        <v>0.125</v>
      </c>
      <c r="L195">
        <v>0.18</v>
      </c>
      <c r="M195">
        <v>0.35</v>
      </c>
      <c r="N195">
        <v>0.65</v>
      </c>
      <c r="O195">
        <v>1.4999999999999998</v>
      </c>
      <c r="P195">
        <v>0.92592592592592582</v>
      </c>
      <c r="Q195">
        <v>1</v>
      </c>
      <c r="R195">
        <v>1.4</v>
      </c>
      <c r="S195">
        <v>1</v>
      </c>
      <c r="T195">
        <f t="shared" ref="T195:T222" si="33">AVERAGE(O195,R195)</f>
        <v>1.4499999999999997</v>
      </c>
      <c r="U195">
        <f t="shared" ref="U195:U222" si="34">AVERAGE(P195)</f>
        <v>0.92592592592592582</v>
      </c>
      <c r="V195">
        <f t="shared" ref="V195:V222" si="35">AVERAGE(Q195,S195)</f>
        <v>1</v>
      </c>
      <c r="W195" cm="1">
        <f t="array" ref="W195">_xlfn.IFS(J195&gt;sheet2!$C$2,1,J195=sheet2!$C$2,0,J195&lt;sheet2!$C$2,-1)</f>
        <v>1</v>
      </c>
      <c r="X195" cm="1">
        <f t="array" ref="X195">_xlfn.IFS(K195&gt;sheet2!$D$2,1,K195=sheet2!$D$2,0,K195&lt;sheet2!$D$2,-1)</f>
        <v>-1</v>
      </c>
      <c r="Y195" cm="1">
        <f t="array" ref="Y195">_xlfn.IFS(L195&gt;sheet2!$E$2,1,L195=sheet2!$E$2,0,L195&lt;sheet2!$E$2,-1)</f>
        <v>0</v>
      </c>
      <c r="Z195" cm="1">
        <f t="array" ref="Z195">_xlfn.IFS(M195&gt;sheet2!$F$2,1,M195=sheet2!$F$2,0,M195&lt;sheet2!$F$2,-1)</f>
        <v>1</v>
      </c>
      <c r="AA195" cm="1">
        <f t="array" ref="AA195">_xlfn.IFS(N195&gt;sheet2!$G$2,1,N195=sheet2!$G$2,0,N195&lt;sheet2!$G$2,-1)</f>
        <v>0</v>
      </c>
    </row>
    <row r="196" spans="5:27" ht="14.4" hidden="1" x14ac:dyDescent="0.25">
      <c r="E196" s="2">
        <v>27</v>
      </c>
      <c r="F196" s="2" t="s">
        <v>41</v>
      </c>
      <c r="G196" s="2">
        <v>2018</v>
      </c>
      <c r="H196" s="14">
        <v>0.40494791589549584</v>
      </c>
      <c r="I196" s="2">
        <f>(H196-H195)/H195</f>
        <v>4.928911433036259E-3</v>
      </c>
      <c r="J196">
        <v>0.3</v>
      </c>
      <c r="K196">
        <v>0.125</v>
      </c>
      <c r="L196">
        <v>0.18</v>
      </c>
      <c r="M196">
        <v>0.35</v>
      </c>
      <c r="N196">
        <v>0.65</v>
      </c>
      <c r="O196">
        <v>1.4999999999999998</v>
      </c>
      <c r="P196">
        <v>0.92592592592592582</v>
      </c>
      <c r="Q196">
        <v>1</v>
      </c>
      <c r="R196">
        <v>1.4</v>
      </c>
      <c r="S196">
        <v>1</v>
      </c>
      <c r="T196">
        <f t="shared" si="33"/>
        <v>1.4499999999999997</v>
      </c>
      <c r="U196">
        <f t="shared" si="34"/>
        <v>0.92592592592592582</v>
      </c>
      <c r="V196">
        <f t="shared" si="35"/>
        <v>1</v>
      </c>
      <c r="W196" cm="1">
        <f t="array" ref="W196">_xlfn.IFS(J196&gt;sheet2!$C$2,1,J196=sheet2!$C$2,0,J196&lt;sheet2!$C$2,-1)</f>
        <v>1</v>
      </c>
      <c r="X196" cm="1">
        <f t="array" ref="X196">_xlfn.IFS(K196&gt;sheet2!$D$2,1,K196=sheet2!$D$2,0,K196&lt;sheet2!$D$2,-1)</f>
        <v>-1</v>
      </c>
      <c r="Y196" cm="1">
        <f t="array" ref="Y196">_xlfn.IFS(L196&gt;sheet2!$E$2,1,L196=sheet2!$E$2,0,L196&lt;sheet2!$E$2,-1)</f>
        <v>0</v>
      </c>
      <c r="Z196" cm="1">
        <f t="array" ref="Z196">_xlfn.IFS(M196&gt;sheet2!$F$2,1,M196=sheet2!$F$2,0,M196&lt;sheet2!$F$2,-1)</f>
        <v>1</v>
      </c>
      <c r="AA196" cm="1">
        <f t="array" ref="AA196">_xlfn.IFS(N196&gt;sheet2!$G$2,1,N196=sheet2!$G$2,0,N196&lt;sheet2!$G$2,-1)</f>
        <v>0</v>
      </c>
    </row>
    <row r="197" spans="5:27" ht="14.4" hidden="1" x14ac:dyDescent="0.25">
      <c r="E197" s="2">
        <v>27</v>
      </c>
      <c r="F197" s="2" t="s">
        <v>41</v>
      </c>
      <c r="G197" s="2">
        <v>2019</v>
      </c>
      <c r="H197" s="14">
        <v>0.41570728979798016</v>
      </c>
      <c r="I197" s="2">
        <f>(H197-H196)/H196</f>
        <v>2.656977225994905E-2</v>
      </c>
      <c r="J197">
        <v>0.3</v>
      </c>
      <c r="K197">
        <v>0.125</v>
      </c>
      <c r="L197">
        <v>0.18</v>
      </c>
      <c r="M197">
        <v>0.35</v>
      </c>
      <c r="N197">
        <v>0.65</v>
      </c>
      <c r="O197">
        <v>1.4999999999999998</v>
      </c>
      <c r="P197">
        <v>0.92592592592592582</v>
      </c>
      <c r="Q197">
        <v>1</v>
      </c>
      <c r="R197">
        <v>1.4</v>
      </c>
      <c r="S197">
        <v>1</v>
      </c>
      <c r="T197">
        <f t="shared" si="33"/>
        <v>1.4499999999999997</v>
      </c>
      <c r="U197">
        <f t="shared" si="34"/>
        <v>0.92592592592592582</v>
      </c>
      <c r="V197">
        <f t="shared" si="35"/>
        <v>1</v>
      </c>
      <c r="W197" cm="1">
        <f t="array" ref="W197">_xlfn.IFS(J197&gt;sheet2!$C$2,1,J197=sheet2!$C$2,0,J197&lt;sheet2!$C$2,-1)</f>
        <v>1</v>
      </c>
      <c r="X197" cm="1">
        <f t="array" ref="X197">_xlfn.IFS(K197&gt;sheet2!$D$2,1,K197=sheet2!$D$2,0,K197&lt;sheet2!$D$2,-1)</f>
        <v>-1</v>
      </c>
      <c r="Y197" cm="1">
        <f t="array" ref="Y197">_xlfn.IFS(L197&gt;sheet2!$E$2,1,L197=sheet2!$E$2,0,L197&lt;sheet2!$E$2,-1)</f>
        <v>0</v>
      </c>
      <c r="Z197" cm="1">
        <f t="array" ref="Z197">_xlfn.IFS(M197&gt;sheet2!$F$2,1,M197=sheet2!$F$2,0,M197&lt;sheet2!$F$2,-1)</f>
        <v>1</v>
      </c>
      <c r="AA197" cm="1">
        <f t="array" ref="AA197">_xlfn.IFS(N197&gt;sheet2!$G$2,1,N197=sheet2!$G$2,0,N197&lt;sheet2!$G$2,-1)</f>
        <v>0</v>
      </c>
    </row>
    <row r="198" spans="5:27" ht="14.4" hidden="1" x14ac:dyDescent="0.25">
      <c r="E198" s="2">
        <v>27</v>
      </c>
      <c r="F198" s="2" t="s">
        <v>41</v>
      </c>
      <c r="G198" s="2">
        <v>2020</v>
      </c>
      <c r="H198" s="14">
        <v>0.43627577504040621</v>
      </c>
      <c r="I198" s="2">
        <f>(H198-H197)/H197</f>
        <v>4.9478288563141737E-2</v>
      </c>
      <c r="J198">
        <v>0.3</v>
      </c>
      <c r="K198">
        <v>0.125</v>
      </c>
      <c r="L198">
        <v>0.18</v>
      </c>
      <c r="M198">
        <v>0.35</v>
      </c>
      <c r="N198">
        <v>0.65</v>
      </c>
      <c r="O198">
        <v>1.4999999999999998</v>
      </c>
      <c r="P198">
        <v>0.92592592592592582</v>
      </c>
      <c r="Q198">
        <v>1</v>
      </c>
      <c r="R198">
        <v>1.4</v>
      </c>
      <c r="S198">
        <v>1</v>
      </c>
      <c r="T198">
        <f t="shared" si="33"/>
        <v>1.4499999999999997</v>
      </c>
      <c r="U198">
        <f t="shared" si="34"/>
        <v>0.92592592592592582</v>
      </c>
      <c r="V198">
        <f t="shared" si="35"/>
        <v>1</v>
      </c>
      <c r="W198" cm="1">
        <f t="array" ref="W198">_xlfn.IFS(J198&gt;sheet2!$C$2,1,J198=sheet2!$C$2,0,J198&lt;sheet2!$C$2,-1)</f>
        <v>1</v>
      </c>
      <c r="X198" cm="1">
        <f t="array" ref="X198">_xlfn.IFS(K198&gt;sheet2!$D$2,1,K198=sheet2!$D$2,0,K198&lt;sheet2!$D$2,-1)</f>
        <v>-1</v>
      </c>
      <c r="Y198" cm="1">
        <f t="array" ref="Y198">_xlfn.IFS(L198&gt;sheet2!$E$2,1,L198=sheet2!$E$2,0,L198&lt;sheet2!$E$2,-1)</f>
        <v>0</v>
      </c>
      <c r="Z198" cm="1">
        <f t="array" ref="Z198">_xlfn.IFS(M198&gt;sheet2!$F$2,1,M198=sheet2!$F$2,0,M198&lt;sheet2!$F$2,-1)</f>
        <v>1</v>
      </c>
      <c r="AA198" cm="1">
        <f t="array" ref="AA198">_xlfn.IFS(N198&gt;sheet2!$G$2,1,N198=sheet2!$G$2,0,N198&lt;sheet2!$G$2,-1)</f>
        <v>0</v>
      </c>
    </row>
    <row r="199" spans="5:27" ht="14.4" x14ac:dyDescent="0.25">
      <c r="E199" s="2">
        <v>27</v>
      </c>
      <c r="F199" s="2" t="s">
        <v>41</v>
      </c>
      <c r="G199" s="2">
        <v>2021</v>
      </c>
      <c r="H199" s="14">
        <v>0.4432037740501743</v>
      </c>
      <c r="I199" s="2">
        <f>(H199-H198)/H198</f>
        <v>1.5879861789544578E-2</v>
      </c>
      <c r="J199">
        <v>0.11699999999999999</v>
      </c>
      <c r="K199">
        <v>0.13500000000000001</v>
      </c>
      <c r="L199">
        <v>0.18</v>
      </c>
      <c r="M199">
        <v>0.16</v>
      </c>
      <c r="N199">
        <v>0.65</v>
      </c>
      <c r="O199">
        <v>0.58499999999999996</v>
      </c>
      <c r="P199">
        <v>1</v>
      </c>
      <c r="Q199">
        <v>1</v>
      </c>
      <c r="R199">
        <v>0.64</v>
      </c>
      <c r="S199">
        <v>1</v>
      </c>
      <c r="T199">
        <f t="shared" si="33"/>
        <v>0.61250000000000004</v>
      </c>
      <c r="U199">
        <f t="shared" si="34"/>
        <v>1</v>
      </c>
      <c r="V199">
        <f t="shared" si="35"/>
        <v>1</v>
      </c>
      <c r="W199" cm="1">
        <f t="array" ref="W199">_xlfn.IFS(J199&gt;sheet2!$C$2,1,J199=sheet2!$C$2,0,J199&lt;sheet2!$C$2,-1)</f>
        <v>-1</v>
      </c>
      <c r="X199" cm="1">
        <f t="array" ref="X199">_xlfn.IFS(K199&gt;sheet2!$D$2,1,K199=sheet2!$D$2,0,K199&lt;sheet2!$D$2,-1)</f>
        <v>0</v>
      </c>
      <c r="Y199" cm="1">
        <f t="array" ref="Y199">_xlfn.IFS(L199&gt;sheet2!$E$2,1,L199=sheet2!$E$2,0,L199&lt;sheet2!$E$2,-1)</f>
        <v>0</v>
      </c>
      <c r="Z199" cm="1">
        <f t="array" ref="Z199">_xlfn.IFS(M199&gt;sheet2!$F$2,1,M199=sheet2!$F$2,0,M199&lt;sheet2!$F$2,-1)</f>
        <v>-1</v>
      </c>
      <c r="AA199" cm="1">
        <f t="array" ref="AA199">_xlfn.IFS(N199&gt;sheet2!$G$2,1,N199=sheet2!$G$2,0,N199&lt;sheet2!$G$2,-1)</f>
        <v>0</v>
      </c>
    </row>
    <row r="200" spans="5:27" ht="14.4" hidden="1" x14ac:dyDescent="0.25">
      <c r="E200" s="2">
        <v>27</v>
      </c>
      <c r="F200" s="2" t="s">
        <v>41</v>
      </c>
      <c r="G200" s="2">
        <v>2022</v>
      </c>
      <c r="H200" s="16"/>
      <c r="I200" s="2"/>
      <c r="J200">
        <v>0.11699999999999999</v>
      </c>
      <c r="K200">
        <v>0.13500000000000001</v>
      </c>
      <c r="L200">
        <v>0.18</v>
      </c>
      <c r="M200">
        <v>0.16</v>
      </c>
      <c r="N200">
        <v>0.65</v>
      </c>
      <c r="O200">
        <v>0.58499999999999996</v>
      </c>
      <c r="P200">
        <v>1</v>
      </c>
      <c r="Q200">
        <v>1</v>
      </c>
      <c r="R200">
        <v>0.64</v>
      </c>
      <c r="S200">
        <v>1</v>
      </c>
      <c r="T200">
        <f t="shared" si="33"/>
        <v>0.61250000000000004</v>
      </c>
      <c r="U200">
        <f t="shared" si="34"/>
        <v>1</v>
      </c>
      <c r="V200">
        <f t="shared" si="35"/>
        <v>1</v>
      </c>
      <c r="W200" cm="1">
        <f t="array" ref="W200">_xlfn.IFS(J200&gt;sheet2!$C$2,1,J200=sheet2!$C$2,0,J200&lt;sheet2!$C$2,-1)</f>
        <v>-1</v>
      </c>
      <c r="X200" cm="1">
        <f t="array" ref="X200">_xlfn.IFS(K200&gt;sheet2!$D$2,1,K200=sheet2!$D$2,0,K200&lt;sheet2!$D$2,-1)</f>
        <v>0</v>
      </c>
      <c r="Y200" cm="1">
        <f t="array" ref="Y200">_xlfn.IFS(L200&gt;sheet2!$E$2,1,L200=sheet2!$E$2,0,L200&lt;sheet2!$E$2,-1)</f>
        <v>0</v>
      </c>
      <c r="Z200" cm="1">
        <f t="array" ref="Z200">_xlfn.IFS(M200&gt;sheet2!$F$2,1,M200=sheet2!$F$2,0,M200&lt;sheet2!$F$2,-1)</f>
        <v>-1</v>
      </c>
      <c r="AA200" cm="1">
        <f t="array" ref="AA200">_xlfn.IFS(N200&gt;sheet2!$G$2,1,N200=sheet2!$G$2,0,N200&lt;sheet2!$G$2,-1)</f>
        <v>0</v>
      </c>
    </row>
    <row r="201" spans="5:27" ht="14.4" hidden="1" x14ac:dyDescent="0.25">
      <c r="E201" s="2">
        <v>27</v>
      </c>
      <c r="F201" s="6" t="s">
        <v>42</v>
      </c>
      <c r="G201" s="2">
        <v>2023</v>
      </c>
      <c r="H201" s="14">
        <v>0.36886990577557244</v>
      </c>
      <c r="I201" s="2"/>
      <c r="J201">
        <v>0.2</v>
      </c>
      <c r="K201">
        <v>0.13500000000000001</v>
      </c>
      <c r="L201">
        <v>0.18</v>
      </c>
      <c r="M201">
        <v>0.25</v>
      </c>
      <c r="N201">
        <v>0.65</v>
      </c>
      <c r="O201">
        <v>1</v>
      </c>
      <c r="P201">
        <v>1</v>
      </c>
      <c r="Q201">
        <v>1</v>
      </c>
      <c r="R201">
        <v>1</v>
      </c>
      <c r="S201">
        <v>1</v>
      </c>
      <c r="T201">
        <f t="shared" si="33"/>
        <v>1</v>
      </c>
      <c r="U201">
        <f t="shared" si="34"/>
        <v>1</v>
      </c>
      <c r="V201">
        <f t="shared" si="35"/>
        <v>1</v>
      </c>
      <c r="W201" cm="1">
        <f t="array" ref="W201">_xlfn.IFS(J201&gt;sheet2!$C$2,1,J201=sheet2!$C$2,0,J201&lt;sheet2!$C$2,-1)</f>
        <v>0</v>
      </c>
      <c r="X201" cm="1">
        <f t="array" ref="X201">_xlfn.IFS(K201&gt;sheet2!$D$2,1,K201=sheet2!$D$2,0,K201&lt;sheet2!$D$2,-1)</f>
        <v>0</v>
      </c>
      <c r="Y201" cm="1">
        <f t="array" ref="Y201">_xlfn.IFS(L201&gt;sheet2!$E$2,1,L201=sheet2!$E$2,0,L201&lt;sheet2!$E$2,-1)</f>
        <v>0</v>
      </c>
      <c r="Z201" cm="1">
        <f t="array" ref="Z201">_xlfn.IFS(M201&gt;sheet2!$F$2,1,M201=sheet2!$F$2,0,M201&lt;sheet2!$F$2,-1)</f>
        <v>0</v>
      </c>
      <c r="AA201" cm="1">
        <f t="array" ref="AA201">_xlfn.IFS(N201&gt;sheet2!$G$2,1,N201=sheet2!$G$2,0,N201&lt;sheet2!$G$2,-1)</f>
        <v>0</v>
      </c>
    </row>
    <row r="202" spans="5:27" ht="14.4" hidden="1" x14ac:dyDescent="0.25">
      <c r="E202" s="2">
        <v>28</v>
      </c>
      <c r="F202" s="2" t="s">
        <v>43</v>
      </c>
      <c r="G202" s="2">
        <v>2016</v>
      </c>
      <c r="H202" s="14">
        <v>0.34000430707597318</v>
      </c>
      <c r="I202" s="2"/>
      <c r="J202">
        <v>0.52200000000000002</v>
      </c>
      <c r="K202">
        <v>0.13500000000000001</v>
      </c>
      <c r="L202">
        <v>0.18</v>
      </c>
      <c r="M202">
        <v>0.55000000000000004</v>
      </c>
      <c r="N202">
        <v>0.65</v>
      </c>
      <c r="O202">
        <v>2.61</v>
      </c>
      <c r="P202">
        <v>1</v>
      </c>
      <c r="Q202">
        <v>1</v>
      </c>
      <c r="R202">
        <v>2.2000000000000002</v>
      </c>
      <c r="S202">
        <v>1</v>
      </c>
      <c r="T202">
        <f t="shared" si="33"/>
        <v>2.4050000000000002</v>
      </c>
      <c r="U202">
        <f t="shared" si="34"/>
        <v>1</v>
      </c>
      <c r="V202">
        <f t="shared" si="35"/>
        <v>1</v>
      </c>
      <c r="W202" cm="1">
        <f t="array" ref="W202">_xlfn.IFS(J202&gt;sheet2!$C$2,1,J202=sheet2!$C$2,0,J202&lt;sheet2!$C$2,-1)</f>
        <v>1</v>
      </c>
      <c r="X202" cm="1">
        <f t="array" ref="X202">_xlfn.IFS(K202&gt;sheet2!$D$2,1,K202=sheet2!$D$2,0,K202&lt;sheet2!$D$2,-1)</f>
        <v>0</v>
      </c>
      <c r="Y202" cm="1">
        <f t="array" ref="Y202">_xlfn.IFS(L202&gt;sheet2!$E$2,1,L202=sheet2!$E$2,0,L202&lt;sheet2!$E$2,-1)</f>
        <v>0</v>
      </c>
      <c r="Z202" cm="1">
        <f t="array" ref="Z202">_xlfn.IFS(M202&gt;sheet2!$F$2,1,M202=sheet2!$F$2,0,M202&lt;sheet2!$F$2,-1)</f>
        <v>1</v>
      </c>
      <c r="AA202" cm="1">
        <f t="array" ref="AA202">_xlfn.IFS(N202&gt;sheet2!$G$2,1,N202=sheet2!$G$2,0,N202&lt;sheet2!$G$2,-1)</f>
        <v>0</v>
      </c>
    </row>
    <row r="203" spans="5:27" ht="14.4" hidden="1" x14ac:dyDescent="0.25">
      <c r="E203" s="2">
        <v>28</v>
      </c>
      <c r="F203" s="2" t="s">
        <v>43</v>
      </c>
      <c r="G203" s="2">
        <v>2017</v>
      </c>
      <c r="H203" s="14">
        <v>0.38291037445180581</v>
      </c>
      <c r="I203" s="2">
        <f>(H203-H202)/H202</f>
        <v>0.12619271721827152</v>
      </c>
      <c r="J203">
        <v>0.52200000000000002</v>
      </c>
      <c r="K203">
        <v>0.13500000000000001</v>
      </c>
      <c r="L203">
        <v>0.18</v>
      </c>
      <c r="M203">
        <v>0.55000000000000004</v>
      </c>
      <c r="N203">
        <v>0.65</v>
      </c>
      <c r="O203">
        <v>2.61</v>
      </c>
      <c r="P203">
        <v>1</v>
      </c>
      <c r="Q203">
        <v>1</v>
      </c>
      <c r="R203">
        <v>2.2000000000000002</v>
      </c>
      <c r="S203">
        <v>1</v>
      </c>
      <c r="T203">
        <f t="shared" si="33"/>
        <v>2.4050000000000002</v>
      </c>
      <c r="U203">
        <f t="shared" si="34"/>
        <v>1</v>
      </c>
      <c r="V203">
        <f t="shared" si="35"/>
        <v>1</v>
      </c>
      <c r="W203" cm="1">
        <f t="array" ref="W203">_xlfn.IFS(J203&gt;sheet2!$C$2,1,J203=sheet2!$C$2,0,J203&lt;sheet2!$C$2,-1)</f>
        <v>1</v>
      </c>
      <c r="X203" cm="1">
        <f t="array" ref="X203">_xlfn.IFS(K203&gt;sheet2!$D$2,1,K203=sheet2!$D$2,0,K203&lt;sheet2!$D$2,-1)</f>
        <v>0</v>
      </c>
      <c r="Y203" cm="1">
        <f t="array" ref="Y203">_xlfn.IFS(L203&gt;sheet2!$E$2,1,L203=sheet2!$E$2,0,L203&lt;sheet2!$E$2,-1)</f>
        <v>0</v>
      </c>
      <c r="Z203" cm="1">
        <f t="array" ref="Z203">_xlfn.IFS(M203&gt;sheet2!$F$2,1,M203=sheet2!$F$2,0,M203&lt;sheet2!$F$2,-1)</f>
        <v>1</v>
      </c>
      <c r="AA203" cm="1">
        <f t="array" ref="AA203">_xlfn.IFS(N203&gt;sheet2!$G$2,1,N203=sheet2!$G$2,0,N203&lt;sheet2!$G$2,-1)</f>
        <v>0</v>
      </c>
    </row>
    <row r="204" spans="5:27" ht="14.4" hidden="1" x14ac:dyDescent="0.25">
      <c r="E204" s="2">
        <v>28</v>
      </c>
      <c r="F204" s="2" t="s">
        <v>43</v>
      </c>
      <c r="G204" s="2">
        <v>2018</v>
      </c>
      <c r="H204" s="14">
        <v>0.36762513999575863</v>
      </c>
      <c r="I204" s="2">
        <f>(H204-H203)/H203</f>
        <v>-3.9918569659885314E-2</v>
      </c>
      <c r="J204">
        <v>0.52200000000000002</v>
      </c>
      <c r="K204">
        <v>0.13500000000000001</v>
      </c>
      <c r="L204">
        <v>0.18</v>
      </c>
      <c r="M204">
        <v>0.55000000000000004</v>
      </c>
      <c r="N204">
        <v>0.65</v>
      </c>
      <c r="O204">
        <v>2.61</v>
      </c>
      <c r="P204">
        <v>1</v>
      </c>
      <c r="Q204">
        <v>1</v>
      </c>
      <c r="R204">
        <v>2.2000000000000002</v>
      </c>
      <c r="S204">
        <v>1</v>
      </c>
      <c r="T204">
        <f t="shared" si="33"/>
        <v>2.4050000000000002</v>
      </c>
      <c r="U204">
        <f t="shared" si="34"/>
        <v>1</v>
      </c>
      <c r="V204">
        <f t="shared" si="35"/>
        <v>1</v>
      </c>
      <c r="W204" cm="1">
        <f t="array" ref="W204">_xlfn.IFS(J204&gt;sheet2!$C$2,1,J204=sheet2!$C$2,0,J204&lt;sheet2!$C$2,-1)</f>
        <v>1</v>
      </c>
      <c r="X204" cm="1">
        <f t="array" ref="X204">_xlfn.IFS(K204&gt;sheet2!$D$2,1,K204=sheet2!$D$2,0,K204&lt;sheet2!$D$2,-1)</f>
        <v>0</v>
      </c>
      <c r="Y204" cm="1">
        <f t="array" ref="Y204">_xlfn.IFS(L204&gt;sheet2!$E$2,1,L204=sheet2!$E$2,0,L204&lt;sheet2!$E$2,-1)</f>
        <v>0</v>
      </c>
      <c r="Z204" cm="1">
        <f t="array" ref="Z204">_xlfn.IFS(M204&gt;sheet2!$F$2,1,M204=sheet2!$F$2,0,M204&lt;sheet2!$F$2,-1)</f>
        <v>1</v>
      </c>
      <c r="AA204" cm="1">
        <f t="array" ref="AA204">_xlfn.IFS(N204&gt;sheet2!$G$2,1,N204=sheet2!$G$2,0,N204&lt;sheet2!$G$2,-1)</f>
        <v>0</v>
      </c>
    </row>
    <row r="205" spans="5:27" ht="14.4" hidden="1" x14ac:dyDescent="0.25">
      <c r="E205" s="2">
        <v>28</v>
      </c>
      <c r="F205" s="2" t="s">
        <v>43</v>
      </c>
      <c r="G205" s="2">
        <v>2019</v>
      </c>
      <c r="H205" s="14">
        <v>0.38969812773162082</v>
      </c>
      <c r="I205" s="2">
        <f>(H205-H204)/H204</f>
        <v>6.0042106304582038E-2</v>
      </c>
      <c r="J205">
        <v>0.52200000000000002</v>
      </c>
      <c r="K205">
        <v>0.13500000000000001</v>
      </c>
      <c r="L205">
        <v>0.18</v>
      </c>
      <c r="M205">
        <v>0.55000000000000004</v>
      </c>
      <c r="N205">
        <v>0.65</v>
      </c>
      <c r="O205">
        <v>2.61</v>
      </c>
      <c r="P205">
        <v>1</v>
      </c>
      <c r="Q205">
        <v>1</v>
      </c>
      <c r="R205">
        <v>2.2000000000000002</v>
      </c>
      <c r="S205">
        <v>1</v>
      </c>
      <c r="T205">
        <f t="shared" si="33"/>
        <v>2.4050000000000002</v>
      </c>
      <c r="U205">
        <f t="shared" si="34"/>
        <v>1</v>
      </c>
      <c r="V205">
        <f t="shared" si="35"/>
        <v>1</v>
      </c>
      <c r="W205" cm="1">
        <f t="array" ref="W205">_xlfn.IFS(J205&gt;sheet2!$C$2,1,J205=sheet2!$C$2,0,J205&lt;sheet2!$C$2,-1)</f>
        <v>1</v>
      </c>
      <c r="X205" cm="1">
        <f t="array" ref="X205">_xlfn.IFS(K205&gt;sheet2!$D$2,1,K205=sheet2!$D$2,0,K205&lt;sheet2!$D$2,-1)</f>
        <v>0</v>
      </c>
      <c r="Y205" cm="1">
        <f t="array" ref="Y205">_xlfn.IFS(L205&gt;sheet2!$E$2,1,L205=sheet2!$E$2,0,L205&lt;sheet2!$E$2,-1)</f>
        <v>0</v>
      </c>
      <c r="Z205" cm="1">
        <f t="array" ref="Z205">_xlfn.IFS(M205&gt;sheet2!$F$2,1,M205=sheet2!$F$2,0,M205&lt;sheet2!$F$2,-1)</f>
        <v>1</v>
      </c>
      <c r="AA205" cm="1">
        <f t="array" ref="AA205">_xlfn.IFS(N205&gt;sheet2!$G$2,1,N205=sheet2!$G$2,0,N205&lt;sheet2!$G$2,-1)</f>
        <v>0</v>
      </c>
    </row>
    <row r="206" spans="5:27" ht="14.4" hidden="1" x14ac:dyDescent="0.25">
      <c r="E206" s="2">
        <v>28</v>
      </c>
      <c r="F206" s="2" t="s">
        <v>43</v>
      </c>
      <c r="G206" s="2">
        <v>2020</v>
      </c>
      <c r="H206" s="14">
        <v>0.39547149234219164</v>
      </c>
      <c r="I206" s="2">
        <f>(H206-H205)/H205</f>
        <v>1.481496625138227E-2</v>
      </c>
      <c r="J206">
        <v>0.52200000000000002</v>
      </c>
      <c r="K206">
        <v>0.13500000000000001</v>
      </c>
      <c r="L206">
        <v>0.18</v>
      </c>
      <c r="M206">
        <v>0.55000000000000004</v>
      </c>
      <c r="N206">
        <v>0.65</v>
      </c>
      <c r="O206">
        <v>2.61</v>
      </c>
      <c r="P206">
        <v>1</v>
      </c>
      <c r="Q206">
        <v>1</v>
      </c>
      <c r="R206">
        <v>2.2000000000000002</v>
      </c>
      <c r="S206">
        <v>1</v>
      </c>
      <c r="T206">
        <f t="shared" si="33"/>
        <v>2.4050000000000002</v>
      </c>
      <c r="U206">
        <f t="shared" si="34"/>
        <v>1</v>
      </c>
      <c r="V206">
        <f t="shared" si="35"/>
        <v>1</v>
      </c>
      <c r="W206" cm="1">
        <f t="array" ref="W206">_xlfn.IFS(J206&gt;sheet2!$C$2,1,J206=sheet2!$C$2,0,J206&lt;sheet2!$C$2,-1)</f>
        <v>1</v>
      </c>
      <c r="X206" cm="1">
        <f t="array" ref="X206">_xlfn.IFS(K206&gt;sheet2!$D$2,1,K206=sheet2!$D$2,0,K206&lt;sheet2!$D$2,-1)</f>
        <v>0</v>
      </c>
      <c r="Y206" cm="1">
        <f t="array" ref="Y206">_xlfn.IFS(L206&gt;sheet2!$E$2,1,L206=sheet2!$E$2,0,L206&lt;sheet2!$E$2,-1)</f>
        <v>0</v>
      </c>
      <c r="Z206" cm="1">
        <f t="array" ref="Z206">_xlfn.IFS(M206&gt;sheet2!$F$2,1,M206=sheet2!$F$2,0,M206&lt;sheet2!$F$2,-1)</f>
        <v>1</v>
      </c>
      <c r="AA206" cm="1">
        <f t="array" ref="AA206">_xlfn.IFS(N206&gt;sheet2!$G$2,1,N206=sheet2!$G$2,0,N206&lt;sheet2!$G$2,-1)</f>
        <v>0</v>
      </c>
    </row>
    <row r="207" spans="5:27" ht="14.4" x14ac:dyDescent="0.25">
      <c r="E207" s="2">
        <v>28</v>
      </c>
      <c r="F207" s="2" t="s">
        <v>43</v>
      </c>
      <c r="G207" s="2">
        <v>2021</v>
      </c>
      <c r="H207" s="14">
        <v>0.42087962143312468</v>
      </c>
      <c r="I207" s="2">
        <f>(H207-H206)/H206</f>
        <v>6.4247688096182712E-2</v>
      </c>
      <c r="J207">
        <v>0.2</v>
      </c>
      <c r="K207">
        <v>0.13500000000000001</v>
      </c>
      <c r="L207">
        <v>0.18</v>
      </c>
      <c r="M207">
        <v>0.25</v>
      </c>
      <c r="N207">
        <v>0.65</v>
      </c>
      <c r="O207">
        <v>1</v>
      </c>
      <c r="P207">
        <v>1</v>
      </c>
      <c r="Q207">
        <v>1</v>
      </c>
      <c r="R207">
        <v>1</v>
      </c>
      <c r="S207">
        <v>1</v>
      </c>
      <c r="T207">
        <f t="shared" si="33"/>
        <v>1</v>
      </c>
      <c r="U207">
        <f t="shared" si="34"/>
        <v>1</v>
      </c>
      <c r="V207">
        <f t="shared" si="35"/>
        <v>1</v>
      </c>
      <c r="W207" cm="1">
        <f t="array" ref="W207">_xlfn.IFS(J207&gt;sheet2!$C$2,1,J207=sheet2!$C$2,0,J207&lt;sheet2!$C$2,-1)</f>
        <v>0</v>
      </c>
      <c r="X207" cm="1">
        <f t="array" ref="X207">_xlfn.IFS(K207&gt;sheet2!$D$2,1,K207=sheet2!$D$2,0,K207&lt;sheet2!$D$2,-1)</f>
        <v>0</v>
      </c>
      <c r="Y207" cm="1">
        <f t="array" ref="Y207">_xlfn.IFS(L207&gt;sheet2!$E$2,1,L207=sheet2!$E$2,0,L207&lt;sheet2!$E$2,-1)</f>
        <v>0</v>
      </c>
      <c r="Z207" cm="1">
        <f t="array" ref="Z207">_xlfn.IFS(M207&gt;sheet2!$F$2,1,M207=sheet2!$F$2,0,M207&lt;sheet2!$F$2,-1)</f>
        <v>0</v>
      </c>
      <c r="AA207" cm="1">
        <f t="array" ref="AA207">_xlfn.IFS(N207&gt;sheet2!$G$2,1,N207=sheet2!$G$2,0,N207&lt;sheet2!$G$2,-1)</f>
        <v>0</v>
      </c>
    </row>
    <row r="208" spans="5:27" ht="14.4" hidden="1" x14ac:dyDescent="0.25">
      <c r="E208" s="2">
        <v>28</v>
      </c>
      <c r="F208" s="2" t="s">
        <v>43</v>
      </c>
      <c r="G208" s="2">
        <v>2022</v>
      </c>
      <c r="H208" s="16"/>
      <c r="I208" s="2"/>
      <c r="J208">
        <v>0.2</v>
      </c>
      <c r="K208">
        <v>0.13500000000000001</v>
      </c>
      <c r="L208">
        <v>0.18</v>
      </c>
      <c r="M208">
        <v>0.25</v>
      </c>
      <c r="N208">
        <v>0.65</v>
      </c>
      <c r="O208">
        <v>1</v>
      </c>
      <c r="P208">
        <v>1</v>
      </c>
      <c r="Q208">
        <v>1</v>
      </c>
      <c r="R208">
        <v>1</v>
      </c>
      <c r="S208">
        <v>1</v>
      </c>
      <c r="T208">
        <f t="shared" si="33"/>
        <v>1</v>
      </c>
      <c r="U208">
        <f t="shared" si="34"/>
        <v>1</v>
      </c>
      <c r="V208">
        <f t="shared" si="35"/>
        <v>1</v>
      </c>
      <c r="W208" cm="1">
        <f t="array" ref="W208">_xlfn.IFS(J208&gt;sheet2!$C$2,1,J208=sheet2!$C$2,0,J208&lt;sheet2!$C$2,-1)</f>
        <v>0</v>
      </c>
      <c r="X208" cm="1">
        <f t="array" ref="X208">_xlfn.IFS(K208&gt;sheet2!$D$2,1,K208=sheet2!$D$2,0,K208&lt;sheet2!$D$2,-1)</f>
        <v>0</v>
      </c>
      <c r="Y208" cm="1">
        <f t="array" ref="Y208">_xlfn.IFS(L208&gt;sheet2!$E$2,1,L208=sheet2!$E$2,0,L208&lt;sheet2!$E$2,-1)</f>
        <v>0</v>
      </c>
      <c r="Z208" cm="1">
        <f t="array" ref="Z208">_xlfn.IFS(M208&gt;sheet2!$F$2,1,M208=sheet2!$F$2,0,M208&lt;sheet2!$F$2,-1)</f>
        <v>0</v>
      </c>
      <c r="AA208" cm="1">
        <f t="array" ref="AA208">_xlfn.IFS(N208&gt;sheet2!$G$2,1,N208=sheet2!$G$2,0,N208&lt;sheet2!$G$2,-1)</f>
        <v>0</v>
      </c>
    </row>
    <row r="209" spans="5:27" ht="14.4" hidden="1" x14ac:dyDescent="0.25">
      <c r="E209" s="2">
        <v>28</v>
      </c>
      <c r="F209" s="6" t="s">
        <v>44</v>
      </c>
      <c r="G209" s="2">
        <v>2023</v>
      </c>
      <c r="H209" s="14">
        <v>0.34215391173497323</v>
      </c>
      <c r="I209" s="2"/>
      <c r="J209">
        <v>0.2</v>
      </c>
      <c r="K209">
        <v>0.13500000000000001</v>
      </c>
      <c r="L209">
        <v>0.18</v>
      </c>
      <c r="M209">
        <v>0.25</v>
      </c>
      <c r="N209">
        <v>0.65</v>
      </c>
      <c r="O209">
        <v>1</v>
      </c>
      <c r="P209">
        <v>1</v>
      </c>
      <c r="Q209">
        <v>1</v>
      </c>
      <c r="R209">
        <v>1</v>
      </c>
      <c r="S209">
        <v>1</v>
      </c>
      <c r="T209">
        <f t="shared" si="33"/>
        <v>1</v>
      </c>
      <c r="U209">
        <f t="shared" si="34"/>
        <v>1</v>
      </c>
      <c r="V209">
        <f t="shared" si="35"/>
        <v>1</v>
      </c>
      <c r="W209" cm="1">
        <f t="array" ref="W209">_xlfn.IFS(J209&gt;sheet2!$C$2,1,J209=sheet2!$C$2,0,J209&lt;sheet2!$C$2,-1)</f>
        <v>0</v>
      </c>
      <c r="X209" cm="1">
        <f t="array" ref="X209">_xlfn.IFS(K209&gt;sheet2!$D$2,1,K209=sheet2!$D$2,0,K209&lt;sheet2!$D$2,-1)</f>
        <v>0</v>
      </c>
      <c r="Y209" cm="1">
        <f t="array" ref="Y209">_xlfn.IFS(L209&gt;sheet2!$E$2,1,L209=sheet2!$E$2,0,L209&lt;sheet2!$E$2,-1)</f>
        <v>0</v>
      </c>
      <c r="Z209" cm="1">
        <f t="array" ref="Z209">_xlfn.IFS(M209&gt;sheet2!$F$2,1,M209=sheet2!$F$2,0,M209&lt;sheet2!$F$2,-1)</f>
        <v>0</v>
      </c>
      <c r="AA209" cm="1">
        <f t="array" ref="AA209">_xlfn.IFS(N209&gt;sheet2!$G$2,1,N209=sheet2!$G$2,0,N209&lt;sheet2!$G$2,-1)</f>
        <v>0</v>
      </c>
    </row>
    <row r="210" spans="5:27" ht="14.4" hidden="1" x14ac:dyDescent="0.25">
      <c r="E210" s="2">
        <v>29</v>
      </c>
      <c r="F210" s="2" t="s">
        <v>45</v>
      </c>
      <c r="G210" s="2">
        <v>2016</v>
      </c>
      <c r="H210" s="14">
        <v>0.36182529315831341</v>
      </c>
      <c r="I210" s="2"/>
      <c r="J210">
        <v>0.2</v>
      </c>
      <c r="K210">
        <v>0.13500000000000001</v>
      </c>
      <c r="L210">
        <v>0.18</v>
      </c>
      <c r="M210">
        <v>0.3</v>
      </c>
      <c r="N210">
        <v>0.65</v>
      </c>
      <c r="O210">
        <v>1</v>
      </c>
      <c r="P210">
        <v>1</v>
      </c>
      <c r="Q210">
        <v>1</v>
      </c>
      <c r="R210">
        <v>1.2</v>
      </c>
      <c r="S210">
        <v>1</v>
      </c>
      <c r="T210">
        <f t="shared" si="33"/>
        <v>1.1000000000000001</v>
      </c>
      <c r="U210">
        <f t="shared" si="34"/>
        <v>1</v>
      </c>
      <c r="V210">
        <f t="shared" si="35"/>
        <v>1</v>
      </c>
      <c r="W210" cm="1">
        <f t="array" ref="W210">_xlfn.IFS(J210&gt;sheet2!$C$2,1,J210=sheet2!$C$2,0,J210&lt;sheet2!$C$2,-1)</f>
        <v>0</v>
      </c>
      <c r="X210" cm="1">
        <f t="array" ref="X210">_xlfn.IFS(K210&gt;sheet2!$D$2,1,K210=sheet2!$D$2,0,K210&lt;sheet2!$D$2,-1)</f>
        <v>0</v>
      </c>
      <c r="Y210" cm="1">
        <f t="array" ref="Y210">_xlfn.IFS(L210&gt;sheet2!$E$2,1,L210=sheet2!$E$2,0,L210&lt;sheet2!$E$2,-1)</f>
        <v>0</v>
      </c>
      <c r="Z210" cm="1">
        <f t="array" ref="Z210">_xlfn.IFS(M210&gt;sheet2!$F$2,1,M210=sheet2!$F$2,0,M210&lt;sheet2!$F$2,-1)</f>
        <v>1</v>
      </c>
      <c r="AA210" cm="1">
        <f t="array" ref="AA210">_xlfn.IFS(N210&gt;sheet2!$G$2,1,N210=sheet2!$G$2,0,N210&lt;sheet2!$G$2,-1)</f>
        <v>0</v>
      </c>
    </row>
    <row r="211" spans="5:27" ht="14.4" hidden="1" x14ac:dyDescent="0.25">
      <c r="E211" s="2">
        <v>29</v>
      </c>
      <c r="F211" s="2" t="s">
        <v>45</v>
      </c>
      <c r="G211" s="2">
        <v>2017</v>
      </c>
      <c r="H211" s="14">
        <v>0.35143440521582681</v>
      </c>
      <c r="I211" s="2">
        <f t="shared" ref="I211:I216" si="36">(H211-H210)/H210</f>
        <v>-2.8717970078283511E-2</v>
      </c>
      <c r="J211">
        <v>0.2</v>
      </c>
      <c r="K211">
        <v>0.13500000000000001</v>
      </c>
      <c r="L211">
        <v>0.18</v>
      </c>
      <c r="M211">
        <v>0.3</v>
      </c>
      <c r="N211">
        <v>0.65</v>
      </c>
      <c r="O211">
        <v>1</v>
      </c>
      <c r="P211">
        <v>1</v>
      </c>
      <c r="Q211">
        <v>1</v>
      </c>
      <c r="R211">
        <v>1.2</v>
      </c>
      <c r="S211">
        <v>1</v>
      </c>
      <c r="T211">
        <f t="shared" si="33"/>
        <v>1.1000000000000001</v>
      </c>
      <c r="U211">
        <f t="shared" si="34"/>
        <v>1</v>
      </c>
      <c r="V211">
        <f t="shared" si="35"/>
        <v>1</v>
      </c>
      <c r="W211" cm="1">
        <f t="array" ref="W211">_xlfn.IFS(J211&gt;sheet2!$C$2,1,J211=sheet2!$C$2,0,J211&lt;sheet2!$C$2,-1)</f>
        <v>0</v>
      </c>
      <c r="X211" cm="1">
        <f t="array" ref="X211">_xlfn.IFS(K211&gt;sheet2!$D$2,1,K211=sheet2!$D$2,0,K211&lt;sheet2!$D$2,-1)</f>
        <v>0</v>
      </c>
      <c r="Y211" cm="1">
        <f t="array" ref="Y211">_xlfn.IFS(L211&gt;sheet2!$E$2,1,L211=sheet2!$E$2,0,L211&lt;sheet2!$E$2,-1)</f>
        <v>0</v>
      </c>
      <c r="Z211" cm="1">
        <f t="array" ref="Z211">_xlfn.IFS(M211&gt;sheet2!$F$2,1,M211=sheet2!$F$2,0,M211&lt;sheet2!$F$2,-1)</f>
        <v>1</v>
      </c>
      <c r="AA211" cm="1">
        <f t="array" ref="AA211">_xlfn.IFS(N211&gt;sheet2!$G$2,1,N211=sheet2!$G$2,0,N211&lt;sheet2!$G$2,-1)</f>
        <v>0</v>
      </c>
    </row>
    <row r="212" spans="5:27" ht="14.4" hidden="1" x14ac:dyDescent="0.25">
      <c r="E212" s="2">
        <v>29</v>
      </c>
      <c r="F212" s="2" t="s">
        <v>45</v>
      </c>
      <c r="G212" s="2">
        <v>2018</v>
      </c>
      <c r="H212" s="14">
        <v>0.34591233878018951</v>
      </c>
      <c r="I212" s="2">
        <f t="shared" si="36"/>
        <v>-1.5712936336571896E-2</v>
      </c>
      <c r="J212">
        <v>0.2</v>
      </c>
      <c r="K212">
        <v>0.13500000000000001</v>
      </c>
      <c r="L212">
        <v>0.18</v>
      </c>
      <c r="M212">
        <v>0.3</v>
      </c>
      <c r="N212">
        <v>0.65</v>
      </c>
      <c r="O212">
        <v>1</v>
      </c>
      <c r="P212">
        <v>1</v>
      </c>
      <c r="Q212">
        <v>1</v>
      </c>
      <c r="R212">
        <v>1.2</v>
      </c>
      <c r="S212">
        <v>1</v>
      </c>
      <c r="T212">
        <f t="shared" si="33"/>
        <v>1.1000000000000001</v>
      </c>
      <c r="U212">
        <f t="shared" si="34"/>
        <v>1</v>
      </c>
      <c r="V212">
        <f t="shared" si="35"/>
        <v>1</v>
      </c>
      <c r="W212" cm="1">
        <f t="array" ref="W212">_xlfn.IFS(J212&gt;sheet2!$C$2,1,J212=sheet2!$C$2,0,J212&lt;sheet2!$C$2,-1)</f>
        <v>0</v>
      </c>
      <c r="X212" cm="1">
        <f t="array" ref="X212">_xlfn.IFS(K212&gt;sheet2!$D$2,1,K212=sheet2!$D$2,0,K212&lt;sheet2!$D$2,-1)</f>
        <v>0</v>
      </c>
      <c r="Y212" cm="1">
        <f t="array" ref="Y212">_xlfn.IFS(L212&gt;sheet2!$E$2,1,L212=sheet2!$E$2,0,L212&lt;sheet2!$E$2,-1)</f>
        <v>0</v>
      </c>
      <c r="Z212" cm="1">
        <f t="array" ref="Z212">_xlfn.IFS(M212&gt;sheet2!$F$2,1,M212=sheet2!$F$2,0,M212&lt;sheet2!$F$2,-1)</f>
        <v>1</v>
      </c>
      <c r="AA212" cm="1">
        <f t="array" ref="AA212">_xlfn.IFS(N212&gt;sheet2!$G$2,1,N212=sheet2!$G$2,0,N212&lt;sheet2!$G$2,-1)</f>
        <v>0</v>
      </c>
    </row>
    <row r="213" spans="5:27" ht="14.4" hidden="1" x14ac:dyDescent="0.25">
      <c r="E213" s="2">
        <v>29</v>
      </c>
      <c r="F213" s="2" t="s">
        <v>45</v>
      </c>
      <c r="G213" s="2">
        <v>2019</v>
      </c>
      <c r="H213" s="14">
        <v>0.36460155819230494</v>
      </c>
      <c r="I213" s="2">
        <f t="shared" si="36"/>
        <v>5.4028773526900768E-2</v>
      </c>
      <c r="J213">
        <v>0.2</v>
      </c>
      <c r="K213">
        <v>0.13500000000000001</v>
      </c>
      <c r="L213">
        <v>0.18</v>
      </c>
      <c r="M213">
        <v>0.3</v>
      </c>
      <c r="N213">
        <v>0.65</v>
      </c>
      <c r="O213">
        <v>1</v>
      </c>
      <c r="P213">
        <v>1</v>
      </c>
      <c r="Q213">
        <v>1</v>
      </c>
      <c r="R213">
        <v>1.2</v>
      </c>
      <c r="S213">
        <v>1</v>
      </c>
      <c r="T213">
        <f t="shared" si="33"/>
        <v>1.1000000000000001</v>
      </c>
      <c r="U213">
        <f t="shared" si="34"/>
        <v>1</v>
      </c>
      <c r="V213">
        <f t="shared" si="35"/>
        <v>1</v>
      </c>
      <c r="W213" cm="1">
        <f t="array" ref="W213">_xlfn.IFS(J213&gt;sheet2!$C$2,1,J213=sheet2!$C$2,0,J213&lt;sheet2!$C$2,-1)</f>
        <v>0</v>
      </c>
      <c r="X213" cm="1">
        <f t="array" ref="X213">_xlfn.IFS(K213&gt;sheet2!$D$2,1,K213=sheet2!$D$2,0,K213&lt;sheet2!$D$2,-1)</f>
        <v>0</v>
      </c>
      <c r="Y213" cm="1">
        <f t="array" ref="Y213">_xlfn.IFS(L213&gt;sheet2!$E$2,1,L213=sheet2!$E$2,0,L213&lt;sheet2!$E$2,-1)</f>
        <v>0</v>
      </c>
      <c r="Z213" cm="1">
        <f t="array" ref="Z213">_xlfn.IFS(M213&gt;sheet2!$F$2,1,M213=sheet2!$F$2,0,M213&lt;sheet2!$F$2,-1)</f>
        <v>1</v>
      </c>
      <c r="AA213" cm="1">
        <f t="array" ref="AA213">_xlfn.IFS(N213&gt;sheet2!$G$2,1,N213=sheet2!$G$2,0,N213&lt;sheet2!$G$2,-1)</f>
        <v>0</v>
      </c>
    </row>
    <row r="214" spans="5:27" ht="14.4" hidden="1" x14ac:dyDescent="0.25">
      <c r="E214" s="2">
        <v>29</v>
      </c>
      <c r="F214" s="2" t="s">
        <v>45</v>
      </c>
      <c r="G214" s="2">
        <v>2020</v>
      </c>
      <c r="H214" s="14">
        <v>0.37457244810835921</v>
      </c>
      <c r="I214" s="2">
        <f t="shared" si="36"/>
        <v>2.7347359582032389E-2</v>
      </c>
      <c r="J214">
        <v>0.2</v>
      </c>
      <c r="K214">
        <v>0.13500000000000001</v>
      </c>
      <c r="L214">
        <v>0.18</v>
      </c>
      <c r="M214">
        <v>0.3</v>
      </c>
      <c r="N214">
        <v>0.65</v>
      </c>
      <c r="O214">
        <v>1</v>
      </c>
      <c r="P214">
        <v>1</v>
      </c>
      <c r="Q214">
        <v>1</v>
      </c>
      <c r="R214">
        <v>1.2</v>
      </c>
      <c r="S214">
        <v>1</v>
      </c>
      <c r="T214">
        <f t="shared" si="33"/>
        <v>1.1000000000000001</v>
      </c>
      <c r="U214">
        <f t="shared" si="34"/>
        <v>1</v>
      </c>
      <c r="V214">
        <f t="shared" si="35"/>
        <v>1</v>
      </c>
      <c r="W214" cm="1">
        <f t="array" ref="W214">_xlfn.IFS(J214&gt;sheet2!$C$2,1,J214=sheet2!$C$2,0,J214&lt;sheet2!$C$2,-1)</f>
        <v>0</v>
      </c>
      <c r="X214" cm="1">
        <f t="array" ref="X214">_xlfn.IFS(K214&gt;sheet2!$D$2,1,K214=sheet2!$D$2,0,K214&lt;sheet2!$D$2,-1)</f>
        <v>0</v>
      </c>
      <c r="Y214" cm="1">
        <f t="array" ref="Y214">_xlfn.IFS(L214&gt;sheet2!$E$2,1,L214=sheet2!$E$2,0,L214&lt;sheet2!$E$2,-1)</f>
        <v>0</v>
      </c>
      <c r="Z214" cm="1">
        <f t="array" ref="Z214">_xlfn.IFS(M214&gt;sheet2!$F$2,1,M214=sheet2!$F$2,0,M214&lt;sheet2!$F$2,-1)</f>
        <v>1</v>
      </c>
      <c r="AA214" cm="1">
        <f t="array" ref="AA214">_xlfn.IFS(N214&gt;sheet2!$G$2,1,N214=sheet2!$G$2,0,N214&lt;sheet2!$G$2,-1)</f>
        <v>0</v>
      </c>
    </row>
    <row r="215" spans="5:27" ht="14.4" x14ac:dyDescent="0.25">
      <c r="E215" s="2">
        <v>29</v>
      </c>
      <c r="F215" s="2" t="s">
        <v>45</v>
      </c>
      <c r="G215" s="2">
        <v>2021</v>
      </c>
      <c r="H215" s="14">
        <v>0.38356216382689717</v>
      </c>
      <c r="I215" s="2">
        <f t="shared" si="36"/>
        <v>2.3999938500381495E-2</v>
      </c>
      <c r="J215">
        <v>0.2</v>
      </c>
      <c r="K215">
        <v>0.13500000000000001</v>
      </c>
      <c r="L215">
        <v>0.18</v>
      </c>
      <c r="M215">
        <v>0.25</v>
      </c>
      <c r="N215">
        <v>0.65</v>
      </c>
      <c r="O215">
        <v>1</v>
      </c>
      <c r="P215">
        <v>1</v>
      </c>
      <c r="Q215">
        <v>1</v>
      </c>
      <c r="R215">
        <v>1</v>
      </c>
      <c r="S215">
        <v>1</v>
      </c>
      <c r="T215">
        <f t="shared" si="33"/>
        <v>1</v>
      </c>
      <c r="U215">
        <f t="shared" si="34"/>
        <v>1</v>
      </c>
      <c r="V215">
        <f t="shared" si="35"/>
        <v>1</v>
      </c>
      <c r="W215" cm="1">
        <f t="array" ref="W215">_xlfn.IFS(J215&gt;sheet2!$C$2,1,J215=sheet2!$C$2,0,J215&lt;sheet2!$C$2,-1)</f>
        <v>0</v>
      </c>
      <c r="X215" cm="1">
        <f t="array" ref="X215">_xlfn.IFS(K215&gt;sheet2!$D$2,1,K215=sheet2!$D$2,0,K215&lt;sheet2!$D$2,-1)</f>
        <v>0</v>
      </c>
      <c r="Y215" cm="1">
        <f t="array" ref="Y215">_xlfn.IFS(L215&gt;sheet2!$E$2,1,L215=sheet2!$E$2,0,L215&lt;sheet2!$E$2,-1)</f>
        <v>0</v>
      </c>
      <c r="Z215" cm="1">
        <f t="array" ref="Z215">_xlfn.IFS(M215&gt;sheet2!$F$2,1,M215=sheet2!$F$2,0,M215&lt;sheet2!$F$2,-1)</f>
        <v>0</v>
      </c>
      <c r="AA215" cm="1">
        <f t="array" ref="AA215">_xlfn.IFS(N215&gt;sheet2!$G$2,1,N215=sheet2!$G$2,0,N215&lt;sheet2!$G$2,-1)</f>
        <v>0</v>
      </c>
    </row>
    <row r="216" spans="5:27" ht="14.4" hidden="1" x14ac:dyDescent="0.25">
      <c r="E216" s="2">
        <v>29</v>
      </c>
      <c r="F216" s="6" t="s">
        <v>46</v>
      </c>
      <c r="G216" s="2">
        <v>2022</v>
      </c>
      <c r="H216" s="14">
        <v>0.39158882885523077</v>
      </c>
      <c r="I216" s="2">
        <f t="shared" si="36"/>
        <v>2.0926634025237329E-2</v>
      </c>
      <c r="J216">
        <v>0.2</v>
      </c>
      <c r="K216">
        <v>0.13500000000000001</v>
      </c>
      <c r="L216">
        <v>0.18</v>
      </c>
      <c r="M216">
        <v>0.25</v>
      </c>
      <c r="N216">
        <v>0.65</v>
      </c>
      <c r="O216">
        <v>1</v>
      </c>
      <c r="P216">
        <v>1</v>
      </c>
      <c r="Q216">
        <v>1</v>
      </c>
      <c r="R216">
        <v>1</v>
      </c>
      <c r="S216">
        <v>1</v>
      </c>
      <c r="T216">
        <f t="shared" si="33"/>
        <v>1</v>
      </c>
      <c r="U216">
        <f t="shared" si="34"/>
        <v>1</v>
      </c>
      <c r="V216">
        <f t="shared" si="35"/>
        <v>1</v>
      </c>
      <c r="W216" cm="1">
        <f t="array" ref="W216">_xlfn.IFS(J216&gt;sheet2!$C$2,1,J216=sheet2!$C$2,0,J216&lt;sheet2!$C$2,-1)</f>
        <v>0</v>
      </c>
      <c r="X216" cm="1">
        <f t="array" ref="X216">_xlfn.IFS(K216&gt;sheet2!$D$2,1,K216=sheet2!$D$2,0,K216&lt;sheet2!$D$2,-1)</f>
        <v>0</v>
      </c>
      <c r="Y216" cm="1">
        <f t="array" ref="Y216">_xlfn.IFS(L216&gt;sheet2!$E$2,1,L216=sheet2!$E$2,0,L216&lt;sheet2!$E$2,-1)</f>
        <v>0</v>
      </c>
      <c r="Z216" cm="1">
        <f t="array" ref="Z216">_xlfn.IFS(M216&gt;sheet2!$F$2,1,M216=sheet2!$F$2,0,M216&lt;sheet2!$F$2,-1)</f>
        <v>0</v>
      </c>
      <c r="AA216" cm="1">
        <f t="array" ref="AA216">_xlfn.IFS(N216&gt;sheet2!$G$2,1,N216=sheet2!$G$2,0,N216&lt;sheet2!$G$2,-1)</f>
        <v>0</v>
      </c>
    </row>
    <row r="217" spans="5:27" ht="14.4" hidden="1" x14ac:dyDescent="0.25">
      <c r="E217" s="2">
        <v>30</v>
      </c>
      <c r="F217" s="2" t="s">
        <v>47</v>
      </c>
      <c r="G217" s="2">
        <v>2016</v>
      </c>
      <c r="H217" s="14">
        <v>0.38303371932945279</v>
      </c>
      <c r="I217" s="2"/>
      <c r="J217">
        <v>0.2</v>
      </c>
      <c r="K217">
        <v>0.13500000000000001</v>
      </c>
      <c r="L217">
        <v>0.18</v>
      </c>
      <c r="M217">
        <v>0.25</v>
      </c>
      <c r="N217">
        <v>0.65</v>
      </c>
      <c r="O217">
        <v>1</v>
      </c>
      <c r="P217">
        <v>1</v>
      </c>
      <c r="Q217">
        <v>1</v>
      </c>
      <c r="R217">
        <v>1</v>
      </c>
      <c r="S217">
        <v>1</v>
      </c>
      <c r="T217">
        <f t="shared" si="33"/>
        <v>1</v>
      </c>
      <c r="U217">
        <f t="shared" si="34"/>
        <v>1</v>
      </c>
      <c r="V217">
        <f t="shared" si="35"/>
        <v>1</v>
      </c>
      <c r="W217" cm="1">
        <f t="array" ref="W217">_xlfn.IFS(J217&gt;sheet2!$C$2,1,J217=sheet2!$C$2,0,J217&lt;sheet2!$C$2,-1)</f>
        <v>0</v>
      </c>
      <c r="X217" cm="1">
        <f t="array" ref="X217">_xlfn.IFS(K217&gt;sheet2!$D$2,1,K217=sheet2!$D$2,0,K217&lt;sheet2!$D$2,-1)</f>
        <v>0</v>
      </c>
      <c r="Y217" cm="1">
        <f t="array" ref="Y217">_xlfn.IFS(L217&gt;sheet2!$E$2,1,L217=sheet2!$E$2,0,L217&lt;sheet2!$E$2,-1)</f>
        <v>0</v>
      </c>
      <c r="Z217" cm="1">
        <f t="array" ref="Z217">_xlfn.IFS(M217&gt;sheet2!$F$2,1,M217=sheet2!$F$2,0,M217&lt;sheet2!$F$2,-1)</f>
        <v>0</v>
      </c>
      <c r="AA217" cm="1">
        <f t="array" ref="AA217">_xlfn.IFS(N217&gt;sheet2!$G$2,1,N217=sheet2!$G$2,0,N217&lt;sheet2!$G$2,-1)</f>
        <v>0</v>
      </c>
    </row>
    <row r="218" spans="5:27" ht="14.4" hidden="1" x14ac:dyDescent="0.25">
      <c r="E218" s="2">
        <v>30</v>
      </c>
      <c r="F218" s="2" t="s">
        <v>47</v>
      </c>
      <c r="G218" s="2">
        <v>2017</v>
      </c>
      <c r="H218" s="14">
        <v>0.43729288425958823</v>
      </c>
      <c r="I218" s="2">
        <f>(H218-H217)/H217</f>
        <v>0.1416563665076869</v>
      </c>
      <c r="J218">
        <v>0.2</v>
      </c>
      <c r="K218">
        <v>0.13500000000000001</v>
      </c>
      <c r="L218">
        <v>0.18</v>
      </c>
      <c r="M218">
        <v>0.25</v>
      </c>
      <c r="N218">
        <v>0.65</v>
      </c>
      <c r="O218">
        <v>1</v>
      </c>
      <c r="P218">
        <v>1</v>
      </c>
      <c r="Q218">
        <v>1</v>
      </c>
      <c r="R218">
        <v>1</v>
      </c>
      <c r="S218">
        <v>1</v>
      </c>
      <c r="T218">
        <f t="shared" si="33"/>
        <v>1</v>
      </c>
      <c r="U218">
        <f t="shared" si="34"/>
        <v>1</v>
      </c>
      <c r="V218">
        <f t="shared" si="35"/>
        <v>1</v>
      </c>
      <c r="W218" cm="1">
        <f t="array" ref="W218">_xlfn.IFS(J218&gt;sheet2!$C$2,1,J218=sheet2!$C$2,0,J218&lt;sheet2!$C$2,-1)</f>
        <v>0</v>
      </c>
      <c r="X218" cm="1">
        <f t="array" ref="X218">_xlfn.IFS(K218&gt;sheet2!$D$2,1,K218=sheet2!$D$2,0,K218&lt;sheet2!$D$2,-1)</f>
        <v>0</v>
      </c>
      <c r="Y218" cm="1">
        <f t="array" ref="Y218">_xlfn.IFS(L218&gt;sheet2!$E$2,1,L218=sheet2!$E$2,0,L218&lt;sheet2!$E$2,-1)</f>
        <v>0</v>
      </c>
      <c r="Z218" cm="1">
        <f t="array" ref="Z218">_xlfn.IFS(M218&gt;sheet2!$F$2,1,M218=sheet2!$F$2,0,M218&lt;sheet2!$F$2,-1)</f>
        <v>0</v>
      </c>
      <c r="AA218" cm="1">
        <f t="array" ref="AA218">_xlfn.IFS(N218&gt;sheet2!$G$2,1,N218=sheet2!$G$2,0,N218&lt;sheet2!$G$2,-1)</f>
        <v>0</v>
      </c>
    </row>
    <row r="219" spans="5:27" ht="14.4" hidden="1" x14ac:dyDescent="0.25">
      <c r="E219" s="2">
        <v>30</v>
      </c>
      <c r="F219" s="2" t="s">
        <v>47</v>
      </c>
      <c r="G219" s="2">
        <v>2018</v>
      </c>
      <c r="H219" s="14">
        <v>0.44615306925465142</v>
      </c>
      <c r="I219" s="2">
        <f>(H219-H218)/H218</f>
        <v>2.0261443334631441E-2</v>
      </c>
      <c r="J219">
        <v>0.2</v>
      </c>
      <c r="K219">
        <v>0.13500000000000001</v>
      </c>
      <c r="L219">
        <v>0.18</v>
      </c>
      <c r="M219">
        <v>0.25</v>
      </c>
      <c r="N219">
        <v>0.65</v>
      </c>
      <c r="O219">
        <v>1</v>
      </c>
      <c r="P219">
        <v>1</v>
      </c>
      <c r="Q219">
        <v>1</v>
      </c>
      <c r="R219">
        <v>1</v>
      </c>
      <c r="S219">
        <v>1</v>
      </c>
      <c r="T219">
        <f t="shared" si="33"/>
        <v>1</v>
      </c>
      <c r="U219">
        <f t="shared" si="34"/>
        <v>1</v>
      </c>
      <c r="V219">
        <f t="shared" si="35"/>
        <v>1</v>
      </c>
      <c r="W219" cm="1">
        <f t="array" ref="W219">_xlfn.IFS(J219&gt;sheet2!$C$2,1,J219=sheet2!$C$2,0,J219&lt;sheet2!$C$2,-1)</f>
        <v>0</v>
      </c>
      <c r="X219" cm="1">
        <f t="array" ref="X219">_xlfn.IFS(K219&gt;sheet2!$D$2,1,K219=sheet2!$D$2,0,K219&lt;sheet2!$D$2,-1)</f>
        <v>0</v>
      </c>
      <c r="Y219" cm="1">
        <f t="array" ref="Y219">_xlfn.IFS(L219&gt;sheet2!$E$2,1,L219=sheet2!$E$2,0,L219&lt;sheet2!$E$2,-1)</f>
        <v>0</v>
      </c>
      <c r="Z219" cm="1">
        <f t="array" ref="Z219">_xlfn.IFS(M219&gt;sheet2!$F$2,1,M219=sheet2!$F$2,0,M219&lt;sheet2!$F$2,-1)</f>
        <v>0</v>
      </c>
      <c r="AA219" cm="1">
        <f t="array" ref="AA219">_xlfn.IFS(N219&gt;sheet2!$G$2,1,N219=sheet2!$G$2,0,N219&lt;sheet2!$G$2,-1)</f>
        <v>0</v>
      </c>
    </row>
    <row r="220" spans="5:27" ht="14.4" hidden="1" x14ac:dyDescent="0.25">
      <c r="E220" s="2">
        <v>30</v>
      </c>
      <c r="F220" s="2" t="s">
        <v>47</v>
      </c>
      <c r="G220" s="2">
        <v>2019</v>
      </c>
      <c r="H220" s="14">
        <v>0.47256880589831957</v>
      </c>
      <c r="I220" s="2">
        <f>(H220-H219)/H219</f>
        <v>5.9207788680684374E-2</v>
      </c>
      <c r="J220">
        <v>0.2</v>
      </c>
      <c r="K220">
        <v>0.13500000000000001</v>
      </c>
      <c r="L220">
        <v>0.18</v>
      </c>
      <c r="M220">
        <v>0.25</v>
      </c>
      <c r="N220">
        <v>0.65</v>
      </c>
      <c r="O220">
        <v>1</v>
      </c>
      <c r="P220">
        <v>1</v>
      </c>
      <c r="Q220">
        <v>1</v>
      </c>
      <c r="R220">
        <v>1</v>
      </c>
      <c r="S220">
        <v>1</v>
      </c>
      <c r="T220">
        <f t="shared" si="33"/>
        <v>1</v>
      </c>
      <c r="U220">
        <f t="shared" si="34"/>
        <v>1</v>
      </c>
      <c r="V220">
        <f t="shared" si="35"/>
        <v>1</v>
      </c>
      <c r="W220" cm="1">
        <f t="array" ref="W220">_xlfn.IFS(J220&gt;sheet2!$C$2,1,J220=sheet2!$C$2,0,J220&lt;sheet2!$C$2,-1)</f>
        <v>0</v>
      </c>
      <c r="X220" cm="1">
        <f t="array" ref="X220">_xlfn.IFS(K220&gt;sheet2!$D$2,1,K220=sheet2!$D$2,0,K220&lt;sheet2!$D$2,-1)</f>
        <v>0</v>
      </c>
      <c r="Y220" cm="1">
        <f t="array" ref="Y220">_xlfn.IFS(L220&gt;sheet2!$E$2,1,L220=sheet2!$E$2,0,L220&lt;sheet2!$E$2,-1)</f>
        <v>0</v>
      </c>
      <c r="Z220" cm="1">
        <f t="array" ref="Z220">_xlfn.IFS(M220&gt;sheet2!$F$2,1,M220=sheet2!$F$2,0,M220&lt;sheet2!$F$2,-1)</f>
        <v>0</v>
      </c>
      <c r="AA220" cm="1">
        <f t="array" ref="AA220">_xlfn.IFS(N220&gt;sheet2!$G$2,1,N220=sheet2!$G$2,0,N220&lt;sheet2!$G$2,-1)</f>
        <v>0</v>
      </c>
    </row>
    <row r="221" spans="5:27" ht="14.4" hidden="1" x14ac:dyDescent="0.25">
      <c r="E221" s="2">
        <v>30</v>
      </c>
      <c r="F221" s="2" t="s">
        <v>47</v>
      </c>
      <c r="G221" s="2">
        <v>2020</v>
      </c>
      <c r="H221" s="14">
        <v>0.48654233419702941</v>
      </c>
      <c r="I221" s="2">
        <f>(H221-H220)/H220</f>
        <v>2.9569298955624393E-2</v>
      </c>
      <c r="J221">
        <v>0.2</v>
      </c>
      <c r="K221">
        <v>0.13500000000000001</v>
      </c>
      <c r="L221">
        <v>0.18</v>
      </c>
      <c r="M221">
        <v>0.25</v>
      </c>
      <c r="N221">
        <v>0.65</v>
      </c>
      <c r="O221">
        <v>1</v>
      </c>
      <c r="P221">
        <v>1</v>
      </c>
      <c r="Q221">
        <v>1</v>
      </c>
      <c r="R221">
        <v>1</v>
      </c>
      <c r="S221">
        <v>1</v>
      </c>
      <c r="T221">
        <f t="shared" si="33"/>
        <v>1</v>
      </c>
      <c r="U221">
        <f t="shared" si="34"/>
        <v>1</v>
      </c>
      <c r="V221">
        <f t="shared" si="35"/>
        <v>1</v>
      </c>
      <c r="W221" cm="1">
        <f t="array" ref="W221">_xlfn.IFS(J221&gt;sheet2!$C$2,1,J221=sheet2!$C$2,0,J221&lt;sheet2!$C$2,-1)</f>
        <v>0</v>
      </c>
      <c r="X221" cm="1">
        <f t="array" ref="X221">_xlfn.IFS(K221&gt;sheet2!$D$2,1,K221=sheet2!$D$2,0,K221&lt;sheet2!$D$2,-1)</f>
        <v>0</v>
      </c>
      <c r="Y221" cm="1">
        <f t="array" ref="Y221">_xlfn.IFS(L221&gt;sheet2!$E$2,1,L221=sheet2!$E$2,0,L221&lt;sheet2!$E$2,-1)</f>
        <v>0</v>
      </c>
      <c r="Z221" cm="1">
        <f t="array" ref="Z221">_xlfn.IFS(M221&gt;sheet2!$F$2,1,M221=sheet2!$F$2,0,M221&lt;sheet2!$F$2,-1)</f>
        <v>0</v>
      </c>
      <c r="AA221" cm="1">
        <f t="array" ref="AA221">_xlfn.IFS(N221&gt;sheet2!$G$2,1,N221=sheet2!$G$2,0,N221&lt;sheet2!$G$2,-1)</f>
        <v>0</v>
      </c>
    </row>
    <row r="222" spans="5:27" ht="14.4" x14ac:dyDescent="0.25">
      <c r="E222" s="2">
        <v>30</v>
      </c>
      <c r="F222" s="2" t="s">
        <v>47</v>
      </c>
      <c r="G222" s="2">
        <v>2021</v>
      </c>
      <c r="H222" s="16"/>
      <c r="I222" s="2"/>
      <c r="J222">
        <v>0.2</v>
      </c>
      <c r="K222">
        <v>0.13500000000000001</v>
      </c>
      <c r="L222">
        <v>0.18</v>
      </c>
      <c r="M222">
        <v>0.25</v>
      </c>
      <c r="N222">
        <v>0.65</v>
      </c>
      <c r="O222">
        <v>1</v>
      </c>
      <c r="P222">
        <v>1</v>
      </c>
      <c r="Q222">
        <v>1</v>
      </c>
      <c r="R222">
        <v>1</v>
      </c>
      <c r="S222">
        <v>1</v>
      </c>
      <c r="T222">
        <f t="shared" si="33"/>
        <v>1</v>
      </c>
      <c r="U222">
        <f t="shared" si="34"/>
        <v>1</v>
      </c>
      <c r="V222">
        <f t="shared" si="35"/>
        <v>1</v>
      </c>
      <c r="W222" cm="1">
        <f t="array" ref="W222">_xlfn.IFS(J222&gt;sheet2!$C$2,1,J222=sheet2!$C$2,0,J222&lt;sheet2!$C$2,-1)</f>
        <v>0</v>
      </c>
      <c r="X222" cm="1">
        <f t="array" ref="X222">_xlfn.IFS(K222&gt;sheet2!$D$2,1,K222=sheet2!$D$2,0,K222&lt;sheet2!$D$2,-1)</f>
        <v>0</v>
      </c>
      <c r="Y222" cm="1">
        <f t="array" ref="Y222">_xlfn.IFS(L222&gt;sheet2!$E$2,1,L222=sheet2!$E$2,0,L222&lt;sheet2!$E$2,-1)</f>
        <v>0</v>
      </c>
      <c r="Z222" cm="1">
        <f t="array" ref="Z222">_xlfn.IFS(M222&gt;sheet2!$F$2,1,M222=sheet2!$F$2,0,M222&lt;sheet2!$F$2,-1)</f>
        <v>0</v>
      </c>
      <c r="AA222" cm="1">
        <f t="array" ref="AA222">_xlfn.IFS(N222&gt;sheet2!$G$2,1,N222=sheet2!$G$2,0,N222&lt;sheet2!$G$2,-1)</f>
        <v>0</v>
      </c>
    </row>
  </sheetData>
  <autoFilter ref="G1:G222" xr:uid="{A12FC5C9-C764-475D-94E9-1FF379534BCF}">
    <filterColumn colId="0">
      <filters>
        <filter val="202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EBE0-1969-4D20-93BE-3A92B0FED7E1}">
  <dimension ref="A1:L32"/>
  <sheetViews>
    <sheetView workbookViewId="0">
      <selection activeCell="C32" sqref="C32:L32"/>
    </sheetView>
  </sheetViews>
  <sheetFormatPr defaultRowHeight="13.8" x14ac:dyDescent="0.25"/>
  <cols>
    <col min="3" max="3" width="11.6640625" bestFit="1" customWidth="1"/>
    <col min="4" max="5" width="9.5546875" bestFit="1" customWidth="1"/>
    <col min="6" max="6" width="15.88671875" bestFit="1" customWidth="1"/>
    <col min="7" max="7" width="13.6640625" bestFit="1" customWidth="1"/>
    <col min="8" max="8" width="11.6640625" bestFit="1" customWidth="1"/>
    <col min="9" max="10" width="12.77734375" bestFit="1" customWidth="1"/>
    <col min="11" max="11" width="15.88671875" bestFit="1" customWidth="1"/>
    <col min="12" max="12" width="13.6640625" bestFit="1" customWidth="1"/>
  </cols>
  <sheetData>
    <row r="1" spans="1:12" ht="14.4" x14ac:dyDescent="0.25">
      <c r="A1" s="1" t="s">
        <v>2</v>
      </c>
      <c r="B1" s="1" t="s">
        <v>3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</row>
    <row r="2" spans="1:12" ht="14.4" x14ac:dyDescent="0.25">
      <c r="A2" s="24">
        <v>0</v>
      </c>
      <c r="B2" s="25" t="s">
        <v>115</v>
      </c>
      <c r="C2">
        <v>0.2</v>
      </c>
      <c r="D2">
        <v>0.13500000000000001</v>
      </c>
      <c r="E2">
        <v>0.18</v>
      </c>
      <c r="F2">
        <v>0.25</v>
      </c>
      <c r="G2">
        <v>0.65</v>
      </c>
      <c r="H2">
        <f>C2/C$2</f>
        <v>1</v>
      </c>
      <c r="I2">
        <f t="shared" ref="I2:L17" si="0">D2/D$2</f>
        <v>1</v>
      </c>
      <c r="J2">
        <f t="shared" si="0"/>
        <v>1</v>
      </c>
      <c r="K2">
        <f t="shared" si="0"/>
        <v>1</v>
      </c>
      <c r="L2">
        <f t="shared" si="0"/>
        <v>1</v>
      </c>
    </row>
    <row r="3" spans="1:12" ht="14.4" x14ac:dyDescent="0.25">
      <c r="A3" s="2">
        <v>1</v>
      </c>
      <c r="B3" s="2" t="s">
        <v>7</v>
      </c>
      <c r="C3">
        <v>0.14400000000000002</v>
      </c>
      <c r="D3">
        <v>0.14000000000000001</v>
      </c>
      <c r="E3">
        <v>0.18</v>
      </c>
      <c r="F3">
        <v>0.25</v>
      </c>
      <c r="G3">
        <v>0.65</v>
      </c>
      <c r="H3">
        <f t="shared" ref="H3:H32" si="1">C3/C$2</f>
        <v>0.72000000000000008</v>
      </c>
      <c r="I3">
        <f t="shared" si="0"/>
        <v>1.037037037037037</v>
      </c>
      <c r="J3">
        <f t="shared" si="0"/>
        <v>1</v>
      </c>
      <c r="K3">
        <f t="shared" si="0"/>
        <v>1</v>
      </c>
      <c r="L3">
        <f t="shared" si="0"/>
        <v>1</v>
      </c>
    </row>
    <row r="4" spans="1:12" ht="14.4" x14ac:dyDescent="0.25">
      <c r="A4" s="2">
        <v>2</v>
      </c>
      <c r="B4" s="2" t="s">
        <v>8</v>
      </c>
      <c r="C4">
        <v>0.11699999999999999</v>
      </c>
      <c r="D4">
        <v>0.13500000000000001</v>
      </c>
      <c r="E4">
        <v>0.18</v>
      </c>
      <c r="F4">
        <v>0.16</v>
      </c>
      <c r="G4">
        <v>0.65</v>
      </c>
      <c r="H4">
        <f t="shared" si="1"/>
        <v>0.58499999999999996</v>
      </c>
      <c r="I4">
        <f t="shared" si="0"/>
        <v>1</v>
      </c>
      <c r="J4">
        <f t="shared" si="0"/>
        <v>1</v>
      </c>
      <c r="K4">
        <f t="shared" si="0"/>
        <v>0.64</v>
      </c>
      <c r="L4">
        <f t="shared" si="0"/>
        <v>1</v>
      </c>
    </row>
    <row r="5" spans="1:12" ht="14.4" x14ac:dyDescent="0.25">
      <c r="A5" s="2">
        <v>3</v>
      </c>
      <c r="B5" s="2" t="s">
        <v>9</v>
      </c>
      <c r="C5">
        <v>0.13</v>
      </c>
      <c r="D5">
        <v>0.13500000000000001</v>
      </c>
      <c r="E5">
        <v>0.18</v>
      </c>
      <c r="F5">
        <v>0.19</v>
      </c>
      <c r="G5">
        <v>0.65</v>
      </c>
      <c r="H5">
        <f t="shared" si="1"/>
        <v>0.65</v>
      </c>
      <c r="I5">
        <f t="shared" si="0"/>
        <v>1</v>
      </c>
      <c r="J5">
        <f t="shared" si="0"/>
        <v>1</v>
      </c>
      <c r="K5">
        <f t="shared" si="0"/>
        <v>0.76</v>
      </c>
      <c r="L5">
        <f t="shared" si="0"/>
        <v>1</v>
      </c>
    </row>
    <row r="6" spans="1:12" ht="14.4" x14ac:dyDescent="0.25">
      <c r="A6" s="2">
        <v>4</v>
      </c>
      <c r="B6" s="2" t="s">
        <v>10</v>
      </c>
      <c r="C6">
        <v>0.12</v>
      </c>
      <c r="D6">
        <v>0.13500000000000001</v>
      </c>
      <c r="E6">
        <v>0.18</v>
      </c>
      <c r="F6">
        <v>0.18</v>
      </c>
      <c r="G6">
        <v>0.65</v>
      </c>
      <c r="H6">
        <f t="shared" si="1"/>
        <v>0.6</v>
      </c>
      <c r="I6">
        <f t="shared" si="0"/>
        <v>1</v>
      </c>
      <c r="J6">
        <f t="shared" si="0"/>
        <v>1</v>
      </c>
      <c r="K6">
        <f t="shared" si="0"/>
        <v>0.72</v>
      </c>
      <c r="L6">
        <f t="shared" si="0"/>
        <v>1</v>
      </c>
    </row>
    <row r="7" spans="1:12" ht="14.4" x14ac:dyDescent="0.25">
      <c r="A7" s="2">
        <v>5</v>
      </c>
      <c r="B7" s="2" t="s">
        <v>11</v>
      </c>
      <c r="C7">
        <v>0.18</v>
      </c>
      <c r="D7">
        <v>0.13500000000000001</v>
      </c>
      <c r="E7">
        <v>0.18</v>
      </c>
      <c r="F7">
        <v>0.25</v>
      </c>
      <c r="G7">
        <v>0.65</v>
      </c>
      <c r="H7">
        <f t="shared" si="1"/>
        <v>0.89999999999999991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</row>
    <row r="8" spans="1:12" ht="14.4" x14ac:dyDescent="0.25">
      <c r="A8" s="2">
        <v>6</v>
      </c>
      <c r="B8" s="2" t="s">
        <v>13</v>
      </c>
      <c r="C8">
        <v>0.13699999999999998</v>
      </c>
      <c r="D8">
        <v>0.14499999999999999</v>
      </c>
      <c r="E8">
        <v>0.18</v>
      </c>
      <c r="F8">
        <v>0.2</v>
      </c>
      <c r="G8">
        <v>0.65</v>
      </c>
      <c r="H8">
        <f t="shared" si="1"/>
        <v>0.68499999999999983</v>
      </c>
      <c r="I8">
        <f t="shared" si="0"/>
        <v>1.074074074074074</v>
      </c>
      <c r="J8">
        <f t="shared" si="0"/>
        <v>1</v>
      </c>
      <c r="K8">
        <f t="shared" si="0"/>
        <v>0.8</v>
      </c>
      <c r="L8">
        <f t="shared" si="0"/>
        <v>1</v>
      </c>
    </row>
    <row r="9" spans="1:12" ht="14.4" x14ac:dyDescent="0.25">
      <c r="A9" s="2">
        <v>7</v>
      </c>
      <c r="B9" s="2" t="s">
        <v>15</v>
      </c>
      <c r="C9">
        <v>0.17699999999999999</v>
      </c>
      <c r="D9">
        <v>0.13500000000000001</v>
      </c>
      <c r="E9">
        <v>0.18</v>
      </c>
      <c r="F9">
        <v>0.2</v>
      </c>
      <c r="G9">
        <v>0.65</v>
      </c>
      <c r="H9">
        <f t="shared" si="1"/>
        <v>0.8849999999999999</v>
      </c>
      <c r="I9">
        <f t="shared" si="0"/>
        <v>1</v>
      </c>
      <c r="J9">
        <f t="shared" si="0"/>
        <v>1</v>
      </c>
      <c r="K9">
        <f t="shared" si="0"/>
        <v>0.8</v>
      </c>
      <c r="L9">
        <f t="shared" si="0"/>
        <v>1</v>
      </c>
    </row>
    <row r="10" spans="1:12" ht="14.4" x14ac:dyDescent="0.25">
      <c r="A10" s="2">
        <v>8</v>
      </c>
      <c r="B10" s="2" t="s">
        <v>16</v>
      </c>
      <c r="C10">
        <v>0.2</v>
      </c>
      <c r="D10">
        <v>0.13500000000000001</v>
      </c>
      <c r="E10">
        <v>0.18</v>
      </c>
      <c r="F10">
        <v>0.25</v>
      </c>
      <c r="G10">
        <v>0.65</v>
      </c>
      <c r="H10">
        <f t="shared" si="1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</row>
    <row r="11" spans="1:12" ht="14.4" x14ac:dyDescent="0.25">
      <c r="A11" s="2">
        <v>9</v>
      </c>
      <c r="B11" s="2" t="s">
        <v>18</v>
      </c>
      <c r="C11">
        <v>0.2</v>
      </c>
      <c r="D11">
        <v>0.14000000000000001</v>
      </c>
      <c r="E11">
        <v>0.18</v>
      </c>
      <c r="F11">
        <v>0.25</v>
      </c>
      <c r="G11">
        <v>0.7</v>
      </c>
      <c r="H11">
        <f t="shared" si="1"/>
        <v>1</v>
      </c>
      <c r="I11">
        <f t="shared" si="0"/>
        <v>1.037037037037037</v>
      </c>
      <c r="J11">
        <f t="shared" si="0"/>
        <v>1</v>
      </c>
      <c r="K11">
        <f t="shared" si="0"/>
        <v>1</v>
      </c>
      <c r="L11">
        <f t="shared" si="0"/>
        <v>1.0769230769230769</v>
      </c>
    </row>
    <row r="12" spans="1:12" ht="14.4" x14ac:dyDescent="0.25">
      <c r="A12" s="2">
        <v>10</v>
      </c>
      <c r="B12" s="2" t="s">
        <v>19</v>
      </c>
      <c r="C12">
        <v>0.18</v>
      </c>
      <c r="D12">
        <v>0.14000000000000001</v>
      </c>
      <c r="E12">
        <v>0.18</v>
      </c>
      <c r="F12">
        <v>0.25</v>
      </c>
      <c r="G12">
        <v>0.65</v>
      </c>
      <c r="H12">
        <f t="shared" si="1"/>
        <v>0.89999999999999991</v>
      </c>
      <c r="I12">
        <f t="shared" si="0"/>
        <v>1.037037037037037</v>
      </c>
      <c r="J12">
        <f t="shared" si="0"/>
        <v>1</v>
      </c>
      <c r="K12">
        <f t="shared" si="0"/>
        <v>1</v>
      </c>
      <c r="L12">
        <f t="shared" si="0"/>
        <v>1</v>
      </c>
    </row>
    <row r="13" spans="1:12" ht="14.4" x14ac:dyDescent="0.25">
      <c r="A13" s="2">
        <v>11</v>
      </c>
      <c r="B13" s="2" t="s">
        <v>20</v>
      </c>
      <c r="C13">
        <v>0.2</v>
      </c>
      <c r="D13">
        <v>0.13500000000000001</v>
      </c>
      <c r="E13">
        <v>0.18</v>
      </c>
      <c r="F13">
        <v>0.25</v>
      </c>
      <c r="G13">
        <v>0.65</v>
      </c>
      <c r="H13">
        <f t="shared" si="1"/>
        <v>1</v>
      </c>
      <c r="I13">
        <f t="shared" si="0"/>
        <v>1</v>
      </c>
      <c r="J13">
        <f t="shared" si="0"/>
        <v>1</v>
      </c>
      <c r="K13">
        <f t="shared" si="0"/>
        <v>1</v>
      </c>
      <c r="L13">
        <f t="shared" si="0"/>
        <v>1</v>
      </c>
    </row>
    <row r="14" spans="1:12" ht="14.4" x14ac:dyDescent="0.25">
      <c r="A14" s="2">
        <v>12</v>
      </c>
      <c r="B14" s="2" t="s">
        <v>21</v>
      </c>
      <c r="C14">
        <v>0.155</v>
      </c>
      <c r="D14">
        <v>0.14000000000000001</v>
      </c>
      <c r="E14">
        <v>0.18</v>
      </c>
      <c r="F14">
        <v>0.22</v>
      </c>
      <c r="G14">
        <v>0.65</v>
      </c>
      <c r="H14">
        <f t="shared" si="1"/>
        <v>0.77499999999999991</v>
      </c>
      <c r="I14">
        <f t="shared" si="0"/>
        <v>1.037037037037037</v>
      </c>
      <c r="J14">
        <f t="shared" si="0"/>
        <v>1</v>
      </c>
      <c r="K14">
        <f t="shared" si="0"/>
        <v>0.88</v>
      </c>
      <c r="L14">
        <f t="shared" si="0"/>
        <v>1</v>
      </c>
    </row>
    <row r="15" spans="1:12" ht="14.4" x14ac:dyDescent="0.25">
      <c r="A15" s="2">
        <v>13</v>
      </c>
      <c r="B15" s="2" t="s">
        <v>22</v>
      </c>
      <c r="C15">
        <v>0.2</v>
      </c>
      <c r="D15">
        <v>0.13500000000000001</v>
      </c>
      <c r="E15">
        <v>0.18</v>
      </c>
      <c r="F15">
        <v>0.25</v>
      </c>
      <c r="G15">
        <v>0.65</v>
      </c>
      <c r="H15">
        <f t="shared" si="1"/>
        <v>1</v>
      </c>
      <c r="I15">
        <f t="shared" si="0"/>
        <v>1</v>
      </c>
      <c r="J15">
        <f t="shared" si="0"/>
        <v>1</v>
      </c>
      <c r="K15">
        <f t="shared" si="0"/>
        <v>1</v>
      </c>
      <c r="L15">
        <f t="shared" si="0"/>
        <v>1</v>
      </c>
    </row>
    <row r="16" spans="1:12" ht="14.4" x14ac:dyDescent="0.25">
      <c r="A16" s="2">
        <v>14</v>
      </c>
      <c r="B16" s="2" t="s">
        <v>23</v>
      </c>
      <c r="C16">
        <v>0.183</v>
      </c>
      <c r="D16">
        <v>0.13500000000000001</v>
      </c>
      <c r="E16">
        <v>0.18</v>
      </c>
      <c r="F16">
        <v>0.25</v>
      </c>
      <c r="G16">
        <v>0.65</v>
      </c>
      <c r="H16">
        <f t="shared" si="1"/>
        <v>0.91499999999999992</v>
      </c>
      <c r="I16">
        <f t="shared" si="0"/>
        <v>1</v>
      </c>
      <c r="J16">
        <f t="shared" si="0"/>
        <v>1</v>
      </c>
      <c r="K16">
        <f t="shared" si="0"/>
        <v>1</v>
      </c>
      <c r="L16">
        <f t="shared" si="0"/>
        <v>1</v>
      </c>
    </row>
    <row r="17" spans="1:12" ht="14.4" x14ac:dyDescent="0.25">
      <c r="A17" s="2">
        <v>15</v>
      </c>
      <c r="B17" s="2" t="s">
        <v>25</v>
      </c>
      <c r="C17">
        <v>0.13</v>
      </c>
      <c r="D17">
        <v>0.14499999999999999</v>
      </c>
      <c r="E17">
        <v>0.20499999999999999</v>
      </c>
      <c r="F17">
        <v>0.2</v>
      </c>
      <c r="G17">
        <v>0.68</v>
      </c>
      <c r="H17">
        <f t="shared" si="1"/>
        <v>0.65</v>
      </c>
      <c r="I17">
        <f t="shared" si="0"/>
        <v>1.074074074074074</v>
      </c>
      <c r="J17">
        <f t="shared" si="0"/>
        <v>1.1388888888888888</v>
      </c>
      <c r="K17">
        <f t="shared" si="0"/>
        <v>0.8</v>
      </c>
      <c r="L17">
        <f t="shared" si="0"/>
        <v>1.0461538461538462</v>
      </c>
    </row>
    <row r="18" spans="1:12" ht="14.4" x14ac:dyDescent="0.25">
      <c r="A18" s="2">
        <v>16</v>
      </c>
      <c r="B18" s="2" t="s">
        <v>27</v>
      </c>
      <c r="C18">
        <v>0.2</v>
      </c>
      <c r="D18">
        <v>0.13500000000000001</v>
      </c>
      <c r="E18">
        <v>0.18</v>
      </c>
      <c r="F18">
        <v>0.25</v>
      </c>
      <c r="G18">
        <v>0.65</v>
      </c>
      <c r="H18">
        <f t="shared" si="1"/>
        <v>1</v>
      </c>
      <c r="I18">
        <f t="shared" ref="I18:I32" si="2">D18/D$2</f>
        <v>1</v>
      </c>
      <c r="J18">
        <f t="shared" ref="J18:J32" si="3">E18/E$2</f>
        <v>1</v>
      </c>
      <c r="K18">
        <f t="shared" ref="K18:K32" si="4">F18/F$2</f>
        <v>1</v>
      </c>
      <c r="L18">
        <f t="shared" ref="L18:L32" si="5">G18/G$2</f>
        <v>1</v>
      </c>
    </row>
    <row r="19" spans="1:12" ht="14.4" x14ac:dyDescent="0.25">
      <c r="A19" s="2">
        <v>17</v>
      </c>
      <c r="B19" s="2" t="s">
        <v>28</v>
      </c>
      <c r="C19">
        <v>0.2</v>
      </c>
      <c r="D19">
        <v>0.13500000000000001</v>
      </c>
      <c r="E19">
        <v>0.18</v>
      </c>
      <c r="F19">
        <v>0.25</v>
      </c>
      <c r="G19">
        <v>0.65</v>
      </c>
      <c r="H19">
        <f t="shared" si="1"/>
        <v>1</v>
      </c>
      <c r="I19">
        <f t="shared" si="2"/>
        <v>1</v>
      </c>
      <c r="J19">
        <f t="shared" si="3"/>
        <v>1</v>
      </c>
      <c r="K19">
        <f t="shared" si="4"/>
        <v>1</v>
      </c>
      <c r="L19">
        <f t="shared" si="5"/>
        <v>1</v>
      </c>
    </row>
    <row r="20" spans="1:12" ht="14.4" x14ac:dyDescent="0.25">
      <c r="A20" s="2">
        <v>18</v>
      </c>
      <c r="B20" s="2" t="s">
        <v>29</v>
      </c>
      <c r="C20">
        <v>0.22</v>
      </c>
      <c r="D20">
        <v>0.13500000000000001</v>
      </c>
      <c r="E20">
        <v>0.18</v>
      </c>
      <c r="F20">
        <v>0.25</v>
      </c>
      <c r="G20">
        <v>0.65</v>
      </c>
      <c r="H20">
        <f t="shared" si="1"/>
        <v>1.0999999999999999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</row>
    <row r="21" spans="1:12" ht="14.4" x14ac:dyDescent="0.25">
      <c r="A21" s="2">
        <v>19</v>
      </c>
      <c r="B21" s="2" t="s">
        <v>31</v>
      </c>
      <c r="C21">
        <v>0.32</v>
      </c>
      <c r="D21">
        <v>0.13500000000000001</v>
      </c>
      <c r="E21">
        <v>0.18</v>
      </c>
      <c r="F21">
        <v>0.35</v>
      </c>
      <c r="G21">
        <v>0.65</v>
      </c>
      <c r="H21">
        <f t="shared" si="1"/>
        <v>1.5999999999999999</v>
      </c>
      <c r="I21">
        <f t="shared" si="2"/>
        <v>1</v>
      </c>
      <c r="J21">
        <f t="shared" si="3"/>
        <v>1</v>
      </c>
      <c r="K21">
        <f t="shared" si="4"/>
        <v>1.4</v>
      </c>
      <c r="L21">
        <f t="shared" si="5"/>
        <v>1</v>
      </c>
    </row>
    <row r="22" spans="1:12" ht="14.4" x14ac:dyDescent="0.25">
      <c r="A22" s="2">
        <v>20</v>
      </c>
      <c r="B22" s="2" t="s">
        <v>32</v>
      </c>
      <c r="C22">
        <v>0.3</v>
      </c>
      <c r="D22">
        <v>0.13500000000000001</v>
      </c>
      <c r="E22">
        <v>0.18</v>
      </c>
      <c r="F22">
        <v>0.35</v>
      </c>
      <c r="G22">
        <v>0.65</v>
      </c>
      <c r="H22">
        <f t="shared" si="1"/>
        <v>1.4999999999999998</v>
      </c>
      <c r="I22">
        <f t="shared" si="2"/>
        <v>1</v>
      </c>
      <c r="J22">
        <f t="shared" si="3"/>
        <v>1</v>
      </c>
      <c r="K22">
        <f t="shared" si="4"/>
        <v>1.4</v>
      </c>
      <c r="L22">
        <f t="shared" si="5"/>
        <v>1</v>
      </c>
    </row>
    <row r="23" spans="1:12" ht="14.4" x14ac:dyDescent="0.25">
      <c r="A23" s="2">
        <v>21</v>
      </c>
      <c r="B23" s="2" t="s">
        <v>33</v>
      </c>
      <c r="C23">
        <v>0.22</v>
      </c>
      <c r="D23">
        <v>0.13500000000000001</v>
      </c>
      <c r="E23">
        <v>0.18</v>
      </c>
      <c r="F23">
        <v>0.54</v>
      </c>
      <c r="G23">
        <v>0.65</v>
      </c>
      <c r="H23">
        <f t="shared" si="1"/>
        <v>1.0999999999999999</v>
      </c>
      <c r="I23">
        <f t="shared" si="2"/>
        <v>1</v>
      </c>
      <c r="J23">
        <f t="shared" si="3"/>
        <v>1</v>
      </c>
      <c r="K23">
        <f t="shared" si="4"/>
        <v>2.16</v>
      </c>
      <c r="L23">
        <f t="shared" si="5"/>
        <v>1</v>
      </c>
    </row>
    <row r="24" spans="1:12" ht="14.4" x14ac:dyDescent="0.25">
      <c r="A24" s="2">
        <v>22</v>
      </c>
      <c r="B24" s="2" t="s">
        <v>35</v>
      </c>
      <c r="C24">
        <v>0.2</v>
      </c>
      <c r="D24">
        <v>0.13500000000000001</v>
      </c>
      <c r="E24">
        <v>0.18</v>
      </c>
      <c r="F24">
        <v>0.25</v>
      </c>
      <c r="G24">
        <v>0.65</v>
      </c>
      <c r="H24">
        <f t="shared" si="1"/>
        <v>1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</row>
    <row r="25" spans="1:12" ht="14.4" x14ac:dyDescent="0.25">
      <c r="A25" s="2">
        <v>23</v>
      </c>
      <c r="B25" s="2" t="s">
        <v>36</v>
      </c>
      <c r="C25">
        <v>0.41499999999999998</v>
      </c>
      <c r="D25">
        <v>0.14000000000000001</v>
      </c>
      <c r="E25">
        <v>0.18</v>
      </c>
      <c r="F25">
        <v>0.435</v>
      </c>
      <c r="G25">
        <v>0.65</v>
      </c>
      <c r="H25">
        <f t="shared" si="1"/>
        <v>2.0749999999999997</v>
      </c>
      <c r="I25">
        <f t="shared" si="2"/>
        <v>1.037037037037037</v>
      </c>
      <c r="J25">
        <f t="shared" si="3"/>
        <v>1</v>
      </c>
      <c r="K25">
        <f t="shared" si="4"/>
        <v>1.74</v>
      </c>
      <c r="L25">
        <f t="shared" si="5"/>
        <v>1</v>
      </c>
    </row>
    <row r="26" spans="1:12" ht="14.4" x14ac:dyDescent="0.25">
      <c r="A26" s="2">
        <v>24</v>
      </c>
      <c r="B26" s="2" t="s">
        <v>37</v>
      </c>
      <c r="C26">
        <v>0.21600000000000003</v>
      </c>
      <c r="D26">
        <v>0.13500000000000001</v>
      </c>
      <c r="E26">
        <v>0.18</v>
      </c>
      <c r="F26">
        <v>0.25</v>
      </c>
      <c r="G26">
        <v>0.65</v>
      </c>
      <c r="H26">
        <f t="shared" si="1"/>
        <v>1.08</v>
      </c>
      <c r="I26">
        <f t="shared" si="2"/>
        <v>1</v>
      </c>
      <c r="J26">
        <f t="shared" si="3"/>
        <v>1</v>
      </c>
      <c r="K26">
        <f t="shared" si="4"/>
        <v>1</v>
      </c>
      <c r="L26">
        <f t="shared" si="5"/>
        <v>1</v>
      </c>
    </row>
    <row r="27" spans="1:12" ht="14.4" x14ac:dyDescent="0.25">
      <c r="A27" s="2">
        <v>25</v>
      </c>
      <c r="B27" s="2" t="s">
        <v>38</v>
      </c>
      <c r="C27">
        <v>0.2</v>
      </c>
      <c r="D27">
        <v>0.13500000000000001</v>
      </c>
      <c r="E27">
        <v>0.18</v>
      </c>
      <c r="F27">
        <v>0.25</v>
      </c>
      <c r="G27">
        <v>0.65</v>
      </c>
      <c r="H27">
        <f t="shared" si="1"/>
        <v>1</v>
      </c>
      <c r="I27">
        <f t="shared" si="2"/>
        <v>1</v>
      </c>
      <c r="J27">
        <f t="shared" si="3"/>
        <v>1</v>
      </c>
      <c r="K27">
        <f t="shared" si="4"/>
        <v>1</v>
      </c>
      <c r="L27">
        <f t="shared" si="5"/>
        <v>1</v>
      </c>
    </row>
    <row r="28" spans="1:12" ht="14.4" x14ac:dyDescent="0.25">
      <c r="A28" s="2">
        <v>26</v>
      </c>
      <c r="B28" s="2" t="s">
        <v>39</v>
      </c>
      <c r="C28">
        <v>0.16</v>
      </c>
      <c r="D28">
        <v>0.13500000000000001</v>
      </c>
      <c r="E28">
        <v>0.18</v>
      </c>
      <c r="F28">
        <v>0.2</v>
      </c>
      <c r="G28">
        <v>0.65</v>
      </c>
      <c r="H28">
        <f t="shared" si="1"/>
        <v>0.79999999999999993</v>
      </c>
      <c r="I28">
        <f t="shared" si="2"/>
        <v>1</v>
      </c>
      <c r="J28">
        <f t="shared" si="3"/>
        <v>1</v>
      </c>
      <c r="K28">
        <f t="shared" si="4"/>
        <v>0.8</v>
      </c>
      <c r="L28">
        <f t="shared" si="5"/>
        <v>1</v>
      </c>
    </row>
    <row r="29" spans="1:12" ht="14.4" x14ac:dyDescent="0.25">
      <c r="A29" s="2">
        <v>27</v>
      </c>
      <c r="B29" s="2" t="s">
        <v>41</v>
      </c>
      <c r="C29">
        <v>0.3</v>
      </c>
      <c r="D29">
        <v>0.125</v>
      </c>
      <c r="E29">
        <v>0.18</v>
      </c>
      <c r="F29">
        <v>0.35</v>
      </c>
      <c r="G29">
        <v>0.65</v>
      </c>
      <c r="H29">
        <f t="shared" si="1"/>
        <v>1.4999999999999998</v>
      </c>
      <c r="I29">
        <f t="shared" si="2"/>
        <v>0.92592592592592582</v>
      </c>
      <c r="J29">
        <f t="shared" si="3"/>
        <v>1</v>
      </c>
      <c r="K29">
        <f t="shared" si="4"/>
        <v>1.4</v>
      </c>
      <c r="L29">
        <f t="shared" si="5"/>
        <v>1</v>
      </c>
    </row>
    <row r="30" spans="1:12" ht="14.4" x14ac:dyDescent="0.25">
      <c r="A30" s="2">
        <v>28</v>
      </c>
      <c r="B30" s="2" t="s">
        <v>43</v>
      </c>
      <c r="C30">
        <v>0.52200000000000002</v>
      </c>
      <c r="D30">
        <v>0.13500000000000001</v>
      </c>
      <c r="E30">
        <v>0.18</v>
      </c>
      <c r="F30">
        <v>0.55000000000000004</v>
      </c>
      <c r="G30">
        <v>0.65</v>
      </c>
      <c r="H30">
        <f t="shared" si="1"/>
        <v>2.61</v>
      </c>
      <c r="I30">
        <f t="shared" si="2"/>
        <v>1</v>
      </c>
      <c r="J30">
        <f t="shared" si="3"/>
        <v>1</v>
      </c>
      <c r="K30">
        <f t="shared" si="4"/>
        <v>2.2000000000000002</v>
      </c>
      <c r="L30">
        <f t="shared" si="5"/>
        <v>1</v>
      </c>
    </row>
    <row r="31" spans="1:12" ht="14.4" x14ac:dyDescent="0.25">
      <c r="A31" s="2">
        <v>29</v>
      </c>
      <c r="B31" s="2" t="s">
        <v>45</v>
      </c>
      <c r="C31">
        <v>0.2</v>
      </c>
      <c r="D31">
        <v>0.13500000000000001</v>
      </c>
      <c r="E31">
        <v>0.18</v>
      </c>
      <c r="F31">
        <v>0.3</v>
      </c>
      <c r="G31">
        <v>0.65</v>
      </c>
      <c r="H31">
        <f t="shared" si="1"/>
        <v>1</v>
      </c>
      <c r="I31">
        <f t="shared" si="2"/>
        <v>1</v>
      </c>
      <c r="J31">
        <f t="shared" si="3"/>
        <v>1</v>
      </c>
      <c r="K31">
        <f t="shared" si="4"/>
        <v>1.2</v>
      </c>
      <c r="L31">
        <f t="shared" si="5"/>
        <v>1</v>
      </c>
    </row>
    <row r="32" spans="1:12" ht="14.4" x14ac:dyDescent="0.25">
      <c r="A32" s="2">
        <v>30</v>
      </c>
      <c r="B32" s="2" t="s">
        <v>47</v>
      </c>
      <c r="C32">
        <v>0.2</v>
      </c>
      <c r="D32">
        <v>0.13500000000000001</v>
      </c>
      <c r="E32">
        <v>0.18</v>
      </c>
      <c r="F32">
        <v>0.25</v>
      </c>
      <c r="G32">
        <v>0.65</v>
      </c>
      <c r="H32">
        <f t="shared" si="1"/>
        <v>1</v>
      </c>
      <c r="I32">
        <f t="shared" si="2"/>
        <v>1</v>
      </c>
      <c r="J32">
        <f t="shared" si="3"/>
        <v>1</v>
      </c>
      <c r="K32">
        <f t="shared" si="4"/>
        <v>1</v>
      </c>
      <c r="L32">
        <f t="shared" si="5"/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BF62-7B0E-4523-8E60-85C64074AD6D}">
  <dimension ref="A1:R26"/>
  <sheetViews>
    <sheetView workbookViewId="0">
      <selection activeCell="C2" sqref="C2:R2"/>
    </sheetView>
  </sheetViews>
  <sheetFormatPr defaultRowHeight="13.8" x14ac:dyDescent="0.25"/>
  <cols>
    <col min="2" max="2" width="36.33203125" bestFit="1" customWidth="1"/>
    <col min="3" max="3" width="17.77734375" bestFit="1" customWidth="1"/>
    <col min="4" max="5" width="21.44140625" bestFit="1" customWidth="1"/>
    <col min="6" max="6" width="10" bestFit="1" customWidth="1"/>
    <col min="7" max="7" width="14.88671875" bestFit="1" customWidth="1"/>
    <col min="8" max="10" width="13.88671875" bestFit="1" customWidth="1"/>
    <col min="13" max="13" width="14.109375" bestFit="1" customWidth="1"/>
    <col min="14" max="14" width="14.88671875" bestFit="1" customWidth="1"/>
    <col min="15" max="15" width="19.77734375" bestFit="1" customWidth="1"/>
  </cols>
  <sheetData>
    <row r="1" spans="1:18" ht="14.4" x14ac:dyDescent="0.25">
      <c r="B1" s="10" t="s">
        <v>59</v>
      </c>
      <c r="C1" s="10" t="s">
        <v>60</v>
      </c>
      <c r="D1" s="10" t="s">
        <v>61</v>
      </c>
      <c r="E1" s="10" t="s">
        <v>62</v>
      </c>
      <c r="F1" s="19" t="s">
        <v>88</v>
      </c>
      <c r="G1" s="19" t="s">
        <v>89</v>
      </c>
      <c r="H1" s="10" t="s">
        <v>90</v>
      </c>
      <c r="I1" s="10" t="s">
        <v>91</v>
      </c>
      <c r="J1" s="10" t="s">
        <v>92</v>
      </c>
      <c r="K1" s="20" t="s">
        <v>93</v>
      </c>
      <c r="L1" s="20" t="s">
        <v>52</v>
      </c>
      <c r="M1" s="20" t="s">
        <v>94</v>
      </c>
      <c r="N1" s="20" t="s">
        <v>95</v>
      </c>
      <c r="O1" s="20" t="s">
        <v>96</v>
      </c>
      <c r="P1" s="20" t="s">
        <v>97</v>
      </c>
      <c r="Q1" s="20" t="s">
        <v>99</v>
      </c>
      <c r="R1" s="20" t="s">
        <v>101</v>
      </c>
    </row>
    <row r="2" spans="1:18" x14ac:dyDescent="0.25">
      <c r="A2">
        <v>0</v>
      </c>
      <c r="B2" t="s">
        <v>63</v>
      </c>
      <c r="C2">
        <v>0.99999999580495169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(C2-MIN(C:C))/(MAX(C:C)-MIN(C:C))</f>
        <v>1</v>
      </c>
      <c r="L2" s="21" cm="1">
        <f t="array" ref="L2">D2/MAX(ABS(D$2:D$26))</f>
        <v>0</v>
      </c>
      <c r="M2" s="21" cm="1">
        <f t="array" ref="M2">E2/MAX(ABS(E$2:E$26))</f>
        <v>0</v>
      </c>
      <c r="N2" s="21" cm="1">
        <f t="array" ref="N2">F2/MAX(ABS(F$2:F$26))</f>
        <v>0</v>
      </c>
      <c r="O2" s="21" cm="1">
        <f t="array" ref="O2">G2/MAX(ABS(G$2:G$26))</f>
        <v>0</v>
      </c>
      <c r="P2" s="21" cm="1">
        <f t="array" ref="P2">H2/MAX(ABS(H$2:H$26))</f>
        <v>0</v>
      </c>
      <c r="Q2" s="21" cm="1">
        <f t="array" ref="Q2">I2/MAX(ABS(I$2:I$26))</f>
        <v>0</v>
      </c>
      <c r="R2" s="21" cm="1">
        <f t="array" ref="R2">J2/MAX(ABS(J$2:J$26))</f>
        <v>0</v>
      </c>
    </row>
    <row r="3" spans="1:18" x14ac:dyDescent="0.25">
      <c r="A3">
        <v>1</v>
      </c>
      <c r="B3" t="s">
        <v>67</v>
      </c>
      <c r="C3">
        <v>0.75759066304852885</v>
      </c>
      <c r="D3">
        <v>0.49120234604105573</v>
      </c>
      <c r="E3">
        <v>0.19192210119629469</v>
      </c>
      <c r="F3">
        <v>1.1000000000000001</v>
      </c>
      <c r="G3">
        <v>-2.999999999999994E-2</v>
      </c>
      <c r="H3">
        <v>0.5178571428571429</v>
      </c>
      <c r="I3">
        <v>0.243801652892562</v>
      </c>
      <c r="J3">
        <v>0.8571428571428571</v>
      </c>
      <c r="K3">
        <f t="shared" ref="K3:K26" si="0">(C3-MIN(C:C))/(MAX(C:C)-MIN(C:C))</f>
        <v>0</v>
      </c>
      <c r="L3" s="21" cm="1">
        <f t="array" ref="L3">D3/MAX(ABS(D$2:D$26))</f>
        <v>0.35300316122233916</v>
      </c>
      <c r="M3" s="21" cm="1">
        <f t="array" ref="M3">E3/MAX(ABS(E$2:E$26))</f>
        <v>0.13763136932874845</v>
      </c>
      <c r="N3" s="21" cm="1">
        <f t="array" ref="N3">F3/MAX(ABS(F$2:F$26))</f>
        <v>0.31428571428571433</v>
      </c>
      <c r="O3" s="21" cm="1">
        <f t="array" ref="O3">G3/MAX(ABS(G$2:G$26))</f>
        <v>-1.7441860465116244E-2</v>
      </c>
      <c r="P3" s="21" cm="1">
        <f t="array" ref="P3">H3/MAX(ABS(H$2:H$26))</f>
        <v>0.41857142857142871</v>
      </c>
      <c r="Q3" s="21" cm="1">
        <f t="array" ref="Q3">I3/MAX(ABS(I$2:I$26))</f>
        <v>0.2606370611485701</v>
      </c>
      <c r="R3" s="21" cm="1">
        <f t="array" ref="R3">J3/MAX(ABS(J$2:J$26))</f>
        <v>1</v>
      </c>
    </row>
    <row r="4" spans="1:18" x14ac:dyDescent="0.25">
      <c r="A4">
        <v>2</v>
      </c>
      <c r="B4" t="s">
        <v>70</v>
      </c>
      <c r="C4">
        <v>0.83038969368529114</v>
      </c>
      <c r="D4">
        <v>1.3914956011730211</v>
      </c>
      <c r="E4">
        <v>1.3944648093841641</v>
      </c>
      <c r="F4">
        <v>2.5</v>
      </c>
      <c r="G4">
        <v>1.72</v>
      </c>
      <c r="H4">
        <v>1.237201365187713</v>
      </c>
      <c r="I4">
        <v>0.79904306220095689</v>
      </c>
      <c r="J4">
        <v>0.33505154639175261</v>
      </c>
      <c r="K4">
        <f t="shared" si="0"/>
        <v>0.30031447143131257</v>
      </c>
      <c r="L4" s="21" cm="1">
        <f t="array" ref="L4">D4/MAX(ABS(D$2:D$26))</f>
        <v>1</v>
      </c>
      <c r="M4" s="21" cm="1">
        <f t="array" ref="M4">E4/MAX(ABS(E$2:E$26))</f>
        <v>1</v>
      </c>
      <c r="N4" s="21" cm="1">
        <f t="array" ref="N4">F4/MAX(ABS(F$2:F$26))</f>
        <v>0.7142857142857143</v>
      </c>
      <c r="O4" s="21" cm="1">
        <f t="array" ref="O4">G4/MAX(ABS(G$2:G$26))</f>
        <v>1</v>
      </c>
      <c r="P4" s="21" cm="1">
        <f t="array" ref="P4">H4/MAX(ABS(H$2:H$26))</f>
        <v>1</v>
      </c>
      <c r="Q4" s="21" cm="1">
        <f t="array" ref="Q4">I4/MAX(ABS(I$2:I$26))</f>
        <v>0.85421994884910479</v>
      </c>
      <c r="R4" s="21" cm="1">
        <f t="array" ref="R4">J4/MAX(ABS(J$2:J$26))</f>
        <v>0.39089347079037806</v>
      </c>
    </row>
    <row r="5" spans="1:18" x14ac:dyDescent="0.25">
      <c r="A5">
        <v>3</v>
      </c>
      <c r="B5" t="s">
        <v>79</v>
      </c>
      <c r="C5">
        <v>0.86522323557358682</v>
      </c>
      <c r="D5">
        <v>3.2258064516129031E-2</v>
      </c>
      <c r="E5">
        <v>-0.2202695154308057</v>
      </c>
      <c r="F5">
        <v>1.3</v>
      </c>
      <c r="G5">
        <v>-0.15999999999999989</v>
      </c>
      <c r="H5">
        <v>-3.5143769968051117E-2</v>
      </c>
      <c r="I5">
        <v>-5.1999999999999998E-2</v>
      </c>
      <c r="J5">
        <v>-0.12949640287769781</v>
      </c>
      <c r="K5">
        <f t="shared" si="0"/>
        <v>0.44401166944017406</v>
      </c>
      <c r="L5" s="21" cm="1">
        <f t="array" ref="L5">D5/MAX(ABS(D$2:D$26))</f>
        <v>2.3182297154899886E-2</v>
      </c>
      <c r="M5" s="21" cm="1">
        <f t="array" ref="M5">E5/MAX(ABS(E$2:E$26))</f>
        <v>-0.15795989540107727</v>
      </c>
      <c r="N5" s="21" cm="1">
        <f t="array" ref="N5">F5/MAX(ABS(F$2:F$26))</f>
        <v>0.37142857142857144</v>
      </c>
      <c r="O5" s="21" cm="1">
        <f t="array" ref="O5">G5/MAX(ABS(G$2:G$26))</f>
        <v>-9.3023255813953432E-2</v>
      </c>
      <c r="P5" s="21" cm="1">
        <f t="array" ref="P5">H5/MAX(ABS(H$2:H$26))</f>
        <v>-2.8405860967279945E-2</v>
      </c>
      <c r="Q5" s="21" cm="1">
        <f t="array" ref="Q5">I5/MAX(ABS(I$2:I$26))</f>
        <v>-5.5590792838874678E-2</v>
      </c>
      <c r="R5" s="21" cm="1">
        <f t="array" ref="R5">J5/MAX(ABS(J$2:J$26))</f>
        <v>-0.15107913669064746</v>
      </c>
    </row>
    <row r="6" spans="1:18" x14ac:dyDescent="0.25">
      <c r="A6">
        <v>4</v>
      </c>
      <c r="B6" t="s">
        <v>74</v>
      </c>
      <c r="C6">
        <v>0.83606885814946419</v>
      </c>
      <c r="D6">
        <v>0.81818181818181823</v>
      </c>
      <c r="E6">
        <v>0.63020120560443138</v>
      </c>
      <c r="F6">
        <v>2.9</v>
      </c>
      <c r="G6">
        <v>0.82</v>
      </c>
      <c r="H6">
        <v>0.4726027397260274</v>
      </c>
      <c r="I6">
        <v>0.39013452914798208</v>
      </c>
      <c r="J6">
        <v>9.1743119266055051E-2</v>
      </c>
      <c r="K6">
        <f t="shared" si="0"/>
        <v>0.3237424657234283</v>
      </c>
      <c r="L6" s="21" cm="1">
        <f t="array" ref="L6">D6/MAX(ABS(D$2:D$26))</f>
        <v>0.5879873551106426</v>
      </c>
      <c r="M6" s="21" cm="1">
        <f t="array" ref="M6">E6/MAX(ABS(E$2:E$26))</f>
        <v>0.45193051941034384</v>
      </c>
      <c r="N6" s="21" cm="1">
        <f t="array" ref="N6">F6/MAX(ABS(F$2:F$26))</f>
        <v>0.82857142857142851</v>
      </c>
      <c r="O6" s="21" cm="1">
        <f t="array" ref="O6">G6/MAX(ABS(G$2:G$26))</f>
        <v>0.47674418604651159</v>
      </c>
      <c r="P6" s="21" cm="1">
        <f t="array" ref="P6">H6/MAX(ABS(H$2:H$26))</f>
        <v>0.38199338686820983</v>
      </c>
      <c r="Q6" s="21" cm="1">
        <f t="array" ref="Q6">I6/MAX(ABS(I$2:I$26))</f>
        <v>0.41707476517610359</v>
      </c>
      <c r="R6" s="21" cm="1">
        <f t="array" ref="R6">J6/MAX(ABS(J$2:J$26))</f>
        <v>0.1070336391437309</v>
      </c>
    </row>
    <row r="7" spans="1:18" x14ac:dyDescent="0.25">
      <c r="A7">
        <v>5</v>
      </c>
      <c r="B7" t="s">
        <v>66</v>
      </c>
      <c r="C7">
        <v>0.82466688184094916</v>
      </c>
      <c r="D7">
        <v>-0.76539589442815248</v>
      </c>
      <c r="E7">
        <v>-0.99324524042265971</v>
      </c>
      <c r="F7">
        <v>1.9</v>
      </c>
      <c r="G7">
        <v>-0.6</v>
      </c>
      <c r="H7">
        <v>-0.87123745819397991</v>
      </c>
      <c r="I7">
        <v>-0.93540669856459335</v>
      </c>
      <c r="J7">
        <v>-0.56914893617021278</v>
      </c>
      <c r="K7">
        <f t="shared" si="0"/>
        <v>0.27670642062209577</v>
      </c>
      <c r="L7" s="21" cm="1">
        <f t="array" ref="L7">D7/MAX(ABS(D$2:D$26))</f>
        <v>-0.55005268703898813</v>
      </c>
      <c r="M7" s="21" cm="1">
        <f t="array" ref="M7">E7/MAX(ABS(E$2:E$26))</f>
        <v>-0.71227702107542279</v>
      </c>
      <c r="N7" s="21" cm="1">
        <f t="array" ref="N7">F7/MAX(ABS(F$2:F$26))</f>
        <v>0.54285714285714282</v>
      </c>
      <c r="O7" s="21" cm="1">
        <f t="array" ref="O7">G7/MAX(ABS(G$2:G$26))</f>
        <v>-0.34883720930232559</v>
      </c>
      <c r="P7" s="21" cm="1">
        <f t="array" ref="P7">H7/MAX(ABS(H$2:H$26))</f>
        <v>-0.70420020758851365</v>
      </c>
      <c r="Q7" s="21" cm="1">
        <f t="array" ref="Q7">I7/MAX(ABS(I$2:I$26))</f>
        <v>-1</v>
      </c>
      <c r="R7" s="21" cm="1">
        <f t="array" ref="R7">J7/MAX(ABS(J$2:J$26))</f>
        <v>-0.66400709219858156</v>
      </c>
    </row>
    <row r="8" spans="1:18" x14ac:dyDescent="0.25">
      <c r="A8">
        <v>6</v>
      </c>
      <c r="B8" t="s">
        <v>85</v>
      </c>
      <c r="C8">
        <v>0.83076049715193134</v>
      </c>
      <c r="D8">
        <v>0.85190615835777128</v>
      </c>
      <c r="E8">
        <v>0.85626891030116836</v>
      </c>
      <c r="F8">
        <v>3.5</v>
      </c>
      <c r="G8">
        <v>1.5</v>
      </c>
      <c r="H8">
        <v>0.65066225165562919</v>
      </c>
      <c r="I8">
        <v>0.41855203619909498</v>
      </c>
      <c r="J8">
        <v>0.1741573033707865</v>
      </c>
      <c r="K8">
        <f t="shared" si="0"/>
        <v>0.30184412980883385</v>
      </c>
      <c r="L8" s="21" cm="1">
        <f t="array" ref="L8">D8/MAX(ABS(D$2:D$26))</f>
        <v>0.61222339304531059</v>
      </c>
      <c r="M8" s="21" cm="1">
        <f t="array" ref="M8">E8/MAX(ABS(E$2:E$26))</f>
        <v>0.61404841810193933</v>
      </c>
      <c r="N8" s="21" cm="1">
        <f t="array" ref="N8">F8/MAX(ABS(F$2:F$26))</f>
        <v>1</v>
      </c>
      <c r="O8" s="21" cm="1">
        <f t="array" ref="O8">G8/MAX(ABS(G$2:G$26))</f>
        <v>0.87209302325581395</v>
      </c>
      <c r="P8" s="21" cm="1">
        <f t="array" ref="P8">H8/MAX(ABS(H$2:H$26))</f>
        <v>0.52591459237268801</v>
      </c>
      <c r="Q8" s="21" cm="1">
        <f t="array" ref="Q8">I8/MAX(ABS(I$2:I$26))</f>
        <v>0.44745460647371277</v>
      </c>
      <c r="R8" s="21" cm="1">
        <f t="array" ref="R8">J8/MAX(ABS(J$2:J$26))</f>
        <v>0.20318352059925093</v>
      </c>
    </row>
    <row r="9" spans="1:18" x14ac:dyDescent="0.25">
      <c r="A9">
        <v>7</v>
      </c>
      <c r="B9" t="s">
        <v>68</v>
      </c>
      <c r="C9">
        <v>0.84762755656871624</v>
      </c>
      <c r="D9">
        <v>0.13196480938416419</v>
      </c>
      <c r="E9">
        <v>5.7812572731927581E-2</v>
      </c>
      <c r="F9">
        <v>0.4</v>
      </c>
      <c r="G9">
        <v>-0.54</v>
      </c>
      <c r="H9">
        <v>4.472843450479233E-2</v>
      </c>
      <c r="I9">
        <v>-0.10307017543859651</v>
      </c>
      <c r="J9">
        <v>-0.112</v>
      </c>
      <c r="K9">
        <f t="shared" si="0"/>
        <v>0.37142502929397547</v>
      </c>
      <c r="L9" s="21" cm="1">
        <f t="array" ref="L9">D9/MAX(ABS(D$2:D$26))</f>
        <v>9.4836670179135871E-2</v>
      </c>
      <c r="M9" s="21" cm="1">
        <f t="array" ref="M9">E9/MAX(ABS(E$2:E$26))</f>
        <v>4.1458610029362651E-2</v>
      </c>
      <c r="N9" s="21" cm="1">
        <f t="array" ref="N9">F9/MAX(ABS(F$2:F$26))</f>
        <v>0.1142857142857143</v>
      </c>
      <c r="O9" s="21" cm="1">
        <f t="array" ref="O9">G9/MAX(ABS(G$2:G$26))</f>
        <v>-0.31395348837209303</v>
      </c>
      <c r="P9" s="21" cm="1">
        <f t="array" ref="P9">H9/MAX(ABS(H$2:H$26))</f>
        <v>3.6152913958356292E-2</v>
      </c>
      <c r="Q9" s="21" cm="1">
        <f t="array" ref="Q9">I9/MAX(ABS(I$2:I$26))</f>
        <v>-0.11018755328218245</v>
      </c>
      <c r="R9" s="21" cm="1">
        <f t="array" ref="R9">J9/MAX(ABS(J$2:J$26))</f>
        <v>-0.13066666666666668</v>
      </c>
    </row>
    <row r="10" spans="1:18" x14ac:dyDescent="0.25">
      <c r="A10">
        <v>9</v>
      </c>
      <c r="B10" t="s">
        <v>64</v>
      </c>
      <c r="C10">
        <v>0.82522388104119959</v>
      </c>
      <c r="D10">
        <v>0.48093841642228741</v>
      </c>
      <c r="E10">
        <v>0.60962854349951123</v>
      </c>
      <c r="F10">
        <v>2.7</v>
      </c>
      <c r="G10">
        <v>0.51</v>
      </c>
      <c r="H10">
        <v>0.35084745762711872</v>
      </c>
      <c r="I10">
        <v>0.23809523809523811</v>
      </c>
      <c r="J10">
        <v>0.3641304347826087</v>
      </c>
      <c r="K10">
        <f t="shared" si="0"/>
        <v>0.27900418364102259</v>
      </c>
      <c r="L10" s="21" cm="1">
        <f t="array" ref="L10">D10/MAX(ABS(D$2:D$26))</f>
        <v>0.34562697576396195</v>
      </c>
      <c r="M10" s="21" cm="1">
        <f t="array" ref="M10">E10/MAX(ABS(E$2:E$26))</f>
        <v>0.4371774313679101</v>
      </c>
      <c r="N10" s="21" cm="1">
        <f t="array" ref="N10">F10/MAX(ABS(F$2:F$26))</f>
        <v>0.77142857142857146</v>
      </c>
      <c r="O10" s="21" cm="1">
        <f t="array" ref="O10">G10/MAX(ABS(G$2:G$26))</f>
        <v>0.29651162790697677</v>
      </c>
      <c r="P10" s="21" cm="1">
        <f t="array" ref="P10">H10/MAX(ABS(H$2:H$26))</f>
        <v>0.2835815312682643</v>
      </c>
      <c r="Q10" s="21" cm="1">
        <f t="array" ref="Q10">I10/MAX(ABS(I$2:I$26))</f>
        <v>0.2545365972475947</v>
      </c>
      <c r="R10" s="21" cm="1">
        <f t="array" ref="R10">J10/MAX(ABS(J$2:J$26))</f>
        <v>0.4248188405797102</v>
      </c>
    </row>
    <row r="11" spans="1:18" x14ac:dyDescent="0.25">
      <c r="A11">
        <v>10</v>
      </c>
      <c r="B11" t="s">
        <v>77</v>
      </c>
      <c r="C11">
        <v>0.79737595519012716</v>
      </c>
      <c r="D11">
        <v>0.68768328445747806</v>
      </c>
      <c r="E11">
        <v>0.64655599776567518</v>
      </c>
      <c r="F11">
        <v>0.2</v>
      </c>
      <c r="G11">
        <v>8.0000000000000016E-2</v>
      </c>
      <c r="H11">
        <v>0.48442906574394462</v>
      </c>
      <c r="I11">
        <v>0.34943181818181818</v>
      </c>
      <c r="J11">
        <v>2.222222222222222E-2</v>
      </c>
      <c r="K11">
        <f t="shared" si="0"/>
        <v>0.1641244241267529</v>
      </c>
      <c r="L11" s="21" cm="1">
        <f t="array" ref="L11">D11/MAX(ABS(D$2:D$26))</f>
        <v>0.49420442571127488</v>
      </c>
      <c r="M11" s="21" cm="1">
        <f t="array" ref="M11">E11/MAX(ABS(E$2:E$26))</f>
        <v>0.46365888433657426</v>
      </c>
      <c r="N11" s="21" cm="1">
        <f t="array" ref="N11">F11/MAX(ABS(F$2:F$26))</f>
        <v>5.7142857142857148E-2</v>
      </c>
      <c r="O11" s="21" cm="1">
        <f t="array" ref="O11">G11/MAX(ABS(G$2:G$26))</f>
        <v>4.651162790697675E-2</v>
      </c>
      <c r="P11" s="21" cm="1">
        <f t="array" ref="P11">H11/MAX(ABS(H$2:H$26))</f>
        <v>0.39155232072545054</v>
      </c>
      <c r="Q11" s="21" cm="1">
        <f t="array" ref="Q11">I11/MAX(ABS(I$2:I$26))</f>
        <v>0.37356138107416875</v>
      </c>
      <c r="R11" s="21" cm="1">
        <f t="array" ref="R11">J11/MAX(ABS(J$2:J$26))</f>
        <v>2.5925925925925925E-2</v>
      </c>
    </row>
    <row r="12" spans="1:18" x14ac:dyDescent="0.25">
      <c r="A12">
        <v>12</v>
      </c>
      <c r="B12" t="s">
        <v>72</v>
      </c>
      <c r="C12">
        <v>0.82532823278057965</v>
      </c>
      <c r="D12">
        <v>-2.1994134897360709E-2</v>
      </c>
      <c r="E12">
        <v>-0.1951188148768794</v>
      </c>
      <c r="F12">
        <v>1.1000000000000001</v>
      </c>
      <c r="G12">
        <v>-0.18999999999999989</v>
      </c>
      <c r="H12">
        <v>-4.2622950819672129E-2</v>
      </c>
      <c r="I12">
        <v>-0.22906403940886699</v>
      </c>
      <c r="J12">
        <v>-0.1136363636363636</v>
      </c>
      <c r="K12">
        <f t="shared" si="0"/>
        <v>0.27943466104134984</v>
      </c>
      <c r="L12" s="21" cm="1">
        <f t="array" ref="L12">D12/MAX(ABS(D$2:D$26))</f>
        <v>-1.5806111696522653E-2</v>
      </c>
      <c r="M12" s="21" cm="1">
        <f t="array" ref="M12">E12/MAX(ABS(E$2:E$26))</f>
        <v>-0.13992379984336034</v>
      </c>
      <c r="N12" s="21" cm="1">
        <f t="array" ref="N12">F12/MAX(ABS(F$2:F$26))</f>
        <v>0.31428571428571433</v>
      </c>
      <c r="O12" s="21" cm="1">
        <f t="array" ref="O12">G12/MAX(ABS(G$2:G$26))</f>
        <v>-0.1104651162790697</v>
      </c>
      <c r="P12" s="21" cm="1">
        <f t="array" ref="P12">H12/MAX(ABS(H$2:H$26))</f>
        <v>-3.4451102317693619E-2</v>
      </c>
      <c r="Q12" s="21" cm="1">
        <f t="array" ref="Q12">I12/MAX(ABS(I$2:I$26))</f>
        <v>-0.24488176080027213</v>
      </c>
      <c r="R12" s="21" cm="1">
        <f t="array" ref="R12">J12/MAX(ABS(J$2:J$26))</f>
        <v>-0.13257575757575754</v>
      </c>
    </row>
    <row r="13" spans="1:18" x14ac:dyDescent="0.25">
      <c r="A13">
        <v>14</v>
      </c>
      <c r="B13" t="s">
        <v>78</v>
      </c>
      <c r="C13">
        <v>0.83712559510186269</v>
      </c>
      <c r="D13">
        <v>0.36950146627565977</v>
      </c>
      <c r="E13">
        <v>0.3606316622445655</v>
      </c>
      <c r="F13">
        <v>-1.2</v>
      </c>
      <c r="G13">
        <v>-0.40999999999999992</v>
      </c>
      <c r="H13">
        <v>0.28501628664495121</v>
      </c>
      <c r="I13">
        <v>0.1373873873873874</v>
      </c>
      <c r="J13">
        <v>-0.15238095238095239</v>
      </c>
      <c r="K13">
        <f t="shared" si="0"/>
        <v>0.32810177375989041</v>
      </c>
      <c r="L13" s="21" cm="1">
        <f t="array" ref="L13">D13/MAX(ABS(D$2:D$26))</f>
        <v>0.26554267650158048</v>
      </c>
      <c r="M13" s="21" cm="1">
        <f t="array" ref="M13">E13/MAX(ABS(E$2:E$26))</f>
        <v>0.25861653863020811</v>
      </c>
      <c r="N13" s="21" cm="1">
        <f t="array" ref="N13">F13/MAX(ABS(F$2:F$26))</f>
        <v>-0.34285714285714286</v>
      </c>
      <c r="O13" s="21" cm="1">
        <f t="array" ref="O13">G13/MAX(ABS(G$2:G$26))</f>
        <v>-0.23837209302325577</v>
      </c>
      <c r="P13" s="21" cm="1">
        <f t="array" ref="P13">H13/MAX(ABS(H$2:H$26))</f>
        <v>0.23037178479164339</v>
      </c>
      <c r="Q13" s="21" cm="1">
        <f t="array" ref="Q13">I13/MAX(ABS(I$2:I$26))</f>
        <v>0.14687449597935531</v>
      </c>
      <c r="R13" s="21" cm="1">
        <f t="array" ref="R13">J13/MAX(ABS(J$2:J$26))</f>
        <v>-0.17777777777777781</v>
      </c>
    </row>
    <row r="14" spans="1:18" x14ac:dyDescent="0.25">
      <c r="A14">
        <v>15</v>
      </c>
      <c r="B14" t="s">
        <v>73</v>
      </c>
      <c r="C14">
        <v>0.8368478959256952</v>
      </c>
      <c r="D14">
        <v>-2.932551319648094E-2</v>
      </c>
      <c r="E14">
        <v>-0.2156169994879672</v>
      </c>
      <c r="F14">
        <v>1.9</v>
      </c>
      <c r="G14">
        <v>-0.49999999999999989</v>
      </c>
      <c r="H14">
        <v>-0.14638157894736839</v>
      </c>
      <c r="I14">
        <v>-0.26444444444444443</v>
      </c>
      <c r="J14">
        <v>-0.11926605504587159</v>
      </c>
      <c r="K14">
        <f t="shared" si="0"/>
        <v>0.32695619420233052</v>
      </c>
      <c r="L14" s="21" cm="1">
        <f t="array" ref="L14">D14/MAX(ABS(D$2:D$26))</f>
        <v>-2.1074815595363533E-2</v>
      </c>
      <c r="M14" s="21" cm="1">
        <f t="array" ref="M14">E14/MAX(ABS(E$2:E$26))</f>
        <v>-0.15462347851086317</v>
      </c>
      <c r="N14" s="21" cm="1">
        <f t="array" ref="N14">F14/MAX(ABS(F$2:F$26))</f>
        <v>0.54285714285714282</v>
      </c>
      <c r="O14" s="21" cm="1">
        <f t="array" ref="O14">G14/MAX(ABS(G$2:G$26))</f>
        <v>-0.29069767441860461</v>
      </c>
      <c r="P14" s="21" cm="1">
        <f t="array" ref="P14">H14/MAX(ABS(H$2:H$26))</f>
        <v>-0.11831669691470055</v>
      </c>
      <c r="Q14" s="21" cm="1">
        <f t="array" ref="Q14">I14/MAX(ABS(I$2:I$26))</f>
        <v>-0.28270531400966181</v>
      </c>
      <c r="R14" s="21" cm="1">
        <f t="array" ref="R14">J14/MAX(ABS(J$2:J$26))</f>
        <v>-0.1391437308868502</v>
      </c>
    </row>
    <row r="15" spans="1:18" x14ac:dyDescent="0.25">
      <c r="A15">
        <v>16</v>
      </c>
      <c r="B15" t="s">
        <v>80</v>
      </c>
      <c r="C15">
        <v>0.8532602306335203</v>
      </c>
      <c r="D15">
        <v>0.9296187683284457</v>
      </c>
      <c r="E15">
        <v>0.48746334310850442</v>
      </c>
      <c r="F15">
        <v>1.1000000000000001</v>
      </c>
      <c r="G15">
        <v>-1.0000000000000101E-2</v>
      </c>
      <c r="H15">
        <v>0.90445859872611467</v>
      </c>
      <c r="I15">
        <v>0.71311475409836067</v>
      </c>
      <c r="J15">
        <v>0.17037037037037039</v>
      </c>
      <c r="K15">
        <f t="shared" si="0"/>
        <v>0.39466123889347904</v>
      </c>
      <c r="L15" s="21" cm="1">
        <f t="array" ref="L15">D15/MAX(ABS(D$2:D$26))</f>
        <v>0.66807165437302396</v>
      </c>
      <c r="M15" s="21" cm="1">
        <f t="array" ref="M15">E15/MAX(ABS(E$2:E$26))</f>
        <v>0.34957020057306598</v>
      </c>
      <c r="N15" s="21" cm="1">
        <f t="array" ref="N15">F15/MAX(ABS(F$2:F$26))</f>
        <v>0.31428571428571433</v>
      </c>
      <c r="O15" s="21" cm="1">
        <f t="array" ref="O15">G15/MAX(ABS(G$2:G$26))</f>
        <v>-5.8139534883721519E-3</v>
      </c>
      <c r="P15" s="21" cm="1">
        <f t="array" ref="P15">H15/MAX(ABS(H$2:H$26))</f>
        <v>0.73105205359103909</v>
      </c>
      <c r="Q15" s="21" cm="1">
        <f t="array" ref="Q15">I15/MAX(ABS(I$2:I$26))</f>
        <v>0.76235797241205816</v>
      </c>
      <c r="R15" s="21" cm="1">
        <f t="array" ref="R15">J15/MAX(ABS(J$2:J$26))</f>
        <v>0.19876543209876546</v>
      </c>
    </row>
    <row r="16" spans="1:18" x14ac:dyDescent="0.25">
      <c r="A16">
        <v>18</v>
      </c>
      <c r="B16" t="s">
        <v>82</v>
      </c>
      <c r="C16">
        <v>0.83605737927372503</v>
      </c>
      <c r="D16">
        <v>-0.23460410557184749</v>
      </c>
      <c r="E16">
        <v>-0.39348961969929708</v>
      </c>
      <c r="F16">
        <v>2.2000000000000002</v>
      </c>
      <c r="G16">
        <v>-0.21999999999999989</v>
      </c>
      <c r="H16">
        <v>-0.3</v>
      </c>
      <c r="I16">
        <v>-0.29504504504504497</v>
      </c>
      <c r="J16">
        <v>-0.21649484536082481</v>
      </c>
      <c r="K16">
        <f t="shared" si="0"/>
        <v>0.32369511244866517</v>
      </c>
      <c r="L16" s="21" cm="1">
        <f t="array" ref="L16">D16/MAX(ABS(D$2:D$26))</f>
        <v>-0.16859852476290824</v>
      </c>
      <c r="M16" s="21" cm="1">
        <f t="array" ref="M16">E16/MAX(ABS(E$2:E$26))</f>
        <v>-0.282179669971789</v>
      </c>
      <c r="N16" s="21" cm="1">
        <f t="array" ref="N16">F16/MAX(ABS(F$2:F$26))</f>
        <v>0.62857142857142867</v>
      </c>
      <c r="O16" s="21" cm="1">
        <f t="array" ref="O16">G16/MAX(ABS(G$2:G$26))</f>
        <v>-0.127906976744186</v>
      </c>
      <c r="P16" s="21" cm="1">
        <f t="array" ref="P16">H16/MAX(ABS(H$2:H$26))</f>
        <v>-0.24248275862068971</v>
      </c>
      <c r="Q16" s="21" cm="1">
        <f t="array" ref="Q16">I16/MAX(ABS(I$2:I$26))</f>
        <v>-0.31541899956222197</v>
      </c>
      <c r="R16" s="21" cm="1">
        <f t="array" ref="R16">J16/MAX(ABS(J$2:J$26))</f>
        <v>-0.25257731958762897</v>
      </c>
    </row>
    <row r="17" spans="1:18" x14ac:dyDescent="0.25">
      <c r="A17">
        <v>19</v>
      </c>
      <c r="B17" t="s">
        <v>75</v>
      </c>
      <c r="C17">
        <v>0.84380792330437038</v>
      </c>
      <c r="D17">
        <v>7.6246334310850442E-2</v>
      </c>
      <c r="E17">
        <v>-0.10699099287808959</v>
      </c>
      <c r="F17">
        <v>-2.6</v>
      </c>
      <c r="G17">
        <v>-0.6100000000000001</v>
      </c>
      <c r="H17">
        <v>1.954397394136808E-2</v>
      </c>
      <c r="I17">
        <v>-0.17234042553191489</v>
      </c>
      <c r="J17">
        <v>-7.9207920792079209E-2</v>
      </c>
      <c r="K17">
        <f t="shared" si="0"/>
        <v>0.35566807298823827</v>
      </c>
      <c r="L17" s="21" cm="1">
        <f t="array" ref="L17">D17/MAX(ABS(D$2:D$26))</f>
        <v>5.4794520547945189E-2</v>
      </c>
      <c r="M17" s="21" cm="1">
        <f t="array" ref="M17">E17/MAX(ABS(E$2:E$26))</f>
        <v>-7.6725487913416698E-2</v>
      </c>
      <c r="N17" s="21" cm="1">
        <f t="array" ref="N17">F17/MAX(ABS(F$2:F$26))</f>
        <v>-0.74285714285714288</v>
      </c>
      <c r="O17" s="21" cm="1">
        <f t="array" ref="O17">G17/MAX(ABS(G$2:G$26))</f>
        <v>-0.35465116279069775</v>
      </c>
      <c r="P17" s="21" cm="1">
        <f t="array" ref="P17">H17/MAX(ABS(H$2:H$26))</f>
        <v>1.5796922385712685E-2</v>
      </c>
      <c r="Q17" s="21" cm="1">
        <f t="array" ref="Q17">I17/MAX(ABS(I$2:I$26))</f>
        <v>-0.18424117102900364</v>
      </c>
      <c r="R17" s="21" cm="1">
        <f t="array" ref="R17">J17/MAX(ABS(J$2:J$26))</f>
        <v>-9.2409240924092417E-2</v>
      </c>
    </row>
    <row r="18" spans="1:18" x14ac:dyDescent="0.25">
      <c r="A18">
        <v>20</v>
      </c>
      <c r="B18" t="s">
        <v>76</v>
      </c>
      <c r="C18">
        <v>0.9097529483680501</v>
      </c>
      <c r="D18">
        <v>0.64662756598240467</v>
      </c>
      <c r="E18">
        <v>0.31496532141693429</v>
      </c>
      <c r="F18">
        <v>3.3</v>
      </c>
      <c r="G18">
        <v>1.06</v>
      </c>
      <c r="H18">
        <v>0.6238670694864048</v>
      </c>
      <c r="I18">
        <v>0.41891891891891891</v>
      </c>
      <c r="J18">
        <v>0.2560386473429952</v>
      </c>
      <c r="K18">
        <f t="shared" si="0"/>
        <v>0.62770803248081453</v>
      </c>
      <c r="L18" s="21" cm="1">
        <f t="array" ref="L18">D18/MAX(ABS(D$2:D$26))</f>
        <v>0.46469968387776589</v>
      </c>
      <c r="M18" s="21" cm="1">
        <f t="array" ref="M18">E18/MAX(ABS(E$2:E$26))</f>
        <v>0.22586824658273885</v>
      </c>
      <c r="N18" s="21" cm="1">
        <f t="array" ref="N18">F18/MAX(ABS(F$2:F$26))</f>
        <v>0.94285714285714284</v>
      </c>
      <c r="O18" s="21" cm="1">
        <f t="array" ref="O18">G18/MAX(ABS(G$2:G$26))</f>
        <v>0.61627906976744196</v>
      </c>
      <c r="P18" s="21" cm="1">
        <f t="array" ref="P18">H18/MAX(ABS(H$2:H$26))</f>
        <v>0.50425669340556323</v>
      </c>
      <c r="Q18" s="21" cm="1">
        <f t="array" ref="Q18">I18/MAX(ABS(I$2:I$26))</f>
        <v>0.44784682380590307</v>
      </c>
      <c r="R18" s="21" cm="1">
        <f t="array" ref="R18">J18/MAX(ABS(J$2:J$26))</f>
        <v>0.29871175523349441</v>
      </c>
    </row>
    <row r="19" spans="1:18" x14ac:dyDescent="0.25">
      <c r="A19">
        <v>21</v>
      </c>
      <c r="B19" t="s">
        <v>81</v>
      </c>
      <c r="C19">
        <v>0.7793680866442817</v>
      </c>
      <c r="D19">
        <v>0.63489736070381231</v>
      </c>
      <c r="E19">
        <v>0.34899455383326361</v>
      </c>
      <c r="F19">
        <v>0.1</v>
      </c>
      <c r="G19">
        <v>0.38</v>
      </c>
      <c r="H19">
        <v>0.46715328467153278</v>
      </c>
      <c r="I19">
        <v>0.36792452830188682</v>
      </c>
      <c r="J19">
        <v>-0.23809523809523811</v>
      </c>
      <c r="K19">
        <f t="shared" si="0"/>
        <v>8.9837397546220679E-2</v>
      </c>
      <c r="L19" s="21" cm="1">
        <f t="array" ref="L19">D19/MAX(ABS(D$2:D$26))</f>
        <v>0.45626975763962047</v>
      </c>
      <c r="M19" s="21" cm="1">
        <f t="array" ref="M19">E19/MAX(ABS(E$2:E$26))</f>
        <v>0.25027132379725642</v>
      </c>
      <c r="N19" s="21" cm="1">
        <f t="array" ref="N19">F19/MAX(ABS(F$2:F$26))</f>
        <v>2.8571428571428574E-2</v>
      </c>
      <c r="O19" s="21" cm="1">
        <f t="array" ref="O19">G19/MAX(ABS(G$2:G$26))</f>
        <v>0.22093023255813954</v>
      </c>
      <c r="P19" s="21" cm="1">
        <f t="array" ref="P19">H19/MAX(ABS(H$2:H$26))</f>
        <v>0.3775887238862321</v>
      </c>
      <c r="Q19" s="21" cm="1">
        <f t="array" ref="Q19">I19/MAX(ABS(I$2:I$26))</f>
        <v>0.39333108140713219</v>
      </c>
      <c r="R19" s="21" cm="1">
        <f t="array" ref="R19">J19/MAX(ABS(J$2:J$26))</f>
        <v>-0.27777777777777779</v>
      </c>
    </row>
    <row r="20" spans="1:18" x14ac:dyDescent="0.25">
      <c r="A20">
        <v>23</v>
      </c>
      <c r="B20" t="s">
        <v>69</v>
      </c>
      <c r="C20">
        <v>0.87548603567559702</v>
      </c>
      <c r="D20">
        <v>0.43841642228738997</v>
      </c>
      <c r="E20">
        <v>0.17036784899688129</v>
      </c>
      <c r="F20">
        <v>0.1</v>
      </c>
      <c r="G20">
        <v>-0.13000000000000009</v>
      </c>
      <c r="H20">
        <v>0.40644171779141097</v>
      </c>
      <c r="I20">
        <v>0.2767527675276753</v>
      </c>
      <c r="J20">
        <v>7.5657894736842105E-2</v>
      </c>
      <c r="K20">
        <f t="shared" si="0"/>
        <v>0.48634832366595188</v>
      </c>
      <c r="L20" s="21" cm="1">
        <f t="array" ref="L20">D20/MAX(ABS(D$2:D$26))</f>
        <v>0.31506849315068475</v>
      </c>
      <c r="M20" s="21" cm="1">
        <f t="array" ref="M20">E20/MAX(ABS(E$2:E$26))</f>
        <v>0.12217436241515528</v>
      </c>
      <c r="N20" s="21" cm="1">
        <f t="array" ref="N20">F20/MAX(ABS(F$2:F$26))</f>
        <v>2.8571428571428574E-2</v>
      </c>
      <c r="O20" s="21" cm="1">
        <f t="array" ref="O20">G20/MAX(ABS(G$2:G$26))</f>
        <v>-7.558139534883726E-2</v>
      </c>
      <c r="P20" s="21" cm="1">
        <f t="array" ref="P20">H20/MAX(ABS(H$2:H$26))</f>
        <v>0.328517029828644</v>
      </c>
      <c r="Q20" s="21" cm="1">
        <f t="array" ref="Q20">I20/MAX(ABS(I$2:I$26))</f>
        <v>0.29586357244646616</v>
      </c>
      <c r="R20" s="21" cm="1">
        <f t="array" ref="R20">J20/MAX(ABS(J$2:J$26))</f>
        <v>8.8267543859649134E-2</v>
      </c>
    </row>
    <row r="21" spans="1:18" x14ac:dyDescent="0.25">
      <c r="A21">
        <v>24</v>
      </c>
      <c r="B21" t="s">
        <v>84</v>
      </c>
      <c r="C21">
        <v>0.86926660439835268</v>
      </c>
      <c r="D21">
        <v>0.64662756598240467</v>
      </c>
      <c r="E21">
        <v>0.65102173811851227</v>
      </c>
      <c r="F21">
        <v>1.3</v>
      </c>
      <c r="G21">
        <v>0.43999999999999989</v>
      </c>
      <c r="H21">
        <v>0.51869158878504673</v>
      </c>
      <c r="I21">
        <v>0.52272727272727271</v>
      </c>
      <c r="J21">
        <v>0.36267605633802819</v>
      </c>
      <c r="K21">
        <f t="shared" si="0"/>
        <v>0.46069159169724616</v>
      </c>
      <c r="L21" s="21" cm="1">
        <f t="array" ref="L21">D21/MAX(ABS(D$2:D$26))</f>
        <v>0.46469968387776589</v>
      </c>
      <c r="M21" s="21" cm="1">
        <f t="array" ref="M21">E21/MAX(ABS(E$2:E$26))</f>
        <v>0.46686136052871946</v>
      </c>
      <c r="N21" s="21" cm="1">
        <f t="array" ref="N21">F21/MAX(ABS(F$2:F$26))</f>
        <v>0.37142857142857144</v>
      </c>
      <c r="O21" s="21" cm="1">
        <f t="array" ref="O21">G21/MAX(ABS(G$2:G$26))</f>
        <v>0.25581395348837205</v>
      </c>
      <c r="P21" s="21" cm="1">
        <f t="array" ref="P21">H21/MAX(ABS(H$2:H$26))</f>
        <v>0.41924589107315513</v>
      </c>
      <c r="Q21" s="21" cm="1">
        <f t="array" ref="Q21">I21/MAX(ABS(I$2:I$26))</f>
        <v>0.55882352941176461</v>
      </c>
      <c r="R21" s="21" cm="1">
        <f t="array" ref="R21">J21/MAX(ABS(J$2:J$26))</f>
        <v>0.42312206572769956</v>
      </c>
    </row>
    <row r="22" spans="1:18" x14ac:dyDescent="0.25">
      <c r="A22">
        <v>25</v>
      </c>
      <c r="B22" t="s">
        <v>65</v>
      </c>
      <c r="C22">
        <v>0.79679411361294405</v>
      </c>
      <c r="D22">
        <v>0.91055718475073311</v>
      </c>
      <c r="E22">
        <v>0.65092631382953958</v>
      </c>
      <c r="F22">
        <v>1.2</v>
      </c>
      <c r="G22">
        <v>1.253333333333333</v>
      </c>
      <c r="H22">
        <v>0.65241635687732347</v>
      </c>
      <c r="I22">
        <v>0.48314606741573041</v>
      </c>
      <c r="J22">
        <v>-0.1818181818181818</v>
      </c>
      <c r="K22">
        <f t="shared" si="0"/>
        <v>0.16172418000014679</v>
      </c>
      <c r="L22" s="21" cm="1">
        <f t="array" ref="L22">D22/MAX(ABS(D$2:D$26))</f>
        <v>0.6543730242360376</v>
      </c>
      <c r="M22" s="21" cm="1">
        <f t="array" ref="M22">E22/MAX(ABS(E$2:E$26))</f>
        <v>0.46679292976708925</v>
      </c>
      <c r="N22" s="21" cm="1">
        <f t="array" ref="N22">F22/MAX(ABS(F$2:F$26))</f>
        <v>0.34285714285714286</v>
      </c>
      <c r="O22" s="21" cm="1">
        <f t="array" ref="O22">G22/MAX(ABS(G$2:G$26))</f>
        <v>0.72868217054263551</v>
      </c>
      <c r="P22" s="21" cm="1">
        <f t="array" ref="P22">H22/MAX(ABS(H$2:H$26))</f>
        <v>0.52733239328291259</v>
      </c>
      <c r="Q22" s="21" cm="1">
        <f t="array" ref="Q22">I22/MAX(ABS(I$2:I$26))</f>
        <v>0.51650909508893939</v>
      </c>
      <c r="R22" s="21" cm="1">
        <f t="array" ref="R22">J22/MAX(ABS(J$2:J$26))</f>
        <v>-0.2121212121212121</v>
      </c>
    </row>
    <row r="23" spans="1:18" x14ac:dyDescent="0.25">
      <c r="A23">
        <v>26</v>
      </c>
      <c r="B23" t="s">
        <v>86</v>
      </c>
      <c r="C23">
        <v>0.82696144182311471</v>
      </c>
      <c r="D23">
        <v>0.49706744868035191</v>
      </c>
      <c r="E23">
        <v>0.19442640692640689</v>
      </c>
      <c r="F23">
        <v>0.8</v>
      </c>
      <c r="G23">
        <v>0.46555555555555561</v>
      </c>
      <c r="H23">
        <v>0.38118811881188119</v>
      </c>
      <c r="I23">
        <v>-0.12561576354679799</v>
      </c>
      <c r="J23">
        <v>-0.21022727272727271</v>
      </c>
      <c r="K23">
        <f t="shared" si="0"/>
        <v>0.28617206270804285</v>
      </c>
      <c r="L23" s="21" cm="1">
        <f t="array" ref="L23">D23/MAX(ABS(D$2:D$26))</f>
        <v>0.35721812434141187</v>
      </c>
      <c r="M23" s="21" cm="1">
        <f t="array" ref="M23">E23/MAX(ABS(E$2:E$26))</f>
        <v>0.13942725956079968</v>
      </c>
      <c r="N23" s="21" cm="1">
        <f t="array" ref="N23">F23/MAX(ABS(F$2:F$26))</f>
        <v>0.22857142857142859</v>
      </c>
      <c r="O23" s="21" cm="1">
        <f t="array" ref="O23">G23/MAX(ABS(G$2:G$26))</f>
        <v>0.27067183462532302</v>
      </c>
      <c r="P23" s="21" cm="1">
        <f t="array" ref="P23">H23/MAX(ABS(H$2:H$26))</f>
        <v>0.30810515534312061</v>
      </c>
      <c r="Q23" s="21" cm="1">
        <f t="array" ref="Q23">I23/MAX(ABS(I$2:I$26))</f>
        <v>-0.13428999785821369</v>
      </c>
      <c r="R23" s="21" cm="1">
        <f t="array" ref="R23">J23/MAX(ABS(J$2:J$26))</f>
        <v>-0.24526515151515149</v>
      </c>
    </row>
    <row r="24" spans="1:18" x14ac:dyDescent="0.25">
      <c r="A24">
        <v>27</v>
      </c>
      <c r="B24" t="s">
        <v>83</v>
      </c>
      <c r="C24">
        <v>0.88683592469111916</v>
      </c>
      <c r="D24">
        <v>0.70967741935483875</v>
      </c>
      <c r="E24">
        <v>0.66182155657962116</v>
      </c>
      <c r="F24">
        <v>1.2</v>
      </c>
      <c r="G24">
        <v>0.40000000000000019</v>
      </c>
      <c r="H24">
        <v>0.661993769470405</v>
      </c>
      <c r="I24">
        <v>0.5529197080291971</v>
      </c>
      <c r="J24">
        <v>0.44324324324324332</v>
      </c>
      <c r="K24">
        <f t="shared" si="0"/>
        <v>0.53316949546846959</v>
      </c>
      <c r="L24" s="21" cm="1">
        <f t="array" ref="L24">D24/MAX(ABS(D$2:D$26))</f>
        <v>0.51001053740779756</v>
      </c>
      <c r="M24" s="21" cm="1">
        <f t="array" ref="M24">E24/MAX(ABS(E$2:E$26))</f>
        <v>0.47460613715444039</v>
      </c>
      <c r="N24" s="21" cm="1">
        <f t="array" ref="N24">F24/MAX(ABS(F$2:F$26))</f>
        <v>0.34285714285714286</v>
      </c>
      <c r="O24" s="21" cm="1">
        <f t="array" ref="O24">G24/MAX(ABS(G$2:G$26))</f>
        <v>0.23255813953488383</v>
      </c>
      <c r="P24" s="21" cm="1">
        <f t="array" ref="P24">H24/MAX(ABS(H$2:H$26))</f>
        <v>0.53507358470297584</v>
      </c>
      <c r="Q24" s="21" cm="1">
        <f t="array" ref="Q24">I24/MAX(ABS(I$2:I$26))</f>
        <v>0.59110086433811859</v>
      </c>
      <c r="R24" s="21" cm="1">
        <f t="array" ref="R24">J24/MAX(ABS(J$2:J$26))</f>
        <v>0.51711711711711728</v>
      </c>
    </row>
    <row r="25" spans="1:18" x14ac:dyDescent="0.25">
      <c r="A25">
        <v>28</v>
      </c>
      <c r="B25" t="s">
        <v>87</v>
      </c>
      <c r="C25">
        <v>0.79741336951507502</v>
      </c>
      <c r="D25">
        <v>0.99853372434017595</v>
      </c>
      <c r="E25">
        <v>0.61287180561374111</v>
      </c>
      <c r="F25">
        <v>0.6</v>
      </c>
      <c r="G25">
        <v>0.62999999999999989</v>
      </c>
      <c r="H25">
        <v>0.83910034602076122</v>
      </c>
      <c r="I25">
        <v>0.42134831460674149</v>
      </c>
      <c r="J25">
        <v>0.2608695652173913</v>
      </c>
      <c r="K25">
        <f t="shared" si="0"/>
        <v>0.16427876770966046</v>
      </c>
      <c r="L25" s="21" cm="1">
        <f t="array" ref="L25">D25/MAX(ABS(D$2:D$26))</f>
        <v>0.71759747102212823</v>
      </c>
      <c r="M25" s="21" cm="1">
        <f t="array" ref="M25">E25/MAX(ABS(E$2:E$26))</f>
        <v>0.43950324274185376</v>
      </c>
      <c r="N25" s="21" cm="1">
        <f t="array" ref="N25">F25/MAX(ABS(F$2:F$26))</f>
        <v>0.17142857142857143</v>
      </c>
      <c r="O25" s="21" cm="1">
        <f t="array" ref="O25">G25/MAX(ABS(G$2:G$26))</f>
        <v>0.36627906976744179</v>
      </c>
      <c r="P25" s="21" cm="1">
        <f t="array" ref="P25">H25/MAX(ABS(H$2:H$26))</f>
        <v>0.67822455554229821</v>
      </c>
      <c r="Q25" s="21" cm="1">
        <f t="array" ref="Q25">I25/MAX(ABS(I$2:I$26))</f>
        <v>0.45044397827523769</v>
      </c>
      <c r="R25" s="21" cm="1">
        <f t="array" ref="R25">J25/MAX(ABS(J$2:J$26))</f>
        <v>0.30434782608695654</v>
      </c>
    </row>
    <row r="26" spans="1:18" x14ac:dyDescent="0.25">
      <c r="A26">
        <v>29</v>
      </c>
      <c r="B26" t="s">
        <v>71</v>
      </c>
      <c r="C26">
        <v>0.84429188251844944</v>
      </c>
      <c r="D26">
        <v>0.54985337243401755</v>
      </c>
      <c r="E26">
        <v>0.35931957827119121</v>
      </c>
      <c r="F26">
        <v>0.4</v>
      </c>
      <c r="G26">
        <v>0.98000000000000009</v>
      </c>
      <c r="H26">
        <v>0.34294871794871801</v>
      </c>
      <c r="I26">
        <v>0.23605150214592269</v>
      </c>
      <c r="J26">
        <v>8.0357142857142863E-2</v>
      </c>
      <c r="K26">
        <f t="shared" si="0"/>
        <v>0.35766452753301997</v>
      </c>
      <c r="L26" s="21" cm="1">
        <f t="array" ref="L26">D26/MAX(ABS(D$2:D$26))</f>
        <v>0.39515279241306622</v>
      </c>
      <c r="M26" s="21" cm="1">
        <f t="array" ref="M26">E26/MAX(ABS(E$2:E$26))</f>
        <v>0.25767561565779284</v>
      </c>
      <c r="N26" s="21" cm="1">
        <f t="array" ref="N26">F26/MAX(ABS(F$2:F$26))</f>
        <v>0.1142857142857143</v>
      </c>
      <c r="O26" s="21" cm="1">
        <f t="array" ref="O26">G26/MAX(ABS(G$2:G$26))</f>
        <v>0.56976744186046513</v>
      </c>
      <c r="P26" s="21" cm="1">
        <f t="array" ref="P26">H26/MAX(ABS(H$2:H$26))</f>
        <v>0.27719717064544663</v>
      </c>
      <c r="Q26" s="21" cm="1">
        <f t="array" ref="Q26">I26/MAX(ABS(I$2:I$26))</f>
        <v>0.25235173375190711</v>
      </c>
      <c r="R26" s="21" cm="1">
        <f t="array" ref="R26">J26/MAX(ABS(J$2:J$26))</f>
        <v>9.3750000000000014E-2</v>
      </c>
    </row>
  </sheetData>
  <sortState xmlns:xlrd2="http://schemas.microsoft.com/office/spreadsheetml/2017/richdata2" ref="A2:J31">
    <sortCondition ref="A1:A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变量表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2025-12-01T04:09:36Z</dcterms:modified>
</cp:coreProperties>
</file>