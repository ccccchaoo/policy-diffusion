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ata17\did\"/>
    </mc:Choice>
  </mc:AlternateContent>
  <xr:revisionPtr revIDLastSave="0" documentId="13_ncr:1_{85F4CA4B-54C7-41A0-BC93-97FE7EAD5AD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总表" sheetId="11" r:id="rId1"/>
    <sheet name="电力行业" sheetId="10" r:id="rId2"/>
    <sheet name="工业过程" sheetId="9" r:id="rId3"/>
    <sheet name="建筑物能源" sheetId="7" r:id="rId4"/>
    <sheet name="工业燃烧" sheetId="8" r:id="rId5"/>
    <sheet name="浪费" sheetId="6" r:id="rId6"/>
    <sheet name="农业" sheetId="5" r:id="rId7"/>
    <sheet name="燃烧能源" sheetId="4" r:id="rId8"/>
    <sheet name="运输" sheetId="2" r:id="rId9"/>
  </sheets>
  <definedNames>
    <definedName name="_xlnm._FilterDatabase" localSheetId="3" hidden="1">建筑物能源!$A$1:$A$9385</definedName>
    <definedName name="_xlnm._FilterDatabase" localSheetId="7" hidden="1">燃烧能源!$A$1:$A$1055</definedName>
    <definedName name="_xlnm._FilterDatabase" localSheetId="8" hidden="1">运输!$A$1:$A$962</definedName>
    <definedName name="_xlnm._FilterDatabase" localSheetId="0" hidden="1">总表!$B$1:$B$931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1" l="1"/>
  <c r="AA2" i="11"/>
  <c r="AB2" i="11"/>
  <c r="AC2" i="11"/>
  <c r="AD2" i="11"/>
  <c r="AE2" i="11"/>
  <c r="AF2" i="11"/>
  <c r="Z3" i="11"/>
  <c r="AA3" i="11"/>
  <c r="AB3" i="11"/>
  <c r="AC3" i="11"/>
  <c r="AD3" i="11"/>
  <c r="AE3" i="11"/>
  <c r="AF3" i="11"/>
  <c r="Z4" i="11"/>
  <c r="AA4" i="11"/>
  <c r="AB4" i="11"/>
  <c r="AC4" i="11"/>
  <c r="AD4" i="11"/>
  <c r="AE4" i="11"/>
  <c r="AF4" i="11"/>
  <c r="Z5" i="11"/>
  <c r="AA5" i="11"/>
  <c r="AB5" i="11"/>
  <c r="AC5" i="11"/>
  <c r="AD5" i="11"/>
  <c r="AE5" i="11"/>
  <c r="AF5" i="11"/>
  <c r="Z6" i="11"/>
  <c r="AA6" i="11"/>
  <c r="AB6" i="11"/>
  <c r="AC6" i="11"/>
  <c r="AD6" i="11"/>
  <c r="AE6" i="11"/>
  <c r="AF6" i="11"/>
  <c r="Z7" i="11"/>
  <c r="AA7" i="11"/>
  <c r="AB7" i="11"/>
  <c r="AC7" i="11"/>
  <c r="AD7" i="11"/>
  <c r="AE7" i="11"/>
  <c r="AF7" i="11"/>
  <c r="Z8" i="11"/>
  <c r="AA8" i="11"/>
  <c r="AB8" i="11"/>
  <c r="AC8" i="11"/>
  <c r="AD8" i="11"/>
  <c r="AE8" i="11"/>
  <c r="AF8" i="11"/>
  <c r="Z9" i="11"/>
  <c r="AA9" i="11"/>
  <c r="AB9" i="11"/>
  <c r="AC9" i="11"/>
  <c r="AD9" i="11"/>
  <c r="AE9" i="11"/>
  <c r="AF9" i="11"/>
  <c r="Z10" i="11"/>
  <c r="AA10" i="11"/>
  <c r="AB10" i="11"/>
  <c r="AC10" i="11"/>
  <c r="AD10" i="11"/>
  <c r="AE10" i="11"/>
  <c r="AF10" i="11"/>
  <c r="Z11" i="11"/>
  <c r="AA11" i="11"/>
  <c r="AB11" i="11"/>
  <c r="AC11" i="11"/>
  <c r="AD11" i="11"/>
  <c r="AE11" i="11"/>
  <c r="AF11" i="11"/>
  <c r="Z12" i="11"/>
  <c r="AA12" i="11"/>
  <c r="AB12" i="11"/>
  <c r="AC12" i="11"/>
  <c r="AD12" i="11"/>
  <c r="AE12" i="11"/>
  <c r="AF12" i="11"/>
  <c r="Z13" i="11"/>
  <c r="AA13" i="11"/>
  <c r="AB13" i="11"/>
  <c r="AC13" i="11"/>
  <c r="AD13" i="11"/>
  <c r="AE13" i="11"/>
  <c r="AF13" i="11"/>
  <c r="Z14" i="11"/>
  <c r="AA14" i="11"/>
  <c r="AB14" i="11"/>
  <c r="AC14" i="11"/>
  <c r="AD14" i="11"/>
  <c r="AE14" i="11"/>
  <c r="AF14" i="11"/>
  <c r="Z15" i="11"/>
  <c r="AA15" i="11"/>
  <c r="AB15" i="11"/>
  <c r="AC15" i="11"/>
  <c r="AD15" i="11"/>
  <c r="AE15" i="11"/>
  <c r="AF15" i="11"/>
  <c r="Z16" i="11"/>
  <c r="AA16" i="11"/>
  <c r="AB16" i="11"/>
  <c r="AC16" i="11"/>
  <c r="AD16" i="11"/>
  <c r="AE16" i="11"/>
  <c r="AF16" i="11"/>
  <c r="Z17" i="11"/>
  <c r="AA17" i="11"/>
  <c r="AB17" i="11"/>
  <c r="AC17" i="11"/>
  <c r="AD17" i="11"/>
  <c r="AE17" i="11"/>
  <c r="AF17" i="11"/>
  <c r="Z18" i="11"/>
  <c r="AA18" i="11"/>
  <c r="AB18" i="11"/>
  <c r="AC18" i="11"/>
  <c r="AD18" i="11"/>
  <c r="AE18" i="11"/>
  <c r="AF18" i="11"/>
  <c r="Z19" i="11"/>
  <c r="AA19" i="11"/>
  <c r="AB19" i="11"/>
  <c r="AC19" i="11"/>
  <c r="AD19" i="11"/>
  <c r="AE19" i="11"/>
  <c r="AF19" i="11"/>
  <c r="Z20" i="11"/>
  <c r="AA20" i="11"/>
  <c r="AB20" i="11"/>
  <c r="AC20" i="11"/>
  <c r="AD20" i="11"/>
  <c r="AE20" i="11"/>
  <c r="AF20" i="11"/>
  <c r="Z21" i="11"/>
  <c r="AA21" i="11"/>
  <c r="AB21" i="11"/>
  <c r="AC21" i="11"/>
  <c r="AD21" i="11"/>
  <c r="AE21" i="11"/>
  <c r="AF21" i="11"/>
  <c r="Z22" i="11"/>
  <c r="AA22" i="11"/>
  <c r="AB22" i="11"/>
  <c r="AC22" i="11"/>
  <c r="AD22" i="11"/>
  <c r="AE22" i="11"/>
  <c r="AF22" i="11"/>
  <c r="Z23" i="11"/>
  <c r="AA23" i="11"/>
  <c r="AB23" i="11"/>
  <c r="AC23" i="11"/>
  <c r="AD23" i="11"/>
  <c r="AE23" i="11"/>
  <c r="AF23" i="11"/>
  <c r="Z24" i="11"/>
  <c r="AA24" i="11"/>
  <c r="AB24" i="11"/>
  <c r="AC24" i="11"/>
  <c r="AD24" i="11"/>
  <c r="AE24" i="11"/>
  <c r="AF24" i="11"/>
  <c r="Z25" i="11"/>
  <c r="AA25" i="11"/>
  <c r="AB25" i="11"/>
  <c r="AC25" i="11"/>
  <c r="AD25" i="11"/>
  <c r="AE25" i="11"/>
  <c r="AF25" i="11"/>
  <c r="Z26" i="11"/>
  <c r="AA26" i="11"/>
  <c r="AB26" i="11"/>
  <c r="AC26" i="11"/>
  <c r="AD26" i="11"/>
  <c r="AE26" i="11"/>
  <c r="AF26" i="11"/>
  <c r="Z27" i="11"/>
  <c r="AA27" i="11"/>
  <c r="AB27" i="11"/>
  <c r="AC27" i="11"/>
  <c r="AD27" i="11"/>
  <c r="AE27" i="11"/>
  <c r="AF27" i="11"/>
  <c r="Z28" i="11"/>
  <c r="AA28" i="11"/>
  <c r="AB28" i="11"/>
  <c r="AC28" i="11"/>
  <c r="AD28" i="11"/>
  <c r="AE28" i="11"/>
  <c r="AF28" i="11"/>
  <c r="Z29" i="11"/>
  <c r="AA29" i="11"/>
  <c r="AB29" i="11"/>
  <c r="AC29" i="11"/>
  <c r="AD29" i="11"/>
  <c r="AE29" i="11"/>
  <c r="AF29" i="11"/>
  <c r="Z30" i="11"/>
  <c r="AA30" i="11"/>
  <c r="AB30" i="11"/>
  <c r="AC30" i="11"/>
  <c r="AD30" i="11"/>
  <c r="AE30" i="11"/>
  <c r="AF30" i="11"/>
  <c r="Z31" i="11"/>
  <c r="AA31" i="11"/>
  <c r="AB31" i="11"/>
  <c r="AC31" i="11"/>
  <c r="AD31" i="11"/>
  <c r="AE31" i="11"/>
  <c r="AF31" i="11"/>
  <c r="Z32" i="11"/>
  <c r="AA32" i="11"/>
  <c r="AB32" i="11"/>
  <c r="AC32" i="11"/>
  <c r="AD32" i="11"/>
  <c r="AE32" i="11"/>
  <c r="AF32" i="11"/>
  <c r="Z33" i="11"/>
  <c r="AA33" i="11"/>
  <c r="AB33" i="11"/>
  <c r="AC33" i="11"/>
  <c r="AD33" i="11"/>
  <c r="AE33" i="11"/>
  <c r="AF33" i="11"/>
  <c r="Z34" i="11"/>
  <c r="AA34" i="11"/>
  <c r="AB34" i="11"/>
  <c r="AC34" i="11"/>
  <c r="AD34" i="11"/>
  <c r="AE34" i="11"/>
  <c r="AF34" i="11"/>
  <c r="Z35" i="11"/>
  <c r="AA35" i="11"/>
  <c r="AB35" i="11"/>
  <c r="AC35" i="11"/>
  <c r="AD35" i="11"/>
  <c r="AE35" i="11"/>
  <c r="AF35" i="11"/>
  <c r="Z36" i="11"/>
  <c r="AA36" i="11"/>
  <c r="AB36" i="11"/>
  <c r="AC36" i="11"/>
  <c r="AD36" i="11"/>
  <c r="AE36" i="11"/>
  <c r="AF36" i="11"/>
  <c r="Z37" i="11"/>
  <c r="AA37" i="11"/>
  <c r="AB37" i="11"/>
  <c r="AC37" i="11"/>
  <c r="AD37" i="11"/>
  <c r="AE37" i="11"/>
  <c r="AF37" i="11"/>
  <c r="Z38" i="11"/>
  <c r="AA38" i="11"/>
  <c r="AB38" i="11"/>
  <c r="AC38" i="11"/>
  <c r="AD38" i="11"/>
  <c r="AE38" i="11"/>
  <c r="AF38" i="11"/>
  <c r="Z39" i="11"/>
  <c r="AA39" i="11"/>
  <c r="AB39" i="11"/>
  <c r="AC39" i="11"/>
  <c r="AD39" i="11"/>
  <c r="AE39" i="11"/>
  <c r="AF39" i="11"/>
  <c r="Z40" i="11"/>
  <c r="AA40" i="11"/>
  <c r="AB40" i="11"/>
  <c r="AC40" i="11"/>
  <c r="AD40" i="11"/>
  <c r="AE40" i="11"/>
  <c r="AF40" i="11"/>
  <c r="Z41" i="11"/>
  <c r="AA41" i="11"/>
  <c r="AB41" i="11"/>
  <c r="AC41" i="11"/>
  <c r="AD41" i="11"/>
  <c r="AE41" i="11"/>
  <c r="AF41" i="11"/>
  <c r="Z42" i="11"/>
  <c r="AA42" i="11"/>
  <c r="AB42" i="11"/>
  <c r="AC42" i="11"/>
  <c r="AD42" i="11"/>
  <c r="AE42" i="11"/>
  <c r="AF42" i="11"/>
  <c r="Z43" i="11"/>
  <c r="AA43" i="11"/>
  <c r="AB43" i="11"/>
  <c r="AC43" i="11"/>
  <c r="AD43" i="11"/>
  <c r="AE43" i="11"/>
  <c r="AF43" i="11"/>
  <c r="Z44" i="11"/>
  <c r="AA44" i="11"/>
  <c r="AB44" i="11"/>
  <c r="AC44" i="11"/>
  <c r="AD44" i="11"/>
  <c r="AE44" i="11"/>
  <c r="AF44" i="11"/>
  <c r="Z45" i="11"/>
  <c r="AA45" i="11"/>
  <c r="AB45" i="11"/>
  <c r="AC45" i="11"/>
  <c r="AD45" i="11"/>
  <c r="AE45" i="11"/>
  <c r="AF45" i="11"/>
  <c r="Z46" i="11"/>
  <c r="AA46" i="11"/>
  <c r="AB46" i="11"/>
  <c r="AC46" i="11"/>
  <c r="AD46" i="11"/>
  <c r="AE46" i="11"/>
  <c r="AF46" i="11"/>
  <c r="Z47" i="11"/>
  <c r="AA47" i="11"/>
  <c r="AB47" i="11"/>
  <c r="AC47" i="11"/>
  <c r="AD47" i="11"/>
  <c r="AE47" i="11"/>
  <c r="AF47" i="11"/>
  <c r="Z48" i="11"/>
  <c r="AA48" i="11"/>
  <c r="AB48" i="11"/>
  <c r="AC48" i="11"/>
  <c r="AD48" i="11"/>
  <c r="AE48" i="11"/>
  <c r="AF48" i="11"/>
  <c r="Z49" i="11"/>
  <c r="AA49" i="11"/>
  <c r="AB49" i="11"/>
  <c r="AC49" i="11"/>
  <c r="AD49" i="11"/>
  <c r="AE49" i="11"/>
  <c r="AF49" i="11"/>
  <c r="Z50" i="11"/>
  <c r="AA50" i="11"/>
  <c r="AB50" i="11"/>
  <c r="AC50" i="11"/>
  <c r="AD50" i="11"/>
  <c r="AE50" i="11"/>
  <c r="AF50" i="11"/>
  <c r="Z51" i="11"/>
  <c r="AA51" i="11"/>
  <c r="AB51" i="11"/>
  <c r="AC51" i="11"/>
  <c r="AD51" i="11"/>
  <c r="AE51" i="11"/>
  <c r="AF51" i="11"/>
  <c r="Z52" i="11"/>
  <c r="AA52" i="11"/>
  <c r="AB52" i="11"/>
  <c r="AC52" i="11"/>
  <c r="AD52" i="11"/>
  <c r="AE52" i="11"/>
  <c r="AF52" i="11"/>
  <c r="Z53" i="11"/>
  <c r="AA53" i="11"/>
  <c r="AB53" i="11"/>
  <c r="AC53" i="11"/>
  <c r="AD53" i="11"/>
  <c r="AE53" i="11"/>
  <c r="AF53" i="11"/>
  <c r="Z54" i="11"/>
  <c r="AA54" i="11"/>
  <c r="AB54" i="11"/>
  <c r="AC54" i="11"/>
  <c r="AD54" i="11"/>
  <c r="AE54" i="11"/>
  <c r="AF54" i="11"/>
  <c r="Z55" i="11"/>
  <c r="AA55" i="11"/>
  <c r="AB55" i="11"/>
  <c r="AC55" i="11"/>
  <c r="AD55" i="11"/>
  <c r="AE55" i="11"/>
  <c r="AF55" i="11"/>
  <c r="Z56" i="11"/>
  <c r="AA56" i="11"/>
  <c r="AB56" i="11"/>
  <c r="AC56" i="11"/>
  <c r="AD56" i="11"/>
  <c r="AE56" i="11"/>
  <c r="AF56" i="11"/>
  <c r="Z57" i="11"/>
  <c r="AA57" i="11"/>
  <c r="AB57" i="11"/>
  <c r="AC57" i="11"/>
  <c r="AD57" i="11"/>
  <c r="AE57" i="11"/>
  <c r="AF57" i="11"/>
  <c r="Z58" i="11"/>
  <c r="AA58" i="11"/>
  <c r="AB58" i="11"/>
  <c r="AC58" i="11"/>
  <c r="AD58" i="11"/>
  <c r="AE58" i="11"/>
  <c r="AF58" i="11"/>
  <c r="Z59" i="11"/>
  <c r="AA59" i="11"/>
  <c r="AB59" i="11"/>
  <c r="AC59" i="11"/>
  <c r="AD59" i="11"/>
  <c r="AE59" i="11"/>
  <c r="AF59" i="11"/>
  <c r="Z60" i="11"/>
  <c r="AA60" i="11"/>
  <c r="AB60" i="11"/>
  <c r="AC60" i="11"/>
  <c r="AD60" i="11"/>
  <c r="AE60" i="11"/>
  <c r="AF60" i="11"/>
  <c r="Z61" i="11"/>
  <c r="AA61" i="11"/>
  <c r="AB61" i="11"/>
  <c r="AC61" i="11"/>
  <c r="AD61" i="11"/>
  <c r="AE61" i="11"/>
  <c r="AF61" i="11"/>
  <c r="Z62" i="11"/>
  <c r="AA62" i="11"/>
  <c r="AB62" i="11"/>
  <c r="AC62" i="11"/>
  <c r="AD62" i="11"/>
  <c r="AE62" i="11"/>
  <c r="AF62" i="11"/>
  <c r="Z63" i="11"/>
  <c r="AA63" i="11"/>
  <c r="AB63" i="11"/>
  <c r="AC63" i="11"/>
  <c r="AD63" i="11"/>
  <c r="AE63" i="11"/>
  <c r="AF63" i="11"/>
  <c r="Z64" i="11"/>
  <c r="AA64" i="11"/>
  <c r="AB64" i="11"/>
  <c r="AC64" i="11"/>
  <c r="AD64" i="11"/>
  <c r="AE64" i="11"/>
  <c r="AF64" i="11"/>
  <c r="Z65" i="11"/>
  <c r="AA65" i="11"/>
  <c r="AB65" i="11"/>
  <c r="AC65" i="11"/>
  <c r="AD65" i="11"/>
  <c r="AE65" i="11"/>
  <c r="AF65" i="11"/>
  <c r="Z66" i="11"/>
  <c r="AA66" i="11"/>
  <c r="AB66" i="11"/>
  <c r="AC66" i="11"/>
  <c r="AD66" i="11"/>
  <c r="AE66" i="11"/>
  <c r="AF66" i="11"/>
  <c r="Z67" i="11"/>
  <c r="AA67" i="11"/>
  <c r="AB67" i="11"/>
  <c r="AC67" i="11"/>
  <c r="AD67" i="11"/>
  <c r="AE67" i="11"/>
  <c r="AF67" i="11"/>
  <c r="Z68" i="11"/>
  <c r="AA68" i="11"/>
  <c r="AB68" i="11"/>
  <c r="AC68" i="11"/>
  <c r="AD68" i="11"/>
  <c r="AE68" i="11"/>
  <c r="AF68" i="11"/>
  <c r="Z69" i="11"/>
  <c r="AA69" i="11"/>
  <c r="AB69" i="11"/>
  <c r="AC69" i="11"/>
  <c r="AD69" i="11"/>
  <c r="AE69" i="11"/>
  <c r="AF69" i="11"/>
  <c r="Z70" i="11"/>
  <c r="AA70" i="11"/>
  <c r="AB70" i="11"/>
  <c r="AC70" i="11"/>
  <c r="AD70" i="11"/>
  <c r="AE70" i="11"/>
  <c r="AF70" i="11"/>
  <c r="Z71" i="11"/>
  <c r="AA71" i="11"/>
  <c r="AB71" i="11"/>
  <c r="AC71" i="11"/>
  <c r="AD71" i="11"/>
  <c r="AE71" i="11"/>
  <c r="AF71" i="11"/>
  <c r="Z72" i="11"/>
  <c r="AA72" i="11"/>
  <c r="AB72" i="11"/>
  <c r="AC72" i="11"/>
  <c r="AD72" i="11"/>
  <c r="AE72" i="11"/>
  <c r="AF72" i="11"/>
  <c r="Z73" i="11"/>
  <c r="AA73" i="11"/>
  <c r="AB73" i="11"/>
  <c r="AC73" i="11"/>
  <c r="AD73" i="11"/>
  <c r="AE73" i="11"/>
  <c r="AF73" i="11"/>
  <c r="Z74" i="11"/>
  <c r="AA74" i="11"/>
  <c r="AB74" i="11"/>
  <c r="AC74" i="11"/>
  <c r="AD74" i="11"/>
  <c r="AE74" i="11"/>
  <c r="AF74" i="11"/>
  <c r="Z75" i="11"/>
  <c r="AA75" i="11"/>
  <c r="AB75" i="11"/>
  <c r="AC75" i="11"/>
  <c r="AD75" i="11"/>
  <c r="AE75" i="11"/>
  <c r="AF75" i="11"/>
  <c r="Z76" i="11"/>
  <c r="AA76" i="11"/>
  <c r="AB76" i="11"/>
  <c r="AC76" i="11"/>
  <c r="AD76" i="11"/>
  <c r="AE76" i="11"/>
  <c r="AF76" i="11"/>
  <c r="Z77" i="11"/>
  <c r="AA77" i="11"/>
  <c r="AB77" i="11"/>
  <c r="AC77" i="11"/>
  <c r="AD77" i="11"/>
  <c r="AE77" i="11"/>
  <c r="AF77" i="11"/>
  <c r="Z78" i="11"/>
  <c r="AA78" i="11"/>
  <c r="AB78" i="11"/>
  <c r="AC78" i="11"/>
  <c r="AD78" i="11"/>
  <c r="AE78" i="11"/>
  <c r="AF78" i="11"/>
  <c r="Z79" i="11"/>
  <c r="AA79" i="11"/>
  <c r="AB79" i="11"/>
  <c r="AC79" i="11"/>
  <c r="AD79" i="11"/>
  <c r="AE79" i="11"/>
  <c r="AF79" i="11"/>
  <c r="Z80" i="11"/>
  <c r="AA80" i="11"/>
  <c r="AB80" i="11"/>
  <c r="AC80" i="11"/>
  <c r="AD80" i="11"/>
  <c r="AE80" i="11"/>
  <c r="AF80" i="11"/>
  <c r="Z81" i="11"/>
  <c r="AA81" i="11"/>
  <c r="AB81" i="11"/>
  <c r="AC81" i="11"/>
  <c r="AD81" i="11"/>
  <c r="AE81" i="11"/>
  <c r="AF81" i="11"/>
  <c r="Z82" i="11"/>
  <c r="AA82" i="11"/>
  <c r="AB82" i="11"/>
  <c r="AC82" i="11"/>
  <c r="AD82" i="11"/>
  <c r="AE82" i="11"/>
  <c r="AF82" i="11"/>
  <c r="Z83" i="11"/>
  <c r="AA83" i="11"/>
  <c r="AB83" i="11"/>
  <c r="AC83" i="11"/>
  <c r="AD83" i="11"/>
  <c r="AE83" i="11"/>
  <c r="AF83" i="11"/>
  <c r="Z84" i="11"/>
  <c r="AA84" i="11"/>
  <c r="AB84" i="11"/>
  <c r="AC84" i="11"/>
  <c r="AD84" i="11"/>
  <c r="AE84" i="11"/>
  <c r="AF84" i="11"/>
  <c r="Z85" i="11"/>
  <c r="AA85" i="11"/>
  <c r="AB85" i="11"/>
  <c r="AC85" i="11"/>
  <c r="AD85" i="11"/>
  <c r="AE85" i="11"/>
  <c r="AF85" i="11"/>
  <c r="Z86" i="11"/>
  <c r="AA86" i="11"/>
  <c r="AB86" i="11"/>
  <c r="AC86" i="11"/>
  <c r="AD86" i="11"/>
  <c r="AE86" i="11"/>
  <c r="AF86" i="11"/>
  <c r="Z87" i="11"/>
  <c r="AA87" i="11"/>
  <c r="AB87" i="11"/>
  <c r="AC87" i="11"/>
  <c r="AD87" i="11"/>
  <c r="AE87" i="11"/>
  <c r="AF87" i="11"/>
  <c r="Z88" i="11"/>
  <c r="AA88" i="11"/>
  <c r="AB88" i="11"/>
  <c r="AC88" i="11"/>
  <c r="AD88" i="11"/>
  <c r="AE88" i="11"/>
  <c r="AF88" i="11"/>
  <c r="Z89" i="11"/>
  <c r="AA89" i="11"/>
  <c r="AB89" i="11"/>
  <c r="AC89" i="11"/>
  <c r="AD89" i="11"/>
  <c r="AE89" i="11"/>
  <c r="AF89" i="11"/>
  <c r="Z90" i="11"/>
  <c r="AA90" i="11"/>
  <c r="AB90" i="11"/>
  <c r="AC90" i="11"/>
  <c r="AD90" i="11"/>
  <c r="AE90" i="11"/>
  <c r="AF90" i="11"/>
  <c r="Z91" i="11"/>
  <c r="AA91" i="11"/>
  <c r="AB91" i="11"/>
  <c r="AC91" i="11"/>
  <c r="AD91" i="11"/>
  <c r="AE91" i="11"/>
  <c r="AF91" i="11"/>
  <c r="Z92" i="11"/>
  <c r="AA92" i="11"/>
  <c r="AB92" i="11"/>
  <c r="AC92" i="11"/>
  <c r="AD92" i="11"/>
  <c r="AE92" i="11"/>
  <c r="AF92" i="11"/>
  <c r="Z93" i="11"/>
  <c r="AA93" i="11"/>
  <c r="AB93" i="11"/>
  <c r="AC93" i="11"/>
  <c r="AD93" i="11"/>
  <c r="AE93" i="11"/>
  <c r="AF93" i="11"/>
  <c r="Z94" i="11"/>
  <c r="AA94" i="11"/>
  <c r="AB94" i="11"/>
  <c r="AC94" i="11"/>
  <c r="AD94" i="11"/>
  <c r="AE94" i="11"/>
  <c r="AF94" i="11"/>
  <c r="Z95" i="11"/>
  <c r="AA95" i="11"/>
  <c r="AB95" i="11"/>
  <c r="AC95" i="11"/>
  <c r="AD95" i="11"/>
  <c r="AE95" i="11"/>
  <c r="AF95" i="11"/>
  <c r="Z96" i="11"/>
  <c r="AA96" i="11"/>
  <c r="AB96" i="11"/>
  <c r="AC96" i="11"/>
  <c r="AD96" i="11"/>
  <c r="AE96" i="11"/>
  <c r="AF96" i="11"/>
  <c r="Z97" i="11"/>
  <c r="AA97" i="11"/>
  <c r="AB97" i="11"/>
  <c r="AC97" i="11"/>
  <c r="AD97" i="11"/>
  <c r="AE97" i="11"/>
  <c r="AF97" i="11"/>
  <c r="Z98" i="11"/>
  <c r="AA98" i="11"/>
  <c r="AB98" i="11"/>
  <c r="AC98" i="11"/>
  <c r="AD98" i="11"/>
  <c r="AE98" i="11"/>
  <c r="AF98" i="11"/>
  <c r="Z99" i="11"/>
  <c r="AA99" i="11"/>
  <c r="AB99" i="11"/>
  <c r="AC99" i="11"/>
  <c r="AD99" i="11"/>
  <c r="AE99" i="11"/>
  <c r="AF99" i="11"/>
  <c r="Z100" i="11"/>
  <c r="AA100" i="11"/>
  <c r="AB100" i="11"/>
  <c r="AC100" i="11"/>
  <c r="AD100" i="11"/>
  <c r="AE100" i="11"/>
  <c r="AF100" i="11"/>
  <c r="Z101" i="11"/>
  <c r="AA101" i="11"/>
  <c r="AB101" i="11"/>
  <c r="AC101" i="11"/>
  <c r="AD101" i="11"/>
  <c r="AE101" i="11"/>
  <c r="AF101" i="11"/>
  <c r="Z102" i="11"/>
  <c r="AA102" i="11"/>
  <c r="AB102" i="11"/>
  <c r="AC102" i="11"/>
  <c r="AD102" i="11"/>
  <c r="AE102" i="11"/>
  <c r="AF102" i="11"/>
  <c r="Z103" i="11"/>
  <c r="AA103" i="11"/>
  <c r="AB103" i="11"/>
  <c r="AC103" i="11"/>
  <c r="AD103" i="11"/>
  <c r="AE103" i="11"/>
  <c r="AF103" i="11"/>
  <c r="Z104" i="11"/>
  <c r="AA104" i="11"/>
  <c r="AB104" i="11"/>
  <c r="AC104" i="11"/>
  <c r="AD104" i="11"/>
  <c r="AE104" i="11"/>
  <c r="AF104" i="11"/>
  <c r="Z105" i="11"/>
  <c r="AA105" i="11"/>
  <c r="AB105" i="11"/>
  <c r="AC105" i="11"/>
  <c r="AD105" i="11"/>
  <c r="AE105" i="11"/>
  <c r="AF105" i="11"/>
  <c r="Z106" i="11"/>
  <c r="AA106" i="11"/>
  <c r="AB106" i="11"/>
  <c r="AC106" i="11"/>
  <c r="AD106" i="11"/>
  <c r="AE106" i="11"/>
  <c r="AF106" i="11"/>
  <c r="Z107" i="11"/>
  <c r="AA107" i="11"/>
  <c r="AB107" i="11"/>
  <c r="AC107" i="11"/>
  <c r="AD107" i="11"/>
  <c r="AE107" i="11"/>
  <c r="AF107" i="11"/>
  <c r="Z108" i="11"/>
  <c r="AA108" i="11"/>
  <c r="AB108" i="11"/>
  <c r="AC108" i="11"/>
  <c r="AD108" i="11"/>
  <c r="AE108" i="11"/>
  <c r="AF108" i="11"/>
  <c r="Z109" i="11"/>
  <c r="AA109" i="11"/>
  <c r="AB109" i="11"/>
  <c r="AC109" i="11"/>
  <c r="AD109" i="11"/>
  <c r="AE109" i="11"/>
  <c r="AF109" i="11"/>
  <c r="Z110" i="11"/>
  <c r="AA110" i="11"/>
  <c r="AB110" i="11"/>
  <c r="AC110" i="11"/>
  <c r="AD110" i="11"/>
  <c r="AE110" i="11"/>
  <c r="AF110" i="11"/>
  <c r="Z111" i="11"/>
  <c r="AA111" i="11"/>
  <c r="AB111" i="11"/>
  <c r="AC111" i="11"/>
  <c r="AD111" i="11"/>
  <c r="AE111" i="11"/>
  <c r="AF111" i="11"/>
  <c r="Z112" i="11"/>
  <c r="AA112" i="11"/>
  <c r="AB112" i="11"/>
  <c r="AC112" i="11"/>
  <c r="AD112" i="11"/>
  <c r="AE112" i="11"/>
  <c r="AF112" i="11"/>
  <c r="Z113" i="11"/>
  <c r="AA113" i="11"/>
  <c r="AB113" i="11"/>
  <c r="AC113" i="11"/>
  <c r="AD113" i="11"/>
  <c r="AE113" i="11"/>
  <c r="AF113" i="11"/>
  <c r="Z114" i="11"/>
  <c r="AA114" i="11"/>
  <c r="AB114" i="11"/>
  <c r="AC114" i="11"/>
  <c r="AD114" i="11"/>
  <c r="AE114" i="11"/>
  <c r="AF114" i="11"/>
  <c r="Z115" i="11"/>
  <c r="AA115" i="11"/>
  <c r="AB115" i="11"/>
  <c r="AC115" i="11"/>
  <c r="AD115" i="11"/>
  <c r="AE115" i="11"/>
  <c r="AF115" i="11"/>
  <c r="Z116" i="11"/>
  <c r="AA116" i="11"/>
  <c r="AB116" i="11"/>
  <c r="AC116" i="11"/>
  <c r="AD116" i="11"/>
  <c r="AE116" i="11"/>
  <c r="AF116" i="11"/>
  <c r="Z117" i="11"/>
  <c r="AA117" i="11"/>
  <c r="AB117" i="11"/>
  <c r="AC117" i="11"/>
  <c r="AD117" i="11"/>
  <c r="AE117" i="11"/>
  <c r="AF117" i="11"/>
  <c r="Z118" i="11"/>
  <c r="AA118" i="11"/>
  <c r="AB118" i="11"/>
  <c r="AC118" i="11"/>
  <c r="AD118" i="11"/>
  <c r="AE118" i="11"/>
  <c r="AF118" i="11"/>
  <c r="Z119" i="11"/>
  <c r="AA119" i="11"/>
  <c r="AB119" i="11"/>
  <c r="AC119" i="11"/>
  <c r="AD119" i="11"/>
  <c r="AE119" i="11"/>
  <c r="AF119" i="11"/>
  <c r="Z120" i="11"/>
  <c r="AA120" i="11"/>
  <c r="AB120" i="11"/>
  <c r="AC120" i="11"/>
  <c r="AD120" i="11"/>
  <c r="AE120" i="11"/>
  <c r="AF120" i="11"/>
  <c r="Z121" i="11"/>
  <c r="AA121" i="11"/>
  <c r="AB121" i="11"/>
  <c r="AC121" i="11"/>
  <c r="AD121" i="11"/>
  <c r="AE121" i="11"/>
  <c r="AF121" i="11"/>
  <c r="Z122" i="11"/>
  <c r="AA122" i="11"/>
  <c r="AB122" i="11"/>
  <c r="AC122" i="11"/>
  <c r="AD122" i="11"/>
  <c r="AE122" i="11"/>
  <c r="AF122" i="11"/>
  <c r="Z123" i="11"/>
  <c r="AA123" i="11"/>
  <c r="AB123" i="11"/>
  <c r="AC123" i="11"/>
  <c r="AD123" i="11"/>
  <c r="AE123" i="11"/>
  <c r="AF123" i="11"/>
  <c r="Z124" i="11"/>
  <c r="AA124" i="11"/>
  <c r="AB124" i="11"/>
  <c r="AC124" i="11"/>
  <c r="AD124" i="11"/>
  <c r="AE124" i="11"/>
  <c r="AF124" i="11"/>
  <c r="Z125" i="11"/>
  <c r="AA125" i="11"/>
  <c r="AB125" i="11"/>
  <c r="AC125" i="11"/>
  <c r="AD125" i="11"/>
  <c r="AE125" i="11"/>
  <c r="AF125" i="11"/>
  <c r="Z126" i="11"/>
  <c r="AA126" i="11"/>
  <c r="AB126" i="11"/>
  <c r="AC126" i="11"/>
  <c r="AD126" i="11"/>
  <c r="AE126" i="11"/>
  <c r="AF126" i="11"/>
  <c r="Z127" i="11"/>
  <c r="AA127" i="11"/>
  <c r="AB127" i="11"/>
  <c r="AC127" i="11"/>
  <c r="AD127" i="11"/>
  <c r="AE127" i="11"/>
  <c r="AF127" i="11"/>
  <c r="Z128" i="11"/>
  <c r="AA128" i="11"/>
  <c r="AB128" i="11"/>
  <c r="AC128" i="11"/>
  <c r="AD128" i="11"/>
  <c r="AE128" i="11"/>
  <c r="AF128" i="11"/>
  <c r="Z129" i="11"/>
  <c r="AA129" i="11"/>
  <c r="AB129" i="11"/>
  <c r="AC129" i="11"/>
  <c r="AD129" i="11"/>
  <c r="AE129" i="11"/>
  <c r="AF129" i="11"/>
  <c r="Z130" i="11"/>
  <c r="AA130" i="11"/>
  <c r="AB130" i="11"/>
  <c r="AC130" i="11"/>
  <c r="AD130" i="11"/>
  <c r="AE130" i="11"/>
  <c r="AF130" i="11"/>
  <c r="Z131" i="11"/>
  <c r="AA131" i="11"/>
  <c r="AB131" i="11"/>
  <c r="AC131" i="11"/>
  <c r="AD131" i="11"/>
  <c r="AE131" i="11"/>
  <c r="AF131" i="11"/>
  <c r="Z132" i="11"/>
  <c r="AA132" i="11"/>
  <c r="AB132" i="11"/>
  <c r="AC132" i="11"/>
  <c r="AD132" i="11"/>
  <c r="AE132" i="11"/>
  <c r="AF132" i="11"/>
  <c r="Z133" i="11"/>
  <c r="AA133" i="11"/>
  <c r="AB133" i="11"/>
  <c r="AC133" i="11"/>
  <c r="AD133" i="11"/>
  <c r="AE133" i="11"/>
  <c r="AF133" i="11"/>
  <c r="Z134" i="11"/>
  <c r="AA134" i="11"/>
  <c r="AB134" i="11"/>
  <c r="AC134" i="11"/>
  <c r="AD134" i="11"/>
  <c r="AE134" i="11"/>
  <c r="AF134" i="11"/>
  <c r="Z135" i="11"/>
  <c r="AA135" i="11"/>
  <c r="AB135" i="11"/>
  <c r="AC135" i="11"/>
  <c r="AD135" i="11"/>
  <c r="AE135" i="11"/>
  <c r="AF135" i="11"/>
  <c r="Z136" i="11"/>
  <c r="AA136" i="11"/>
  <c r="AB136" i="11"/>
  <c r="AC136" i="11"/>
  <c r="AD136" i="11"/>
  <c r="AE136" i="11"/>
  <c r="AF136" i="11"/>
  <c r="Z137" i="11"/>
  <c r="AA137" i="11"/>
  <c r="AB137" i="11"/>
  <c r="AC137" i="11"/>
  <c r="AD137" i="11"/>
  <c r="AE137" i="11"/>
  <c r="AF137" i="11"/>
  <c r="Z138" i="11"/>
  <c r="AA138" i="11"/>
  <c r="AB138" i="11"/>
  <c r="AC138" i="11"/>
  <c r="AD138" i="11"/>
  <c r="AE138" i="11"/>
  <c r="AF138" i="11"/>
  <c r="Z139" i="11"/>
  <c r="AA139" i="11"/>
  <c r="AB139" i="11"/>
  <c r="AC139" i="11"/>
  <c r="AD139" i="11"/>
  <c r="AE139" i="11"/>
  <c r="AF139" i="11"/>
  <c r="Z140" i="11"/>
  <c r="AA140" i="11"/>
  <c r="AB140" i="11"/>
  <c r="AC140" i="11"/>
  <c r="AD140" i="11"/>
  <c r="AE140" i="11"/>
  <c r="AF140" i="11"/>
  <c r="Z141" i="11"/>
  <c r="AA141" i="11"/>
  <c r="AB141" i="11"/>
  <c r="AC141" i="11"/>
  <c r="AD141" i="11"/>
  <c r="AE141" i="11"/>
  <c r="AF141" i="11"/>
  <c r="Z142" i="11"/>
  <c r="AA142" i="11"/>
  <c r="AB142" i="11"/>
  <c r="AC142" i="11"/>
  <c r="AD142" i="11"/>
  <c r="AE142" i="11"/>
  <c r="AF142" i="11"/>
  <c r="Z143" i="11"/>
  <c r="AA143" i="11"/>
  <c r="AB143" i="11"/>
  <c r="AC143" i="11"/>
  <c r="AD143" i="11"/>
  <c r="AE143" i="11"/>
  <c r="AF143" i="11"/>
  <c r="Z144" i="11"/>
  <c r="AA144" i="11"/>
  <c r="AB144" i="11"/>
  <c r="AC144" i="11"/>
  <c r="AD144" i="11"/>
  <c r="AE144" i="11"/>
  <c r="AF144" i="11"/>
  <c r="Z145" i="11"/>
  <c r="AA145" i="11"/>
  <c r="AB145" i="11"/>
  <c r="AC145" i="11"/>
  <c r="AD145" i="11"/>
  <c r="AE145" i="11"/>
  <c r="AF145" i="11"/>
  <c r="Z146" i="11"/>
  <c r="AA146" i="11"/>
  <c r="AB146" i="11"/>
  <c r="AC146" i="11"/>
  <c r="AD146" i="11"/>
  <c r="AE146" i="11"/>
  <c r="AF146" i="11"/>
  <c r="Z147" i="11"/>
  <c r="AA147" i="11"/>
  <c r="AB147" i="11"/>
  <c r="AC147" i="11"/>
  <c r="AD147" i="11"/>
  <c r="AE147" i="11"/>
  <c r="AF147" i="11"/>
  <c r="Z148" i="11"/>
  <c r="AA148" i="11"/>
  <c r="AB148" i="11"/>
  <c r="AC148" i="11"/>
  <c r="AD148" i="11"/>
  <c r="AE148" i="11"/>
  <c r="AF148" i="11"/>
  <c r="Z149" i="11"/>
  <c r="AA149" i="11"/>
  <c r="AB149" i="11"/>
  <c r="AC149" i="11"/>
  <c r="AD149" i="11"/>
  <c r="AE149" i="11"/>
  <c r="AF149" i="11"/>
  <c r="Z150" i="11"/>
  <c r="AA150" i="11"/>
  <c r="AB150" i="11"/>
  <c r="AC150" i="11"/>
  <c r="AD150" i="11"/>
  <c r="AE150" i="11"/>
  <c r="AF150" i="11"/>
  <c r="Z151" i="11"/>
  <c r="AA151" i="11"/>
  <c r="AB151" i="11"/>
  <c r="AC151" i="11"/>
  <c r="AD151" i="11"/>
  <c r="AE151" i="11"/>
  <c r="AF151" i="11"/>
  <c r="Z152" i="11"/>
  <c r="AA152" i="11"/>
  <c r="AB152" i="11"/>
  <c r="AC152" i="11"/>
  <c r="AD152" i="11"/>
  <c r="AE152" i="11"/>
  <c r="AF152" i="11"/>
  <c r="Z153" i="11"/>
  <c r="AA153" i="11"/>
  <c r="AB153" i="11"/>
  <c r="AC153" i="11"/>
  <c r="AD153" i="11"/>
  <c r="AE153" i="11"/>
  <c r="AF153" i="11"/>
  <c r="Z154" i="11"/>
  <c r="AA154" i="11"/>
  <c r="AB154" i="11"/>
  <c r="AC154" i="11"/>
  <c r="AD154" i="11"/>
  <c r="AE154" i="11"/>
  <c r="AF154" i="11"/>
  <c r="Z155" i="11"/>
  <c r="AA155" i="11"/>
  <c r="AB155" i="11"/>
  <c r="AC155" i="11"/>
  <c r="AD155" i="11"/>
  <c r="AE155" i="11"/>
  <c r="AF155" i="11"/>
  <c r="Z156" i="11"/>
  <c r="AA156" i="11"/>
  <c r="AB156" i="11"/>
  <c r="AC156" i="11"/>
  <c r="AD156" i="11"/>
  <c r="AE156" i="11"/>
  <c r="AF156" i="11"/>
  <c r="Z157" i="11"/>
  <c r="AA157" i="11"/>
  <c r="AB157" i="11"/>
  <c r="AC157" i="11"/>
  <c r="AD157" i="11"/>
  <c r="AE157" i="11"/>
  <c r="AF157" i="11"/>
  <c r="Z158" i="11"/>
  <c r="AA158" i="11"/>
  <c r="AB158" i="11"/>
  <c r="AC158" i="11"/>
  <c r="AD158" i="11"/>
  <c r="AE158" i="11"/>
  <c r="AF158" i="11"/>
  <c r="Z159" i="11"/>
  <c r="AA159" i="11"/>
  <c r="AB159" i="11"/>
  <c r="AC159" i="11"/>
  <c r="AD159" i="11"/>
  <c r="AE159" i="11"/>
  <c r="AF159" i="11"/>
  <c r="Z160" i="11"/>
  <c r="AA160" i="11"/>
  <c r="AB160" i="11"/>
  <c r="AC160" i="11"/>
  <c r="AD160" i="11"/>
  <c r="AE160" i="11"/>
  <c r="AF160" i="11"/>
  <c r="Z161" i="11"/>
  <c r="AA161" i="11"/>
  <c r="AB161" i="11"/>
  <c r="AC161" i="11"/>
  <c r="AD161" i="11"/>
  <c r="AE161" i="11"/>
  <c r="AF161" i="11"/>
  <c r="Z162" i="11"/>
  <c r="AA162" i="11"/>
  <c r="AB162" i="11"/>
  <c r="AC162" i="11"/>
  <c r="AD162" i="11"/>
  <c r="AE162" i="11"/>
  <c r="AF162" i="11"/>
  <c r="Z163" i="11"/>
  <c r="AA163" i="11"/>
  <c r="AB163" i="11"/>
  <c r="AC163" i="11"/>
  <c r="AD163" i="11"/>
  <c r="AE163" i="11"/>
  <c r="AF163" i="11"/>
  <c r="Z164" i="11"/>
  <c r="AA164" i="11"/>
  <c r="AB164" i="11"/>
  <c r="AC164" i="11"/>
  <c r="AD164" i="11"/>
  <c r="AE164" i="11"/>
  <c r="AF164" i="11"/>
  <c r="Z165" i="11"/>
  <c r="AA165" i="11"/>
  <c r="AB165" i="11"/>
  <c r="AC165" i="11"/>
  <c r="AD165" i="11"/>
  <c r="AE165" i="11"/>
  <c r="AF165" i="11"/>
  <c r="Z166" i="11"/>
  <c r="AA166" i="11"/>
  <c r="AB166" i="11"/>
  <c r="AC166" i="11"/>
  <c r="AD166" i="11"/>
  <c r="AE166" i="11"/>
  <c r="AF166" i="11"/>
  <c r="Z167" i="11"/>
  <c r="AA167" i="11"/>
  <c r="AB167" i="11"/>
  <c r="AC167" i="11"/>
  <c r="AD167" i="11"/>
  <c r="AE167" i="11"/>
  <c r="AF167" i="11"/>
  <c r="Z168" i="11"/>
  <c r="AA168" i="11"/>
  <c r="AB168" i="11"/>
  <c r="AC168" i="11"/>
  <c r="AD168" i="11"/>
  <c r="AE168" i="11"/>
  <c r="AF168" i="11"/>
  <c r="Z169" i="11"/>
  <c r="AA169" i="11"/>
  <c r="AB169" i="11"/>
  <c r="AC169" i="11"/>
  <c r="AD169" i="11"/>
  <c r="AE169" i="11"/>
  <c r="AF169" i="11"/>
  <c r="Z170" i="11"/>
  <c r="AA170" i="11"/>
  <c r="AB170" i="11"/>
  <c r="AC170" i="11"/>
  <c r="AD170" i="11"/>
  <c r="AE170" i="11"/>
  <c r="AF170" i="11"/>
  <c r="Z171" i="11"/>
  <c r="AA171" i="11"/>
  <c r="AB171" i="11"/>
  <c r="AC171" i="11"/>
  <c r="AD171" i="11"/>
  <c r="AE171" i="11"/>
  <c r="AF171" i="11"/>
  <c r="Z172" i="11"/>
  <c r="AA172" i="11"/>
  <c r="AB172" i="11"/>
  <c r="AC172" i="11"/>
  <c r="AD172" i="11"/>
  <c r="AE172" i="11"/>
  <c r="AF172" i="11"/>
  <c r="Z173" i="11"/>
  <c r="AA173" i="11"/>
  <c r="AB173" i="11"/>
  <c r="AC173" i="11"/>
  <c r="AD173" i="11"/>
  <c r="AE173" i="11"/>
  <c r="AF173" i="11"/>
  <c r="Z174" i="11"/>
  <c r="AA174" i="11"/>
  <c r="AB174" i="11"/>
  <c r="AC174" i="11"/>
  <c r="AD174" i="11"/>
  <c r="AE174" i="11"/>
  <c r="AF174" i="11"/>
  <c r="Z175" i="11"/>
  <c r="AA175" i="11"/>
  <c r="AB175" i="11"/>
  <c r="AC175" i="11"/>
  <c r="AD175" i="11"/>
  <c r="AE175" i="11"/>
  <c r="AF175" i="11"/>
  <c r="Z176" i="11"/>
  <c r="AA176" i="11"/>
  <c r="AB176" i="11"/>
  <c r="AC176" i="11"/>
  <c r="AD176" i="11"/>
  <c r="AE176" i="11"/>
  <c r="AF176" i="11"/>
  <c r="Z177" i="11"/>
  <c r="AA177" i="11"/>
  <c r="AB177" i="11"/>
  <c r="AC177" i="11"/>
  <c r="AD177" i="11"/>
  <c r="AE177" i="11"/>
  <c r="AF177" i="11"/>
  <c r="Z178" i="11"/>
  <c r="AA178" i="11"/>
  <c r="AB178" i="11"/>
  <c r="AC178" i="11"/>
  <c r="AD178" i="11"/>
  <c r="AE178" i="11"/>
  <c r="AF178" i="11"/>
  <c r="Z179" i="11"/>
  <c r="AA179" i="11"/>
  <c r="AB179" i="11"/>
  <c r="AC179" i="11"/>
  <c r="AD179" i="11"/>
  <c r="AE179" i="11"/>
  <c r="AF179" i="11"/>
  <c r="Z180" i="11"/>
  <c r="AA180" i="11"/>
  <c r="AB180" i="11"/>
  <c r="AC180" i="11"/>
  <c r="AD180" i="11"/>
  <c r="AE180" i="11"/>
  <c r="AF180" i="11"/>
  <c r="Z181" i="11"/>
  <c r="AA181" i="11"/>
  <c r="AB181" i="11"/>
  <c r="AC181" i="11"/>
  <c r="AD181" i="11"/>
  <c r="AE181" i="11"/>
  <c r="AF181" i="11"/>
  <c r="Z182" i="11"/>
  <c r="AA182" i="11"/>
  <c r="AB182" i="11"/>
  <c r="AC182" i="11"/>
  <c r="AD182" i="11"/>
  <c r="AE182" i="11"/>
  <c r="AF182" i="11"/>
  <c r="Z183" i="11"/>
  <c r="AA183" i="11"/>
  <c r="AB183" i="11"/>
  <c r="AC183" i="11"/>
  <c r="AD183" i="11"/>
  <c r="AE183" i="11"/>
  <c r="AF183" i="11"/>
  <c r="Z184" i="11"/>
  <c r="AA184" i="11"/>
  <c r="AB184" i="11"/>
  <c r="AC184" i="11"/>
  <c r="AD184" i="11"/>
  <c r="AE184" i="11"/>
  <c r="AF184" i="11"/>
  <c r="Z185" i="11"/>
  <c r="AA185" i="11"/>
  <c r="AB185" i="11"/>
  <c r="AC185" i="11"/>
  <c r="AD185" i="11"/>
  <c r="AE185" i="11"/>
  <c r="AF185" i="11"/>
  <c r="Z186" i="11"/>
  <c r="AA186" i="11"/>
  <c r="AB186" i="11"/>
  <c r="AC186" i="11"/>
  <c r="AD186" i="11"/>
  <c r="AE186" i="11"/>
  <c r="AF186" i="11"/>
  <c r="Z187" i="11"/>
  <c r="AA187" i="11"/>
  <c r="AB187" i="11"/>
  <c r="AC187" i="11"/>
  <c r="AD187" i="11"/>
  <c r="AE187" i="11"/>
  <c r="AF187" i="11"/>
  <c r="Z188" i="11"/>
  <c r="AA188" i="11"/>
  <c r="AB188" i="11"/>
  <c r="AC188" i="11"/>
  <c r="AD188" i="11"/>
  <c r="AE188" i="11"/>
  <c r="AF188" i="11"/>
  <c r="Z189" i="11"/>
  <c r="AA189" i="11"/>
  <c r="AB189" i="11"/>
  <c r="AC189" i="11"/>
  <c r="AD189" i="11"/>
  <c r="AE189" i="11"/>
  <c r="AF189" i="11"/>
  <c r="Z190" i="11"/>
  <c r="AA190" i="11"/>
  <c r="AB190" i="11"/>
  <c r="AC190" i="11"/>
  <c r="AD190" i="11"/>
  <c r="AE190" i="11"/>
  <c r="AF190" i="11"/>
  <c r="Z191" i="11"/>
  <c r="AA191" i="11"/>
  <c r="AB191" i="11"/>
  <c r="AC191" i="11"/>
  <c r="AD191" i="11"/>
  <c r="AE191" i="11"/>
  <c r="AF191" i="11"/>
  <c r="Z192" i="11"/>
  <c r="AA192" i="11"/>
  <c r="AB192" i="11"/>
  <c r="AC192" i="11"/>
  <c r="AD192" i="11"/>
  <c r="AE192" i="11"/>
  <c r="AF192" i="11"/>
  <c r="Z193" i="11"/>
  <c r="AA193" i="11"/>
  <c r="AB193" i="11"/>
  <c r="AC193" i="11"/>
  <c r="AD193" i="11"/>
  <c r="AE193" i="11"/>
  <c r="AF193" i="11"/>
  <c r="Z194" i="11"/>
  <c r="AA194" i="11"/>
  <c r="AB194" i="11"/>
  <c r="AC194" i="11"/>
  <c r="AD194" i="11"/>
  <c r="AE194" i="11"/>
  <c r="AF194" i="11"/>
  <c r="Z195" i="11"/>
  <c r="AA195" i="11"/>
  <c r="AB195" i="11"/>
  <c r="AC195" i="11"/>
  <c r="AD195" i="11"/>
  <c r="AE195" i="11"/>
  <c r="AF195" i="11"/>
  <c r="Z196" i="11"/>
  <c r="AA196" i="11"/>
  <c r="AB196" i="11"/>
  <c r="AC196" i="11"/>
  <c r="AD196" i="11"/>
  <c r="AE196" i="11"/>
  <c r="AF196" i="11"/>
  <c r="Z197" i="11"/>
  <c r="AA197" i="11"/>
  <c r="AB197" i="11"/>
  <c r="AC197" i="11"/>
  <c r="AD197" i="11"/>
  <c r="AE197" i="11"/>
  <c r="AF197" i="11"/>
  <c r="Z198" i="11"/>
  <c r="AA198" i="11"/>
  <c r="AB198" i="11"/>
  <c r="AC198" i="11"/>
  <c r="AD198" i="11"/>
  <c r="AE198" i="11"/>
  <c r="AF198" i="11"/>
  <c r="Z199" i="11"/>
  <c r="AA199" i="11"/>
  <c r="AB199" i="11"/>
  <c r="AC199" i="11"/>
  <c r="AD199" i="11"/>
  <c r="AE199" i="11"/>
  <c r="AF199" i="11"/>
  <c r="Z200" i="11"/>
  <c r="AA200" i="11"/>
  <c r="AB200" i="11"/>
  <c r="AC200" i="11"/>
  <c r="AD200" i="11"/>
  <c r="AE200" i="11"/>
  <c r="AF200" i="11"/>
  <c r="Z201" i="11"/>
  <c r="AA201" i="11"/>
  <c r="AB201" i="11"/>
  <c r="AC201" i="11"/>
  <c r="AD201" i="11"/>
  <c r="AE201" i="11"/>
  <c r="AF201" i="11"/>
  <c r="Z202" i="11"/>
  <c r="AA202" i="11"/>
  <c r="AB202" i="11"/>
  <c r="AC202" i="11"/>
  <c r="AD202" i="11"/>
  <c r="AE202" i="11"/>
  <c r="AF202" i="11"/>
  <c r="Z203" i="11"/>
  <c r="AA203" i="11"/>
  <c r="AB203" i="11"/>
  <c r="AC203" i="11"/>
  <c r="AD203" i="11"/>
  <c r="AE203" i="11"/>
  <c r="AF203" i="11"/>
  <c r="Z204" i="11"/>
  <c r="AA204" i="11"/>
  <c r="AB204" i="11"/>
  <c r="AC204" i="11"/>
  <c r="AD204" i="11"/>
  <c r="AE204" i="11"/>
  <c r="AF204" i="11"/>
  <c r="Z205" i="11"/>
  <c r="AA205" i="11"/>
  <c r="AB205" i="11"/>
  <c r="AC205" i="11"/>
  <c r="AD205" i="11"/>
  <c r="AE205" i="11"/>
  <c r="AF205" i="11"/>
  <c r="Z206" i="11"/>
  <c r="AA206" i="11"/>
  <c r="AB206" i="11"/>
  <c r="AC206" i="11"/>
  <c r="AD206" i="11"/>
  <c r="AE206" i="11"/>
  <c r="AF206" i="11"/>
  <c r="Z207" i="11"/>
  <c r="AA207" i="11"/>
  <c r="AB207" i="11"/>
  <c r="AC207" i="11"/>
  <c r="AD207" i="11"/>
  <c r="AE207" i="11"/>
  <c r="AF207" i="11"/>
  <c r="Z208" i="11"/>
  <c r="AA208" i="11"/>
  <c r="AB208" i="11"/>
  <c r="AC208" i="11"/>
  <c r="AD208" i="11"/>
  <c r="AE208" i="11"/>
  <c r="AF208" i="11"/>
  <c r="Z209" i="11"/>
  <c r="AA209" i="11"/>
  <c r="AB209" i="11"/>
  <c r="AC209" i="11"/>
  <c r="AD209" i="11"/>
  <c r="AE209" i="11"/>
  <c r="AF209" i="11"/>
  <c r="Z210" i="11"/>
  <c r="AA210" i="11"/>
  <c r="AB210" i="11"/>
  <c r="AC210" i="11"/>
  <c r="AD210" i="11"/>
  <c r="AE210" i="11"/>
  <c r="AF210" i="11"/>
  <c r="Z211" i="11"/>
  <c r="AA211" i="11"/>
  <c r="AB211" i="11"/>
  <c r="AC211" i="11"/>
  <c r="AD211" i="11"/>
  <c r="AE211" i="11"/>
  <c r="AF211" i="11"/>
  <c r="Z212" i="11"/>
  <c r="AA212" i="11"/>
  <c r="AB212" i="11"/>
  <c r="AC212" i="11"/>
  <c r="AD212" i="11"/>
  <c r="AE212" i="11"/>
  <c r="AF212" i="11"/>
  <c r="Z213" i="11"/>
  <c r="AA213" i="11"/>
  <c r="AB213" i="11"/>
  <c r="AC213" i="11"/>
  <c r="AD213" i="11"/>
  <c r="AE213" i="11"/>
  <c r="AF213" i="11"/>
  <c r="Z214" i="11"/>
  <c r="AA214" i="11"/>
  <c r="AB214" i="11"/>
  <c r="AC214" i="11"/>
  <c r="AD214" i="11"/>
  <c r="AE214" i="11"/>
  <c r="AF214" i="11"/>
  <c r="Z215" i="11"/>
  <c r="AA215" i="11"/>
  <c r="AB215" i="11"/>
  <c r="AC215" i="11"/>
  <c r="AD215" i="11"/>
  <c r="AE215" i="11"/>
  <c r="AF215" i="11"/>
  <c r="Z216" i="11"/>
  <c r="AA216" i="11"/>
  <c r="AB216" i="11"/>
  <c r="AC216" i="11"/>
  <c r="AD216" i="11"/>
  <c r="AE216" i="11"/>
  <c r="AF216" i="11"/>
  <c r="Z217" i="11"/>
  <c r="AA217" i="11"/>
  <c r="AB217" i="11"/>
  <c r="AC217" i="11"/>
  <c r="AD217" i="11"/>
  <c r="AE217" i="11"/>
  <c r="AF217" i="11"/>
  <c r="Z218" i="11"/>
  <c r="AA218" i="11"/>
  <c r="AB218" i="11"/>
  <c r="AC218" i="11"/>
  <c r="AD218" i="11"/>
  <c r="AE218" i="11"/>
  <c r="AF218" i="11"/>
  <c r="Z219" i="11"/>
  <c r="AA219" i="11"/>
  <c r="AB219" i="11"/>
  <c r="AC219" i="11"/>
  <c r="AD219" i="11"/>
  <c r="AE219" i="11"/>
  <c r="AF219" i="11"/>
  <c r="Z220" i="11"/>
  <c r="AA220" i="11"/>
  <c r="AB220" i="11"/>
  <c r="AC220" i="11"/>
  <c r="AD220" i="11"/>
  <c r="AE220" i="11"/>
  <c r="AF220" i="11"/>
  <c r="Z221" i="11"/>
  <c r="AA221" i="11"/>
  <c r="AB221" i="11"/>
  <c r="AC221" i="11"/>
  <c r="AD221" i="11"/>
  <c r="AE221" i="11"/>
  <c r="AF221" i="11"/>
  <c r="Z222" i="11"/>
  <c r="AA222" i="11"/>
  <c r="AB222" i="11"/>
  <c r="AC222" i="11"/>
  <c r="AD222" i="11"/>
  <c r="AE222" i="11"/>
  <c r="AF222" i="11"/>
  <c r="Z223" i="11"/>
  <c r="AA223" i="11"/>
  <c r="AB223" i="11"/>
  <c r="AC223" i="11"/>
  <c r="AD223" i="11"/>
  <c r="AE223" i="11"/>
  <c r="AF223" i="11"/>
  <c r="Z224" i="11"/>
  <c r="AA224" i="11"/>
  <c r="AB224" i="11"/>
  <c r="AC224" i="11"/>
  <c r="AD224" i="11"/>
  <c r="AE224" i="11"/>
  <c r="AF224" i="11"/>
  <c r="Z225" i="11"/>
  <c r="AA225" i="11"/>
  <c r="AB225" i="11"/>
  <c r="AC225" i="11"/>
  <c r="AD225" i="11"/>
  <c r="AE225" i="11"/>
  <c r="AF225" i="11"/>
  <c r="Z226" i="11"/>
  <c r="AA226" i="11"/>
  <c r="AB226" i="11"/>
  <c r="AC226" i="11"/>
  <c r="AD226" i="11"/>
  <c r="AE226" i="11"/>
  <c r="AF226" i="11"/>
  <c r="Z227" i="11"/>
  <c r="AA227" i="11"/>
  <c r="AB227" i="11"/>
  <c r="AC227" i="11"/>
  <c r="AD227" i="11"/>
  <c r="AE227" i="11"/>
  <c r="AF227" i="11"/>
  <c r="Z228" i="11"/>
  <c r="AA228" i="11"/>
  <c r="AB228" i="11"/>
  <c r="AC228" i="11"/>
  <c r="AD228" i="11"/>
  <c r="AE228" i="11"/>
  <c r="AF228" i="11"/>
  <c r="Z229" i="11"/>
  <c r="AA229" i="11"/>
  <c r="AB229" i="11"/>
  <c r="AC229" i="11"/>
  <c r="AD229" i="11"/>
  <c r="AE229" i="11"/>
  <c r="AF229" i="11"/>
  <c r="Z230" i="11"/>
  <c r="AA230" i="11"/>
  <c r="AB230" i="11"/>
  <c r="AC230" i="11"/>
  <c r="AD230" i="11"/>
  <c r="AE230" i="11"/>
  <c r="AF230" i="11"/>
  <c r="Z231" i="11"/>
  <c r="AA231" i="11"/>
  <c r="AB231" i="11"/>
  <c r="AC231" i="11"/>
  <c r="AD231" i="11"/>
  <c r="AE231" i="11"/>
  <c r="AF231" i="11"/>
  <c r="Z232" i="11"/>
  <c r="AA232" i="11"/>
  <c r="AB232" i="11"/>
  <c r="AC232" i="11"/>
  <c r="AD232" i="11"/>
  <c r="AE232" i="11"/>
  <c r="AF232" i="11"/>
  <c r="Z233" i="11"/>
  <c r="AA233" i="11"/>
  <c r="AB233" i="11"/>
  <c r="AC233" i="11"/>
  <c r="AD233" i="11"/>
  <c r="AE233" i="11"/>
  <c r="AF233" i="11"/>
  <c r="Z234" i="11"/>
  <c r="AA234" i="11"/>
  <c r="AB234" i="11"/>
  <c r="AC234" i="11"/>
  <c r="AD234" i="11"/>
  <c r="AE234" i="11"/>
  <c r="AF234" i="11"/>
  <c r="Z235" i="11"/>
  <c r="AA235" i="11"/>
  <c r="AB235" i="11"/>
  <c r="AC235" i="11"/>
  <c r="AD235" i="11"/>
  <c r="AE235" i="11"/>
  <c r="AF235" i="11"/>
  <c r="Z236" i="11"/>
  <c r="AA236" i="11"/>
  <c r="AB236" i="11"/>
  <c r="AC236" i="11"/>
  <c r="AD236" i="11"/>
  <c r="AE236" i="11"/>
  <c r="AF236" i="11"/>
  <c r="Z237" i="11"/>
  <c r="AA237" i="11"/>
  <c r="AB237" i="11"/>
  <c r="AC237" i="11"/>
  <c r="AD237" i="11"/>
  <c r="AE237" i="11"/>
  <c r="AF237" i="11"/>
  <c r="Z238" i="11"/>
  <c r="AA238" i="11"/>
  <c r="AB238" i="11"/>
  <c r="AC238" i="11"/>
  <c r="AD238" i="11"/>
  <c r="AE238" i="11"/>
  <c r="AF238" i="11"/>
  <c r="Z239" i="11"/>
  <c r="AA239" i="11"/>
  <c r="AB239" i="11"/>
  <c r="AC239" i="11"/>
  <c r="AD239" i="11"/>
  <c r="AE239" i="11"/>
  <c r="AF239" i="11"/>
  <c r="Z240" i="11"/>
  <c r="AA240" i="11"/>
  <c r="AB240" i="11"/>
  <c r="AC240" i="11"/>
  <c r="AD240" i="11"/>
  <c r="AE240" i="11"/>
  <c r="AF240" i="11"/>
  <c r="Z241" i="11"/>
  <c r="AA241" i="11"/>
  <c r="AB241" i="11"/>
  <c r="AC241" i="11"/>
  <c r="AD241" i="11"/>
  <c r="AE241" i="11"/>
  <c r="AF241" i="11"/>
  <c r="Z242" i="11"/>
  <c r="AA242" i="11"/>
  <c r="AB242" i="11"/>
  <c r="AC242" i="11"/>
  <c r="AD242" i="11"/>
  <c r="AE242" i="11"/>
  <c r="AF242" i="11"/>
  <c r="Z243" i="11"/>
  <c r="AA243" i="11"/>
  <c r="AB243" i="11"/>
  <c r="AC243" i="11"/>
  <c r="AD243" i="11"/>
  <c r="AE243" i="11"/>
  <c r="AF243" i="11"/>
  <c r="Z244" i="11"/>
  <c r="AA244" i="11"/>
  <c r="AB244" i="11"/>
  <c r="AC244" i="11"/>
  <c r="AD244" i="11"/>
  <c r="AE244" i="11"/>
  <c r="AF244" i="11"/>
  <c r="Z245" i="11"/>
  <c r="AA245" i="11"/>
  <c r="AB245" i="11"/>
  <c r="AC245" i="11"/>
  <c r="AD245" i="11"/>
  <c r="AE245" i="11"/>
  <c r="AF245" i="11"/>
  <c r="Z246" i="11"/>
  <c r="AA246" i="11"/>
  <c r="AB246" i="11"/>
  <c r="AC246" i="11"/>
  <c r="AD246" i="11"/>
  <c r="AE246" i="11"/>
  <c r="AF246" i="11"/>
  <c r="Z247" i="11"/>
  <c r="AA247" i="11"/>
  <c r="AB247" i="11"/>
  <c r="AC247" i="11"/>
  <c r="AD247" i="11"/>
  <c r="AE247" i="11"/>
  <c r="AF247" i="11"/>
  <c r="Z248" i="11"/>
  <c r="AA248" i="11"/>
  <c r="AB248" i="11"/>
  <c r="AC248" i="11"/>
  <c r="AD248" i="11"/>
  <c r="AE248" i="11"/>
  <c r="AF248" i="11"/>
  <c r="Z249" i="11"/>
  <c r="AA249" i="11"/>
  <c r="AB249" i="11"/>
  <c r="AC249" i="11"/>
  <c r="AD249" i="11"/>
  <c r="AE249" i="11"/>
  <c r="AF249" i="11"/>
  <c r="Z250" i="11"/>
  <c r="AA250" i="11"/>
  <c r="AB250" i="11"/>
  <c r="AC250" i="11"/>
  <c r="AD250" i="11"/>
  <c r="AE250" i="11"/>
  <c r="AF250" i="11"/>
  <c r="Z251" i="11"/>
  <c r="AA251" i="11"/>
  <c r="AB251" i="11"/>
  <c r="AC251" i="11"/>
  <c r="AD251" i="11"/>
  <c r="AE251" i="11"/>
  <c r="AF251" i="11"/>
  <c r="Z252" i="11"/>
  <c r="AA252" i="11"/>
  <c r="AB252" i="11"/>
  <c r="AC252" i="11"/>
  <c r="AD252" i="11"/>
  <c r="AE252" i="11"/>
  <c r="AF252" i="11"/>
  <c r="Z253" i="11"/>
  <c r="AA253" i="11"/>
  <c r="AB253" i="11"/>
  <c r="AC253" i="11"/>
  <c r="AD253" i="11"/>
  <c r="AE253" i="11"/>
  <c r="AF253" i="11"/>
  <c r="Z254" i="11"/>
  <c r="AA254" i="11"/>
  <c r="AB254" i="11"/>
  <c r="AC254" i="11"/>
  <c r="AD254" i="11"/>
  <c r="AE254" i="11"/>
  <c r="AF254" i="11"/>
  <c r="Z255" i="11"/>
  <c r="AA255" i="11"/>
  <c r="AB255" i="11"/>
  <c r="AC255" i="11"/>
  <c r="AD255" i="11"/>
  <c r="AE255" i="11"/>
  <c r="AF255" i="11"/>
  <c r="Z256" i="11"/>
  <c r="AA256" i="11"/>
  <c r="AB256" i="11"/>
  <c r="AC256" i="11"/>
  <c r="AD256" i="11"/>
  <c r="AE256" i="11"/>
  <c r="AF256" i="11"/>
  <c r="Z257" i="11"/>
  <c r="AA257" i="11"/>
  <c r="AB257" i="11"/>
  <c r="AC257" i="11"/>
  <c r="AD257" i="11"/>
  <c r="AE257" i="11"/>
  <c r="AF257" i="11"/>
  <c r="Z258" i="11"/>
  <c r="AA258" i="11"/>
  <c r="AB258" i="11"/>
  <c r="AC258" i="11"/>
  <c r="AD258" i="11"/>
  <c r="AE258" i="11"/>
  <c r="AF258" i="11"/>
  <c r="Z259" i="11"/>
  <c r="AA259" i="11"/>
  <c r="AB259" i="11"/>
  <c r="AC259" i="11"/>
  <c r="AD259" i="11"/>
  <c r="AE259" i="11"/>
  <c r="AF259" i="11"/>
  <c r="Z260" i="11"/>
  <c r="AA260" i="11"/>
  <c r="AB260" i="11"/>
  <c r="AC260" i="11"/>
  <c r="AD260" i="11"/>
  <c r="AE260" i="11"/>
  <c r="AF260" i="11"/>
  <c r="Z261" i="11"/>
  <c r="AA261" i="11"/>
  <c r="AB261" i="11"/>
  <c r="AC261" i="11"/>
  <c r="AD261" i="11"/>
  <c r="AE261" i="11"/>
  <c r="AF261" i="11"/>
  <c r="Z262" i="11"/>
  <c r="AA262" i="11"/>
  <c r="AB262" i="11"/>
  <c r="AC262" i="11"/>
  <c r="AD262" i="11"/>
  <c r="AE262" i="11"/>
  <c r="AF262" i="11"/>
  <c r="Z263" i="11"/>
  <c r="AA263" i="11"/>
  <c r="AB263" i="11"/>
  <c r="AC263" i="11"/>
  <c r="AD263" i="11"/>
  <c r="AE263" i="11"/>
  <c r="AF263" i="11"/>
  <c r="Z264" i="11"/>
  <c r="AA264" i="11"/>
  <c r="AB264" i="11"/>
  <c r="AC264" i="11"/>
  <c r="AD264" i="11"/>
  <c r="AE264" i="11"/>
  <c r="AF264" i="11"/>
  <c r="Z265" i="11"/>
  <c r="AA265" i="11"/>
  <c r="AB265" i="11"/>
  <c r="AC265" i="11"/>
  <c r="AD265" i="11"/>
  <c r="AE265" i="11"/>
  <c r="AF265" i="11"/>
  <c r="Z266" i="11"/>
  <c r="AA266" i="11"/>
  <c r="AB266" i="11"/>
  <c r="AC266" i="11"/>
  <c r="AD266" i="11"/>
  <c r="AE266" i="11"/>
  <c r="AF266" i="11"/>
  <c r="Z267" i="11"/>
  <c r="AA267" i="11"/>
  <c r="AB267" i="11"/>
  <c r="AC267" i="11"/>
  <c r="AD267" i="11"/>
  <c r="AE267" i="11"/>
  <c r="AF267" i="11"/>
  <c r="Z268" i="11"/>
  <c r="AA268" i="11"/>
  <c r="AB268" i="11"/>
  <c r="AC268" i="11"/>
  <c r="AD268" i="11"/>
  <c r="AE268" i="11"/>
  <c r="AF268" i="11"/>
  <c r="Z269" i="11"/>
  <c r="AA269" i="11"/>
  <c r="AB269" i="11"/>
  <c r="AC269" i="11"/>
  <c r="AD269" i="11"/>
  <c r="AE269" i="11"/>
  <c r="AF269" i="11"/>
  <c r="Z270" i="11"/>
  <c r="AA270" i="11"/>
  <c r="AB270" i="11"/>
  <c r="AC270" i="11"/>
  <c r="AD270" i="11"/>
  <c r="AE270" i="11"/>
  <c r="AF270" i="11"/>
  <c r="Z271" i="11"/>
  <c r="AA271" i="11"/>
  <c r="AB271" i="11"/>
  <c r="AC271" i="11"/>
  <c r="AD271" i="11"/>
  <c r="AE271" i="11"/>
  <c r="AF271" i="11"/>
  <c r="Z272" i="11"/>
  <c r="AA272" i="11"/>
  <c r="AB272" i="11"/>
  <c r="AC272" i="11"/>
  <c r="AD272" i="11"/>
  <c r="AE272" i="11"/>
  <c r="AF272" i="11"/>
  <c r="Z273" i="11"/>
  <c r="AA273" i="11"/>
  <c r="AB273" i="11"/>
  <c r="AC273" i="11"/>
  <c r="AD273" i="11"/>
  <c r="AE273" i="11"/>
  <c r="AF273" i="11"/>
  <c r="Z274" i="11"/>
  <c r="AA274" i="11"/>
  <c r="AB274" i="11"/>
  <c r="AC274" i="11"/>
  <c r="AD274" i="11"/>
  <c r="AE274" i="11"/>
  <c r="AF274" i="11"/>
  <c r="Z275" i="11"/>
  <c r="AA275" i="11"/>
  <c r="AB275" i="11"/>
  <c r="AC275" i="11"/>
  <c r="AD275" i="11"/>
  <c r="AE275" i="11"/>
  <c r="AF275" i="11"/>
  <c r="Z276" i="11"/>
  <c r="AA276" i="11"/>
  <c r="AB276" i="11"/>
  <c r="AC276" i="11"/>
  <c r="AD276" i="11"/>
  <c r="AE276" i="11"/>
  <c r="AF276" i="11"/>
  <c r="Z277" i="11"/>
  <c r="AA277" i="11"/>
  <c r="AB277" i="11"/>
  <c r="AC277" i="11"/>
  <c r="AD277" i="11"/>
  <c r="AE277" i="11"/>
  <c r="AF277" i="11"/>
  <c r="Z278" i="11"/>
  <c r="AA278" i="11"/>
  <c r="AB278" i="11"/>
  <c r="AC278" i="11"/>
  <c r="AD278" i="11"/>
  <c r="AE278" i="11"/>
  <c r="AF278" i="11"/>
  <c r="Z279" i="11"/>
  <c r="AA279" i="11"/>
  <c r="AB279" i="11"/>
  <c r="AC279" i="11"/>
  <c r="AD279" i="11"/>
  <c r="AE279" i="11"/>
  <c r="AF279" i="11"/>
  <c r="Z280" i="11"/>
  <c r="AA280" i="11"/>
  <c r="AB280" i="11"/>
  <c r="AC280" i="11"/>
  <c r="AD280" i="11"/>
  <c r="AE280" i="11"/>
  <c r="AF280" i="11"/>
  <c r="Z281" i="11"/>
  <c r="AA281" i="11"/>
  <c r="AB281" i="11"/>
  <c r="AC281" i="11"/>
  <c r="AD281" i="11"/>
  <c r="AE281" i="11"/>
  <c r="AF281" i="11"/>
  <c r="Z282" i="11"/>
  <c r="AA282" i="11"/>
  <c r="AB282" i="11"/>
  <c r="AC282" i="11"/>
  <c r="AD282" i="11"/>
  <c r="AE282" i="11"/>
  <c r="AF282" i="11"/>
  <c r="Z283" i="11"/>
  <c r="AA283" i="11"/>
  <c r="AB283" i="11"/>
  <c r="AC283" i="11"/>
  <c r="AD283" i="11"/>
  <c r="AE283" i="11"/>
  <c r="AF283" i="11"/>
  <c r="Z284" i="11"/>
  <c r="AA284" i="11"/>
  <c r="AB284" i="11"/>
  <c r="AC284" i="11"/>
  <c r="AD284" i="11"/>
  <c r="AE284" i="11"/>
  <c r="AF284" i="11"/>
  <c r="Z285" i="11"/>
  <c r="AA285" i="11"/>
  <c r="AB285" i="11"/>
  <c r="AC285" i="11"/>
  <c r="AD285" i="11"/>
  <c r="AE285" i="11"/>
  <c r="AF285" i="11"/>
  <c r="Z286" i="11"/>
  <c r="AA286" i="11"/>
  <c r="AB286" i="11"/>
  <c r="AC286" i="11"/>
  <c r="AD286" i="11"/>
  <c r="AE286" i="11"/>
  <c r="AF286" i="11"/>
  <c r="Z287" i="11"/>
  <c r="AA287" i="11"/>
  <c r="AB287" i="11"/>
  <c r="AC287" i="11"/>
  <c r="AD287" i="11"/>
  <c r="AE287" i="11"/>
  <c r="AF287" i="11"/>
  <c r="Z288" i="11"/>
  <c r="AA288" i="11"/>
  <c r="AB288" i="11"/>
  <c r="AC288" i="11"/>
  <c r="AD288" i="11"/>
  <c r="AE288" i="11"/>
  <c r="AF288" i="11"/>
  <c r="Z289" i="11"/>
  <c r="AA289" i="11"/>
  <c r="AB289" i="11"/>
  <c r="AC289" i="11"/>
  <c r="AD289" i="11"/>
  <c r="AE289" i="11"/>
  <c r="AF289" i="11"/>
  <c r="Z290" i="11"/>
  <c r="AA290" i="11"/>
  <c r="AB290" i="11"/>
  <c r="AC290" i="11"/>
  <c r="AD290" i="11"/>
  <c r="AE290" i="11"/>
  <c r="AF290" i="11"/>
  <c r="Z291" i="11"/>
  <c r="AA291" i="11"/>
  <c r="AB291" i="11"/>
  <c r="AC291" i="11"/>
  <c r="AD291" i="11"/>
  <c r="AE291" i="11"/>
  <c r="AF291" i="11"/>
  <c r="Z292" i="11"/>
  <c r="AA292" i="11"/>
  <c r="AB292" i="11"/>
  <c r="AC292" i="11"/>
  <c r="AD292" i="11"/>
  <c r="AE292" i="11"/>
  <c r="AF292" i="11"/>
  <c r="Z293" i="11"/>
  <c r="AA293" i="11"/>
  <c r="AB293" i="11"/>
  <c r="AC293" i="11"/>
  <c r="AD293" i="11"/>
  <c r="AE293" i="11"/>
  <c r="AF293" i="11"/>
  <c r="Z294" i="11"/>
  <c r="AA294" i="11"/>
  <c r="AB294" i="11"/>
  <c r="AC294" i="11"/>
  <c r="AD294" i="11"/>
  <c r="AE294" i="11"/>
  <c r="AF294" i="11"/>
  <c r="Z295" i="11"/>
  <c r="AA295" i="11"/>
  <c r="AB295" i="11"/>
  <c r="AC295" i="11"/>
  <c r="AD295" i="11"/>
  <c r="AE295" i="11"/>
  <c r="AF295" i="11"/>
  <c r="Z296" i="11"/>
  <c r="AA296" i="11"/>
  <c r="AB296" i="11"/>
  <c r="AC296" i="11"/>
  <c r="AD296" i="11"/>
  <c r="AE296" i="11"/>
  <c r="AF296" i="11"/>
  <c r="Z297" i="11"/>
  <c r="AA297" i="11"/>
  <c r="AB297" i="11"/>
  <c r="AC297" i="11"/>
  <c r="AD297" i="11"/>
  <c r="AE297" i="11"/>
  <c r="AF297" i="11"/>
  <c r="Z298" i="11"/>
  <c r="AA298" i="11"/>
  <c r="AB298" i="11"/>
  <c r="AC298" i="11"/>
  <c r="AD298" i="11"/>
  <c r="AE298" i="11"/>
  <c r="AF298" i="11"/>
  <c r="Z299" i="11"/>
  <c r="AA299" i="11"/>
  <c r="AB299" i="11"/>
  <c r="AC299" i="11"/>
  <c r="AD299" i="11"/>
  <c r="AE299" i="11"/>
  <c r="AF299" i="11"/>
  <c r="Z300" i="11"/>
  <c r="AA300" i="11"/>
  <c r="AB300" i="11"/>
  <c r="AC300" i="11"/>
  <c r="AD300" i="11"/>
  <c r="AE300" i="11"/>
  <c r="AF300" i="11"/>
  <c r="Z301" i="11"/>
  <c r="AA301" i="11"/>
  <c r="AB301" i="11"/>
  <c r="AC301" i="11"/>
  <c r="AD301" i="11"/>
  <c r="AE301" i="11"/>
  <c r="AF301" i="11"/>
  <c r="Z302" i="11"/>
  <c r="AA302" i="11"/>
  <c r="AB302" i="11"/>
  <c r="AC302" i="11"/>
  <c r="AD302" i="11"/>
  <c r="AE302" i="11"/>
  <c r="AF302" i="11"/>
  <c r="Z303" i="11"/>
  <c r="AA303" i="11"/>
  <c r="AB303" i="11"/>
  <c r="AC303" i="11"/>
  <c r="AD303" i="11"/>
  <c r="AE303" i="11"/>
  <c r="AF303" i="11"/>
  <c r="Z304" i="11"/>
  <c r="AA304" i="11"/>
  <c r="AB304" i="11"/>
  <c r="AC304" i="11"/>
  <c r="AD304" i="11"/>
  <c r="AE304" i="11"/>
  <c r="AF304" i="11"/>
  <c r="Z305" i="11"/>
  <c r="AA305" i="11"/>
  <c r="AB305" i="11"/>
  <c r="AC305" i="11"/>
  <c r="AD305" i="11"/>
  <c r="AE305" i="11"/>
  <c r="AF305" i="11"/>
  <c r="Z306" i="11"/>
  <c r="AA306" i="11"/>
  <c r="AB306" i="11"/>
  <c r="AC306" i="11"/>
  <c r="AD306" i="11"/>
  <c r="AE306" i="11"/>
  <c r="AF306" i="11"/>
  <c r="Z307" i="11"/>
  <c r="AA307" i="11"/>
  <c r="AB307" i="11"/>
  <c r="AC307" i="11"/>
  <c r="AD307" i="11"/>
  <c r="AE307" i="11"/>
  <c r="AF307" i="11"/>
  <c r="Z308" i="11"/>
  <c r="AA308" i="11"/>
  <c r="AB308" i="11"/>
  <c r="AC308" i="11"/>
  <c r="AD308" i="11"/>
  <c r="AE308" i="11"/>
  <c r="AF308" i="11"/>
  <c r="Z309" i="11"/>
  <c r="AA309" i="11"/>
  <c r="AB309" i="11"/>
  <c r="AC309" i="11"/>
  <c r="AD309" i="11"/>
  <c r="AE309" i="11"/>
  <c r="AF309" i="11"/>
  <c r="Z310" i="11"/>
  <c r="AA310" i="11"/>
  <c r="AB310" i="11"/>
  <c r="AC310" i="11"/>
  <c r="AD310" i="11"/>
  <c r="AE310" i="11"/>
  <c r="AF310" i="11"/>
  <c r="Z311" i="11"/>
  <c r="AA311" i="11"/>
  <c r="AB311" i="11"/>
  <c r="AC311" i="11"/>
  <c r="AD311" i="11"/>
  <c r="AE311" i="11"/>
  <c r="AF311" i="11"/>
  <c r="Z312" i="11"/>
  <c r="AA312" i="11"/>
  <c r="AB312" i="11"/>
  <c r="AC312" i="11"/>
  <c r="AD312" i="11"/>
  <c r="AE312" i="11"/>
  <c r="AF312" i="11"/>
  <c r="Z313" i="11"/>
  <c r="AA313" i="11"/>
  <c r="AB313" i="11"/>
  <c r="AC313" i="11"/>
  <c r="AD313" i="11"/>
  <c r="AE313" i="11"/>
  <c r="AF313" i="11"/>
  <c r="Z314" i="11"/>
  <c r="AA314" i="11"/>
  <c r="AB314" i="11"/>
  <c r="AC314" i="11"/>
  <c r="AD314" i="11"/>
  <c r="AE314" i="11"/>
  <c r="AF314" i="11"/>
  <c r="Z315" i="11"/>
  <c r="AA315" i="11"/>
  <c r="AB315" i="11"/>
  <c r="AC315" i="11"/>
  <c r="AD315" i="11"/>
  <c r="AE315" i="11"/>
  <c r="AF315" i="11"/>
  <c r="Z316" i="11"/>
  <c r="AA316" i="11"/>
  <c r="AB316" i="11"/>
  <c r="AC316" i="11"/>
  <c r="AD316" i="11"/>
  <c r="AE316" i="11"/>
  <c r="AF316" i="11"/>
  <c r="Z317" i="11"/>
  <c r="AA317" i="11"/>
  <c r="AB317" i="11"/>
  <c r="AC317" i="11"/>
  <c r="AD317" i="11"/>
  <c r="AE317" i="11"/>
  <c r="AF317" i="11"/>
  <c r="Z318" i="11"/>
  <c r="AA318" i="11"/>
  <c r="AB318" i="11"/>
  <c r="AC318" i="11"/>
  <c r="AD318" i="11"/>
  <c r="AE318" i="11"/>
  <c r="AF318" i="11"/>
  <c r="Z319" i="11"/>
  <c r="AA319" i="11"/>
  <c r="AB319" i="11"/>
  <c r="AC319" i="11"/>
  <c r="AD319" i="11"/>
  <c r="AE319" i="11"/>
  <c r="AF319" i="11"/>
  <c r="Z320" i="11"/>
  <c r="AA320" i="11"/>
  <c r="AB320" i="11"/>
  <c r="AC320" i="11"/>
  <c r="AD320" i="11"/>
  <c r="AE320" i="11"/>
  <c r="AF320" i="11"/>
  <c r="Z321" i="11"/>
  <c r="AA321" i="11"/>
  <c r="AB321" i="11"/>
  <c r="AC321" i="11"/>
  <c r="AD321" i="11"/>
  <c r="AE321" i="11"/>
  <c r="AF321" i="11"/>
  <c r="Z322" i="11"/>
  <c r="AA322" i="11"/>
  <c r="AB322" i="11"/>
  <c r="AC322" i="11"/>
  <c r="AD322" i="11"/>
  <c r="AE322" i="11"/>
  <c r="AF322" i="11"/>
  <c r="Z323" i="11"/>
  <c r="AA323" i="11"/>
  <c r="AB323" i="11"/>
  <c r="AC323" i="11"/>
  <c r="AD323" i="11"/>
  <c r="AE323" i="11"/>
  <c r="AF323" i="11"/>
  <c r="Z324" i="11"/>
  <c r="AA324" i="11"/>
  <c r="AB324" i="11"/>
  <c r="AC324" i="11"/>
  <c r="AD324" i="11"/>
  <c r="AE324" i="11"/>
  <c r="AF324" i="11"/>
  <c r="Z325" i="11"/>
  <c r="AA325" i="11"/>
  <c r="AB325" i="11"/>
  <c r="AC325" i="11"/>
  <c r="AD325" i="11"/>
  <c r="AE325" i="11"/>
  <c r="AF325" i="11"/>
  <c r="Z326" i="11"/>
  <c r="AA326" i="11"/>
  <c r="AB326" i="11"/>
  <c r="AC326" i="11"/>
  <c r="AD326" i="11"/>
  <c r="AE326" i="11"/>
  <c r="AF326" i="11"/>
  <c r="Z327" i="11"/>
  <c r="AA327" i="11"/>
  <c r="AB327" i="11"/>
  <c r="AC327" i="11"/>
  <c r="AD327" i="11"/>
  <c r="AE327" i="11"/>
  <c r="AF327" i="11"/>
  <c r="Z328" i="11"/>
  <c r="AA328" i="11"/>
  <c r="AB328" i="11"/>
  <c r="AC328" i="11"/>
  <c r="AD328" i="11"/>
  <c r="AE328" i="11"/>
  <c r="AF328" i="11"/>
  <c r="Z329" i="11"/>
  <c r="AA329" i="11"/>
  <c r="AB329" i="11"/>
  <c r="AC329" i="11"/>
  <c r="AD329" i="11"/>
  <c r="AE329" i="11"/>
  <c r="AF329" i="11"/>
  <c r="Z330" i="11"/>
  <c r="AA330" i="11"/>
  <c r="AB330" i="11"/>
  <c r="AC330" i="11"/>
  <c r="AD330" i="11"/>
  <c r="AE330" i="11"/>
  <c r="AF330" i="11"/>
  <c r="Z331" i="11"/>
  <c r="AA331" i="11"/>
  <c r="AB331" i="11"/>
  <c r="AC331" i="11"/>
  <c r="AD331" i="11"/>
  <c r="AE331" i="11"/>
  <c r="AF331" i="11"/>
  <c r="Z332" i="11"/>
  <c r="AA332" i="11"/>
  <c r="AB332" i="11"/>
  <c r="AC332" i="11"/>
  <c r="AD332" i="11"/>
  <c r="AE332" i="11"/>
  <c r="AF332" i="11"/>
  <c r="Z333" i="11"/>
  <c r="AA333" i="11"/>
  <c r="AB333" i="11"/>
  <c r="AC333" i="11"/>
  <c r="AD333" i="11"/>
  <c r="AE333" i="11"/>
  <c r="AF333" i="11"/>
  <c r="Z334" i="11"/>
  <c r="AA334" i="11"/>
  <c r="AB334" i="11"/>
  <c r="AC334" i="11"/>
  <c r="AD334" i="11"/>
  <c r="AE334" i="11"/>
  <c r="AF334" i="11"/>
  <c r="Z335" i="11"/>
  <c r="AA335" i="11"/>
  <c r="AB335" i="11"/>
  <c r="AC335" i="11"/>
  <c r="AD335" i="11"/>
  <c r="AE335" i="11"/>
  <c r="AF335" i="11"/>
  <c r="Z336" i="11"/>
  <c r="AA336" i="11"/>
  <c r="AB336" i="11"/>
  <c r="AC336" i="11"/>
  <c r="AD336" i="11"/>
  <c r="AE336" i="11"/>
  <c r="AF336" i="11"/>
  <c r="Z337" i="11"/>
  <c r="AA337" i="11"/>
  <c r="AB337" i="11"/>
  <c r="AC337" i="11"/>
  <c r="AD337" i="11"/>
  <c r="AE337" i="11"/>
  <c r="AF337" i="11"/>
  <c r="Z338" i="11"/>
  <c r="AA338" i="11"/>
  <c r="AB338" i="11"/>
  <c r="AC338" i="11"/>
  <c r="AD338" i="11"/>
  <c r="AE338" i="11"/>
  <c r="AF338" i="11"/>
  <c r="Z339" i="11"/>
  <c r="AA339" i="11"/>
  <c r="AB339" i="11"/>
  <c r="AC339" i="11"/>
  <c r="AD339" i="11"/>
  <c r="AE339" i="11"/>
  <c r="AF339" i="11"/>
  <c r="Z340" i="11"/>
  <c r="AA340" i="11"/>
  <c r="AB340" i="11"/>
  <c r="AC340" i="11"/>
  <c r="AD340" i="11"/>
  <c r="AE340" i="11"/>
  <c r="AF340" i="11"/>
  <c r="Z341" i="11"/>
  <c r="AA341" i="11"/>
  <c r="AB341" i="11"/>
  <c r="AC341" i="11"/>
  <c r="AD341" i="11"/>
  <c r="AE341" i="11"/>
  <c r="AF341" i="11"/>
  <c r="Z342" i="11"/>
  <c r="AA342" i="11"/>
  <c r="AB342" i="11"/>
  <c r="AC342" i="11"/>
  <c r="AD342" i="11"/>
  <c r="AE342" i="11"/>
  <c r="AF342" i="11"/>
  <c r="Z343" i="11"/>
  <c r="AA343" i="11"/>
  <c r="AB343" i="11"/>
  <c r="AC343" i="11"/>
  <c r="AD343" i="11"/>
  <c r="AE343" i="11"/>
  <c r="AF343" i="11"/>
  <c r="Z344" i="11"/>
  <c r="AA344" i="11"/>
  <c r="AB344" i="11"/>
  <c r="AC344" i="11"/>
  <c r="AD344" i="11"/>
  <c r="AE344" i="11"/>
  <c r="AF344" i="11"/>
  <c r="Z345" i="11"/>
  <c r="AA345" i="11"/>
  <c r="AB345" i="11"/>
  <c r="AC345" i="11"/>
  <c r="AD345" i="11"/>
  <c r="AE345" i="11"/>
  <c r="AF345" i="11"/>
  <c r="Z346" i="11"/>
  <c r="AA346" i="11"/>
  <c r="AB346" i="11"/>
  <c r="AC346" i="11"/>
  <c r="AD346" i="11"/>
  <c r="AE346" i="11"/>
  <c r="AF346" i="11"/>
  <c r="Z347" i="11"/>
  <c r="AA347" i="11"/>
  <c r="AB347" i="11"/>
  <c r="AC347" i="11"/>
  <c r="AD347" i="11"/>
  <c r="AE347" i="11"/>
  <c r="AF347" i="11"/>
  <c r="Z348" i="11"/>
  <c r="AA348" i="11"/>
  <c r="AB348" i="11"/>
  <c r="AC348" i="11"/>
  <c r="AD348" i="11"/>
  <c r="AE348" i="11"/>
  <c r="AF348" i="11"/>
  <c r="Z349" i="11"/>
  <c r="AA349" i="11"/>
  <c r="AB349" i="11"/>
  <c r="AC349" i="11"/>
  <c r="AD349" i="11"/>
  <c r="AE349" i="11"/>
  <c r="AF349" i="11"/>
  <c r="Z350" i="11"/>
  <c r="AA350" i="11"/>
  <c r="AB350" i="11"/>
  <c r="AC350" i="11"/>
  <c r="AD350" i="11"/>
  <c r="AE350" i="11"/>
  <c r="AF350" i="11"/>
  <c r="Z351" i="11"/>
  <c r="AA351" i="11"/>
  <c r="AB351" i="11"/>
  <c r="AC351" i="11"/>
  <c r="AD351" i="11"/>
  <c r="AE351" i="11"/>
  <c r="AF351" i="11"/>
  <c r="Z352" i="11"/>
  <c r="AA352" i="11"/>
  <c r="AB352" i="11"/>
  <c r="AC352" i="11"/>
  <c r="AD352" i="11"/>
  <c r="AE352" i="11"/>
  <c r="AF352" i="11"/>
  <c r="Z353" i="11"/>
  <c r="AA353" i="11"/>
  <c r="AB353" i="11"/>
  <c r="AC353" i="11"/>
  <c r="AD353" i="11"/>
  <c r="AE353" i="11"/>
  <c r="AF353" i="11"/>
  <c r="Z354" i="11"/>
  <c r="AA354" i="11"/>
  <c r="AB354" i="11"/>
  <c r="AC354" i="11"/>
  <c r="AD354" i="11"/>
  <c r="AE354" i="11"/>
  <c r="AF354" i="11"/>
  <c r="Z355" i="11"/>
  <c r="AA355" i="11"/>
  <c r="AB355" i="11"/>
  <c r="AC355" i="11"/>
  <c r="AD355" i="11"/>
  <c r="AE355" i="11"/>
  <c r="AF355" i="11"/>
  <c r="Z356" i="11"/>
  <c r="AA356" i="11"/>
  <c r="AB356" i="11"/>
  <c r="AC356" i="11"/>
  <c r="AD356" i="11"/>
  <c r="AE356" i="11"/>
  <c r="AF356" i="11"/>
  <c r="Z357" i="11"/>
  <c r="AA357" i="11"/>
  <c r="AB357" i="11"/>
  <c r="AC357" i="11"/>
  <c r="AD357" i="11"/>
  <c r="AE357" i="11"/>
  <c r="AF357" i="11"/>
  <c r="Z358" i="11"/>
  <c r="AA358" i="11"/>
  <c r="AB358" i="11"/>
  <c r="AC358" i="11"/>
  <c r="AD358" i="11"/>
  <c r="AE358" i="11"/>
  <c r="AF358" i="11"/>
  <c r="Z359" i="11"/>
  <c r="AA359" i="11"/>
  <c r="AB359" i="11"/>
  <c r="AC359" i="11"/>
  <c r="AD359" i="11"/>
  <c r="AE359" i="11"/>
  <c r="AF359" i="11"/>
  <c r="Z360" i="11"/>
  <c r="AA360" i="11"/>
  <c r="AB360" i="11"/>
  <c r="AC360" i="11"/>
  <c r="AD360" i="11"/>
  <c r="AE360" i="11"/>
  <c r="AF360" i="11"/>
  <c r="Z361" i="11"/>
  <c r="AA361" i="11"/>
  <c r="AB361" i="11"/>
  <c r="AC361" i="11"/>
  <c r="AD361" i="11"/>
  <c r="AE361" i="11"/>
  <c r="AF361" i="11"/>
  <c r="Z362" i="11"/>
  <c r="AA362" i="11"/>
  <c r="AB362" i="11"/>
  <c r="AC362" i="11"/>
  <c r="AD362" i="11"/>
  <c r="AE362" i="11"/>
  <c r="AF362" i="11"/>
  <c r="Z363" i="11"/>
  <c r="AA363" i="11"/>
  <c r="AB363" i="11"/>
  <c r="AC363" i="11"/>
  <c r="AD363" i="11"/>
  <c r="AE363" i="11"/>
  <c r="AF363" i="11"/>
  <c r="Z364" i="11"/>
  <c r="AA364" i="11"/>
  <c r="AB364" i="11"/>
  <c r="AC364" i="11"/>
  <c r="AD364" i="11"/>
  <c r="AE364" i="11"/>
  <c r="AF364" i="11"/>
  <c r="Z365" i="11"/>
  <c r="AA365" i="11"/>
  <c r="AB365" i="11"/>
  <c r="AC365" i="11"/>
  <c r="AD365" i="11"/>
  <c r="AE365" i="11"/>
  <c r="AF365" i="11"/>
  <c r="Z366" i="11"/>
  <c r="AA366" i="11"/>
  <c r="AB366" i="11"/>
  <c r="AC366" i="11"/>
  <c r="AD366" i="11"/>
  <c r="AE366" i="11"/>
  <c r="AF366" i="11"/>
  <c r="Z367" i="11"/>
  <c r="AA367" i="11"/>
  <c r="AB367" i="11"/>
  <c r="AC367" i="11"/>
  <c r="AD367" i="11"/>
  <c r="AE367" i="11"/>
  <c r="AF367" i="11"/>
  <c r="Z368" i="11"/>
  <c r="AA368" i="11"/>
  <c r="AB368" i="11"/>
  <c r="AC368" i="11"/>
  <c r="AD368" i="11"/>
  <c r="AE368" i="11"/>
  <c r="AF368" i="11"/>
  <c r="Z369" i="11"/>
  <c r="AA369" i="11"/>
  <c r="AB369" i="11"/>
  <c r="AC369" i="11"/>
  <c r="AD369" i="11"/>
  <c r="AE369" i="11"/>
  <c r="AF369" i="11"/>
  <c r="Z370" i="11"/>
  <c r="AA370" i="11"/>
  <c r="AB370" i="11"/>
  <c r="AC370" i="11"/>
  <c r="AD370" i="11"/>
  <c r="AE370" i="11"/>
  <c r="AF370" i="11"/>
  <c r="Z371" i="11"/>
  <c r="AA371" i="11"/>
  <c r="AB371" i="11"/>
  <c r="AC371" i="11"/>
  <c r="AD371" i="11"/>
  <c r="AE371" i="11"/>
  <c r="AF371" i="11"/>
  <c r="Z372" i="11"/>
  <c r="AA372" i="11"/>
  <c r="AB372" i="11"/>
  <c r="AC372" i="11"/>
  <c r="AD372" i="11"/>
  <c r="AE372" i="11"/>
  <c r="AF372" i="11"/>
  <c r="Z373" i="11"/>
  <c r="AA373" i="11"/>
  <c r="AB373" i="11"/>
  <c r="AC373" i="11"/>
  <c r="AD373" i="11"/>
  <c r="AE373" i="11"/>
  <c r="AF373" i="11"/>
  <c r="Z374" i="11"/>
  <c r="AA374" i="11"/>
  <c r="AB374" i="11"/>
  <c r="AC374" i="11"/>
  <c r="AD374" i="11"/>
  <c r="AE374" i="11"/>
  <c r="AF374" i="11"/>
  <c r="Z375" i="11"/>
  <c r="AA375" i="11"/>
  <c r="AB375" i="11"/>
  <c r="AC375" i="11"/>
  <c r="AD375" i="11"/>
  <c r="AE375" i="11"/>
  <c r="AF375" i="11"/>
  <c r="Z376" i="11"/>
  <c r="AA376" i="11"/>
  <c r="AB376" i="11"/>
  <c r="AC376" i="11"/>
  <c r="AD376" i="11"/>
  <c r="AE376" i="11"/>
  <c r="AF376" i="11"/>
  <c r="Z377" i="11"/>
  <c r="AA377" i="11"/>
  <c r="AB377" i="11"/>
  <c r="AC377" i="11"/>
  <c r="AD377" i="11"/>
  <c r="AE377" i="11"/>
  <c r="AF377" i="11"/>
  <c r="Z378" i="11"/>
  <c r="AA378" i="11"/>
  <c r="AB378" i="11"/>
  <c r="AC378" i="11"/>
  <c r="AD378" i="11"/>
  <c r="AE378" i="11"/>
  <c r="AF378" i="11"/>
  <c r="Z379" i="11"/>
  <c r="AA379" i="11"/>
  <c r="AB379" i="11"/>
  <c r="AC379" i="11"/>
  <c r="AD379" i="11"/>
  <c r="AE379" i="11"/>
  <c r="AF379" i="11"/>
  <c r="Z380" i="11"/>
  <c r="AA380" i="11"/>
  <c r="AB380" i="11"/>
  <c r="AC380" i="11"/>
  <c r="AD380" i="11"/>
  <c r="AE380" i="11"/>
  <c r="AF380" i="11"/>
  <c r="Z381" i="11"/>
  <c r="AA381" i="11"/>
  <c r="AB381" i="11"/>
  <c r="AC381" i="11"/>
  <c r="AD381" i="11"/>
  <c r="AE381" i="11"/>
  <c r="AF381" i="11"/>
  <c r="Z382" i="11"/>
  <c r="AA382" i="11"/>
  <c r="AB382" i="11"/>
  <c r="AC382" i="11"/>
  <c r="AD382" i="11"/>
  <c r="AE382" i="11"/>
  <c r="AF382" i="11"/>
  <c r="Z383" i="11"/>
  <c r="AA383" i="11"/>
  <c r="AB383" i="11"/>
  <c r="AC383" i="11"/>
  <c r="AD383" i="11"/>
  <c r="AE383" i="11"/>
  <c r="AF383" i="11"/>
  <c r="Z384" i="11"/>
  <c r="AA384" i="11"/>
  <c r="AB384" i="11"/>
  <c r="AC384" i="11"/>
  <c r="AD384" i="11"/>
  <c r="AE384" i="11"/>
  <c r="AF384" i="11"/>
  <c r="Z385" i="11"/>
  <c r="AA385" i="11"/>
  <c r="AB385" i="11"/>
  <c r="AC385" i="11"/>
  <c r="AD385" i="11"/>
  <c r="AE385" i="11"/>
  <c r="AF385" i="11"/>
  <c r="Z386" i="11"/>
  <c r="AA386" i="11"/>
  <c r="AB386" i="11"/>
  <c r="AC386" i="11"/>
  <c r="AD386" i="11"/>
  <c r="AE386" i="11"/>
  <c r="AF386" i="11"/>
  <c r="Z387" i="11"/>
  <c r="AA387" i="11"/>
  <c r="AB387" i="11"/>
  <c r="AC387" i="11"/>
  <c r="AD387" i="11"/>
  <c r="AE387" i="11"/>
  <c r="AF387" i="11"/>
  <c r="Z388" i="11"/>
  <c r="AA388" i="11"/>
  <c r="AB388" i="11"/>
  <c r="AC388" i="11"/>
  <c r="AD388" i="11"/>
  <c r="AE388" i="11"/>
  <c r="AF388" i="11"/>
  <c r="Z389" i="11"/>
  <c r="AA389" i="11"/>
  <c r="AB389" i="11"/>
  <c r="AC389" i="11"/>
  <c r="AD389" i="11"/>
  <c r="AE389" i="11"/>
  <c r="AF389" i="11"/>
  <c r="Z390" i="11"/>
  <c r="AA390" i="11"/>
  <c r="AB390" i="11"/>
  <c r="AC390" i="11"/>
  <c r="AD390" i="11"/>
  <c r="AE390" i="11"/>
  <c r="AF390" i="11"/>
  <c r="Z391" i="11"/>
  <c r="AA391" i="11"/>
  <c r="AB391" i="11"/>
  <c r="AC391" i="11"/>
  <c r="AD391" i="11"/>
  <c r="AE391" i="11"/>
  <c r="AF391" i="11"/>
  <c r="Z392" i="11"/>
  <c r="AA392" i="11"/>
  <c r="AB392" i="11"/>
  <c r="AC392" i="11"/>
  <c r="AD392" i="11"/>
  <c r="AE392" i="11"/>
  <c r="AF392" i="11"/>
  <c r="Z393" i="11"/>
  <c r="AA393" i="11"/>
  <c r="AB393" i="11"/>
  <c r="AC393" i="11"/>
  <c r="AD393" i="11"/>
  <c r="AE393" i="11"/>
  <c r="AF393" i="11"/>
  <c r="Z394" i="11"/>
  <c r="AA394" i="11"/>
  <c r="AB394" i="11"/>
  <c r="AC394" i="11"/>
  <c r="AD394" i="11"/>
  <c r="AE394" i="11"/>
  <c r="AF394" i="11"/>
  <c r="Z395" i="11"/>
  <c r="AA395" i="11"/>
  <c r="AB395" i="11"/>
  <c r="AC395" i="11"/>
  <c r="AD395" i="11"/>
  <c r="AE395" i="11"/>
  <c r="AF395" i="11"/>
  <c r="Z396" i="11"/>
  <c r="AA396" i="11"/>
  <c r="AB396" i="11"/>
  <c r="AC396" i="11"/>
  <c r="AD396" i="11"/>
  <c r="AE396" i="11"/>
  <c r="AF396" i="11"/>
  <c r="Z397" i="11"/>
  <c r="AA397" i="11"/>
  <c r="AB397" i="11"/>
  <c r="AC397" i="11"/>
  <c r="AD397" i="11"/>
  <c r="AE397" i="11"/>
  <c r="AF397" i="11"/>
  <c r="Z398" i="11"/>
  <c r="AA398" i="11"/>
  <c r="AB398" i="11"/>
  <c r="AC398" i="11"/>
  <c r="AD398" i="11"/>
  <c r="AE398" i="11"/>
  <c r="AF398" i="11"/>
  <c r="Z399" i="11"/>
  <c r="AA399" i="11"/>
  <c r="AB399" i="11"/>
  <c r="AC399" i="11"/>
  <c r="AD399" i="11"/>
  <c r="AE399" i="11"/>
  <c r="AF399" i="11"/>
  <c r="Z400" i="11"/>
  <c r="AA400" i="11"/>
  <c r="AB400" i="11"/>
  <c r="AC400" i="11"/>
  <c r="AD400" i="11"/>
  <c r="AE400" i="11"/>
  <c r="AF400" i="11"/>
  <c r="Z401" i="11"/>
  <c r="AA401" i="11"/>
  <c r="AB401" i="11"/>
  <c r="AC401" i="11"/>
  <c r="AD401" i="11"/>
  <c r="AE401" i="11"/>
  <c r="AF401" i="11"/>
  <c r="Z402" i="11"/>
  <c r="AA402" i="11"/>
  <c r="AB402" i="11"/>
  <c r="AC402" i="11"/>
  <c r="AD402" i="11"/>
  <c r="AE402" i="11"/>
  <c r="AF402" i="11"/>
  <c r="Z403" i="11"/>
  <c r="AA403" i="11"/>
  <c r="AB403" i="11"/>
  <c r="AC403" i="11"/>
  <c r="AD403" i="11"/>
  <c r="AE403" i="11"/>
  <c r="AF403" i="11"/>
  <c r="Z404" i="11"/>
  <c r="AA404" i="11"/>
  <c r="AB404" i="11"/>
  <c r="AC404" i="11"/>
  <c r="AD404" i="11"/>
  <c r="AE404" i="11"/>
  <c r="AF404" i="11"/>
  <c r="Z405" i="11"/>
  <c r="AA405" i="11"/>
  <c r="AB405" i="11"/>
  <c r="AC405" i="11"/>
  <c r="AD405" i="11"/>
  <c r="AE405" i="11"/>
  <c r="AF405" i="11"/>
  <c r="Z406" i="11"/>
  <c r="AA406" i="11"/>
  <c r="AB406" i="11"/>
  <c r="AC406" i="11"/>
  <c r="AD406" i="11"/>
  <c r="AE406" i="11"/>
  <c r="AF406" i="11"/>
  <c r="Z407" i="11"/>
  <c r="AA407" i="11"/>
  <c r="AB407" i="11"/>
  <c r="AC407" i="11"/>
  <c r="AD407" i="11"/>
  <c r="AE407" i="11"/>
  <c r="AF407" i="11"/>
  <c r="Z408" i="11"/>
  <c r="AA408" i="11"/>
  <c r="AB408" i="11"/>
  <c r="AC408" i="11"/>
  <c r="AD408" i="11"/>
  <c r="AE408" i="11"/>
  <c r="AF408" i="11"/>
  <c r="Z409" i="11"/>
  <c r="AA409" i="11"/>
  <c r="AB409" i="11"/>
  <c r="AC409" i="11"/>
  <c r="AD409" i="11"/>
  <c r="AE409" i="11"/>
  <c r="AF409" i="11"/>
  <c r="Z410" i="11"/>
  <c r="AA410" i="11"/>
  <c r="AB410" i="11"/>
  <c r="AC410" i="11"/>
  <c r="AD410" i="11"/>
  <c r="AE410" i="11"/>
  <c r="AF410" i="11"/>
  <c r="Z411" i="11"/>
  <c r="AA411" i="11"/>
  <c r="AB411" i="11"/>
  <c r="AC411" i="11"/>
  <c r="AD411" i="11"/>
  <c r="AE411" i="11"/>
  <c r="AF411" i="11"/>
  <c r="Z412" i="11"/>
  <c r="AA412" i="11"/>
  <c r="AB412" i="11"/>
  <c r="AC412" i="11"/>
  <c r="AD412" i="11"/>
  <c r="AE412" i="11"/>
  <c r="AF412" i="11"/>
  <c r="Z413" i="11"/>
  <c r="AA413" i="11"/>
  <c r="AB413" i="11"/>
  <c r="AC413" i="11"/>
  <c r="AD413" i="11"/>
  <c r="AE413" i="11"/>
  <c r="AF413" i="11"/>
  <c r="Z414" i="11"/>
  <c r="AA414" i="11"/>
  <c r="AB414" i="11"/>
  <c r="AC414" i="11"/>
  <c r="AD414" i="11"/>
  <c r="AE414" i="11"/>
  <c r="AF414" i="11"/>
  <c r="Z415" i="11"/>
  <c r="AA415" i="11"/>
  <c r="AB415" i="11"/>
  <c r="AC415" i="11"/>
  <c r="AD415" i="11"/>
  <c r="AE415" i="11"/>
  <c r="AF415" i="11"/>
  <c r="Z416" i="11"/>
  <c r="AA416" i="11"/>
  <c r="AB416" i="11"/>
  <c r="AC416" i="11"/>
  <c r="AD416" i="11"/>
  <c r="AE416" i="11"/>
  <c r="AF416" i="11"/>
  <c r="Z417" i="11"/>
  <c r="AA417" i="11"/>
  <c r="AB417" i="11"/>
  <c r="AC417" i="11"/>
  <c r="AD417" i="11"/>
  <c r="AE417" i="11"/>
  <c r="AF417" i="11"/>
  <c r="Z418" i="11"/>
  <c r="AA418" i="11"/>
  <c r="AB418" i="11"/>
  <c r="AC418" i="11"/>
  <c r="AD418" i="11"/>
  <c r="AE418" i="11"/>
  <c r="AF418" i="11"/>
  <c r="Z419" i="11"/>
  <c r="AA419" i="11"/>
  <c r="AB419" i="11"/>
  <c r="AC419" i="11"/>
  <c r="AD419" i="11"/>
  <c r="AE419" i="11"/>
  <c r="AF419" i="11"/>
  <c r="Z420" i="11"/>
  <c r="AA420" i="11"/>
  <c r="AB420" i="11"/>
  <c r="AC420" i="11"/>
  <c r="AD420" i="11"/>
  <c r="AE420" i="11"/>
  <c r="AF420" i="11"/>
  <c r="Z421" i="11"/>
  <c r="AA421" i="11"/>
  <c r="AB421" i="11"/>
  <c r="AC421" i="11"/>
  <c r="AD421" i="11"/>
  <c r="AE421" i="11"/>
  <c r="AF421" i="11"/>
  <c r="Z422" i="11"/>
  <c r="AA422" i="11"/>
  <c r="AB422" i="11"/>
  <c r="AC422" i="11"/>
  <c r="AD422" i="11"/>
  <c r="AE422" i="11"/>
  <c r="AF422" i="11"/>
  <c r="Z423" i="11"/>
  <c r="AA423" i="11"/>
  <c r="AB423" i="11"/>
  <c r="AC423" i="11"/>
  <c r="AD423" i="11"/>
  <c r="AE423" i="11"/>
  <c r="AF423" i="11"/>
  <c r="Z424" i="11"/>
  <c r="AA424" i="11"/>
  <c r="AB424" i="11"/>
  <c r="AC424" i="11"/>
  <c r="AD424" i="11"/>
  <c r="AE424" i="11"/>
  <c r="AF424" i="11"/>
  <c r="Z425" i="11"/>
  <c r="AA425" i="11"/>
  <c r="AB425" i="11"/>
  <c r="AC425" i="11"/>
  <c r="AD425" i="11"/>
  <c r="AE425" i="11"/>
  <c r="AF425" i="11"/>
  <c r="Z426" i="11"/>
  <c r="AA426" i="11"/>
  <c r="AB426" i="11"/>
  <c r="AC426" i="11"/>
  <c r="AD426" i="11"/>
  <c r="AE426" i="11"/>
  <c r="AF426" i="11"/>
  <c r="Z427" i="11"/>
  <c r="AA427" i="11"/>
  <c r="AB427" i="11"/>
  <c r="AC427" i="11"/>
  <c r="AD427" i="11"/>
  <c r="AE427" i="11"/>
  <c r="AF427" i="11"/>
  <c r="Z428" i="11"/>
  <c r="AA428" i="11"/>
  <c r="AB428" i="11"/>
  <c r="AC428" i="11"/>
  <c r="AD428" i="11"/>
  <c r="AE428" i="11"/>
  <c r="AF428" i="11"/>
  <c r="Z429" i="11"/>
  <c r="AA429" i="11"/>
  <c r="AB429" i="11"/>
  <c r="AC429" i="11"/>
  <c r="AD429" i="11"/>
  <c r="AE429" i="11"/>
  <c r="AF429" i="11"/>
  <c r="Z430" i="11"/>
  <c r="AA430" i="11"/>
  <c r="AB430" i="11"/>
  <c r="AC430" i="11"/>
  <c r="AD430" i="11"/>
  <c r="AE430" i="11"/>
  <c r="AF430" i="11"/>
  <c r="Z431" i="11"/>
  <c r="AA431" i="11"/>
  <c r="AB431" i="11"/>
  <c r="AC431" i="11"/>
  <c r="AD431" i="11"/>
  <c r="AE431" i="11"/>
  <c r="AF431" i="11"/>
  <c r="Z432" i="11"/>
  <c r="AA432" i="11"/>
  <c r="AB432" i="11"/>
  <c r="AC432" i="11"/>
  <c r="AD432" i="11"/>
  <c r="AE432" i="11"/>
  <c r="AF432" i="11"/>
  <c r="Z433" i="11"/>
  <c r="AA433" i="11"/>
  <c r="AB433" i="11"/>
  <c r="AC433" i="11"/>
  <c r="AD433" i="11"/>
  <c r="AE433" i="11"/>
  <c r="AF433" i="11"/>
  <c r="Z434" i="11"/>
  <c r="AA434" i="11"/>
  <c r="AB434" i="11"/>
  <c r="AC434" i="11"/>
  <c r="AD434" i="11"/>
  <c r="AE434" i="11"/>
  <c r="AF434" i="11"/>
  <c r="Z435" i="11"/>
  <c r="AA435" i="11"/>
  <c r="AB435" i="11"/>
  <c r="AC435" i="11"/>
  <c r="AD435" i="11"/>
  <c r="AE435" i="11"/>
  <c r="AF435" i="11"/>
  <c r="Z436" i="11"/>
  <c r="AA436" i="11"/>
  <c r="AB436" i="11"/>
  <c r="AC436" i="11"/>
  <c r="AD436" i="11"/>
  <c r="AE436" i="11"/>
  <c r="AF436" i="11"/>
  <c r="Z437" i="11"/>
  <c r="AA437" i="11"/>
  <c r="AB437" i="11"/>
  <c r="AC437" i="11"/>
  <c r="AD437" i="11"/>
  <c r="AE437" i="11"/>
  <c r="AF437" i="11"/>
  <c r="Z438" i="11"/>
  <c r="AA438" i="11"/>
  <c r="AB438" i="11"/>
  <c r="AC438" i="11"/>
  <c r="AD438" i="11"/>
  <c r="AE438" i="11"/>
  <c r="AF438" i="11"/>
  <c r="Z439" i="11"/>
  <c r="AA439" i="11"/>
  <c r="AB439" i="11"/>
  <c r="AC439" i="11"/>
  <c r="AD439" i="11"/>
  <c r="AE439" i="11"/>
  <c r="AF439" i="11"/>
  <c r="Z440" i="11"/>
  <c r="AA440" i="11"/>
  <c r="AB440" i="11"/>
  <c r="AC440" i="11"/>
  <c r="AD440" i="11"/>
  <c r="AE440" i="11"/>
  <c r="AF440" i="11"/>
  <c r="Z441" i="11"/>
  <c r="AA441" i="11"/>
  <c r="AB441" i="11"/>
  <c r="AC441" i="11"/>
  <c r="AD441" i="11"/>
  <c r="AE441" i="11"/>
  <c r="AF441" i="11"/>
  <c r="Z442" i="11"/>
  <c r="AA442" i="11"/>
  <c r="AB442" i="11"/>
  <c r="AC442" i="11"/>
  <c r="AD442" i="11"/>
  <c r="AE442" i="11"/>
  <c r="AF442" i="11"/>
  <c r="Z443" i="11"/>
  <c r="AA443" i="11"/>
  <c r="AB443" i="11"/>
  <c r="AC443" i="11"/>
  <c r="AD443" i="11"/>
  <c r="AE443" i="11"/>
  <c r="AF443" i="11"/>
  <c r="Z444" i="11"/>
  <c r="AA444" i="11"/>
  <c r="AB444" i="11"/>
  <c r="AC444" i="11"/>
  <c r="AD444" i="11"/>
  <c r="AE444" i="11"/>
  <c r="AF444" i="11"/>
  <c r="Z445" i="11"/>
  <c r="AA445" i="11"/>
  <c r="AB445" i="11"/>
  <c r="AC445" i="11"/>
  <c r="AD445" i="11"/>
  <c r="AE445" i="11"/>
  <c r="AF445" i="11"/>
  <c r="Z446" i="11"/>
  <c r="AA446" i="11"/>
  <c r="AB446" i="11"/>
  <c r="AC446" i="11"/>
  <c r="AD446" i="11"/>
  <c r="AE446" i="11"/>
  <c r="AF446" i="11"/>
  <c r="Z447" i="11"/>
  <c r="AA447" i="11"/>
  <c r="AB447" i="11"/>
  <c r="AC447" i="11"/>
  <c r="AD447" i="11"/>
  <c r="AE447" i="11"/>
  <c r="AF447" i="11"/>
  <c r="Z448" i="11"/>
  <c r="AA448" i="11"/>
  <c r="AB448" i="11"/>
  <c r="AC448" i="11"/>
  <c r="AD448" i="11"/>
  <c r="AE448" i="11"/>
  <c r="AF448" i="11"/>
  <c r="Z449" i="11"/>
  <c r="AA449" i="11"/>
  <c r="AB449" i="11"/>
  <c r="AC449" i="11"/>
  <c r="AD449" i="11"/>
  <c r="AE449" i="11"/>
  <c r="AF449" i="11"/>
  <c r="Z450" i="11"/>
  <c r="AA450" i="11"/>
  <c r="AB450" i="11"/>
  <c r="AC450" i="11"/>
  <c r="AD450" i="11"/>
  <c r="AE450" i="11"/>
  <c r="AF450" i="11"/>
  <c r="Z451" i="11"/>
  <c r="AA451" i="11"/>
  <c r="AB451" i="11"/>
  <c r="AC451" i="11"/>
  <c r="AD451" i="11"/>
  <c r="AE451" i="11"/>
  <c r="AF451" i="11"/>
  <c r="Z452" i="11"/>
  <c r="AA452" i="11"/>
  <c r="AB452" i="11"/>
  <c r="AC452" i="11"/>
  <c r="AD452" i="11"/>
  <c r="AE452" i="11"/>
  <c r="AF452" i="11"/>
  <c r="Z453" i="11"/>
  <c r="AA453" i="11"/>
  <c r="AB453" i="11"/>
  <c r="AC453" i="11"/>
  <c r="AD453" i="11"/>
  <c r="AE453" i="11"/>
  <c r="AF453" i="11"/>
  <c r="Z454" i="11"/>
  <c r="AA454" i="11"/>
  <c r="AB454" i="11"/>
  <c r="AC454" i="11"/>
  <c r="AD454" i="11"/>
  <c r="AE454" i="11"/>
  <c r="AF454" i="11"/>
  <c r="Z455" i="11"/>
  <c r="AA455" i="11"/>
  <c r="AB455" i="11"/>
  <c r="AC455" i="11"/>
  <c r="AD455" i="11"/>
  <c r="AE455" i="11"/>
  <c r="AF455" i="11"/>
  <c r="Z456" i="11"/>
  <c r="AA456" i="11"/>
  <c r="AB456" i="11"/>
  <c r="AC456" i="11"/>
  <c r="AD456" i="11"/>
  <c r="AE456" i="11"/>
  <c r="AF456" i="11"/>
  <c r="Z457" i="11"/>
  <c r="AA457" i="11"/>
  <c r="AB457" i="11"/>
  <c r="AC457" i="11"/>
  <c r="AD457" i="11"/>
  <c r="AE457" i="11"/>
  <c r="AF457" i="11"/>
  <c r="Z458" i="11"/>
  <c r="AA458" i="11"/>
  <c r="AB458" i="11"/>
  <c r="AC458" i="11"/>
  <c r="AD458" i="11"/>
  <c r="AE458" i="11"/>
  <c r="AF458" i="11"/>
  <c r="Z459" i="11"/>
  <c r="AA459" i="11"/>
  <c r="AB459" i="11"/>
  <c r="AC459" i="11"/>
  <c r="AD459" i="11"/>
  <c r="AE459" i="11"/>
  <c r="AF459" i="11"/>
  <c r="Z460" i="11"/>
  <c r="AA460" i="11"/>
  <c r="AB460" i="11"/>
  <c r="AC460" i="11"/>
  <c r="AD460" i="11"/>
  <c r="AE460" i="11"/>
  <c r="AF460" i="11"/>
  <c r="Z461" i="11"/>
  <c r="AA461" i="11"/>
  <c r="AB461" i="11"/>
  <c r="AC461" i="11"/>
  <c r="AD461" i="11"/>
  <c r="AE461" i="11"/>
  <c r="AF461" i="11"/>
  <c r="Z462" i="11"/>
  <c r="AA462" i="11"/>
  <c r="AB462" i="11"/>
  <c r="AC462" i="11"/>
  <c r="AD462" i="11"/>
  <c r="AE462" i="11"/>
  <c r="AF462" i="11"/>
  <c r="Z463" i="11"/>
  <c r="AA463" i="11"/>
  <c r="AB463" i="11"/>
  <c r="AC463" i="11"/>
  <c r="AD463" i="11"/>
  <c r="AE463" i="11"/>
  <c r="AF463" i="11"/>
  <c r="Z464" i="11"/>
  <c r="AA464" i="11"/>
  <c r="AB464" i="11"/>
  <c r="AC464" i="11"/>
  <c r="AD464" i="11"/>
  <c r="AE464" i="11"/>
  <c r="AF464" i="11"/>
  <c r="Z465" i="11"/>
  <c r="AA465" i="11"/>
  <c r="AB465" i="11"/>
  <c r="AC465" i="11"/>
  <c r="AD465" i="11"/>
  <c r="AE465" i="11"/>
  <c r="AF465" i="11"/>
  <c r="Z466" i="11"/>
  <c r="AA466" i="11"/>
  <c r="AB466" i="11"/>
  <c r="AC466" i="11"/>
  <c r="AD466" i="11"/>
  <c r="AE466" i="11"/>
  <c r="AF466" i="11"/>
  <c r="Z467" i="11"/>
  <c r="AA467" i="11"/>
  <c r="AB467" i="11"/>
  <c r="AC467" i="11"/>
  <c r="AD467" i="11"/>
  <c r="AE467" i="11"/>
  <c r="AF467" i="11"/>
  <c r="Z468" i="11"/>
  <c r="AA468" i="11"/>
  <c r="AB468" i="11"/>
  <c r="AC468" i="11"/>
  <c r="AD468" i="11"/>
  <c r="AE468" i="11"/>
  <c r="AF468" i="11"/>
  <c r="Z469" i="11"/>
  <c r="AA469" i="11"/>
  <c r="AB469" i="11"/>
  <c r="AC469" i="11"/>
  <c r="AD469" i="11"/>
  <c r="AE469" i="11"/>
  <c r="AF469" i="11"/>
  <c r="Z470" i="11"/>
  <c r="AA470" i="11"/>
  <c r="AB470" i="11"/>
  <c r="AC470" i="11"/>
  <c r="AD470" i="11"/>
  <c r="AE470" i="11"/>
  <c r="AF470" i="11"/>
  <c r="Z471" i="11"/>
  <c r="AA471" i="11"/>
  <c r="AB471" i="11"/>
  <c r="AC471" i="11"/>
  <c r="AD471" i="11"/>
  <c r="AE471" i="11"/>
  <c r="AF471" i="11"/>
  <c r="Z472" i="11"/>
  <c r="AA472" i="11"/>
  <c r="AB472" i="11"/>
  <c r="AC472" i="11"/>
  <c r="AD472" i="11"/>
  <c r="AE472" i="11"/>
  <c r="AF472" i="11"/>
  <c r="Z473" i="11"/>
  <c r="AA473" i="11"/>
  <c r="AB473" i="11"/>
  <c r="AC473" i="11"/>
  <c r="AD473" i="11"/>
  <c r="AE473" i="11"/>
  <c r="AF473" i="11"/>
  <c r="Z474" i="11"/>
  <c r="AA474" i="11"/>
  <c r="AB474" i="11"/>
  <c r="AC474" i="11"/>
  <c r="AD474" i="11"/>
  <c r="AE474" i="11"/>
  <c r="AF474" i="11"/>
  <c r="Z475" i="11"/>
  <c r="AA475" i="11"/>
  <c r="AB475" i="11"/>
  <c r="AC475" i="11"/>
  <c r="AD475" i="11"/>
  <c r="AE475" i="11"/>
  <c r="AF475" i="11"/>
  <c r="Z476" i="11"/>
  <c r="AA476" i="11"/>
  <c r="AB476" i="11"/>
  <c r="AC476" i="11"/>
  <c r="AD476" i="11"/>
  <c r="AE476" i="11"/>
  <c r="AF476" i="11"/>
  <c r="Z477" i="11"/>
  <c r="AA477" i="11"/>
  <c r="AB477" i="11"/>
  <c r="AC477" i="11"/>
  <c r="AD477" i="11"/>
  <c r="AE477" i="11"/>
  <c r="AF477" i="11"/>
  <c r="Z478" i="11"/>
  <c r="AA478" i="11"/>
  <c r="AB478" i="11"/>
  <c r="AC478" i="11"/>
  <c r="AD478" i="11"/>
  <c r="AE478" i="11"/>
  <c r="AF478" i="11"/>
  <c r="Z479" i="11"/>
  <c r="AA479" i="11"/>
  <c r="AB479" i="11"/>
  <c r="AC479" i="11"/>
  <c r="AD479" i="11"/>
  <c r="AE479" i="11"/>
  <c r="AF479" i="11"/>
  <c r="Z480" i="11"/>
  <c r="AA480" i="11"/>
  <c r="AB480" i="11"/>
  <c r="AC480" i="11"/>
  <c r="AD480" i="11"/>
  <c r="AE480" i="11"/>
  <c r="AF480" i="11"/>
  <c r="Z481" i="11"/>
  <c r="AA481" i="11"/>
  <c r="AB481" i="11"/>
  <c r="AC481" i="11"/>
  <c r="AD481" i="11"/>
  <c r="AE481" i="11"/>
  <c r="AF481" i="11"/>
  <c r="Z482" i="11"/>
  <c r="AA482" i="11"/>
  <c r="AB482" i="11"/>
  <c r="AC482" i="11"/>
  <c r="AD482" i="11"/>
  <c r="AE482" i="11"/>
  <c r="AF482" i="11"/>
  <c r="Z483" i="11"/>
  <c r="AA483" i="11"/>
  <c r="AB483" i="11"/>
  <c r="AC483" i="11"/>
  <c r="AD483" i="11"/>
  <c r="AE483" i="11"/>
  <c r="AF483" i="11"/>
  <c r="Z484" i="11"/>
  <c r="AA484" i="11"/>
  <c r="AB484" i="11"/>
  <c r="AC484" i="11"/>
  <c r="AD484" i="11"/>
  <c r="AE484" i="11"/>
  <c r="AF484" i="11"/>
  <c r="Z485" i="11"/>
  <c r="AA485" i="11"/>
  <c r="AB485" i="11"/>
  <c r="AC485" i="11"/>
  <c r="AD485" i="11"/>
  <c r="AE485" i="11"/>
  <c r="AF485" i="11"/>
  <c r="Z486" i="11"/>
  <c r="AA486" i="11"/>
  <c r="AB486" i="11"/>
  <c r="AC486" i="11"/>
  <c r="AD486" i="11"/>
  <c r="AE486" i="11"/>
  <c r="AF486" i="11"/>
  <c r="Z487" i="11"/>
  <c r="AA487" i="11"/>
  <c r="AB487" i="11"/>
  <c r="AC487" i="11"/>
  <c r="AD487" i="11"/>
  <c r="AE487" i="11"/>
  <c r="AF487" i="11"/>
  <c r="Z488" i="11"/>
  <c r="AA488" i="11"/>
  <c r="AB488" i="11"/>
  <c r="AC488" i="11"/>
  <c r="AD488" i="11"/>
  <c r="AE488" i="11"/>
  <c r="AF488" i="11"/>
  <c r="Z489" i="11"/>
  <c r="AA489" i="11"/>
  <c r="AB489" i="11"/>
  <c r="AC489" i="11"/>
  <c r="AD489" i="11"/>
  <c r="AE489" i="11"/>
  <c r="AF489" i="11"/>
  <c r="Z490" i="11"/>
  <c r="AA490" i="11"/>
  <c r="AB490" i="11"/>
  <c r="AC490" i="11"/>
  <c r="AD490" i="11"/>
  <c r="AE490" i="11"/>
  <c r="AF490" i="11"/>
  <c r="Z491" i="11"/>
  <c r="AA491" i="11"/>
  <c r="AB491" i="11"/>
  <c r="AC491" i="11"/>
  <c r="AD491" i="11"/>
  <c r="AE491" i="11"/>
  <c r="AF491" i="11"/>
  <c r="Z492" i="11"/>
  <c r="AA492" i="11"/>
  <c r="AB492" i="11"/>
  <c r="AC492" i="11"/>
  <c r="AD492" i="11"/>
  <c r="AE492" i="11"/>
  <c r="AF492" i="11"/>
  <c r="Z493" i="11"/>
  <c r="AA493" i="11"/>
  <c r="AB493" i="11"/>
  <c r="AC493" i="11"/>
  <c r="AD493" i="11"/>
  <c r="AE493" i="11"/>
  <c r="AF493" i="11"/>
  <c r="Z494" i="11"/>
  <c r="AA494" i="11"/>
  <c r="AB494" i="11"/>
  <c r="AC494" i="11"/>
  <c r="AD494" i="11"/>
  <c r="AE494" i="11"/>
  <c r="AF494" i="11"/>
  <c r="Z495" i="11"/>
  <c r="AA495" i="11"/>
  <c r="AB495" i="11"/>
  <c r="AC495" i="11"/>
  <c r="AD495" i="11"/>
  <c r="AE495" i="11"/>
  <c r="AF495" i="11"/>
  <c r="Z496" i="11"/>
  <c r="AA496" i="11"/>
  <c r="AB496" i="11"/>
  <c r="AC496" i="11"/>
  <c r="AD496" i="11"/>
  <c r="AE496" i="11"/>
  <c r="AF496" i="11"/>
  <c r="Z497" i="11"/>
  <c r="AA497" i="11"/>
  <c r="AB497" i="11"/>
  <c r="AC497" i="11"/>
  <c r="AD497" i="11"/>
  <c r="AE497" i="11"/>
  <c r="AF497" i="11"/>
  <c r="Z498" i="11"/>
  <c r="AA498" i="11"/>
  <c r="AB498" i="11"/>
  <c r="AC498" i="11"/>
  <c r="AD498" i="11"/>
  <c r="AE498" i="11"/>
  <c r="AF498" i="11"/>
  <c r="Z499" i="11"/>
  <c r="AA499" i="11"/>
  <c r="AB499" i="11"/>
  <c r="AC499" i="11"/>
  <c r="AD499" i="11"/>
  <c r="AE499" i="11"/>
  <c r="AF499" i="11"/>
  <c r="Z500" i="11"/>
  <c r="AA500" i="11"/>
  <c r="AB500" i="11"/>
  <c r="AC500" i="11"/>
  <c r="AD500" i="11"/>
  <c r="AE500" i="11"/>
  <c r="AF500" i="11"/>
  <c r="Z501" i="11"/>
  <c r="AA501" i="11"/>
  <c r="AB501" i="11"/>
  <c r="AC501" i="11"/>
  <c r="AD501" i="11"/>
  <c r="AE501" i="11"/>
  <c r="AF501" i="11"/>
  <c r="Z502" i="11"/>
  <c r="AA502" i="11"/>
  <c r="AB502" i="11"/>
  <c r="AC502" i="11"/>
  <c r="AD502" i="11"/>
  <c r="AE502" i="11"/>
  <c r="AF502" i="11"/>
  <c r="Z503" i="11"/>
  <c r="AA503" i="11"/>
  <c r="AB503" i="11"/>
  <c r="AC503" i="11"/>
  <c r="AD503" i="11"/>
  <c r="AE503" i="11"/>
  <c r="AF503" i="11"/>
  <c r="Z504" i="11"/>
  <c r="AA504" i="11"/>
  <c r="AB504" i="11"/>
  <c r="AC504" i="11"/>
  <c r="AD504" i="11"/>
  <c r="AE504" i="11"/>
  <c r="AF504" i="11"/>
  <c r="Z505" i="11"/>
  <c r="AA505" i="11"/>
  <c r="AB505" i="11"/>
  <c r="AC505" i="11"/>
  <c r="AD505" i="11"/>
  <c r="AE505" i="11"/>
  <c r="AF505" i="11"/>
  <c r="Z506" i="11"/>
  <c r="AA506" i="11"/>
  <c r="AB506" i="11"/>
  <c r="AC506" i="11"/>
  <c r="AD506" i="11"/>
  <c r="AE506" i="11"/>
  <c r="AF506" i="11"/>
  <c r="Z507" i="11"/>
  <c r="AA507" i="11"/>
  <c r="AB507" i="11"/>
  <c r="AC507" i="11"/>
  <c r="AD507" i="11"/>
  <c r="AE507" i="11"/>
  <c r="AF507" i="11"/>
  <c r="Z508" i="11"/>
  <c r="AA508" i="11"/>
  <c r="AB508" i="11"/>
  <c r="AC508" i="11"/>
  <c r="AD508" i="11"/>
  <c r="AE508" i="11"/>
  <c r="AF508" i="11"/>
  <c r="Z509" i="11"/>
  <c r="AA509" i="11"/>
  <c r="AB509" i="11"/>
  <c r="AC509" i="11"/>
  <c r="AD509" i="11"/>
  <c r="AE509" i="11"/>
  <c r="AF509" i="11"/>
  <c r="Z510" i="11"/>
  <c r="AA510" i="11"/>
  <c r="AB510" i="11"/>
  <c r="AC510" i="11"/>
  <c r="AD510" i="11"/>
  <c r="AE510" i="11"/>
  <c r="AF510" i="11"/>
  <c r="Z511" i="11"/>
  <c r="AA511" i="11"/>
  <c r="AB511" i="11"/>
  <c r="AC511" i="11"/>
  <c r="AD511" i="11"/>
  <c r="AE511" i="11"/>
  <c r="AF511" i="11"/>
  <c r="Z512" i="11"/>
  <c r="AA512" i="11"/>
  <c r="AB512" i="11"/>
  <c r="AC512" i="11"/>
  <c r="AD512" i="11"/>
  <c r="AE512" i="11"/>
  <c r="AF512" i="11"/>
  <c r="Z513" i="11"/>
  <c r="AA513" i="11"/>
  <c r="AB513" i="11"/>
  <c r="AC513" i="11"/>
  <c r="AD513" i="11"/>
  <c r="AE513" i="11"/>
  <c r="AF513" i="11"/>
  <c r="Z514" i="11"/>
  <c r="AA514" i="11"/>
  <c r="AB514" i="11"/>
  <c r="AC514" i="11"/>
  <c r="AD514" i="11"/>
  <c r="AE514" i="11"/>
  <c r="AF514" i="11"/>
  <c r="Z515" i="11"/>
  <c r="AA515" i="11"/>
  <c r="AB515" i="11"/>
  <c r="AC515" i="11"/>
  <c r="AD515" i="11"/>
  <c r="AE515" i="11"/>
  <c r="AF515" i="11"/>
  <c r="Z516" i="11"/>
  <c r="AA516" i="11"/>
  <c r="AB516" i="11"/>
  <c r="AC516" i="11"/>
  <c r="AD516" i="11"/>
  <c r="AE516" i="11"/>
  <c r="AF516" i="11"/>
  <c r="Z517" i="11"/>
  <c r="AA517" i="11"/>
  <c r="AB517" i="11"/>
  <c r="AC517" i="11"/>
  <c r="AD517" i="11"/>
  <c r="AE517" i="11"/>
  <c r="AF517" i="11"/>
  <c r="Z518" i="11"/>
  <c r="AA518" i="11"/>
  <c r="AB518" i="11"/>
  <c r="AC518" i="11"/>
  <c r="AD518" i="11"/>
  <c r="AE518" i="11"/>
  <c r="AF518" i="11"/>
  <c r="Z519" i="11"/>
  <c r="AA519" i="11"/>
  <c r="AB519" i="11"/>
  <c r="AC519" i="11"/>
  <c r="AD519" i="11"/>
  <c r="AE519" i="11"/>
  <c r="AF519" i="11"/>
  <c r="Z520" i="11"/>
  <c r="AA520" i="11"/>
  <c r="AB520" i="11"/>
  <c r="AC520" i="11"/>
  <c r="AD520" i="11"/>
  <c r="AE520" i="11"/>
  <c r="AF520" i="11"/>
  <c r="Z521" i="11"/>
  <c r="AA521" i="11"/>
  <c r="AB521" i="11"/>
  <c r="AC521" i="11"/>
  <c r="AD521" i="11"/>
  <c r="AE521" i="11"/>
  <c r="AF521" i="11"/>
  <c r="Z522" i="11"/>
  <c r="AA522" i="11"/>
  <c r="AB522" i="11"/>
  <c r="AC522" i="11"/>
  <c r="AD522" i="11"/>
  <c r="AE522" i="11"/>
  <c r="AF522" i="11"/>
  <c r="Z523" i="11"/>
  <c r="AA523" i="11"/>
  <c r="AB523" i="11"/>
  <c r="AC523" i="11"/>
  <c r="AD523" i="11"/>
  <c r="AE523" i="11"/>
  <c r="AF523" i="11"/>
  <c r="Z524" i="11"/>
  <c r="AA524" i="11"/>
  <c r="AB524" i="11"/>
  <c r="AC524" i="11"/>
  <c r="AD524" i="11"/>
  <c r="AE524" i="11"/>
  <c r="AF524" i="11"/>
  <c r="Z525" i="11"/>
  <c r="AA525" i="11"/>
  <c r="AB525" i="11"/>
  <c r="AC525" i="11"/>
  <c r="AD525" i="11"/>
  <c r="AE525" i="11"/>
  <c r="AF525" i="11"/>
  <c r="Z526" i="11"/>
  <c r="AA526" i="11"/>
  <c r="AB526" i="11"/>
  <c r="AC526" i="11"/>
  <c r="AD526" i="11"/>
  <c r="AE526" i="11"/>
  <c r="AF526" i="11"/>
  <c r="Z527" i="11"/>
  <c r="AA527" i="11"/>
  <c r="AB527" i="11"/>
  <c r="AC527" i="11"/>
  <c r="AD527" i="11"/>
  <c r="AE527" i="11"/>
  <c r="AF527" i="11"/>
  <c r="Z528" i="11"/>
  <c r="AA528" i="11"/>
  <c r="AB528" i="11"/>
  <c r="AC528" i="11"/>
  <c r="AD528" i="11"/>
  <c r="AE528" i="11"/>
  <c r="AF528" i="11"/>
  <c r="Z529" i="11"/>
  <c r="AA529" i="11"/>
  <c r="AB529" i="11"/>
  <c r="AC529" i="11"/>
  <c r="AD529" i="11"/>
  <c r="AE529" i="11"/>
  <c r="AF529" i="11"/>
  <c r="Z530" i="11"/>
  <c r="AA530" i="11"/>
  <c r="AB530" i="11"/>
  <c r="AC530" i="11"/>
  <c r="AD530" i="11"/>
  <c r="AE530" i="11"/>
  <c r="AF530" i="11"/>
  <c r="Z531" i="11"/>
  <c r="AA531" i="11"/>
  <c r="AB531" i="11"/>
  <c r="AC531" i="11"/>
  <c r="AD531" i="11"/>
  <c r="AE531" i="11"/>
  <c r="AF531" i="11"/>
  <c r="Z532" i="11"/>
  <c r="AA532" i="11"/>
  <c r="AB532" i="11"/>
  <c r="AC532" i="11"/>
  <c r="AD532" i="11"/>
  <c r="AE532" i="11"/>
  <c r="AF532" i="11"/>
  <c r="Z533" i="11"/>
  <c r="AA533" i="11"/>
  <c r="AB533" i="11"/>
  <c r="AC533" i="11"/>
  <c r="AD533" i="11"/>
  <c r="AE533" i="11"/>
  <c r="AF533" i="11"/>
  <c r="Z534" i="11"/>
  <c r="AA534" i="11"/>
  <c r="AB534" i="11"/>
  <c r="AC534" i="11"/>
  <c r="AD534" i="11"/>
  <c r="AE534" i="11"/>
  <c r="AF534" i="11"/>
  <c r="Z535" i="11"/>
  <c r="AA535" i="11"/>
  <c r="AB535" i="11"/>
  <c r="AC535" i="11"/>
  <c r="AD535" i="11"/>
  <c r="AE535" i="11"/>
  <c r="AF535" i="11"/>
  <c r="Z536" i="11"/>
  <c r="AA536" i="11"/>
  <c r="AB536" i="11"/>
  <c r="AC536" i="11"/>
  <c r="AD536" i="11"/>
  <c r="AE536" i="11"/>
  <c r="AF536" i="11"/>
  <c r="Z537" i="11"/>
  <c r="AA537" i="11"/>
  <c r="AB537" i="11"/>
  <c r="AC537" i="11"/>
  <c r="AD537" i="11"/>
  <c r="AE537" i="11"/>
  <c r="AF537" i="11"/>
  <c r="Z538" i="11"/>
  <c r="AA538" i="11"/>
  <c r="AB538" i="11"/>
  <c r="AC538" i="11"/>
  <c r="AD538" i="11"/>
  <c r="AE538" i="11"/>
  <c r="AF538" i="11"/>
  <c r="Z539" i="11"/>
  <c r="AA539" i="11"/>
  <c r="AB539" i="11"/>
  <c r="AC539" i="11"/>
  <c r="AD539" i="11"/>
  <c r="AE539" i="11"/>
  <c r="AF539" i="11"/>
  <c r="Z540" i="11"/>
  <c r="AA540" i="11"/>
  <c r="AB540" i="11"/>
  <c r="AC540" i="11"/>
  <c r="AD540" i="11"/>
  <c r="AE540" i="11"/>
  <c r="AF540" i="11"/>
  <c r="Z541" i="11"/>
  <c r="AA541" i="11"/>
  <c r="AB541" i="11"/>
  <c r="AC541" i="11"/>
  <c r="AD541" i="11"/>
  <c r="AE541" i="11"/>
  <c r="AF541" i="11"/>
  <c r="Z542" i="11"/>
  <c r="AA542" i="11"/>
  <c r="AB542" i="11"/>
  <c r="AC542" i="11"/>
  <c r="AD542" i="11"/>
  <c r="AE542" i="11"/>
  <c r="AF542" i="11"/>
  <c r="Z543" i="11"/>
  <c r="AA543" i="11"/>
  <c r="AB543" i="11"/>
  <c r="AC543" i="11"/>
  <c r="AD543" i="11"/>
  <c r="AE543" i="11"/>
  <c r="AF543" i="11"/>
  <c r="Z544" i="11"/>
  <c r="AA544" i="11"/>
  <c r="AB544" i="11"/>
  <c r="AC544" i="11"/>
  <c r="AD544" i="11"/>
  <c r="AE544" i="11"/>
  <c r="AF544" i="11"/>
  <c r="Z545" i="11"/>
  <c r="AA545" i="11"/>
  <c r="AB545" i="11"/>
  <c r="AC545" i="11"/>
  <c r="AD545" i="11"/>
  <c r="AE545" i="11"/>
  <c r="AF545" i="11"/>
  <c r="Z546" i="11"/>
  <c r="AA546" i="11"/>
  <c r="AB546" i="11"/>
  <c r="AC546" i="11"/>
  <c r="AD546" i="11"/>
  <c r="AE546" i="11"/>
  <c r="AF546" i="11"/>
  <c r="Z547" i="11"/>
  <c r="AA547" i="11"/>
  <c r="AB547" i="11"/>
  <c r="AC547" i="11"/>
  <c r="AD547" i="11"/>
  <c r="AE547" i="11"/>
  <c r="AF547" i="11"/>
  <c r="Z548" i="11"/>
  <c r="AA548" i="11"/>
  <c r="AB548" i="11"/>
  <c r="AC548" i="11"/>
  <c r="AD548" i="11"/>
  <c r="AE548" i="11"/>
  <c r="AF548" i="11"/>
  <c r="Z549" i="11"/>
  <c r="AA549" i="11"/>
  <c r="AB549" i="11"/>
  <c r="AC549" i="11"/>
  <c r="AD549" i="11"/>
  <c r="AE549" i="11"/>
  <c r="AF549" i="11"/>
  <c r="Z550" i="11"/>
  <c r="AA550" i="11"/>
  <c r="AB550" i="11"/>
  <c r="AC550" i="11"/>
  <c r="AD550" i="11"/>
  <c r="AE550" i="11"/>
  <c r="AF550" i="11"/>
  <c r="Z551" i="11"/>
  <c r="AA551" i="11"/>
  <c r="AB551" i="11"/>
  <c r="AC551" i="11"/>
  <c r="AD551" i="11"/>
  <c r="AE551" i="11"/>
  <c r="AF551" i="11"/>
  <c r="Z552" i="11"/>
  <c r="AA552" i="11"/>
  <c r="AB552" i="11"/>
  <c r="AC552" i="11"/>
  <c r="AD552" i="11"/>
  <c r="AE552" i="11"/>
  <c r="AF552" i="11"/>
  <c r="Z553" i="11"/>
  <c r="AA553" i="11"/>
  <c r="AB553" i="11"/>
  <c r="AC553" i="11"/>
  <c r="AD553" i="11"/>
  <c r="AE553" i="11"/>
  <c r="AF553" i="11"/>
  <c r="Z554" i="11"/>
  <c r="AA554" i="11"/>
  <c r="AB554" i="11"/>
  <c r="AC554" i="11"/>
  <c r="AD554" i="11"/>
  <c r="AE554" i="11"/>
  <c r="AF554" i="11"/>
  <c r="Z555" i="11"/>
  <c r="AA555" i="11"/>
  <c r="AB555" i="11"/>
  <c r="AC555" i="11"/>
  <c r="AD555" i="11"/>
  <c r="AE555" i="11"/>
  <c r="AF555" i="11"/>
  <c r="Z556" i="11"/>
  <c r="AA556" i="11"/>
  <c r="AB556" i="11"/>
  <c r="AC556" i="11"/>
  <c r="AD556" i="11"/>
  <c r="AE556" i="11"/>
  <c r="AF556" i="11"/>
  <c r="Z557" i="11"/>
  <c r="AA557" i="11"/>
  <c r="AB557" i="11"/>
  <c r="AC557" i="11"/>
  <c r="AD557" i="11"/>
  <c r="AE557" i="11"/>
  <c r="AF557" i="11"/>
  <c r="Z558" i="11"/>
  <c r="AA558" i="11"/>
  <c r="AB558" i="11"/>
  <c r="AC558" i="11"/>
  <c r="AD558" i="11"/>
  <c r="AE558" i="11"/>
  <c r="AF558" i="11"/>
  <c r="Z559" i="11"/>
  <c r="AA559" i="11"/>
  <c r="AB559" i="11"/>
  <c r="AC559" i="11"/>
  <c r="AD559" i="11"/>
  <c r="AE559" i="11"/>
  <c r="AF559" i="11"/>
  <c r="Z560" i="11"/>
  <c r="AA560" i="11"/>
  <c r="AB560" i="11"/>
  <c r="AC560" i="11"/>
  <c r="AD560" i="11"/>
  <c r="AE560" i="11"/>
  <c r="AF560" i="11"/>
  <c r="Z561" i="11"/>
  <c r="AA561" i="11"/>
  <c r="AB561" i="11"/>
  <c r="AC561" i="11"/>
  <c r="AD561" i="11"/>
  <c r="AE561" i="11"/>
  <c r="AF561" i="11"/>
  <c r="Z562" i="11"/>
  <c r="AA562" i="11"/>
  <c r="AB562" i="11"/>
  <c r="AC562" i="11"/>
  <c r="AD562" i="11"/>
  <c r="AE562" i="11"/>
  <c r="AF562" i="11"/>
  <c r="Z563" i="11"/>
  <c r="AA563" i="11"/>
  <c r="AB563" i="11"/>
  <c r="AC563" i="11"/>
  <c r="AD563" i="11"/>
  <c r="AE563" i="11"/>
  <c r="AF563" i="11"/>
  <c r="Z564" i="11"/>
  <c r="AA564" i="11"/>
  <c r="AB564" i="11"/>
  <c r="AC564" i="11"/>
  <c r="AD564" i="11"/>
  <c r="AE564" i="11"/>
  <c r="AF564" i="11"/>
  <c r="Z565" i="11"/>
  <c r="AA565" i="11"/>
  <c r="AB565" i="11"/>
  <c r="AC565" i="11"/>
  <c r="AD565" i="11"/>
  <c r="AE565" i="11"/>
  <c r="AF565" i="11"/>
  <c r="Z566" i="11"/>
  <c r="AA566" i="11"/>
  <c r="AB566" i="11"/>
  <c r="AC566" i="11"/>
  <c r="AD566" i="11"/>
  <c r="AE566" i="11"/>
  <c r="AF566" i="11"/>
  <c r="Z567" i="11"/>
  <c r="AA567" i="11"/>
  <c r="AB567" i="11"/>
  <c r="AC567" i="11"/>
  <c r="AD567" i="11"/>
  <c r="AE567" i="11"/>
  <c r="AF567" i="11"/>
  <c r="Z568" i="11"/>
  <c r="AA568" i="11"/>
  <c r="AB568" i="11"/>
  <c r="AC568" i="11"/>
  <c r="AD568" i="11"/>
  <c r="AE568" i="11"/>
  <c r="AF568" i="11"/>
  <c r="Z569" i="11"/>
  <c r="AA569" i="11"/>
  <c r="AB569" i="11"/>
  <c r="AC569" i="11"/>
  <c r="AD569" i="11"/>
  <c r="AE569" i="11"/>
  <c r="AF569" i="11"/>
  <c r="Z570" i="11"/>
  <c r="AA570" i="11"/>
  <c r="AB570" i="11"/>
  <c r="AC570" i="11"/>
  <c r="AD570" i="11"/>
  <c r="AE570" i="11"/>
  <c r="AF570" i="11"/>
  <c r="Z571" i="11"/>
  <c r="AA571" i="11"/>
  <c r="AB571" i="11"/>
  <c r="AC571" i="11"/>
  <c r="AD571" i="11"/>
  <c r="AE571" i="11"/>
  <c r="AF571" i="11"/>
  <c r="Z572" i="11"/>
  <c r="AA572" i="11"/>
  <c r="AB572" i="11"/>
  <c r="AC572" i="11"/>
  <c r="AD572" i="11"/>
  <c r="AE572" i="11"/>
  <c r="AF572" i="11"/>
  <c r="Z573" i="11"/>
  <c r="AA573" i="11"/>
  <c r="AB573" i="11"/>
  <c r="AC573" i="11"/>
  <c r="AD573" i="11"/>
  <c r="AE573" i="11"/>
  <c r="AF573" i="11"/>
  <c r="Z574" i="11"/>
  <c r="AA574" i="11"/>
  <c r="AB574" i="11"/>
  <c r="AC574" i="11"/>
  <c r="AD574" i="11"/>
  <c r="AE574" i="11"/>
  <c r="AF574" i="11"/>
  <c r="Z575" i="11"/>
  <c r="AA575" i="11"/>
  <c r="AB575" i="11"/>
  <c r="AC575" i="11"/>
  <c r="AD575" i="11"/>
  <c r="AE575" i="11"/>
  <c r="AF575" i="11"/>
  <c r="Z576" i="11"/>
  <c r="AA576" i="11"/>
  <c r="AB576" i="11"/>
  <c r="AC576" i="11"/>
  <c r="AD576" i="11"/>
  <c r="AE576" i="11"/>
  <c r="AF576" i="11"/>
  <c r="Z577" i="11"/>
  <c r="AA577" i="11"/>
  <c r="AB577" i="11"/>
  <c r="AC577" i="11"/>
  <c r="AD577" i="11"/>
  <c r="AE577" i="11"/>
  <c r="AF577" i="11"/>
  <c r="Z578" i="11"/>
  <c r="AA578" i="11"/>
  <c r="AB578" i="11"/>
  <c r="AC578" i="11"/>
  <c r="AD578" i="11"/>
  <c r="AE578" i="11"/>
  <c r="AF578" i="11"/>
  <c r="Z579" i="11"/>
  <c r="AA579" i="11"/>
  <c r="AB579" i="11"/>
  <c r="AC579" i="11"/>
  <c r="AD579" i="11"/>
  <c r="AE579" i="11"/>
  <c r="AF579" i="11"/>
  <c r="Z580" i="11"/>
  <c r="AA580" i="11"/>
  <c r="AB580" i="11"/>
  <c r="AC580" i="11"/>
  <c r="AD580" i="11"/>
  <c r="AE580" i="11"/>
  <c r="AF580" i="11"/>
  <c r="Z581" i="11"/>
  <c r="AA581" i="11"/>
  <c r="AB581" i="11"/>
  <c r="AC581" i="11"/>
  <c r="AD581" i="11"/>
  <c r="AE581" i="11"/>
  <c r="AF581" i="11"/>
  <c r="Z582" i="11"/>
  <c r="AA582" i="11"/>
  <c r="AB582" i="11"/>
  <c r="AC582" i="11"/>
  <c r="AD582" i="11"/>
  <c r="AE582" i="11"/>
  <c r="AF582" i="11"/>
  <c r="Z583" i="11"/>
  <c r="AA583" i="11"/>
  <c r="AB583" i="11"/>
  <c r="AC583" i="11"/>
  <c r="AD583" i="11"/>
  <c r="AE583" i="11"/>
  <c r="AF583" i="11"/>
  <c r="Z584" i="11"/>
  <c r="AA584" i="11"/>
  <c r="AB584" i="11"/>
  <c r="AC584" i="11"/>
  <c r="AD584" i="11"/>
  <c r="AE584" i="11"/>
  <c r="AF584" i="11"/>
  <c r="Z585" i="11"/>
  <c r="AA585" i="11"/>
  <c r="AB585" i="11"/>
  <c r="AC585" i="11"/>
  <c r="AD585" i="11"/>
  <c r="AE585" i="11"/>
  <c r="AF585" i="11"/>
  <c r="Z586" i="11"/>
  <c r="AA586" i="11"/>
  <c r="AB586" i="11"/>
  <c r="AC586" i="11"/>
  <c r="AD586" i="11"/>
  <c r="AE586" i="11"/>
  <c r="AF586" i="11"/>
  <c r="Z587" i="11"/>
  <c r="AA587" i="11"/>
  <c r="AB587" i="11"/>
  <c r="AC587" i="11"/>
  <c r="AD587" i="11"/>
  <c r="AE587" i="11"/>
  <c r="AF587" i="11"/>
  <c r="Z588" i="11"/>
  <c r="AA588" i="11"/>
  <c r="AB588" i="11"/>
  <c r="AC588" i="11"/>
  <c r="AD588" i="11"/>
  <c r="AE588" i="11"/>
  <c r="AF588" i="11"/>
  <c r="Z589" i="11"/>
  <c r="AA589" i="11"/>
  <c r="AB589" i="11"/>
  <c r="AC589" i="11"/>
  <c r="AD589" i="11"/>
  <c r="AE589" i="11"/>
  <c r="AF589" i="11"/>
  <c r="Z590" i="11"/>
  <c r="AA590" i="11"/>
  <c r="AB590" i="11"/>
  <c r="AC590" i="11"/>
  <c r="AD590" i="11"/>
  <c r="AE590" i="11"/>
  <c r="AF590" i="11"/>
  <c r="Z591" i="11"/>
  <c r="AA591" i="11"/>
  <c r="AB591" i="11"/>
  <c r="AC591" i="11"/>
  <c r="AD591" i="11"/>
  <c r="AE591" i="11"/>
  <c r="AF591" i="11"/>
  <c r="Z592" i="11"/>
  <c r="AA592" i="11"/>
  <c r="AB592" i="11"/>
  <c r="AC592" i="11"/>
  <c r="AD592" i="11"/>
  <c r="AE592" i="11"/>
  <c r="AF592" i="11"/>
  <c r="Z593" i="11"/>
  <c r="AA593" i="11"/>
  <c r="AB593" i="11"/>
  <c r="AC593" i="11"/>
  <c r="AD593" i="11"/>
  <c r="AE593" i="11"/>
  <c r="AF593" i="11"/>
  <c r="Z594" i="11"/>
  <c r="AA594" i="11"/>
  <c r="AB594" i="11"/>
  <c r="AC594" i="11"/>
  <c r="AD594" i="11"/>
  <c r="AE594" i="11"/>
  <c r="AF594" i="11"/>
  <c r="Z595" i="11"/>
  <c r="AA595" i="11"/>
  <c r="AB595" i="11"/>
  <c r="AC595" i="11"/>
  <c r="AD595" i="11"/>
  <c r="AE595" i="11"/>
  <c r="AF595" i="11"/>
  <c r="Z596" i="11"/>
  <c r="AA596" i="11"/>
  <c r="AB596" i="11"/>
  <c r="AC596" i="11"/>
  <c r="AD596" i="11"/>
  <c r="AE596" i="11"/>
  <c r="AF596" i="11"/>
  <c r="Z597" i="11"/>
  <c r="AA597" i="11"/>
  <c r="AB597" i="11"/>
  <c r="AC597" i="11"/>
  <c r="AD597" i="11"/>
  <c r="AE597" i="11"/>
  <c r="AF597" i="11"/>
  <c r="Z598" i="11"/>
  <c r="AA598" i="11"/>
  <c r="AB598" i="11"/>
  <c r="AC598" i="11"/>
  <c r="AD598" i="11"/>
  <c r="AE598" i="11"/>
  <c r="AF598" i="11"/>
  <c r="Z599" i="11"/>
  <c r="AA599" i="11"/>
  <c r="AB599" i="11"/>
  <c r="AC599" i="11"/>
  <c r="AD599" i="11"/>
  <c r="AE599" i="11"/>
  <c r="AF599" i="11"/>
  <c r="Z600" i="11"/>
  <c r="AA600" i="11"/>
  <c r="AB600" i="11"/>
  <c r="AC600" i="11"/>
  <c r="AD600" i="11"/>
  <c r="AE600" i="11"/>
  <c r="AF600" i="11"/>
  <c r="Z601" i="11"/>
  <c r="AA601" i="11"/>
  <c r="AB601" i="11"/>
  <c r="AC601" i="11"/>
  <c r="AD601" i="11"/>
  <c r="AE601" i="11"/>
  <c r="AF601" i="11"/>
  <c r="Z602" i="11"/>
  <c r="AA602" i="11"/>
  <c r="AB602" i="11"/>
  <c r="AC602" i="11"/>
  <c r="AD602" i="11"/>
  <c r="AE602" i="11"/>
  <c r="AF602" i="11"/>
  <c r="Z603" i="11"/>
  <c r="AA603" i="11"/>
  <c r="AB603" i="11"/>
  <c r="AC603" i="11"/>
  <c r="AD603" i="11"/>
  <c r="AE603" i="11"/>
  <c r="AF603" i="11"/>
  <c r="Z604" i="11"/>
  <c r="AA604" i="11"/>
  <c r="AB604" i="11"/>
  <c r="AC604" i="11"/>
  <c r="AD604" i="11"/>
  <c r="AE604" i="11"/>
  <c r="AF604" i="11"/>
  <c r="Z605" i="11"/>
  <c r="AA605" i="11"/>
  <c r="AB605" i="11"/>
  <c r="AC605" i="11"/>
  <c r="AD605" i="11"/>
  <c r="AE605" i="11"/>
  <c r="AF605" i="11"/>
  <c r="Z606" i="11"/>
  <c r="AA606" i="11"/>
  <c r="AB606" i="11"/>
  <c r="AC606" i="11"/>
  <c r="AD606" i="11"/>
  <c r="AE606" i="11"/>
  <c r="AF606" i="11"/>
  <c r="Z607" i="11"/>
  <c r="AA607" i="11"/>
  <c r="AB607" i="11"/>
  <c r="AC607" i="11"/>
  <c r="AD607" i="11"/>
  <c r="AE607" i="11"/>
  <c r="AF607" i="11"/>
  <c r="Z608" i="11"/>
  <c r="AA608" i="11"/>
  <c r="AB608" i="11"/>
  <c r="AC608" i="11"/>
  <c r="AD608" i="11"/>
  <c r="AE608" i="11"/>
  <c r="AF608" i="11"/>
  <c r="Z609" i="11"/>
  <c r="AA609" i="11"/>
  <c r="AB609" i="11"/>
  <c r="AC609" i="11"/>
  <c r="AD609" i="11"/>
  <c r="AE609" i="11"/>
  <c r="AF609" i="11"/>
  <c r="Z610" i="11"/>
  <c r="AA610" i="11"/>
  <c r="AB610" i="11"/>
  <c r="AC610" i="11"/>
  <c r="AD610" i="11"/>
  <c r="AE610" i="11"/>
  <c r="AF610" i="11"/>
  <c r="Z611" i="11"/>
  <c r="AA611" i="11"/>
  <c r="AB611" i="11"/>
  <c r="AC611" i="11"/>
  <c r="AD611" i="11"/>
  <c r="AE611" i="11"/>
  <c r="AF611" i="11"/>
  <c r="Z612" i="11"/>
  <c r="AA612" i="11"/>
  <c r="AB612" i="11"/>
  <c r="AC612" i="11"/>
  <c r="AD612" i="11"/>
  <c r="AE612" i="11"/>
  <c r="AF612" i="11"/>
  <c r="Z613" i="11"/>
  <c r="AA613" i="11"/>
  <c r="AB613" i="11"/>
  <c r="AC613" i="11"/>
  <c r="AD613" i="11"/>
  <c r="AE613" i="11"/>
  <c r="AF613" i="11"/>
  <c r="Z614" i="11"/>
  <c r="AA614" i="11"/>
  <c r="AB614" i="11"/>
  <c r="AC614" i="11"/>
  <c r="AD614" i="11"/>
  <c r="AE614" i="11"/>
  <c r="AF614" i="11"/>
  <c r="Z615" i="11"/>
  <c r="AA615" i="11"/>
  <c r="AB615" i="11"/>
  <c r="AC615" i="11"/>
  <c r="AD615" i="11"/>
  <c r="AE615" i="11"/>
  <c r="AF615" i="11"/>
  <c r="Z616" i="11"/>
  <c r="AA616" i="11"/>
  <c r="AB616" i="11"/>
  <c r="AC616" i="11"/>
  <c r="AD616" i="11"/>
  <c r="AE616" i="11"/>
  <c r="AF616" i="11"/>
  <c r="Z617" i="11"/>
  <c r="AA617" i="11"/>
  <c r="AB617" i="11"/>
  <c r="AC617" i="11"/>
  <c r="AD617" i="11"/>
  <c r="AE617" i="11"/>
  <c r="AF617" i="11"/>
  <c r="Z618" i="11"/>
  <c r="AA618" i="11"/>
  <c r="AB618" i="11"/>
  <c r="AC618" i="11"/>
  <c r="AD618" i="11"/>
  <c r="AE618" i="11"/>
  <c r="AF618" i="11"/>
  <c r="Z619" i="11"/>
  <c r="AA619" i="11"/>
  <c r="AB619" i="11"/>
  <c r="AC619" i="11"/>
  <c r="AD619" i="11"/>
  <c r="AE619" i="11"/>
  <c r="AF619" i="11"/>
  <c r="Z620" i="11"/>
  <c r="AA620" i="11"/>
  <c r="AB620" i="11"/>
  <c r="AC620" i="11"/>
  <c r="AD620" i="11"/>
  <c r="AE620" i="11"/>
  <c r="AF620" i="11"/>
  <c r="Z621" i="11"/>
  <c r="AA621" i="11"/>
  <c r="AB621" i="11"/>
  <c r="AC621" i="11"/>
  <c r="AD621" i="11"/>
  <c r="AE621" i="11"/>
  <c r="AF621" i="11"/>
  <c r="Z622" i="11"/>
  <c r="AA622" i="11"/>
  <c r="AB622" i="11"/>
  <c r="AC622" i="11"/>
  <c r="AD622" i="11"/>
  <c r="AE622" i="11"/>
  <c r="AF622" i="11"/>
  <c r="Z623" i="11"/>
  <c r="AA623" i="11"/>
  <c r="AB623" i="11"/>
  <c r="AC623" i="11"/>
  <c r="AD623" i="11"/>
  <c r="AE623" i="11"/>
  <c r="AF623" i="11"/>
  <c r="Z624" i="11"/>
  <c r="AA624" i="11"/>
  <c r="AB624" i="11"/>
  <c r="AC624" i="11"/>
  <c r="AD624" i="11"/>
  <c r="AE624" i="11"/>
  <c r="AF624" i="11"/>
  <c r="Z625" i="11"/>
  <c r="AA625" i="11"/>
  <c r="AB625" i="11"/>
  <c r="AC625" i="11"/>
  <c r="AD625" i="11"/>
  <c r="AE625" i="11"/>
  <c r="AF625" i="11"/>
  <c r="Z626" i="11"/>
  <c r="AA626" i="11"/>
  <c r="AB626" i="11"/>
  <c r="AC626" i="11"/>
  <c r="AD626" i="11"/>
  <c r="AE626" i="11"/>
  <c r="AF626" i="11"/>
  <c r="Z627" i="11"/>
  <c r="AA627" i="11"/>
  <c r="AB627" i="11"/>
  <c r="AC627" i="11"/>
  <c r="AD627" i="11"/>
  <c r="AE627" i="11"/>
  <c r="AF627" i="11"/>
  <c r="Z628" i="11"/>
  <c r="AA628" i="11"/>
  <c r="AB628" i="11"/>
  <c r="AC628" i="11"/>
  <c r="AD628" i="11"/>
  <c r="AE628" i="11"/>
  <c r="AF628" i="11"/>
  <c r="Z629" i="11"/>
  <c r="AA629" i="11"/>
  <c r="AB629" i="11"/>
  <c r="AC629" i="11"/>
  <c r="AD629" i="11"/>
  <c r="AE629" i="11"/>
  <c r="AF629" i="11"/>
  <c r="Z630" i="11"/>
  <c r="AA630" i="11"/>
  <c r="AB630" i="11"/>
  <c r="AC630" i="11"/>
  <c r="AD630" i="11"/>
  <c r="AE630" i="11"/>
  <c r="AF630" i="11"/>
  <c r="Z631" i="11"/>
  <c r="AA631" i="11"/>
  <c r="AB631" i="11"/>
  <c r="AC631" i="11"/>
  <c r="AD631" i="11"/>
  <c r="AE631" i="11"/>
  <c r="AF631" i="11"/>
  <c r="Z632" i="11"/>
  <c r="AA632" i="11"/>
  <c r="AB632" i="11"/>
  <c r="AC632" i="11"/>
  <c r="AD632" i="11"/>
  <c r="AE632" i="11"/>
  <c r="AF632" i="11"/>
  <c r="Z633" i="11"/>
  <c r="AA633" i="11"/>
  <c r="AB633" i="11"/>
  <c r="AC633" i="11"/>
  <c r="AD633" i="11"/>
  <c r="AE633" i="11"/>
  <c r="AF633" i="11"/>
  <c r="Z634" i="11"/>
  <c r="AA634" i="11"/>
  <c r="AB634" i="11"/>
  <c r="AC634" i="11"/>
  <c r="AD634" i="11"/>
  <c r="AE634" i="11"/>
  <c r="AF634" i="11"/>
  <c r="Z635" i="11"/>
  <c r="AA635" i="11"/>
  <c r="AB635" i="11"/>
  <c r="AC635" i="11"/>
  <c r="AD635" i="11"/>
  <c r="AE635" i="11"/>
  <c r="AF635" i="11"/>
  <c r="Z636" i="11"/>
  <c r="AA636" i="11"/>
  <c r="AB636" i="11"/>
  <c r="AC636" i="11"/>
  <c r="AD636" i="11"/>
  <c r="AE636" i="11"/>
  <c r="AF636" i="11"/>
  <c r="Z637" i="11"/>
  <c r="AA637" i="11"/>
  <c r="AB637" i="11"/>
  <c r="AC637" i="11"/>
  <c r="AD637" i="11"/>
  <c r="AE637" i="11"/>
  <c r="AF637" i="11"/>
  <c r="Z638" i="11"/>
  <c r="AA638" i="11"/>
  <c r="AB638" i="11"/>
  <c r="AC638" i="11"/>
  <c r="AD638" i="11"/>
  <c r="AE638" i="11"/>
  <c r="AF638" i="11"/>
  <c r="Z639" i="11"/>
  <c r="AA639" i="11"/>
  <c r="AB639" i="11"/>
  <c r="AC639" i="11"/>
  <c r="AD639" i="11"/>
  <c r="AE639" i="11"/>
  <c r="AF639" i="11"/>
  <c r="Z640" i="11"/>
  <c r="AA640" i="11"/>
  <c r="AB640" i="11"/>
  <c r="AC640" i="11"/>
  <c r="AD640" i="11"/>
  <c r="AE640" i="11"/>
  <c r="AF640" i="11"/>
  <c r="Z641" i="11"/>
  <c r="AA641" i="11"/>
  <c r="AB641" i="11"/>
  <c r="AC641" i="11"/>
  <c r="AD641" i="11"/>
  <c r="AE641" i="11"/>
  <c r="AF641" i="11"/>
  <c r="Z642" i="11"/>
  <c r="AA642" i="11"/>
  <c r="AB642" i="11"/>
  <c r="AC642" i="11"/>
  <c r="AD642" i="11"/>
  <c r="AE642" i="11"/>
  <c r="AF642" i="11"/>
  <c r="Z643" i="11"/>
  <c r="AA643" i="11"/>
  <c r="AB643" i="11"/>
  <c r="AC643" i="11"/>
  <c r="AD643" i="11"/>
  <c r="AE643" i="11"/>
  <c r="AF643" i="11"/>
  <c r="Z644" i="11"/>
  <c r="AA644" i="11"/>
  <c r="AB644" i="11"/>
  <c r="AC644" i="11"/>
  <c r="AD644" i="11"/>
  <c r="AE644" i="11"/>
  <c r="AF644" i="11"/>
  <c r="Z645" i="11"/>
  <c r="AA645" i="11"/>
  <c r="AB645" i="11"/>
  <c r="AC645" i="11"/>
  <c r="AD645" i="11"/>
  <c r="AE645" i="11"/>
  <c r="AF645" i="11"/>
  <c r="Z646" i="11"/>
  <c r="AA646" i="11"/>
  <c r="AB646" i="11"/>
  <c r="AC646" i="11"/>
  <c r="AD646" i="11"/>
  <c r="AE646" i="11"/>
  <c r="AF646" i="11"/>
  <c r="Z647" i="11"/>
  <c r="AA647" i="11"/>
  <c r="AB647" i="11"/>
  <c r="AC647" i="11"/>
  <c r="AD647" i="11"/>
  <c r="AE647" i="11"/>
  <c r="AF647" i="11"/>
  <c r="Z648" i="11"/>
  <c r="AA648" i="11"/>
  <c r="AB648" i="11"/>
  <c r="AC648" i="11"/>
  <c r="AD648" i="11"/>
  <c r="AE648" i="11"/>
  <c r="AF648" i="11"/>
  <c r="Z649" i="11"/>
  <c r="AA649" i="11"/>
  <c r="AB649" i="11"/>
  <c r="AC649" i="11"/>
  <c r="AD649" i="11"/>
  <c r="AE649" i="11"/>
  <c r="AF649" i="11"/>
  <c r="Z650" i="11"/>
  <c r="AA650" i="11"/>
  <c r="AB650" i="11"/>
  <c r="AC650" i="11"/>
  <c r="AD650" i="11"/>
  <c r="AE650" i="11"/>
  <c r="AF650" i="11"/>
  <c r="Z651" i="11"/>
  <c r="AA651" i="11"/>
  <c r="AB651" i="11"/>
  <c r="AC651" i="11"/>
  <c r="AD651" i="11"/>
  <c r="AE651" i="11"/>
  <c r="AF651" i="11"/>
  <c r="Z652" i="11"/>
  <c r="AA652" i="11"/>
  <c r="AB652" i="11"/>
  <c r="AC652" i="11"/>
  <c r="AD652" i="11"/>
  <c r="AE652" i="11"/>
  <c r="AF652" i="11"/>
  <c r="Z653" i="11"/>
  <c r="AA653" i="11"/>
  <c r="AB653" i="11"/>
  <c r="AC653" i="11"/>
  <c r="AD653" i="11"/>
  <c r="AE653" i="11"/>
  <c r="AF653" i="11"/>
  <c r="Z654" i="11"/>
  <c r="AA654" i="11"/>
  <c r="AB654" i="11"/>
  <c r="AC654" i="11"/>
  <c r="AD654" i="11"/>
  <c r="AE654" i="11"/>
  <c r="AF654" i="11"/>
  <c r="Z655" i="11"/>
  <c r="AA655" i="11"/>
  <c r="AB655" i="11"/>
  <c r="AC655" i="11"/>
  <c r="AD655" i="11"/>
  <c r="AE655" i="11"/>
  <c r="AF655" i="11"/>
  <c r="Z656" i="11"/>
  <c r="AA656" i="11"/>
  <c r="AB656" i="11"/>
  <c r="AC656" i="11"/>
  <c r="AD656" i="11"/>
  <c r="AE656" i="11"/>
  <c r="AF656" i="11"/>
  <c r="Z657" i="11"/>
  <c r="AA657" i="11"/>
  <c r="AB657" i="11"/>
  <c r="AC657" i="11"/>
  <c r="AD657" i="11"/>
  <c r="AE657" i="11"/>
  <c r="AF657" i="11"/>
  <c r="Z658" i="11"/>
  <c r="AA658" i="11"/>
  <c r="AB658" i="11"/>
  <c r="AC658" i="11"/>
  <c r="AD658" i="11"/>
  <c r="AE658" i="11"/>
  <c r="AF658" i="11"/>
  <c r="Z659" i="11"/>
  <c r="AA659" i="11"/>
  <c r="AB659" i="11"/>
  <c r="AC659" i="11"/>
  <c r="AD659" i="11"/>
  <c r="AE659" i="11"/>
  <c r="AF659" i="11"/>
  <c r="Z660" i="11"/>
  <c r="AA660" i="11"/>
  <c r="AB660" i="11"/>
  <c r="AC660" i="11"/>
  <c r="AD660" i="11"/>
  <c r="AE660" i="11"/>
  <c r="AF660" i="11"/>
  <c r="Z661" i="11"/>
  <c r="AA661" i="11"/>
  <c r="AB661" i="11"/>
  <c r="AC661" i="11"/>
  <c r="AD661" i="11"/>
  <c r="AE661" i="11"/>
  <c r="AF661" i="11"/>
  <c r="Z662" i="11"/>
  <c r="AA662" i="11"/>
  <c r="AB662" i="11"/>
  <c r="AC662" i="11"/>
  <c r="AD662" i="11"/>
  <c r="AE662" i="11"/>
  <c r="AF662" i="11"/>
  <c r="Z663" i="11"/>
  <c r="AA663" i="11"/>
  <c r="AB663" i="11"/>
  <c r="AC663" i="11"/>
  <c r="AD663" i="11"/>
  <c r="AE663" i="11"/>
  <c r="AF663" i="11"/>
  <c r="Z664" i="11"/>
  <c r="AA664" i="11"/>
  <c r="AB664" i="11"/>
  <c r="AC664" i="11"/>
  <c r="AD664" i="11"/>
  <c r="AE664" i="11"/>
  <c r="AF664" i="11"/>
  <c r="Z665" i="11"/>
  <c r="AA665" i="11"/>
  <c r="AB665" i="11"/>
  <c r="AC665" i="11"/>
  <c r="AD665" i="11"/>
  <c r="AE665" i="11"/>
  <c r="AF665" i="11"/>
  <c r="Z666" i="11"/>
  <c r="AA666" i="11"/>
  <c r="AB666" i="11"/>
  <c r="AC666" i="11"/>
  <c r="AD666" i="11"/>
  <c r="AE666" i="11"/>
  <c r="AF666" i="11"/>
  <c r="Z667" i="11"/>
  <c r="AA667" i="11"/>
  <c r="AB667" i="11"/>
  <c r="AC667" i="11"/>
  <c r="AD667" i="11"/>
  <c r="AE667" i="11"/>
  <c r="AF667" i="11"/>
  <c r="Z668" i="11"/>
  <c r="AA668" i="11"/>
  <c r="AB668" i="11"/>
  <c r="AC668" i="11"/>
  <c r="AD668" i="11"/>
  <c r="AE668" i="11"/>
  <c r="AF668" i="11"/>
  <c r="Z669" i="11"/>
  <c r="AA669" i="11"/>
  <c r="AB669" i="11"/>
  <c r="AC669" i="11"/>
  <c r="AD669" i="11"/>
  <c r="AE669" i="11"/>
  <c r="AF669" i="11"/>
  <c r="Z670" i="11"/>
  <c r="AA670" i="11"/>
  <c r="AB670" i="11"/>
  <c r="AC670" i="11"/>
  <c r="AD670" i="11"/>
  <c r="AE670" i="11"/>
  <c r="AF670" i="11"/>
  <c r="Z671" i="11"/>
  <c r="AA671" i="11"/>
  <c r="AB671" i="11"/>
  <c r="AC671" i="11"/>
  <c r="AD671" i="11"/>
  <c r="AE671" i="11"/>
  <c r="AF671" i="11"/>
  <c r="Z672" i="11"/>
  <c r="AA672" i="11"/>
  <c r="AB672" i="11"/>
  <c r="AC672" i="11"/>
  <c r="AD672" i="11"/>
  <c r="AE672" i="11"/>
  <c r="AF672" i="11"/>
  <c r="Z673" i="11"/>
  <c r="AA673" i="11"/>
  <c r="AB673" i="11"/>
  <c r="AC673" i="11"/>
  <c r="AD673" i="11"/>
  <c r="AE673" i="11"/>
  <c r="AF673" i="11"/>
  <c r="Z674" i="11"/>
  <c r="AA674" i="11"/>
  <c r="AB674" i="11"/>
  <c r="AC674" i="11"/>
  <c r="AD674" i="11"/>
  <c r="AE674" i="11"/>
  <c r="AF674" i="11"/>
  <c r="Z675" i="11"/>
  <c r="AA675" i="11"/>
  <c r="AB675" i="11"/>
  <c r="AC675" i="11"/>
  <c r="AD675" i="11"/>
  <c r="AE675" i="11"/>
  <c r="AF675" i="11"/>
  <c r="Z676" i="11"/>
  <c r="AA676" i="11"/>
  <c r="AB676" i="11"/>
  <c r="AC676" i="11"/>
  <c r="AD676" i="11"/>
  <c r="AE676" i="11"/>
  <c r="AF676" i="11"/>
  <c r="Z677" i="11"/>
  <c r="AA677" i="11"/>
  <c r="AB677" i="11"/>
  <c r="AC677" i="11"/>
  <c r="AD677" i="11"/>
  <c r="AE677" i="11"/>
  <c r="AF677" i="11"/>
  <c r="Z678" i="11"/>
  <c r="AA678" i="11"/>
  <c r="AB678" i="11"/>
  <c r="AC678" i="11"/>
  <c r="AD678" i="11"/>
  <c r="AE678" i="11"/>
  <c r="AF678" i="11"/>
  <c r="Z679" i="11"/>
  <c r="AA679" i="11"/>
  <c r="AB679" i="11"/>
  <c r="AC679" i="11"/>
  <c r="AD679" i="11"/>
  <c r="AE679" i="11"/>
  <c r="AF679" i="11"/>
  <c r="Z680" i="11"/>
  <c r="AA680" i="11"/>
  <c r="AB680" i="11"/>
  <c r="AC680" i="11"/>
  <c r="AD680" i="11"/>
  <c r="AE680" i="11"/>
  <c r="AF680" i="11"/>
  <c r="Z681" i="11"/>
  <c r="AA681" i="11"/>
  <c r="AB681" i="11"/>
  <c r="AC681" i="11"/>
  <c r="AD681" i="11"/>
  <c r="AE681" i="11"/>
  <c r="AF681" i="11"/>
  <c r="Z682" i="11"/>
  <c r="AA682" i="11"/>
  <c r="AB682" i="11"/>
  <c r="AC682" i="11"/>
  <c r="AD682" i="11"/>
  <c r="AE682" i="11"/>
  <c r="AF682" i="11"/>
  <c r="Z683" i="11"/>
  <c r="AA683" i="11"/>
  <c r="AB683" i="11"/>
  <c r="AC683" i="11"/>
  <c r="AD683" i="11"/>
  <c r="AE683" i="11"/>
  <c r="AF683" i="11"/>
  <c r="Z684" i="11"/>
  <c r="AA684" i="11"/>
  <c r="AB684" i="11"/>
  <c r="AC684" i="11"/>
  <c r="AD684" i="11"/>
  <c r="AE684" i="11"/>
  <c r="AF684" i="11"/>
  <c r="Z685" i="11"/>
  <c r="AA685" i="11"/>
  <c r="AB685" i="11"/>
  <c r="AC685" i="11"/>
  <c r="AD685" i="11"/>
  <c r="AE685" i="11"/>
  <c r="AF685" i="11"/>
  <c r="Z686" i="11"/>
  <c r="AA686" i="11"/>
  <c r="AB686" i="11"/>
  <c r="AC686" i="11"/>
  <c r="AD686" i="11"/>
  <c r="AE686" i="11"/>
  <c r="AF686" i="11"/>
  <c r="Z687" i="11"/>
  <c r="AA687" i="11"/>
  <c r="AB687" i="11"/>
  <c r="AC687" i="11"/>
  <c r="AD687" i="11"/>
  <c r="AE687" i="11"/>
  <c r="AF687" i="11"/>
  <c r="Z688" i="11"/>
  <c r="AA688" i="11"/>
  <c r="AB688" i="11"/>
  <c r="AC688" i="11"/>
  <c r="AD688" i="11"/>
  <c r="AE688" i="11"/>
  <c r="AF688" i="11"/>
  <c r="Z689" i="11"/>
  <c r="AA689" i="11"/>
  <c r="AB689" i="11"/>
  <c r="AC689" i="11"/>
  <c r="AD689" i="11"/>
  <c r="AE689" i="11"/>
  <c r="AF689" i="11"/>
  <c r="Z690" i="11"/>
  <c r="AA690" i="11"/>
  <c r="AB690" i="11"/>
  <c r="AC690" i="11"/>
  <c r="AD690" i="11"/>
  <c r="AE690" i="11"/>
  <c r="AF690" i="11"/>
  <c r="Z691" i="11"/>
  <c r="AA691" i="11"/>
  <c r="AB691" i="11"/>
  <c r="AC691" i="11"/>
  <c r="AD691" i="11"/>
  <c r="AE691" i="11"/>
  <c r="AF691" i="11"/>
  <c r="Z692" i="11"/>
  <c r="AA692" i="11"/>
  <c r="AB692" i="11"/>
  <c r="AC692" i="11"/>
  <c r="AD692" i="11"/>
  <c r="AE692" i="11"/>
  <c r="AF692" i="11"/>
  <c r="Z693" i="11"/>
  <c r="AA693" i="11"/>
  <c r="AB693" i="11"/>
  <c r="AC693" i="11"/>
  <c r="AD693" i="11"/>
  <c r="AE693" i="11"/>
  <c r="AF693" i="11"/>
  <c r="Z694" i="11"/>
  <c r="AA694" i="11"/>
  <c r="AB694" i="11"/>
  <c r="AC694" i="11"/>
  <c r="AD694" i="11"/>
  <c r="AE694" i="11"/>
  <c r="AF694" i="11"/>
  <c r="Z695" i="11"/>
  <c r="AA695" i="11"/>
  <c r="AB695" i="11"/>
  <c r="AC695" i="11"/>
  <c r="AD695" i="11"/>
  <c r="AE695" i="11"/>
  <c r="AF695" i="11"/>
  <c r="Z696" i="11"/>
  <c r="AA696" i="11"/>
  <c r="AB696" i="11"/>
  <c r="AC696" i="11"/>
  <c r="AD696" i="11"/>
  <c r="AE696" i="11"/>
  <c r="AF696" i="11"/>
  <c r="Z697" i="11"/>
  <c r="AA697" i="11"/>
  <c r="AB697" i="11"/>
  <c r="AC697" i="11"/>
  <c r="AD697" i="11"/>
  <c r="AE697" i="11"/>
  <c r="AF697" i="11"/>
  <c r="Z698" i="11"/>
  <c r="AA698" i="11"/>
  <c r="AB698" i="11"/>
  <c r="AC698" i="11"/>
  <c r="AD698" i="11"/>
  <c r="AE698" i="11"/>
  <c r="AF698" i="11"/>
  <c r="Z699" i="11"/>
  <c r="AA699" i="11"/>
  <c r="AB699" i="11"/>
  <c r="AC699" i="11"/>
  <c r="AD699" i="11"/>
  <c r="AE699" i="11"/>
  <c r="AF699" i="11"/>
  <c r="Z700" i="11"/>
  <c r="AA700" i="11"/>
  <c r="AB700" i="11"/>
  <c r="AC700" i="11"/>
  <c r="AD700" i="11"/>
  <c r="AE700" i="11"/>
  <c r="AF700" i="11"/>
  <c r="Z701" i="11"/>
  <c r="AA701" i="11"/>
  <c r="AB701" i="11"/>
  <c r="AC701" i="11"/>
  <c r="AD701" i="11"/>
  <c r="AE701" i="11"/>
  <c r="AF701" i="11"/>
  <c r="Z702" i="11"/>
  <c r="AA702" i="11"/>
  <c r="AB702" i="11"/>
  <c r="AC702" i="11"/>
  <c r="AD702" i="11"/>
  <c r="AE702" i="11"/>
  <c r="AF702" i="11"/>
  <c r="Z703" i="11"/>
  <c r="AA703" i="11"/>
  <c r="AB703" i="11"/>
  <c r="AC703" i="11"/>
  <c r="AD703" i="11"/>
  <c r="AE703" i="11"/>
  <c r="AF703" i="11"/>
  <c r="Z704" i="11"/>
  <c r="AA704" i="11"/>
  <c r="AB704" i="11"/>
  <c r="AC704" i="11"/>
  <c r="AD704" i="11"/>
  <c r="AE704" i="11"/>
  <c r="AF704" i="11"/>
  <c r="Z705" i="11"/>
  <c r="AA705" i="11"/>
  <c r="AB705" i="11"/>
  <c r="AC705" i="11"/>
  <c r="AD705" i="11"/>
  <c r="AE705" i="11"/>
  <c r="AF705" i="11"/>
  <c r="Z706" i="11"/>
  <c r="AA706" i="11"/>
  <c r="AB706" i="11"/>
  <c r="AC706" i="11"/>
  <c r="AD706" i="11"/>
  <c r="AE706" i="11"/>
  <c r="AF706" i="11"/>
  <c r="Z707" i="11"/>
  <c r="AA707" i="11"/>
  <c r="AB707" i="11"/>
  <c r="AC707" i="11"/>
  <c r="AD707" i="11"/>
  <c r="AE707" i="11"/>
  <c r="AF707" i="11"/>
  <c r="Z708" i="11"/>
  <c r="AA708" i="11"/>
  <c r="AB708" i="11"/>
  <c r="AC708" i="11"/>
  <c r="AD708" i="11"/>
  <c r="AE708" i="11"/>
  <c r="AF708" i="11"/>
  <c r="Z709" i="11"/>
  <c r="AA709" i="11"/>
  <c r="AB709" i="11"/>
  <c r="AC709" i="11"/>
  <c r="AD709" i="11"/>
  <c r="AE709" i="11"/>
  <c r="AF709" i="11"/>
  <c r="Z710" i="11"/>
  <c r="AA710" i="11"/>
  <c r="AB710" i="11"/>
  <c r="AC710" i="11"/>
  <c r="AD710" i="11"/>
  <c r="AE710" i="11"/>
  <c r="AF710" i="11"/>
  <c r="Z711" i="11"/>
  <c r="AA711" i="11"/>
  <c r="AB711" i="11"/>
  <c r="AC711" i="11"/>
  <c r="AD711" i="11"/>
  <c r="AE711" i="11"/>
  <c r="AF711" i="11"/>
  <c r="Z712" i="11"/>
  <c r="AA712" i="11"/>
  <c r="AB712" i="11"/>
  <c r="AC712" i="11"/>
  <c r="AD712" i="11"/>
  <c r="AE712" i="11"/>
  <c r="AF712" i="11"/>
  <c r="Z713" i="11"/>
  <c r="AA713" i="11"/>
  <c r="AB713" i="11"/>
  <c r="AC713" i="11"/>
  <c r="AD713" i="11"/>
  <c r="AE713" i="11"/>
  <c r="AF713" i="11"/>
  <c r="Z714" i="11"/>
  <c r="AA714" i="11"/>
  <c r="AB714" i="11"/>
  <c r="AC714" i="11"/>
  <c r="AD714" i="11"/>
  <c r="AE714" i="11"/>
  <c r="AF714" i="11"/>
  <c r="Z715" i="11"/>
  <c r="AA715" i="11"/>
  <c r="AB715" i="11"/>
  <c r="AC715" i="11"/>
  <c r="AD715" i="11"/>
  <c r="AE715" i="11"/>
  <c r="AF715" i="11"/>
  <c r="Z716" i="11"/>
  <c r="AA716" i="11"/>
  <c r="AB716" i="11"/>
  <c r="AC716" i="11"/>
  <c r="AD716" i="11"/>
  <c r="AE716" i="11"/>
  <c r="AF716" i="11"/>
  <c r="Z717" i="11"/>
  <c r="AA717" i="11"/>
  <c r="AB717" i="11"/>
  <c r="AC717" i="11"/>
  <c r="AD717" i="11"/>
  <c r="AE717" i="11"/>
  <c r="AF717" i="11"/>
  <c r="Z718" i="11"/>
  <c r="AA718" i="11"/>
  <c r="AB718" i="11"/>
  <c r="AC718" i="11"/>
  <c r="AD718" i="11"/>
  <c r="AE718" i="11"/>
  <c r="AF718" i="11"/>
  <c r="Z719" i="11"/>
  <c r="AA719" i="11"/>
  <c r="AB719" i="11"/>
  <c r="AC719" i="11"/>
  <c r="AD719" i="11"/>
  <c r="AE719" i="11"/>
  <c r="AF719" i="11"/>
  <c r="Z720" i="11"/>
  <c r="AA720" i="11"/>
  <c r="AB720" i="11"/>
  <c r="AC720" i="11"/>
  <c r="AD720" i="11"/>
  <c r="AE720" i="11"/>
  <c r="AF720" i="11"/>
  <c r="Z721" i="11"/>
  <c r="AA721" i="11"/>
  <c r="AB721" i="11"/>
  <c r="AC721" i="11"/>
  <c r="AD721" i="11"/>
  <c r="AE721" i="11"/>
  <c r="AF721" i="11"/>
  <c r="Z722" i="11"/>
  <c r="AA722" i="11"/>
  <c r="AB722" i="11"/>
  <c r="AC722" i="11"/>
  <c r="AD722" i="11"/>
  <c r="AE722" i="11"/>
  <c r="AF722" i="11"/>
  <c r="Z723" i="11"/>
  <c r="AA723" i="11"/>
  <c r="AB723" i="11"/>
  <c r="AC723" i="11"/>
  <c r="AD723" i="11"/>
  <c r="AE723" i="11"/>
  <c r="AF723" i="11"/>
  <c r="Z724" i="11"/>
  <c r="AA724" i="11"/>
  <c r="AB724" i="11"/>
  <c r="AC724" i="11"/>
  <c r="AD724" i="11"/>
  <c r="AE724" i="11"/>
  <c r="AF724" i="11"/>
  <c r="Z725" i="11"/>
  <c r="AA725" i="11"/>
  <c r="AB725" i="11"/>
  <c r="AC725" i="11"/>
  <c r="AD725" i="11"/>
  <c r="AE725" i="11"/>
  <c r="AF725" i="11"/>
  <c r="Z726" i="11"/>
  <c r="AA726" i="11"/>
  <c r="AB726" i="11"/>
  <c r="AC726" i="11"/>
  <c r="AD726" i="11"/>
  <c r="AE726" i="11"/>
  <c r="AF726" i="11"/>
  <c r="Z727" i="11"/>
  <c r="AA727" i="11"/>
  <c r="AB727" i="11"/>
  <c r="AC727" i="11"/>
  <c r="AD727" i="11"/>
  <c r="AE727" i="11"/>
  <c r="AF727" i="11"/>
  <c r="Z728" i="11"/>
  <c r="AA728" i="11"/>
  <c r="AB728" i="11"/>
  <c r="AC728" i="11"/>
  <c r="AD728" i="11"/>
  <c r="AE728" i="11"/>
  <c r="AF728" i="11"/>
  <c r="Z729" i="11"/>
  <c r="AA729" i="11"/>
  <c r="AB729" i="11"/>
  <c r="AC729" i="11"/>
  <c r="AD729" i="11"/>
  <c r="AE729" i="11"/>
  <c r="AF729" i="11"/>
  <c r="Z730" i="11"/>
  <c r="AA730" i="11"/>
  <c r="AB730" i="11"/>
  <c r="AC730" i="11"/>
  <c r="AD730" i="11"/>
  <c r="AE730" i="11"/>
  <c r="AF730" i="11"/>
  <c r="Z731" i="11"/>
  <c r="AA731" i="11"/>
  <c r="AB731" i="11"/>
  <c r="AC731" i="11"/>
  <c r="AD731" i="11"/>
  <c r="AE731" i="11"/>
  <c r="AF731" i="11"/>
  <c r="Z732" i="11"/>
  <c r="AA732" i="11"/>
  <c r="AB732" i="11"/>
  <c r="AC732" i="11"/>
  <c r="AD732" i="11"/>
  <c r="AE732" i="11"/>
  <c r="AF732" i="11"/>
  <c r="Z733" i="11"/>
  <c r="AA733" i="11"/>
  <c r="AB733" i="11"/>
  <c r="AC733" i="11"/>
  <c r="AD733" i="11"/>
  <c r="AE733" i="11"/>
  <c r="AF733" i="11"/>
  <c r="Z734" i="11"/>
  <c r="AA734" i="11"/>
  <c r="AB734" i="11"/>
  <c r="AC734" i="11"/>
  <c r="AD734" i="11"/>
  <c r="AE734" i="11"/>
  <c r="AF734" i="11"/>
  <c r="Z735" i="11"/>
  <c r="AA735" i="11"/>
  <c r="AB735" i="11"/>
  <c r="AC735" i="11"/>
  <c r="AD735" i="11"/>
  <c r="AE735" i="11"/>
  <c r="AF735" i="11"/>
  <c r="Z736" i="11"/>
  <c r="AA736" i="11"/>
  <c r="AB736" i="11"/>
  <c r="AC736" i="11"/>
  <c r="AD736" i="11"/>
  <c r="AE736" i="11"/>
  <c r="AF736" i="11"/>
  <c r="Z737" i="11"/>
  <c r="AA737" i="11"/>
  <c r="AB737" i="11"/>
  <c r="AC737" i="11"/>
  <c r="AD737" i="11"/>
  <c r="AE737" i="11"/>
  <c r="AF737" i="11"/>
  <c r="Z738" i="11"/>
  <c r="AA738" i="11"/>
  <c r="AB738" i="11"/>
  <c r="AC738" i="11"/>
  <c r="AD738" i="11"/>
  <c r="AE738" i="11"/>
  <c r="AF738" i="11"/>
  <c r="Z739" i="11"/>
  <c r="AA739" i="11"/>
  <c r="AB739" i="11"/>
  <c r="AC739" i="11"/>
  <c r="AD739" i="11"/>
  <c r="AE739" i="11"/>
  <c r="AF739" i="11"/>
  <c r="Z740" i="11"/>
  <c r="AA740" i="11"/>
  <c r="AB740" i="11"/>
  <c r="AC740" i="11"/>
  <c r="AD740" i="11"/>
  <c r="AE740" i="11"/>
  <c r="AF740" i="11"/>
  <c r="Z741" i="11"/>
  <c r="AA741" i="11"/>
  <c r="AB741" i="11"/>
  <c r="AC741" i="11"/>
  <c r="AD741" i="11"/>
  <c r="AE741" i="11"/>
  <c r="AF741" i="11"/>
  <c r="Z742" i="11"/>
  <c r="AA742" i="11"/>
  <c r="AB742" i="11"/>
  <c r="AC742" i="11"/>
  <c r="AD742" i="11"/>
  <c r="AE742" i="11"/>
  <c r="AF742" i="11"/>
  <c r="Z743" i="11"/>
  <c r="AA743" i="11"/>
  <c r="AB743" i="11"/>
  <c r="AC743" i="11"/>
  <c r="AD743" i="11"/>
  <c r="AE743" i="11"/>
  <c r="AF743" i="11"/>
  <c r="Z744" i="11"/>
  <c r="AA744" i="11"/>
  <c r="AB744" i="11"/>
  <c r="AC744" i="11"/>
  <c r="AD744" i="11"/>
  <c r="AE744" i="11"/>
  <c r="AF744" i="11"/>
  <c r="Z745" i="11"/>
  <c r="AA745" i="11"/>
  <c r="AB745" i="11"/>
  <c r="AC745" i="11"/>
  <c r="AD745" i="11"/>
  <c r="AE745" i="11"/>
  <c r="AF745" i="11"/>
  <c r="Z746" i="11"/>
  <c r="AA746" i="11"/>
  <c r="AB746" i="11"/>
  <c r="AC746" i="11"/>
  <c r="AD746" i="11"/>
  <c r="AE746" i="11"/>
  <c r="AF746" i="11"/>
  <c r="Z747" i="11"/>
  <c r="AA747" i="11"/>
  <c r="AB747" i="11"/>
  <c r="AC747" i="11"/>
  <c r="AD747" i="11"/>
  <c r="AE747" i="11"/>
  <c r="AF747" i="11"/>
  <c r="Z748" i="11"/>
  <c r="AA748" i="11"/>
  <c r="AB748" i="11"/>
  <c r="AC748" i="11"/>
  <c r="AD748" i="11"/>
  <c r="AE748" i="11"/>
  <c r="AF748" i="11"/>
  <c r="Z749" i="11"/>
  <c r="AA749" i="11"/>
  <c r="AB749" i="11"/>
  <c r="AC749" i="11"/>
  <c r="AD749" i="11"/>
  <c r="AE749" i="11"/>
  <c r="AF749" i="11"/>
  <c r="Z750" i="11"/>
  <c r="AA750" i="11"/>
  <c r="AB750" i="11"/>
  <c r="AC750" i="11"/>
  <c r="AD750" i="11"/>
  <c r="AE750" i="11"/>
  <c r="AF750" i="11"/>
  <c r="Z751" i="11"/>
  <c r="AA751" i="11"/>
  <c r="AB751" i="11"/>
  <c r="AC751" i="11"/>
  <c r="AD751" i="11"/>
  <c r="AE751" i="11"/>
  <c r="AF751" i="11"/>
  <c r="Z752" i="11"/>
  <c r="AA752" i="11"/>
  <c r="AB752" i="11"/>
  <c r="AC752" i="11"/>
  <c r="AD752" i="11"/>
  <c r="AE752" i="11"/>
  <c r="AF752" i="11"/>
  <c r="Z753" i="11"/>
  <c r="AA753" i="11"/>
  <c r="AB753" i="11"/>
  <c r="AC753" i="11"/>
  <c r="AD753" i="11"/>
  <c r="AE753" i="11"/>
  <c r="AF753" i="11"/>
  <c r="Z754" i="11"/>
  <c r="AA754" i="11"/>
  <c r="AB754" i="11"/>
  <c r="AC754" i="11"/>
  <c r="AD754" i="11"/>
  <c r="AE754" i="11"/>
  <c r="AF754" i="11"/>
  <c r="Z755" i="11"/>
  <c r="AA755" i="11"/>
  <c r="AB755" i="11"/>
  <c r="AC755" i="11"/>
  <c r="AD755" i="11"/>
  <c r="AE755" i="11"/>
  <c r="AF755" i="11"/>
  <c r="Z756" i="11"/>
  <c r="AA756" i="11"/>
  <c r="AB756" i="11"/>
  <c r="AC756" i="11"/>
  <c r="AD756" i="11"/>
  <c r="AE756" i="11"/>
  <c r="AF756" i="11"/>
  <c r="Z757" i="11"/>
  <c r="AA757" i="11"/>
  <c r="AB757" i="11"/>
  <c r="AC757" i="11"/>
  <c r="AD757" i="11"/>
  <c r="AE757" i="11"/>
  <c r="AF757" i="11"/>
  <c r="Z758" i="11"/>
  <c r="AA758" i="11"/>
  <c r="AB758" i="11"/>
  <c r="AC758" i="11"/>
  <c r="AD758" i="11"/>
  <c r="AE758" i="11"/>
  <c r="AF758" i="11"/>
  <c r="Z759" i="11"/>
  <c r="AA759" i="11"/>
  <c r="AB759" i="11"/>
  <c r="AC759" i="11"/>
  <c r="AD759" i="11"/>
  <c r="AE759" i="11"/>
  <c r="AF759" i="11"/>
  <c r="Z760" i="11"/>
  <c r="AA760" i="11"/>
  <c r="AB760" i="11"/>
  <c r="AC760" i="11"/>
  <c r="AD760" i="11"/>
  <c r="AE760" i="11"/>
  <c r="AF760" i="11"/>
  <c r="Z761" i="11"/>
  <c r="AA761" i="11"/>
  <c r="AB761" i="11"/>
  <c r="AC761" i="11"/>
  <c r="AD761" i="11"/>
  <c r="AE761" i="11"/>
  <c r="AF761" i="11"/>
  <c r="Z762" i="11"/>
  <c r="AA762" i="11"/>
  <c r="AB762" i="11"/>
  <c r="AC762" i="11"/>
  <c r="AD762" i="11"/>
  <c r="AE762" i="11"/>
  <c r="AF762" i="11"/>
  <c r="Z763" i="11"/>
  <c r="AA763" i="11"/>
  <c r="AB763" i="11"/>
  <c r="AC763" i="11"/>
  <c r="AD763" i="11"/>
  <c r="AE763" i="11"/>
  <c r="AF763" i="11"/>
  <c r="Z764" i="11"/>
  <c r="AA764" i="11"/>
  <c r="AB764" i="11"/>
  <c r="AC764" i="11"/>
  <c r="AD764" i="11"/>
  <c r="AE764" i="11"/>
  <c r="AF764" i="11"/>
  <c r="Z765" i="11"/>
  <c r="AA765" i="11"/>
  <c r="AB765" i="11"/>
  <c r="AC765" i="11"/>
  <c r="AD765" i="11"/>
  <c r="AE765" i="11"/>
  <c r="AF765" i="11"/>
  <c r="Z766" i="11"/>
  <c r="AA766" i="11"/>
  <c r="AB766" i="11"/>
  <c r="AC766" i="11"/>
  <c r="AD766" i="11"/>
  <c r="AE766" i="11"/>
  <c r="AF766" i="11"/>
  <c r="Z767" i="11"/>
  <c r="AA767" i="11"/>
  <c r="AB767" i="11"/>
  <c r="AC767" i="11"/>
  <c r="AD767" i="11"/>
  <c r="AE767" i="11"/>
  <c r="AF767" i="11"/>
  <c r="Z768" i="11"/>
  <c r="AA768" i="11"/>
  <c r="AB768" i="11"/>
  <c r="AC768" i="11"/>
  <c r="AD768" i="11"/>
  <c r="AE768" i="11"/>
  <c r="AF768" i="11"/>
  <c r="Z769" i="11"/>
  <c r="AA769" i="11"/>
  <c r="AB769" i="11"/>
  <c r="AC769" i="11"/>
  <c r="AD769" i="11"/>
  <c r="AE769" i="11"/>
  <c r="AF769" i="11"/>
  <c r="Z770" i="11"/>
  <c r="AA770" i="11"/>
  <c r="AB770" i="11"/>
  <c r="AC770" i="11"/>
  <c r="AD770" i="11"/>
  <c r="AE770" i="11"/>
  <c r="AF770" i="11"/>
  <c r="Z771" i="11"/>
  <c r="AA771" i="11"/>
  <c r="AB771" i="11"/>
  <c r="AC771" i="11"/>
  <c r="AD771" i="11"/>
  <c r="AE771" i="11"/>
  <c r="AF771" i="11"/>
  <c r="Z772" i="11"/>
  <c r="AA772" i="11"/>
  <c r="AB772" i="11"/>
  <c r="AC772" i="11"/>
  <c r="AD772" i="11"/>
  <c r="AE772" i="11"/>
  <c r="AF772" i="11"/>
  <c r="Z773" i="11"/>
  <c r="AA773" i="11"/>
  <c r="AB773" i="11"/>
  <c r="AC773" i="11"/>
  <c r="AD773" i="11"/>
  <c r="AE773" i="11"/>
  <c r="AF773" i="11"/>
  <c r="Z774" i="11"/>
  <c r="AA774" i="11"/>
  <c r="AB774" i="11"/>
  <c r="AC774" i="11"/>
  <c r="AD774" i="11"/>
  <c r="AE774" i="11"/>
  <c r="AF774" i="11"/>
  <c r="Z775" i="11"/>
  <c r="AA775" i="11"/>
  <c r="AB775" i="11"/>
  <c r="AC775" i="11"/>
  <c r="AD775" i="11"/>
  <c r="AE775" i="11"/>
  <c r="AF775" i="11"/>
  <c r="Z776" i="11"/>
  <c r="AA776" i="11"/>
  <c r="AB776" i="11"/>
  <c r="AC776" i="11"/>
  <c r="AD776" i="11"/>
  <c r="AE776" i="11"/>
  <c r="AF776" i="11"/>
  <c r="Z777" i="11"/>
  <c r="AA777" i="11"/>
  <c r="AB777" i="11"/>
  <c r="AC777" i="11"/>
  <c r="AD777" i="11"/>
  <c r="AE777" i="11"/>
  <c r="AF777" i="11"/>
  <c r="Z778" i="11"/>
  <c r="AA778" i="11"/>
  <c r="AB778" i="11"/>
  <c r="AC778" i="11"/>
  <c r="AD778" i="11"/>
  <c r="AE778" i="11"/>
  <c r="AF778" i="11"/>
  <c r="Z779" i="11"/>
  <c r="AA779" i="11"/>
  <c r="AB779" i="11"/>
  <c r="AC779" i="11"/>
  <c r="AD779" i="11"/>
  <c r="AE779" i="11"/>
  <c r="AF779" i="11"/>
  <c r="Z780" i="11"/>
  <c r="AA780" i="11"/>
  <c r="AB780" i="11"/>
  <c r="AC780" i="11"/>
  <c r="AD780" i="11"/>
  <c r="AE780" i="11"/>
  <c r="AF780" i="11"/>
  <c r="Z781" i="11"/>
  <c r="AA781" i="11"/>
  <c r="AB781" i="11"/>
  <c r="AC781" i="11"/>
  <c r="AD781" i="11"/>
  <c r="AE781" i="11"/>
  <c r="AF781" i="11"/>
  <c r="Z782" i="11"/>
  <c r="AA782" i="11"/>
  <c r="AB782" i="11"/>
  <c r="AC782" i="11"/>
  <c r="AD782" i="11"/>
  <c r="AE782" i="11"/>
  <c r="AF782" i="11"/>
  <c r="Z783" i="11"/>
  <c r="AA783" i="11"/>
  <c r="AB783" i="11"/>
  <c r="AC783" i="11"/>
  <c r="AD783" i="11"/>
  <c r="AE783" i="11"/>
  <c r="AF783" i="11"/>
  <c r="Z784" i="11"/>
  <c r="AA784" i="11"/>
  <c r="AB784" i="11"/>
  <c r="AC784" i="11"/>
  <c r="AD784" i="11"/>
  <c r="AE784" i="11"/>
  <c r="AF784" i="11"/>
  <c r="Z785" i="11"/>
  <c r="AA785" i="11"/>
  <c r="AB785" i="11"/>
  <c r="AC785" i="11"/>
  <c r="AD785" i="11"/>
  <c r="AE785" i="11"/>
  <c r="AF785" i="11"/>
  <c r="Z786" i="11"/>
  <c r="AA786" i="11"/>
  <c r="AB786" i="11"/>
  <c r="AC786" i="11"/>
  <c r="AD786" i="11"/>
  <c r="AE786" i="11"/>
  <c r="AF786" i="11"/>
  <c r="Z787" i="11"/>
  <c r="AA787" i="11"/>
  <c r="AB787" i="11"/>
  <c r="AC787" i="11"/>
  <c r="AD787" i="11"/>
  <c r="AE787" i="11"/>
  <c r="AF787" i="11"/>
  <c r="Z788" i="11"/>
  <c r="AA788" i="11"/>
  <c r="AB788" i="11"/>
  <c r="AC788" i="11"/>
  <c r="AD788" i="11"/>
  <c r="AE788" i="11"/>
  <c r="AF788" i="11"/>
  <c r="Z789" i="11"/>
  <c r="AA789" i="11"/>
  <c r="AB789" i="11"/>
  <c r="AC789" i="11"/>
  <c r="AD789" i="11"/>
  <c r="AE789" i="11"/>
  <c r="AF789" i="11"/>
  <c r="Z790" i="11"/>
  <c r="AA790" i="11"/>
  <c r="AB790" i="11"/>
  <c r="AC790" i="11"/>
  <c r="AD790" i="11"/>
  <c r="AE790" i="11"/>
  <c r="AF790" i="11"/>
  <c r="Z791" i="11"/>
  <c r="AA791" i="11"/>
  <c r="AB791" i="11"/>
  <c r="AC791" i="11"/>
  <c r="AD791" i="11"/>
  <c r="AE791" i="11"/>
  <c r="AF791" i="11"/>
  <c r="Z792" i="11"/>
  <c r="AA792" i="11"/>
  <c r="AB792" i="11"/>
  <c r="AC792" i="11"/>
  <c r="AD792" i="11"/>
  <c r="AE792" i="11"/>
  <c r="AF792" i="11"/>
  <c r="Z793" i="11"/>
  <c r="AA793" i="11"/>
  <c r="AB793" i="11"/>
  <c r="AC793" i="11"/>
  <c r="AD793" i="11"/>
  <c r="AE793" i="11"/>
  <c r="AF793" i="11"/>
  <c r="Z794" i="11"/>
  <c r="AA794" i="11"/>
  <c r="AB794" i="11"/>
  <c r="AC794" i="11"/>
  <c r="AD794" i="11"/>
  <c r="AE794" i="11"/>
  <c r="AF794" i="11"/>
  <c r="Z795" i="11"/>
  <c r="AA795" i="11"/>
  <c r="AB795" i="11"/>
  <c r="AC795" i="11"/>
  <c r="AD795" i="11"/>
  <c r="AE795" i="11"/>
  <c r="AF795" i="11"/>
  <c r="Z796" i="11"/>
  <c r="AA796" i="11"/>
  <c r="AB796" i="11"/>
  <c r="AC796" i="11"/>
  <c r="AD796" i="11"/>
  <c r="AE796" i="11"/>
  <c r="AF796" i="11"/>
  <c r="Z797" i="11"/>
  <c r="AA797" i="11"/>
  <c r="AB797" i="11"/>
  <c r="AC797" i="11"/>
  <c r="AD797" i="11"/>
  <c r="AE797" i="11"/>
  <c r="AF797" i="11"/>
  <c r="Z798" i="11"/>
  <c r="AA798" i="11"/>
  <c r="AB798" i="11"/>
  <c r="AC798" i="11"/>
  <c r="AD798" i="11"/>
  <c r="AE798" i="11"/>
  <c r="AF798" i="11"/>
  <c r="Z799" i="11"/>
  <c r="AA799" i="11"/>
  <c r="AB799" i="11"/>
  <c r="AC799" i="11"/>
  <c r="AD799" i="11"/>
  <c r="AE799" i="11"/>
  <c r="AF799" i="11"/>
  <c r="Z800" i="11"/>
  <c r="AA800" i="11"/>
  <c r="AB800" i="11"/>
  <c r="AC800" i="11"/>
  <c r="AD800" i="11"/>
  <c r="AE800" i="11"/>
  <c r="AF800" i="11"/>
  <c r="Z801" i="11"/>
  <c r="AA801" i="11"/>
  <c r="AB801" i="11"/>
  <c r="AC801" i="11"/>
  <c r="AD801" i="11"/>
  <c r="AE801" i="11"/>
  <c r="AF801" i="11"/>
  <c r="Z802" i="11"/>
  <c r="AA802" i="11"/>
  <c r="AB802" i="11"/>
  <c r="AC802" i="11"/>
  <c r="AD802" i="11"/>
  <c r="AE802" i="11"/>
  <c r="AF802" i="11"/>
  <c r="Z803" i="11"/>
  <c r="AA803" i="11"/>
  <c r="AB803" i="11"/>
  <c r="AC803" i="11"/>
  <c r="AD803" i="11"/>
  <c r="AE803" i="11"/>
  <c r="AF803" i="11"/>
  <c r="Z804" i="11"/>
  <c r="AA804" i="11"/>
  <c r="AB804" i="11"/>
  <c r="AC804" i="11"/>
  <c r="AD804" i="11"/>
  <c r="AE804" i="11"/>
  <c r="AF804" i="11"/>
  <c r="Z805" i="11"/>
  <c r="AA805" i="11"/>
  <c r="AB805" i="11"/>
  <c r="AC805" i="11"/>
  <c r="AD805" i="11"/>
  <c r="AE805" i="11"/>
  <c r="AF805" i="11"/>
  <c r="Z806" i="11"/>
  <c r="AA806" i="11"/>
  <c r="AB806" i="11"/>
  <c r="AC806" i="11"/>
  <c r="AD806" i="11"/>
  <c r="AE806" i="11"/>
  <c r="AF806" i="11"/>
  <c r="Z807" i="11"/>
  <c r="AA807" i="11"/>
  <c r="AB807" i="11"/>
  <c r="AC807" i="11"/>
  <c r="AD807" i="11"/>
  <c r="AE807" i="11"/>
  <c r="AF807" i="11"/>
  <c r="Z808" i="11"/>
  <c r="AA808" i="11"/>
  <c r="AB808" i="11"/>
  <c r="AC808" i="11"/>
  <c r="AD808" i="11"/>
  <c r="AE808" i="11"/>
  <c r="AF808" i="11"/>
  <c r="Z809" i="11"/>
  <c r="AA809" i="11"/>
  <c r="AB809" i="11"/>
  <c r="AC809" i="11"/>
  <c r="AD809" i="11"/>
  <c r="AE809" i="11"/>
  <c r="AF809" i="11"/>
  <c r="Z810" i="11"/>
  <c r="AA810" i="11"/>
  <c r="AB810" i="11"/>
  <c r="AC810" i="11"/>
  <c r="AD810" i="11"/>
  <c r="AE810" i="11"/>
  <c r="AF810" i="11"/>
  <c r="Z811" i="11"/>
  <c r="AA811" i="11"/>
  <c r="AB811" i="11"/>
  <c r="AC811" i="11"/>
  <c r="AD811" i="11"/>
  <c r="AE811" i="11"/>
  <c r="AF811" i="11"/>
  <c r="Z812" i="11"/>
  <c r="AA812" i="11"/>
  <c r="AB812" i="11"/>
  <c r="AC812" i="11"/>
  <c r="AD812" i="11"/>
  <c r="AE812" i="11"/>
  <c r="AF812" i="11"/>
  <c r="Z813" i="11"/>
  <c r="AA813" i="11"/>
  <c r="AB813" i="11"/>
  <c r="AC813" i="11"/>
  <c r="AD813" i="11"/>
  <c r="AE813" i="11"/>
  <c r="AF813" i="11"/>
  <c r="Z814" i="11"/>
  <c r="AA814" i="11"/>
  <c r="AB814" i="11"/>
  <c r="AC814" i="11"/>
  <c r="AD814" i="11"/>
  <c r="AE814" i="11"/>
  <c r="AF814" i="11"/>
  <c r="Z815" i="11"/>
  <c r="AA815" i="11"/>
  <c r="AB815" i="11"/>
  <c r="AC815" i="11"/>
  <c r="AD815" i="11"/>
  <c r="AE815" i="11"/>
  <c r="AF815" i="11"/>
  <c r="Z816" i="11"/>
  <c r="AA816" i="11"/>
  <c r="AB816" i="11"/>
  <c r="AC816" i="11"/>
  <c r="AD816" i="11"/>
  <c r="AE816" i="11"/>
  <c r="AF816" i="11"/>
  <c r="Z817" i="11"/>
  <c r="AA817" i="11"/>
  <c r="AB817" i="11"/>
  <c r="AC817" i="11"/>
  <c r="AD817" i="11"/>
  <c r="AE817" i="11"/>
  <c r="AF817" i="11"/>
  <c r="Z818" i="11"/>
  <c r="AA818" i="11"/>
  <c r="AB818" i="11"/>
  <c r="AC818" i="11"/>
  <c r="AD818" i="11"/>
  <c r="AE818" i="11"/>
  <c r="AF818" i="11"/>
  <c r="Z819" i="11"/>
  <c r="AA819" i="11"/>
  <c r="AB819" i="11"/>
  <c r="AC819" i="11"/>
  <c r="AD819" i="11"/>
  <c r="AE819" i="11"/>
  <c r="AF819" i="11"/>
  <c r="Z820" i="11"/>
  <c r="AA820" i="11"/>
  <c r="AB820" i="11"/>
  <c r="AC820" i="11"/>
  <c r="AD820" i="11"/>
  <c r="AE820" i="11"/>
  <c r="AF820" i="11"/>
  <c r="Z821" i="11"/>
  <c r="AA821" i="11"/>
  <c r="AB821" i="11"/>
  <c r="AC821" i="11"/>
  <c r="AD821" i="11"/>
  <c r="AE821" i="11"/>
  <c r="AF821" i="11"/>
  <c r="Z822" i="11"/>
  <c r="AA822" i="11"/>
  <c r="AB822" i="11"/>
  <c r="AC822" i="11"/>
  <c r="AD822" i="11"/>
  <c r="AE822" i="11"/>
  <c r="AF822" i="11"/>
  <c r="Z823" i="11"/>
  <c r="AA823" i="11"/>
  <c r="AB823" i="11"/>
  <c r="AC823" i="11"/>
  <c r="AD823" i="11"/>
  <c r="AE823" i="11"/>
  <c r="AF823" i="11"/>
  <c r="Z824" i="11"/>
  <c r="AA824" i="11"/>
  <c r="AB824" i="11"/>
  <c r="AC824" i="11"/>
  <c r="AD824" i="11"/>
  <c r="AE824" i="11"/>
  <c r="AF824" i="11"/>
  <c r="Z825" i="11"/>
  <c r="AA825" i="11"/>
  <c r="AB825" i="11"/>
  <c r="AC825" i="11"/>
  <c r="AD825" i="11"/>
  <c r="AE825" i="11"/>
  <c r="AF825" i="11"/>
  <c r="Z826" i="11"/>
  <c r="AA826" i="11"/>
  <c r="AB826" i="11"/>
  <c r="AC826" i="11"/>
  <c r="AD826" i="11"/>
  <c r="AE826" i="11"/>
  <c r="AF826" i="11"/>
  <c r="Z827" i="11"/>
  <c r="AA827" i="11"/>
  <c r="AB827" i="11"/>
  <c r="AC827" i="11"/>
  <c r="AD827" i="11"/>
  <c r="AE827" i="11"/>
  <c r="AF827" i="11"/>
  <c r="Z828" i="11"/>
  <c r="AA828" i="11"/>
  <c r="AB828" i="11"/>
  <c r="AC828" i="11"/>
  <c r="AD828" i="11"/>
  <c r="AE828" i="11"/>
  <c r="AF828" i="11"/>
  <c r="Z829" i="11"/>
  <c r="AA829" i="11"/>
  <c r="AB829" i="11"/>
  <c r="AC829" i="11"/>
  <c r="AD829" i="11"/>
  <c r="AE829" i="11"/>
  <c r="AF829" i="11"/>
  <c r="Z830" i="11"/>
  <c r="AA830" i="11"/>
  <c r="AB830" i="11"/>
  <c r="AC830" i="11"/>
  <c r="AD830" i="11"/>
  <c r="AE830" i="11"/>
  <c r="AF830" i="11"/>
  <c r="Z831" i="11"/>
  <c r="AA831" i="11"/>
  <c r="AB831" i="11"/>
  <c r="AC831" i="11"/>
  <c r="AD831" i="11"/>
  <c r="AE831" i="11"/>
  <c r="AF831" i="11"/>
  <c r="Z832" i="11"/>
  <c r="AA832" i="11"/>
  <c r="AB832" i="11"/>
  <c r="AC832" i="11"/>
  <c r="AD832" i="11"/>
  <c r="AE832" i="11"/>
  <c r="AF832" i="11"/>
  <c r="Z833" i="11"/>
  <c r="AA833" i="11"/>
  <c r="AB833" i="11"/>
  <c r="AC833" i="11"/>
  <c r="AD833" i="11"/>
  <c r="AE833" i="11"/>
  <c r="AF833" i="11"/>
  <c r="Z834" i="11"/>
  <c r="AA834" i="11"/>
  <c r="AB834" i="11"/>
  <c r="AC834" i="11"/>
  <c r="AD834" i="11"/>
  <c r="AE834" i="11"/>
  <c r="AF834" i="11"/>
  <c r="Z835" i="11"/>
  <c r="AA835" i="11"/>
  <c r="AB835" i="11"/>
  <c r="AC835" i="11"/>
  <c r="AD835" i="11"/>
  <c r="AE835" i="11"/>
  <c r="AF835" i="11"/>
  <c r="Z836" i="11"/>
  <c r="AA836" i="11"/>
  <c r="AB836" i="11"/>
  <c r="AC836" i="11"/>
  <c r="AD836" i="11"/>
  <c r="AE836" i="11"/>
  <c r="AF836" i="11"/>
  <c r="Z837" i="11"/>
  <c r="AA837" i="11"/>
  <c r="AB837" i="11"/>
  <c r="AC837" i="11"/>
  <c r="AD837" i="11"/>
  <c r="AE837" i="11"/>
  <c r="AF837" i="11"/>
  <c r="Z838" i="11"/>
  <c r="AA838" i="11"/>
  <c r="AB838" i="11"/>
  <c r="AC838" i="11"/>
  <c r="AD838" i="11"/>
  <c r="AE838" i="11"/>
  <c r="AF838" i="11"/>
  <c r="Z839" i="11"/>
  <c r="AA839" i="11"/>
  <c r="AB839" i="11"/>
  <c r="AC839" i="11"/>
  <c r="AD839" i="11"/>
  <c r="AE839" i="11"/>
  <c r="AF839" i="11"/>
  <c r="Z840" i="11"/>
  <c r="AA840" i="11"/>
  <c r="AB840" i="11"/>
  <c r="AC840" i="11"/>
  <c r="AD840" i="11"/>
  <c r="AE840" i="11"/>
  <c r="AF840" i="11"/>
  <c r="Z841" i="11"/>
  <c r="AA841" i="11"/>
  <c r="AB841" i="11"/>
  <c r="AC841" i="11"/>
  <c r="AD841" i="11"/>
  <c r="AE841" i="11"/>
  <c r="AF841" i="11"/>
  <c r="Z842" i="11"/>
  <c r="AA842" i="11"/>
  <c r="AB842" i="11"/>
  <c r="AC842" i="11"/>
  <c r="AD842" i="11"/>
  <c r="AE842" i="11"/>
  <c r="AF842" i="11"/>
  <c r="Z843" i="11"/>
  <c r="AA843" i="11"/>
  <c r="AB843" i="11"/>
  <c r="AC843" i="11"/>
  <c r="AD843" i="11"/>
  <c r="AE843" i="11"/>
  <c r="AF843" i="11"/>
  <c r="Z844" i="11"/>
  <c r="AA844" i="11"/>
  <c r="AB844" i="11"/>
  <c r="AC844" i="11"/>
  <c r="AD844" i="11"/>
  <c r="AE844" i="11"/>
  <c r="AF844" i="11"/>
  <c r="Z845" i="11"/>
  <c r="AA845" i="11"/>
  <c r="AB845" i="11"/>
  <c r="AC845" i="11"/>
  <c r="AD845" i="11"/>
  <c r="AE845" i="11"/>
  <c r="AF845" i="11"/>
  <c r="Z846" i="11"/>
  <c r="AA846" i="11"/>
  <c r="AB846" i="11"/>
  <c r="AC846" i="11"/>
  <c r="AD846" i="11"/>
  <c r="AE846" i="11"/>
  <c r="AF846" i="11"/>
  <c r="Z847" i="11"/>
  <c r="AA847" i="11"/>
  <c r="AB847" i="11"/>
  <c r="AC847" i="11"/>
  <c r="AD847" i="11"/>
  <c r="AE847" i="11"/>
  <c r="AF847" i="11"/>
  <c r="Z848" i="11"/>
  <c r="AA848" i="11"/>
  <c r="AB848" i="11"/>
  <c r="AC848" i="11"/>
  <c r="AD848" i="11"/>
  <c r="AE848" i="11"/>
  <c r="AF848" i="11"/>
  <c r="Z849" i="11"/>
  <c r="AA849" i="11"/>
  <c r="AB849" i="11"/>
  <c r="AC849" i="11"/>
  <c r="AD849" i="11"/>
  <c r="AE849" i="11"/>
  <c r="AF849" i="11"/>
  <c r="Z850" i="11"/>
  <c r="AA850" i="11"/>
  <c r="AB850" i="11"/>
  <c r="AC850" i="11"/>
  <c r="AD850" i="11"/>
  <c r="AE850" i="11"/>
  <c r="AF850" i="11"/>
  <c r="Z851" i="11"/>
  <c r="AA851" i="11"/>
  <c r="AB851" i="11"/>
  <c r="AC851" i="11"/>
  <c r="AD851" i="11"/>
  <c r="AE851" i="11"/>
  <c r="AF851" i="11"/>
  <c r="Z852" i="11"/>
  <c r="AA852" i="11"/>
  <c r="AB852" i="11"/>
  <c r="AC852" i="11"/>
  <c r="AD852" i="11"/>
  <c r="AE852" i="11"/>
  <c r="AF852" i="11"/>
  <c r="Z853" i="11"/>
  <c r="AA853" i="11"/>
  <c r="AB853" i="11"/>
  <c r="AC853" i="11"/>
  <c r="AD853" i="11"/>
  <c r="AE853" i="11"/>
  <c r="AF853" i="11"/>
  <c r="Z854" i="11"/>
  <c r="AA854" i="11"/>
  <c r="AB854" i="11"/>
  <c r="AC854" i="11"/>
  <c r="AD854" i="11"/>
  <c r="AE854" i="11"/>
  <c r="AF854" i="11"/>
  <c r="Z855" i="11"/>
  <c r="AA855" i="11"/>
  <c r="AB855" i="11"/>
  <c r="AC855" i="11"/>
  <c r="AD855" i="11"/>
  <c r="AE855" i="11"/>
  <c r="AF855" i="11"/>
  <c r="Z856" i="11"/>
  <c r="AA856" i="11"/>
  <c r="AB856" i="11"/>
  <c r="AC856" i="11"/>
  <c r="AD856" i="11"/>
  <c r="AE856" i="11"/>
  <c r="AF856" i="11"/>
  <c r="Z857" i="11"/>
  <c r="AA857" i="11"/>
  <c r="AB857" i="11"/>
  <c r="AC857" i="11"/>
  <c r="AD857" i="11"/>
  <c r="AE857" i="11"/>
  <c r="AF857" i="11"/>
  <c r="Z858" i="11"/>
  <c r="AA858" i="11"/>
  <c r="AB858" i="11"/>
  <c r="AC858" i="11"/>
  <c r="AD858" i="11"/>
  <c r="AE858" i="11"/>
  <c r="AF858" i="11"/>
  <c r="Z859" i="11"/>
  <c r="AA859" i="11"/>
  <c r="AB859" i="11"/>
  <c r="AC859" i="11"/>
  <c r="AD859" i="11"/>
  <c r="AE859" i="11"/>
  <c r="AF859" i="11"/>
  <c r="Z860" i="11"/>
  <c r="AA860" i="11"/>
  <c r="AB860" i="11"/>
  <c r="AC860" i="11"/>
  <c r="AD860" i="11"/>
  <c r="AE860" i="11"/>
  <c r="AF860" i="11"/>
  <c r="Z861" i="11"/>
  <c r="AA861" i="11"/>
  <c r="AB861" i="11"/>
  <c r="AC861" i="11"/>
  <c r="AD861" i="11"/>
  <c r="AE861" i="11"/>
  <c r="AF861" i="11"/>
  <c r="Z862" i="11"/>
  <c r="AA862" i="11"/>
  <c r="AB862" i="11"/>
  <c r="AC862" i="11"/>
  <c r="AD862" i="11"/>
  <c r="AE862" i="11"/>
  <c r="AF862" i="11"/>
  <c r="Z863" i="11"/>
  <c r="AA863" i="11"/>
  <c r="AB863" i="11"/>
  <c r="AC863" i="11"/>
  <c r="AD863" i="11"/>
  <c r="AE863" i="11"/>
  <c r="AF863" i="11"/>
  <c r="Z864" i="11"/>
  <c r="AA864" i="11"/>
  <c r="AB864" i="11"/>
  <c r="AC864" i="11"/>
  <c r="AD864" i="11"/>
  <c r="AE864" i="11"/>
  <c r="AF864" i="11"/>
  <c r="Z865" i="11"/>
  <c r="AA865" i="11"/>
  <c r="AB865" i="11"/>
  <c r="AC865" i="11"/>
  <c r="AD865" i="11"/>
  <c r="AE865" i="11"/>
  <c r="AF865" i="11"/>
  <c r="Z866" i="11"/>
  <c r="AA866" i="11"/>
  <c r="AB866" i="11"/>
  <c r="AC866" i="11"/>
  <c r="AD866" i="11"/>
  <c r="AE866" i="11"/>
  <c r="AF866" i="11"/>
  <c r="Z867" i="11"/>
  <c r="AA867" i="11"/>
  <c r="AB867" i="11"/>
  <c r="AC867" i="11"/>
  <c r="AD867" i="11"/>
  <c r="AE867" i="11"/>
  <c r="AF867" i="11"/>
  <c r="Z868" i="11"/>
  <c r="AA868" i="11"/>
  <c r="AB868" i="11"/>
  <c r="AC868" i="11"/>
  <c r="AD868" i="11"/>
  <c r="AE868" i="11"/>
  <c r="AF868" i="11"/>
  <c r="Z869" i="11"/>
  <c r="AA869" i="11"/>
  <c r="AB869" i="11"/>
  <c r="AC869" i="11"/>
  <c r="AD869" i="11"/>
  <c r="AE869" i="11"/>
  <c r="AF869" i="11"/>
  <c r="Z870" i="11"/>
  <c r="AA870" i="11"/>
  <c r="AB870" i="11"/>
  <c r="AC870" i="11"/>
  <c r="AD870" i="11"/>
  <c r="AE870" i="11"/>
  <c r="AF870" i="11"/>
  <c r="Z871" i="11"/>
  <c r="AA871" i="11"/>
  <c r="AB871" i="11"/>
  <c r="AC871" i="11"/>
  <c r="AD871" i="11"/>
  <c r="AE871" i="11"/>
  <c r="AF871" i="11"/>
  <c r="Z872" i="11"/>
  <c r="AA872" i="11"/>
  <c r="AB872" i="11"/>
  <c r="AC872" i="11"/>
  <c r="AD872" i="11"/>
  <c r="AE872" i="11"/>
  <c r="AF872" i="11"/>
  <c r="Z873" i="11"/>
  <c r="AA873" i="11"/>
  <c r="AB873" i="11"/>
  <c r="AC873" i="11"/>
  <c r="AD873" i="11"/>
  <c r="AE873" i="11"/>
  <c r="AF873" i="11"/>
  <c r="Z874" i="11"/>
  <c r="AA874" i="11"/>
  <c r="AB874" i="11"/>
  <c r="AC874" i="11"/>
  <c r="AD874" i="11"/>
  <c r="AE874" i="11"/>
  <c r="AF874" i="11"/>
  <c r="Z875" i="11"/>
  <c r="AA875" i="11"/>
  <c r="AB875" i="11"/>
  <c r="AC875" i="11"/>
  <c r="AD875" i="11"/>
  <c r="AE875" i="11"/>
  <c r="AF875" i="11"/>
  <c r="Z876" i="11"/>
  <c r="AA876" i="11"/>
  <c r="AB876" i="11"/>
  <c r="AC876" i="11"/>
  <c r="AD876" i="11"/>
  <c r="AE876" i="11"/>
  <c r="AF876" i="11"/>
  <c r="Z877" i="11"/>
  <c r="AA877" i="11"/>
  <c r="AB877" i="11"/>
  <c r="AC877" i="11"/>
  <c r="AD877" i="11"/>
  <c r="AE877" i="11"/>
  <c r="AF877" i="11"/>
  <c r="Z878" i="11"/>
  <c r="AA878" i="11"/>
  <c r="AB878" i="11"/>
  <c r="AC878" i="11"/>
  <c r="AD878" i="11"/>
  <c r="AE878" i="11"/>
  <c r="AF878" i="11"/>
  <c r="Z879" i="11"/>
  <c r="AA879" i="11"/>
  <c r="AB879" i="11"/>
  <c r="AC879" i="11"/>
  <c r="AD879" i="11"/>
  <c r="AE879" i="11"/>
  <c r="AF879" i="11"/>
  <c r="Z880" i="11"/>
  <c r="AA880" i="11"/>
  <c r="AB880" i="11"/>
  <c r="AC880" i="11"/>
  <c r="AD880" i="11"/>
  <c r="AE880" i="11"/>
  <c r="AF880" i="11"/>
  <c r="Z881" i="11"/>
  <c r="AA881" i="11"/>
  <c r="AB881" i="11"/>
  <c r="AC881" i="11"/>
  <c r="AD881" i="11"/>
  <c r="AE881" i="11"/>
  <c r="AF881" i="11"/>
  <c r="Z882" i="11"/>
  <c r="AA882" i="11"/>
  <c r="AB882" i="11"/>
  <c r="AC882" i="11"/>
  <c r="AD882" i="11"/>
  <c r="AE882" i="11"/>
  <c r="AF882" i="11"/>
  <c r="Z883" i="11"/>
  <c r="AA883" i="11"/>
  <c r="AB883" i="11"/>
  <c r="AC883" i="11"/>
  <c r="AD883" i="11"/>
  <c r="AE883" i="11"/>
  <c r="AF883" i="11"/>
  <c r="Z884" i="11"/>
  <c r="AA884" i="11"/>
  <c r="AB884" i="11"/>
  <c r="AC884" i="11"/>
  <c r="AD884" i="11"/>
  <c r="AE884" i="11"/>
  <c r="AF884" i="11"/>
  <c r="Z885" i="11"/>
  <c r="AA885" i="11"/>
  <c r="AB885" i="11"/>
  <c r="AC885" i="11"/>
  <c r="AD885" i="11"/>
  <c r="AE885" i="11"/>
  <c r="AF885" i="11"/>
  <c r="Z886" i="11"/>
  <c r="AA886" i="11"/>
  <c r="AB886" i="11"/>
  <c r="AC886" i="11"/>
  <c r="AD886" i="11"/>
  <c r="AE886" i="11"/>
  <c r="AF886" i="11"/>
  <c r="Z887" i="11"/>
  <c r="AA887" i="11"/>
  <c r="AB887" i="11"/>
  <c r="AC887" i="11"/>
  <c r="AD887" i="11"/>
  <c r="AE887" i="11"/>
  <c r="AF887" i="11"/>
  <c r="Z888" i="11"/>
  <c r="AA888" i="11"/>
  <c r="AB888" i="11"/>
  <c r="AC888" i="11"/>
  <c r="AD888" i="11"/>
  <c r="AE888" i="11"/>
  <c r="AF888" i="11"/>
  <c r="Z889" i="11"/>
  <c r="AA889" i="11"/>
  <c r="AB889" i="11"/>
  <c r="AC889" i="11"/>
  <c r="AD889" i="11"/>
  <c r="AE889" i="11"/>
  <c r="AF889" i="11"/>
  <c r="Z890" i="11"/>
  <c r="AA890" i="11"/>
  <c r="AB890" i="11"/>
  <c r="AC890" i="11"/>
  <c r="AD890" i="11"/>
  <c r="AE890" i="11"/>
  <c r="AF890" i="11"/>
  <c r="Z891" i="11"/>
  <c r="AA891" i="11"/>
  <c r="AB891" i="11"/>
  <c r="AC891" i="11"/>
  <c r="AD891" i="11"/>
  <c r="AE891" i="11"/>
  <c r="AF891" i="11"/>
  <c r="Z892" i="11"/>
  <c r="AA892" i="11"/>
  <c r="AB892" i="11"/>
  <c r="AC892" i="11"/>
  <c r="AD892" i="11"/>
  <c r="AE892" i="11"/>
  <c r="AF892" i="11"/>
  <c r="Z893" i="11"/>
  <c r="AA893" i="11"/>
  <c r="AB893" i="11"/>
  <c r="AC893" i="11"/>
  <c r="AD893" i="11"/>
  <c r="AE893" i="11"/>
  <c r="AF893" i="11"/>
  <c r="Z894" i="11"/>
  <c r="AA894" i="11"/>
  <c r="AB894" i="11"/>
  <c r="AC894" i="11"/>
  <c r="AD894" i="11"/>
  <c r="AE894" i="11"/>
  <c r="AF894" i="11"/>
  <c r="Z895" i="11"/>
  <c r="AA895" i="11"/>
  <c r="AB895" i="11"/>
  <c r="AC895" i="11"/>
  <c r="AD895" i="11"/>
  <c r="AE895" i="11"/>
  <c r="AF895" i="11"/>
  <c r="Z896" i="11"/>
  <c r="AA896" i="11"/>
  <c r="AB896" i="11"/>
  <c r="AC896" i="11"/>
  <c r="AD896" i="11"/>
  <c r="AE896" i="11"/>
  <c r="AF896" i="11"/>
  <c r="Z897" i="11"/>
  <c r="AA897" i="11"/>
  <c r="AB897" i="11"/>
  <c r="AC897" i="11"/>
  <c r="AD897" i="11"/>
  <c r="AE897" i="11"/>
  <c r="AF897" i="11"/>
  <c r="Z898" i="11"/>
  <c r="AA898" i="11"/>
  <c r="AB898" i="11"/>
  <c r="AC898" i="11"/>
  <c r="AD898" i="11"/>
  <c r="AE898" i="11"/>
  <c r="AF898" i="11"/>
  <c r="Z899" i="11"/>
  <c r="AA899" i="11"/>
  <c r="AB899" i="11"/>
  <c r="AC899" i="11"/>
  <c r="AD899" i="11"/>
  <c r="AE899" i="11"/>
  <c r="AF899" i="11"/>
  <c r="Z900" i="11"/>
  <c r="AA900" i="11"/>
  <c r="AB900" i="11"/>
  <c r="AC900" i="11"/>
  <c r="AD900" i="11"/>
  <c r="AE900" i="11"/>
  <c r="AF900" i="11"/>
  <c r="Z901" i="11"/>
  <c r="AA901" i="11"/>
  <c r="AB901" i="11"/>
  <c r="AC901" i="11"/>
  <c r="AD901" i="11"/>
  <c r="AE901" i="11"/>
  <c r="AF901" i="11"/>
  <c r="Z902" i="11"/>
  <c r="AA902" i="11"/>
  <c r="AB902" i="11"/>
  <c r="AC902" i="11"/>
  <c r="AD902" i="11"/>
  <c r="AE902" i="11"/>
  <c r="AF902" i="11"/>
  <c r="Z903" i="11"/>
  <c r="AA903" i="11"/>
  <c r="AB903" i="11"/>
  <c r="AC903" i="11"/>
  <c r="AD903" i="11"/>
  <c r="AE903" i="11"/>
  <c r="AF903" i="11"/>
  <c r="Z904" i="11"/>
  <c r="AA904" i="11"/>
  <c r="AB904" i="11"/>
  <c r="AC904" i="11"/>
  <c r="AD904" i="11"/>
  <c r="AE904" i="11"/>
  <c r="AF904" i="11"/>
  <c r="Z905" i="11"/>
  <c r="AA905" i="11"/>
  <c r="AB905" i="11"/>
  <c r="AC905" i="11"/>
  <c r="AD905" i="11"/>
  <c r="AE905" i="11"/>
  <c r="AF905" i="11"/>
  <c r="Z906" i="11"/>
  <c r="AA906" i="11"/>
  <c r="AB906" i="11"/>
  <c r="AC906" i="11"/>
  <c r="AD906" i="11"/>
  <c r="AE906" i="11"/>
  <c r="AF906" i="11"/>
  <c r="Z907" i="11"/>
  <c r="AA907" i="11"/>
  <c r="AB907" i="11"/>
  <c r="AC907" i="11"/>
  <c r="AD907" i="11"/>
  <c r="AE907" i="11"/>
  <c r="AF907" i="11"/>
  <c r="Z908" i="11"/>
  <c r="AA908" i="11"/>
  <c r="AB908" i="11"/>
  <c r="AC908" i="11"/>
  <c r="AD908" i="11"/>
  <c r="AE908" i="11"/>
  <c r="AF908" i="11"/>
  <c r="Z909" i="11"/>
  <c r="AA909" i="11"/>
  <c r="AB909" i="11"/>
  <c r="AC909" i="11"/>
  <c r="AD909" i="11"/>
  <c r="AE909" i="11"/>
  <c r="AF909" i="11"/>
  <c r="Z910" i="11"/>
  <c r="AA910" i="11"/>
  <c r="AB910" i="11"/>
  <c r="AC910" i="11"/>
  <c r="AD910" i="11"/>
  <c r="AE910" i="11"/>
  <c r="AF910" i="11"/>
  <c r="Z911" i="11"/>
  <c r="AA911" i="11"/>
  <c r="AB911" i="11"/>
  <c r="AC911" i="11"/>
  <c r="AD911" i="11"/>
  <c r="AE911" i="11"/>
  <c r="AF911" i="11"/>
  <c r="Z912" i="11"/>
  <c r="AA912" i="11"/>
  <c r="AB912" i="11"/>
  <c r="AC912" i="11"/>
  <c r="AD912" i="11"/>
  <c r="AE912" i="11"/>
  <c r="AF912" i="11"/>
  <c r="Z913" i="11"/>
  <c r="AA913" i="11"/>
  <c r="AB913" i="11"/>
  <c r="AC913" i="11"/>
  <c r="AD913" i="11"/>
  <c r="AE913" i="11"/>
  <c r="AF913" i="11"/>
  <c r="Z914" i="11"/>
  <c r="AA914" i="11"/>
  <c r="AB914" i="11"/>
  <c r="AC914" i="11"/>
  <c r="AD914" i="11"/>
  <c r="AE914" i="11"/>
  <c r="AF914" i="11"/>
  <c r="Z915" i="11"/>
  <c r="AA915" i="11"/>
  <c r="AB915" i="11"/>
  <c r="AC915" i="11"/>
  <c r="AD915" i="11"/>
  <c r="AE915" i="11"/>
  <c r="AF915" i="11"/>
  <c r="Z916" i="11"/>
  <c r="AA916" i="11"/>
  <c r="AB916" i="11"/>
  <c r="AC916" i="11"/>
  <c r="AD916" i="11"/>
  <c r="AE916" i="11"/>
  <c r="AF916" i="11"/>
  <c r="Z917" i="11"/>
  <c r="AA917" i="11"/>
  <c r="AB917" i="11"/>
  <c r="AC917" i="11"/>
  <c r="AD917" i="11"/>
  <c r="AE917" i="11"/>
  <c r="AF917" i="11"/>
  <c r="Z918" i="11"/>
  <c r="AA918" i="11"/>
  <c r="AB918" i="11"/>
  <c r="AC918" i="11"/>
  <c r="AD918" i="11"/>
  <c r="AE918" i="11"/>
  <c r="AF918" i="11"/>
  <c r="Z919" i="11"/>
  <c r="AA919" i="11"/>
  <c r="AB919" i="11"/>
  <c r="AC919" i="11"/>
  <c r="AD919" i="11"/>
  <c r="AE919" i="11"/>
  <c r="AF919" i="11"/>
  <c r="Z920" i="11"/>
  <c r="AA920" i="11"/>
  <c r="AB920" i="11"/>
  <c r="AC920" i="11"/>
  <c r="AD920" i="11"/>
  <c r="AE920" i="11"/>
  <c r="AF920" i="11"/>
  <c r="Z921" i="11"/>
  <c r="AA921" i="11"/>
  <c r="AB921" i="11"/>
  <c r="AC921" i="11"/>
  <c r="AD921" i="11"/>
  <c r="AE921" i="11"/>
  <c r="AF921" i="11"/>
  <c r="Z922" i="11"/>
  <c r="AA922" i="11"/>
  <c r="AB922" i="11"/>
  <c r="AC922" i="11"/>
  <c r="AD922" i="11"/>
  <c r="AE922" i="11"/>
  <c r="AF922" i="11"/>
  <c r="Z923" i="11"/>
  <c r="AA923" i="11"/>
  <c r="AB923" i="11"/>
  <c r="AC923" i="11"/>
  <c r="AD923" i="11"/>
  <c r="AE923" i="11"/>
  <c r="AF923" i="11"/>
  <c r="Z924" i="11"/>
  <c r="AA924" i="11"/>
  <c r="AB924" i="11"/>
  <c r="AC924" i="11"/>
  <c r="AD924" i="11"/>
  <c r="AE924" i="11"/>
  <c r="AF924" i="11"/>
  <c r="Z925" i="11"/>
  <c r="AA925" i="11"/>
  <c r="AB925" i="11"/>
  <c r="AC925" i="11"/>
  <c r="AD925" i="11"/>
  <c r="AE925" i="11"/>
  <c r="AF925" i="11"/>
  <c r="Z926" i="11"/>
  <c r="AA926" i="11"/>
  <c r="AB926" i="11"/>
  <c r="AC926" i="11"/>
  <c r="AD926" i="11"/>
  <c r="AE926" i="11"/>
  <c r="AF926" i="11"/>
  <c r="Z927" i="11"/>
  <c r="AA927" i="11"/>
  <c r="AB927" i="11"/>
  <c r="AC927" i="11"/>
  <c r="AD927" i="11"/>
  <c r="AE927" i="11"/>
  <c r="AF927" i="11"/>
  <c r="Z928" i="11"/>
  <c r="AA928" i="11"/>
  <c r="AB928" i="11"/>
  <c r="AC928" i="11"/>
  <c r="AD928" i="11"/>
  <c r="AE928" i="11"/>
  <c r="AF928" i="11"/>
  <c r="Z929" i="11"/>
  <c r="AA929" i="11"/>
  <c r="AB929" i="11"/>
  <c r="AC929" i="11"/>
  <c r="AD929" i="11"/>
  <c r="AE929" i="11"/>
  <c r="AF929" i="11"/>
  <c r="Z930" i="11"/>
  <c r="AA930" i="11"/>
  <c r="AB930" i="11"/>
  <c r="AC930" i="11"/>
  <c r="AD930" i="11"/>
  <c r="AE930" i="11"/>
  <c r="AF930" i="11"/>
  <c r="Z931" i="11"/>
  <c r="AA931" i="11"/>
  <c r="AB931" i="11"/>
  <c r="AC931" i="11"/>
  <c r="AD931" i="11"/>
  <c r="AE931" i="11"/>
  <c r="AF931" i="11"/>
  <c r="Y4" i="11"/>
  <c r="Y5" i="11"/>
  <c r="Y6" i="11"/>
  <c r="Y7" i="11"/>
  <c r="Y8" i="11"/>
  <c r="Y9" i="11"/>
  <c r="Y10" i="11"/>
  <c r="Y11" i="11"/>
  <c r="AG11" i="11" s="1"/>
  <c r="Y12" i="11"/>
  <c r="Y13" i="11"/>
  <c r="AG13" i="11" s="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AG31" i="11" s="1"/>
  <c r="Y32" i="11"/>
  <c r="Y33" i="11"/>
  <c r="AG33" i="11" s="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AG51" i="11" s="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AG64" i="11" s="1"/>
  <c r="Y65" i="11"/>
  <c r="Y66" i="11"/>
  <c r="Y67" i="11"/>
  <c r="Y68" i="11"/>
  <c r="Y69" i="11"/>
  <c r="Y70" i="11"/>
  <c r="Y71" i="11"/>
  <c r="AG71" i="11" s="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AG91" i="11" s="1"/>
  <c r="Y92" i="11"/>
  <c r="Y93" i="11"/>
  <c r="Y94" i="11"/>
  <c r="Y95" i="11"/>
  <c r="AG95" i="11" s="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AG111" i="11" s="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AG126" i="11" s="1"/>
  <c r="Y127" i="11"/>
  <c r="Y128" i="11"/>
  <c r="Y129" i="11"/>
  <c r="Y130" i="11"/>
  <c r="Y131" i="11"/>
  <c r="AG131" i="11" s="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146" i="11"/>
  <c r="Y147" i="11"/>
  <c r="Y148" i="11"/>
  <c r="Y149" i="11"/>
  <c r="Y150" i="11"/>
  <c r="Y151" i="11"/>
  <c r="AG151" i="11" s="1"/>
  <c r="Y152" i="11"/>
  <c r="Y153" i="11"/>
  <c r="AG153" i="11" s="1"/>
  <c r="Y154" i="11"/>
  <c r="Y155" i="11"/>
  <c r="Y156" i="11"/>
  <c r="Y157" i="11"/>
  <c r="AG157" i="11" s="1"/>
  <c r="Y158" i="11"/>
  <c r="Y159" i="11"/>
  <c r="Y160" i="11"/>
  <c r="Y161" i="11"/>
  <c r="Y162" i="11"/>
  <c r="Y163" i="11"/>
  <c r="Y164" i="11"/>
  <c r="Y165" i="11"/>
  <c r="Y166" i="11"/>
  <c r="Y167" i="11"/>
  <c r="Y168" i="11"/>
  <c r="Y169" i="11"/>
  <c r="Y170" i="11"/>
  <c r="Y171" i="11"/>
  <c r="AG171" i="11" s="1"/>
  <c r="Y172" i="11"/>
  <c r="Y173" i="11"/>
  <c r="AG173" i="11" s="1"/>
  <c r="Y174" i="11"/>
  <c r="Y175" i="11"/>
  <c r="Y176" i="11"/>
  <c r="Y177" i="11"/>
  <c r="Y178" i="11"/>
  <c r="Y179" i="11"/>
  <c r="Y180" i="11"/>
  <c r="Y181" i="11"/>
  <c r="Y182" i="11"/>
  <c r="Y183" i="11"/>
  <c r="Y184" i="11"/>
  <c r="Y185" i="11"/>
  <c r="Y186" i="11"/>
  <c r="Y187" i="11"/>
  <c r="Y188" i="11"/>
  <c r="AG188" i="11" s="1"/>
  <c r="Y189" i="11"/>
  <c r="Y190" i="11"/>
  <c r="Y191" i="11"/>
  <c r="AG191" i="11" s="1"/>
  <c r="Y192" i="11"/>
  <c r="Y193" i="11"/>
  <c r="AG193" i="11" s="1"/>
  <c r="Y194" i="11"/>
  <c r="Y195" i="11"/>
  <c r="Y196" i="11"/>
  <c r="Y197" i="11"/>
  <c r="Y198" i="11"/>
  <c r="Y199" i="11"/>
  <c r="Y200" i="11"/>
  <c r="Y201" i="11"/>
  <c r="Y202" i="11"/>
  <c r="Y203" i="11"/>
  <c r="Y204" i="11"/>
  <c r="Y205" i="11"/>
  <c r="Y206" i="11"/>
  <c r="Y207" i="11"/>
  <c r="Y208" i="11"/>
  <c r="Y209" i="11"/>
  <c r="Y210" i="11"/>
  <c r="Y211" i="11"/>
  <c r="AG211" i="11" s="1"/>
  <c r="Y212" i="11"/>
  <c r="Y213" i="11"/>
  <c r="Y214" i="11"/>
  <c r="Y215" i="11"/>
  <c r="Y216" i="11"/>
  <c r="Y217" i="11"/>
  <c r="Y218" i="11"/>
  <c r="Y219" i="11"/>
  <c r="AG219" i="11" s="1"/>
  <c r="Y220" i="11"/>
  <c r="Y221" i="11"/>
  <c r="Y222" i="11"/>
  <c r="Y223" i="11"/>
  <c r="Y224" i="11"/>
  <c r="Y225" i="11"/>
  <c r="Y226" i="11"/>
  <c r="Y227" i="11"/>
  <c r="Y228" i="11"/>
  <c r="Y229" i="11"/>
  <c r="Y230" i="11"/>
  <c r="Y231" i="11"/>
  <c r="AG231" i="11" s="1"/>
  <c r="Y232" i="11"/>
  <c r="Y233" i="11"/>
  <c r="Y234" i="11"/>
  <c r="Y235" i="11"/>
  <c r="Y236" i="11"/>
  <c r="Y237" i="11"/>
  <c r="Y238" i="11"/>
  <c r="Y239" i="11"/>
  <c r="Y240" i="11"/>
  <c r="Y241" i="11"/>
  <c r="Y242" i="11"/>
  <c r="Y243" i="11"/>
  <c r="Y244" i="11"/>
  <c r="Y245" i="11"/>
  <c r="Y246" i="11"/>
  <c r="Y247" i="11"/>
  <c r="Y248" i="11"/>
  <c r="Y249" i="11"/>
  <c r="Y250" i="11"/>
  <c r="AG250" i="11" s="1"/>
  <c r="Y251" i="11"/>
  <c r="AG251" i="11" s="1"/>
  <c r="Y252" i="11"/>
  <c r="Y253" i="11"/>
  <c r="Y254" i="11"/>
  <c r="Y255" i="11"/>
  <c r="Y256" i="11"/>
  <c r="Y257" i="11"/>
  <c r="Y258" i="11"/>
  <c r="Y259" i="11"/>
  <c r="Y260" i="11"/>
  <c r="Y261" i="11"/>
  <c r="Y262" i="11"/>
  <c r="Y263" i="11"/>
  <c r="Y264" i="11"/>
  <c r="Y265" i="11"/>
  <c r="Y266" i="11"/>
  <c r="Y267" i="11"/>
  <c r="Y268" i="11"/>
  <c r="Y269" i="11"/>
  <c r="Y270" i="11"/>
  <c r="Y271" i="11"/>
  <c r="AG271" i="11" s="1"/>
  <c r="Y272" i="11"/>
  <c r="Y273" i="11"/>
  <c r="Y274" i="11"/>
  <c r="Y275" i="11"/>
  <c r="Y276" i="11"/>
  <c r="Y277" i="11"/>
  <c r="Y278" i="11"/>
  <c r="Y279" i="11"/>
  <c r="Y280" i="11"/>
  <c r="Y281" i="11"/>
  <c r="AG281" i="11" s="1"/>
  <c r="Y282" i="11"/>
  <c r="Y283" i="11"/>
  <c r="Y284" i="11"/>
  <c r="Y285" i="11"/>
  <c r="Y286" i="11"/>
  <c r="Y287" i="11"/>
  <c r="Y288" i="11"/>
  <c r="Y289" i="11"/>
  <c r="Y290" i="11"/>
  <c r="Y291" i="11"/>
  <c r="AG291" i="11" s="1"/>
  <c r="Y292" i="11"/>
  <c r="Y293" i="11"/>
  <c r="Y294" i="11"/>
  <c r="Y295" i="11"/>
  <c r="Y296" i="11"/>
  <c r="Y297" i="11"/>
  <c r="Y298" i="11"/>
  <c r="Y299" i="11"/>
  <c r="Y300" i="11"/>
  <c r="Y301" i="11"/>
  <c r="Y302" i="11"/>
  <c r="Y303" i="11"/>
  <c r="Y304" i="11"/>
  <c r="Y305" i="11"/>
  <c r="Y306" i="11"/>
  <c r="Y307" i="11"/>
  <c r="Y308" i="11"/>
  <c r="Y309" i="11"/>
  <c r="Y310" i="11"/>
  <c r="Y311" i="11"/>
  <c r="AG311" i="11" s="1"/>
  <c r="Y312" i="11"/>
  <c r="AG312" i="11" s="1"/>
  <c r="Y313" i="11"/>
  <c r="Y314" i="11"/>
  <c r="Y315" i="11"/>
  <c r="Y316" i="11"/>
  <c r="Y317" i="11"/>
  <c r="Y318" i="11"/>
  <c r="Y319" i="11"/>
  <c r="Y320" i="11"/>
  <c r="Y321" i="11"/>
  <c r="Y322" i="11"/>
  <c r="Y323" i="11"/>
  <c r="Y324" i="11"/>
  <c r="Y325" i="11"/>
  <c r="Y326" i="11"/>
  <c r="Y327" i="11"/>
  <c r="Y328" i="11"/>
  <c r="Y329" i="11"/>
  <c r="Y330" i="11"/>
  <c r="Y331" i="11"/>
  <c r="AG331" i="11" s="1"/>
  <c r="Y332" i="11"/>
  <c r="Y333" i="11"/>
  <c r="Y334" i="11"/>
  <c r="Y335" i="11"/>
  <c r="Y336" i="11"/>
  <c r="Y337" i="11"/>
  <c r="Y338" i="11"/>
  <c r="Y339" i="11"/>
  <c r="Y340" i="11"/>
  <c r="Y341" i="11"/>
  <c r="Y342" i="11"/>
  <c r="Y343" i="11"/>
  <c r="AG343" i="11" s="1"/>
  <c r="Y344" i="11"/>
  <c r="Y345" i="11"/>
  <c r="Y346" i="11"/>
  <c r="Y347" i="11"/>
  <c r="Y348" i="11"/>
  <c r="Y349" i="11"/>
  <c r="Y350" i="11"/>
  <c r="Y351" i="11"/>
  <c r="AG351" i="11" s="1"/>
  <c r="Y352" i="11"/>
  <c r="Y353" i="11"/>
  <c r="Y354" i="11"/>
  <c r="Y355" i="11"/>
  <c r="Y356" i="11"/>
  <c r="Y357" i="11"/>
  <c r="Y358" i="11"/>
  <c r="Y359" i="11"/>
  <c r="Y360" i="11"/>
  <c r="Y361" i="11"/>
  <c r="Y362" i="11"/>
  <c r="Y363" i="11"/>
  <c r="Y364" i="11"/>
  <c r="Y365" i="11"/>
  <c r="Y366" i="11"/>
  <c r="Y367" i="11"/>
  <c r="Y368" i="11"/>
  <c r="Y369" i="11"/>
  <c r="Y370" i="11"/>
  <c r="Y371" i="11"/>
  <c r="AG371" i="11" s="1"/>
  <c r="Y372" i="11"/>
  <c r="Y373" i="11"/>
  <c r="Y374" i="11"/>
  <c r="AG374" i="11" s="1"/>
  <c r="Y375" i="11"/>
  <c r="Y376" i="11"/>
  <c r="Y377" i="11"/>
  <c r="Y378" i="11"/>
  <c r="Y379" i="11"/>
  <c r="Y380" i="11"/>
  <c r="Y381" i="11"/>
  <c r="Y382" i="11"/>
  <c r="Y383" i="11"/>
  <c r="Y384" i="11"/>
  <c r="Y385" i="11"/>
  <c r="Y386" i="11"/>
  <c r="Y387" i="11"/>
  <c r="Y388" i="11"/>
  <c r="Y389" i="11"/>
  <c r="Y390" i="11"/>
  <c r="Y391" i="11"/>
  <c r="AG391" i="11" s="1"/>
  <c r="Y392" i="11"/>
  <c r="Y393" i="11"/>
  <c r="Y394" i="11"/>
  <c r="Y395" i="11"/>
  <c r="Y396" i="11"/>
  <c r="Y397" i="11"/>
  <c r="Y398" i="11"/>
  <c r="Y399" i="11"/>
  <c r="Y400" i="11"/>
  <c r="Y401" i="11"/>
  <c r="Y402" i="11"/>
  <c r="Y403" i="11"/>
  <c r="Y404" i="11"/>
  <c r="Y405" i="11"/>
  <c r="AG405" i="11" s="1"/>
  <c r="Y406" i="11"/>
  <c r="Y407" i="11"/>
  <c r="Y408" i="11"/>
  <c r="Y409" i="11"/>
  <c r="Y410" i="11"/>
  <c r="Y411" i="11"/>
  <c r="AG411" i="11" s="1"/>
  <c r="Y412" i="11"/>
  <c r="Y413" i="11"/>
  <c r="Y414" i="11"/>
  <c r="Y415" i="11"/>
  <c r="Y416" i="11"/>
  <c r="Y417" i="11"/>
  <c r="Y418" i="11"/>
  <c r="Y419" i="11"/>
  <c r="Y420" i="11"/>
  <c r="Y421" i="11"/>
  <c r="Y422" i="11"/>
  <c r="Y423" i="11"/>
  <c r="Y424" i="11"/>
  <c r="Y425" i="11"/>
  <c r="Y426" i="11"/>
  <c r="Y427" i="11"/>
  <c r="Y428" i="11"/>
  <c r="Y429" i="11"/>
  <c r="Y430" i="11"/>
  <c r="Y431" i="11"/>
  <c r="AG431" i="11" s="1"/>
  <c r="Y432" i="11"/>
  <c r="Y433" i="11"/>
  <c r="Y434" i="11"/>
  <c r="Y435" i="11"/>
  <c r="Y436" i="11"/>
  <c r="AG436" i="11" s="1"/>
  <c r="Y437" i="11"/>
  <c r="Y438" i="11"/>
  <c r="Y439" i="11"/>
  <c r="Y440" i="11"/>
  <c r="Y441" i="11"/>
  <c r="Y442" i="11"/>
  <c r="Y443" i="11"/>
  <c r="Y444" i="11"/>
  <c r="Y445" i="11"/>
  <c r="Y446" i="11"/>
  <c r="Y447" i="11"/>
  <c r="Y448" i="11"/>
  <c r="Y449" i="11"/>
  <c r="Y450" i="11"/>
  <c r="Y451" i="11"/>
  <c r="AG451" i="11" s="1"/>
  <c r="Y452" i="11"/>
  <c r="Y453" i="11"/>
  <c r="Y454" i="11"/>
  <c r="Y455" i="11"/>
  <c r="Y456" i="11"/>
  <c r="Y457" i="11"/>
  <c r="Y458" i="11"/>
  <c r="Y459" i="11"/>
  <c r="Y460" i="11"/>
  <c r="Y461" i="11"/>
  <c r="Y462" i="11"/>
  <c r="Y463" i="11"/>
  <c r="Y464" i="11"/>
  <c r="Y465" i="11"/>
  <c r="Y466" i="11"/>
  <c r="Y467" i="11"/>
  <c r="AG467" i="11" s="1"/>
  <c r="Y468" i="11"/>
  <c r="Y469" i="11"/>
  <c r="Y470" i="11"/>
  <c r="Y471" i="11"/>
  <c r="AG471" i="11" s="1"/>
  <c r="Y472" i="11"/>
  <c r="Y473" i="11"/>
  <c r="Y474" i="11"/>
  <c r="Y475" i="11"/>
  <c r="Y476" i="11"/>
  <c r="Y477" i="11"/>
  <c r="Y478" i="11"/>
  <c r="Y479" i="11"/>
  <c r="Y480" i="11"/>
  <c r="Y481" i="11"/>
  <c r="Y482" i="11"/>
  <c r="Y483" i="11"/>
  <c r="Y484" i="11"/>
  <c r="Y485" i="11"/>
  <c r="Y486" i="11"/>
  <c r="Y487" i="11"/>
  <c r="Y488" i="11"/>
  <c r="Y489" i="11"/>
  <c r="Y490" i="11"/>
  <c r="Y491" i="11"/>
  <c r="AG491" i="11" s="1"/>
  <c r="Y492" i="11"/>
  <c r="Y493" i="11"/>
  <c r="Y494" i="11"/>
  <c r="Y495" i="11"/>
  <c r="Y496" i="11"/>
  <c r="Y497" i="11"/>
  <c r="Y498" i="11"/>
  <c r="AG498" i="11" s="1"/>
  <c r="Y499" i="11"/>
  <c r="Y500" i="11"/>
  <c r="Y501" i="11"/>
  <c r="Y502" i="11"/>
  <c r="Y503" i="11"/>
  <c r="Y504" i="11"/>
  <c r="Y505" i="11"/>
  <c r="Y506" i="11"/>
  <c r="Y507" i="11"/>
  <c r="Y508" i="11"/>
  <c r="Y509" i="11"/>
  <c r="Y510" i="11"/>
  <c r="Y511" i="11"/>
  <c r="AG511" i="11" s="1"/>
  <c r="Y512" i="11"/>
  <c r="Y513" i="11"/>
  <c r="Y514" i="11"/>
  <c r="Y515" i="11"/>
  <c r="Y516" i="11"/>
  <c r="Y517" i="11"/>
  <c r="Y518" i="11"/>
  <c r="Y519" i="11"/>
  <c r="Y520" i="11"/>
  <c r="Y521" i="11"/>
  <c r="Y522" i="11"/>
  <c r="Y523" i="11"/>
  <c r="Y524" i="11"/>
  <c r="Y525" i="11"/>
  <c r="Y526" i="11"/>
  <c r="Y527" i="11"/>
  <c r="Y528" i="11"/>
  <c r="Y529" i="11"/>
  <c r="AG529" i="11" s="1"/>
  <c r="Y530" i="11"/>
  <c r="Y531" i="11"/>
  <c r="AG531" i="11" s="1"/>
  <c r="Y532" i="11"/>
  <c r="Y533" i="11"/>
  <c r="Y534" i="11"/>
  <c r="Y535" i="11"/>
  <c r="Y536" i="11"/>
  <c r="Y537" i="11"/>
  <c r="Y538" i="11"/>
  <c r="Y539" i="11"/>
  <c r="Y540" i="11"/>
  <c r="Y541" i="11"/>
  <c r="Y542" i="11"/>
  <c r="Y543" i="11"/>
  <c r="Y544" i="11"/>
  <c r="Y545" i="11"/>
  <c r="Y546" i="11"/>
  <c r="Y547" i="11"/>
  <c r="Y548" i="11"/>
  <c r="Y549" i="11"/>
  <c r="Y550" i="11"/>
  <c r="Y551" i="11"/>
  <c r="AG551" i="11" s="1"/>
  <c r="Y552" i="11"/>
  <c r="Y553" i="11"/>
  <c r="Y554" i="11"/>
  <c r="Y555" i="11"/>
  <c r="Y556" i="11"/>
  <c r="Y557" i="11"/>
  <c r="Y558" i="11"/>
  <c r="Y559" i="11"/>
  <c r="Y560" i="11"/>
  <c r="AG560" i="11" s="1"/>
  <c r="Y561" i="11"/>
  <c r="Y562" i="11"/>
  <c r="Y563" i="11"/>
  <c r="Y564" i="11"/>
  <c r="Y565" i="11"/>
  <c r="Y566" i="11"/>
  <c r="Y567" i="11"/>
  <c r="Y568" i="11"/>
  <c r="Y569" i="11"/>
  <c r="Y570" i="11"/>
  <c r="Y571" i="11"/>
  <c r="AG571" i="11" s="1"/>
  <c r="Y572" i="11"/>
  <c r="Y573" i="11"/>
  <c r="Y574" i="11"/>
  <c r="Y575" i="11"/>
  <c r="Y576" i="11"/>
  <c r="Y577" i="11"/>
  <c r="Y578" i="11"/>
  <c r="Y579" i="11"/>
  <c r="Y580" i="11"/>
  <c r="Y581" i="11"/>
  <c r="Y582" i="11"/>
  <c r="Y583" i="11"/>
  <c r="Y584" i="11"/>
  <c r="Y585" i="11"/>
  <c r="Y586" i="11"/>
  <c r="Y587" i="11"/>
  <c r="Y588" i="11"/>
  <c r="Y589" i="11"/>
  <c r="Y590" i="11"/>
  <c r="Y591" i="11"/>
  <c r="AG591" i="11" s="1"/>
  <c r="Y592" i="11"/>
  <c r="Y593" i="11"/>
  <c r="Y594" i="11"/>
  <c r="Y595" i="11"/>
  <c r="Y596" i="11"/>
  <c r="Y597" i="11"/>
  <c r="Y598" i="11"/>
  <c r="Y599" i="11"/>
  <c r="Y600" i="11"/>
  <c r="Y601" i="11"/>
  <c r="Y602" i="11"/>
  <c r="Y603" i="11"/>
  <c r="Y604" i="11"/>
  <c r="Y605" i="11"/>
  <c r="Y606" i="11"/>
  <c r="Y607" i="11"/>
  <c r="Y608" i="11"/>
  <c r="Y609" i="11"/>
  <c r="Y610" i="11"/>
  <c r="Y611" i="11"/>
  <c r="AG611" i="11" s="1"/>
  <c r="Y612" i="11"/>
  <c r="Y613" i="11"/>
  <c r="Y614" i="11"/>
  <c r="Y615" i="11"/>
  <c r="Y616" i="11"/>
  <c r="Y617" i="11"/>
  <c r="Y618" i="11"/>
  <c r="Y619" i="11"/>
  <c r="Y620" i="11"/>
  <c r="Y621" i="11"/>
  <c r="Y622" i="11"/>
  <c r="AG622" i="11" s="1"/>
  <c r="Y623" i="11"/>
  <c r="Y624" i="11"/>
  <c r="Y625" i="11"/>
  <c r="Y626" i="11"/>
  <c r="Y627" i="11"/>
  <c r="Y628" i="11"/>
  <c r="Y629" i="11"/>
  <c r="Y630" i="11"/>
  <c r="Y631" i="11"/>
  <c r="AG631" i="11" s="1"/>
  <c r="Y632" i="11"/>
  <c r="Y633" i="11"/>
  <c r="Y634" i="11"/>
  <c r="Y635" i="11"/>
  <c r="Y636" i="11"/>
  <c r="Y637" i="11"/>
  <c r="Y638" i="11"/>
  <c r="Y639" i="11"/>
  <c r="Y640" i="11"/>
  <c r="Y641" i="11"/>
  <c r="Y642" i="11"/>
  <c r="Y643" i="11"/>
  <c r="Y644" i="11"/>
  <c r="Y645" i="11"/>
  <c r="Y646" i="11"/>
  <c r="Y647" i="11"/>
  <c r="Y648" i="11"/>
  <c r="Y649" i="11"/>
  <c r="Y650" i="11"/>
  <c r="Y651" i="11"/>
  <c r="AG651" i="11" s="1"/>
  <c r="Y652" i="11"/>
  <c r="Y653" i="11"/>
  <c r="AG653" i="11" s="1"/>
  <c r="Y654" i="11"/>
  <c r="Y655" i="11"/>
  <c r="Y656" i="11"/>
  <c r="Y657" i="11"/>
  <c r="Y658" i="11"/>
  <c r="Y659" i="11"/>
  <c r="Y660" i="11"/>
  <c r="Y661" i="11"/>
  <c r="Y662" i="11"/>
  <c r="Y663" i="11"/>
  <c r="Y664" i="11"/>
  <c r="Y665" i="11"/>
  <c r="Y666" i="11"/>
  <c r="Y667" i="11"/>
  <c r="Y668" i="11"/>
  <c r="Y669" i="11"/>
  <c r="Y670" i="11"/>
  <c r="Y671" i="11"/>
  <c r="AG671" i="11" s="1"/>
  <c r="Y672" i="11"/>
  <c r="Y673" i="11"/>
  <c r="Y674" i="11"/>
  <c r="Y675" i="11"/>
  <c r="Y676" i="11"/>
  <c r="Y677" i="11"/>
  <c r="Y678" i="11"/>
  <c r="Y679" i="11"/>
  <c r="Y680" i="11"/>
  <c r="Y681" i="11"/>
  <c r="Y682" i="11"/>
  <c r="Y683" i="11"/>
  <c r="Y684" i="11"/>
  <c r="AG684" i="11" s="1"/>
  <c r="Y685" i="11"/>
  <c r="Y686" i="11"/>
  <c r="Y687" i="11"/>
  <c r="Y688" i="11"/>
  <c r="Y689" i="11"/>
  <c r="Y690" i="11"/>
  <c r="Y691" i="11"/>
  <c r="AG691" i="11" s="1"/>
  <c r="Y692" i="11"/>
  <c r="Y693" i="11"/>
  <c r="Y694" i="11"/>
  <c r="Y695" i="11"/>
  <c r="Y696" i="11"/>
  <c r="Y697" i="11"/>
  <c r="Y698" i="11"/>
  <c r="Y699" i="11"/>
  <c r="Y700" i="11"/>
  <c r="Y701" i="11"/>
  <c r="Y702" i="11"/>
  <c r="Y703" i="11"/>
  <c r="Y704" i="11"/>
  <c r="Y705" i="11"/>
  <c r="Y706" i="11"/>
  <c r="Y707" i="11"/>
  <c r="Y708" i="11"/>
  <c r="Y709" i="11"/>
  <c r="Y710" i="11"/>
  <c r="Y711" i="11"/>
  <c r="AG711" i="11" s="1"/>
  <c r="Y712" i="11"/>
  <c r="Y713" i="11"/>
  <c r="Y714" i="11"/>
  <c r="Y715" i="11"/>
  <c r="AG715" i="11" s="1"/>
  <c r="Y716" i="11"/>
  <c r="Y717" i="11"/>
  <c r="Y718" i="11"/>
  <c r="Y719" i="11"/>
  <c r="Y720" i="11"/>
  <c r="Y721" i="11"/>
  <c r="Y722" i="11"/>
  <c r="Y723" i="11"/>
  <c r="Y724" i="11"/>
  <c r="Y725" i="11"/>
  <c r="Y726" i="11"/>
  <c r="Y727" i="11"/>
  <c r="Y728" i="11"/>
  <c r="Y729" i="11"/>
  <c r="Y730" i="11"/>
  <c r="Y731" i="11"/>
  <c r="AG731" i="11" s="1"/>
  <c r="Y732" i="11"/>
  <c r="Y733" i="11"/>
  <c r="Y734" i="11"/>
  <c r="Y735" i="11"/>
  <c r="Y736" i="11"/>
  <c r="Y737" i="11"/>
  <c r="Y738" i="11"/>
  <c r="Y739" i="11"/>
  <c r="Y740" i="11"/>
  <c r="Y741" i="11"/>
  <c r="Y742" i="11"/>
  <c r="Y743" i="11"/>
  <c r="Y744" i="11"/>
  <c r="Y745" i="11"/>
  <c r="Y746" i="11"/>
  <c r="AG746" i="11" s="1"/>
  <c r="Y747" i="11"/>
  <c r="Y748" i="11"/>
  <c r="Y749" i="11"/>
  <c r="Y750" i="11"/>
  <c r="Y751" i="11"/>
  <c r="AG751" i="11" s="1"/>
  <c r="Y752" i="11"/>
  <c r="Y753" i="11"/>
  <c r="Y754" i="11"/>
  <c r="Y755" i="11"/>
  <c r="Y756" i="11"/>
  <c r="Y757" i="11"/>
  <c r="Y758" i="11"/>
  <c r="Y759" i="11"/>
  <c r="Y760" i="11"/>
  <c r="Y761" i="11"/>
  <c r="Y762" i="11"/>
  <c r="Y763" i="11"/>
  <c r="Y764" i="11"/>
  <c r="Y765" i="11"/>
  <c r="Y766" i="11"/>
  <c r="Y767" i="11"/>
  <c r="Y768" i="11"/>
  <c r="Y769" i="11"/>
  <c r="Y770" i="11"/>
  <c r="Y771" i="11"/>
  <c r="AG771" i="11" s="1"/>
  <c r="Y772" i="11"/>
  <c r="Y773" i="11"/>
  <c r="Y774" i="11"/>
  <c r="Y775" i="11"/>
  <c r="Y776" i="11"/>
  <c r="Y777" i="11"/>
  <c r="AG777" i="11" s="1"/>
  <c r="Y778" i="11"/>
  <c r="Y779" i="11"/>
  <c r="Y780" i="11"/>
  <c r="Y781" i="11"/>
  <c r="Y782" i="11"/>
  <c r="Y783" i="11"/>
  <c r="Y784" i="11"/>
  <c r="Y785" i="11"/>
  <c r="Y786" i="11"/>
  <c r="Y787" i="11"/>
  <c r="Y788" i="11"/>
  <c r="Y789" i="11"/>
  <c r="Y790" i="11"/>
  <c r="Y791" i="11"/>
  <c r="AG791" i="11" s="1"/>
  <c r="Y792" i="11"/>
  <c r="Y793" i="11"/>
  <c r="Y794" i="11"/>
  <c r="Y795" i="11"/>
  <c r="Y796" i="11"/>
  <c r="Y797" i="11"/>
  <c r="Y798" i="11"/>
  <c r="Y799" i="11"/>
  <c r="Y800" i="11"/>
  <c r="Y801" i="11"/>
  <c r="Y802" i="11"/>
  <c r="Y803" i="11"/>
  <c r="Y804" i="11"/>
  <c r="Y805" i="11"/>
  <c r="Y806" i="11"/>
  <c r="Y807" i="11"/>
  <c r="Y808" i="11"/>
  <c r="AG808" i="11" s="1"/>
  <c r="Y809" i="11"/>
  <c r="Y810" i="11"/>
  <c r="Y811" i="11"/>
  <c r="AG811" i="11" s="1"/>
  <c r="Y812" i="11"/>
  <c r="Y813" i="11"/>
  <c r="Y814" i="11"/>
  <c r="Y815" i="11"/>
  <c r="Y816" i="11"/>
  <c r="Y817" i="11"/>
  <c r="Y818" i="11"/>
  <c r="Y819" i="11"/>
  <c r="Y820" i="11"/>
  <c r="Y821" i="11"/>
  <c r="Y822" i="11"/>
  <c r="Y823" i="11"/>
  <c r="Y824" i="11"/>
  <c r="Y825" i="11"/>
  <c r="Y826" i="11"/>
  <c r="Y827" i="11"/>
  <c r="Y828" i="11"/>
  <c r="Y829" i="11"/>
  <c r="Y830" i="11"/>
  <c r="Y831" i="11"/>
  <c r="AG831" i="11" s="1"/>
  <c r="Y832" i="11"/>
  <c r="Y833" i="11"/>
  <c r="Y834" i="11"/>
  <c r="Y835" i="11"/>
  <c r="Y836" i="11"/>
  <c r="Y837" i="11"/>
  <c r="Y838" i="11"/>
  <c r="Y839" i="11"/>
  <c r="AG839" i="11" s="1"/>
  <c r="Y840" i="11"/>
  <c r="Y841" i="11"/>
  <c r="Y842" i="11"/>
  <c r="Y843" i="11"/>
  <c r="Y844" i="11"/>
  <c r="Y845" i="11"/>
  <c r="Y846" i="11"/>
  <c r="Y847" i="11"/>
  <c r="Y848" i="11"/>
  <c r="Y849" i="11"/>
  <c r="Y850" i="11"/>
  <c r="Y851" i="11"/>
  <c r="AG851" i="11" s="1"/>
  <c r="Y852" i="11"/>
  <c r="Y853" i="11"/>
  <c r="Y854" i="11"/>
  <c r="Y855" i="11"/>
  <c r="Y856" i="11"/>
  <c r="Y857" i="11"/>
  <c r="Y858" i="11"/>
  <c r="Y859" i="11"/>
  <c r="Y860" i="11"/>
  <c r="Y861" i="11"/>
  <c r="Y862" i="11"/>
  <c r="Y863" i="11"/>
  <c r="Y864" i="11"/>
  <c r="Y865" i="11"/>
  <c r="Y866" i="11"/>
  <c r="Y867" i="11"/>
  <c r="Y868" i="11"/>
  <c r="Y869" i="11"/>
  <c r="Y870" i="11"/>
  <c r="AG870" i="11" s="1"/>
  <c r="Y871" i="11"/>
  <c r="AG871" i="11" s="1"/>
  <c r="Y872" i="11"/>
  <c r="Y873" i="11"/>
  <c r="Y874" i="11"/>
  <c r="Y875" i="11"/>
  <c r="Y876" i="11"/>
  <c r="Y877" i="11"/>
  <c r="Y878" i="11"/>
  <c r="Y879" i="11"/>
  <c r="Y880" i="11"/>
  <c r="Y881" i="11"/>
  <c r="Y882" i="11"/>
  <c r="Y883" i="11"/>
  <c r="Y884" i="11"/>
  <c r="Y885" i="11"/>
  <c r="Y886" i="11"/>
  <c r="Y887" i="11"/>
  <c r="Y888" i="11"/>
  <c r="Y889" i="11"/>
  <c r="Y890" i="11"/>
  <c r="Y891" i="11"/>
  <c r="AG891" i="11" s="1"/>
  <c r="Y892" i="11"/>
  <c r="Y893" i="11"/>
  <c r="Y894" i="11"/>
  <c r="Y895" i="11"/>
  <c r="Y896" i="11"/>
  <c r="Y897" i="11"/>
  <c r="Y898" i="11"/>
  <c r="Y899" i="11"/>
  <c r="Y900" i="11"/>
  <c r="Y901" i="11"/>
  <c r="AG901" i="11" s="1"/>
  <c r="Y902" i="11"/>
  <c r="Y903" i="11"/>
  <c r="Y904" i="11"/>
  <c r="Y905" i="11"/>
  <c r="Y906" i="11"/>
  <c r="Y907" i="11"/>
  <c r="Y908" i="11"/>
  <c r="Y909" i="11"/>
  <c r="Y910" i="11"/>
  <c r="Y911" i="11"/>
  <c r="AG911" i="11" s="1"/>
  <c r="Y912" i="11"/>
  <c r="Y913" i="11"/>
  <c r="Y914" i="11"/>
  <c r="Y915" i="11"/>
  <c r="Y916" i="11"/>
  <c r="Y917" i="11"/>
  <c r="Y918" i="11"/>
  <c r="Y919" i="11"/>
  <c r="Y920" i="11"/>
  <c r="Y921" i="11"/>
  <c r="Y922" i="11"/>
  <c r="Y923" i="11"/>
  <c r="Y924" i="11"/>
  <c r="Y925" i="11"/>
  <c r="Y926" i="11"/>
  <c r="Y927" i="11"/>
  <c r="Y928" i="11"/>
  <c r="Y929" i="11"/>
  <c r="Y930" i="11"/>
  <c r="Y931" i="11"/>
  <c r="AG931" i="11" s="1"/>
  <c r="Y3" i="11"/>
  <c r="Y2" i="11"/>
  <c r="AG2" i="11" s="1"/>
  <c r="T343" i="11"/>
  <c r="AG910" i="11" l="1"/>
  <c r="AG830" i="11"/>
  <c r="AG770" i="11"/>
  <c r="AG730" i="11"/>
  <c r="AG690" i="11"/>
  <c r="AG630" i="11"/>
  <c r="AG590" i="11"/>
  <c r="AG550" i="11"/>
  <c r="AG510" i="11"/>
  <c r="AG490" i="11"/>
  <c r="AG470" i="11"/>
  <c r="AG450" i="11"/>
  <c r="AG430" i="11"/>
  <c r="AG410" i="11"/>
  <c r="AG370" i="11"/>
  <c r="AG350" i="11"/>
  <c r="AG330" i="11"/>
  <c r="AG310" i="11"/>
  <c r="AG290" i="11"/>
  <c r="AG270" i="11"/>
  <c r="AG230" i="11"/>
  <c r="AG210" i="11"/>
  <c r="AG190" i="11"/>
  <c r="AG170" i="11"/>
  <c r="AG150" i="11"/>
  <c r="AG130" i="11"/>
  <c r="AG110" i="11"/>
  <c r="AG90" i="11"/>
  <c r="AG70" i="11"/>
  <c r="AG50" i="11"/>
  <c r="AG30" i="11"/>
  <c r="AG10" i="11"/>
  <c r="AG930" i="11"/>
  <c r="AG890" i="11"/>
  <c r="AG850" i="11"/>
  <c r="AG810" i="11"/>
  <c r="AG790" i="11"/>
  <c r="AG750" i="11"/>
  <c r="AG710" i="11"/>
  <c r="AG670" i="11"/>
  <c r="AG650" i="11"/>
  <c r="AG610" i="11"/>
  <c r="AG570" i="11"/>
  <c r="AG530" i="11"/>
  <c r="AG390" i="11"/>
  <c r="AG908" i="11"/>
  <c r="AG868" i="11"/>
  <c r="AG828" i="11"/>
  <c r="AG788" i="11"/>
  <c r="AG768" i="11"/>
  <c r="AG748" i="11"/>
  <c r="AG728" i="11"/>
  <c r="AG708" i="11"/>
  <c r="AG688" i="11"/>
  <c r="AG668" i="11"/>
  <c r="AG648" i="11"/>
  <c r="AG628" i="11"/>
  <c r="AG608" i="11"/>
  <c r="AG588" i="11"/>
  <c r="AG568" i="11"/>
  <c r="AG548" i="11"/>
  <c r="AG528" i="11"/>
  <c r="AG508" i="11"/>
  <c r="AG488" i="11"/>
  <c r="AG468" i="11"/>
  <c r="AG448" i="11"/>
  <c r="AG428" i="11"/>
  <c r="AG408" i="11"/>
  <c r="AG388" i="11"/>
  <c r="AG368" i="11"/>
  <c r="AG348" i="11"/>
  <c r="AG328" i="11"/>
  <c r="AG308" i="11"/>
  <c r="AG288" i="11"/>
  <c r="AG268" i="11"/>
  <c r="AG248" i="11"/>
  <c r="AG228" i="11"/>
  <c r="AG208" i="11"/>
  <c r="AG168" i="11"/>
  <c r="AG148" i="11"/>
  <c r="AG128" i="11"/>
  <c r="AG108" i="11"/>
  <c r="AG88" i="11"/>
  <c r="AG68" i="11"/>
  <c r="AG48" i="11"/>
  <c r="AG28" i="11"/>
  <c r="AG8" i="11"/>
  <c r="AG848" i="11"/>
  <c r="AG927" i="11"/>
  <c r="AG887" i="11"/>
  <c r="AG847" i="11"/>
  <c r="AG807" i="11"/>
  <c r="AG767" i="11"/>
  <c r="AG747" i="11"/>
  <c r="AG707" i="11"/>
  <c r="AG667" i="11"/>
  <c r="AG627" i="11"/>
  <c r="AG587" i="11"/>
  <c r="AG547" i="11"/>
  <c r="AG507" i="11"/>
  <c r="AG487" i="11"/>
  <c r="AG447" i="11"/>
  <c r="AG427" i="11"/>
  <c r="AG407" i="11"/>
  <c r="AG387" i="11"/>
  <c r="AG347" i="11"/>
  <c r="AG327" i="11"/>
  <c r="AG307" i="11"/>
  <c r="AG287" i="11"/>
  <c r="AG267" i="11"/>
  <c r="AG247" i="11"/>
  <c r="AG227" i="11"/>
  <c r="AG207" i="11"/>
  <c r="AG187" i="11"/>
  <c r="AG167" i="11"/>
  <c r="AG147" i="11"/>
  <c r="AG127" i="11"/>
  <c r="AG107" i="11"/>
  <c r="AG87" i="11"/>
  <c r="AG67" i="11"/>
  <c r="AG47" i="11"/>
  <c r="AG27" i="11"/>
  <c r="AG7" i="11"/>
  <c r="AG888" i="11"/>
  <c r="AG907" i="11"/>
  <c r="AG867" i="11"/>
  <c r="AG827" i="11"/>
  <c r="AG787" i="11"/>
  <c r="AG727" i="11"/>
  <c r="AG687" i="11"/>
  <c r="AG647" i="11"/>
  <c r="AG607" i="11"/>
  <c r="AG567" i="11"/>
  <c r="AG527" i="11"/>
  <c r="AG367" i="11"/>
  <c r="AG925" i="11"/>
  <c r="AG845" i="11"/>
  <c r="AG805" i="11"/>
  <c r="AG745" i="11"/>
  <c r="AG725" i="11"/>
  <c r="AG705" i="11"/>
  <c r="AG685" i="11"/>
  <c r="AG665" i="11"/>
  <c r="AG645" i="11"/>
  <c r="AG625" i="11"/>
  <c r="AG605" i="11"/>
  <c r="AG585" i="11"/>
  <c r="AG565" i="11"/>
  <c r="AG545" i="11"/>
  <c r="AG525" i="11"/>
  <c r="AG505" i="11"/>
  <c r="AG485" i="11"/>
  <c r="AG465" i="11"/>
  <c r="AG445" i="11"/>
  <c r="AG425" i="11"/>
  <c r="AG385" i="11"/>
  <c r="AG365" i="11"/>
  <c r="AG345" i="11"/>
  <c r="AG325" i="11"/>
  <c r="AG305" i="11"/>
  <c r="AG285" i="11"/>
  <c r="AG265" i="11"/>
  <c r="AG245" i="11"/>
  <c r="AG225" i="11"/>
  <c r="AG205" i="11"/>
  <c r="AG185" i="11"/>
  <c r="AG165" i="11"/>
  <c r="AG145" i="11"/>
  <c r="AG125" i="11"/>
  <c r="AG105" i="11"/>
  <c r="AG85" i="11"/>
  <c r="AG65" i="11"/>
  <c r="AG45" i="11"/>
  <c r="AG25" i="11"/>
  <c r="AG5" i="11"/>
  <c r="AG885" i="11"/>
  <c r="AG825" i="11"/>
  <c r="AG765" i="11"/>
  <c r="AG924" i="11"/>
  <c r="AG884" i="11"/>
  <c r="AG864" i="11"/>
  <c r="AG824" i="11"/>
  <c r="AG784" i="11"/>
  <c r="AG744" i="11"/>
  <c r="AG724" i="11"/>
  <c r="AG664" i="11"/>
  <c r="AG644" i="11"/>
  <c r="AG604" i="11"/>
  <c r="AG584" i="11"/>
  <c r="AG564" i="11"/>
  <c r="AG544" i="11"/>
  <c r="AG524" i="11"/>
  <c r="AG504" i="11"/>
  <c r="AG484" i="11"/>
  <c r="AG464" i="11"/>
  <c r="AG444" i="11"/>
  <c r="AG404" i="11"/>
  <c r="AG384" i="11"/>
  <c r="AG364" i="11"/>
  <c r="AG344" i="11"/>
  <c r="AG324" i="11"/>
  <c r="AG304" i="11"/>
  <c r="AG284" i="11"/>
  <c r="AG264" i="11"/>
  <c r="AG244" i="11"/>
  <c r="AG224" i="11"/>
  <c r="AG204" i="11"/>
  <c r="AG184" i="11"/>
  <c r="AG164" i="11"/>
  <c r="AG144" i="11"/>
  <c r="AG124" i="11"/>
  <c r="AG104" i="11"/>
  <c r="AG84" i="11"/>
  <c r="AG44" i="11"/>
  <c r="AG24" i="11"/>
  <c r="AG4" i="11"/>
  <c r="AG865" i="11"/>
  <c r="AG785" i="11"/>
  <c r="AG904" i="11"/>
  <c r="AG844" i="11"/>
  <c r="AG804" i="11"/>
  <c r="AG764" i="11"/>
  <c r="AG704" i="11"/>
  <c r="AG624" i="11"/>
  <c r="AG424" i="11"/>
  <c r="AG922" i="11"/>
  <c r="AG862" i="11"/>
  <c r="AG802" i="11"/>
  <c r="AG722" i="11"/>
  <c r="AG682" i="11"/>
  <c r="AG562" i="11"/>
  <c r="AG542" i="11"/>
  <c r="AG522" i="11"/>
  <c r="AG502" i="11"/>
  <c r="AG442" i="11"/>
  <c r="AG422" i="11"/>
  <c r="AG402" i="11"/>
  <c r="AG382" i="11"/>
  <c r="AG362" i="11"/>
  <c r="AG342" i="11"/>
  <c r="AG322" i="11"/>
  <c r="AG302" i="11"/>
  <c r="AG282" i="11"/>
  <c r="AG262" i="11"/>
  <c r="AG242" i="11"/>
  <c r="AG222" i="11"/>
  <c r="AG202" i="11"/>
  <c r="AG182" i="11"/>
  <c r="AG162" i="11"/>
  <c r="AG142" i="11"/>
  <c r="AG122" i="11"/>
  <c r="AG102" i="11"/>
  <c r="AG82" i="11"/>
  <c r="AG62" i="11"/>
  <c r="AG42" i="11"/>
  <c r="AG22" i="11"/>
  <c r="AG928" i="11"/>
  <c r="AG902" i="11"/>
  <c r="AG842" i="11"/>
  <c r="AG782" i="11"/>
  <c r="AG742" i="11"/>
  <c r="AG662" i="11"/>
  <c r="AG582" i="11"/>
  <c r="AG482" i="11"/>
  <c r="AG905" i="11"/>
  <c r="AG882" i="11"/>
  <c r="AG822" i="11"/>
  <c r="AG762" i="11"/>
  <c r="AG702" i="11"/>
  <c r="AG642" i="11"/>
  <c r="AG602" i="11"/>
  <c r="AG462" i="11"/>
  <c r="AG899" i="11"/>
  <c r="AG779" i="11"/>
  <c r="AG619" i="11"/>
  <c r="AG519" i="11"/>
  <c r="AG419" i="11"/>
  <c r="AG259" i="11"/>
  <c r="AG79" i="11"/>
  <c r="AG819" i="11"/>
  <c r="AG699" i="11"/>
  <c r="AG539" i="11"/>
  <c r="AG359" i="11"/>
  <c r="AG59" i="11"/>
  <c r="AG659" i="11"/>
  <c r="AG119" i="11"/>
  <c r="AG719" i="11"/>
  <c r="AG599" i="11"/>
  <c r="AG439" i="11"/>
  <c r="AG299" i="11"/>
  <c r="AG179" i="11"/>
  <c r="AG39" i="11"/>
  <c r="AG896" i="11"/>
  <c r="AG816" i="11"/>
  <c r="AG756" i="11"/>
  <c r="AG696" i="11"/>
  <c r="AG636" i="11"/>
  <c r="AG596" i="11"/>
  <c r="AG536" i="11"/>
  <c r="AG516" i="11"/>
  <c r="AG496" i="11"/>
  <c r="AG476" i="11"/>
  <c r="AG456" i="11"/>
  <c r="AG416" i="11"/>
  <c r="AG376" i="11"/>
  <c r="AG356" i="11"/>
  <c r="AG336" i="11"/>
  <c r="AG316" i="11"/>
  <c r="AG296" i="11"/>
  <c r="AG276" i="11"/>
  <c r="AG256" i="11"/>
  <c r="AG236" i="11"/>
  <c r="AG216" i="11"/>
  <c r="AG196" i="11"/>
  <c r="AG176" i="11"/>
  <c r="AG156" i="11"/>
  <c r="AG136" i="11"/>
  <c r="AG116" i="11"/>
  <c r="AG96" i="11"/>
  <c r="AG76" i="11"/>
  <c r="AG56" i="11"/>
  <c r="AG36" i="11"/>
  <c r="AG16" i="11"/>
  <c r="AG859" i="11"/>
  <c r="AG739" i="11"/>
  <c r="AG639" i="11"/>
  <c r="AG559" i="11"/>
  <c r="AG479" i="11"/>
  <c r="AG399" i="11"/>
  <c r="AG319" i="11"/>
  <c r="AG139" i="11"/>
  <c r="AG916" i="11"/>
  <c r="AG856" i="11"/>
  <c r="AG776" i="11"/>
  <c r="AG716" i="11"/>
  <c r="AG676" i="11"/>
  <c r="AG616" i="11"/>
  <c r="AG556" i="11"/>
  <c r="AG396" i="11"/>
  <c r="AG919" i="11"/>
  <c r="AG879" i="11"/>
  <c r="AG799" i="11"/>
  <c r="AG759" i="11"/>
  <c r="AG679" i="11"/>
  <c r="AG579" i="11"/>
  <c r="AG499" i="11"/>
  <c r="AG459" i="11"/>
  <c r="AG379" i="11"/>
  <c r="AG339" i="11"/>
  <c r="AG279" i="11"/>
  <c r="AG239" i="11"/>
  <c r="AG199" i="11"/>
  <c r="AG159" i="11"/>
  <c r="AG99" i="11"/>
  <c r="AG19" i="11"/>
  <c r="AG876" i="11"/>
  <c r="AG836" i="11"/>
  <c r="AG796" i="11"/>
  <c r="AG736" i="11"/>
  <c r="AG656" i="11"/>
  <c r="AG576" i="11"/>
  <c r="AG226" i="11"/>
  <c r="AG163" i="11"/>
  <c r="AG143" i="11"/>
  <c r="AG123" i="11"/>
  <c r="AG83" i="11"/>
  <c r="AG43" i="11"/>
  <c r="AG23" i="11"/>
  <c r="AG846" i="11"/>
  <c r="AG606" i="11"/>
  <c r="AG106" i="11"/>
  <c r="AG503" i="11"/>
  <c r="AG363" i="11"/>
  <c r="AG323" i="11"/>
  <c r="AG283" i="11"/>
  <c r="AG183" i="11"/>
  <c r="AG766" i="11"/>
  <c r="AG246" i="11"/>
  <c r="AG843" i="11"/>
  <c r="AG103" i="11"/>
  <c r="AG881" i="11"/>
  <c r="AG861" i="11"/>
  <c r="AG841" i="11"/>
  <c r="AG821" i="11"/>
  <c r="AG801" i="11"/>
  <c r="AG781" i="11"/>
  <c r="AG761" i="11"/>
  <c r="AG741" i="11"/>
  <c r="AG721" i="11"/>
  <c r="AG701" i="11"/>
  <c r="AG681" i="11"/>
  <c r="AG661" i="11"/>
  <c r="AG641" i="11"/>
  <c r="AG621" i="11"/>
  <c r="AG601" i="11"/>
  <c r="AG581" i="11"/>
  <c r="AG561" i="11"/>
  <c r="AG541" i="11"/>
  <c r="AG521" i="11"/>
  <c r="AG501" i="11"/>
  <c r="AG481" i="11"/>
  <c r="AG461" i="11"/>
  <c r="AG441" i="11"/>
  <c r="AG421" i="11"/>
  <c r="AG401" i="11"/>
  <c r="AG381" i="11"/>
  <c r="AG361" i="11"/>
  <c r="AG341" i="11"/>
  <c r="AG321" i="11"/>
  <c r="AG301" i="11"/>
  <c r="AG261" i="11"/>
  <c r="AG241" i="11"/>
  <c r="AG221" i="11"/>
  <c r="AG201" i="11"/>
  <c r="AG181" i="11"/>
  <c r="AG161" i="11"/>
  <c r="AG141" i="11"/>
  <c r="AG121" i="11"/>
  <c r="AG101" i="11"/>
  <c r="AG81" i="11"/>
  <c r="AG61" i="11"/>
  <c r="AG41" i="11"/>
  <c r="AG21" i="11"/>
  <c r="AG866" i="11"/>
  <c r="AG786" i="11"/>
  <c r="AG706" i="11"/>
  <c r="AG646" i="11"/>
  <c r="AG546" i="11"/>
  <c r="AG506" i="11"/>
  <c r="AG446" i="11"/>
  <c r="AG406" i="11"/>
  <c r="AG366" i="11"/>
  <c r="AG326" i="11"/>
  <c r="AG266" i="11"/>
  <c r="AG186" i="11"/>
  <c r="AG146" i="11"/>
  <c r="AG86" i="11"/>
  <c r="AG6" i="11"/>
  <c r="AG923" i="11"/>
  <c r="AG863" i="11"/>
  <c r="AG823" i="11"/>
  <c r="AG723" i="11"/>
  <c r="AG703" i="11"/>
  <c r="AG683" i="11"/>
  <c r="AG663" i="11"/>
  <c r="AG643" i="11"/>
  <c r="AG623" i="11"/>
  <c r="AG583" i="11"/>
  <c r="AG563" i="11"/>
  <c r="AG543" i="11"/>
  <c r="AG523" i="11"/>
  <c r="AG443" i="11"/>
  <c r="AG423" i="11"/>
  <c r="AG403" i="11"/>
  <c r="AG383" i="11"/>
  <c r="AG63" i="11"/>
  <c r="AG921" i="11"/>
  <c r="AG920" i="11"/>
  <c r="AG880" i="11"/>
  <c r="AG860" i="11"/>
  <c r="AG840" i="11"/>
  <c r="AG800" i="11"/>
  <c r="AG780" i="11"/>
  <c r="AG760" i="11"/>
  <c r="AG740" i="11"/>
  <c r="AG720" i="11"/>
  <c r="AG700" i="11"/>
  <c r="AG680" i="11"/>
  <c r="AG660" i="11"/>
  <c r="AG640" i="11"/>
  <c r="AG620" i="11"/>
  <c r="AG600" i="11"/>
  <c r="AG580" i="11"/>
  <c r="AG540" i="11"/>
  <c r="AG520" i="11"/>
  <c r="AG500" i="11"/>
  <c r="AG480" i="11"/>
  <c r="AG460" i="11"/>
  <c r="AG440" i="11"/>
  <c r="AG420" i="11"/>
  <c r="AG400" i="11"/>
  <c r="AG380" i="11"/>
  <c r="AG360" i="11"/>
  <c r="AG340" i="11"/>
  <c r="AG320" i="11"/>
  <c r="AG300" i="11"/>
  <c r="AG280" i="11"/>
  <c r="AG260" i="11"/>
  <c r="AG240" i="11"/>
  <c r="AG220" i="11"/>
  <c r="AG200" i="11"/>
  <c r="AG180" i="11"/>
  <c r="AG160" i="11"/>
  <c r="AG140" i="11"/>
  <c r="AG120" i="11"/>
  <c r="AG100" i="11"/>
  <c r="AG80" i="11"/>
  <c r="AG60" i="11"/>
  <c r="AG40" i="11"/>
  <c r="AG20" i="11"/>
  <c r="AG806" i="11"/>
  <c r="AG486" i="11"/>
  <c r="AG903" i="11"/>
  <c r="AG263" i="11"/>
  <c r="AG900" i="11"/>
  <c r="AG820" i="11"/>
  <c r="AG886" i="11"/>
  <c r="AG566" i="11"/>
  <c r="AG46" i="11"/>
  <c r="AG603" i="11"/>
  <c r="AG918" i="11"/>
  <c r="AG898" i="11"/>
  <c r="AG878" i="11"/>
  <c r="AG858" i="11"/>
  <c r="AG838" i="11"/>
  <c r="AG818" i="11"/>
  <c r="AG798" i="11"/>
  <c r="AG778" i="11"/>
  <c r="AG758" i="11"/>
  <c r="AG738" i="11"/>
  <c r="AG718" i="11"/>
  <c r="AG698" i="11"/>
  <c r="AG678" i="11"/>
  <c r="AG658" i="11"/>
  <c r="AG638" i="11"/>
  <c r="AG618" i="11"/>
  <c r="AG598" i="11"/>
  <c r="AG578" i="11"/>
  <c r="AG558" i="11"/>
  <c r="AG538" i="11"/>
  <c r="AG518" i="11"/>
  <c r="AG478" i="11"/>
  <c r="AG458" i="11"/>
  <c r="AG438" i="11"/>
  <c r="AG418" i="11"/>
  <c r="AG398" i="11"/>
  <c r="AG378" i="11"/>
  <c r="AG358" i="11"/>
  <c r="AG338" i="11"/>
  <c r="AG318" i="11"/>
  <c r="AG298" i="11"/>
  <c r="AG278" i="11"/>
  <c r="AG258" i="11"/>
  <c r="AG238" i="11"/>
  <c r="AG218" i="11"/>
  <c r="AG198" i="11"/>
  <c r="AG178" i="11"/>
  <c r="AG158" i="11"/>
  <c r="AG138" i="11"/>
  <c r="AG118" i="11"/>
  <c r="AG98" i="11"/>
  <c r="AG78" i="11"/>
  <c r="AG58" i="11"/>
  <c r="AG38" i="11"/>
  <c r="AG18" i="11"/>
  <c r="AG686" i="11"/>
  <c r="AG286" i="11"/>
  <c r="AG243" i="11"/>
  <c r="AG917" i="11"/>
  <c r="AG897" i="11"/>
  <c r="AG877" i="11"/>
  <c r="AG857" i="11"/>
  <c r="AG837" i="11"/>
  <c r="AG817" i="11"/>
  <c r="AG797" i="11"/>
  <c r="AG757" i="11"/>
  <c r="AG737" i="11"/>
  <c r="AG717" i="11"/>
  <c r="AG697" i="11"/>
  <c r="AG677" i="11"/>
  <c r="AG657" i="11"/>
  <c r="AG637" i="11"/>
  <c r="AG617" i="11"/>
  <c r="AG597" i="11"/>
  <c r="AG577" i="11"/>
  <c r="AG557" i="11"/>
  <c r="AG537" i="11"/>
  <c r="AG517" i="11"/>
  <c r="AG497" i="11"/>
  <c r="AG477" i="11"/>
  <c r="AG457" i="11"/>
  <c r="AG437" i="11"/>
  <c r="AG417" i="11"/>
  <c r="AG397" i="11"/>
  <c r="AG377" i="11"/>
  <c r="AG357" i="11"/>
  <c r="AG337" i="11"/>
  <c r="AG317" i="11"/>
  <c r="AG297" i="11"/>
  <c r="AG277" i="11"/>
  <c r="AG257" i="11"/>
  <c r="AG237" i="11"/>
  <c r="AG217" i="11"/>
  <c r="AG197" i="11"/>
  <c r="AG177" i="11"/>
  <c r="AG137" i="11"/>
  <c r="AG117" i="11"/>
  <c r="AG97" i="11"/>
  <c r="AG77" i="11"/>
  <c r="AG57" i="11"/>
  <c r="AG37" i="11"/>
  <c r="AG17" i="11"/>
  <c r="AG783" i="11"/>
  <c r="AG483" i="11"/>
  <c r="AG223" i="11"/>
  <c r="AG795" i="11"/>
  <c r="AG775" i="11"/>
  <c r="AG755" i="11"/>
  <c r="AG735" i="11"/>
  <c r="AG695" i="11"/>
  <c r="AG675" i="11"/>
  <c r="AG655" i="11"/>
  <c r="AG635" i="11"/>
  <c r="AG615" i="11"/>
  <c r="AG595" i="11"/>
  <c r="AG575" i="11"/>
  <c r="AG555" i="11"/>
  <c r="AG535" i="11"/>
  <c r="AG515" i="11"/>
  <c r="AG495" i="11"/>
  <c r="AG475" i="11"/>
  <c r="AG455" i="11"/>
  <c r="AG435" i="11"/>
  <c r="AG415" i="11"/>
  <c r="AG395" i="11"/>
  <c r="AG375" i="11"/>
  <c r="AG355" i="11"/>
  <c r="AG335" i="11"/>
  <c r="AG315" i="11"/>
  <c r="AG295" i="11"/>
  <c r="AG275" i="11"/>
  <c r="AG255" i="11"/>
  <c r="AG235" i="11"/>
  <c r="AG215" i="11"/>
  <c r="AG195" i="11"/>
  <c r="AG175" i="11"/>
  <c r="AG155" i="11"/>
  <c r="AG135" i="11"/>
  <c r="AG115" i="11"/>
  <c r="AG75" i="11"/>
  <c r="AG55" i="11"/>
  <c r="AG35" i="11"/>
  <c r="AG15" i="11"/>
  <c r="AG855" i="11"/>
  <c r="AG894" i="11"/>
  <c r="AG854" i="11"/>
  <c r="AG814" i="11"/>
  <c r="AG774" i="11"/>
  <c r="AG734" i="11"/>
  <c r="AG694" i="11"/>
  <c r="AG654" i="11"/>
  <c r="AG614" i="11"/>
  <c r="AG574" i="11"/>
  <c r="AG554" i="11"/>
  <c r="AG514" i="11"/>
  <c r="AG494" i="11"/>
  <c r="AG474" i="11"/>
  <c r="AG454" i="11"/>
  <c r="AG414" i="11"/>
  <c r="AG394" i="11"/>
  <c r="AG354" i="11"/>
  <c r="AG334" i="11"/>
  <c r="AG314" i="11"/>
  <c r="AG294" i="11"/>
  <c r="AG274" i="11"/>
  <c r="AG254" i="11"/>
  <c r="AG234" i="11"/>
  <c r="AG214" i="11"/>
  <c r="AG194" i="11"/>
  <c r="AG174" i="11"/>
  <c r="AG154" i="11"/>
  <c r="AG134" i="11"/>
  <c r="AG114" i="11"/>
  <c r="AG94" i="11"/>
  <c r="AG74" i="11"/>
  <c r="AG54" i="11"/>
  <c r="AG34" i="11"/>
  <c r="AG14" i="11"/>
  <c r="AG913" i="11"/>
  <c r="AG893" i="11"/>
  <c r="AG873" i="11"/>
  <c r="AG853" i="11"/>
  <c r="AG833" i="11"/>
  <c r="AG813" i="11"/>
  <c r="AG793" i="11"/>
  <c r="AG773" i="11"/>
  <c r="AG753" i="11"/>
  <c r="AG733" i="11"/>
  <c r="AG713" i="11"/>
  <c r="AG693" i="11"/>
  <c r="AG673" i="11"/>
  <c r="AG633" i="11"/>
  <c r="AG613" i="11"/>
  <c r="AG593" i="11"/>
  <c r="AG573" i="11"/>
  <c r="AG553" i="11"/>
  <c r="AG533" i="11"/>
  <c r="AG513" i="11"/>
  <c r="AG493" i="11"/>
  <c r="AG473" i="11"/>
  <c r="AG453" i="11"/>
  <c r="AG433" i="11"/>
  <c r="AG413" i="11"/>
  <c r="AG393" i="11"/>
  <c r="AG373" i="11"/>
  <c r="AG353" i="11"/>
  <c r="AG333" i="11"/>
  <c r="AG313" i="11"/>
  <c r="AG293" i="11"/>
  <c r="AG273" i="11"/>
  <c r="AG253" i="11"/>
  <c r="AG233" i="11"/>
  <c r="AG213" i="11"/>
  <c r="AG133" i="11"/>
  <c r="AG113" i="11"/>
  <c r="AG93" i="11"/>
  <c r="AG73" i="11"/>
  <c r="AG53" i="11"/>
  <c r="AG743" i="11"/>
  <c r="AG815" i="11"/>
  <c r="AG914" i="11"/>
  <c r="AG874" i="11"/>
  <c r="AG834" i="11"/>
  <c r="AG794" i="11"/>
  <c r="AG754" i="11"/>
  <c r="AG714" i="11"/>
  <c r="AG674" i="11"/>
  <c r="AG634" i="11"/>
  <c r="AG594" i="11"/>
  <c r="AG534" i="11"/>
  <c r="AG434" i="11"/>
  <c r="AG763" i="11"/>
  <c r="AG872" i="11"/>
  <c r="AG792" i="11"/>
  <c r="AG752" i="11"/>
  <c r="AG732" i="11"/>
  <c r="AG712" i="11"/>
  <c r="AG692" i="11"/>
  <c r="AG672" i="11"/>
  <c r="AG652" i="11"/>
  <c r="AG632" i="11"/>
  <c r="AG612" i="11"/>
  <c r="AG592" i="11"/>
  <c r="AG572" i="11"/>
  <c r="AG552" i="11"/>
  <c r="AG532" i="11"/>
  <c r="AG512" i="11"/>
  <c r="AG492" i="11"/>
  <c r="AG472" i="11"/>
  <c r="AG452" i="11"/>
  <c r="AG432" i="11"/>
  <c r="AG412" i="11"/>
  <c r="AG392" i="11"/>
  <c r="AG372" i="11"/>
  <c r="AG352" i="11"/>
  <c r="AG332" i="11"/>
  <c r="AG292" i="11"/>
  <c r="AG272" i="11"/>
  <c r="AG252" i="11"/>
  <c r="AG232" i="11"/>
  <c r="AG212" i="11"/>
  <c r="AG192" i="11"/>
  <c r="AG172" i="11"/>
  <c r="AG152" i="11"/>
  <c r="AG132" i="11"/>
  <c r="AG112" i="11"/>
  <c r="AG92" i="11"/>
  <c r="AG72" i="11"/>
  <c r="AG52" i="11"/>
  <c r="AG32" i="11"/>
  <c r="AG12" i="11"/>
  <c r="AG203" i="11"/>
  <c r="AG895" i="11"/>
  <c r="AG3" i="11"/>
  <c r="AG852" i="11"/>
  <c r="AG875" i="11"/>
  <c r="AG892" i="11"/>
  <c r="AG832" i="11"/>
  <c r="AG906" i="11"/>
  <c r="AG826" i="11"/>
  <c r="AG726" i="11"/>
  <c r="AG666" i="11"/>
  <c r="AG586" i="11"/>
  <c r="AG526" i="11"/>
  <c r="AG466" i="11"/>
  <c r="AG426" i="11"/>
  <c r="AG386" i="11"/>
  <c r="AG346" i="11"/>
  <c r="AG306" i="11"/>
  <c r="AG206" i="11"/>
  <c r="AG66" i="11"/>
  <c r="AG26" i="11"/>
  <c r="AG883" i="11"/>
  <c r="AG803" i="11"/>
  <c r="AG463" i="11"/>
  <c r="AG303" i="11"/>
  <c r="AG915" i="11"/>
  <c r="AG912" i="11"/>
  <c r="AG772" i="11"/>
  <c r="AG929" i="11"/>
  <c r="AG909" i="11"/>
  <c r="AG889" i="11"/>
  <c r="AG869" i="11"/>
  <c r="AG849" i="11"/>
  <c r="AG829" i="11"/>
  <c r="AG809" i="11"/>
  <c r="AG789" i="11"/>
  <c r="AG769" i="11"/>
  <c r="AG749" i="11"/>
  <c r="AG729" i="11"/>
  <c r="AG709" i="11"/>
  <c r="AG689" i="11"/>
  <c r="AG669" i="11"/>
  <c r="AG649" i="11"/>
  <c r="AG629" i="11"/>
  <c r="AG609" i="11"/>
  <c r="AG589" i="11"/>
  <c r="AG569" i="11"/>
  <c r="AG549" i="11"/>
  <c r="AG509" i="11"/>
  <c r="AG489" i="11"/>
  <c r="AG469" i="11"/>
  <c r="AG449" i="11"/>
  <c r="AG429" i="11"/>
  <c r="AG409" i="11"/>
  <c r="AG389" i="11"/>
  <c r="AG369" i="11"/>
  <c r="AG349" i="11"/>
  <c r="AG329" i="11"/>
  <c r="AG309" i="11"/>
  <c r="AG289" i="11"/>
  <c r="AG269" i="11"/>
  <c r="AG249" i="11"/>
  <c r="AG229" i="11"/>
  <c r="AG209" i="11"/>
  <c r="AG189" i="11"/>
  <c r="AG169" i="11"/>
  <c r="AG149" i="11"/>
  <c r="AG129" i="11"/>
  <c r="AG109" i="11"/>
  <c r="AG89" i="11"/>
  <c r="AG69" i="11"/>
  <c r="AG49" i="11"/>
  <c r="AG29" i="11"/>
  <c r="AG9" i="11"/>
  <c r="AG926" i="11"/>
  <c r="AG626" i="11"/>
  <c r="AG166" i="11"/>
  <c r="AG835" i="11"/>
  <c r="AG812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43" i="11"/>
  <c r="T344" i="11"/>
  <c r="V344" i="11" s="1"/>
  <c r="W344" i="11" s="1"/>
  <c r="T345" i="11"/>
  <c r="V345" i="11" s="1"/>
  <c r="T346" i="11"/>
  <c r="V346" i="11" s="1"/>
  <c r="T347" i="11"/>
  <c r="T348" i="11"/>
  <c r="V348" i="11" s="1"/>
  <c r="T349" i="11"/>
  <c r="T350" i="11"/>
  <c r="V350" i="11" s="1"/>
  <c r="T351" i="11"/>
  <c r="V351" i="11" s="1"/>
  <c r="T352" i="11"/>
  <c r="V352" i="11" s="1"/>
  <c r="T353" i="11"/>
  <c r="V353" i="11" s="1"/>
  <c r="W353" i="11" s="1"/>
  <c r="T354" i="11"/>
  <c r="V354" i="11" s="1"/>
  <c r="T355" i="11"/>
  <c r="V355" i="11" s="1"/>
  <c r="T356" i="11"/>
  <c r="V356" i="11" s="1"/>
  <c r="T357" i="11"/>
  <c r="V357" i="11" s="1"/>
  <c r="T358" i="11"/>
  <c r="V358" i="11" s="1"/>
  <c r="T359" i="11"/>
  <c r="V359" i="11" s="1"/>
  <c r="T360" i="11"/>
  <c r="V360" i="11" s="1"/>
  <c r="T361" i="11"/>
  <c r="V361" i="11" s="1"/>
  <c r="T362" i="11"/>
  <c r="V362" i="11" s="1"/>
  <c r="T363" i="11"/>
  <c r="V363" i="11" s="1"/>
  <c r="T364" i="11"/>
  <c r="V364" i="11" s="1"/>
  <c r="T365" i="11"/>
  <c r="V365" i="11" s="1"/>
  <c r="T366" i="11"/>
  <c r="V366" i="11" s="1"/>
  <c r="T367" i="11"/>
  <c r="V367" i="11" s="1"/>
  <c r="T368" i="11"/>
  <c r="V368" i="11" s="1"/>
  <c r="T369" i="11"/>
  <c r="V369" i="11" s="1"/>
  <c r="W369" i="11" s="1"/>
  <c r="T370" i="11"/>
  <c r="V370" i="11" s="1"/>
  <c r="T371" i="11"/>
  <c r="V371" i="11" s="1"/>
  <c r="T372" i="11"/>
  <c r="V372" i="11" s="1"/>
  <c r="T373" i="11"/>
  <c r="V373" i="11" s="1"/>
  <c r="W373" i="11" s="1"/>
  <c r="T2" i="11"/>
  <c r="T3" i="11"/>
  <c r="V3" i="11" s="1"/>
  <c r="T4" i="11"/>
  <c r="V4" i="11" s="1"/>
  <c r="T5" i="11"/>
  <c r="V5" i="11" s="1"/>
  <c r="T6" i="11"/>
  <c r="V6" i="11" s="1"/>
  <c r="T7" i="11"/>
  <c r="V7" i="11" s="1"/>
  <c r="T8" i="11"/>
  <c r="V8" i="11" s="1"/>
  <c r="T9" i="11"/>
  <c r="T10" i="11"/>
  <c r="V10" i="11" s="1"/>
  <c r="T11" i="11"/>
  <c r="T12" i="11"/>
  <c r="V12" i="11" s="1"/>
  <c r="T13" i="11"/>
  <c r="V13" i="11" s="1"/>
  <c r="T14" i="11"/>
  <c r="V14" i="11" s="1"/>
  <c r="T15" i="11"/>
  <c r="V15" i="11" s="1"/>
  <c r="W15" i="11" s="1"/>
  <c r="T16" i="11"/>
  <c r="V16" i="11" s="1"/>
  <c r="T17" i="11"/>
  <c r="V17" i="11" s="1"/>
  <c r="W17" i="11" s="1"/>
  <c r="T18" i="11"/>
  <c r="V18" i="11" s="1"/>
  <c r="T19" i="11"/>
  <c r="V19" i="11" s="1"/>
  <c r="T20" i="11"/>
  <c r="V20" i="11" s="1"/>
  <c r="T21" i="11"/>
  <c r="V21" i="11" s="1"/>
  <c r="W21" i="11" s="1"/>
  <c r="T22" i="11"/>
  <c r="V22" i="11" s="1"/>
  <c r="T23" i="11"/>
  <c r="V23" i="11" s="1"/>
  <c r="T24" i="11"/>
  <c r="V24" i="11" s="1"/>
  <c r="T25" i="11"/>
  <c r="V25" i="11" s="1"/>
  <c r="T26" i="11"/>
  <c r="V26" i="11" s="1"/>
  <c r="T27" i="11"/>
  <c r="V27" i="11" s="1"/>
  <c r="T28" i="11"/>
  <c r="V28" i="11" s="1"/>
  <c r="T29" i="11"/>
  <c r="V29" i="11" s="1"/>
  <c r="T30" i="11"/>
  <c r="V30" i="11" s="1"/>
  <c r="T31" i="11"/>
  <c r="V31" i="11" s="1"/>
  <c r="T32" i="11"/>
  <c r="V32" i="11" s="1"/>
  <c r="T374" i="11"/>
  <c r="T375" i="11"/>
  <c r="V375" i="11" s="1"/>
  <c r="T376" i="11"/>
  <c r="V376" i="11" s="1"/>
  <c r="T377" i="11"/>
  <c r="V377" i="11" s="1"/>
  <c r="T378" i="11"/>
  <c r="V378" i="11" s="1"/>
  <c r="T379" i="11"/>
  <c r="V379" i="11" s="1"/>
  <c r="T380" i="11"/>
  <c r="V380" i="11" s="1"/>
  <c r="T381" i="11"/>
  <c r="V381" i="11" s="1"/>
  <c r="T382" i="11"/>
  <c r="V382" i="11" s="1"/>
  <c r="T383" i="11"/>
  <c r="V383" i="11" s="1"/>
  <c r="T384" i="11"/>
  <c r="V384" i="11" s="1"/>
  <c r="T385" i="11"/>
  <c r="V385" i="11" s="1"/>
  <c r="T386" i="11"/>
  <c r="V386" i="11" s="1"/>
  <c r="T387" i="11"/>
  <c r="V387" i="11" s="1"/>
  <c r="T388" i="11"/>
  <c r="V388" i="11" s="1"/>
  <c r="T389" i="11"/>
  <c r="V389" i="11" s="1"/>
  <c r="T390" i="11"/>
  <c r="V390" i="11" s="1"/>
  <c r="T391" i="11"/>
  <c r="V391" i="11" s="1"/>
  <c r="T392" i="11"/>
  <c r="V392" i="11" s="1"/>
  <c r="T393" i="11"/>
  <c r="T394" i="11"/>
  <c r="V394" i="11" s="1"/>
  <c r="T395" i="11"/>
  <c r="T396" i="11"/>
  <c r="V396" i="11" s="1"/>
  <c r="T397" i="11"/>
  <c r="V397" i="11" s="1"/>
  <c r="T398" i="11"/>
  <c r="V398" i="11" s="1"/>
  <c r="W398" i="11" s="1"/>
  <c r="T399" i="11"/>
  <c r="V399" i="11" s="1"/>
  <c r="T400" i="11"/>
  <c r="V400" i="11" s="1"/>
  <c r="T401" i="11"/>
  <c r="V401" i="11" s="1"/>
  <c r="T402" i="11"/>
  <c r="V402" i="11" s="1"/>
  <c r="T403" i="11"/>
  <c r="V403" i="11" s="1"/>
  <c r="T404" i="11"/>
  <c r="T808" i="11"/>
  <c r="T809" i="11"/>
  <c r="V809" i="11" s="1"/>
  <c r="T810" i="11"/>
  <c r="V810" i="11" s="1"/>
  <c r="T811" i="11"/>
  <c r="V811" i="11" s="1"/>
  <c r="T812" i="11"/>
  <c r="V812" i="11" s="1"/>
  <c r="T813" i="11"/>
  <c r="V813" i="11" s="1"/>
  <c r="T814" i="11"/>
  <c r="V814" i="11" s="1"/>
  <c r="T815" i="11"/>
  <c r="V815" i="11" s="1"/>
  <c r="T816" i="11"/>
  <c r="V816" i="11" s="1"/>
  <c r="T817" i="11"/>
  <c r="V817" i="11" s="1"/>
  <c r="T818" i="11"/>
  <c r="V818" i="11" s="1"/>
  <c r="T819" i="11"/>
  <c r="V819" i="11" s="1"/>
  <c r="W819" i="11" s="1"/>
  <c r="T820" i="11"/>
  <c r="V820" i="11" s="1"/>
  <c r="T821" i="11"/>
  <c r="V821" i="11" s="1"/>
  <c r="W821" i="11" s="1"/>
  <c r="T822" i="11"/>
  <c r="V822" i="11" s="1"/>
  <c r="T823" i="11"/>
  <c r="V823" i="11" s="1"/>
  <c r="T824" i="11"/>
  <c r="V824" i="11" s="1"/>
  <c r="T825" i="11"/>
  <c r="V825" i="11" s="1"/>
  <c r="W825" i="11" s="1"/>
  <c r="T826" i="11"/>
  <c r="V826" i="11" s="1"/>
  <c r="T827" i="11"/>
  <c r="V827" i="11" s="1"/>
  <c r="T828" i="11"/>
  <c r="V828" i="11" s="1"/>
  <c r="T829" i="11"/>
  <c r="V829" i="11" s="1"/>
  <c r="T830" i="11"/>
  <c r="V830" i="11" s="1"/>
  <c r="T831" i="11"/>
  <c r="V831" i="11" s="1"/>
  <c r="T832" i="11"/>
  <c r="V832" i="11" s="1"/>
  <c r="T833" i="11"/>
  <c r="V833" i="11" s="1"/>
  <c r="T834" i="11"/>
  <c r="V834" i="11" s="1"/>
  <c r="T835" i="11"/>
  <c r="V835" i="11" s="1"/>
  <c r="T836" i="11"/>
  <c r="V836" i="11" s="1"/>
  <c r="T837" i="11"/>
  <c r="V837" i="11" s="1"/>
  <c r="T838" i="11"/>
  <c r="V838" i="11" s="1"/>
  <c r="T560" i="11"/>
  <c r="T561" i="11"/>
  <c r="V561" i="11" s="1"/>
  <c r="T562" i="11"/>
  <c r="V562" i="11" s="1"/>
  <c r="W562" i="11" s="1"/>
  <c r="T563" i="11"/>
  <c r="V563" i="11" s="1"/>
  <c r="T564" i="11"/>
  <c r="V564" i="11" s="1"/>
  <c r="T565" i="11"/>
  <c r="V565" i="11" s="1"/>
  <c r="T566" i="11"/>
  <c r="V566" i="11" s="1"/>
  <c r="W566" i="11" s="1"/>
  <c r="T567" i="11"/>
  <c r="V567" i="11" s="1"/>
  <c r="T568" i="11"/>
  <c r="V568" i="11" s="1"/>
  <c r="T569" i="11"/>
  <c r="V569" i="11" s="1"/>
  <c r="T570" i="11"/>
  <c r="V570" i="11" s="1"/>
  <c r="T571" i="11"/>
  <c r="V571" i="11" s="1"/>
  <c r="T572" i="11"/>
  <c r="V572" i="11" s="1"/>
  <c r="T573" i="11"/>
  <c r="V573" i="11" s="1"/>
  <c r="T574" i="11"/>
  <c r="V574" i="11" s="1"/>
  <c r="T575" i="11"/>
  <c r="V575" i="11" s="1"/>
  <c r="T576" i="11"/>
  <c r="V576" i="11" s="1"/>
  <c r="T577" i="11"/>
  <c r="V577" i="11" s="1"/>
  <c r="T578" i="11"/>
  <c r="T579" i="11"/>
  <c r="T580" i="11"/>
  <c r="V580" i="11" s="1"/>
  <c r="T581" i="11"/>
  <c r="V581" i="11" s="1"/>
  <c r="T582" i="11"/>
  <c r="V582" i="11" s="1"/>
  <c r="W582" i="11" s="1"/>
  <c r="T583" i="11"/>
  <c r="V583" i="11" s="1"/>
  <c r="T584" i="11"/>
  <c r="V584" i="11" s="1"/>
  <c r="T585" i="11"/>
  <c r="V585" i="11" s="1"/>
  <c r="T586" i="11"/>
  <c r="V586" i="11" s="1"/>
  <c r="T587" i="11"/>
  <c r="V587" i="11" s="1"/>
  <c r="T588" i="11"/>
  <c r="V588" i="11" s="1"/>
  <c r="T589" i="11"/>
  <c r="V589" i="11" s="1"/>
  <c r="T590" i="11"/>
  <c r="V590" i="11" s="1"/>
  <c r="T591" i="11"/>
  <c r="T592" i="11"/>
  <c r="V592" i="11" s="1"/>
  <c r="T593" i="11"/>
  <c r="V593" i="11" s="1"/>
  <c r="T594" i="11"/>
  <c r="V594" i="11" s="1"/>
  <c r="T595" i="11"/>
  <c r="V595" i="11" s="1"/>
  <c r="T596" i="11"/>
  <c r="V596" i="11" s="1"/>
  <c r="T597" i="11"/>
  <c r="V597" i="11" s="1"/>
  <c r="T598" i="11"/>
  <c r="T599" i="11"/>
  <c r="V599" i="11" s="1"/>
  <c r="T600" i="11"/>
  <c r="V600" i="11" s="1"/>
  <c r="W600" i="11" s="1"/>
  <c r="T601" i="11"/>
  <c r="V601" i="11" s="1"/>
  <c r="T602" i="11"/>
  <c r="V602" i="11" s="1"/>
  <c r="W602" i="11" s="1"/>
  <c r="T603" i="11"/>
  <c r="V603" i="11" s="1"/>
  <c r="T604" i="11"/>
  <c r="V604" i="11" s="1"/>
  <c r="T605" i="11"/>
  <c r="V605" i="11" s="1"/>
  <c r="T606" i="11"/>
  <c r="V606" i="11" s="1"/>
  <c r="W606" i="11" s="1"/>
  <c r="T607" i="11"/>
  <c r="T608" i="11"/>
  <c r="V608" i="11" s="1"/>
  <c r="T609" i="11"/>
  <c r="T610" i="11"/>
  <c r="T611" i="11"/>
  <c r="V611" i="11" s="1"/>
  <c r="T612" i="11"/>
  <c r="V612" i="11" s="1"/>
  <c r="T613" i="11"/>
  <c r="V613" i="11" s="1"/>
  <c r="T614" i="11"/>
  <c r="V614" i="11" s="1"/>
  <c r="T615" i="11"/>
  <c r="V615" i="11" s="1"/>
  <c r="T616" i="11"/>
  <c r="V616" i="11" s="1"/>
  <c r="T617" i="11"/>
  <c r="V617" i="11" s="1"/>
  <c r="T618" i="11"/>
  <c r="V618" i="11" s="1"/>
  <c r="T619" i="11"/>
  <c r="V619" i="11" s="1"/>
  <c r="T620" i="11"/>
  <c r="V620" i="11" s="1"/>
  <c r="W620" i="11" s="1"/>
  <c r="T621" i="11"/>
  <c r="T715" i="11"/>
  <c r="T716" i="11"/>
  <c r="V716" i="11" s="1"/>
  <c r="T717" i="11"/>
  <c r="V717" i="11" s="1"/>
  <c r="T718" i="11"/>
  <c r="V718" i="11" s="1"/>
  <c r="T719" i="11"/>
  <c r="V719" i="11" s="1"/>
  <c r="T720" i="11"/>
  <c r="V720" i="11" s="1"/>
  <c r="T721" i="11"/>
  <c r="V721" i="11" s="1"/>
  <c r="T722" i="11"/>
  <c r="T723" i="11"/>
  <c r="V723" i="11" s="1"/>
  <c r="T724" i="11"/>
  <c r="V724" i="11" s="1"/>
  <c r="T725" i="11"/>
  <c r="V725" i="11" s="1"/>
  <c r="T726" i="11"/>
  <c r="V726" i="11" s="1"/>
  <c r="T727" i="11"/>
  <c r="V727" i="11" s="1"/>
  <c r="T728" i="11"/>
  <c r="V728" i="11" s="1"/>
  <c r="T729" i="11"/>
  <c r="V729" i="11" s="1"/>
  <c r="T730" i="11"/>
  <c r="V730" i="11" s="1"/>
  <c r="T731" i="11"/>
  <c r="V731" i="11" s="1"/>
  <c r="T732" i="11"/>
  <c r="V732" i="11" s="1"/>
  <c r="T733" i="11"/>
  <c r="V733" i="11" s="1"/>
  <c r="W733" i="11" s="1"/>
  <c r="T734" i="11"/>
  <c r="T735" i="11"/>
  <c r="V735" i="11" s="1"/>
  <c r="T736" i="11"/>
  <c r="T737" i="11"/>
  <c r="V737" i="11" s="1"/>
  <c r="T738" i="11"/>
  <c r="V738" i="11" s="1"/>
  <c r="T739" i="11"/>
  <c r="V739" i="11" s="1"/>
  <c r="T740" i="11"/>
  <c r="V740" i="11" s="1"/>
  <c r="T741" i="11"/>
  <c r="V741" i="11" s="1"/>
  <c r="T742" i="11"/>
  <c r="V742" i="11" s="1"/>
  <c r="T743" i="11"/>
  <c r="V743" i="11" s="1"/>
  <c r="T744" i="11"/>
  <c r="V744" i="11" s="1"/>
  <c r="T745" i="11"/>
  <c r="V745" i="11" s="1"/>
  <c r="T622" i="11"/>
  <c r="T623" i="11"/>
  <c r="V623" i="11" s="1"/>
  <c r="W623" i="11" s="1"/>
  <c r="T624" i="11"/>
  <c r="V624" i="11" s="1"/>
  <c r="T625" i="11"/>
  <c r="V625" i="11" s="1"/>
  <c r="T626" i="11"/>
  <c r="V626" i="11" s="1"/>
  <c r="T627" i="11"/>
  <c r="V627" i="11" s="1"/>
  <c r="T628" i="11"/>
  <c r="T629" i="11"/>
  <c r="T630" i="11"/>
  <c r="V630" i="11" s="1"/>
  <c r="T631" i="11"/>
  <c r="T632" i="11"/>
  <c r="V632" i="11" s="1"/>
  <c r="T633" i="11"/>
  <c r="V633" i="11" s="1"/>
  <c r="T634" i="11"/>
  <c r="V634" i="11" s="1"/>
  <c r="T635" i="11"/>
  <c r="V635" i="11" s="1"/>
  <c r="T636" i="11"/>
  <c r="V636" i="11" s="1"/>
  <c r="T637" i="11"/>
  <c r="V637" i="11" s="1"/>
  <c r="T638" i="11"/>
  <c r="V638" i="11" s="1"/>
  <c r="T639" i="11"/>
  <c r="V639" i="11" s="1"/>
  <c r="T640" i="11"/>
  <c r="V640" i="11" s="1"/>
  <c r="W640" i="11" s="1"/>
  <c r="T641" i="11"/>
  <c r="V641" i="11" s="1"/>
  <c r="T642" i="11"/>
  <c r="V642" i="11" s="1"/>
  <c r="T643" i="11"/>
  <c r="V643" i="11" s="1"/>
  <c r="T644" i="11"/>
  <c r="V644" i="11" s="1"/>
  <c r="T645" i="11"/>
  <c r="V645" i="11" s="1"/>
  <c r="T646" i="11"/>
  <c r="V646" i="11" s="1"/>
  <c r="T647" i="11"/>
  <c r="V647" i="11" s="1"/>
  <c r="T648" i="11"/>
  <c r="V648" i="11" s="1"/>
  <c r="T649" i="11"/>
  <c r="V649" i="11" s="1"/>
  <c r="W649" i="11" s="1"/>
  <c r="T650" i="11"/>
  <c r="V650" i="11" s="1"/>
  <c r="T651" i="11"/>
  <c r="V651" i="11" s="1"/>
  <c r="W651" i="11" s="1"/>
  <c r="T652" i="11"/>
  <c r="V652" i="11" s="1"/>
  <c r="T64" i="11"/>
  <c r="T65" i="11"/>
  <c r="V65" i="11" s="1"/>
  <c r="T66" i="11"/>
  <c r="V66" i="11" s="1"/>
  <c r="T67" i="11"/>
  <c r="V67" i="11" s="1"/>
  <c r="T68" i="11"/>
  <c r="V68" i="11" s="1"/>
  <c r="T69" i="11"/>
  <c r="V69" i="11" s="1"/>
  <c r="T70" i="11"/>
  <c r="V70" i="11" s="1"/>
  <c r="T71" i="11"/>
  <c r="V71" i="11" s="1"/>
  <c r="W71" i="11" s="1"/>
  <c r="T72" i="11"/>
  <c r="V72" i="11" s="1"/>
  <c r="T73" i="11"/>
  <c r="V73" i="11" s="1"/>
  <c r="T74" i="11"/>
  <c r="V74" i="11" s="1"/>
  <c r="T75" i="11"/>
  <c r="V75" i="11" s="1"/>
  <c r="T76" i="11"/>
  <c r="V76" i="11" s="1"/>
  <c r="T77" i="11"/>
  <c r="V77" i="11" s="1"/>
  <c r="T78" i="11"/>
  <c r="V78" i="11" s="1"/>
  <c r="T79" i="11"/>
  <c r="V79" i="11" s="1"/>
  <c r="T80" i="11"/>
  <c r="V80" i="11" s="1"/>
  <c r="W80" i="11" s="1"/>
  <c r="T81" i="11"/>
  <c r="V81" i="11" s="1"/>
  <c r="T82" i="11"/>
  <c r="V82" i="11" s="1"/>
  <c r="W82" i="11" s="1"/>
  <c r="T83" i="11"/>
  <c r="V83" i="11" s="1"/>
  <c r="T84" i="11"/>
  <c r="V84" i="11" s="1"/>
  <c r="T85" i="11"/>
  <c r="V85" i="11" s="1"/>
  <c r="T86" i="11"/>
  <c r="V86" i="11" s="1"/>
  <c r="W86" i="11" s="1"/>
  <c r="T87" i="11"/>
  <c r="V87" i="11" s="1"/>
  <c r="T88" i="11"/>
  <c r="V88" i="11" s="1"/>
  <c r="T89" i="11"/>
  <c r="V89" i="11" s="1"/>
  <c r="T90" i="11"/>
  <c r="V90" i="11" s="1"/>
  <c r="T91" i="11"/>
  <c r="V91" i="11" s="1"/>
  <c r="W91" i="11" s="1"/>
  <c r="T92" i="11"/>
  <c r="V92" i="11" s="1"/>
  <c r="T93" i="11"/>
  <c r="V93" i="11" s="1"/>
  <c r="T94" i="11"/>
  <c r="V94" i="11" s="1"/>
  <c r="T467" i="11"/>
  <c r="T468" i="11"/>
  <c r="V468" i="11" s="1"/>
  <c r="W468" i="11" s="1"/>
  <c r="T469" i="11"/>
  <c r="V469" i="11" s="1"/>
  <c r="T470" i="11"/>
  <c r="V470" i="11" s="1"/>
  <c r="T471" i="11"/>
  <c r="V471" i="11" s="1"/>
  <c r="T472" i="11"/>
  <c r="V472" i="11" s="1"/>
  <c r="W472" i="11" s="1"/>
  <c r="T473" i="11"/>
  <c r="V473" i="11" s="1"/>
  <c r="T474" i="11"/>
  <c r="V474" i="11" s="1"/>
  <c r="W474" i="11" s="1"/>
  <c r="T475" i="11"/>
  <c r="V475" i="11" s="1"/>
  <c r="T476" i="11"/>
  <c r="V476" i="11" s="1"/>
  <c r="T477" i="11"/>
  <c r="V477" i="11" s="1"/>
  <c r="T478" i="11"/>
  <c r="V478" i="11" s="1"/>
  <c r="T479" i="11"/>
  <c r="V479" i="11" s="1"/>
  <c r="T480" i="11"/>
  <c r="V480" i="11" s="1"/>
  <c r="T481" i="11"/>
  <c r="V481" i="11" s="1"/>
  <c r="T482" i="11"/>
  <c r="V482" i="11" s="1"/>
  <c r="T483" i="11"/>
  <c r="V483" i="11" s="1"/>
  <c r="T484" i="11"/>
  <c r="V484" i="11" s="1"/>
  <c r="T485" i="11"/>
  <c r="V485" i="11" s="1"/>
  <c r="T486" i="11"/>
  <c r="V486" i="11" s="1"/>
  <c r="T487" i="11"/>
  <c r="V487" i="11" s="1"/>
  <c r="T488" i="11"/>
  <c r="V488" i="11" s="1"/>
  <c r="T489" i="11"/>
  <c r="V489" i="11" s="1"/>
  <c r="T490" i="11"/>
  <c r="V490" i="11" s="1"/>
  <c r="T491" i="11"/>
  <c r="V491" i="11" s="1"/>
  <c r="T492" i="11"/>
  <c r="V492" i="11" s="1"/>
  <c r="W492" i="11" s="1"/>
  <c r="T493" i="11"/>
  <c r="V493" i="11" s="1"/>
  <c r="T494" i="11"/>
  <c r="V494" i="11" s="1"/>
  <c r="W494" i="11" s="1"/>
  <c r="T495" i="11"/>
  <c r="V495" i="11" s="1"/>
  <c r="T496" i="11"/>
  <c r="V496" i="11" s="1"/>
  <c r="T497" i="11"/>
  <c r="V497" i="11" s="1"/>
  <c r="T219" i="11"/>
  <c r="T220" i="11"/>
  <c r="V220" i="11" s="1"/>
  <c r="T221" i="11"/>
  <c r="V221" i="11" s="1"/>
  <c r="T222" i="11"/>
  <c r="V222" i="11" s="1"/>
  <c r="T223" i="11"/>
  <c r="V223" i="11" s="1"/>
  <c r="T224" i="11"/>
  <c r="V224" i="11" s="1"/>
  <c r="W224" i="11" s="1"/>
  <c r="T225" i="11"/>
  <c r="V225" i="11" s="1"/>
  <c r="T226" i="11"/>
  <c r="V226" i="11" s="1"/>
  <c r="T227" i="11"/>
  <c r="V227" i="11" s="1"/>
  <c r="T228" i="11"/>
  <c r="V228" i="11" s="1"/>
  <c r="T229" i="11"/>
  <c r="V229" i="11" s="1"/>
  <c r="T230" i="11"/>
  <c r="V230" i="11" s="1"/>
  <c r="T231" i="11"/>
  <c r="V231" i="11" s="1"/>
  <c r="T232" i="11"/>
  <c r="V232" i="11" s="1"/>
  <c r="T233" i="11"/>
  <c r="V233" i="11" s="1"/>
  <c r="W233" i="11" s="1"/>
  <c r="T234" i="11"/>
  <c r="V234" i="11" s="1"/>
  <c r="T235" i="11"/>
  <c r="V235" i="11" s="1"/>
  <c r="T236" i="11"/>
  <c r="V236" i="11" s="1"/>
  <c r="T237" i="11"/>
  <c r="T238" i="11"/>
  <c r="V238" i="11" s="1"/>
  <c r="T239" i="11"/>
  <c r="V239" i="11" s="1"/>
  <c r="T240" i="11"/>
  <c r="V240" i="11" s="1"/>
  <c r="T241" i="11"/>
  <c r="V241" i="11" s="1"/>
  <c r="T242" i="11"/>
  <c r="V242" i="11" s="1"/>
  <c r="T243" i="11"/>
  <c r="V243" i="11" s="1"/>
  <c r="T244" i="11"/>
  <c r="V244" i="11" s="1"/>
  <c r="T245" i="11"/>
  <c r="V245" i="11" s="1"/>
  <c r="T246" i="11"/>
  <c r="V246" i="11" s="1"/>
  <c r="T247" i="11"/>
  <c r="T248" i="11"/>
  <c r="V248" i="11" s="1"/>
  <c r="T249" i="11"/>
  <c r="T498" i="11"/>
  <c r="T499" i="11"/>
  <c r="V499" i="11" s="1"/>
  <c r="T500" i="11"/>
  <c r="V500" i="11" s="1"/>
  <c r="T501" i="11"/>
  <c r="V501" i="11" s="1"/>
  <c r="W501" i="11" s="1"/>
  <c r="T502" i="11"/>
  <c r="T503" i="11"/>
  <c r="V503" i="11" s="1"/>
  <c r="T504" i="11"/>
  <c r="T505" i="11"/>
  <c r="T506" i="11"/>
  <c r="V506" i="11" s="1"/>
  <c r="T507" i="11"/>
  <c r="T508" i="11"/>
  <c r="V508" i="11" s="1"/>
  <c r="T509" i="11"/>
  <c r="V509" i="11" s="1"/>
  <c r="T510" i="11"/>
  <c r="V510" i="11" s="1"/>
  <c r="T511" i="11"/>
  <c r="V511" i="11" s="1"/>
  <c r="T512" i="11"/>
  <c r="V512" i="11" s="1"/>
  <c r="W512" i="11" s="1"/>
  <c r="T513" i="11"/>
  <c r="V513" i="11" s="1"/>
  <c r="T514" i="11"/>
  <c r="V514" i="11" s="1"/>
  <c r="T515" i="11"/>
  <c r="V515" i="11" s="1"/>
  <c r="T516" i="11"/>
  <c r="V516" i="11" s="1"/>
  <c r="T517" i="11"/>
  <c r="V517" i="11" s="1"/>
  <c r="T518" i="11"/>
  <c r="V518" i="11" s="1"/>
  <c r="T519" i="11"/>
  <c r="V519" i="11" s="1"/>
  <c r="T520" i="11"/>
  <c r="V520" i="11" s="1"/>
  <c r="T521" i="11"/>
  <c r="V521" i="11" s="1"/>
  <c r="W521" i="11" s="1"/>
  <c r="T522" i="11"/>
  <c r="V522" i="11" s="1"/>
  <c r="T523" i="11"/>
  <c r="V523" i="11" s="1"/>
  <c r="W523" i="11" s="1"/>
  <c r="T524" i="11"/>
  <c r="V524" i="11" s="1"/>
  <c r="T525" i="11"/>
  <c r="V525" i="11" s="1"/>
  <c r="T526" i="11"/>
  <c r="V526" i="11" s="1"/>
  <c r="T527" i="11"/>
  <c r="V527" i="11" s="1"/>
  <c r="T528" i="11"/>
  <c r="T529" i="11"/>
  <c r="T530" i="11"/>
  <c r="V530" i="11" s="1"/>
  <c r="W530" i="11" s="1"/>
  <c r="T531" i="11"/>
  <c r="V531" i="11" s="1"/>
  <c r="T532" i="11"/>
  <c r="V532" i="11" s="1"/>
  <c r="W532" i="11" s="1"/>
  <c r="T533" i="11"/>
  <c r="V533" i="11" s="1"/>
  <c r="T534" i="11"/>
  <c r="V534" i="11" s="1"/>
  <c r="T535" i="11"/>
  <c r="V535" i="11" s="1"/>
  <c r="T536" i="11"/>
  <c r="V536" i="11" s="1"/>
  <c r="T537" i="11"/>
  <c r="V537" i="11" s="1"/>
  <c r="T538" i="11"/>
  <c r="V538" i="11" s="1"/>
  <c r="T539" i="11"/>
  <c r="V539" i="11" s="1"/>
  <c r="T540" i="11"/>
  <c r="V540" i="11" s="1"/>
  <c r="T541" i="11"/>
  <c r="V541" i="11" s="1"/>
  <c r="W541" i="11" s="1"/>
  <c r="T542" i="11"/>
  <c r="V542" i="11" s="1"/>
  <c r="T543" i="11"/>
  <c r="V543" i="11" s="1"/>
  <c r="T544" i="11"/>
  <c r="V544" i="11" s="1"/>
  <c r="T545" i="11"/>
  <c r="V545" i="11" s="1"/>
  <c r="T546" i="11"/>
  <c r="V546" i="11" s="1"/>
  <c r="T547" i="11"/>
  <c r="V547" i="11" s="1"/>
  <c r="T548" i="11"/>
  <c r="V548" i="11" s="1"/>
  <c r="T549" i="11"/>
  <c r="V549" i="11" s="1"/>
  <c r="T550" i="11"/>
  <c r="V550" i="11" s="1"/>
  <c r="T551" i="11"/>
  <c r="V551" i="11" s="1"/>
  <c r="T552" i="11"/>
  <c r="V552" i="11" s="1"/>
  <c r="W552" i="11" s="1"/>
  <c r="T553" i="11"/>
  <c r="V553" i="11" s="1"/>
  <c r="T554" i="11"/>
  <c r="V554" i="11" s="1"/>
  <c r="T555" i="11"/>
  <c r="V555" i="11" s="1"/>
  <c r="T556" i="11"/>
  <c r="V556" i="11" s="1"/>
  <c r="T557" i="11"/>
  <c r="T558" i="11"/>
  <c r="V558" i="11" s="1"/>
  <c r="T559" i="11"/>
  <c r="T188" i="11"/>
  <c r="T189" i="11"/>
  <c r="V189" i="11" s="1"/>
  <c r="T190" i="11"/>
  <c r="V190" i="11" s="1"/>
  <c r="T191" i="11"/>
  <c r="V191" i="11" s="1"/>
  <c r="T192" i="11"/>
  <c r="V192" i="11" s="1"/>
  <c r="T193" i="11"/>
  <c r="V193" i="11" s="1"/>
  <c r="T194" i="11"/>
  <c r="V194" i="11" s="1"/>
  <c r="T195" i="11"/>
  <c r="V195" i="11" s="1"/>
  <c r="T196" i="11"/>
  <c r="V196" i="11" s="1"/>
  <c r="T197" i="11"/>
  <c r="V197" i="11" s="1"/>
  <c r="T198" i="11"/>
  <c r="V198" i="11" s="1"/>
  <c r="T199" i="11"/>
  <c r="V199" i="11" s="1"/>
  <c r="T200" i="11"/>
  <c r="V200" i="11" s="1"/>
  <c r="W200" i="11" s="1"/>
  <c r="T201" i="11"/>
  <c r="V201" i="11" s="1"/>
  <c r="T202" i="11"/>
  <c r="V202" i="11" s="1"/>
  <c r="T203" i="11"/>
  <c r="V203" i="11" s="1"/>
  <c r="T204" i="11"/>
  <c r="V204" i="11" s="1"/>
  <c r="T205" i="11"/>
  <c r="V205" i="11" s="1"/>
  <c r="T206" i="11"/>
  <c r="V206" i="11" s="1"/>
  <c r="T207" i="11"/>
  <c r="V207" i="11" s="1"/>
  <c r="T208" i="11"/>
  <c r="V208" i="11" s="1"/>
  <c r="T209" i="11"/>
  <c r="V209" i="11" s="1"/>
  <c r="W209" i="11" s="1"/>
  <c r="T210" i="11"/>
  <c r="V210" i="11" s="1"/>
  <c r="T211" i="11"/>
  <c r="V211" i="11" s="1"/>
  <c r="W211" i="11" s="1"/>
  <c r="T212" i="11"/>
  <c r="V212" i="11" s="1"/>
  <c r="T213" i="11"/>
  <c r="V213" i="11" s="1"/>
  <c r="T214" i="11"/>
  <c r="V214" i="11" s="1"/>
  <c r="T215" i="11"/>
  <c r="V215" i="11" s="1"/>
  <c r="T216" i="11"/>
  <c r="V216" i="11" s="1"/>
  <c r="T217" i="11"/>
  <c r="V217" i="11" s="1"/>
  <c r="T218" i="11"/>
  <c r="T281" i="11"/>
  <c r="T282" i="11"/>
  <c r="V282" i="11" s="1"/>
  <c r="T283" i="11"/>
  <c r="V283" i="11" s="1"/>
  <c r="T284" i="11"/>
  <c r="V284" i="11" s="1"/>
  <c r="T285" i="11"/>
  <c r="V285" i="11" s="1"/>
  <c r="T286" i="11"/>
  <c r="V286" i="11" s="1"/>
  <c r="T287" i="11"/>
  <c r="T288" i="11"/>
  <c r="T289" i="11"/>
  <c r="V289" i="11" s="1"/>
  <c r="T290" i="11"/>
  <c r="V290" i="11" s="1"/>
  <c r="T291" i="11"/>
  <c r="V291" i="11" s="1"/>
  <c r="W291" i="11" s="1"/>
  <c r="T292" i="11"/>
  <c r="V292" i="11" s="1"/>
  <c r="T293" i="11"/>
  <c r="V293" i="11" s="1"/>
  <c r="W293" i="11" s="1"/>
  <c r="T294" i="11"/>
  <c r="V294" i="11" s="1"/>
  <c r="T295" i="11"/>
  <c r="V295" i="11" s="1"/>
  <c r="T296" i="11"/>
  <c r="V296" i="11" s="1"/>
  <c r="T297" i="11"/>
  <c r="V297" i="11" s="1"/>
  <c r="T298" i="11"/>
  <c r="V298" i="11" s="1"/>
  <c r="T299" i="11"/>
  <c r="V299" i="11" s="1"/>
  <c r="T300" i="11"/>
  <c r="T301" i="11"/>
  <c r="V301" i="11" s="1"/>
  <c r="T302" i="11"/>
  <c r="T303" i="11"/>
  <c r="V303" i="11" s="1"/>
  <c r="T304" i="11"/>
  <c r="V304" i="11" s="1"/>
  <c r="T305" i="11"/>
  <c r="V305" i="11" s="1"/>
  <c r="T306" i="11"/>
  <c r="V306" i="11" s="1"/>
  <c r="T307" i="11"/>
  <c r="V307" i="11" s="1"/>
  <c r="T308" i="11"/>
  <c r="V308" i="11" s="1"/>
  <c r="T309" i="11"/>
  <c r="V309" i="11" s="1"/>
  <c r="T310" i="11"/>
  <c r="V310" i="11" s="1"/>
  <c r="T311" i="11"/>
  <c r="V311" i="11" s="1"/>
  <c r="W311" i="11" s="1"/>
  <c r="T405" i="11"/>
  <c r="T406" i="11"/>
  <c r="V406" i="11" s="1"/>
  <c r="T407" i="11"/>
  <c r="V407" i="11" s="1"/>
  <c r="T408" i="11"/>
  <c r="V408" i="11" s="1"/>
  <c r="T409" i="11"/>
  <c r="V409" i="11" s="1"/>
  <c r="T410" i="11"/>
  <c r="V410" i="11" s="1"/>
  <c r="T411" i="11"/>
  <c r="V411" i="11" s="1"/>
  <c r="T412" i="11"/>
  <c r="T413" i="11"/>
  <c r="V413" i="11" s="1"/>
  <c r="T414" i="11"/>
  <c r="V414" i="11" s="1"/>
  <c r="T415" i="11"/>
  <c r="V415" i="11" s="1"/>
  <c r="W415" i="11" s="1"/>
  <c r="T416" i="11"/>
  <c r="V416" i="11" s="1"/>
  <c r="T417" i="11"/>
  <c r="V417" i="11" s="1"/>
  <c r="T418" i="11"/>
  <c r="V418" i="11" s="1"/>
  <c r="T419" i="11"/>
  <c r="V419" i="11" s="1"/>
  <c r="T420" i="11"/>
  <c r="V420" i="11" s="1"/>
  <c r="T421" i="11"/>
  <c r="V421" i="11" s="1"/>
  <c r="T422" i="11"/>
  <c r="V422" i="11" s="1"/>
  <c r="T423" i="11"/>
  <c r="V423" i="11" s="1"/>
  <c r="T424" i="11"/>
  <c r="T425" i="11"/>
  <c r="V425" i="11" s="1"/>
  <c r="T426" i="11"/>
  <c r="T427" i="11"/>
  <c r="V427" i="11" s="1"/>
  <c r="T428" i="11"/>
  <c r="V428" i="11" s="1"/>
  <c r="T429" i="11"/>
  <c r="V429" i="11" s="1"/>
  <c r="T430" i="11"/>
  <c r="V430" i="11" s="1"/>
  <c r="T431" i="11"/>
  <c r="V431" i="11" s="1"/>
  <c r="T432" i="11"/>
  <c r="V432" i="11" s="1"/>
  <c r="T433" i="11"/>
  <c r="V433" i="11" s="1"/>
  <c r="T434" i="11"/>
  <c r="V434" i="11" s="1"/>
  <c r="T435" i="11"/>
  <c r="V435" i="11" s="1"/>
  <c r="W435" i="11" s="1"/>
  <c r="T157" i="11"/>
  <c r="T158" i="11"/>
  <c r="V158" i="11" s="1"/>
  <c r="T159" i="11"/>
  <c r="V159" i="11" s="1"/>
  <c r="T160" i="11"/>
  <c r="V160" i="11" s="1"/>
  <c r="T161" i="11"/>
  <c r="V161" i="11" s="1"/>
  <c r="T162" i="11"/>
  <c r="V162" i="11" s="1"/>
  <c r="T163" i="11"/>
  <c r="V163" i="11" s="1"/>
  <c r="T164" i="11"/>
  <c r="T165" i="11"/>
  <c r="V165" i="11" s="1"/>
  <c r="T166" i="11"/>
  <c r="T167" i="11"/>
  <c r="V167" i="11" s="1"/>
  <c r="T168" i="11"/>
  <c r="V168" i="11" s="1"/>
  <c r="T169" i="11"/>
  <c r="V169" i="11" s="1"/>
  <c r="T170" i="11"/>
  <c r="V170" i="11" s="1"/>
  <c r="T171" i="11"/>
  <c r="V171" i="11" s="1"/>
  <c r="T172" i="11"/>
  <c r="V172" i="11" s="1"/>
  <c r="T173" i="11"/>
  <c r="V173" i="11" s="1"/>
  <c r="T174" i="11"/>
  <c r="V174" i="11" s="1"/>
  <c r="T175" i="11"/>
  <c r="T176" i="11"/>
  <c r="T177" i="11"/>
  <c r="V177" i="11" s="1"/>
  <c r="T178" i="11"/>
  <c r="T179" i="11"/>
  <c r="V179" i="11" s="1"/>
  <c r="T180" i="11"/>
  <c r="V180" i="11" s="1"/>
  <c r="T181" i="11"/>
  <c r="V181" i="11" s="1"/>
  <c r="T182" i="11"/>
  <c r="V182" i="11" s="1"/>
  <c r="T183" i="11"/>
  <c r="V183" i="11" s="1"/>
  <c r="T184" i="11"/>
  <c r="V184" i="11" s="1"/>
  <c r="T185" i="11"/>
  <c r="V185" i="11" s="1"/>
  <c r="W185" i="11" s="1"/>
  <c r="T186" i="11"/>
  <c r="V186" i="11" s="1"/>
  <c r="T187" i="11"/>
  <c r="V187" i="11" s="1"/>
  <c r="W187" i="11" s="1"/>
  <c r="T126" i="11"/>
  <c r="T127" i="11"/>
  <c r="V127" i="11" s="1"/>
  <c r="T128" i="11"/>
  <c r="V128" i="11" s="1"/>
  <c r="T129" i="11"/>
  <c r="V129" i="11" s="1"/>
  <c r="T130" i="11"/>
  <c r="V130" i="11" s="1"/>
  <c r="T131" i="11"/>
  <c r="V131" i="11" s="1"/>
  <c r="T132" i="11"/>
  <c r="V132" i="11" s="1"/>
  <c r="T133" i="11"/>
  <c r="V133" i="11" s="1"/>
  <c r="T134" i="11"/>
  <c r="V134" i="11" s="1"/>
  <c r="W134" i="11" s="1"/>
  <c r="T135" i="11"/>
  <c r="V135" i="11" s="1"/>
  <c r="T136" i="11"/>
  <c r="V136" i="11" s="1"/>
  <c r="T137" i="11"/>
  <c r="V137" i="11" s="1"/>
  <c r="T138" i="11"/>
  <c r="V138" i="11" s="1"/>
  <c r="T139" i="11"/>
  <c r="V139" i="11" s="1"/>
  <c r="T140" i="11"/>
  <c r="V140" i="11" s="1"/>
  <c r="T141" i="11"/>
  <c r="V141" i="11" s="1"/>
  <c r="T142" i="11"/>
  <c r="V142" i="11" s="1"/>
  <c r="T143" i="11"/>
  <c r="V143" i="11" s="1"/>
  <c r="W143" i="11" s="1"/>
  <c r="T144" i="11"/>
  <c r="V144" i="11" s="1"/>
  <c r="T145" i="11"/>
  <c r="V145" i="11" s="1"/>
  <c r="W145" i="11" s="1"/>
  <c r="T146" i="11"/>
  <c r="V146" i="11" s="1"/>
  <c r="T147" i="11"/>
  <c r="V147" i="11" s="1"/>
  <c r="T148" i="11"/>
  <c r="V148" i="11" s="1"/>
  <c r="T149" i="11"/>
  <c r="V149" i="11" s="1"/>
  <c r="T150" i="11"/>
  <c r="V150" i="11" s="1"/>
  <c r="T151" i="11"/>
  <c r="V151" i="11" s="1"/>
  <c r="T152" i="11"/>
  <c r="V152" i="11" s="1"/>
  <c r="T153" i="11"/>
  <c r="V153" i="11" s="1"/>
  <c r="T154" i="11"/>
  <c r="V154" i="11" s="1"/>
  <c r="W154" i="11" s="1"/>
  <c r="T155" i="11"/>
  <c r="V155" i="11" s="1"/>
  <c r="T156" i="11"/>
  <c r="V156" i="11" s="1"/>
  <c r="T870" i="11"/>
  <c r="T871" i="11"/>
  <c r="V871" i="11" s="1"/>
  <c r="T872" i="11"/>
  <c r="V872" i="11" s="1"/>
  <c r="T873" i="11"/>
  <c r="V873" i="11" s="1"/>
  <c r="T874" i="11"/>
  <c r="V874" i="11" s="1"/>
  <c r="T875" i="11"/>
  <c r="V875" i="11" s="1"/>
  <c r="T876" i="11"/>
  <c r="V876" i="11" s="1"/>
  <c r="W876" i="11" s="1"/>
  <c r="T877" i="11"/>
  <c r="T878" i="11"/>
  <c r="V878" i="11" s="1"/>
  <c r="T879" i="11"/>
  <c r="T880" i="11"/>
  <c r="V880" i="11" s="1"/>
  <c r="T881" i="11"/>
  <c r="V881" i="11" s="1"/>
  <c r="T882" i="11"/>
  <c r="V882" i="11" s="1"/>
  <c r="W882" i="11" s="1"/>
  <c r="T883" i="11"/>
  <c r="V883" i="11" s="1"/>
  <c r="T884" i="11"/>
  <c r="V884" i="11" s="1"/>
  <c r="T885" i="11"/>
  <c r="V885" i="11" s="1"/>
  <c r="T886" i="11"/>
  <c r="V886" i="11" s="1"/>
  <c r="T887" i="11"/>
  <c r="V887" i="11" s="1"/>
  <c r="W887" i="11" s="1"/>
  <c r="T888" i="11"/>
  <c r="V888" i="11" s="1"/>
  <c r="T889" i="11"/>
  <c r="T890" i="11"/>
  <c r="V890" i="11" s="1"/>
  <c r="T891" i="11"/>
  <c r="T892" i="11"/>
  <c r="V892" i="11" s="1"/>
  <c r="T893" i="11"/>
  <c r="V893" i="11" s="1"/>
  <c r="T894" i="11"/>
  <c r="V894" i="11" s="1"/>
  <c r="T895" i="11"/>
  <c r="V895" i="11" s="1"/>
  <c r="T896" i="11"/>
  <c r="V896" i="11" s="1"/>
  <c r="W896" i="11" s="1"/>
  <c r="T897" i="11"/>
  <c r="V897" i="11" s="1"/>
  <c r="T898" i="11"/>
  <c r="V898" i="11" s="1"/>
  <c r="W898" i="11" s="1"/>
  <c r="T899" i="11"/>
  <c r="V899" i="11" s="1"/>
  <c r="T900" i="11"/>
  <c r="V900" i="11" s="1"/>
  <c r="T839" i="11"/>
  <c r="T840" i="11"/>
  <c r="V840" i="11" s="1"/>
  <c r="T841" i="11"/>
  <c r="V841" i="11" s="1"/>
  <c r="T842" i="11"/>
  <c r="V842" i="11" s="1"/>
  <c r="T843" i="11"/>
  <c r="V843" i="11" s="1"/>
  <c r="T844" i="11"/>
  <c r="V844" i="11" s="1"/>
  <c r="T845" i="11"/>
  <c r="V845" i="11" s="1"/>
  <c r="W845" i="11" s="1"/>
  <c r="T846" i="11"/>
  <c r="V846" i="11" s="1"/>
  <c r="T847" i="11"/>
  <c r="V847" i="11" s="1"/>
  <c r="T848" i="11"/>
  <c r="V848" i="11" s="1"/>
  <c r="T849" i="11"/>
  <c r="V849" i="11" s="1"/>
  <c r="T850" i="11"/>
  <c r="V850" i="11" s="1"/>
  <c r="T851" i="11"/>
  <c r="V851" i="11" s="1"/>
  <c r="T852" i="11"/>
  <c r="V852" i="11" s="1"/>
  <c r="T853" i="11"/>
  <c r="V853" i="11" s="1"/>
  <c r="T854" i="11"/>
  <c r="V854" i="11" s="1"/>
  <c r="W854" i="11" s="1"/>
  <c r="T855" i="11"/>
  <c r="V855" i="11" s="1"/>
  <c r="T856" i="11"/>
  <c r="V856" i="11" s="1"/>
  <c r="W856" i="11" s="1"/>
  <c r="T857" i="11"/>
  <c r="V857" i="11" s="1"/>
  <c r="T858" i="11"/>
  <c r="T859" i="11"/>
  <c r="V859" i="11" s="1"/>
  <c r="T860" i="11"/>
  <c r="V860" i="11" s="1"/>
  <c r="T861" i="11"/>
  <c r="V861" i="11" s="1"/>
  <c r="T862" i="11"/>
  <c r="V862" i="11" s="1"/>
  <c r="T863" i="11"/>
  <c r="V863" i="11" s="1"/>
  <c r="T864" i="11"/>
  <c r="V864" i="11" s="1"/>
  <c r="T865" i="11"/>
  <c r="V865" i="11" s="1"/>
  <c r="W865" i="11" s="1"/>
  <c r="T866" i="11"/>
  <c r="V866" i="11" s="1"/>
  <c r="T867" i="11"/>
  <c r="T868" i="11"/>
  <c r="V868" i="11" s="1"/>
  <c r="T869" i="11"/>
  <c r="T436" i="11"/>
  <c r="T437" i="11"/>
  <c r="V437" i="11" s="1"/>
  <c r="T438" i="11"/>
  <c r="V438" i="11" s="1"/>
  <c r="T439" i="11"/>
  <c r="V439" i="11" s="1"/>
  <c r="T440" i="11"/>
  <c r="T441" i="11"/>
  <c r="V441" i="11" s="1"/>
  <c r="T442" i="11"/>
  <c r="T443" i="11"/>
  <c r="T444" i="11"/>
  <c r="V444" i="11" s="1"/>
  <c r="T445" i="11"/>
  <c r="T446" i="11"/>
  <c r="V446" i="11" s="1"/>
  <c r="T447" i="11"/>
  <c r="V447" i="11" s="1"/>
  <c r="T448" i="11"/>
  <c r="V448" i="11" s="1"/>
  <c r="T449" i="11"/>
  <c r="V449" i="11" s="1"/>
  <c r="T450" i="11"/>
  <c r="V450" i="11" s="1"/>
  <c r="T451" i="11"/>
  <c r="V451" i="11" s="1"/>
  <c r="W451" i="11" s="1"/>
  <c r="T452" i="11"/>
  <c r="V452" i="11" s="1"/>
  <c r="T453" i="11"/>
  <c r="V453" i="11" s="1"/>
  <c r="T454" i="11"/>
  <c r="T455" i="11"/>
  <c r="V455" i="11" s="1"/>
  <c r="T456" i="11"/>
  <c r="V456" i="11" s="1"/>
  <c r="T457" i="11"/>
  <c r="V457" i="11" s="1"/>
  <c r="T458" i="11"/>
  <c r="V458" i="11" s="1"/>
  <c r="T459" i="11"/>
  <c r="V459" i="11" s="1"/>
  <c r="T460" i="11"/>
  <c r="V460" i="11" s="1"/>
  <c r="W460" i="11" s="1"/>
  <c r="T461" i="11"/>
  <c r="V461" i="11" s="1"/>
  <c r="T462" i="11"/>
  <c r="V462" i="11" s="1"/>
  <c r="W462" i="11" s="1"/>
  <c r="T463" i="11"/>
  <c r="V463" i="11" s="1"/>
  <c r="T464" i="11"/>
  <c r="V464" i="11" s="1"/>
  <c r="T465" i="11"/>
  <c r="V465" i="11" s="1"/>
  <c r="T466" i="11"/>
  <c r="V466" i="11" s="1"/>
  <c r="W466" i="11" s="1"/>
  <c r="T95" i="11"/>
  <c r="T96" i="11"/>
  <c r="V96" i="11" s="1"/>
  <c r="T97" i="11"/>
  <c r="V97" i="11" s="1"/>
  <c r="T98" i="11"/>
  <c r="V98" i="11" s="1"/>
  <c r="T99" i="11"/>
  <c r="V99" i="11" s="1"/>
  <c r="W99" i="11" s="1"/>
  <c r="T100" i="11"/>
  <c r="V100" i="11" s="1"/>
  <c r="T101" i="11"/>
  <c r="V101" i="11" s="1"/>
  <c r="T102" i="11"/>
  <c r="V102" i="11" s="1"/>
  <c r="T103" i="11"/>
  <c r="V103" i="11" s="1"/>
  <c r="T104" i="11"/>
  <c r="V104" i="11" s="1"/>
  <c r="T105" i="11"/>
  <c r="V105" i="11" s="1"/>
  <c r="T106" i="11"/>
  <c r="V106" i="11" s="1"/>
  <c r="T107" i="11"/>
  <c r="V107" i="11" s="1"/>
  <c r="T108" i="11"/>
  <c r="V108" i="11" s="1"/>
  <c r="W108" i="11" s="1"/>
  <c r="T109" i="11"/>
  <c r="V109" i="11" s="1"/>
  <c r="T110" i="11"/>
  <c r="V110" i="11" s="1"/>
  <c r="W110" i="11" s="1"/>
  <c r="T111" i="11"/>
  <c r="V111" i="11" s="1"/>
  <c r="T112" i="11"/>
  <c r="V112" i="11" s="1"/>
  <c r="T113" i="11"/>
  <c r="V113" i="11" s="1"/>
  <c r="T114" i="11"/>
  <c r="V114" i="11" s="1"/>
  <c r="T115" i="11"/>
  <c r="V115" i="11" s="1"/>
  <c r="T116" i="11"/>
  <c r="V116" i="11" s="1"/>
  <c r="T117" i="11"/>
  <c r="V117" i="11" s="1"/>
  <c r="T118" i="11"/>
  <c r="V118" i="11" s="1"/>
  <c r="T119" i="11"/>
  <c r="V119" i="11" s="1"/>
  <c r="W119" i="11" s="1"/>
  <c r="T120" i="11"/>
  <c r="V120" i="11" s="1"/>
  <c r="T121" i="11"/>
  <c r="V121" i="11" s="1"/>
  <c r="T122" i="11"/>
  <c r="V122" i="11" s="1"/>
  <c r="T123" i="11"/>
  <c r="V123" i="11" s="1"/>
  <c r="T124" i="11"/>
  <c r="V124" i="11" s="1"/>
  <c r="T125" i="11"/>
  <c r="V125" i="11" s="1"/>
  <c r="T777" i="11"/>
  <c r="T778" i="11"/>
  <c r="V778" i="11" s="1"/>
  <c r="T779" i="11"/>
  <c r="V779" i="11" s="1"/>
  <c r="W779" i="11" s="1"/>
  <c r="T780" i="11"/>
  <c r="V780" i="11" s="1"/>
  <c r="T781" i="11"/>
  <c r="T782" i="11"/>
  <c r="V782" i="11" s="1"/>
  <c r="T783" i="11"/>
  <c r="T784" i="11"/>
  <c r="T785" i="11"/>
  <c r="V785" i="11" s="1"/>
  <c r="T786" i="11"/>
  <c r="T787" i="11"/>
  <c r="V787" i="11" s="1"/>
  <c r="T788" i="11"/>
  <c r="V788" i="11" s="1"/>
  <c r="T789" i="11"/>
  <c r="V789" i="11" s="1"/>
  <c r="T790" i="11"/>
  <c r="V790" i="11" s="1"/>
  <c r="W790" i="11" s="1"/>
  <c r="T791" i="11"/>
  <c r="V791" i="11" s="1"/>
  <c r="T792" i="11"/>
  <c r="V792" i="11" s="1"/>
  <c r="T793" i="11"/>
  <c r="V793" i="11" s="1"/>
  <c r="T794" i="11"/>
  <c r="V794" i="11" s="1"/>
  <c r="T795" i="11"/>
  <c r="V795" i="11" s="1"/>
  <c r="T796" i="11"/>
  <c r="V796" i="11" s="1"/>
  <c r="T797" i="11"/>
  <c r="V797" i="11" s="1"/>
  <c r="T798" i="11"/>
  <c r="V798" i="11" s="1"/>
  <c r="T799" i="11"/>
  <c r="V799" i="11" s="1"/>
  <c r="W799" i="11" s="1"/>
  <c r="T800" i="11"/>
  <c r="V800" i="11" s="1"/>
  <c r="T801" i="11"/>
  <c r="V801" i="11" s="1"/>
  <c r="W801" i="11" s="1"/>
  <c r="T802" i="11"/>
  <c r="V802" i="11" s="1"/>
  <c r="T803" i="11"/>
  <c r="V803" i="11" s="1"/>
  <c r="T804" i="11"/>
  <c r="V804" i="11" s="1"/>
  <c r="T805" i="11"/>
  <c r="V805" i="11" s="1"/>
  <c r="T806" i="11"/>
  <c r="V806" i="11" s="1"/>
  <c r="T807" i="11"/>
  <c r="V807" i="11" s="1"/>
  <c r="T250" i="11"/>
  <c r="T251" i="11"/>
  <c r="V251" i="11" s="1"/>
  <c r="T252" i="11"/>
  <c r="V252" i="11" s="1"/>
  <c r="W252" i="11" s="1"/>
  <c r="T253" i="11"/>
  <c r="V253" i="11" s="1"/>
  <c r="T254" i="11"/>
  <c r="V254" i="11" s="1"/>
  <c r="T255" i="11"/>
  <c r="V255" i="11" s="1"/>
  <c r="T256" i="11"/>
  <c r="V256" i="11" s="1"/>
  <c r="T257" i="11"/>
  <c r="V257" i="11" s="1"/>
  <c r="T258" i="11"/>
  <c r="V258" i="11" s="1"/>
  <c r="T259" i="11"/>
  <c r="V259" i="11" s="1"/>
  <c r="T260" i="11"/>
  <c r="V260" i="11" s="1"/>
  <c r="T261" i="11"/>
  <c r="V261" i="11" s="1"/>
  <c r="W261" i="11" s="1"/>
  <c r="T262" i="11"/>
  <c r="V262" i="11" s="1"/>
  <c r="T263" i="11"/>
  <c r="V263" i="11" s="1"/>
  <c r="W263" i="11" s="1"/>
  <c r="T264" i="11"/>
  <c r="V264" i="11" s="1"/>
  <c r="T265" i="11"/>
  <c r="V265" i="11" s="1"/>
  <c r="T266" i="11"/>
  <c r="V266" i="11" s="1"/>
  <c r="T267" i="11"/>
  <c r="V267" i="11" s="1"/>
  <c r="T268" i="11"/>
  <c r="T269" i="11"/>
  <c r="T270" i="11"/>
  <c r="V270" i="11" s="1"/>
  <c r="T271" i="11"/>
  <c r="T272" i="11"/>
  <c r="V272" i="11" s="1"/>
  <c r="T273" i="11"/>
  <c r="V273" i="11" s="1"/>
  <c r="T274" i="11"/>
  <c r="V274" i="11" s="1"/>
  <c r="T275" i="11"/>
  <c r="V275" i="11" s="1"/>
  <c r="T276" i="11"/>
  <c r="V276" i="11" s="1"/>
  <c r="T277" i="11"/>
  <c r="V277" i="11" s="1"/>
  <c r="T278" i="11"/>
  <c r="V278" i="11" s="1"/>
  <c r="T279" i="11"/>
  <c r="V279" i="11" s="1"/>
  <c r="T280" i="11"/>
  <c r="V280" i="11" s="1"/>
  <c r="T684" i="11"/>
  <c r="T685" i="11"/>
  <c r="V685" i="11" s="1"/>
  <c r="W685" i="11" s="1"/>
  <c r="T686" i="11"/>
  <c r="V686" i="11" s="1"/>
  <c r="T687" i="11"/>
  <c r="V687" i="11" s="1"/>
  <c r="T688" i="11"/>
  <c r="V688" i="11" s="1"/>
  <c r="T689" i="11"/>
  <c r="V689" i="11" s="1"/>
  <c r="T690" i="11"/>
  <c r="V690" i="11" s="1"/>
  <c r="T691" i="11"/>
  <c r="V691" i="11" s="1"/>
  <c r="T692" i="11"/>
  <c r="V692" i="11" s="1"/>
  <c r="T693" i="11"/>
  <c r="V693" i="11" s="1"/>
  <c r="T694" i="11"/>
  <c r="V694" i="11" s="1"/>
  <c r="T695" i="11"/>
  <c r="V695" i="11" s="1"/>
  <c r="W695" i="11" s="1"/>
  <c r="T696" i="11"/>
  <c r="V696" i="11" s="1"/>
  <c r="T697" i="11"/>
  <c r="V697" i="11" s="1"/>
  <c r="T698" i="11"/>
  <c r="V698" i="11" s="1"/>
  <c r="T699" i="11"/>
  <c r="V699" i="11" s="1"/>
  <c r="T700" i="11"/>
  <c r="T701" i="11"/>
  <c r="V701" i="11" s="1"/>
  <c r="T702" i="11"/>
  <c r="T703" i="11"/>
  <c r="T704" i="11"/>
  <c r="V704" i="11" s="1"/>
  <c r="T705" i="11"/>
  <c r="T706" i="11"/>
  <c r="V706" i="11" s="1"/>
  <c r="T707" i="11"/>
  <c r="V707" i="11" s="1"/>
  <c r="T708" i="11"/>
  <c r="V708" i="11" s="1"/>
  <c r="T709" i="11"/>
  <c r="V709" i="11" s="1"/>
  <c r="T710" i="11"/>
  <c r="V710" i="11" s="1"/>
  <c r="T711" i="11"/>
  <c r="V711" i="11" s="1"/>
  <c r="T712" i="11"/>
  <c r="V712" i="11" s="1"/>
  <c r="T713" i="11"/>
  <c r="V713" i="11" s="1"/>
  <c r="T714" i="11"/>
  <c r="V714" i="11" s="1"/>
  <c r="T33" i="11"/>
  <c r="T34" i="11"/>
  <c r="V34" i="11" s="1"/>
  <c r="T35" i="11"/>
  <c r="V35" i="11" s="1"/>
  <c r="T36" i="11"/>
  <c r="V36" i="11" s="1"/>
  <c r="T37" i="11"/>
  <c r="V37" i="11" s="1"/>
  <c r="T38" i="11"/>
  <c r="V38" i="11" s="1"/>
  <c r="T39" i="11"/>
  <c r="V39" i="11" s="1"/>
  <c r="T40" i="11"/>
  <c r="V40" i="11" s="1"/>
  <c r="T41" i="11"/>
  <c r="V41" i="11" s="1"/>
  <c r="T42" i="11"/>
  <c r="V42" i="11" s="1"/>
  <c r="W42" i="11" s="1"/>
  <c r="T43" i="11"/>
  <c r="V43" i="11" s="1"/>
  <c r="W43" i="11" s="1"/>
  <c r="T44" i="11"/>
  <c r="V44" i="11" s="1"/>
  <c r="T45" i="11"/>
  <c r="V45" i="11" s="1"/>
  <c r="T46" i="11"/>
  <c r="V46" i="11" s="1"/>
  <c r="T47" i="11"/>
  <c r="V47" i="11" s="1"/>
  <c r="T48" i="11"/>
  <c r="V48" i="11" s="1"/>
  <c r="T49" i="11"/>
  <c r="V49" i="11" s="1"/>
  <c r="T50" i="11"/>
  <c r="V50" i="11" s="1"/>
  <c r="T51" i="11"/>
  <c r="V51" i="11" s="1"/>
  <c r="T52" i="11"/>
  <c r="T53" i="11"/>
  <c r="V53" i="11" s="1"/>
  <c r="T54" i="11"/>
  <c r="V54" i="11" s="1"/>
  <c r="T55" i="11"/>
  <c r="V55" i="11" s="1"/>
  <c r="T56" i="11"/>
  <c r="V56" i="11" s="1"/>
  <c r="T57" i="11"/>
  <c r="V57" i="11" s="1"/>
  <c r="T58" i="11"/>
  <c r="V58" i="11" s="1"/>
  <c r="T59" i="11"/>
  <c r="V59" i="11" s="1"/>
  <c r="T60" i="11"/>
  <c r="V60" i="11" s="1"/>
  <c r="T61" i="11"/>
  <c r="V61" i="11" s="1"/>
  <c r="T62" i="11"/>
  <c r="V62" i="11" s="1"/>
  <c r="W62" i="11" s="1"/>
  <c r="T63" i="11"/>
  <c r="V63" i="11" s="1"/>
  <c r="W63" i="11" s="1"/>
  <c r="T901" i="11"/>
  <c r="T902" i="11"/>
  <c r="V902" i="11" s="1"/>
  <c r="W902" i="11" s="1"/>
  <c r="T903" i="11"/>
  <c r="V903" i="11" s="1"/>
  <c r="T904" i="11"/>
  <c r="V904" i="11" s="1"/>
  <c r="T905" i="11"/>
  <c r="V905" i="11" s="1"/>
  <c r="W905" i="11" s="1"/>
  <c r="T906" i="11"/>
  <c r="V906" i="11" s="1"/>
  <c r="T907" i="11"/>
  <c r="V907" i="11" s="1"/>
  <c r="T908" i="11"/>
  <c r="V908" i="11" s="1"/>
  <c r="T909" i="11"/>
  <c r="V909" i="11" s="1"/>
  <c r="T910" i="11"/>
  <c r="V910" i="11" s="1"/>
  <c r="W910" i="11" s="1"/>
  <c r="T911" i="11"/>
  <c r="V911" i="11" s="1"/>
  <c r="T912" i="11"/>
  <c r="V912" i="11" s="1"/>
  <c r="T913" i="11"/>
  <c r="V913" i="11" s="1"/>
  <c r="T914" i="11"/>
  <c r="V914" i="11" s="1"/>
  <c r="T915" i="11"/>
  <c r="V915" i="11" s="1"/>
  <c r="T916" i="11"/>
  <c r="V916" i="11" s="1"/>
  <c r="T917" i="11"/>
  <c r="V917" i="11" s="1"/>
  <c r="T918" i="11"/>
  <c r="V918" i="11" s="1"/>
  <c r="T919" i="11"/>
  <c r="V919" i="11" s="1"/>
  <c r="W919" i="11" s="1"/>
  <c r="T920" i="11"/>
  <c r="T921" i="11"/>
  <c r="V921" i="11" s="1"/>
  <c r="T922" i="11"/>
  <c r="T923" i="11"/>
  <c r="V923" i="11" s="1"/>
  <c r="T924" i="11"/>
  <c r="V924" i="11" s="1"/>
  <c r="T925" i="11"/>
  <c r="V925" i="11" s="1"/>
  <c r="W925" i="11" s="1"/>
  <c r="T926" i="11"/>
  <c r="V926" i="11" s="1"/>
  <c r="T927" i="11"/>
  <c r="V927" i="11" s="1"/>
  <c r="T928" i="11"/>
  <c r="V928" i="11" s="1"/>
  <c r="T929" i="11"/>
  <c r="V929" i="11" s="1"/>
  <c r="T930" i="11"/>
  <c r="V930" i="11" s="1"/>
  <c r="W930" i="11" s="1"/>
  <c r="T931" i="11"/>
  <c r="V931" i="11" s="1"/>
  <c r="T746" i="11"/>
  <c r="T747" i="11"/>
  <c r="V747" i="11" s="1"/>
  <c r="T748" i="11"/>
  <c r="V748" i="11" s="1"/>
  <c r="T749" i="11"/>
  <c r="V749" i="11" s="1"/>
  <c r="T750" i="11"/>
  <c r="V750" i="11" s="1"/>
  <c r="T751" i="11"/>
  <c r="V751" i="11" s="1"/>
  <c r="T752" i="11"/>
  <c r="V752" i="11" s="1"/>
  <c r="T753" i="11"/>
  <c r="V753" i="11" s="1"/>
  <c r="W753" i="11" s="1"/>
  <c r="T754" i="11"/>
  <c r="V754" i="11" s="1"/>
  <c r="T755" i="11"/>
  <c r="V755" i="11" s="1"/>
  <c r="W755" i="11" s="1"/>
  <c r="T756" i="11"/>
  <c r="V756" i="11" s="1"/>
  <c r="T757" i="11"/>
  <c r="V757" i="11" s="1"/>
  <c r="T758" i="11"/>
  <c r="V758" i="11" s="1"/>
  <c r="T759" i="11"/>
  <c r="V759" i="11" s="1"/>
  <c r="W759" i="11" s="1"/>
  <c r="T760" i="11"/>
  <c r="V760" i="11" s="1"/>
  <c r="T761" i="11"/>
  <c r="V761" i="11" s="1"/>
  <c r="T762" i="11"/>
  <c r="V762" i="11" s="1"/>
  <c r="T763" i="11"/>
  <c r="V763" i="11" s="1"/>
  <c r="T764" i="11"/>
  <c r="V764" i="11" s="1"/>
  <c r="W764" i="11" s="1"/>
  <c r="T765" i="11"/>
  <c r="T766" i="11"/>
  <c r="V766" i="11" s="1"/>
  <c r="T767" i="11"/>
  <c r="T768" i="11"/>
  <c r="V768" i="11" s="1"/>
  <c r="T769" i="11"/>
  <c r="V769" i="11" s="1"/>
  <c r="T770" i="11"/>
  <c r="V770" i="11" s="1"/>
  <c r="T771" i="11"/>
  <c r="V771" i="11" s="1"/>
  <c r="T772" i="11"/>
  <c r="V772" i="11" s="1"/>
  <c r="T773" i="11"/>
  <c r="V773" i="11" s="1"/>
  <c r="W773" i="11" s="1"/>
  <c r="T774" i="11"/>
  <c r="V774" i="11" s="1"/>
  <c r="T775" i="11"/>
  <c r="V775" i="11" s="1"/>
  <c r="W775" i="11" s="1"/>
  <c r="T776" i="11"/>
  <c r="V776" i="11" s="1"/>
  <c r="T312" i="11"/>
  <c r="T313" i="11"/>
  <c r="V313" i="11" s="1"/>
  <c r="W313" i="11" s="1"/>
  <c r="T314" i="11"/>
  <c r="V314" i="11" s="1"/>
  <c r="W314" i="11" s="1"/>
  <c r="T315" i="11"/>
  <c r="V315" i="11" s="1"/>
  <c r="T316" i="11"/>
  <c r="V316" i="11" s="1"/>
  <c r="T317" i="11"/>
  <c r="V317" i="11" s="1"/>
  <c r="T318" i="11"/>
  <c r="V318" i="11" s="1"/>
  <c r="T319" i="11"/>
  <c r="V319" i="11" s="1"/>
  <c r="W319" i="11" s="1"/>
  <c r="T320" i="11"/>
  <c r="V320" i="11" s="1"/>
  <c r="T321" i="11"/>
  <c r="V321" i="11" s="1"/>
  <c r="T322" i="11"/>
  <c r="V322" i="11" s="1"/>
  <c r="T323" i="11"/>
  <c r="V323" i="11" s="1"/>
  <c r="T324" i="11"/>
  <c r="V324" i="11" s="1"/>
  <c r="T325" i="11"/>
  <c r="V325" i="11" s="1"/>
  <c r="T326" i="11"/>
  <c r="V326" i="11" s="1"/>
  <c r="T327" i="11"/>
  <c r="V327" i="11" s="1"/>
  <c r="T328" i="11"/>
  <c r="V328" i="11" s="1"/>
  <c r="W328" i="11" s="1"/>
  <c r="T329" i="11"/>
  <c r="V329" i="11" s="1"/>
  <c r="T330" i="11"/>
  <c r="V330" i="11" s="1"/>
  <c r="W330" i="11" s="1"/>
  <c r="T331" i="11"/>
  <c r="T332" i="11"/>
  <c r="V332" i="11" s="1"/>
  <c r="T333" i="11"/>
  <c r="T334" i="11"/>
  <c r="V334" i="11" s="1"/>
  <c r="T335" i="11"/>
  <c r="V335" i="11" s="1"/>
  <c r="T336" i="11"/>
  <c r="V336" i="11" s="1"/>
  <c r="T337" i="11"/>
  <c r="V337" i="11" s="1"/>
  <c r="T338" i="11"/>
  <c r="V338" i="11" s="1"/>
  <c r="T339" i="11"/>
  <c r="V339" i="11" s="1"/>
  <c r="W339" i="11" s="1"/>
  <c r="T340" i="11"/>
  <c r="V340" i="11" s="1"/>
  <c r="T341" i="11"/>
  <c r="V341" i="11" s="1"/>
  <c r="T342" i="11"/>
  <c r="V342" i="11" s="1"/>
  <c r="T653" i="11"/>
  <c r="T654" i="11"/>
  <c r="V654" i="11" s="1"/>
  <c r="W654" i="11" s="1"/>
  <c r="T655" i="11"/>
  <c r="V655" i="11" s="1"/>
  <c r="T656" i="11"/>
  <c r="V656" i="11" s="1"/>
  <c r="T657" i="11"/>
  <c r="V657" i="11" s="1"/>
  <c r="T658" i="11"/>
  <c r="V658" i="11" s="1"/>
  <c r="W658" i="11" s="1"/>
  <c r="T659" i="11"/>
  <c r="V659" i="11" s="1"/>
  <c r="T660" i="11"/>
  <c r="T661" i="11"/>
  <c r="V661" i="11" s="1"/>
  <c r="T662" i="11"/>
  <c r="T663" i="11"/>
  <c r="V663" i="11" s="1"/>
  <c r="T664" i="11"/>
  <c r="V664" i="11" s="1"/>
  <c r="W664" i="11" s="1"/>
  <c r="T665" i="11"/>
  <c r="V665" i="11" s="1"/>
  <c r="T666" i="11"/>
  <c r="V666" i="11" s="1"/>
  <c r="T667" i="11"/>
  <c r="V667" i="11" s="1"/>
  <c r="T668" i="11"/>
  <c r="V668" i="11" s="1"/>
  <c r="T669" i="11"/>
  <c r="V669" i="11" s="1"/>
  <c r="W669" i="11" s="1"/>
  <c r="T670" i="11"/>
  <c r="V670" i="11" s="1"/>
  <c r="T671" i="11"/>
  <c r="V671" i="11" s="1"/>
  <c r="T672" i="11"/>
  <c r="T673" i="11"/>
  <c r="V673" i="11" s="1"/>
  <c r="T674" i="11"/>
  <c r="V674" i="11" s="1"/>
  <c r="T675" i="11"/>
  <c r="V675" i="11" s="1"/>
  <c r="T676" i="11"/>
  <c r="V676" i="11" s="1"/>
  <c r="T677" i="11"/>
  <c r="V677" i="11" s="1"/>
  <c r="T678" i="11"/>
  <c r="V678" i="11" s="1"/>
  <c r="W678" i="11" s="1"/>
  <c r="T679" i="11"/>
  <c r="V679" i="11" s="1"/>
  <c r="T680" i="11"/>
  <c r="V680" i="11" s="1"/>
  <c r="W680" i="11" s="1"/>
  <c r="T681" i="11"/>
  <c r="V681" i="11" s="1"/>
  <c r="T682" i="11"/>
  <c r="V682" i="11" s="1"/>
  <c r="T683" i="11"/>
  <c r="V683" i="11" s="1"/>
  <c r="W55" i="11" l="1"/>
  <c r="W35" i="11"/>
  <c r="W697" i="11"/>
  <c r="W274" i="11"/>
  <c r="W254" i="11"/>
  <c r="W792" i="11"/>
  <c r="W121" i="11"/>
  <c r="W101" i="11"/>
  <c r="W453" i="11"/>
  <c r="W847" i="11"/>
  <c r="W156" i="11"/>
  <c r="W136" i="11"/>
  <c r="W417" i="11"/>
  <c r="W304" i="11"/>
  <c r="W284" i="11"/>
  <c r="W202" i="11"/>
  <c r="W554" i="11"/>
  <c r="W534" i="11"/>
  <c r="W514" i="11"/>
  <c r="W246" i="11"/>
  <c r="W485" i="11"/>
  <c r="W93" i="11"/>
  <c r="W73" i="11"/>
  <c r="W642" i="11"/>
  <c r="W726" i="11"/>
  <c r="W593" i="11"/>
  <c r="W573" i="11"/>
  <c r="W8" i="11"/>
  <c r="W360" i="11"/>
  <c r="W667" i="11"/>
  <c r="W337" i="11"/>
  <c r="W317" i="11"/>
  <c r="W762" i="11"/>
  <c r="W928" i="11"/>
  <c r="W51" i="11"/>
  <c r="W713" i="11"/>
  <c r="W693" i="11"/>
  <c r="W788" i="11"/>
  <c r="W117" i="11"/>
  <c r="W97" i="11"/>
  <c r="W449" i="11"/>
  <c r="W863" i="11"/>
  <c r="W885" i="11"/>
  <c r="W152" i="11"/>
  <c r="W132" i="11"/>
  <c r="W174" i="11"/>
  <c r="W433" i="11"/>
  <c r="W198" i="11"/>
  <c r="W550" i="11"/>
  <c r="W510" i="11"/>
  <c r="W242" i="11"/>
  <c r="W222" i="11"/>
  <c r="W481" i="11"/>
  <c r="W89" i="11"/>
  <c r="W69" i="11"/>
  <c r="W638" i="11"/>
  <c r="W742" i="11"/>
  <c r="W589" i="11"/>
  <c r="W569" i="11"/>
  <c r="W828" i="11"/>
  <c r="W385" i="11"/>
  <c r="W4" i="11"/>
  <c r="W59" i="11"/>
  <c r="W39" i="11"/>
  <c r="W258" i="11"/>
  <c r="W796" i="11"/>
  <c r="W125" i="11"/>
  <c r="W457" i="11"/>
  <c r="W851" i="11"/>
  <c r="W893" i="11"/>
  <c r="W873" i="11"/>
  <c r="W140" i="11"/>
  <c r="W182" i="11"/>
  <c r="W162" i="11"/>
  <c r="W421" i="11"/>
  <c r="W308" i="11"/>
  <c r="W206" i="11"/>
  <c r="W538" i="11"/>
  <c r="W230" i="11"/>
  <c r="W489" i="11"/>
  <c r="W469" i="11"/>
  <c r="W77" i="11"/>
  <c r="W646" i="11"/>
  <c r="W626" i="11"/>
  <c r="W730" i="11"/>
  <c r="W617" i="11"/>
  <c r="W597" i="11"/>
  <c r="W577" i="11"/>
  <c r="W836" i="11"/>
  <c r="W816" i="11"/>
  <c r="W32" i="11"/>
  <c r="W364" i="11"/>
  <c r="W56" i="11"/>
  <c r="W36" i="11"/>
  <c r="W698" i="11"/>
  <c r="W275" i="11"/>
  <c r="W255" i="11"/>
  <c r="W793" i="11"/>
  <c r="W122" i="11"/>
  <c r="W848" i="11"/>
  <c r="W137" i="11"/>
  <c r="W159" i="11"/>
  <c r="W418" i="11"/>
  <c r="W305" i="11"/>
  <c r="W285" i="11"/>
  <c r="W203" i="11"/>
  <c r="W555" i="11"/>
  <c r="W535" i="11"/>
  <c r="W515" i="11"/>
  <c r="W227" i="11"/>
  <c r="W94" i="11"/>
  <c r="W74" i="11"/>
  <c r="W643" i="11"/>
  <c r="W727" i="11"/>
  <c r="W614" i="11"/>
  <c r="W594" i="11"/>
  <c r="W574" i="11"/>
  <c r="W833" i="11"/>
  <c r="W813" i="11"/>
  <c r="W390" i="11"/>
  <c r="W29" i="11"/>
  <c r="W361" i="11"/>
  <c r="W744" i="11"/>
  <c r="W724" i="11"/>
  <c r="W571" i="11"/>
  <c r="W830" i="11"/>
  <c r="W810" i="11"/>
  <c r="W387" i="11"/>
  <c r="W26" i="11"/>
  <c r="W6" i="11"/>
  <c r="W358" i="11"/>
  <c r="W668" i="11"/>
  <c r="W338" i="11"/>
  <c r="W318" i="11"/>
  <c r="W929" i="11"/>
  <c r="W681" i="11"/>
  <c r="W776" i="11"/>
  <c r="W756" i="11"/>
  <c r="W379" i="11"/>
  <c r="W18" i="11"/>
  <c r="W346" i="11"/>
  <c r="W676" i="11"/>
  <c r="W656" i="11"/>
  <c r="W326" i="11"/>
  <c r="W771" i="11"/>
  <c r="W751" i="11"/>
  <c r="W917" i="11"/>
  <c r="W225" i="11"/>
  <c r="W484" i="11"/>
  <c r="W92" i="11"/>
  <c r="W72" i="11"/>
  <c r="W745" i="11"/>
  <c r="W612" i="11"/>
  <c r="W811" i="11"/>
  <c r="W388" i="11"/>
  <c r="W27" i="11"/>
  <c r="W7" i="11"/>
  <c r="W359" i="11"/>
  <c r="W23" i="11"/>
  <c r="W674" i="11"/>
  <c r="W324" i="11"/>
  <c r="W769" i="11"/>
  <c r="W749" i="11"/>
  <c r="W915" i="11"/>
  <c r="W49" i="11"/>
  <c r="W711" i="11"/>
  <c r="W691" i="11"/>
  <c r="W806" i="11"/>
  <c r="W115" i="11"/>
  <c r="W447" i="11"/>
  <c r="W861" i="11"/>
  <c r="W841" i="11"/>
  <c r="W150" i="11"/>
  <c r="W130" i="11"/>
  <c r="W172" i="11"/>
  <c r="W431" i="11"/>
  <c r="W411" i="11"/>
  <c r="W298" i="11"/>
  <c r="W216" i="11"/>
  <c r="W196" i="11"/>
  <c r="W548" i="11"/>
  <c r="W240" i="11"/>
  <c r="W479" i="11"/>
  <c r="W67" i="11"/>
  <c r="W636" i="11"/>
  <c r="W740" i="11"/>
  <c r="W720" i="11"/>
  <c r="W587" i="11"/>
  <c r="W826" i="11"/>
  <c r="W383" i="11"/>
  <c r="W148" i="11"/>
  <c r="W401" i="11"/>
  <c r="W381" i="11"/>
  <c r="W262" i="11"/>
  <c r="W377" i="11"/>
  <c r="W368" i="11"/>
  <c r="W367" i="11"/>
  <c r="W683" i="11"/>
  <c r="W758" i="11"/>
  <c r="W924" i="11"/>
  <c r="W904" i="11"/>
  <c r="W58" i="11"/>
  <c r="W38" i="11"/>
  <c r="W277" i="11"/>
  <c r="W257" i="11"/>
  <c r="W795" i="11"/>
  <c r="W124" i="11"/>
  <c r="W104" i="11"/>
  <c r="W456" i="11"/>
  <c r="W850" i="11"/>
  <c r="W872" i="11"/>
  <c r="W139" i="11"/>
  <c r="W181" i="11"/>
  <c r="W161" i="11"/>
  <c r="W420" i="11"/>
  <c r="W307" i="11"/>
  <c r="W205" i="11"/>
  <c r="W537" i="11"/>
  <c r="W517" i="11"/>
  <c r="W229" i="11"/>
  <c r="W488" i="11"/>
  <c r="W76" i="11"/>
  <c r="W645" i="11"/>
  <c r="W24" i="11"/>
  <c r="W807" i="11"/>
  <c r="W842" i="11"/>
  <c r="W355" i="11"/>
  <c r="W46" i="11"/>
  <c r="W295" i="11"/>
  <c r="W84" i="11"/>
  <c r="W670" i="11"/>
  <c r="W340" i="11"/>
  <c r="W320" i="11"/>
  <c r="W931" i="11"/>
  <c r="W911" i="11"/>
  <c r="W707" i="11"/>
  <c r="W687" i="11"/>
  <c r="W264" i="11"/>
  <c r="W463" i="11"/>
  <c r="W857" i="11"/>
  <c r="W899" i="11"/>
  <c r="W146" i="11"/>
  <c r="W168" i="11"/>
  <c r="W407" i="11"/>
  <c r="W294" i="11"/>
  <c r="W212" i="11"/>
  <c r="W192" i="11"/>
  <c r="W544" i="11"/>
  <c r="W524" i="11"/>
  <c r="W236" i="11"/>
  <c r="W495" i="11"/>
  <c r="W475" i="11"/>
  <c r="W83" i="11"/>
  <c r="W652" i="11"/>
  <c r="W603" i="11"/>
  <c r="W583" i="11"/>
  <c r="W563" i="11"/>
  <c r="W822" i="11"/>
  <c r="W399" i="11"/>
  <c r="W370" i="11"/>
  <c r="W44" i="11"/>
  <c r="W686" i="11"/>
  <c r="W191" i="11"/>
  <c r="W543" i="11"/>
  <c r="W235" i="11"/>
  <c r="W378" i="11"/>
  <c r="W800" i="11"/>
  <c r="W780" i="11"/>
  <c r="W109" i="11"/>
  <c r="W461" i="11"/>
  <c r="W855" i="11"/>
  <c r="W897" i="11"/>
  <c r="W144" i="11"/>
  <c r="W186" i="11"/>
  <c r="W292" i="11"/>
  <c r="W190" i="11"/>
  <c r="W542" i="11"/>
  <c r="W522" i="11"/>
  <c r="W234" i="11"/>
  <c r="W493" i="11"/>
  <c r="W473" i="11"/>
  <c r="W81" i="11"/>
  <c r="W650" i="11"/>
  <c r="W601" i="11"/>
  <c r="W581" i="11"/>
  <c r="W820" i="11"/>
  <c r="W16" i="11"/>
  <c r="W376" i="11"/>
  <c r="W907" i="11"/>
  <c r="W345" i="11"/>
  <c r="W278" i="11"/>
  <c r="W105" i="11"/>
  <c r="W518" i="11"/>
  <c r="W363" i="11"/>
  <c r="W832" i="11"/>
  <c r="W389" i="11"/>
  <c r="W28" i="11"/>
  <c r="W888" i="11"/>
  <c r="W844" i="11"/>
  <c r="W243" i="11"/>
  <c r="W482" i="11"/>
  <c r="W716" i="11"/>
  <c r="W437" i="11"/>
  <c r="W406" i="11"/>
  <c r="W375" i="11"/>
  <c r="W282" i="11"/>
  <c r="W220" i="11"/>
  <c r="W189" i="11"/>
  <c r="W158" i="11"/>
  <c r="W402" i="11"/>
  <c r="W908" i="11"/>
  <c r="W226" i="11"/>
  <c r="W613" i="11"/>
  <c r="W812" i="11"/>
  <c r="W102" i="11"/>
  <c r="W486" i="11"/>
  <c r="W679" i="11"/>
  <c r="W659" i="11"/>
  <c r="W329" i="11"/>
  <c r="W774" i="11"/>
  <c r="W754" i="11"/>
  <c r="W54" i="11"/>
  <c r="W34" i="11"/>
  <c r="W696" i="11"/>
  <c r="W273" i="11"/>
  <c r="W253" i="11"/>
  <c r="W791" i="11"/>
  <c r="W120" i="11"/>
  <c r="W100" i="11"/>
  <c r="W452" i="11"/>
  <c r="W866" i="11"/>
  <c r="W846" i="11"/>
  <c r="W155" i="11"/>
  <c r="W135" i="11"/>
  <c r="W416" i="11"/>
  <c r="W283" i="11"/>
  <c r="W201" i="11"/>
  <c r="W553" i="11"/>
  <c r="W533" i="11"/>
  <c r="W513" i="11"/>
  <c r="W245" i="11"/>
  <c r="W641" i="11"/>
  <c r="W725" i="11"/>
  <c r="W592" i="11"/>
  <c r="W572" i="11"/>
  <c r="W831" i="11"/>
  <c r="W802" i="11"/>
  <c r="W244" i="11"/>
  <c r="W483" i="11"/>
  <c r="W611" i="11"/>
  <c r="W677" i="11"/>
  <c r="W657" i="11"/>
  <c r="W327" i="11"/>
  <c r="W772" i="11"/>
  <c r="W752" i="11"/>
  <c r="W918" i="11"/>
  <c r="W714" i="11"/>
  <c r="W694" i="11"/>
  <c r="W251" i="11"/>
  <c r="W789" i="11"/>
  <c r="W118" i="11"/>
  <c r="W98" i="11"/>
  <c r="W450" i="11"/>
  <c r="W864" i="11"/>
  <c r="W886" i="11"/>
  <c r="W153" i="11"/>
  <c r="W133" i="11"/>
  <c r="W434" i="11"/>
  <c r="W414" i="11"/>
  <c r="W199" i="11"/>
  <c r="W551" i="11"/>
  <c r="W531" i="11"/>
  <c r="W511" i="11"/>
  <c r="W223" i="11"/>
  <c r="W90" i="11"/>
  <c r="W70" i="11"/>
  <c r="W639" i="11"/>
  <c r="W743" i="11"/>
  <c r="W590" i="11"/>
  <c r="W570" i="11"/>
  <c r="W829" i="11"/>
  <c r="W809" i="11"/>
  <c r="W386" i="11"/>
  <c r="W25" i="11"/>
  <c r="W5" i="11"/>
  <c r="W357" i="11"/>
  <c r="W675" i="11"/>
  <c r="W655" i="11"/>
  <c r="W325" i="11"/>
  <c r="W770" i="11"/>
  <c r="W750" i="11"/>
  <c r="W916" i="11"/>
  <c r="W50" i="11"/>
  <c r="W712" i="11"/>
  <c r="W692" i="11"/>
  <c r="W116" i="11"/>
  <c r="W96" i="11"/>
  <c r="W448" i="11"/>
  <c r="W862" i="11"/>
  <c r="W884" i="11"/>
  <c r="W151" i="11"/>
  <c r="W131" i="11"/>
  <c r="W173" i="11"/>
  <c r="W432" i="11"/>
  <c r="W299" i="11"/>
  <c r="W217" i="11"/>
  <c r="W197" i="11"/>
  <c r="W549" i="11"/>
  <c r="W509" i="11"/>
  <c r="W241" i="11"/>
  <c r="W221" i="11"/>
  <c r="W480" i="11"/>
  <c r="W88" i="11"/>
  <c r="W68" i="11"/>
  <c r="W637" i="11"/>
  <c r="W741" i="11"/>
  <c r="W721" i="11"/>
  <c r="W588" i="11"/>
  <c r="W568" i="11"/>
  <c r="W827" i="11"/>
  <c r="W384" i="11"/>
  <c r="W3" i="11"/>
  <c r="W356" i="11"/>
  <c r="W883" i="11"/>
  <c r="W87" i="11"/>
  <c r="W567" i="11"/>
  <c r="W403" i="11"/>
  <c r="W22" i="11"/>
  <c r="W354" i="11"/>
  <c r="W843" i="11"/>
  <c r="W323" i="11"/>
  <c r="W748" i="11"/>
  <c r="W914" i="11"/>
  <c r="W48" i="11"/>
  <c r="W710" i="11"/>
  <c r="W690" i="11"/>
  <c r="W267" i="11"/>
  <c r="W805" i="11"/>
  <c r="W114" i="11"/>
  <c r="W860" i="11"/>
  <c r="W840" i="11"/>
  <c r="W149" i="11"/>
  <c r="W129" i="11"/>
  <c r="W171" i="11"/>
  <c r="W430" i="11"/>
  <c r="W410" i="11"/>
  <c r="W297" i="11"/>
  <c r="W215" i="11"/>
  <c r="W195" i="11"/>
  <c r="W547" i="11"/>
  <c r="W527" i="11"/>
  <c r="W239" i="11"/>
  <c r="W478" i="11"/>
  <c r="W66" i="11"/>
  <c r="W635" i="11"/>
  <c r="W739" i="11"/>
  <c r="W719" i="11"/>
  <c r="W586" i="11"/>
  <c r="W382" i="11"/>
  <c r="W342" i="11"/>
  <c r="W322" i="11"/>
  <c r="W747" i="11"/>
  <c r="W913" i="11"/>
  <c r="W47" i="11"/>
  <c r="W709" i="11"/>
  <c r="W689" i="11"/>
  <c r="W266" i="11"/>
  <c r="W804" i="11"/>
  <c r="W113" i="11"/>
  <c r="W465" i="11"/>
  <c r="W881" i="11"/>
  <c r="W128" i="11"/>
  <c r="W170" i="11"/>
  <c r="W429" i="11"/>
  <c r="W409" i="11"/>
  <c r="W296" i="11"/>
  <c r="W214" i="11"/>
  <c r="W194" i="11"/>
  <c r="W546" i="11"/>
  <c r="W526" i="11"/>
  <c r="W497" i="11"/>
  <c r="W477" i="11"/>
  <c r="W85" i="11"/>
  <c r="W65" i="11"/>
  <c r="W634" i="11"/>
  <c r="W738" i="11"/>
  <c r="W718" i="11"/>
  <c r="W605" i="11"/>
  <c r="W585" i="11"/>
  <c r="W565" i="11"/>
  <c r="W824" i="11"/>
  <c r="W20" i="11"/>
  <c r="W372" i="11"/>
  <c r="W352" i="11"/>
  <c r="W671" i="11"/>
  <c r="W341" i="11"/>
  <c r="W321" i="11"/>
  <c r="W912" i="11"/>
  <c r="W708" i="11"/>
  <c r="W688" i="11"/>
  <c r="W265" i="11"/>
  <c r="W803" i="11"/>
  <c r="W112" i="11"/>
  <c r="W464" i="11"/>
  <c r="W900" i="11"/>
  <c r="W147" i="11"/>
  <c r="W127" i="11"/>
  <c r="W169" i="11"/>
  <c r="W428" i="11"/>
  <c r="W408" i="11"/>
  <c r="W213" i="11"/>
  <c r="W193" i="11"/>
  <c r="W545" i="11"/>
  <c r="W525" i="11"/>
  <c r="W496" i="11"/>
  <c r="W476" i="11"/>
  <c r="W633" i="11"/>
  <c r="W717" i="11"/>
  <c r="W604" i="11"/>
  <c r="W584" i="11"/>
  <c r="W564" i="11"/>
  <c r="W823" i="11"/>
  <c r="W400" i="11"/>
  <c r="W380" i="11"/>
  <c r="W19" i="11"/>
  <c r="W371" i="11"/>
  <c r="W351" i="11"/>
  <c r="W111" i="11"/>
  <c r="W210" i="11"/>
  <c r="W561" i="11"/>
  <c r="W397" i="11"/>
  <c r="W45" i="11"/>
  <c r="W763" i="11"/>
  <c r="W666" i="11"/>
  <c r="W336" i="11"/>
  <c r="W316" i="11"/>
  <c r="W761" i="11"/>
  <c r="W927" i="11"/>
  <c r="W61" i="11"/>
  <c r="W41" i="11"/>
  <c r="W280" i="11"/>
  <c r="W260" i="11"/>
  <c r="W798" i="11"/>
  <c r="W778" i="11"/>
  <c r="W107" i="11"/>
  <c r="W459" i="11"/>
  <c r="W439" i="11"/>
  <c r="W853" i="11"/>
  <c r="W895" i="11"/>
  <c r="W875" i="11"/>
  <c r="W142" i="11"/>
  <c r="W184" i="11"/>
  <c r="W423" i="11"/>
  <c r="W310" i="11"/>
  <c r="W290" i="11"/>
  <c r="W208" i="11"/>
  <c r="W540" i="11"/>
  <c r="W520" i="11"/>
  <c r="W500" i="11"/>
  <c r="W232" i="11"/>
  <c r="W491" i="11"/>
  <c r="W471" i="11"/>
  <c r="W79" i="11"/>
  <c r="W648" i="11"/>
  <c r="W732" i="11"/>
  <c r="W619" i="11"/>
  <c r="W838" i="11"/>
  <c r="W818" i="11"/>
  <c r="W14" i="11"/>
  <c r="W366" i="11"/>
  <c r="W665" i="11"/>
  <c r="W335" i="11"/>
  <c r="W315" i="11"/>
  <c r="W760" i="11"/>
  <c r="W926" i="11"/>
  <c r="W906" i="11"/>
  <c r="W60" i="11"/>
  <c r="W40" i="11"/>
  <c r="W279" i="11"/>
  <c r="W259" i="11"/>
  <c r="W797" i="11"/>
  <c r="W106" i="11"/>
  <c r="W458" i="11"/>
  <c r="W438" i="11"/>
  <c r="W852" i="11"/>
  <c r="W894" i="11"/>
  <c r="W874" i="11"/>
  <c r="W141" i="11"/>
  <c r="W183" i="11"/>
  <c r="W163" i="11"/>
  <c r="W422" i="11"/>
  <c r="W309" i="11"/>
  <c r="W207" i="11"/>
  <c r="W539" i="11"/>
  <c r="W519" i="11"/>
  <c r="W499" i="11"/>
  <c r="W231" i="11"/>
  <c r="W490" i="11"/>
  <c r="W470" i="11"/>
  <c r="W78" i="11"/>
  <c r="W647" i="11"/>
  <c r="W627" i="11"/>
  <c r="W731" i="11"/>
  <c r="W618" i="11"/>
  <c r="W837" i="11"/>
  <c r="W817" i="11"/>
  <c r="W13" i="11"/>
  <c r="W365" i="11"/>
  <c r="W909" i="11"/>
  <c r="W625" i="11"/>
  <c r="W729" i="11"/>
  <c r="W616" i="11"/>
  <c r="W596" i="11"/>
  <c r="W576" i="11"/>
  <c r="W835" i="11"/>
  <c r="W815" i="11"/>
  <c r="W392" i="11"/>
  <c r="W31" i="11"/>
  <c r="W682" i="11"/>
  <c r="W757" i="11"/>
  <c r="W903" i="11"/>
  <c r="W57" i="11"/>
  <c r="W37" i="11"/>
  <c r="W699" i="11"/>
  <c r="W276" i="11"/>
  <c r="W256" i="11"/>
  <c r="W794" i="11"/>
  <c r="W123" i="11"/>
  <c r="W103" i="11"/>
  <c r="W849" i="11"/>
  <c r="W871" i="11"/>
  <c r="W138" i="11"/>
  <c r="W180" i="11"/>
  <c r="W160" i="11"/>
  <c r="W419" i="11"/>
  <c r="W306" i="11"/>
  <c r="W286" i="11"/>
  <c r="W204" i="11"/>
  <c r="W556" i="11"/>
  <c r="W536" i="11"/>
  <c r="W516" i="11"/>
  <c r="W228" i="11"/>
  <c r="W487" i="11"/>
  <c r="W75" i="11"/>
  <c r="W644" i="11"/>
  <c r="W624" i="11"/>
  <c r="W728" i="11"/>
  <c r="W615" i="11"/>
  <c r="W595" i="11"/>
  <c r="W575" i="11"/>
  <c r="W834" i="11"/>
  <c r="W814" i="11"/>
  <c r="W391" i="11"/>
  <c r="W30" i="11"/>
  <c r="W362" i="11"/>
  <c r="V442" i="11"/>
  <c r="W442" i="11" s="1"/>
  <c r="V440" i="11"/>
  <c r="W440" i="11" s="1"/>
  <c r="V9" i="11"/>
  <c r="W9" i="11" s="1"/>
  <c r="V11" i="11"/>
  <c r="W11" i="11" s="1"/>
  <c r="V660" i="11"/>
  <c r="W660" i="11" s="1"/>
  <c r="V662" i="11"/>
  <c r="W662" i="11" s="1"/>
  <c r="V52" i="11"/>
  <c r="W52" i="11" s="1"/>
  <c r="V445" i="11"/>
  <c r="W445" i="11" s="1"/>
  <c r="V443" i="11"/>
  <c r="W443" i="11" s="1"/>
  <c r="V218" i="11"/>
  <c r="W218" i="11" s="1"/>
  <c r="V579" i="11"/>
  <c r="V175" i="11"/>
  <c r="W175" i="11" s="1"/>
  <c r="V783" i="11"/>
  <c r="W783" i="11" s="1"/>
  <c r="V781" i="11"/>
  <c r="W781" i="11" s="1"/>
  <c r="V767" i="11"/>
  <c r="W767" i="11" s="1"/>
  <c r="V765" i="11"/>
  <c r="W765" i="11" s="1"/>
  <c r="V504" i="11"/>
  <c r="W504" i="11" s="1"/>
  <c r="V502" i="11"/>
  <c r="W502" i="11" s="1"/>
  <c r="V426" i="11"/>
  <c r="W426" i="11" s="1"/>
  <c r="V424" i="11"/>
  <c r="W424" i="11" s="1"/>
  <c r="V268" i="11"/>
  <c r="W268" i="11" s="1"/>
  <c r="V610" i="11"/>
  <c r="V412" i="11"/>
  <c r="W412" i="11" s="1"/>
  <c r="V507" i="11"/>
  <c r="W507" i="11" s="1"/>
  <c r="V505" i="11"/>
  <c r="W506" i="11" s="1"/>
  <c r="V786" i="11"/>
  <c r="W786" i="11" s="1"/>
  <c r="V784" i="11"/>
  <c r="V869" i="11"/>
  <c r="W869" i="11" s="1"/>
  <c r="V867" i="11"/>
  <c r="W867" i="11" s="1"/>
  <c r="V609" i="11"/>
  <c r="W609" i="11" s="1"/>
  <c r="V607" i="11"/>
  <c r="W607" i="11" s="1"/>
  <c r="V628" i="11"/>
  <c r="W628" i="11" s="1"/>
  <c r="V920" i="11"/>
  <c r="W920" i="11" s="1"/>
  <c r="V922" i="11"/>
  <c r="W922" i="11" s="1"/>
  <c r="V598" i="11"/>
  <c r="W598" i="11" s="1"/>
  <c r="V877" i="11"/>
  <c r="W877" i="11" s="1"/>
  <c r="V879" i="11"/>
  <c r="W879" i="11" s="1"/>
  <c r="V164" i="11"/>
  <c r="W164" i="11" s="1"/>
  <c r="V166" i="11"/>
  <c r="W166" i="11" s="1"/>
  <c r="V734" i="11"/>
  <c r="W734" i="11" s="1"/>
  <c r="V736" i="11"/>
  <c r="W736" i="11" s="1"/>
  <c r="V578" i="11"/>
  <c r="W578" i="11" s="1"/>
  <c r="V454" i="11"/>
  <c r="W454" i="11" s="1"/>
  <c r="V889" i="11"/>
  <c r="W889" i="11" s="1"/>
  <c r="V891" i="11"/>
  <c r="W891" i="11" s="1"/>
  <c r="V395" i="11"/>
  <c r="W395" i="11" s="1"/>
  <c r="V393" i="11"/>
  <c r="W393" i="11" s="1"/>
  <c r="V705" i="11"/>
  <c r="W705" i="11" s="1"/>
  <c r="V703" i="11"/>
  <c r="W704" i="11" s="1"/>
  <c r="V702" i="11"/>
  <c r="W702" i="11" s="1"/>
  <c r="V700" i="11"/>
  <c r="W700" i="11" s="1"/>
  <c r="V349" i="11"/>
  <c r="W349" i="11" s="1"/>
  <c r="V347" i="11"/>
  <c r="W347" i="11" s="1"/>
  <c r="V621" i="11"/>
  <c r="W621" i="11" s="1"/>
  <c r="V331" i="11"/>
  <c r="W331" i="11" s="1"/>
  <c r="V333" i="11"/>
  <c r="W333" i="11" s="1"/>
  <c r="V672" i="11"/>
  <c r="W672" i="11" s="1"/>
  <c r="V629" i="11"/>
  <c r="W630" i="11" s="1"/>
  <c r="V631" i="11"/>
  <c r="W631" i="11" s="1"/>
  <c r="V237" i="11"/>
  <c r="W237" i="11" s="1"/>
  <c r="V178" i="11"/>
  <c r="W178" i="11" s="1"/>
  <c r="V176" i="11"/>
  <c r="V288" i="11"/>
  <c r="W289" i="11" s="1"/>
  <c r="V404" i="11"/>
  <c r="W404" i="11" s="1"/>
  <c r="V302" i="11"/>
  <c r="W302" i="11" s="1"/>
  <c r="V300" i="11"/>
  <c r="W300" i="11" s="1"/>
  <c r="V559" i="11"/>
  <c r="W559" i="11" s="1"/>
  <c r="V557" i="11"/>
  <c r="W557" i="11" s="1"/>
  <c r="V269" i="11"/>
  <c r="V271" i="11"/>
  <c r="W271" i="11" s="1"/>
  <c r="V722" i="11"/>
  <c r="W722" i="11" s="1"/>
  <c r="V287" i="11"/>
  <c r="W287" i="11" s="1"/>
  <c r="V528" i="11"/>
  <c r="W528" i="11" s="1"/>
  <c r="V249" i="11"/>
  <c r="W249" i="11" s="1"/>
  <c r="V247" i="11"/>
  <c r="W247" i="11" s="1"/>
  <c r="V858" i="11"/>
  <c r="W858" i="11" s="1"/>
  <c r="W10" i="11" l="1"/>
  <c r="W179" i="11"/>
  <c r="W737" i="11"/>
  <c r="W508" i="11"/>
  <c r="W238" i="11"/>
  <c r="W632" i="11"/>
  <c r="W579" i="11"/>
  <c r="W441" i="11"/>
  <c r="W923" i="11"/>
  <c r="W787" i="11"/>
  <c r="W165" i="11"/>
  <c r="W859" i="11"/>
  <c r="W701" i="11"/>
  <c r="W558" i="11"/>
  <c r="W784" i="11"/>
  <c r="W890" i="11"/>
  <c r="W288" i="11"/>
  <c r="W176" i="11"/>
  <c r="W413" i="11"/>
  <c r="W661" i="11"/>
  <c r="W272" i="11"/>
  <c r="W53" i="11"/>
  <c r="W921" i="11"/>
  <c r="W599" i="11"/>
  <c r="W503" i="11"/>
  <c r="W768" i="11"/>
  <c r="W608" i="11"/>
  <c r="W880" i="11"/>
  <c r="W785" i="11"/>
  <c r="W446" i="11"/>
  <c r="W334" i="11"/>
  <c r="W444" i="11"/>
  <c r="W301" i="11"/>
  <c r="W269" i="11"/>
  <c r="W394" i="11"/>
  <c r="W782" i="11"/>
  <c r="W303" i="11"/>
  <c r="W580" i="11"/>
  <c r="W868" i="11"/>
  <c r="W332" i="11"/>
  <c r="W703" i="11"/>
  <c r="W177" i="11"/>
  <c r="W455" i="11"/>
  <c r="W348" i="11"/>
  <c r="W892" i="11"/>
  <c r="W766" i="11"/>
  <c r="W270" i="11"/>
  <c r="W723" i="11"/>
  <c r="W505" i="11"/>
  <c r="W248" i="11"/>
  <c r="W663" i="11"/>
  <c r="W735" i="11"/>
  <c r="W427" i="11"/>
  <c r="W673" i="11"/>
  <c r="W425" i="11"/>
  <c r="W706" i="11"/>
  <c r="W167" i="11"/>
  <c r="W396" i="11"/>
  <c r="W629" i="11"/>
  <c r="W610" i="11"/>
  <c r="W12" i="11"/>
  <c r="W878" i="11"/>
  <c r="W35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8BDA7254-9608-47BE-B284-DDEB342F5157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  <comment ref="B1" authorId="0" shapeId="0" xr:uid="{831BD516-0D06-4696-9421-F773ED6BAB1C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6CD8ECE-74E5-4940-84D9-7DFCE5BA07A8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8AE587C5-F815-4F49-90FF-9E10BD936CBE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3720321-BA11-4798-8ED4-314BCCC175B4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86E818F7-542A-4953-80CF-D5D0ED6EEA2C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B2308751-FC25-49B4-9217-75F281B21041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E56B175B-468F-4BE8-8BE6-D95B6A7BE2AB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2E44877-9348-488F-AB34-21B71A865585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8D5B2B0-EF15-4859-8DF7-D326F6C0D2E9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sharedStrings.xml><?xml version="1.0" encoding="utf-8"?>
<sst xmlns="http://schemas.openxmlformats.org/spreadsheetml/2006/main" count="25922" uniqueCount="101">
  <si>
    <t>name</t>
  </si>
  <si>
    <t>指标</t>
  </si>
  <si>
    <t>时间</t>
  </si>
  <si>
    <t>数值</t>
  </si>
  <si>
    <t>上海市</t>
  </si>
  <si>
    <t>sum</t>
  </si>
  <si>
    <t>云南省</t>
  </si>
  <si>
    <t>内蒙古自治区</t>
  </si>
  <si>
    <t>北京市</t>
  </si>
  <si>
    <t>吉林省</t>
  </si>
  <si>
    <t>四川省</t>
  </si>
  <si>
    <t>天津市</t>
  </si>
  <si>
    <t>宁夏回族自治区</t>
  </si>
  <si>
    <t>安徽省</t>
  </si>
  <si>
    <t>山东省</t>
  </si>
  <si>
    <t>山西省</t>
  </si>
  <si>
    <t>广东省</t>
  </si>
  <si>
    <t>广西壮族自治区</t>
  </si>
  <si>
    <t>新疆维吾尔自治区</t>
  </si>
  <si>
    <t>江苏省</t>
  </si>
  <si>
    <t>江西省</t>
  </si>
  <si>
    <t>河北省</t>
  </si>
  <si>
    <t>河南省</t>
  </si>
  <si>
    <t>浙江省</t>
  </si>
  <si>
    <t>海南省</t>
  </si>
  <si>
    <t>湖北省</t>
  </si>
  <si>
    <t>湖南省</t>
  </si>
  <si>
    <t>甘肃省</t>
  </si>
  <si>
    <t>福建省</t>
  </si>
  <si>
    <t>西藏自治区</t>
  </si>
  <si>
    <t>贵州省</t>
  </si>
  <si>
    <t>辽宁省</t>
  </si>
  <si>
    <t>重庆市</t>
  </si>
  <si>
    <t>陕西省</t>
  </si>
  <si>
    <t>青海省</t>
  </si>
  <si>
    <t>黑龙江省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</si>
  <si>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</si>
  <si>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</si>
  <si>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</si>
  <si>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</si>
  <si>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</si>
  <si>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</si>
  <si>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</si>
  <si>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</si>
  <si>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</si>
  <si>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</si>
  <si>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</si>
  <si>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</si>
  <si>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</si>
  <si>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</si>
  <si>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</si>
  <si>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</si>
  <si>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</si>
  <si>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</si>
  <si>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</si>
  <si>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</si>
  <si>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</si>
  <si>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</si>
  <si>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</si>
  <si>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</si>
  <si>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</si>
  <si>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</si>
  <si>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</si>
  <si>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</si>
  <si>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</si>
  <si>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</si>
  <si>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</si>
  <si>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month</t>
    <phoneticPr fontId="1" type="noConversion"/>
  </si>
  <si>
    <t>电力行业</t>
    <phoneticPr fontId="1" type="noConversion"/>
  </si>
  <si>
    <t>工业过程</t>
    <phoneticPr fontId="1" type="noConversion"/>
  </si>
  <si>
    <t>建筑物能源</t>
    <phoneticPr fontId="1" type="noConversion"/>
  </si>
  <si>
    <t>工业燃烧</t>
    <phoneticPr fontId="1" type="noConversion"/>
  </si>
  <si>
    <t>浪费</t>
    <phoneticPr fontId="1" type="noConversion"/>
  </si>
  <si>
    <t>农业</t>
    <phoneticPr fontId="1" type="noConversion"/>
  </si>
  <si>
    <t>燃烧能源</t>
    <phoneticPr fontId="1" type="noConversion"/>
  </si>
  <si>
    <t>运输</t>
    <phoneticPr fontId="1" type="noConversion"/>
  </si>
  <si>
    <t>id</t>
    <phoneticPr fontId="1" type="noConversion"/>
  </si>
  <si>
    <t>policy_month</t>
    <phoneticPr fontId="1" type="noConversion"/>
  </si>
  <si>
    <t>real_time</t>
    <phoneticPr fontId="1" type="noConversion"/>
  </si>
  <si>
    <t>treated</t>
    <phoneticPr fontId="1" type="noConversion"/>
  </si>
  <si>
    <t>degree</t>
    <phoneticPr fontId="1" type="noConversion"/>
  </si>
  <si>
    <t>target</t>
    <phoneticPr fontId="1" type="noConversion"/>
  </si>
  <si>
    <t>年度GDP(亿元)</t>
    <phoneticPr fontId="1" type="noConversion"/>
  </si>
  <si>
    <t>碳排强度</t>
    <phoneticPr fontId="1" type="noConversion"/>
  </si>
  <si>
    <t>月度碳排放量</t>
    <phoneticPr fontId="1" type="noConversion"/>
  </si>
  <si>
    <t>月度折算量</t>
  </si>
  <si>
    <t>碳排强度增长率</t>
    <phoneticPr fontId="1" type="noConversion"/>
  </si>
  <si>
    <t>电力行业碳排</t>
    <phoneticPr fontId="1" type="noConversion"/>
  </si>
  <si>
    <t>工业过程碳排</t>
    <phoneticPr fontId="1" type="noConversion"/>
  </si>
  <si>
    <t>建筑物能源碳排</t>
    <phoneticPr fontId="1" type="noConversion"/>
  </si>
  <si>
    <t>工业燃烧碳排</t>
    <phoneticPr fontId="1" type="noConversion"/>
  </si>
  <si>
    <t>浪费碳排</t>
    <phoneticPr fontId="1" type="noConversion"/>
  </si>
  <si>
    <t>农业碳排</t>
    <phoneticPr fontId="1" type="noConversion"/>
  </si>
  <si>
    <t>燃烧能源碳排</t>
    <phoneticPr fontId="1" type="noConversion"/>
  </si>
  <si>
    <t>运输碳排</t>
    <phoneticPr fontId="1" type="noConversion"/>
  </si>
  <si>
    <t>总碳排</t>
    <phoneticPr fontId="1" type="noConversion"/>
  </si>
  <si>
    <t>工业结构</t>
  </si>
  <si>
    <t>城市化水平</t>
  </si>
  <si>
    <t>人口密度</t>
  </si>
  <si>
    <t>技术进步</t>
  </si>
  <si>
    <t>财政自给率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</si>
</sst>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2" fillId="4" borderId="1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0" fillId="6" borderId="4" xfId="0" applyFill="1" applyBorder="1"/>
    <xf numFmtId="0" fontId="0" fillId="6" borderId="0" xfId="0" applyFill="1"/>
    <xf numFmtId="0" fontId="2" fillId="7" borderId="1" xfId="0" applyFont="1" applyFill="1" applyBorder="1" applyAlignment="1">
      <alignment horizontal="center" vertical="top"/>
    </xf>
    <xf numFmtId="0" fontId="0" fillId="7" borderId="4" xfId="0" applyFill="1" applyBorder="1"/>
    <xf numFmtId="0" fontId="0" fillId="7" borderId="0" xfId="0" applyFill="1"/>
    <xf numFmtId="0" fontId="0" fillId="7" borderId="2" xfId="0" applyFill="1" applyBorder="1"/>
    <xf numFmtId="0" fontId="2" fillId="8" borderId="1" xfId="0" applyFont="1" applyFill="1" applyBorder="1" applyAlignment="1">
      <alignment horizontal="center" vertical="top"/>
    </xf>
    <xf numFmtId="0" fontId="0" fillId="8" borderId="4" xfId="0" applyFill="1" applyBorder="1"/>
    <xf numFmtId="0" fontId="0" fillId="8" borderId="0" xfId="0" applyFill="1"/>
    <xf numFmtId="0" fontId="0" fillId="9" borderId="0" xfId="0" applyFill="1"/>
    <xf numFmtId="0" fontId="0" fillId="9" borderId="3" xfId="0" applyFill="1" applyBorder="1"/>
    <xf numFmtId="0" fontId="0" fillId="9" borderId="4" xfId="0" applyFill="1" applyBorder="1"/>
    <xf numFmtId="0" fontId="0" fillId="9" borderId="2" xfId="0" applyFill="1" applyBorder="1"/>
    <xf numFmtId="0" fontId="0" fillId="9" borderId="4" xfId="0" applyFill="1" applyBorder="1" applyAlignment="1">
      <alignment horizontal="left"/>
    </xf>
    <xf numFmtId="0" fontId="4" fillId="6" borderId="0" xfId="0" applyFont="1" applyFill="1" applyAlignment="1">
      <alignment horizontal="center"/>
    </xf>
    <xf numFmtId="176" fontId="4" fillId="6" borderId="0" xfId="0" applyNumberFormat="1" applyFont="1" applyFill="1" applyAlignment="1">
      <alignment horizontal="center"/>
    </xf>
    <xf numFmtId="0" fontId="5" fillId="6" borderId="1" xfId="0" applyFont="1" applyFill="1" applyBorder="1" applyAlignment="1">
      <alignment horizontal="center" vertical="top"/>
    </xf>
    <xf numFmtId="0" fontId="4" fillId="6" borderId="0" xfId="0" applyFont="1" applyFill="1" applyAlignment="1">
      <alignment horizontal="center" vertical="center"/>
    </xf>
    <xf numFmtId="176" fontId="6" fillId="6" borderId="0" xfId="0" applyNumberFormat="1" applyFont="1" applyFill="1" applyAlignment="1">
      <alignment horizontal="center" vertical="center" wrapText="1"/>
    </xf>
    <xf numFmtId="176" fontId="2" fillId="5" borderId="5" xfId="0" applyNumberFormat="1" applyFont="1" applyFill="1" applyBorder="1" applyAlignment="1">
      <alignment horizontal="center" vertical="top"/>
    </xf>
    <xf numFmtId="176" fontId="0" fillId="5" borderId="0" xfId="0" applyNumberFormat="1" applyFill="1"/>
    <xf numFmtId="176" fontId="0" fillId="9" borderId="0" xfId="0" applyNumberFormat="1" applyFill="1"/>
    <xf numFmtId="0" fontId="4" fillId="6" borderId="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5" borderId="0" xfId="0" applyFill="1" applyAlignment="1">
      <alignment vertical="center"/>
    </xf>
    <xf numFmtId="0" fontId="2" fillId="7" borderId="5" xfId="0" applyFont="1" applyFill="1" applyBorder="1" applyAlignment="1">
      <alignment horizontal="center" vertical="top"/>
    </xf>
  </cellXfs>
  <cellStyles count="2">
    <cellStyle name="常规" xfId="0" builtinId="0"/>
    <cellStyle name="常规 2" xfId="1" xr:uid="{A1AE197E-C8F1-4D51-85B2-1F8323B32A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3B7D-7B13-43E2-9912-18005F6119CC}">
  <dimension ref="A1:AL931"/>
  <sheetViews>
    <sheetView tabSelected="1" topLeftCell="P1" zoomScale="85" zoomScaleNormal="85" workbookViewId="0">
      <selection activeCell="AO23" sqref="AO23"/>
    </sheetView>
  </sheetViews>
  <sheetFormatPr defaultRowHeight="13.8" x14ac:dyDescent="0.25"/>
  <cols>
    <col min="5" max="5" width="16.109375" style="25" bestFit="1" customWidth="1"/>
    <col min="6" max="6" width="8.88671875" style="12"/>
    <col min="7" max="7" width="15.33203125" style="12" bestFit="1" customWidth="1"/>
    <col min="8" max="11" width="15.33203125" style="19" customWidth="1"/>
    <col min="12" max="19" width="12.77734375" style="15" bestFit="1" customWidth="1"/>
    <col min="20" max="20" width="21.6640625" style="31" bestFit="1" customWidth="1"/>
    <col min="21" max="21" width="15.88671875" style="36" bestFit="1" customWidth="1"/>
    <col min="22" max="22" width="12.77734375" bestFit="1" customWidth="1"/>
    <col min="23" max="23" width="18.109375" bestFit="1" customWidth="1"/>
    <col min="24" max="24" width="16.109375" style="25" bestFit="1" customWidth="1"/>
    <col min="25" max="26" width="15.6640625" bestFit="1" customWidth="1"/>
    <col min="27" max="27" width="18.109375" bestFit="1" customWidth="1"/>
    <col min="28" max="28" width="15.6640625" bestFit="1" customWidth="1"/>
    <col min="29" max="30" width="10.6640625" bestFit="1" customWidth="1"/>
    <col min="31" max="31" width="15.6640625" bestFit="1" customWidth="1"/>
    <col min="32" max="32" width="10.6640625" bestFit="1" customWidth="1"/>
    <col min="33" max="33" width="8.44140625" bestFit="1" customWidth="1"/>
    <col min="34" max="38" width="13.33203125" bestFit="1" customWidth="1"/>
  </cols>
  <sheetData>
    <row r="1" spans="1:38" ht="14.4" x14ac:dyDescent="0.25">
      <c r="A1" s="8" t="s">
        <v>76</v>
      </c>
      <c r="B1" s="8" t="s">
        <v>0</v>
      </c>
      <c r="C1" s="8" t="s">
        <v>1</v>
      </c>
      <c r="D1" s="8" t="s">
        <v>2</v>
      </c>
      <c r="E1" s="27" t="s">
        <v>82</v>
      </c>
      <c r="F1" s="10" t="s">
        <v>67</v>
      </c>
      <c r="G1" s="10" t="s">
        <v>77</v>
      </c>
      <c r="H1" s="17" t="s">
        <v>78</v>
      </c>
      <c r="I1" s="17" t="s">
        <v>79</v>
      </c>
      <c r="J1" s="17" t="s">
        <v>80</v>
      </c>
      <c r="K1" s="17" t="s">
        <v>81</v>
      </c>
      <c r="L1" s="13" t="s">
        <v>68</v>
      </c>
      <c r="M1" s="13" t="s">
        <v>69</v>
      </c>
      <c r="N1" s="13" t="s">
        <v>70</v>
      </c>
      <c r="O1" s="13" t="s">
        <v>71</v>
      </c>
      <c r="P1" s="13" t="s">
        <v>72</v>
      </c>
      <c r="Q1" s="13" t="s">
        <v>73</v>
      </c>
      <c r="R1" s="13" t="s">
        <v>74</v>
      </c>
      <c r="S1" s="13" t="s">
        <v>75</v>
      </c>
      <c r="T1" s="30" t="s">
        <v>84</v>
      </c>
      <c r="U1" s="36" t="s">
        <v>85</v>
      </c>
      <c r="V1" s="9" t="s">
        <v>83</v>
      </c>
      <c r="W1" s="9" t="s">
        <v>86</v>
      </c>
      <c r="X1" s="27"/>
      <c r="Y1" s="13" t="s">
        <v>87</v>
      </c>
      <c r="Z1" s="13" t="s">
        <v>88</v>
      </c>
      <c r="AA1" s="13" t="s">
        <v>89</v>
      </c>
      <c r="AB1" s="13" t="s">
        <v>90</v>
      </c>
      <c r="AC1" s="13" t="s">
        <v>91</v>
      </c>
      <c r="AD1" s="13" t="s">
        <v>92</v>
      </c>
      <c r="AE1" s="13" t="s">
        <v>93</v>
      </c>
      <c r="AF1" s="13" t="s">
        <v>94</v>
      </c>
      <c r="AG1" s="38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</row>
    <row r="2" spans="1:38" x14ac:dyDescent="0.25">
      <c r="A2">
        <v>1</v>
      </c>
      <c r="B2" s="5" t="s">
        <v>8</v>
      </c>
      <c r="C2" s="6" t="s">
        <v>5</v>
      </c>
      <c r="D2" s="6" t="s">
        <v>36</v>
      </c>
      <c r="E2" s="28">
        <v>40269.550000000003</v>
      </c>
      <c r="F2" s="11">
        <v>1</v>
      </c>
      <c r="G2" s="11">
        <v>17</v>
      </c>
      <c r="H2" s="18">
        <f t="shared" ref="H2:H65" si="0">F2-G2</f>
        <v>-16</v>
      </c>
      <c r="I2" s="18">
        <v>1</v>
      </c>
      <c r="J2" s="19">
        <v>0.49120234604105573</v>
      </c>
      <c r="K2" s="19">
        <v>1.1000000000000001</v>
      </c>
      <c r="L2" s="14">
        <v>1275541.625</v>
      </c>
      <c r="M2" s="16">
        <v>326658.34375</v>
      </c>
      <c r="N2" s="16">
        <v>865223.1875</v>
      </c>
      <c r="O2" s="16">
        <v>1176305.125</v>
      </c>
      <c r="P2" s="16">
        <v>6471.15576171875</v>
      </c>
      <c r="Q2" s="16">
        <v>2424.57104492188</v>
      </c>
      <c r="R2" s="16">
        <v>1407274.5</v>
      </c>
      <c r="S2" s="16">
        <v>1586201.375</v>
      </c>
      <c r="T2" s="31">
        <f t="shared" ref="T2:T65" si="1">SUM(L2:S2)/10000</f>
        <v>664.60998830566405</v>
      </c>
      <c r="U2" s="37"/>
      <c r="X2" s="28">
        <v>3207.8687499999996</v>
      </c>
      <c r="Y2" t="e">
        <f>L2/$U2/10000</f>
        <v>#DIV/0!</v>
      </c>
      <c r="Z2" t="e">
        <f t="shared" ref="Z2:AF17" si="2">M2/$U2/10000</f>
        <v>#DIV/0!</v>
      </c>
      <c r="AA2" t="e">
        <f t="shared" si="2"/>
        <v>#DIV/0!</v>
      </c>
      <c r="AB2" t="e">
        <f t="shared" si="2"/>
        <v>#DIV/0!</v>
      </c>
      <c r="AC2" t="e">
        <f t="shared" si="2"/>
        <v>#DIV/0!</v>
      </c>
      <c r="AD2" t="e">
        <f t="shared" si="2"/>
        <v>#DIV/0!</v>
      </c>
      <c r="AE2" t="e">
        <f t="shared" si="2"/>
        <v>#DIV/0!</v>
      </c>
      <c r="AF2" t="e">
        <f t="shared" si="2"/>
        <v>#DIV/0!</v>
      </c>
      <c r="AG2" t="e">
        <f>SUM(Y2:AF2)</f>
        <v>#DIV/0!</v>
      </c>
      <c r="AH2">
        <v>0.19201108529894173</v>
      </c>
      <c r="AI2">
        <v>0.87528551850159886</v>
      </c>
      <c r="AJ2">
        <v>0.13342679507497257</v>
      </c>
      <c r="AK2">
        <v>7.7853961616159099E-3</v>
      </c>
      <c r="AL2">
        <v>0.82334645363297221</v>
      </c>
    </row>
    <row r="3" spans="1:38" x14ac:dyDescent="0.25">
      <c r="A3">
        <v>1</v>
      </c>
      <c r="B3" s="5" t="s">
        <v>8</v>
      </c>
      <c r="C3" s="6" t="s">
        <v>5</v>
      </c>
      <c r="D3" s="6" t="s">
        <v>37</v>
      </c>
      <c r="E3" s="28">
        <v>40269.550000000003</v>
      </c>
      <c r="F3" s="11">
        <v>2</v>
      </c>
      <c r="G3" s="11">
        <v>17</v>
      </c>
      <c r="H3" s="11">
        <f t="shared" si="0"/>
        <v>-15</v>
      </c>
      <c r="I3" s="18">
        <v>1</v>
      </c>
      <c r="J3" s="19">
        <v>0.49120234604105573</v>
      </c>
      <c r="K3" s="19">
        <v>1.1000000000000001</v>
      </c>
      <c r="L3" s="6">
        <v>1385489.75</v>
      </c>
      <c r="M3" s="7">
        <v>314786.25</v>
      </c>
      <c r="N3" s="7">
        <v>865223.1875</v>
      </c>
      <c r="O3" s="7">
        <v>1126891.375</v>
      </c>
      <c r="P3" s="7">
        <v>6471.15576171875</v>
      </c>
      <c r="Q3" s="7">
        <v>1425.59375</v>
      </c>
      <c r="R3" s="7">
        <v>1422639.875</v>
      </c>
      <c r="S3" s="7">
        <v>1555106.125</v>
      </c>
      <c r="T3" s="31">
        <f t="shared" si="1"/>
        <v>667.80333120117189</v>
      </c>
      <c r="U3" s="37">
        <v>3739.5</v>
      </c>
      <c r="V3">
        <f t="shared" ref="V3:V66" si="3">T3/U3</f>
        <v>0.17858091488198205</v>
      </c>
      <c r="W3" t="e">
        <f>(V3-V2)/V2</f>
        <v>#DIV/0!</v>
      </c>
      <c r="X3" s="28">
        <v>3633.0645833333328</v>
      </c>
      <c r="Y3">
        <f>L3/$U3/10000</f>
        <v>3.7050133707714934E-2</v>
      </c>
      <c r="Z3">
        <f t="shared" si="2"/>
        <v>8.4178700361010831E-3</v>
      </c>
      <c r="AA3">
        <f t="shared" si="2"/>
        <v>2.3137403061906672E-2</v>
      </c>
      <c r="AB3">
        <f t="shared" si="2"/>
        <v>3.0134814146276237E-2</v>
      </c>
      <c r="AC3">
        <f t="shared" si="2"/>
        <v>1.730486899777711E-4</v>
      </c>
      <c r="AD3">
        <f t="shared" si="2"/>
        <v>3.8122576547666798E-5</v>
      </c>
      <c r="AE3">
        <f t="shared" si="2"/>
        <v>3.8043585372375989E-2</v>
      </c>
      <c r="AF3">
        <f t="shared" si="2"/>
        <v>4.1585937291081697E-2</v>
      </c>
      <c r="AG3">
        <f>SUM(Y3:AF3)</f>
        <v>0.17858091488198205</v>
      </c>
      <c r="AH3">
        <v>0.19201108529894173</v>
      </c>
      <c r="AI3">
        <v>0.87528551850159886</v>
      </c>
      <c r="AJ3">
        <v>0.13342679507497257</v>
      </c>
      <c r="AK3">
        <v>7.7853961616159099E-3</v>
      </c>
      <c r="AL3">
        <v>0.82334645363297221</v>
      </c>
    </row>
    <row r="4" spans="1:38" x14ac:dyDescent="0.25">
      <c r="A4">
        <v>1</v>
      </c>
      <c r="B4" s="5" t="s">
        <v>8</v>
      </c>
      <c r="C4" s="6" t="s">
        <v>5</v>
      </c>
      <c r="D4" s="6" t="s">
        <v>38</v>
      </c>
      <c r="E4" s="28">
        <v>40269.550000000003</v>
      </c>
      <c r="F4" s="11">
        <v>3</v>
      </c>
      <c r="G4" s="11">
        <v>17</v>
      </c>
      <c r="H4" s="11">
        <f t="shared" si="0"/>
        <v>-14</v>
      </c>
      <c r="I4" s="18">
        <v>1</v>
      </c>
      <c r="J4" s="19">
        <v>0.49120234604105573</v>
      </c>
      <c r="K4" s="19">
        <v>1.1000000000000001</v>
      </c>
      <c r="L4" s="6">
        <v>1384950.875</v>
      </c>
      <c r="M4" s="7">
        <v>306504.1875</v>
      </c>
      <c r="N4" s="7">
        <v>865223.1875</v>
      </c>
      <c r="O4" s="7">
        <v>1091870.875</v>
      </c>
      <c r="P4" s="7">
        <v>6471.15576171875</v>
      </c>
      <c r="Q4" s="7">
        <v>2001.8154296875</v>
      </c>
      <c r="R4" s="7">
        <v>1370016</v>
      </c>
      <c r="S4" s="7">
        <v>1570746.25</v>
      </c>
      <c r="T4" s="31">
        <f t="shared" si="1"/>
        <v>659.77843461914063</v>
      </c>
      <c r="U4" s="37">
        <v>3785.3333333333335</v>
      </c>
      <c r="V4">
        <f t="shared" si="3"/>
        <v>0.17429863542245702</v>
      </c>
      <c r="W4">
        <f t="shared" ref="W4:W32" si="4">(V4-V3)/V3</f>
        <v>-2.397949110270288E-2</v>
      </c>
      <c r="X4" s="28">
        <v>4058.2604166666661</v>
      </c>
      <c r="Y4">
        <f t="shared" ref="Y4:Y67" si="5">L4/$U4/10000</f>
        <v>3.6587289758717854E-2</v>
      </c>
      <c r="Z4">
        <f t="shared" si="2"/>
        <v>8.0971518360338137E-3</v>
      </c>
      <c r="AA4">
        <f t="shared" si="2"/>
        <v>2.285725222349419E-2</v>
      </c>
      <c r="AB4">
        <f t="shared" si="2"/>
        <v>2.8844774788657976E-2</v>
      </c>
      <c r="AC4">
        <f t="shared" si="2"/>
        <v>1.7095339278932941E-4</v>
      </c>
      <c r="AD4">
        <f t="shared" si="2"/>
        <v>5.2883465032251674E-5</v>
      </c>
      <c r="AE4">
        <f t="shared" si="2"/>
        <v>3.6192743923916873E-2</v>
      </c>
      <c r="AF4">
        <f t="shared" si="2"/>
        <v>4.1495586033814723E-2</v>
      </c>
      <c r="AG4">
        <f t="shared" ref="AG4:AG67" si="6">SUM(Y4:AF4)</f>
        <v>0.17429863542245702</v>
      </c>
      <c r="AH4">
        <v>0.19201108529894173</v>
      </c>
      <c r="AI4">
        <v>0.87528551850159886</v>
      </c>
      <c r="AJ4">
        <v>0.13342679507497257</v>
      </c>
      <c r="AK4">
        <v>7.7853961616159099E-3</v>
      </c>
      <c r="AL4">
        <v>0.82334645363297221</v>
      </c>
    </row>
    <row r="5" spans="1:38" x14ac:dyDescent="0.25">
      <c r="A5">
        <v>1</v>
      </c>
      <c r="B5" s="5" t="s">
        <v>8</v>
      </c>
      <c r="C5" s="6" t="s">
        <v>5</v>
      </c>
      <c r="D5" s="6" t="s">
        <v>39</v>
      </c>
      <c r="E5" s="28">
        <v>40269.550000000003</v>
      </c>
      <c r="F5" s="11">
        <v>4</v>
      </c>
      <c r="G5" s="11">
        <v>17</v>
      </c>
      <c r="H5" s="11">
        <f t="shared" si="0"/>
        <v>-13</v>
      </c>
      <c r="I5" s="18">
        <v>1</v>
      </c>
      <c r="J5" s="19">
        <v>0.49120234604105573</v>
      </c>
      <c r="K5" s="19">
        <v>1.1000000000000001</v>
      </c>
      <c r="L5" s="6">
        <v>1316323.125</v>
      </c>
      <c r="M5" s="7">
        <v>319174.0625</v>
      </c>
      <c r="N5" s="7">
        <v>865223.1875</v>
      </c>
      <c r="O5" s="7">
        <v>1142073.625</v>
      </c>
      <c r="P5" s="7">
        <v>6471.15576171875</v>
      </c>
      <c r="Q5" s="7">
        <v>5604.89013671875</v>
      </c>
      <c r="R5" s="7">
        <v>1355009.125</v>
      </c>
      <c r="S5" s="7">
        <v>1597657.625</v>
      </c>
      <c r="T5" s="31">
        <f t="shared" si="1"/>
        <v>660.75367958984373</v>
      </c>
      <c r="U5" s="37">
        <v>3876.3333333333335</v>
      </c>
      <c r="V5">
        <f t="shared" si="3"/>
        <v>0.17045842624211291</v>
      </c>
      <c r="W5">
        <f t="shared" si="4"/>
        <v>-2.2032353672972765E-2</v>
      </c>
      <c r="X5" s="28">
        <v>4483.4562499999993</v>
      </c>
      <c r="Y5">
        <f t="shared" si="5"/>
        <v>3.3957944578209644E-2</v>
      </c>
      <c r="Z5">
        <f t="shared" si="2"/>
        <v>8.2339168243185136E-3</v>
      </c>
      <c r="AA5">
        <f t="shared" si="2"/>
        <v>2.2320660095451028E-2</v>
      </c>
      <c r="AB5">
        <f t="shared" si="2"/>
        <v>2.9462730028377331E-2</v>
      </c>
      <c r="AC5">
        <f t="shared" si="2"/>
        <v>1.6694012628047338E-4</v>
      </c>
      <c r="AD5">
        <f t="shared" si="2"/>
        <v>1.4459257382540416E-4</v>
      </c>
      <c r="AE5">
        <f t="shared" si="2"/>
        <v>3.4955949565740822E-2</v>
      </c>
      <c r="AF5">
        <f t="shared" si="2"/>
        <v>4.1215692449909705E-2</v>
      </c>
      <c r="AG5">
        <f t="shared" si="6"/>
        <v>0.17045842624211294</v>
      </c>
      <c r="AH5">
        <v>0.19201108529894173</v>
      </c>
      <c r="AI5">
        <v>0.87528551850159886</v>
      </c>
      <c r="AJ5">
        <v>0.13342679507497257</v>
      </c>
      <c r="AK5">
        <v>7.7853961616159099E-3</v>
      </c>
      <c r="AL5">
        <v>0.82334645363297221</v>
      </c>
    </row>
    <row r="6" spans="1:38" x14ac:dyDescent="0.25">
      <c r="A6">
        <v>1</v>
      </c>
      <c r="B6" s="5" t="s">
        <v>8</v>
      </c>
      <c r="C6" s="6" t="s">
        <v>5</v>
      </c>
      <c r="D6" s="6" t="s">
        <v>40</v>
      </c>
      <c r="E6" s="28">
        <v>40269.550000000003</v>
      </c>
      <c r="F6" s="11">
        <v>5</v>
      </c>
      <c r="G6" s="11">
        <v>17</v>
      </c>
      <c r="H6" s="11">
        <f t="shared" si="0"/>
        <v>-12</v>
      </c>
      <c r="I6" s="18">
        <v>1</v>
      </c>
      <c r="J6" s="19">
        <v>0.49120234604105573</v>
      </c>
      <c r="K6" s="19">
        <v>1.1000000000000001</v>
      </c>
      <c r="L6" s="6">
        <v>1491665.25</v>
      </c>
      <c r="M6" s="7">
        <v>327684.21875</v>
      </c>
      <c r="N6" s="7">
        <v>865223.1875</v>
      </c>
      <c r="O6" s="7">
        <v>1179708.25</v>
      </c>
      <c r="P6" s="7">
        <v>6471.15576171875</v>
      </c>
      <c r="Q6" s="7">
        <v>7730.25048828125</v>
      </c>
      <c r="R6" s="7">
        <v>1427974.125</v>
      </c>
      <c r="S6" s="7">
        <v>1652056.75</v>
      </c>
      <c r="T6" s="31">
        <f t="shared" si="1"/>
        <v>695.85131875000002</v>
      </c>
      <c r="U6" s="37">
        <v>3967.3333333333335</v>
      </c>
      <c r="V6">
        <f t="shared" si="3"/>
        <v>0.17539522401697194</v>
      </c>
      <c r="W6">
        <f t="shared" si="4"/>
        <v>2.8961887562231649E-2</v>
      </c>
      <c r="X6" s="28">
        <v>4908.6520833333325</v>
      </c>
      <c r="Y6">
        <f t="shared" si="5"/>
        <v>3.7598687195429338E-2</v>
      </c>
      <c r="Z6">
        <f t="shared" si="2"/>
        <v>8.2595585300789774E-3</v>
      </c>
      <c r="AA6">
        <f t="shared" si="2"/>
        <v>2.1808683939674004E-2</v>
      </c>
      <c r="AB6">
        <f t="shared" si="2"/>
        <v>2.9735546546798854E-2</v>
      </c>
      <c r="AC6">
        <f t="shared" si="2"/>
        <v>1.6311096693964248E-4</v>
      </c>
      <c r="AD6">
        <f t="shared" si="2"/>
        <v>1.9484751692861493E-4</v>
      </c>
      <c r="AE6">
        <f t="shared" si="2"/>
        <v>3.5993298395227691E-2</v>
      </c>
      <c r="AF6">
        <f t="shared" si="2"/>
        <v>4.1641490925894808E-2</v>
      </c>
      <c r="AG6">
        <f t="shared" si="6"/>
        <v>0.17539522401697194</v>
      </c>
      <c r="AH6">
        <v>0.19201108529894173</v>
      </c>
      <c r="AI6">
        <v>0.87528551850159886</v>
      </c>
      <c r="AJ6">
        <v>0.13342679507497257</v>
      </c>
      <c r="AK6">
        <v>7.7853961616159099E-3</v>
      </c>
      <c r="AL6">
        <v>0.82334645363297221</v>
      </c>
    </row>
    <row r="7" spans="1:38" x14ac:dyDescent="0.25">
      <c r="A7">
        <v>1</v>
      </c>
      <c r="B7" s="5" t="s">
        <v>8</v>
      </c>
      <c r="C7" s="6" t="s">
        <v>5</v>
      </c>
      <c r="D7" s="6" t="s">
        <v>41</v>
      </c>
      <c r="E7" s="28">
        <v>40269.550000000003</v>
      </c>
      <c r="F7" s="11">
        <v>6</v>
      </c>
      <c r="G7" s="11">
        <v>17</v>
      </c>
      <c r="H7" s="11">
        <f t="shared" si="0"/>
        <v>-11</v>
      </c>
      <c r="I7" s="18">
        <v>1</v>
      </c>
      <c r="J7" s="19">
        <v>0.49120234604105573</v>
      </c>
      <c r="K7" s="19">
        <v>1.1000000000000001</v>
      </c>
      <c r="L7" s="6">
        <v>1575922.75</v>
      </c>
      <c r="M7" s="7">
        <v>325443</v>
      </c>
      <c r="N7" s="7">
        <v>865223.1875</v>
      </c>
      <c r="O7" s="7">
        <v>1178561.625</v>
      </c>
      <c r="P7" s="7">
        <v>6471.15576171875</v>
      </c>
      <c r="Q7" s="7">
        <v>5101.05810546875</v>
      </c>
      <c r="R7" s="7">
        <v>1415959.75</v>
      </c>
      <c r="S7" s="7">
        <v>1631832.375</v>
      </c>
      <c r="T7" s="31">
        <f t="shared" si="1"/>
        <v>700.4514901367188</v>
      </c>
      <c r="U7" s="37">
        <v>4058.3333333333335</v>
      </c>
      <c r="V7">
        <f t="shared" si="3"/>
        <v>0.17259584972568018</v>
      </c>
      <c r="W7">
        <f t="shared" si="4"/>
        <v>-1.5960379234846687E-2</v>
      </c>
      <c r="X7" s="28">
        <v>5333.8479166666657</v>
      </c>
      <c r="Y7">
        <f t="shared" si="5"/>
        <v>3.8831772073921966E-2</v>
      </c>
      <c r="Z7">
        <f t="shared" si="2"/>
        <v>8.0191293634496921E-3</v>
      </c>
      <c r="AA7">
        <f t="shared" si="2"/>
        <v>2.1319667864476387E-2</v>
      </c>
      <c r="AB7">
        <f t="shared" si="2"/>
        <v>2.9040532854209444E-2</v>
      </c>
      <c r="AC7">
        <f t="shared" si="2"/>
        <v>1.5945353006288502E-4</v>
      </c>
      <c r="AD7">
        <f t="shared" si="2"/>
        <v>1.2569342354337782E-4</v>
      </c>
      <c r="AE7">
        <f t="shared" si="2"/>
        <v>3.4890178644763861E-2</v>
      </c>
      <c r="AF7">
        <f t="shared" si="2"/>
        <v>4.0209421971252567E-2</v>
      </c>
      <c r="AG7">
        <f t="shared" si="6"/>
        <v>0.17259584972568018</v>
      </c>
      <c r="AH7">
        <v>0.19201108529894173</v>
      </c>
      <c r="AI7">
        <v>0.87528551850159886</v>
      </c>
      <c r="AJ7">
        <v>0.13342679507497257</v>
      </c>
      <c r="AK7">
        <v>7.7853961616159099E-3</v>
      </c>
      <c r="AL7">
        <v>0.82334645363297221</v>
      </c>
    </row>
    <row r="8" spans="1:38" x14ac:dyDescent="0.25">
      <c r="A8">
        <v>1</v>
      </c>
      <c r="B8" s="5" t="s">
        <v>8</v>
      </c>
      <c r="C8" s="6" t="s">
        <v>5</v>
      </c>
      <c r="D8" s="6" t="s">
        <v>42</v>
      </c>
      <c r="E8" s="28">
        <v>40269.550000000003</v>
      </c>
      <c r="F8" s="11">
        <v>7</v>
      </c>
      <c r="G8" s="11">
        <v>17</v>
      </c>
      <c r="H8" s="11">
        <f t="shared" si="0"/>
        <v>-10</v>
      </c>
      <c r="I8" s="18">
        <v>1</v>
      </c>
      <c r="J8" s="19">
        <v>0.49120234604105573</v>
      </c>
      <c r="K8" s="19">
        <v>1.1000000000000001</v>
      </c>
      <c r="L8" s="6">
        <v>1924810.375</v>
      </c>
      <c r="M8" s="7">
        <v>327826.65625</v>
      </c>
      <c r="N8" s="7">
        <v>865638.5</v>
      </c>
      <c r="O8" s="7">
        <v>1190919.25</v>
      </c>
      <c r="P8" s="7">
        <v>6474.26220703125</v>
      </c>
      <c r="Q8" s="7">
        <v>2405.74975585938</v>
      </c>
      <c r="R8" s="7">
        <v>1415991</v>
      </c>
      <c r="S8" s="7">
        <v>1574408.75</v>
      </c>
      <c r="T8" s="31">
        <f t="shared" si="1"/>
        <v>730.84745432128909</v>
      </c>
      <c r="U8" s="37">
        <v>4149.3333333333339</v>
      </c>
      <c r="V8">
        <f t="shared" si="3"/>
        <v>0.17613611527666026</v>
      </c>
      <c r="W8">
        <f t="shared" si="4"/>
        <v>2.0511881117691401E-2</v>
      </c>
      <c r="X8" s="28">
        <v>5759.0437499999989</v>
      </c>
      <c r="Y8">
        <f t="shared" si="5"/>
        <v>4.638842484736503E-2</v>
      </c>
      <c r="Z8">
        <f t="shared" si="2"/>
        <v>7.9007066898296903E-3</v>
      </c>
      <c r="AA8">
        <f t="shared" si="2"/>
        <v>2.0862110379177373E-2</v>
      </c>
      <c r="AB8">
        <f t="shared" si="2"/>
        <v>2.8701460073907451E-2</v>
      </c>
      <c r="AC8">
        <f t="shared" si="2"/>
        <v>1.5603138352421068E-4</v>
      </c>
      <c r="AD8">
        <f t="shared" si="2"/>
        <v>5.7979187560878363E-5</v>
      </c>
      <c r="AE8">
        <f t="shared" si="2"/>
        <v>3.4125747107969145E-2</v>
      </c>
      <c r="AF8">
        <f t="shared" si="2"/>
        <v>3.7943655607326474E-2</v>
      </c>
      <c r="AG8">
        <f t="shared" si="6"/>
        <v>0.17613611527666029</v>
      </c>
      <c r="AH8">
        <v>0.19201108529894173</v>
      </c>
      <c r="AI8">
        <v>0.87528551850159886</v>
      </c>
      <c r="AJ8">
        <v>0.13342679507497257</v>
      </c>
      <c r="AK8">
        <v>7.7853961616159099E-3</v>
      </c>
      <c r="AL8">
        <v>0.82334645363297221</v>
      </c>
    </row>
    <row r="9" spans="1:38" x14ac:dyDescent="0.25">
      <c r="A9">
        <v>1</v>
      </c>
      <c r="B9" s="5" t="s">
        <v>8</v>
      </c>
      <c r="C9" s="6" t="s">
        <v>5</v>
      </c>
      <c r="D9" s="6" t="s">
        <v>43</v>
      </c>
      <c r="E9" s="28">
        <v>41610.9</v>
      </c>
      <c r="F9" s="11">
        <v>8</v>
      </c>
      <c r="G9" s="11">
        <v>17</v>
      </c>
      <c r="H9" s="18">
        <f t="shared" si="0"/>
        <v>-9</v>
      </c>
      <c r="I9" s="18">
        <v>1</v>
      </c>
      <c r="J9" s="19">
        <v>0.49120234604105573</v>
      </c>
      <c r="K9" s="19">
        <v>1.1000000000000001</v>
      </c>
      <c r="L9" s="14">
        <v>1346399.125</v>
      </c>
      <c r="M9" s="16">
        <v>315002.46875</v>
      </c>
      <c r="N9" s="16">
        <v>863217.125</v>
      </c>
      <c r="O9" s="16">
        <v>1140098</v>
      </c>
      <c r="P9" s="16">
        <v>6618.64404296875</v>
      </c>
      <c r="Q9" s="16">
        <v>1229.26110839844</v>
      </c>
      <c r="R9" s="16">
        <v>1467302.875</v>
      </c>
      <c r="S9" s="16">
        <v>1446824.875</v>
      </c>
      <c r="T9" s="31">
        <f t="shared" si="1"/>
        <v>658.66923739013669</v>
      </c>
      <c r="U9" s="37">
        <v>3368.666666666667</v>
      </c>
      <c r="V9">
        <f t="shared" si="3"/>
        <v>0.19552817258761229</v>
      </c>
      <c r="W9">
        <f t="shared" si="4"/>
        <v>0.11009699674875063</v>
      </c>
      <c r="X9" s="28">
        <v>3234.7291666666652</v>
      </c>
      <c r="Y9">
        <f t="shared" si="5"/>
        <v>3.9968309667524238E-2</v>
      </c>
      <c r="Z9">
        <f t="shared" si="2"/>
        <v>9.3509539506233912E-3</v>
      </c>
      <c r="AA9">
        <f t="shared" si="2"/>
        <v>2.5624889916881055E-2</v>
      </c>
      <c r="AB9">
        <f t="shared" si="2"/>
        <v>3.3844191569364732E-2</v>
      </c>
      <c r="AC9">
        <f t="shared" si="2"/>
        <v>1.9647666860188252E-4</v>
      </c>
      <c r="AD9">
        <f t="shared" si="2"/>
        <v>3.6491028351428064E-5</v>
      </c>
      <c r="AE9">
        <f t="shared" si="2"/>
        <v>4.3557378042746883E-2</v>
      </c>
      <c r="AF9">
        <f t="shared" si="2"/>
        <v>4.2949481743518696E-2</v>
      </c>
      <c r="AG9">
        <f t="shared" si="6"/>
        <v>0.19552817258761232</v>
      </c>
      <c r="AH9">
        <v>0.1672734788240581</v>
      </c>
      <c r="AI9">
        <v>0.87591575091575091</v>
      </c>
      <c r="AJ9">
        <v>0.13312202852614896</v>
      </c>
      <c r="AK9">
        <v>8.3871605757145362E-3</v>
      </c>
      <c r="AL9">
        <v>0.7650616201308047</v>
      </c>
    </row>
    <row r="10" spans="1:38" x14ac:dyDescent="0.25">
      <c r="A10">
        <v>1</v>
      </c>
      <c r="B10" s="5" t="s">
        <v>8</v>
      </c>
      <c r="C10" s="6" t="s">
        <v>5</v>
      </c>
      <c r="D10" s="6" t="s">
        <v>44</v>
      </c>
      <c r="E10" s="28">
        <v>41610.9</v>
      </c>
      <c r="F10" s="11">
        <v>9</v>
      </c>
      <c r="G10" s="11">
        <v>17</v>
      </c>
      <c r="H10" s="11">
        <f t="shared" si="0"/>
        <v>-8</v>
      </c>
      <c r="I10" s="18">
        <v>1</v>
      </c>
      <c r="J10" s="19">
        <v>0.49120234604105573</v>
      </c>
      <c r="K10" s="19">
        <v>1.1000000000000001</v>
      </c>
      <c r="L10" s="6">
        <v>1339727.5</v>
      </c>
      <c r="M10" s="7">
        <v>308853.21875</v>
      </c>
      <c r="N10" s="7">
        <v>863217.125</v>
      </c>
      <c r="O10" s="7">
        <v>1119811.75</v>
      </c>
      <c r="P10" s="7">
        <v>6618.64404296875</v>
      </c>
      <c r="Q10" s="7">
        <v>1735.85791015625</v>
      </c>
      <c r="R10" s="7">
        <v>1411115.875</v>
      </c>
      <c r="S10" s="7">
        <v>1466517.875</v>
      </c>
      <c r="T10" s="31">
        <f t="shared" si="1"/>
        <v>651.75978457031249</v>
      </c>
      <c r="U10" s="37">
        <v>3431.3333333333335</v>
      </c>
      <c r="V10">
        <f t="shared" si="3"/>
        <v>0.18994359371584782</v>
      </c>
      <c r="W10">
        <f t="shared" si="4"/>
        <v>-2.8561504962984985E-2</v>
      </c>
      <c r="X10" s="28">
        <v>3276.0041666666657</v>
      </c>
      <c r="Y10">
        <f t="shared" si="5"/>
        <v>3.9043933359238392E-2</v>
      </c>
      <c r="Z10">
        <f t="shared" si="2"/>
        <v>9.0009681003497179E-3</v>
      </c>
      <c r="AA10">
        <f t="shared" si="2"/>
        <v>2.5156900864581309E-2</v>
      </c>
      <c r="AB10">
        <f t="shared" si="2"/>
        <v>3.2634886827278026E-2</v>
      </c>
      <c r="AC10">
        <f t="shared" si="2"/>
        <v>1.9288840226254372E-4</v>
      </c>
      <c r="AD10">
        <f t="shared" si="2"/>
        <v>5.0588437249550712E-5</v>
      </c>
      <c r="AE10">
        <f t="shared" si="2"/>
        <v>4.1124418350495434E-2</v>
      </c>
      <c r="AF10">
        <f t="shared" si="2"/>
        <v>4.2739009374392851E-2</v>
      </c>
      <c r="AG10">
        <f t="shared" si="6"/>
        <v>0.18994359371584782</v>
      </c>
      <c r="AH10">
        <v>0.1672734788240581</v>
      </c>
      <c r="AI10">
        <v>0.87591575091575091</v>
      </c>
      <c r="AJ10">
        <v>0.13312202852614896</v>
      </c>
      <c r="AK10">
        <v>8.3871605757145362E-3</v>
      </c>
      <c r="AL10">
        <v>0.7650616201308047</v>
      </c>
    </row>
    <row r="11" spans="1:38" x14ac:dyDescent="0.25">
      <c r="A11">
        <v>1</v>
      </c>
      <c r="B11" s="5" t="s">
        <v>8</v>
      </c>
      <c r="C11" s="6" t="s">
        <v>5</v>
      </c>
      <c r="D11" s="6" t="s">
        <v>45</v>
      </c>
      <c r="E11" s="28">
        <v>41610.9</v>
      </c>
      <c r="F11" s="11">
        <v>10</v>
      </c>
      <c r="G11" s="11">
        <v>17</v>
      </c>
      <c r="H11" s="11">
        <f t="shared" si="0"/>
        <v>-7</v>
      </c>
      <c r="I11" s="18">
        <v>1</v>
      </c>
      <c r="J11" s="19">
        <v>0.49120234604105573</v>
      </c>
      <c r="K11" s="19">
        <v>1.1000000000000001</v>
      </c>
      <c r="L11" s="6">
        <v>1524007.625</v>
      </c>
      <c r="M11" s="7">
        <v>320405.5625</v>
      </c>
      <c r="N11" s="7">
        <v>863217.125</v>
      </c>
      <c r="O11" s="7">
        <v>1160790.5</v>
      </c>
      <c r="P11" s="7">
        <v>6618.64404296875</v>
      </c>
      <c r="Q11" s="7">
        <v>4951.046875</v>
      </c>
      <c r="R11" s="7">
        <v>1391791.75</v>
      </c>
      <c r="S11" s="7">
        <v>1498064.125</v>
      </c>
      <c r="T11" s="31">
        <f t="shared" si="1"/>
        <v>676.98463784179683</v>
      </c>
      <c r="U11" s="37">
        <v>3494</v>
      </c>
      <c r="V11">
        <f t="shared" si="3"/>
        <v>0.19375633595930075</v>
      </c>
      <c r="W11">
        <f t="shared" si="4"/>
        <v>2.0073023621721749E-2</v>
      </c>
      <c r="X11" s="28">
        <v>3317.2791666666658</v>
      </c>
      <c r="Y11">
        <f t="shared" si="5"/>
        <v>4.3617848454493416E-2</v>
      </c>
      <c r="Z11">
        <f t="shared" si="2"/>
        <v>9.1701649255867199E-3</v>
      </c>
      <c r="AA11">
        <f t="shared" si="2"/>
        <v>2.4705699055523753E-2</v>
      </c>
      <c r="AB11">
        <f t="shared" si="2"/>
        <v>3.322239553520321E-2</v>
      </c>
      <c r="AC11">
        <f t="shared" si="2"/>
        <v>1.8942885068599742E-4</v>
      </c>
      <c r="AD11">
        <f t="shared" si="2"/>
        <v>1.4170139882655982E-4</v>
      </c>
      <c r="AE11">
        <f t="shared" si="2"/>
        <v>3.9833765025758444E-2</v>
      </c>
      <c r="AF11">
        <f t="shared" si="2"/>
        <v>4.2875332713222671E-2</v>
      </c>
      <c r="AG11">
        <f t="shared" si="6"/>
        <v>0.19375633595930078</v>
      </c>
      <c r="AH11">
        <v>0.1672734788240581</v>
      </c>
      <c r="AI11">
        <v>0.87591575091575091</v>
      </c>
      <c r="AJ11">
        <v>0.13312202852614896</v>
      </c>
      <c r="AK11">
        <v>8.3871605757145362E-3</v>
      </c>
      <c r="AL11">
        <v>0.7650616201308047</v>
      </c>
    </row>
    <row r="12" spans="1:38" x14ac:dyDescent="0.25">
      <c r="A12">
        <v>1</v>
      </c>
      <c r="B12" s="5" t="s">
        <v>8</v>
      </c>
      <c r="C12" s="6" t="s">
        <v>5</v>
      </c>
      <c r="D12" s="6" t="s">
        <v>46</v>
      </c>
      <c r="E12" s="28">
        <v>41610.9</v>
      </c>
      <c r="F12" s="11">
        <v>11</v>
      </c>
      <c r="G12" s="11">
        <v>17</v>
      </c>
      <c r="H12" s="11">
        <f t="shared" si="0"/>
        <v>-6</v>
      </c>
      <c r="I12" s="18">
        <v>1</v>
      </c>
      <c r="J12" s="19">
        <v>0.49120234604105573</v>
      </c>
      <c r="K12" s="19">
        <v>1.1000000000000001</v>
      </c>
      <c r="L12" s="6">
        <v>1378494.875</v>
      </c>
      <c r="M12" s="7">
        <v>326245.75</v>
      </c>
      <c r="N12" s="7">
        <v>863217.125</v>
      </c>
      <c r="O12" s="7">
        <v>1174916.375</v>
      </c>
      <c r="P12" s="7">
        <v>6618.64404296875</v>
      </c>
      <c r="Q12" s="7">
        <v>6824.63720703125</v>
      </c>
      <c r="R12" s="7">
        <v>1463573.5</v>
      </c>
      <c r="S12" s="7">
        <v>1550299.25</v>
      </c>
      <c r="T12" s="31">
        <f t="shared" si="1"/>
        <v>677.01901562499995</v>
      </c>
      <c r="U12" s="37">
        <v>3556.6666666666665</v>
      </c>
      <c r="V12">
        <f t="shared" si="3"/>
        <v>0.19035211310918462</v>
      </c>
      <c r="W12">
        <f t="shared" si="4"/>
        <v>-1.7569607895719076E-2</v>
      </c>
      <c r="X12" s="28">
        <v>3358.5541666666659</v>
      </c>
      <c r="Y12">
        <f t="shared" si="5"/>
        <v>3.8758056466729147E-2</v>
      </c>
      <c r="Z12">
        <f t="shared" si="2"/>
        <v>9.1727952202436732E-3</v>
      </c>
      <c r="AA12">
        <f t="shared" si="2"/>
        <v>2.4270397141518275E-2</v>
      </c>
      <c r="AB12">
        <f t="shared" si="2"/>
        <v>3.3034199859418932E-2</v>
      </c>
      <c r="AC12">
        <f t="shared" si="2"/>
        <v>1.8609121020530695E-4</v>
      </c>
      <c r="AD12">
        <f t="shared" si="2"/>
        <v>1.9188295802337162E-4</v>
      </c>
      <c r="AE12">
        <f t="shared" si="2"/>
        <v>4.1150145267104032E-2</v>
      </c>
      <c r="AF12">
        <f t="shared" si="2"/>
        <v>4.3588544985941897E-2</v>
      </c>
      <c r="AG12">
        <f t="shared" si="6"/>
        <v>0.19035211310918465</v>
      </c>
      <c r="AH12">
        <v>0.1672734788240581</v>
      </c>
      <c r="AI12">
        <v>0.87591575091575091</v>
      </c>
      <c r="AJ12">
        <v>0.13312202852614896</v>
      </c>
      <c r="AK12">
        <v>8.3871605757145362E-3</v>
      </c>
      <c r="AL12">
        <v>0.7650616201308047</v>
      </c>
    </row>
    <row r="13" spans="1:38" x14ac:dyDescent="0.25">
      <c r="A13">
        <v>1</v>
      </c>
      <c r="B13" s="5" t="s">
        <v>8</v>
      </c>
      <c r="C13" s="6" t="s">
        <v>5</v>
      </c>
      <c r="D13" s="6" t="s">
        <v>47</v>
      </c>
      <c r="E13" s="28">
        <v>41610.9</v>
      </c>
      <c r="F13" s="11">
        <v>12</v>
      </c>
      <c r="G13" s="11">
        <v>17</v>
      </c>
      <c r="H13" s="11">
        <f t="shared" si="0"/>
        <v>-5</v>
      </c>
      <c r="I13" s="18">
        <v>1</v>
      </c>
      <c r="J13" s="19">
        <v>0.49120234604105573</v>
      </c>
      <c r="K13" s="19">
        <v>1.1000000000000001</v>
      </c>
      <c r="L13" s="6">
        <v>1369479.25</v>
      </c>
      <c r="M13" s="7">
        <v>322630.15625</v>
      </c>
      <c r="N13" s="7">
        <v>863217.125</v>
      </c>
      <c r="O13" s="7">
        <v>1159884.875</v>
      </c>
      <c r="P13" s="7">
        <v>6618.64404296875</v>
      </c>
      <c r="Q13" s="7">
        <v>4493.0869140625</v>
      </c>
      <c r="R13" s="7">
        <v>1445636.25</v>
      </c>
      <c r="S13" s="7">
        <v>1538695.875</v>
      </c>
      <c r="T13" s="31">
        <f t="shared" si="1"/>
        <v>671.06552622070308</v>
      </c>
      <c r="U13" s="37">
        <v>3619.3333333333335</v>
      </c>
      <c r="V13">
        <f t="shared" si="3"/>
        <v>0.18541136292706845</v>
      </c>
      <c r="W13">
        <f t="shared" si="4"/>
        <v>-2.59558462546838E-2</v>
      </c>
      <c r="X13" s="28">
        <v>3399.8291666666664</v>
      </c>
      <c r="Y13">
        <f t="shared" si="5"/>
        <v>3.7837886811567509E-2</v>
      </c>
      <c r="Z13">
        <f t="shared" si="2"/>
        <v>8.9140768903112916E-3</v>
      </c>
      <c r="AA13">
        <f t="shared" si="2"/>
        <v>2.3850169230060784E-2</v>
      </c>
      <c r="AB13">
        <f t="shared" si="2"/>
        <v>3.2046920473383679E-2</v>
      </c>
      <c r="AC13">
        <f t="shared" si="2"/>
        <v>1.8286914835979231E-4</v>
      </c>
      <c r="AD13">
        <f t="shared" si="2"/>
        <v>1.2414128515553048E-4</v>
      </c>
      <c r="AE13">
        <f t="shared" si="2"/>
        <v>3.9942058850617052E-2</v>
      </c>
      <c r="AF13">
        <f t="shared" si="2"/>
        <v>4.2513240237612819E-2</v>
      </c>
      <c r="AG13">
        <f t="shared" si="6"/>
        <v>0.18541136292706847</v>
      </c>
      <c r="AH13">
        <v>0.1672734788240581</v>
      </c>
      <c r="AI13">
        <v>0.87591575091575091</v>
      </c>
      <c r="AJ13">
        <v>0.13312202852614896</v>
      </c>
      <c r="AK13">
        <v>8.3871605757145362E-3</v>
      </c>
      <c r="AL13">
        <v>0.7650616201308047</v>
      </c>
    </row>
    <row r="14" spans="1:38" x14ac:dyDescent="0.25">
      <c r="A14">
        <v>1</v>
      </c>
      <c r="B14" s="5" t="s">
        <v>8</v>
      </c>
      <c r="C14" s="6" t="s">
        <v>5</v>
      </c>
      <c r="D14" s="6" t="s">
        <v>48</v>
      </c>
      <c r="E14" s="28">
        <v>41610.9</v>
      </c>
      <c r="F14" s="11">
        <v>13</v>
      </c>
      <c r="G14" s="11">
        <v>17</v>
      </c>
      <c r="H14" s="11">
        <f t="shared" si="0"/>
        <v>-4</v>
      </c>
      <c r="I14" s="18">
        <v>1</v>
      </c>
      <c r="J14" s="19">
        <v>0.49120234604105573</v>
      </c>
      <c r="K14" s="19">
        <v>1.1000000000000001</v>
      </c>
      <c r="L14" s="6">
        <v>1434572.25</v>
      </c>
      <c r="M14" s="7">
        <v>324421.78125</v>
      </c>
      <c r="N14" s="7">
        <v>863217.125</v>
      </c>
      <c r="O14" s="7">
        <v>1164717.75</v>
      </c>
      <c r="P14" s="7">
        <v>6618.64404296875</v>
      </c>
      <c r="Q14" s="7">
        <v>2162.39770507812</v>
      </c>
      <c r="R14" s="7">
        <v>1440822.875</v>
      </c>
      <c r="S14" s="7">
        <v>1493640.375</v>
      </c>
      <c r="T14" s="31">
        <f t="shared" si="1"/>
        <v>673.01731979980468</v>
      </c>
      <c r="U14" s="37">
        <v>3696.3333333333335</v>
      </c>
      <c r="V14">
        <f t="shared" si="3"/>
        <v>0.18207700959504139</v>
      </c>
      <c r="W14">
        <f t="shared" si="4"/>
        <v>-1.7983543615601512E-2</v>
      </c>
      <c r="X14" s="28">
        <v>3441.1041666666665</v>
      </c>
      <c r="Y14">
        <f t="shared" si="5"/>
        <v>3.8810684011182255E-2</v>
      </c>
      <c r="Z14">
        <f t="shared" si="2"/>
        <v>8.7768540332762192E-3</v>
      </c>
      <c r="AA14">
        <f t="shared" si="2"/>
        <v>2.3353335512670215E-2</v>
      </c>
      <c r="AB14">
        <f t="shared" si="2"/>
        <v>3.1510084317792404E-2</v>
      </c>
      <c r="AC14">
        <f t="shared" si="2"/>
        <v>1.7905971799897421E-4</v>
      </c>
      <c r="AD14">
        <f t="shared" si="2"/>
        <v>5.8501155336228331E-5</v>
      </c>
      <c r="AE14">
        <f t="shared" si="2"/>
        <v>3.8979787401929838E-2</v>
      </c>
      <c r="AF14">
        <f t="shared" si="2"/>
        <v>4.0408703444855261E-2</v>
      </c>
      <c r="AG14">
        <f t="shared" si="6"/>
        <v>0.18207700959504139</v>
      </c>
      <c r="AH14">
        <v>0.1672734788240581</v>
      </c>
      <c r="AI14">
        <v>0.87591575091575091</v>
      </c>
      <c r="AJ14">
        <v>0.13312202852614896</v>
      </c>
      <c r="AK14">
        <v>8.3871605757145362E-3</v>
      </c>
      <c r="AL14">
        <v>0.7650616201308047</v>
      </c>
    </row>
    <row r="15" spans="1:38" x14ac:dyDescent="0.25">
      <c r="A15">
        <v>1</v>
      </c>
      <c r="B15" s="5" t="s">
        <v>8</v>
      </c>
      <c r="C15" s="6" t="s">
        <v>5</v>
      </c>
      <c r="D15" s="6" t="s">
        <v>49</v>
      </c>
      <c r="E15" s="28">
        <v>41610.9</v>
      </c>
      <c r="F15" s="11">
        <v>14</v>
      </c>
      <c r="G15" s="11">
        <v>17</v>
      </c>
      <c r="H15" s="11">
        <f t="shared" si="0"/>
        <v>-3</v>
      </c>
      <c r="I15" s="18">
        <v>1</v>
      </c>
      <c r="J15" s="19">
        <v>0.49120234604105573</v>
      </c>
      <c r="K15" s="19">
        <v>1.1000000000000001</v>
      </c>
      <c r="L15" s="6">
        <v>1613623.375</v>
      </c>
      <c r="M15" s="7">
        <v>312664.3125</v>
      </c>
      <c r="N15" s="7">
        <v>863217.125</v>
      </c>
      <c r="O15" s="7">
        <v>1115803.875</v>
      </c>
      <c r="P15" s="7">
        <v>6618.64404296875</v>
      </c>
      <c r="Q15" s="7">
        <v>1271.44165039062</v>
      </c>
      <c r="R15" s="7">
        <v>1456780.875</v>
      </c>
      <c r="S15" s="7">
        <v>1463869.875</v>
      </c>
      <c r="T15" s="31">
        <f t="shared" si="1"/>
        <v>683.38495231933598</v>
      </c>
      <c r="U15" s="37">
        <v>3773.3333333333335</v>
      </c>
      <c r="V15">
        <f t="shared" si="3"/>
        <v>0.18110908630371095</v>
      </c>
      <c r="W15">
        <f t="shared" si="4"/>
        <v>-5.3160104808575538E-3</v>
      </c>
      <c r="X15" s="28">
        <v>3482.3791666666666</v>
      </c>
      <c r="Y15">
        <f t="shared" si="5"/>
        <v>4.2763870362190815E-2</v>
      </c>
      <c r="Z15">
        <f t="shared" si="2"/>
        <v>8.286156691696113E-3</v>
      </c>
      <c r="AA15">
        <f t="shared" si="2"/>
        <v>2.2876778931095406E-2</v>
      </c>
      <c r="AB15">
        <f t="shared" si="2"/>
        <v>2.9570774072438161E-2</v>
      </c>
      <c r="AC15">
        <f t="shared" si="2"/>
        <v>1.7540576085606227E-4</v>
      </c>
      <c r="AD15">
        <f t="shared" si="2"/>
        <v>3.3695450098691345E-5</v>
      </c>
      <c r="AE15">
        <f t="shared" si="2"/>
        <v>3.8607267005300351E-2</v>
      </c>
      <c r="AF15">
        <f t="shared" si="2"/>
        <v>3.8795138030035335E-2</v>
      </c>
      <c r="AG15">
        <f t="shared" si="6"/>
        <v>0.18110908630371095</v>
      </c>
      <c r="AH15">
        <v>0.1672734788240581</v>
      </c>
      <c r="AI15">
        <v>0.87591575091575091</v>
      </c>
      <c r="AJ15">
        <v>0.13312202852614896</v>
      </c>
      <c r="AK15">
        <v>8.3871605757145362E-3</v>
      </c>
      <c r="AL15">
        <v>0.7650616201308047</v>
      </c>
    </row>
    <row r="16" spans="1:38" x14ac:dyDescent="0.25">
      <c r="A16">
        <v>1</v>
      </c>
      <c r="B16" s="5" t="s">
        <v>8</v>
      </c>
      <c r="C16" s="6" t="s">
        <v>5</v>
      </c>
      <c r="D16" s="6" t="s">
        <v>50</v>
      </c>
      <c r="E16" s="28">
        <v>41610.9</v>
      </c>
      <c r="F16" s="11">
        <v>15</v>
      </c>
      <c r="G16" s="11">
        <v>17</v>
      </c>
      <c r="H16" s="11">
        <f t="shared" si="0"/>
        <v>-2</v>
      </c>
      <c r="I16" s="18">
        <v>1</v>
      </c>
      <c r="J16" s="19">
        <v>0.49120234604105573</v>
      </c>
      <c r="K16" s="19">
        <v>1.1000000000000001</v>
      </c>
      <c r="L16" s="6">
        <v>1717123.125</v>
      </c>
      <c r="M16" s="7">
        <v>304424.5</v>
      </c>
      <c r="N16" s="7">
        <v>863217.125</v>
      </c>
      <c r="O16" s="7">
        <v>1081144.875</v>
      </c>
      <c r="P16" s="7">
        <v>6618.64404296875</v>
      </c>
      <c r="Q16" s="7">
        <v>1785.35546875</v>
      </c>
      <c r="R16" s="7">
        <v>1402158</v>
      </c>
      <c r="S16" s="7">
        <v>1478843.625</v>
      </c>
      <c r="T16" s="31">
        <f t="shared" si="1"/>
        <v>685.53152495117183</v>
      </c>
      <c r="U16" s="37">
        <v>3850.3333333333335</v>
      </c>
      <c r="V16">
        <f t="shared" si="3"/>
        <v>0.17804472122357506</v>
      </c>
      <c r="W16">
        <f t="shared" si="4"/>
        <v>-1.6919996355108852E-2</v>
      </c>
      <c r="X16" s="28">
        <v>3523.6541666666672</v>
      </c>
      <c r="Y16">
        <f t="shared" si="5"/>
        <v>4.4596739459787031E-2</v>
      </c>
      <c r="Z16">
        <f t="shared" si="2"/>
        <v>7.9064453294087084E-3</v>
      </c>
      <c r="AA16">
        <f t="shared" si="2"/>
        <v>2.2419282962514067E-2</v>
      </c>
      <c r="AB16">
        <f t="shared" si="2"/>
        <v>2.8079253960696042E-2</v>
      </c>
      <c r="AC16">
        <f t="shared" si="2"/>
        <v>1.7189794934556531E-4</v>
      </c>
      <c r="AD16">
        <f t="shared" si="2"/>
        <v>4.6368854698727382E-5</v>
      </c>
      <c r="AE16">
        <f t="shared" si="2"/>
        <v>3.6416535364903475E-2</v>
      </c>
      <c r="AF16">
        <f t="shared" si="2"/>
        <v>3.8408197342221451E-2</v>
      </c>
      <c r="AG16">
        <f t="shared" si="6"/>
        <v>0.17804472122357506</v>
      </c>
      <c r="AH16">
        <v>0.1672734788240581</v>
      </c>
      <c r="AI16">
        <v>0.87591575091575091</v>
      </c>
      <c r="AJ16">
        <v>0.13312202852614896</v>
      </c>
      <c r="AK16">
        <v>8.3871605757145362E-3</v>
      </c>
      <c r="AL16">
        <v>0.7650616201308047</v>
      </c>
    </row>
    <row r="17" spans="1:38" s="20" customFormat="1" x14ac:dyDescent="0.25">
      <c r="A17">
        <v>1</v>
      </c>
      <c r="B17" s="5" t="s">
        <v>8</v>
      </c>
      <c r="C17" s="6" t="s">
        <v>5</v>
      </c>
      <c r="D17" s="6" t="s">
        <v>51</v>
      </c>
      <c r="E17" s="28">
        <v>41610.9</v>
      </c>
      <c r="F17" s="11">
        <v>16</v>
      </c>
      <c r="G17" s="11">
        <v>17</v>
      </c>
      <c r="H17" s="11">
        <f t="shared" si="0"/>
        <v>-1</v>
      </c>
      <c r="I17" s="18">
        <v>1</v>
      </c>
      <c r="J17" s="19">
        <v>0.49120234604105573</v>
      </c>
      <c r="K17" s="19">
        <v>1.1000000000000001</v>
      </c>
      <c r="L17" s="6">
        <v>1499124.5</v>
      </c>
      <c r="M17" s="7">
        <v>316974.71875</v>
      </c>
      <c r="N17" s="7">
        <v>863217.125</v>
      </c>
      <c r="O17" s="7">
        <v>1130840.5</v>
      </c>
      <c r="P17" s="7">
        <v>6618.64404296875</v>
      </c>
      <c r="Q17" s="7">
        <v>4998.82275390625</v>
      </c>
      <c r="R17" s="7">
        <v>1386560.375</v>
      </c>
      <c r="S17" s="7">
        <v>1504608.375</v>
      </c>
      <c r="T17" s="31">
        <f t="shared" si="1"/>
        <v>671.29430605468747</v>
      </c>
      <c r="U17" s="37">
        <v>3957.8888888888891</v>
      </c>
      <c r="V17">
        <f t="shared" si="3"/>
        <v>0.16960918431521257</v>
      </c>
      <c r="W17">
        <f t="shared" si="4"/>
        <v>-4.7378753216557212E-2</v>
      </c>
      <c r="X17" s="28">
        <v>3564.9291666666672</v>
      </c>
      <c r="Y17">
        <f t="shared" si="5"/>
        <v>3.7876871789113156E-2</v>
      </c>
      <c r="Z17">
        <f t="shared" si="2"/>
        <v>8.0086815888099714E-3</v>
      </c>
      <c r="AA17">
        <f t="shared" si="2"/>
        <v>2.1810039372841861E-2</v>
      </c>
      <c r="AB17">
        <f t="shared" si="2"/>
        <v>2.8571810168159233E-2</v>
      </c>
      <c r="AC17">
        <f t="shared" si="2"/>
        <v>1.6722662582947909E-4</v>
      </c>
      <c r="AD17">
        <f t="shared" si="2"/>
        <v>1.2630022959814787E-4</v>
      </c>
      <c r="AE17">
        <f t="shared" si="2"/>
        <v>3.5032827194632375E-2</v>
      </c>
      <c r="AF17">
        <f t="shared" si="2"/>
        <v>3.8015427346228349E-2</v>
      </c>
      <c r="AG17">
        <f t="shared" si="6"/>
        <v>0.16960918431521255</v>
      </c>
      <c r="AH17" s="20">
        <v>0.1672734788240581</v>
      </c>
      <c r="AI17" s="20">
        <v>0.87591575091575091</v>
      </c>
      <c r="AJ17" s="20">
        <v>0.13312202852614896</v>
      </c>
      <c r="AK17" s="20">
        <v>8.3871605757145362E-3</v>
      </c>
      <c r="AL17" s="20">
        <v>0.7650616201308047</v>
      </c>
    </row>
    <row r="18" spans="1:38" x14ac:dyDescent="0.25">
      <c r="A18">
        <v>1</v>
      </c>
      <c r="B18" s="21" t="s">
        <v>8</v>
      </c>
      <c r="C18" s="22" t="s">
        <v>5</v>
      </c>
      <c r="D18" s="22" t="s">
        <v>52</v>
      </c>
      <c r="E18" s="28">
        <v>41610.9</v>
      </c>
      <c r="F18" s="22">
        <v>17</v>
      </c>
      <c r="G18" s="22">
        <v>17</v>
      </c>
      <c r="H18" s="22">
        <f t="shared" si="0"/>
        <v>0</v>
      </c>
      <c r="I18" s="18">
        <v>1</v>
      </c>
      <c r="J18" s="19">
        <v>0.49120234604105573</v>
      </c>
      <c r="K18" s="19">
        <v>1.1000000000000001</v>
      </c>
      <c r="L18" s="22">
        <v>1475323.125</v>
      </c>
      <c r="M18" s="23">
        <v>325458.3125</v>
      </c>
      <c r="N18" s="23">
        <v>863217.125</v>
      </c>
      <c r="O18" s="23">
        <v>1168077.25</v>
      </c>
      <c r="P18" s="23">
        <v>6618.64404296875</v>
      </c>
      <c r="Q18" s="23">
        <v>6894.3642578125</v>
      </c>
      <c r="R18" s="23">
        <v>1462257.375</v>
      </c>
      <c r="S18" s="23">
        <v>1556689.75</v>
      </c>
      <c r="T18" s="32">
        <f t="shared" si="1"/>
        <v>686.45359458007817</v>
      </c>
      <c r="U18" s="37">
        <v>4065.4444444444448</v>
      </c>
      <c r="V18">
        <f t="shared" si="3"/>
        <v>0.16885081175273178</v>
      </c>
      <c r="W18">
        <f t="shared" si="4"/>
        <v>-4.4712942022725796E-3</v>
      </c>
      <c r="X18" s="28">
        <v>3606.2041666666673</v>
      </c>
      <c r="Y18">
        <f t="shared" si="5"/>
        <v>3.628934413348274E-2</v>
      </c>
      <c r="Z18">
        <f t="shared" ref="Z18:Z81" si="7">M18/$U18/10000</f>
        <v>8.0054792765585272E-3</v>
      </c>
      <c r="AA18">
        <f t="shared" ref="AA18:AA81" si="8">N18/$U18/10000</f>
        <v>2.1233032127142035E-2</v>
      </c>
      <c r="AB18">
        <f t="shared" ref="AB18:AB81" si="9">O18/$U18/10000</f>
        <v>2.8731846319932218E-2</v>
      </c>
      <c r="AC18">
        <f t="shared" ref="AC18:AC81" si="10">P18/$U18/10000</f>
        <v>1.6280247174483791E-4</v>
      </c>
      <c r="AD18">
        <f t="shared" ref="AD18:AD81" si="11">Q18/$U18/10000</f>
        <v>1.6958451534699635E-4</v>
      </c>
      <c r="AE18">
        <f t="shared" ref="AE18:AE81" si="12">R18/$U18/10000</f>
        <v>3.5967958607778294E-2</v>
      </c>
      <c r="AF18">
        <f t="shared" ref="AF18:AF81" si="13">S18/$U18/10000</f>
        <v>3.829076430074612E-2</v>
      </c>
      <c r="AG18">
        <f t="shared" si="6"/>
        <v>0.16885081175273178</v>
      </c>
      <c r="AH18">
        <v>0.1672734788240581</v>
      </c>
      <c r="AI18">
        <v>0.87591575091575091</v>
      </c>
      <c r="AJ18">
        <v>0.13312202852614896</v>
      </c>
      <c r="AK18">
        <v>8.3871605757145362E-3</v>
      </c>
      <c r="AL18">
        <v>0.7650616201308047</v>
      </c>
    </row>
    <row r="19" spans="1:38" x14ac:dyDescent="0.25">
      <c r="A19">
        <v>1</v>
      </c>
      <c r="B19" s="5" t="s">
        <v>8</v>
      </c>
      <c r="C19" s="6" t="s">
        <v>5</v>
      </c>
      <c r="D19" s="6" t="s">
        <v>53</v>
      </c>
      <c r="E19" s="28">
        <v>41610.9</v>
      </c>
      <c r="F19" s="11">
        <v>18</v>
      </c>
      <c r="G19" s="11">
        <v>17</v>
      </c>
      <c r="H19" s="11">
        <f t="shared" si="0"/>
        <v>1</v>
      </c>
      <c r="I19" s="18">
        <v>1</v>
      </c>
      <c r="J19" s="19">
        <v>0.49120234604105573</v>
      </c>
      <c r="K19" s="19">
        <v>1.1000000000000001</v>
      </c>
      <c r="L19" s="6">
        <v>1575757.625</v>
      </c>
      <c r="M19" s="7">
        <v>323233.46875</v>
      </c>
      <c r="N19" s="7">
        <v>863217.125</v>
      </c>
      <c r="O19" s="7">
        <v>1166925.625</v>
      </c>
      <c r="P19" s="7">
        <v>6618.64404296875</v>
      </c>
      <c r="Q19" s="7">
        <v>4549.47119140625</v>
      </c>
      <c r="R19" s="7">
        <v>1449752.625</v>
      </c>
      <c r="S19" s="7">
        <v>1537327.125</v>
      </c>
      <c r="T19" s="31">
        <f t="shared" si="1"/>
        <v>692.73817089843749</v>
      </c>
      <c r="U19" s="37">
        <v>4173</v>
      </c>
      <c r="V19">
        <f t="shared" si="3"/>
        <v>0.16600483366844895</v>
      </c>
      <c r="W19">
        <f t="shared" si="4"/>
        <v>-1.6854986095361697E-2</v>
      </c>
      <c r="X19" s="28">
        <v>3647.4791666666679</v>
      </c>
      <c r="Y19">
        <f t="shared" si="5"/>
        <v>3.7760786604361371E-2</v>
      </c>
      <c r="Z19">
        <f t="shared" si="7"/>
        <v>7.7458295890246833E-3</v>
      </c>
      <c r="AA19">
        <f t="shared" si="8"/>
        <v>2.0685768631679848E-2</v>
      </c>
      <c r="AB19">
        <f t="shared" si="9"/>
        <v>2.7963710160555957E-2</v>
      </c>
      <c r="AC19">
        <f t="shared" si="10"/>
        <v>1.5860637534073209E-4</v>
      </c>
      <c r="AD19">
        <f t="shared" si="11"/>
        <v>1.0902159576818236E-4</v>
      </c>
      <c r="AE19">
        <f t="shared" si="12"/>
        <v>3.4741256290438532E-2</v>
      </c>
      <c r="AF19">
        <f t="shared" si="13"/>
        <v>3.6839854421279655E-2</v>
      </c>
      <c r="AG19">
        <f t="shared" si="6"/>
        <v>0.16600483366844895</v>
      </c>
      <c r="AH19">
        <v>0.1672734788240581</v>
      </c>
      <c r="AI19">
        <v>0.87591575091575091</v>
      </c>
      <c r="AJ19">
        <v>0.13312202852614896</v>
      </c>
      <c r="AK19">
        <v>8.3871605757145362E-3</v>
      </c>
      <c r="AL19">
        <v>0.7650616201308047</v>
      </c>
    </row>
    <row r="20" spans="1:38" x14ac:dyDescent="0.25">
      <c r="A20">
        <v>1</v>
      </c>
      <c r="B20" s="5" t="s">
        <v>8</v>
      </c>
      <c r="C20" s="6" t="s">
        <v>5</v>
      </c>
      <c r="D20" s="6" t="s">
        <v>54</v>
      </c>
      <c r="E20" s="28">
        <v>41610.9</v>
      </c>
      <c r="F20" s="11">
        <v>19</v>
      </c>
      <c r="G20" s="11">
        <v>17</v>
      </c>
      <c r="H20" s="11">
        <f t="shared" si="0"/>
        <v>2</v>
      </c>
      <c r="I20" s="18">
        <v>1</v>
      </c>
      <c r="J20" s="19">
        <v>0.49120234604105573</v>
      </c>
      <c r="K20" s="19">
        <v>1.1000000000000001</v>
      </c>
      <c r="L20" s="6">
        <v>1757693.625</v>
      </c>
      <c r="M20" s="7">
        <v>325599.75</v>
      </c>
      <c r="N20" s="7">
        <v>863631.5</v>
      </c>
      <c r="O20" s="7">
        <v>1179152.625</v>
      </c>
      <c r="P20" s="7">
        <v>6621.8212890625</v>
      </c>
      <c r="Q20" s="7">
        <v>2145.61157226562</v>
      </c>
      <c r="R20" s="7">
        <v>1449745.5</v>
      </c>
      <c r="S20" s="7">
        <v>1482338.25</v>
      </c>
      <c r="T20" s="31">
        <f t="shared" si="1"/>
        <v>706.69286828613281</v>
      </c>
      <c r="U20" s="37">
        <v>4280.5555555555547</v>
      </c>
      <c r="V20">
        <f t="shared" si="3"/>
        <v>0.16509372653018031</v>
      </c>
      <c r="W20">
        <f t="shared" si="4"/>
        <v>-5.4884374035055992E-3</v>
      </c>
      <c r="X20" s="28">
        <v>3688.754166666668</v>
      </c>
      <c r="Y20">
        <f t="shared" si="5"/>
        <v>4.1062278066190797E-2</v>
      </c>
      <c r="Z20">
        <f t="shared" si="7"/>
        <v>7.6064834523037004E-3</v>
      </c>
      <c r="AA20">
        <f t="shared" si="8"/>
        <v>2.017568721609345E-2</v>
      </c>
      <c r="AB20">
        <f t="shared" si="9"/>
        <v>2.7546719338092152E-2</v>
      </c>
      <c r="AC20">
        <f t="shared" si="10"/>
        <v>1.5469537080223882E-4</v>
      </c>
      <c r="AD20">
        <f t="shared" si="11"/>
        <v>5.0124605192447978E-5</v>
      </c>
      <c r="AE20">
        <f t="shared" si="12"/>
        <v>3.386816223231668E-2</v>
      </c>
      <c r="AF20">
        <f t="shared" si="13"/>
        <v>3.4629576249188845E-2</v>
      </c>
      <c r="AG20">
        <f t="shared" si="6"/>
        <v>0.16509372653018028</v>
      </c>
      <c r="AH20">
        <v>0.1672734788240581</v>
      </c>
      <c r="AI20">
        <v>0.87591575091575091</v>
      </c>
      <c r="AJ20">
        <v>0.13312202852614896</v>
      </c>
      <c r="AK20">
        <v>8.3871605757145362E-3</v>
      </c>
      <c r="AL20">
        <v>0.7650616201308047</v>
      </c>
    </row>
    <row r="21" spans="1:38" x14ac:dyDescent="0.25">
      <c r="A21">
        <v>1</v>
      </c>
      <c r="B21" s="5" t="s">
        <v>8</v>
      </c>
      <c r="C21" s="6" t="s">
        <v>5</v>
      </c>
      <c r="D21" s="6" t="s">
        <v>55</v>
      </c>
      <c r="E21" s="33">
        <v>43760.7</v>
      </c>
      <c r="F21" s="11">
        <v>20</v>
      </c>
      <c r="G21" s="11">
        <v>17</v>
      </c>
      <c r="H21" s="18">
        <f t="shared" si="0"/>
        <v>3</v>
      </c>
      <c r="I21" s="18">
        <v>1</v>
      </c>
      <c r="J21" s="19">
        <v>0.491202346041056</v>
      </c>
      <c r="K21" s="19">
        <v>1.1000000000000001</v>
      </c>
      <c r="L21" s="14">
        <v>1615440.875</v>
      </c>
      <c r="M21" s="16">
        <v>327256.4375</v>
      </c>
      <c r="N21" s="16">
        <v>1931325.75</v>
      </c>
      <c r="O21" s="16">
        <v>1167450.125</v>
      </c>
      <c r="P21" s="16">
        <v>6532.7978515625</v>
      </c>
      <c r="Q21" s="16">
        <v>1425.626342773438</v>
      </c>
      <c r="R21" s="16">
        <v>1073058.75</v>
      </c>
      <c r="S21" s="16">
        <v>1800390.375</v>
      </c>
      <c r="T21" s="31">
        <f t="shared" si="1"/>
        <v>792.28807366943363</v>
      </c>
      <c r="U21" s="37">
        <v>3534.4444444444443</v>
      </c>
      <c r="V21">
        <f t="shared" si="3"/>
        <v>0.22416198249056596</v>
      </c>
      <c r="W21">
        <f t="shared" si="4"/>
        <v>0.35778619334507267</v>
      </c>
      <c r="X21" s="33">
        <v>2629.3166666666684</v>
      </c>
      <c r="Y21">
        <f t="shared" si="5"/>
        <v>4.5705651917635967E-2</v>
      </c>
      <c r="Z21">
        <f t="shared" si="7"/>
        <v>9.2590629911977369E-3</v>
      </c>
      <c r="AA21">
        <f t="shared" si="8"/>
        <v>5.4642979408990877E-2</v>
      </c>
      <c r="AB21">
        <f t="shared" si="9"/>
        <v>3.3030654275385096E-2</v>
      </c>
      <c r="AC21">
        <f t="shared" si="10"/>
        <v>1.8483238184238449E-4</v>
      </c>
      <c r="AD21">
        <f t="shared" si="11"/>
        <v>4.033523132650406E-5</v>
      </c>
      <c r="AE21">
        <f t="shared" si="12"/>
        <v>3.0360040081735304E-2</v>
      </c>
      <c r="AF21">
        <f t="shared" si="13"/>
        <v>5.0938426202452057E-2</v>
      </c>
      <c r="AG21">
        <f t="shared" si="6"/>
        <v>0.22416198249056593</v>
      </c>
      <c r="AH21">
        <v>0.15753404310260122</v>
      </c>
      <c r="AI21">
        <v>0.87831655992680691</v>
      </c>
      <c r="AJ21">
        <v>0.13324393514567842</v>
      </c>
      <c r="AK21">
        <v>1.0077578740742265E-2</v>
      </c>
      <c r="AL21">
        <v>0.77542418064920815</v>
      </c>
    </row>
    <row r="22" spans="1:38" x14ac:dyDescent="0.25">
      <c r="A22">
        <v>1</v>
      </c>
      <c r="B22" s="5" t="s">
        <v>8</v>
      </c>
      <c r="C22" s="6" t="s">
        <v>5</v>
      </c>
      <c r="D22" s="6" t="s">
        <v>56</v>
      </c>
      <c r="E22" s="33">
        <v>43760.7</v>
      </c>
      <c r="F22" s="11">
        <v>21</v>
      </c>
      <c r="G22" s="11">
        <v>17</v>
      </c>
      <c r="H22" s="11">
        <f t="shared" si="0"/>
        <v>4</v>
      </c>
      <c r="I22" s="18">
        <v>1</v>
      </c>
      <c r="J22" s="19">
        <v>0.491202346041056</v>
      </c>
      <c r="K22" s="19">
        <v>1.1000000000000001</v>
      </c>
      <c r="L22" s="6">
        <v>1551490.75</v>
      </c>
      <c r="M22" s="7">
        <v>320902.75</v>
      </c>
      <c r="N22" s="7">
        <v>1680050.25</v>
      </c>
      <c r="O22" s="7">
        <v>1161665.25</v>
      </c>
      <c r="P22" s="7">
        <v>6532.7978515625</v>
      </c>
      <c r="Q22" s="7">
        <v>2013.148315429688</v>
      </c>
      <c r="R22" s="7">
        <v>1053978.625</v>
      </c>
      <c r="S22" s="7">
        <v>1824344.375</v>
      </c>
      <c r="T22" s="31">
        <f t="shared" si="1"/>
        <v>760.09779461669928</v>
      </c>
      <c r="U22" s="37">
        <v>3620.3333333333335</v>
      </c>
      <c r="V22">
        <f t="shared" si="3"/>
        <v>0.20995243383206866</v>
      </c>
      <c r="W22">
        <f t="shared" si="4"/>
        <v>-6.338964574019737E-2</v>
      </c>
      <c r="X22" s="33">
        <v>2814.3000000000011</v>
      </c>
      <c r="Y22">
        <f t="shared" si="5"/>
        <v>4.2854914372525546E-2</v>
      </c>
      <c r="Z22">
        <f t="shared" si="7"/>
        <v>8.8639006537151281E-3</v>
      </c>
      <c r="AA22">
        <f t="shared" si="8"/>
        <v>4.6405954792376386E-2</v>
      </c>
      <c r="AB22">
        <f t="shared" si="9"/>
        <v>3.2087245649571862E-2</v>
      </c>
      <c r="AC22">
        <f t="shared" si="10"/>
        <v>1.8044741326477765E-4</v>
      </c>
      <c r="AD22">
        <f t="shared" si="11"/>
        <v>5.5606711594595927E-5</v>
      </c>
      <c r="AE22">
        <f t="shared" si="12"/>
        <v>2.9112750897707394E-2</v>
      </c>
      <c r="AF22">
        <f t="shared" si="13"/>
        <v>5.0391613341312952E-2</v>
      </c>
      <c r="AG22">
        <f t="shared" si="6"/>
        <v>0.20995243383206866</v>
      </c>
      <c r="AH22">
        <v>0.15753404310260122</v>
      </c>
      <c r="AI22">
        <v>0.87831655992680691</v>
      </c>
      <c r="AJ22">
        <v>0.13324393514567842</v>
      </c>
      <c r="AK22">
        <v>1.0077578740742265E-2</v>
      </c>
      <c r="AL22">
        <v>0.77542418064920815</v>
      </c>
    </row>
    <row r="23" spans="1:38" x14ac:dyDescent="0.25">
      <c r="A23">
        <v>1</v>
      </c>
      <c r="B23" s="5" t="s">
        <v>8</v>
      </c>
      <c r="C23" s="6" t="s">
        <v>5</v>
      </c>
      <c r="D23" s="6" t="s">
        <v>57</v>
      </c>
      <c r="E23" s="33">
        <v>43760.7</v>
      </c>
      <c r="F23" s="11">
        <v>22</v>
      </c>
      <c r="G23" s="11">
        <v>17</v>
      </c>
      <c r="H23" s="11">
        <f t="shared" si="0"/>
        <v>5</v>
      </c>
      <c r="I23" s="18">
        <v>1</v>
      </c>
      <c r="J23" s="19">
        <v>0.491202346041056</v>
      </c>
      <c r="K23" s="19">
        <v>1.1000000000000001</v>
      </c>
      <c r="L23" s="6">
        <v>1529155.625</v>
      </c>
      <c r="M23" s="7">
        <v>332993.375</v>
      </c>
      <c r="N23" s="7">
        <v>1089224.875</v>
      </c>
      <c r="O23" s="7">
        <v>1321452.875</v>
      </c>
      <c r="P23" s="7">
        <v>6532.7978515625</v>
      </c>
      <c r="Q23" s="7">
        <v>5741.9404296875</v>
      </c>
      <c r="R23" s="7">
        <v>1092540.25</v>
      </c>
      <c r="S23" s="7">
        <v>1862716</v>
      </c>
      <c r="T23" s="31">
        <f t="shared" si="1"/>
        <v>724.035773828125</v>
      </c>
      <c r="U23" s="37">
        <v>3706.2222222222226</v>
      </c>
      <c r="V23">
        <f t="shared" si="3"/>
        <v>0.19535681629851073</v>
      </c>
      <c r="W23">
        <f t="shared" si="4"/>
        <v>-6.9518687005230395E-2</v>
      </c>
      <c r="X23" s="33">
        <v>2999.2833333333342</v>
      </c>
      <c r="Y23">
        <f t="shared" si="5"/>
        <v>4.1259145655953948E-2</v>
      </c>
      <c r="Z23">
        <f t="shared" si="7"/>
        <v>8.9847115211656066E-3</v>
      </c>
      <c r="AA23">
        <f t="shared" si="8"/>
        <v>2.9389087045808844E-2</v>
      </c>
      <c r="AB23">
        <f t="shared" si="9"/>
        <v>3.5654982237078782E-2</v>
      </c>
      <c r="AC23">
        <f t="shared" si="10"/>
        <v>1.7626568132888385E-4</v>
      </c>
      <c r="AD23">
        <f t="shared" si="11"/>
        <v>1.5492704121353729E-4</v>
      </c>
      <c r="AE23">
        <f t="shared" si="12"/>
        <v>2.9478541341887512E-2</v>
      </c>
      <c r="AF23">
        <f t="shared" si="13"/>
        <v>5.0259155774073624E-2</v>
      </c>
      <c r="AG23">
        <f t="shared" si="6"/>
        <v>0.1953568162985107</v>
      </c>
      <c r="AH23">
        <v>0.15753404310260122</v>
      </c>
      <c r="AI23">
        <v>0.87831655992680691</v>
      </c>
      <c r="AJ23">
        <v>0.13324393514567842</v>
      </c>
      <c r="AK23">
        <v>1.0077578740742265E-2</v>
      </c>
      <c r="AL23">
        <v>0.77542418064920815</v>
      </c>
    </row>
    <row r="24" spans="1:38" x14ac:dyDescent="0.25">
      <c r="A24">
        <v>1</v>
      </c>
      <c r="B24" s="5" t="s">
        <v>8</v>
      </c>
      <c r="C24" s="6" t="s">
        <v>5</v>
      </c>
      <c r="D24" s="6" t="s">
        <v>58</v>
      </c>
      <c r="E24" s="33">
        <v>43760.7</v>
      </c>
      <c r="F24" s="11">
        <v>23</v>
      </c>
      <c r="G24" s="11">
        <v>17</v>
      </c>
      <c r="H24" s="11">
        <f t="shared" si="0"/>
        <v>6</v>
      </c>
      <c r="I24" s="18">
        <v>1</v>
      </c>
      <c r="J24" s="19">
        <v>0.491202346041056</v>
      </c>
      <c r="K24" s="19">
        <v>1.1000000000000001</v>
      </c>
      <c r="L24" s="6">
        <v>1610194</v>
      </c>
      <c r="M24" s="7">
        <v>339025.03125</v>
      </c>
      <c r="N24" s="7">
        <v>711000.5625</v>
      </c>
      <c r="O24" s="7">
        <v>1195280</v>
      </c>
      <c r="P24" s="7">
        <v>6532.7978515625</v>
      </c>
      <c r="Q24" s="7">
        <v>7914.8212890625</v>
      </c>
      <c r="R24" s="7">
        <v>1105813.75</v>
      </c>
      <c r="S24" s="7">
        <v>1926250.375</v>
      </c>
      <c r="T24" s="31">
        <f t="shared" si="1"/>
        <v>690.20113378906251</v>
      </c>
      <c r="U24" s="37">
        <v>3792.1111111111113</v>
      </c>
      <c r="V24">
        <f t="shared" si="3"/>
        <v>0.18200973377777147</v>
      </c>
      <c r="W24">
        <f t="shared" si="4"/>
        <v>-6.8321560381822299E-2</v>
      </c>
      <c r="X24" s="33">
        <v>3184.2666666666673</v>
      </c>
      <c r="Y24">
        <f t="shared" si="5"/>
        <v>4.2461677752058363E-2</v>
      </c>
      <c r="Z24">
        <f t="shared" si="7"/>
        <v>8.9402715615752009E-3</v>
      </c>
      <c r="AA24">
        <f t="shared" si="8"/>
        <v>1.8749465447273579E-2</v>
      </c>
      <c r="AB24">
        <f t="shared" si="9"/>
        <v>3.1520173459521225E-2</v>
      </c>
      <c r="AC24">
        <f t="shared" si="10"/>
        <v>1.7227337649524597E-4</v>
      </c>
      <c r="AD24">
        <f t="shared" si="11"/>
        <v>2.0871807436948783E-4</v>
      </c>
      <c r="AE24">
        <f t="shared" si="12"/>
        <v>2.916090055378124E-2</v>
      </c>
      <c r="AF24">
        <f t="shared" si="13"/>
        <v>5.0796253552697117E-2</v>
      </c>
      <c r="AG24">
        <f t="shared" si="6"/>
        <v>0.18200973377777147</v>
      </c>
      <c r="AH24">
        <v>0.15753404310260122</v>
      </c>
      <c r="AI24">
        <v>0.87831655992680691</v>
      </c>
      <c r="AJ24">
        <v>0.13324393514567842</v>
      </c>
      <c r="AK24">
        <v>1.0077578740742265E-2</v>
      </c>
      <c r="AL24">
        <v>0.77542418064920815</v>
      </c>
    </row>
    <row r="25" spans="1:38" x14ac:dyDescent="0.25">
      <c r="A25">
        <v>1</v>
      </c>
      <c r="B25" s="5" t="s">
        <v>8</v>
      </c>
      <c r="C25" s="6" t="s">
        <v>5</v>
      </c>
      <c r="D25" s="6" t="s">
        <v>59</v>
      </c>
      <c r="E25" s="33">
        <v>43760.7</v>
      </c>
      <c r="F25" s="11">
        <v>24</v>
      </c>
      <c r="G25" s="11">
        <v>17</v>
      </c>
      <c r="H25" s="11">
        <f t="shared" si="0"/>
        <v>7</v>
      </c>
      <c r="I25" s="18">
        <v>1</v>
      </c>
      <c r="J25" s="19">
        <v>0.491202346041056</v>
      </c>
      <c r="K25" s="19">
        <v>1.1000000000000001</v>
      </c>
      <c r="L25" s="6">
        <v>1589250.875</v>
      </c>
      <c r="M25" s="7">
        <v>335292.9375</v>
      </c>
      <c r="N25" s="7">
        <v>454262.5</v>
      </c>
      <c r="O25" s="7">
        <v>1187462.5</v>
      </c>
      <c r="P25" s="7">
        <v>6532.7978515625</v>
      </c>
      <c r="Q25" s="7">
        <v>5210.82421875</v>
      </c>
      <c r="R25" s="7">
        <v>1091654.5</v>
      </c>
      <c r="S25" s="7">
        <v>1912138.5</v>
      </c>
      <c r="T25" s="31">
        <f t="shared" si="1"/>
        <v>658.18054345703126</v>
      </c>
      <c r="U25" s="37">
        <v>3878</v>
      </c>
      <c r="V25">
        <f t="shared" si="3"/>
        <v>0.16972164606937371</v>
      </c>
      <c r="W25">
        <f t="shared" si="4"/>
        <v>-6.751335466157625E-2</v>
      </c>
      <c r="X25" s="33">
        <v>3369.25</v>
      </c>
      <c r="Y25">
        <f t="shared" si="5"/>
        <v>4.0981198427024239E-2</v>
      </c>
      <c r="Z25">
        <f t="shared" si="7"/>
        <v>8.6460272692109336E-3</v>
      </c>
      <c r="AA25">
        <f t="shared" si="8"/>
        <v>1.1713834450747808E-2</v>
      </c>
      <c r="AB25">
        <f t="shared" si="9"/>
        <v>3.0620487364620936E-2</v>
      </c>
      <c r="AC25">
        <f t="shared" si="10"/>
        <v>1.6845791262409747E-4</v>
      </c>
      <c r="AD25">
        <f t="shared" si="11"/>
        <v>1.3436885556343477E-4</v>
      </c>
      <c r="AE25">
        <f t="shared" si="12"/>
        <v>2.8149935533780295E-2</v>
      </c>
      <c r="AF25">
        <f t="shared" si="13"/>
        <v>4.9307336255801956E-2</v>
      </c>
      <c r="AG25">
        <f t="shared" si="6"/>
        <v>0.16972164606937371</v>
      </c>
      <c r="AH25">
        <v>0.15753404310260122</v>
      </c>
      <c r="AI25">
        <v>0.87831655992680691</v>
      </c>
      <c r="AJ25">
        <v>0.13324393514567842</v>
      </c>
      <c r="AK25">
        <v>1.0077578740742265E-2</v>
      </c>
      <c r="AL25">
        <v>0.77542418064920815</v>
      </c>
    </row>
    <row r="26" spans="1:38" x14ac:dyDescent="0.25">
      <c r="A26">
        <v>1</v>
      </c>
      <c r="B26" s="5" t="s">
        <v>8</v>
      </c>
      <c r="C26" s="6" t="s">
        <v>5</v>
      </c>
      <c r="D26" s="6" t="s">
        <v>60</v>
      </c>
      <c r="E26" s="33">
        <v>43760.7</v>
      </c>
      <c r="F26" s="11">
        <v>25</v>
      </c>
      <c r="G26" s="11">
        <v>17</v>
      </c>
      <c r="H26" s="11">
        <f t="shared" si="0"/>
        <v>8</v>
      </c>
      <c r="I26" s="18">
        <v>1</v>
      </c>
      <c r="J26" s="19">
        <v>0.491202346041056</v>
      </c>
      <c r="K26" s="19">
        <v>1.1000000000000001</v>
      </c>
      <c r="L26" s="6">
        <v>1583317.25</v>
      </c>
      <c r="M26" s="7">
        <v>337182.34375</v>
      </c>
      <c r="N26" s="7">
        <v>252695.78125</v>
      </c>
      <c r="O26" s="7">
        <v>1243904.25</v>
      </c>
      <c r="P26" s="7">
        <v>6532.7978515625</v>
      </c>
      <c r="Q26" s="7">
        <v>2507.82470703125</v>
      </c>
      <c r="R26" s="7">
        <v>1096195.25</v>
      </c>
      <c r="S26" s="7">
        <v>1857339</v>
      </c>
      <c r="T26" s="31">
        <f t="shared" si="1"/>
        <v>637.96744975585932</v>
      </c>
      <c r="U26" s="37">
        <v>3928.1111111111113</v>
      </c>
      <c r="V26">
        <f t="shared" si="3"/>
        <v>0.16241074442912154</v>
      </c>
      <c r="W26">
        <f t="shared" si="4"/>
        <v>-4.3075835107466702E-2</v>
      </c>
      <c r="X26" s="33">
        <v>3554.2333333333331</v>
      </c>
      <c r="Y26">
        <f t="shared" si="5"/>
        <v>4.0307343789777392E-2</v>
      </c>
      <c r="Z26">
        <f t="shared" si="7"/>
        <v>8.5838290774474593E-3</v>
      </c>
      <c r="AA26">
        <f t="shared" si="8"/>
        <v>6.4330100168302554E-3</v>
      </c>
      <c r="AB26">
        <f t="shared" si="9"/>
        <v>3.1666727717591152E-2</v>
      </c>
      <c r="AC26">
        <f t="shared" si="10"/>
        <v>1.6630888655577318E-4</v>
      </c>
      <c r="AD26">
        <f t="shared" si="11"/>
        <v>6.3843018593277083E-5</v>
      </c>
      <c r="AE26">
        <f t="shared" si="12"/>
        <v>2.7906421661528014E-2</v>
      </c>
      <c r="AF26">
        <f t="shared" si="13"/>
        <v>4.7283260260798231E-2</v>
      </c>
      <c r="AG26">
        <f t="shared" si="6"/>
        <v>0.16241074442912157</v>
      </c>
      <c r="AH26">
        <v>0.15753404310260122</v>
      </c>
      <c r="AI26">
        <v>0.87831655992680691</v>
      </c>
      <c r="AJ26">
        <v>0.13324393514567842</v>
      </c>
      <c r="AK26">
        <v>1.0077578740742265E-2</v>
      </c>
      <c r="AL26">
        <v>0.77542418064920815</v>
      </c>
    </row>
    <row r="27" spans="1:38" x14ac:dyDescent="0.25">
      <c r="A27">
        <v>1</v>
      </c>
      <c r="B27" s="5" t="s">
        <v>8</v>
      </c>
      <c r="C27" s="6" t="s">
        <v>5</v>
      </c>
      <c r="D27" s="6" t="s">
        <v>61</v>
      </c>
      <c r="E27" s="33">
        <v>43760.7</v>
      </c>
      <c r="F27" s="11">
        <v>26</v>
      </c>
      <c r="G27" s="11">
        <v>17</v>
      </c>
      <c r="H27" s="11">
        <f t="shared" si="0"/>
        <v>9</v>
      </c>
      <c r="I27" s="18">
        <v>1</v>
      </c>
      <c r="J27" s="19">
        <v>0.491202346041056</v>
      </c>
      <c r="K27" s="19">
        <v>1.1000000000000001</v>
      </c>
      <c r="L27" s="6">
        <v>1601236.625</v>
      </c>
      <c r="M27" s="7">
        <v>324908.25</v>
      </c>
      <c r="N27" s="7">
        <v>188128.890625</v>
      </c>
      <c r="O27" s="7">
        <v>1399157.625</v>
      </c>
      <c r="P27" s="7">
        <v>6532.7978515625</v>
      </c>
      <c r="Q27" s="7">
        <v>1474.544921875</v>
      </c>
      <c r="R27" s="7">
        <v>1050151.5</v>
      </c>
      <c r="S27" s="7">
        <v>1821129.75</v>
      </c>
      <c r="T27" s="31">
        <f t="shared" si="1"/>
        <v>639.27199833984378</v>
      </c>
      <c r="U27" s="37">
        <v>3978.2222222222226</v>
      </c>
      <c r="V27">
        <f t="shared" si="3"/>
        <v>0.16069288305939541</v>
      </c>
      <c r="W27">
        <f t="shared" si="4"/>
        <v>-1.0577264304553607E-2</v>
      </c>
      <c r="X27" s="33">
        <v>3739.2166666666662</v>
      </c>
      <c r="Y27">
        <f t="shared" si="5"/>
        <v>4.0250054812311468E-2</v>
      </c>
      <c r="Z27">
        <f t="shared" si="7"/>
        <v>8.1671719640263648E-3</v>
      </c>
      <c r="AA27">
        <f t="shared" si="8"/>
        <v>4.7289688739386654E-3</v>
      </c>
      <c r="AB27">
        <f t="shared" si="9"/>
        <v>3.5170424044799461E-2</v>
      </c>
      <c r="AC27">
        <f t="shared" si="10"/>
        <v>1.6421400029064488E-4</v>
      </c>
      <c r="AD27">
        <f t="shared" si="11"/>
        <v>3.7065423686948384E-5</v>
      </c>
      <c r="AE27">
        <f t="shared" si="12"/>
        <v>2.6397507261758459E-2</v>
      </c>
      <c r="AF27">
        <f t="shared" si="13"/>
        <v>4.5777476678583395E-2</v>
      </c>
      <c r="AG27">
        <f t="shared" si="6"/>
        <v>0.16069288305939539</v>
      </c>
      <c r="AH27">
        <v>0.15753404310260122</v>
      </c>
      <c r="AI27">
        <v>0.87831655992680691</v>
      </c>
      <c r="AJ27">
        <v>0.13324393514567842</v>
      </c>
      <c r="AK27">
        <v>1.0077578740742265E-2</v>
      </c>
      <c r="AL27">
        <v>0.77542418064920815</v>
      </c>
    </row>
    <row r="28" spans="1:38" x14ac:dyDescent="0.25">
      <c r="A28">
        <v>1</v>
      </c>
      <c r="B28" s="5" t="s">
        <v>8</v>
      </c>
      <c r="C28" s="6" t="s">
        <v>5</v>
      </c>
      <c r="D28" s="6" t="s">
        <v>62</v>
      </c>
      <c r="E28" s="33">
        <v>43760.7</v>
      </c>
      <c r="F28" s="11">
        <v>27</v>
      </c>
      <c r="G28" s="11">
        <v>17</v>
      </c>
      <c r="H28" s="11">
        <f t="shared" si="0"/>
        <v>10</v>
      </c>
      <c r="I28" s="18">
        <v>1</v>
      </c>
      <c r="J28" s="19">
        <v>0.491202346041056</v>
      </c>
      <c r="K28" s="19">
        <v>1.1000000000000001</v>
      </c>
      <c r="L28" s="6">
        <v>1539425.75</v>
      </c>
      <c r="M28" s="7">
        <v>316386.5625</v>
      </c>
      <c r="N28" s="7">
        <v>209104.921875</v>
      </c>
      <c r="O28" s="7">
        <v>1488901.375</v>
      </c>
      <c r="P28" s="7">
        <v>6532.7978515625</v>
      </c>
      <c r="Q28" s="7">
        <v>2070.552490234375</v>
      </c>
      <c r="R28" s="7">
        <v>1017515.0625</v>
      </c>
      <c r="S28" s="7">
        <v>1839341.5</v>
      </c>
      <c r="T28" s="31">
        <f t="shared" si="1"/>
        <v>641.9278522216797</v>
      </c>
      <c r="U28" s="37">
        <v>4028.3333333333335</v>
      </c>
      <c r="V28">
        <f t="shared" si="3"/>
        <v>0.1593532111431559</v>
      </c>
      <c r="W28">
        <f t="shared" si="4"/>
        <v>-8.336846602872542E-3</v>
      </c>
      <c r="X28" s="33">
        <v>3924.1999999999989</v>
      </c>
      <c r="Y28">
        <f t="shared" si="5"/>
        <v>3.8214954489035995E-2</v>
      </c>
      <c r="Z28">
        <f t="shared" si="7"/>
        <v>7.8540313405047572E-3</v>
      </c>
      <c r="AA28">
        <f t="shared" si="8"/>
        <v>5.1908544942076947E-3</v>
      </c>
      <c r="AB28">
        <f t="shared" si="9"/>
        <v>3.6960729209764169E-2</v>
      </c>
      <c r="AC28">
        <f t="shared" si="10"/>
        <v>1.6217123338591228E-4</v>
      </c>
      <c r="AD28">
        <f t="shared" si="11"/>
        <v>5.1399730829152879E-5</v>
      </c>
      <c r="AE28">
        <f t="shared" si="12"/>
        <v>2.5258958936698387E-2</v>
      </c>
      <c r="AF28">
        <f t="shared" si="13"/>
        <v>4.5660111708729828E-2</v>
      </c>
      <c r="AG28">
        <f t="shared" si="6"/>
        <v>0.1593532111431559</v>
      </c>
      <c r="AH28">
        <v>0.15753404310260122</v>
      </c>
      <c r="AI28">
        <v>0.87831655992680691</v>
      </c>
      <c r="AJ28">
        <v>0.13324393514567842</v>
      </c>
      <c r="AK28">
        <v>1.0077578740742265E-2</v>
      </c>
      <c r="AL28">
        <v>0.77542418064920815</v>
      </c>
    </row>
    <row r="29" spans="1:38" x14ac:dyDescent="0.25">
      <c r="A29">
        <v>1</v>
      </c>
      <c r="B29" s="5" t="s">
        <v>8</v>
      </c>
      <c r="C29" s="6" t="s">
        <v>5</v>
      </c>
      <c r="D29" s="6" t="s">
        <v>63</v>
      </c>
      <c r="E29" s="33">
        <v>43760.7</v>
      </c>
      <c r="F29" s="11">
        <v>28</v>
      </c>
      <c r="G29" s="11">
        <v>17</v>
      </c>
      <c r="H29" s="11">
        <f t="shared" si="0"/>
        <v>11</v>
      </c>
      <c r="I29" s="18">
        <v>1</v>
      </c>
      <c r="J29" s="19">
        <v>0.491202346041056</v>
      </c>
      <c r="K29" s="19">
        <v>1.1000000000000001</v>
      </c>
      <c r="L29" s="6">
        <v>1522100.125</v>
      </c>
      <c r="M29" s="7">
        <v>329487.1875</v>
      </c>
      <c r="N29" s="7">
        <v>375383.78125</v>
      </c>
      <c r="O29" s="7">
        <v>1299876.625</v>
      </c>
      <c r="P29" s="7">
        <v>6532.7978515625</v>
      </c>
      <c r="Q29" s="7">
        <v>5797.34765625</v>
      </c>
      <c r="R29" s="7">
        <v>1064296.125</v>
      </c>
      <c r="S29" s="7">
        <v>1870678.5</v>
      </c>
      <c r="T29" s="31">
        <f t="shared" si="1"/>
        <v>647.41524892578127</v>
      </c>
      <c r="U29" s="37">
        <v>4104.8888888888896</v>
      </c>
      <c r="V29">
        <f t="shared" si="3"/>
        <v>0.15771809333943348</v>
      </c>
      <c r="W29">
        <f t="shared" si="4"/>
        <v>-1.0260965511724115E-2</v>
      </c>
      <c r="X29" s="33">
        <v>4109.1833333333325</v>
      </c>
      <c r="Y29">
        <f t="shared" si="5"/>
        <v>3.7080178445755736E-2</v>
      </c>
      <c r="Z29">
        <f t="shared" si="7"/>
        <v>8.0267017309982661E-3</v>
      </c>
      <c r="AA29">
        <f t="shared" si="8"/>
        <v>9.1447976159863553E-3</v>
      </c>
      <c r="AB29">
        <f t="shared" si="9"/>
        <v>3.1666548356972711E-2</v>
      </c>
      <c r="AC29">
        <f t="shared" si="10"/>
        <v>1.5914676446530558E-4</v>
      </c>
      <c r="AD29">
        <f t="shared" si="11"/>
        <v>1.4123031860721632E-4</v>
      </c>
      <c r="AE29">
        <f t="shared" si="12"/>
        <v>2.5927525782265048E-2</v>
      </c>
      <c r="AF29">
        <f t="shared" si="13"/>
        <v>4.5571964324382847E-2</v>
      </c>
      <c r="AG29">
        <f t="shared" si="6"/>
        <v>0.15771809333943348</v>
      </c>
      <c r="AH29">
        <v>0.15753404310260122</v>
      </c>
      <c r="AI29">
        <v>0.87831655992680691</v>
      </c>
      <c r="AJ29">
        <v>0.13324393514567842</v>
      </c>
      <c r="AK29">
        <v>1.0077578740742265E-2</v>
      </c>
      <c r="AL29">
        <v>0.77542418064920815</v>
      </c>
    </row>
    <row r="30" spans="1:38" x14ac:dyDescent="0.25">
      <c r="A30">
        <v>1</v>
      </c>
      <c r="B30" s="5" t="s">
        <v>8</v>
      </c>
      <c r="C30" s="6" t="s">
        <v>5</v>
      </c>
      <c r="D30" s="6" t="s">
        <v>64</v>
      </c>
      <c r="E30" s="33">
        <v>43760.7</v>
      </c>
      <c r="F30" s="11">
        <v>29</v>
      </c>
      <c r="G30" s="11">
        <v>17</v>
      </c>
      <c r="H30" s="11">
        <f t="shared" si="0"/>
        <v>12</v>
      </c>
      <c r="I30" s="18">
        <v>1</v>
      </c>
      <c r="J30" s="19">
        <v>0.491202346041056</v>
      </c>
      <c r="K30" s="19">
        <v>1.1000000000000001</v>
      </c>
      <c r="L30" s="6">
        <v>1608418</v>
      </c>
      <c r="M30" s="7">
        <v>338220.5625</v>
      </c>
      <c r="N30" s="7">
        <v>854883.125</v>
      </c>
      <c r="O30" s="7">
        <v>1279238.75</v>
      </c>
      <c r="P30" s="7">
        <v>6532.7978515625</v>
      </c>
      <c r="Q30" s="7">
        <v>7995.6875</v>
      </c>
      <c r="R30" s="7">
        <v>1099364.125</v>
      </c>
      <c r="S30" s="7">
        <v>1934025.75</v>
      </c>
      <c r="T30" s="31">
        <f t="shared" si="1"/>
        <v>712.86787978515622</v>
      </c>
      <c r="U30" s="37">
        <v>4181.4444444444443</v>
      </c>
      <c r="V30">
        <f t="shared" si="3"/>
        <v>0.17048364249638365</v>
      </c>
      <c r="W30">
        <f t="shared" si="4"/>
        <v>8.0939027898826718E-2</v>
      </c>
      <c r="X30" s="33">
        <v>4294.1666666666652</v>
      </c>
      <c r="Y30">
        <f t="shared" si="5"/>
        <v>3.8465607312730847E-2</v>
      </c>
      <c r="Z30">
        <f t="shared" si="7"/>
        <v>8.088605911035527E-3</v>
      </c>
      <c r="AA30">
        <f t="shared" si="8"/>
        <v>2.044468451890628E-2</v>
      </c>
      <c r="AB30">
        <f t="shared" si="9"/>
        <v>3.0593226025031225E-2</v>
      </c>
      <c r="AC30">
        <f t="shared" si="10"/>
        <v>1.5623304191550634E-4</v>
      </c>
      <c r="AD30">
        <f t="shared" si="11"/>
        <v>1.9121831238540644E-4</v>
      </c>
      <c r="AE30">
        <f t="shared" si="12"/>
        <v>2.6291491842266094E-2</v>
      </c>
      <c r="AF30">
        <f t="shared" si="13"/>
        <v>4.6252575532112775E-2</v>
      </c>
      <c r="AG30">
        <f t="shared" si="6"/>
        <v>0.17048364249638365</v>
      </c>
      <c r="AH30">
        <v>0.15753404310260122</v>
      </c>
      <c r="AI30">
        <v>0.87831655992680691</v>
      </c>
      <c r="AJ30">
        <v>0.13324393514567842</v>
      </c>
      <c r="AK30">
        <v>1.0077578740742265E-2</v>
      </c>
      <c r="AL30">
        <v>0.77542418064920815</v>
      </c>
    </row>
    <row r="31" spans="1:38" x14ac:dyDescent="0.25">
      <c r="A31">
        <v>1</v>
      </c>
      <c r="B31" s="5" t="s">
        <v>8</v>
      </c>
      <c r="C31" s="6" t="s">
        <v>5</v>
      </c>
      <c r="D31" s="6" t="s">
        <v>65</v>
      </c>
      <c r="E31" s="33">
        <v>43760.7</v>
      </c>
      <c r="F31" s="11">
        <v>30</v>
      </c>
      <c r="G31" s="11">
        <v>17</v>
      </c>
      <c r="H31" s="11">
        <f t="shared" si="0"/>
        <v>13</v>
      </c>
      <c r="I31" s="18">
        <v>1</v>
      </c>
      <c r="J31" s="19">
        <v>0.491202346041056</v>
      </c>
      <c r="K31" s="19">
        <v>1.1000000000000001</v>
      </c>
      <c r="L31" s="6">
        <v>1594814</v>
      </c>
      <c r="M31" s="7">
        <v>335890.125</v>
      </c>
      <c r="N31" s="7">
        <v>1263041.75</v>
      </c>
      <c r="O31" s="7">
        <v>1366324.5</v>
      </c>
      <c r="P31" s="7">
        <v>6532.7978515625</v>
      </c>
      <c r="Q31" s="7">
        <v>5276.21533203125</v>
      </c>
      <c r="R31" s="7">
        <v>1098293</v>
      </c>
      <c r="S31" s="7">
        <v>1910473.25</v>
      </c>
      <c r="T31" s="31">
        <f t="shared" si="1"/>
        <v>758.06456381835937</v>
      </c>
      <c r="U31" s="37">
        <v>4258</v>
      </c>
      <c r="V31">
        <f t="shared" si="3"/>
        <v>0.17803301169994348</v>
      </c>
      <c r="W31">
        <f t="shared" si="4"/>
        <v>4.4282073593775867E-2</v>
      </c>
      <c r="X31" s="33">
        <v>4479.1499999999978</v>
      </c>
      <c r="Y31">
        <f t="shared" si="5"/>
        <v>3.7454532644434005E-2</v>
      </c>
      <c r="Z31">
        <f t="shared" si="7"/>
        <v>7.8884482151244713E-3</v>
      </c>
      <c r="AA31">
        <f t="shared" si="8"/>
        <v>2.9662793565054017E-2</v>
      </c>
      <c r="AB31">
        <f t="shared" si="9"/>
        <v>3.2088410051667453E-2</v>
      </c>
      <c r="AC31">
        <f t="shared" si="10"/>
        <v>1.5342409233354862E-4</v>
      </c>
      <c r="AD31">
        <f t="shared" si="11"/>
        <v>1.2391299511581142E-4</v>
      </c>
      <c r="AE31">
        <f t="shared" si="12"/>
        <v>2.5793635509628932E-2</v>
      </c>
      <c r="AF31">
        <f t="shared" si="13"/>
        <v>4.4867854626585248E-2</v>
      </c>
      <c r="AG31">
        <f t="shared" si="6"/>
        <v>0.17803301169994348</v>
      </c>
      <c r="AH31">
        <v>0.15753404310260122</v>
      </c>
      <c r="AI31">
        <v>0.87831655992680691</v>
      </c>
      <c r="AJ31">
        <v>0.13324393514567842</v>
      </c>
      <c r="AK31">
        <v>1.0077578740742265E-2</v>
      </c>
      <c r="AL31">
        <v>0.77542418064920815</v>
      </c>
    </row>
    <row r="32" spans="1:38" x14ac:dyDescent="0.25">
      <c r="A32">
        <v>1</v>
      </c>
      <c r="B32" s="5" t="s">
        <v>8</v>
      </c>
      <c r="C32" s="6" t="s">
        <v>5</v>
      </c>
      <c r="D32" s="6" t="s">
        <v>66</v>
      </c>
      <c r="E32" s="33">
        <v>43760.7</v>
      </c>
      <c r="F32" s="11">
        <v>31</v>
      </c>
      <c r="G32" s="11">
        <v>17</v>
      </c>
      <c r="H32" s="11">
        <f t="shared" si="0"/>
        <v>14</v>
      </c>
      <c r="I32" s="18">
        <v>1</v>
      </c>
      <c r="J32" s="19">
        <v>0.491202346041056</v>
      </c>
      <c r="K32" s="19">
        <v>1.1000000000000001</v>
      </c>
      <c r="L32" s="6">
        <v>1595270.25</v>
      </c>
      <c r="M32" s="7">
        <v>338343.125</v>
      </c>
      <c r="N32" s="7">
        <v>1915921.125</v>
      </c>
      <c r="O32" s="7">
        <v>1524079.625</v>
      </c>
      <c r="P32" s="7">
        <v>6535.93408203125</v>
      </c>
      <c r="Q32" s="7">
        <v>2488.35693359375</v>
      </c>
      <c r="R32" s="7">
        <v>1109807.875</v>
      </c>
      <c r="S32" s="7">
        <v>1843606.5</v>
      </c>
      <c r="T32" s="31">
        <f t="shared" si="1"/>
        <v>833.60527910156247</v>
      </c>
      <c r="U32" s="37">
        <v>4334.5555555555557</v>
      </c>
      <c r="V32">
        <f t="shared" si="3"/>
        <v>0.19231620599097848</v>
      </c>
      <c r="W32">
        <f t="shared" si="4"/>
        <v>8.0227785592415141E-2</v>
      </c>
      <c r="X32" s="33">
        <v>4664.1333333333314</v>
      </c>
      <c r="Y32">
        <f t="shared" si="5"/>
        <v>3.6803548358155393E-2</v>
      </c>
      <c r="Z32">
        <f t="shared" si="7"/>
        <v>7.8057166568403788E-3</v>
      </c>
      <c r="AA32">
        <f t="shared" si="8"/>
        <v>4.4201097446873956E-2</v>
      </c>
      <c r="AB32">
        <f t="shared" si="9"/>
        <v>3.5161151021506756E-2</v>
      </c>
      <c r="AC32">
        <f t="shared" si="10"/>
        <v>1.5078671845961716E-4</v>
      </c>
      <c r="AD32">
        <f t="shared" si="11"/>
        <v>5.7407429705323496E-5</v>
      </c>
      <c r="AE32">
        <f t="shared" si="12"/>
        <v>2.5603729396836788E-2</v>
      </c>
      <c r="AF32">
        <f t="shared" si="13"/>
        <v>4.253276896260029E-2</v>
      </c>
      <c r="AG32">
        <f t="shared" si="6"/>
        <v>0.19231620599097848</v>
      </c>
      <c r="AH32">
        <v>0.15753404310260122</v>
      </c>
      <c r="AI32">
        <v>0.87831655992680691</v>
      </c>
      <c r="AJ32">
        <v>0.13324393514567842</v>
      </c>
      <c r="AK32">
        <v>1.0077578740742265E-2</v>
      </c>
      <c r="AL32">
        <v>0.77542418064920815</v>
      </c>
    </row>
    <row r="33" spans="1:38" x14ac:dyDescent="0.25">
      <c r="A33">
        <v>2</v>
      </c>
      <c r="B33" s="5" t="s">
        <v>11</v>
      </c>
      <c r="C33" s="6" t="s">
        <v>5</v>
      </c>
      <c r="D33" s="6" t="s">
        <v>36</v>
      </c>
      <c r="E33" s="28">
        <v>15695.0458</v>
      </c>
      <c r="F33" s="11">
        <v>1</v>
      </c>
      <c r="G33" s="11">
        <v>15</v>
      </c>
      <c r="H33" s="18">
        <f t="shared" si="0"/>
        <v>-14</v>
      </c>
      <c r="I33" s="18">
        <v>1</v>
      </c>
      <c r="J33" s="19">
        <v>1.3914956011730211</v>
      </c>
      <c r="K33" s="19">
        <v>2.5</v>
      </c>
      <c r="L33" s="14">
        <v>4405209</v>
      </c>
      <c r="M33" s="16">
        <v>773609.1875</v>
      </c>
      <c r="N33" s="16">
        <v>567563</v>
      </c>
      <c r="O33" s="16">
        <v>2968789.25</v>
      </c>
      <c r="P33" s="16">
        <v>5231.92236328125</v>
      </c>
      <c r="Q33" s="16">
        <v>2291.92822265625</v>
      </c>
      <c r="R33" s="16">
        <v>867627.125</v>
      </c>
      <c r="S33" s="16">
        <v>1582307.625</v>
      </c>
      <c r="T33" s="31">
        <f t="shared" si="1"/>
        <v>1117.2629038085938</v>
      </c>
      <c r="U33" s="37"/>
      <c r="X33" s="28">
        <v>1237.2099999999998</v>
      </c>
      <c r="Y33" t="e">
        <f t="shared" si="5"/>
        <v>#DIV/0!</v>
      </c>
      <c r="Z33" t="e">
        <f t="shared" si="7"/>
        <v>#DIV/0!</v>
      </c>
      <c r="AA33" t="e">
        <f t="shared" si="8"/>
        <v>#DIV/0!</v>
      </c>
      <c r="AB33" t="e">
        <f t="shared" si="9"/>
        <v>#DIV/0!</v>
      </c>
      <c r="AC33" t="e">
        <f t="shared" si="10"/>
        <v>#DIV/0!</v>
      </c>
      <c r="AD33" t="e">
        <f t="shared" si="11"/>
        <v>#DIV/0!</v>
      </c>
      <c r="AE33" t="e">
        <f t="shared" si="12"/>
        <v>#DIV/0!</v>
      </c>
      <c r="AF33" t="e">
        <f t="shared" si="13"/>
        <v>#DIV/0!</v>
      </c>
      <c r="AG33" t="e">
        <f t="shared" si="6"/>
        <v>#DIV/0!</v>
      </c>
      <c r="AH33">
        <v>0.36830093225978355</v>
      </c>
      <c r="AI33">
        <v>0.84850691915513476</v>
      </c>
      <c r="AJ33">
        <v>0.11521356045984728</v>
      </c>
      <c r="AK33">
        <v>1.6009096322611559E-2</v>
      </c>
      <c r="AL33">
        <v>0.67915179775102685</v>
      </c>
    </row>
    <row r="34" spans="1:38" x14ac:dyDescent="0.25">
      <c r="A34">
        <v>2</v>
      </c>
      <c r="B34" s="5" t="s">
        <v>11</v>
      </c>
      <c r="C34" s="6" t="s">
        <v>5</v>
      </c>
      <c r="D34" s="6" t="s">
        <v>37</v>
      </c>
      <c r="E34" s="28">
        <v>15695.0458</v>
      </c>
      <c r="F34" s="11">
        <v>2</v>
      </c>
      <c r="G34" s="11">
        <v>15</v>
      </c>
      <c r="H34" s="11">
        <f t="shared" si="0"/>
        <v>-13</v>
      </c>
      <c r="I34" s="18">
        <v>1</v>
      </c>
      <c r="J34" s="19">
        <v>1.3914956011730211</v>
      </c>
      <c r="K34" s="19">
        <v>2.5</v>
      </c>
      <c r="L34" s="6">
        <v>4784925.5</v>
      </c>
      <c r="M34" s="7">
        <v>743503.6875</v>
      </c>
      <c r="N34" s="7">
        <v>567563</v>
      </c>
      <c r="O34" s="7">
        <v>2850324.75</v>
      </c>
      <c r="P34" s="7">
        <v>5231.92236328125</v>
      </c>
      <c r="Q34" s="7">
        <v>1347.60266113281</v>
      </c>
      <c r="R34" s="7">
        <v>873825.625</v>
      </c>
      <c r="S34" s="7">
        <v>1549535.75</v>
      </c>
      <c r="T34" s="31">
        <f t="shared" si="1"/>
        <v>1137.6257837524413</v>
      </c>
      <c r="U34" s="37">
        <v>1361.5</v>
      </c>
      <c r="V34">
        <f t="shared" si="3"/>
        <v>0.83556796456293891</v>
      </c>
      <c r="W34" t="e">
        <f>(V34-V33)/V33</f>
        <v>#DIV/0!</v>
      </c>
      <c r="X34" s="28">
        <v>1376.9649999999999</v>
      </c>
      <c r="Y34">
        <f t="shared" si="5"/>
        <v>0.35144513404333455</v>
      </c>
      <c r="Z34">
        <f t="shared" si="7"/>
        <v>5.4609158097686371E-2</v>
      </c>
      <c r="AA34">
        <f t="shared" si="8"/>
        <v>4.168659566654425E-2</v>
      </c>
      <c r="AB34">
        <f t="shared" si="9"/>
        <v>0.20935179948586119</v>
      </c>
      <c r="AC34">
        <f t="shared" si="10"/>
        <v>3.842763395726221E-4</v>
      </c>
      <c r="AD34">
        <f t="shared" si="11"/>
        <v>9.8979262661242015E-5</v>
      </c>
      <c r="AE34">
        <f t="shared" si="12"/>
        <v>6.418109621740728E-2</v>
      </c>
      <c r="AF34">
        <f t="shared" si="13"/>
        <v>0.11381092544987145</v>
      </c>
      <c r="AG34">
        <f t="shared" si="6"/>
        <v>0.83556796456293903</v>
      </c>
      <c r="AH34">
        <v>0.36830093225978355</v>
      </c>
      <c r="AI34">
        <v>0.84850691915513476</v>
      </c>
      <c r="AJ34">
        <v>0.11521356045984728</v>
      </c>
      <c r="AK34">
        <v>1.6009096322611559E-2</v>
      </c>
      <c r="AL34">
        <v>0.67915179775102685</v>
      </c>
    </row>
    <row r="35" spans="1:38" x14ac:dyDescent="0.25">
      <c r="A35">
        <v>2</v>
      </c>
      <c r="B35" s="5" t="s">
        <v>11</v>
      </c>
      <c r="C35" s="6" t="s">
        <v>5</v>
      </c>
      <c r="D35" s="6" t="s">
        <v>38</v>
      </c>
      <c r="E35" s="28">
        <v>15695.0458</v>
      </c>
      <c r="F35" s="11">
        <v>3</v>
      </c>
      <c r="G35" s="11">
        <v>15</v>
      </c>
      <c r="H35" s="11">
        <f t="shared" si="0"/>
        <v>-12</v>
      </c>
      <c r="I35" s="18">
        <v>1</v>
      </c>
      <c r="J35" s="19">
        <v>1.3914956011730211</v>
      </c>
      <c r="K35" s="19">
        <v>2.5</v>
      </c>
      <c r="L35" s="6">
        <v>4783064</v>
      </c>
      <c r="M35" s="7">
        <v>722767</v>
      </c>
      <c r="N35" s="7">
        <v>567563</v>
      </c>
      <c r="O35" s="7">
        <v>2770010.25</v>
      </c>
      <c r="P35" s="7">
        <v>5231.92236328125</v>
      </c>
      <c r="Q35" s="7">
        <v>1892.30053710938</v>
      </c>
      <c r="R35" s="7">
        <v>852786.5625</v>
      </c>
      <c r="S35" s="7">
        <v>1566341.875</v>
      </c>
      <c r="T35" s="31">
        <f t="shared" si="1"/>
        <v>1126.965691040039</v>
      </c>
      <c r="U35" s="37">
        <v>1401.6666666666667</v>
      </c>
      <c r="V35">
        <f t="shared" si="3"/>
        <v>0.80401832892273883</v>
      </c>
      <c r="W35">
        <f t="shared" ref="W35:W63" si="14">(V35-V34)/V34</f>
        <v>-3.7758311685277171E-2</v>
      </c>
      <c r="X35" s="28">
        <v>1516.7199999999998</v>
      </c>
      <c r="Y35">
        <f t="shared" si="5"/>
        <v>0.3412411890606421</v>
      </c>
      <c r="Z35">
        <f t="shared" si="7"/>
        <v>5.1564827586206889E-2</v>
      </c>
      <c r="AA35">
        <f t="shared" si="8"/>
        <v>4.0492009512485133E-2</v>
      </c>
      <c r="AB35">
        <f t="shared" si="9"/>
        <v>0.19762260998810938</v>
      </c>
      <c r="AC35">
        <f t="shared" si="10"/>
        <v>3.7326437787975624E-4</v>
      </c>
      <c r="AD35">
        <f t="shared" si="11"/>
        <v>1.3500360550126373E-4</v>
      </c>
      <c r="AE35">
        <f t="shared" si="12"/>
        <v>6.0840896254458973E-2</v>
      </c>
      <c r="AF35">
        <f t="shared" si="13"/>
        <v>0.1117485285374554</v>
      </c>
      <c r="AG35">
        <f t="shared" si="6"/>
        <v>0.80401832892273895</v>
      </c>
      <c r="AH35">
        <v>0.36830093225978355</v>
      </c>
      <c r="AI35">
        <v>0.84850691915513476</v>
      </c>
      <c r="AJ35">
        <v>0.11521356045984728</v>
      </c>
      <c r="AK35">
        <v>1.6009096322611559E-2</v>
      </c>
      <c r="AL35">
        <v>0.67915179775102685</v>
      </c>
    </row>
    <row r="36" spans="1:38" x14ac:dyDescent="0.25">
      <c r="A36">
        <v>2</v>
      </c>
      <c r="B36" s="5" t="s">
        <v>11</v>
      </c>
      <c r="C36" s="6" t="s">
        <v>5</v>
      </c>
      <c r="D36" s="6" t="s">
        <v>39</v>
      </c>
      <c r="E36" s="28">
        <v>15695.0458</v>
      </c>
      <c r="F36" s="11">
        <v>4</v>
      </c>
      <c r="G36" s="11">
        <v>15</v>
      </c>
      <c r="H36" s="11">
        <f t="shared" si="0"/>
        <v>-11</v>
      </c>
      <c r="I36" s="18">
        <v>1</v>
      </c>
      <c r="J36" s="19">
        <v>1.3914956011730211</v>
      </c>
      <c r="K36" s="19">
        <v>2.5</v>
      </c>
      <c r="L36" s="6">
        <v>4546051.5</v>
      </c>
      <c r="M36" s="7">
        <v>753833.4375</v>
      </c>
      <c r="N36" s="7">
        <v>567563</v>
      </c>
      <c r="O36" s="7">
        <v>2890978.5</v>
      </c>
      <c r="P36" s="7">
        <v>5231.92236328125</v>
      </c>
      <c r="Q36" s="7">
        <v>5298.25927734375</v>
      </c>
      <c r="R36" s="7">
        <v>846639</v>
      </c>
      <c r="S36" s="7">
        <v>1594732.125</v>
      </c>
      <c r="T36" s="31">
        <f t="shared" si="1"/>
        <v>1121.0327744140625</v>
      </c>
      <c r="U36" s="37">
        <v>1428.1111111111113</v>
      </c>
      <c r="V36">
        <f t="shared" si="3"/>
        <v>0.78497587876188912</v>
      </c>
      <c r="W36">
        <f t="shared" si="14"/>
        <v>-2.3684099573157334E-2</v>
      </c>
      <c r="X36" s="28">
        <v>1656.4749999999997</v>
      </c>
      <c r="Y36">
        <f t="shared" si="5"/>
        <v>0.31832617676806968</v>
      </c>
      <c r="Z36">
        <f t="shared" si="7"/>
        <v>5.2785349237532093E-2</v>
      </c>
      <c r="AA36">
        <f t="shared" si="8"/>
        <v>3.9742215825099195E-2</v>
      </c>
      <c r="AB36">
        <f t="shared" si="9"/>
        <v>0.20243372364428536</v>
      </c>
      <c r="AC36">
        <f t="shared" si="10"/>
        <v>3.6635261238256628E-4</v>
      </c>
      <c r="AD36">
        <f t="shared" si="11"/>
        <v>3.7099769311517731E-4</v>
      </c>
      <c r="AE36">
        <f t="shared" si="12"/>
        <v>5.9283832568271987E-2</v>
      </c>
      <c r="AF36">
        <f t="shared" si="13"/>
        <v>0.1116672304131331</v>
      </c>
      <c r="AG36">
        <f t="shared" si="6"/>
        <v>0.78497587876188912</v>
      </c>
      <c r="AH36">
        <v>0.36830093225978355</v>
      </c>
      <c r="AI36">
        <v>0.84850691915513476</v>
      </c>
      <c r="AJ36">
        <v>0.11521356045984728</v>
      </c>
      <c r="AK36">
        <v>1.6009096322611559E-2</v>
      </c>
      <c r="AL36">
        <v>0.67915179775102685</v>
      </c>
    </row>
    <row r="37" spans="1:38" x14ac:dyDescent="0.25">
      <c r="A37">
        <v>2</v>
      </c>
      <c r="B37" s="5" t="s">
        <v>11</v>
      </c>
      <c r="C37" s="6" t="s">
        <v>5</v>
      </c>
      <c r="D37" s="6" t="s">
        <v>40</v>
      </c>
      <c r="E37" s="28">
        <v>15695.0458</v>
      </c>
      <c r="F37" s="11">
        <v>5</v>
      </c>
      <c r="G37" s="11">
        <v>15</v>
      </c>
      <c r="H37" s="11">
        <f t="shared" si="0"/>
        <v>-10</v>
      </c>
      <c r="I37" s="18">
        <v>1</v>
      </c>
      <c r="J37" s="19">
        <v>1.3914956011730211</v>
      </c>
      <c r="K37" s="19">
        <v>2.5</v>
      </c>
      <c r="L37" s="6">
        <v>5151612.5</v>
      </c>
      <c r="M37" s="7">
        <v>775146</v>
      </c>
      <c r="N37" s="7">
        <v>567563</v>
      </c>
      <c r="O37" s="7">
        <v>2972828.5</v>
      </c>
      <c r="P37" s="7">
        <v>5231.92236328125</v>
      </c>
      <c r="Q37" s="7">
        <v>7307.345703125</v>
      </c>
      <c r="R37" s="7">
        <v>875531.125</v>
      </c>
      <c r="S37" s="7">
        <v>1653823.875</v>
      </c>
      <c r="T37" s="31">
        <f t="shared" si="1"/>
        <v>1200.9044268066407</v>
      </c>
      <c r="U37" s="37">
        <v>1454.5555555555557</v>
      </c>
      <c r="V37">
        <f t="shared" si="3"/>
        <v>0.82561605998470444</v>
      </c>
      <c r="W37">
        <f t="shared" si="14"/>
        <v>5.1772522344145713E-2</v>
      </c>
      <c r="X37" s="28">
        <v>1796.2299999999998</v>
      </c>
      <c r="Y37">
        <f t="shared" si="5"/>
        <v>0.35417089985486211</v>
      </c>
      <c r="Z37">
        <f t="shared" si="7"/>
        <v>5.3290917424184556E-2</v>
      </c>
      <c r="AA37">
        <f t="shared" si="8"/>
        <v>3.9019685279963329E-2</v>
      </c>
      <c r="AB37">
        <f t="shared" si="9"/>
        <v>0.20438054006569398</v>
      </c>
      <c r="AC37">
        <f t="shared" si="10"/>
        <v>3.5969216461333164E-4</v>
      </c>
      <c r="AD37">
        <f t="shared" si="11"/>
        <v>5.0237652836395222E-4</v>
      </c>
      <c r="AE37">
        <f t="shared" si="12"/>
        <v>6.0192346841341372E-2</v>
      </c>
      <c r="AF37">
        <f t="shared" si="13"/>
        <v>0.11369960182568174</v>
      </c>
      <c r="AG37">
        <f t="shared" si="6"/>
        <v>0.82561605998470422</v>
      </c>
      <c r="AH37">
        <v>0.36830093225978355</v>
      </c>
      <c r="AI37">
        <v>0.84850691915513476</v>
      </c>
      <c r="AJ37">
        <v>0.11521356045984728</v>
      </c>
      <c r="AK37">
        <v>1.6009096322611559E-2</v>
      </c>
      <c r="AL37">
        <v>0.67915179775102685</v>
      </c>
    </row>
    <row r="38" spans="1:38" x14ac:dyDescent="0.25">
      <c r="A38">
        <v>2</v>
      </c>
      <c r="B38" s="5" t="s">
        <v>11</v>
      </c>
      <c r="C38" s="6" t="s">
        <v>5</v>
      </c>
      <c r="D38" s="6" t="s">
        <v>41</v>
      </c>
      <c r="E38" s="28">
        <v>15695.0458</v>
      </c>
      <c r="F38" s="11">
        <v>6</v>
      </c>
      <c r="G38" s="11">
        <v>15</v>
      </c>
      <c r="H38" s="11">
        <f t="shared" si="0"/>
        <v>-9</v>
      </c>
      <c r="I38" s="18">
        <v>1</v>
      </c>
      <c r="J38" s="19">
        <v>1.3914956011730211</v>
      </c>
      <c r="K38" s="19">
        <v>2.5</v>
      </c>
      <c r="L38" s="6">
        <v>5442604.5</v>
      </c>
      <c r="M38" s="7">
        <v>771731.9375</v>
      </c>
      <c r="N38" s="7">
        <v>567563</v>
      </c>
      <c r="O38" s="7">
        <v>2962143.5</v>
      </c>
      <c r="P38" s="7">
        <v>5231.92236328125</v>
      </c>
      <c r="Q38" s="7">
        <v>4821.99072265625</v>
      </c>
      <c r="R38" s="7">
        <v>870474.875</v>
      </c>
      <c r="S38" s="7">
        <v>1631144.125</v>
      </c>
      <c r="T38" s="31">
        <f t="shared" si="1"/>
        <v>1225.5715850585937</v>
      </c>
      <c r="U38" s="37">
        <v>1481</v>
      </c>
      <c r="V38">
        <f t="shared" si="3"/>
        <v>0.82752976708885462</v>
      </c>
      <c r="W38">
        <f t="shared" si="14"/>
        <v>2.3179140970024602E-3</v>
      </c>
      <c r="X38" s="28">
        <v>1935.9849999999997</v>
      </c>
      <c r="Y38">
        <f t="shared" si="5"/>
        <v>0.36749523970290343</v>
      </c>
      <c r="Z38">
        <f t="shared" si="7"/>
        <v>5.210884115462526E-2</v>
      </c>
      <c r="AA38">
        <f t="shared" si="8"/>
        <v>3.8322957461174881E-2</v>
      </c>
      <c r="AB38">
        <f t="shared" si="9"/>
        <v>0.2000096893990547</v>
      </c>
      <c r="AC38">
        <f t="shared" si="10"/>
        <v>3.5326957213242739E-4</v>
      </c>
      <c r="AD38">
        <f t="shared" si="11"/>
        <v>3.2559019059123903E-4</v>
      </c>
      <c r="AE38">
        <f t="shared" si="12"/>
        <v>5.8776156313301832E-2</v>
      </c>
      <c r="AF38">
        <f t="shared" si="13"/>
        <v>0.11013802329507089</v>
      </c>
      <c r="AG38">
        <f t="shared" si="6"/>
        <v>0.82752976708885462</v>
      </c>
      <c r="AH38">
        <v>0.36830093225978355</v>
      </c>
      <c r="AI38">
        <v>0.84850691915513476</v>
      </c>
      <c r="AJ38">
        <v>0.11521356045984728</v>
      </c>
      <c r="AK38">
        <v>1.6009096322611559E-2</v>
      </c>
      <c r="AL38">
        <v>0.67915179775102685</v>
      </c>
    </row>
    <row r="39" spans="1:38" x14ac:dyDescent="0.25">
      <c r="A39">
        <v>2</v>
      </c>
      <c r="B39" s="5" t="s">
        <v>11</v>
      </c>
      <c r="C39" s="6" t="s">
        <v>5</v>
      </c>
      <c r="D39" s="6" t="s">
        <v>42</v>
      </c>
      <c r="E39" s="28">
        <v>15695.0458</v>
      </c>
      <c r="F39" s="11">
        <v>7</v>
      </c>
      <c r="G39" s="11">
        <v>15</v>
      </c>
      <c r="H39" s="11">
        <f t="shared" si="0"/>
        <v>-8</v>
      </c>
      <c r="I39" s="18">
        <v>1</v>
      </c>
      <c r="J39" s="19">
        <v>1.3914956011730211</v>
      </c>
      <c r="K39" s="19">
        <v>2.5</v>
      </c>
      <c r="L39" s="6">
        <v>6647522.5</v>
      </c>
      <c r="M39" s="7">
        <v>778394.9375</v>
      </c>
      <c r="N39" s="7">
        <v>567835.4375</v>
      </c>
      <c r="O39" s="7">
        <v>2989136</v>
      </c>
      <c r="P39" s="7">
        <v>5234.43408203125</v>
      </c>
      <c r="Q39" s="7">
        <v>2274.13647460938</v>
      </c>
      <c r="R39" s="7">
        <v>870410.5625</v>
      </c>
      <c r="S39" s="7">
        <v>1569313.25</v>
      </c>
      <c r="T39" s="31">
        <f t="shared" si="1"/>
        <v>1343.012125805664</v>
      </c>
      <c r="U39" s="37">
        <v>1507.4444444444443</v>
      </c>
      <c r="V39">
        <f t="shared" si="3"/>
        <v>0.8909198151581762</v>
      </c>
      <c r="W39">
        <f t="shared" si="14"/>
        <v>7.6601532162788269E-2</v>
      </c>
      <c r="X39" s="28">
        <v>2075.7399999999998</v>
      </c>
      <c r="Y39">
        <f t="shared" si="5"/>
        <v>0.44097960123829882</v>
      </c>
      <c r="Z39">
        <f t="shared" si="7"/>
        <v>5.1636724681211763E-2</v>
      </c>
      <c r="AA39">
        <f t="shared" si="8"/>
        <v>3.7668747235940152E-2</v>
      </c>
      <c r="AB39">
        <f t="shared" si="9"/>
        <v>0.19829161937053144</v>
      </c>
      <c r="AC39">
        <f t="shared" si="10"/>
        <v>3.4723893814609898E-4</v>
      </c>
      <c r="AD39">
        <f t="shared" si="11"/>
        <v>1.5086038380986527E-4</v>
      </c>
      <c r="AE39">
        <f t="shared" si="12"/>
        <v>5.7740805354905285E-2</v>
      </c>
      <c r="AF39">
        <f t="shared" si="13"/>
        <v>0.1041042179553328</v>
      </c>
      <c r="AG39">
        <f t="shared" si="6"/>
        <v>0.8909198151581762</v>
      </c>
      <c r="AH39">
        <v>0.36830093225978355</v>
      </c>
      <c r="AI39">
        <v>0.84850691915513476</v>
      </c>
      <c r="AJ39">
        <v>0.11521356045984728</v>
      </c>
      <c r="AK39">
        <v>1.6009096322611559E-2</v>
      </c>
      <c r="AL39">
        <v>0.67915179775102685</v>
      </c>
    </row>
    <row r="40" spans="1:38" x14ac:dyDescent="0.25">
      <c r="A40">
        <v>2</v>
      </c>
      <c r="B40" s="5" t="s">
        <v>11</v>
      </c>
      <c r="C40" s="6" t="s">
        <v>5</v>
      </c>
      <c r="D40" s="6" t="s">
        <v>43</v>
      </c>
      <c r="E40" s="28">
        <v>16311.3</v>
      </c>
      <c r="F40" s="11">
        <v>8</v>
      </c>
      <c r="G40" s="11">
        <v>15</v>
      </c>
      <c r="H40" s="18">
        <f t="shared" si="0"/>
        <v>-7</v>
      </c>
      <c r="I40" s="18">
        <v>1</v>
      </c>
      <c r="J40" s="19">
        <v>1.3914956011730211</v>
      </c>
      <c r="K40" s="19">
        <v>2.5</v>
      </c>
      <c r="L40" s="14">
        <v>4677156.5</v>
      </c>
      <c r="M40" s="16">
        <v>734347.4375</v>
      </c>
      <c r="N40" s="16">
        <v>562594.0625</v>
      </c>
      <c r="O40" s="16">
        <v>2934407.5</v>
      </c>
      <c r="P40" s="16">
        <v>5351.1669921875</v>
      </c>
      <c r="Q40" s="16">
        <v>1162.01098632812</v>
      </c>
      <c r="R40" s="16">
        <v>889262.6875</v>
      </c>
      <c r="S40" s="16">
        <v>1459420.375</v>
      </c>
      <c r="T40" s="31">
        <f t="shared" si="1"/>
        <v>1126.3701740478516</v>
      </c>
      <c r="U40" s="37">
        <v>1144.0000000000002</v>
      </c>
      <c r="V40">
        <f t="shared" si="3"/>
        <v>0.98458931297889107</v>
      </c>
      <c r="W40">
        <f t="shared" si="14"/>
        <v>0.10513796665762176</v>
      </c>
      <c r="X40" s="28">
        <v>1139.4212499999996</v>
      </c>
      <c r="Y40">
        <f t="shared" si="5"/>
        <v>0.40884235139860131</v>
      </c>
      <c r="Z40">
        <f t="shared" si="7"/>
        <v>6.4191209571678315E-2</v>
      </c>
      <c r="AA40">
        <f t="shared" si="8"/>
        <v>4.917780266608391E-2</v>
      </c>
      <c r="AB40">
        <f t="shared" si="9"/>
        <v>0.25650415209790206</v>
      </c>
      <c r="AC40">
        <f t="shared" si="10"/>
        <v>4.6775935246394225E-4</v>
      </c>
      <c r="AD40">
        <f t="shared" si="11"/>
        <v>1.0157438691679368E-4</v>
      </c>
      <c r="AE40">
        <f t="shared" si="12"/>
        <v>7.7732752403846139E-2</v>
      </c>
      <c r="AF40">
        <f t="shared" si="13"/>
        <v>0.12757171110139856</v>
      </c>
      <c r="AG40">
        <f t="shared" si="6"/>
        <v>0.98458931297889096</v>
      </c>
      <c r="AH40">
        <v>0.37352632837358152</v>
      </c>
      <c r="AI40">
        <v>0.85106382978723405</v>
      </c>
      <c r="AJ40">
        <v>0.11437442309306034</v>
      </c>
      <c r="AK40">
        <v>1.7446248919460741E-2</v>
      </c>
      <c r="AL40">
        <v>0.67648534890451062</v>
      </c>
    </row>
    <row r="41" spans="1:38" x14ac:dyDescent="0.25">
      <c r="A41">
        <v>2</v>
      </c>
      <c r="B41" s="5" t="s">
        <v>11</v>
      </c>
      <c r="C41" s="6" t="s">
        <v>5</v>
      </c>
      <c r="D41" s="6" t="s">
        <v>44</v>
      </c>
      <c r="E41" s="28">
        <v>16311.3</v>
      </c>
      <c r="F41" s="11">
        <v>9</v>
      </c>
      <c r="G41" s="11">
        <v>15</v>
      </c>
      <c r="H41" s="11">
        <f t="shared" si="0"/>
        <v>-6</v>
      </c>
      <c r="I41" s="18">
        <v>1</v>
      </c>
      <c r="J41" s="19">
        <v>1.3914956011730211</v>
      </c>
      <c r="K41" s="19">
        <v>2.5</v>
      </c>
      <c r="L41" s="6">
        <v>4653980.5</v>
      </c>
      <c r="M41" s="7">
        <v>719642.3125</v>
      </c>
      <c r="N41" s="7">
        <v>562594.0625</v>
      </c>
      <c r="O41" s="7">
        <v>2873496.5</v>
      </c>
      <c r="P41" s="7">
        <v>5351.1669921875</v>
      </c>
      <c r="Q41" s="7">
        <v>1640.89294433594</v>
      </c>
      <c r="R41" s="7">
        <v>866711</v>
      </c>
      <c r="S41" s="7">
        <v>1479239.125</v>
      </c>
      <c r="T41" s="31">
        <f t="shared" si="1"/>
        <v>1116.2655559936522</v>
      </c>
      <c r="U41" s="37">
        <v>1205.6666666666667</v>
      </c>
      <c r="V41">
        <f t="shared" si="3"/>
        <v>0.92584923084903414</v>
      </c>
      <c r="W41">
        <f t="shared" si="14"/>
        <v>-5.9659475636738173E-2</v>
      </c>
      <c r="X41" s="28">
        <v>1176.6804166666664</v>
      </c>
      <c r="Y41">
        <f t="shared" si="5"/>
        <v>0.38600888858169752</v>
      </c>
      <c r="Z41">
        <f t="shared" si="7"/>
        <v>5.9688331144594965E-2</v>
      </c>
      <c r="AA41">
        <f t="shared" si="8"/>
        <v>4.6662487904340612E-2</v>
      </c>
      <c r="AB41">
        <f t="shared" si="9"/>
        <v>0.23833258225048382</v>
      </c>
      <c r="AC41">
        <f t="shared" si="10"/>
        <v>4.4383469661494324E-4</v>
      </c>
      <c r="AD41">
        <f t="shared" si="11"/>
        <v>1.3609839184428588E-4</v>
      </c>
      <c r="AE41">
        <f t="shared" si="12"/>
        <v>7.1886452861487413E-2</v>
      </c>
      <c r="AF41">
        <f t="shared" si="13"/>
        <v>0.12269055501797067</v>
      </c>
      <c r="AG41">
        <f t="shared" si="6"/>
        <v>0.92584923084903425</v>
      </c>
      <c r="AH41">
        <v>0.37352632837358152</v>
      </c>
      <c r="AI41">
        <v>0.85106382978723405</v>
      </c>
      <c r="AJ41">
        <v>0.11437442309306034</v>
      </c>
      <c r="AK41">
        <v>1.7446248919460741E-2</v>
      </c>
      <c r="AL41">
        <v>0.67648534890451062</v>
      </c>
    </row>
    <row r="42" spans="1:38" x14ac:dyDescent="0.25">
      <c r="A42">
        <v>2</v>
      </c>
      <c r="B42" s="5" t="s">
        <v>11</v>
      </c>
      <c r="C42" s="6" t="s">
        <v>5</v>
      </c>
      <c r="D42" s="6" t="s">
        <v>45</v>
      </c>
      <c r="E42" s="28">
        <v>16311.3</v>
      </c>
      <c r="F42" s="11">
        <v>10</v>
      </c>
      <c r="G42" s="11">
        <v>15</v>
      </c>
      <c r="H42" s="11">
        <f t="shared" si="0"/>
        <v>-5</v>
      </c>
      <c r="I42" s="18">
        <v>1</v>
      </c>
      <c r="J42" s="19">
        <v>1.3914956011730211</v>
      </c>
      <c r="K42" s="19">
        <v>2.5</v>
      </c>
      <c r="L42" s="6">
        <v>5294137.5</v>
      </c>
      <c r="M42" s="7">
        <v>746979.6875</v>
      </c>
      <c r="N42" s="7">
        <v>562594.0625</v>
      </c>
      <c r="O42" s="7">
        <v>2984527</v>
      </c>
      <c r="P42" s="7">
        <v>5351.1669921875</v>
      </c>
      <c r="Q42" s="7">
        <v>4680.1865234375</v>
      </c>
      <c r="R42" s="7">
        <v>859119.0625</v>
      </c>
      <c r="S42" s="7">
        <v>1515086.75</v>
      </c>
      <c r="T42" s="31">
        <f t="shared" si="1"/>
        <v>1197.2475416015625</v>
      </c>
      <c r="U42" s="37">
        <v>1267.3333333333333</v>
      </c>
      <c r="V42">
        <f t="shared" si="3"/>
        <v>0.94469821799176423</v>
      </c>
      <c r="W42">
        <f t="shared" si="14"/>
        <v>2.035859243026529E-2</v>
      </c>
      <c r="X42" s="28">
        <v>1213.9395833333331</v>
      </c>
      <c r="Y42">
        <f t="shared" si="5"/>
        <v>0.41773836138874276</v>
      </c>
      <c r="Z42">
        <f t="shared" si="7"/>
        <v>5.8941058982114679E-2</v>
      </c>
      <c r="AA42">
        <f t="shared" si="8"/>
        <v>4.4391956536033672E-2</v>
      </c>
      <c r="AB42">
        <f t="shared" si="9"/>
        <v>0.23549660704892161</v>
      </c>
      <c r="AC42">
        <f t="shared" si="10"/>
        <v>4.2223832131937141E-4</v>
      </c>
      <c r="AD42">
        <f t="shared" si="11"/>
        <v>3.692940444585087E-4</v>
      </c>
      <c r="AE42">
        <f t="shared" si="12"/>
        <v>6.7789510455023669E-2</v>
      </c>
      <c r="AF42">
        <f t="shared" si="13"/>
        <v>0.11954919121514992</v>
      </c>
      <c r="AG42">
        <f t="shared" si="6"/>
        <v>0.94469821799176423</v>
      </c>
      <c r="AH42">
        <v>0.37352632837358152</v>
      </c>
      <c r="AI42">
        <v>0.85106382978723405</v>
      </c>
      <c r="AJ42">
        <v>0.11437442309306034</v>
      </c>
      <c r="AK42">
        <v>1.7446248919460741E-2</v>
      </c>
      <c r="AL42">
        <v>0.67648534890451062</v>
      </c>
    </row>
    <row r="43" spans="1:38" x14ac:dyDescent="0.25">
      <c r="A43">
        <v>2</v>
      </c>
      <c r="B43" s="5" t="s">
        <v>11</v>
      </c>
      <c r="C43" s="6" t="s">
        <v>5</v>
      </c>
      <c r="D43" s="6" t="s">
        <v>46</v>
      </c>
      <c r="E43" s="28">
        <v>16311.3</v>
      </c>
      <c r="F43" s="11">
        <v>11</v>
      </c>
      <c r="G43" s="11">
        <v>15</v>
      </c>
      <c r="H43" s="11">
        <f t="shared" si="0"/>
        <v>-4</v>
      </c>
      <c r="I43" s="18">
        <v>1</v>
      </c>
      <c r="J43" s="19">
        <v>1.3914956011730211</v>
      </c>
      <c r="K43" s="19">
        <v>2.5</v>
      </c>
      <c r="L43" s="6">
        <v>4788651.5</v>
      </c>
      <c r="M43" s="7">
        <v>759566.3125</v>
      </c>
      <c r="N43" s="7">
        <v>562594.0625</v>
      </c>
      <c r="O43" s="7">
        <v>3034491.25</v>
      </c>
      <c r="P43" s="7">
        <v>5351.1669921875</v>
      </c>
      <c r="Q43" s="7">
        <v>6451.27685546875</v>
      </c>
      <c r="R43" s="7">
        <v>888230.75</v>
      </c>
      <c r="S43" s="7">
        <v>1571561.625</v>
      </c>
      <c r="T43" s="31">
        <f t="shared" si="1"/>
        <v>1161.6897943847657</v>
      </c>
      <c r="U43" s="37">
        <v>1329</v>
      </c>
      <c r="V43">
        <f t="shared" si="3"/>
        <v>0.8741081974302225</v>
      </c>
      <c r="W43">
        <f t="shared" si="14"/>
        <v>-7.4722296726251608E-2</v>
      </c>
      <c r="X43" s="28">
        <v>1251.1987499999998</v>
      </c>
      <c r="Y43">
        <f t="shared" si="5"/>
        <v>0.36031990218209181</v>
      </c>
      <c r="Z43">
        <f t="shared" si="7"/>
        <v>5.715322140707299E-2</v>
      </c>
      <c r="AA43">
        <f t="shared" si="8"/>
        <v>4.2332134123401054E-2</v>
      </c>
      <c r="AB43">
        <f t="shared" si="9"/>
        <v>0.22832891271632808</v>
      </c>
      <c r="AC43">
        <f t="shared" si="10"/>
        <v>4.0264612431809628E-4</v>
      </c>
      <c r="AD43">
        <f t="shared" si="11"/>
        <v>4.8542339017823555E-4</v>
      </c>
      <c r="AE43">
        <f t="shared" si="12"/>
        <v>6.6834518434913462E-2</v>
      </c>
      <c r="AF43">
        <f t="shared" si="13"/>
        <v>0.11825143905191873</v>
      </c>
      <c r="AG43">
        <f t="shared" si="6"/>
        <v>0.87410819743022239</v>
      </c>
      <c r="AH43">
        <v>0.37352632837358152</v>
      </c>
      <c r="AI43">
        <v>0.85106382978723405</v>
      </c>
      <c r="AJ43">
        <v>0.11437442309306034</v>
      </c>
      <c r="AK43">
        <v>1.7446248919460741E-2</v>
      </c>
      <c r="AL43">
        <v>0.67648534890451062</v>
      </c>
    </row>
    <row r="44" spans="1:38" x14ac:dyDescent="0.25">
      <c r="A44">
        <v>2</v>
      </c>
      <c r="B44" s="5" t="s">
        <v>11</v>
      </c>
      <c r="C44" s="6" t="s">
        <v>5</v>
      </c>
      <c r="D44" s="6" t="s">
        <v>47</v>
      </c>
      <c r="E44" s="28">
        <v>16311.3</v>
      </c>
      <c r="F44" s="11">
        <v>12</v>
      </c>
      <c r="G44" s="11">
        <v>15</v>
      </c>
      <c r="H44" s="11">
        <f t="shared" si="0"/>
        <v>-3</v>
      </c>
      <c r="I44" s="18">
        <v>1</v>
      </c>
      <c r="J44" s="19">
        <v>1.3914956011730211</v>
      </c>
      <c r="K44" s="19">
        <v>2.5</v>
      </c>
      <c r="L44" s="6">
        <v>4757332.5</v>
      </c>
      <c r="M44" s="7">
        <v>751544.5</v>
      </c>
      <c r="N44" s="7">
        <v>562594.0625</v>
      </c>
      <c r="O44" s="7">
        <v>3003769</v>
      </c>
      <c r="P44" s="7">
        <v>5351.1669921875</v>
      </c>
      <c r="Q44" s="7">
        <v>4247.2802734375</v>
      </c>
      <c r="R44" s="7">
        <v>881294.875</v>
      </c>
      <c r="S44" s="7">
        <v>1559261.25</v>
      </c>
      <c r="T44" s="31">
        <f t="shared" si="1"/>
        <v>1152.5394634765626</v>
      </c>
      <c r="U44" s="37">
        <v>1390.6666666666667</v>
      </c>
      <c r="V44">
        <f t="shared" si="3"/>
        <v>0.82876759118640642</v>
      </c>
      <c r="W44">
        <f t="shared" si="14"/>
        <v>-5.1870702479523988E-2</v>
      </c>
      <c r="X44" s="28">
        <v>1288.4579166666665</v>
      </c>
      <c r="Y44">
        <f t="shared" si="5"/>
        <v>0.34209006471716202</v>
      </c>
      <c r="Z44">
        <f t="shared" si="7"/>
        <v>5.4042030201342274E-2</v>
      </c>
      <c r="AA44">
        <f t="shared" si="8"/>
        <v>4.0454990112655798E-2</v>
      </c>
      <c r="AB44">
        <f t="shared" si="9"/>
        <v>0.21599489453499518</v>
      </c>
      <c r="AC44">
        <f t="shared" si="10"/>
        <v>3.8479149032987772E-4</v>
      </c>
      <c r="AD44">
        <f t="shared" si="11"/>
        <v>3.0541325072656997E-4</v>
      </c>
      <c r="AE44">
        <f t="shared" si="12"/>
        <v>6.3372114693192719E-2</v>
      </c>
      <c r="AF44">
        <f t="shared" si="13"/>
        <v>0.11212329218600191</v>
      </c>
      <c r="AG44">
        <f t="shared" si="6"/>
        <v>0.8287675911864063</v>
      </c>
      <c r="AH44">
        <v>0.37352632837358152</v>
      </c>
      <c r="AI44">
        <v>0.85106382978723405</v>
      </c>
      <c r="AJ44">
        <v>0.11437442309306034</v>
      </c>
      <c r="AK44">
        <v>1.7446248919460741E-2</v>
      </c>
      <c r="AL44">
        <v>0.67648534890451062</v>
      </c>
    </row>
    <row r="45" spans="1:38" x14ac:dyDescent="0.25">
      <c r="A45">
        <v>2</v>
      </c>
      <c r="B45" s="5" t="s">
        <v>11</v>
      </c>
      <c r="C45" s="6" t="s">
        <v>5</v>
      </c>
      <c r="D45" s="6" t="s">
        <v>48</v>
      </c>
      <c r="E45" s="28">
        <v>16311.3</v>
      </c>
      <c r="F45" s="11">
        <v>13</v>
      </c>
      <c r="G45" s="11">
        <v>15</v>
      </c>
      <c r="H45" s="11">
        <f t="shared" si="0"/>
        <v>-2</v>
      </c>
      <c r="I45" s="18">
        <v>1</v>
      </c>
      <c r="J45" s="19">
        <v>1.3914956011730211</v>
      </c>
      <c r="K45" s="19">
        <v>2.5</v>
      </c>
      <c r="L45" s="6">
        <v>4983454.5</v>
      </c>
      <c r="M45" s="7">
        <v>755663.8125</v>
      </c>
      <c r="N45" s="7">
        <v>562594.0625</v>
      </c>
      <c r="O45" s="7">
        <v>3020774.75</v>
      </c>
      <c r="P45" s="7">
        <v>5351.1669921875</v>
      </c>
      <c r="Q45" s="7">
        <v>2044.09777832031</v>
      </c>
      <c r="R45" s="7">
        <v>879580.6875</v>
      </c>
      <c r="S45" s="7">
        <v>1510438.875</v>
      </c>
      <c r="T45" s="31">
        <f t="shared" si="1"/>
        <v>1171.9901952270509</v>
      </c>
      <c r="U45" s="37">
        <v>1412.8888888888889</v>
      </c>
      <c r="V45">
        <f t="shared" si="3"/>
        <v>0.82949919448281362</v>
      </c>
      <c r="W45">
        <f t="shared" si="14"/>
        <v>8.8276050389457072E-4</v>
      </c>
      <c r="X45" s="28">
        <v>1325.7170833333332</v>
      </c>
      <c r="Y45">
        <f t="shared" si="5"/>
        <v>0.35271382903428755</v>
      </c>
      <c r="Z45">
        <f t="shared" si="7"/>
        <v>5.3483597927807491E-2</v>
      </c>
      <c r="AA45">
        <f t="shared" si="8"/>
        <v>3.9818705272884551E-2</v>
      </c>
      <c r="AB45">
        <f t="shared" si="9"/>
        <v>0.21380129561182762</v>
      </c>
      <c r="AC45">
        <f t="shared" si="10"/>
        <v>3.7873940649329584E-4</v>
      </c>
      <c r="AD45">
        <f t="shared" si="11"/>
        <v>1.4467505508715625E-4</v>
      </c>
      <c r="AE45">
        <f t="shared" si="12"/>
        <v>6.2254059354356718E-2</v>
      </c>
      <c r="AF45">
        <f t="shared" si="13"/>
        <v>0.10690429282006922</v>
      </c>
      <c r="AG45">
        <f t="shared" si="6"/>
        <v>0.82949919448281351</v>
      </c>
      <c r="AH45">
        <v>0.37352632837358152</v>
      </c>
      <c r="AI45">
        <v>0.85106382978723405</v>
      </c>
      <c r="AJ45">
        <v>0.11437442309306034</v>
      </c>
      <c r="AK45">
        <v>1.7446248919460741E-2</v>
      </c>
      <c r="AL45">
        <v>0.67648534890451062</v>
      </c>
    </row>
    <row r="46" spans="1:38" x14ac:dyDescent="0.25">
      <c r="A46">
        <v>2</v>
      </c>
      <c r="B46" s="5" t="s">
        <v>11</v>
      </c>
      <c r="C46" s="6" t="s">
        <v>5</v>
      </c>
      <c r="D46" s="6" t="s">
        <v>49</v>
      </c>
      <c r="E46" s="28">
        <v>16311.3</v>
      </c>
      <c r="F46" s="11">
        <v>14</v>
      </c>
      <c r="G46" s="11">
        <v>15</v>
      </c>
      <c r="H46" s="11">
        <f t="shared" si="0"/>
        <v>-1</v>
      </c>
      <c r="I46" s="18">
        <v>1</v>
      </c>
      <c r="J46" s="19">
        <v>1.3914956011730211</v>
      </c>
      <c r="K46" s="19">
        <v>2.5</v>
      </c>
      <c r="L46" s="6">
        <v>5605447</v>
      </c>
      <c r="M46" s="7">
        <v>726313.5625</v>
      </c>
      <c r="N46" s="7">
        <v>562594.0625</v>
      </c>
      <c r="O46" s="7">
        <v>2900331.25</v>
      </c>
      <c r="P46" s="7">
        <v>5351.1669921875</v>
      </c>
      <c r="Q46" s="7">
        <v>1201.88391113281</v>
      </c>
      <c r="R46" s="7">
        <v>886090.6875</v>
      </c>
      <c r="S46" s="7">
        <v>1479414.125</v>
      </c>
      <c r="T46" s="31">
        <f t="shared" si="1"/>
        <v>1216.674373840332</v>
      </c>
      <c r="U46" s="37">
        <v>1435.1111111111111</v>
      </c>
      <c r="V46">
        <f t="shared" si="3"/>
        <v>0.84779106260165593</v>
      </c>
      <c r="W46">
        <f t="shared" si="14"/>
        <v>2.2051700882298207E-2</v>
      </c>
      <c r="X46" s="28">
        <v>1362.9762499999999</v>
      </c>
      <c r="Y46">
        <f t="shared" si="5"/>
        <v>0.39059324094146797</v>
      </c>
      <c r="Z46">
        <f t="shared" si="7"/>
        <v>5.0610266820222981E-2</v>
      </c>
      <c r="AA46">
        <f t="shared" si="8"/>
        <v>3.9202125754877672E-2</v>
      </c>
      <c r="AB46">
        <f t="shared" si="9"/>
        <v>0.20209802764013626</v>
      </c>
      <c r="AC46">
        <f t="shared" si="10"/>
        <v>3.7287475170089427E-4</v>
      </c>
      <c r="AD46">
        <f t="shared" si="11"/>
        <v>8.3748491794636805E-5</v>
      </c>
      <c r="AE46">
        <f t="shared" si="12"/>
        <v>6.1743699190925982E-2</v>
      </c>
      <c r="AF46">
        <f t="shared" si="13"/>
        <v>0.10308707901052958</v>
      </c>
      <c r="AG46">
        <f t="shared" si="6"/>
        <v>0.84779106260165604</v>
      </c>
      <c r="AH46">
        <v>0.37352632837358152</v>
      </c>
      <c r="AI46">
        <v>0.85106382978723405</v>
      </c>
      <c r="AJ46">
        <v>0.11437442309306034</v>
      </c>
      <c r="AK46">
        <v>1.7446248919460741E-2</v>
      </c>
      <c r="AL46">
        <v>0.67648534890451062</v>
      </c>
    </row>
    <row r="47" spans="1:38" x14ac:dyDescent="0.25">
      <c r="A47">
        <v>2</v>
      </c>
      <c r="B47" s="5" t="s">
        <v>11</v>
      </c>
      <c r="C47" s="6" t="s">
        <v>5</v>
      </c>
      <c r="D47" s="6" t="s">
        <v>50</v>
      </c>
      <c r="E47" s="28">
        <v>16311.3</v>
      </c>
      <c r="F47" s="11">
        <v>15</v>
      </c>
      <c r="G47" s="11">
        <v>15</v>
      </c>
      <c r="H47" s="11">
        <f t="shared" si="0"/>
        <v>0</v>
      </c>
      <c r="I47" s="18">
        <v>1</v>
      </c>
      <c r="J47" s="19">
        <v>1.3914956011730211</v>
      </c>
      <c r="K47" s="19">
        <v>2.5</v>
      </c>
      <c r="L47" s="6">
        <v>5964987</v>
      </c>
      <c r="M47" s="7">
        <v>706078.875</v>
      </c>
      <c r="N47" s="7">
        <v>562594.0625</v>
      </c>
      <c r="O47" s="7">
        <v>2818733.75</v>
      </c>
      <c r="P47" s="7">
        <v>5351.1669921875</v>
      </c>
      <c r="Q47" s="7">
        <v>1687.6826171875</v>
      </c>
      <c r="R47" s="7">
        <v>864009.8125</v>
      </c>
      <c r="S47" s="7">
        <v>1495715.25</v>
      </c>
      <c r="T47" s="31">
        <f t="shared" si="1"/>
        <v>1241.9157599609375</v>
      </c>
      <c r="U47" s="37">
        <v>1457.3333333333333</v>
      </c>
      <c r="V47">
        <f t="shared" si="3"/>
        <v>0.85218373281857562</v>
      </c>
      <c r="W47">
        <f t="shared" si="14"/>
        <v>5.1813122486095813E-3</v>
      </c>
      <c r="X47" s="28">
        <v>1400.2354166666667</v>
      </c>
      <c r="Y47">
        <f t="shared" si="5"/>
        <v>0.40930834858188475</v>
      </c>
      <c r="Z47">
        <f t="shared" si="7"/>
        <v>4.845006004117109E-2</v>
      </c>
      <c r="AA47">
        <f t="shared" si="8"/>
        <v>3.8604350125800553E-2</v>
      </c>
      <c r="AB47">
        <f t="shared" si="9"/>
        <v>0.19341722895699909</v>
      </c>
      <c r="AC47">
        <f t="shared" si="10"/>
        <v>3.6718895188843776E-4</v>
      </c>
      <c r="AD47">
        <f t="shared" si="11"/>
        <v>1.1580621801378088E-4</v>
      </c>
      <c r="AE47">
        <f t="shared" si="12"/>
        <v>5.9287041113906681E-2</v>
      </c>
      <c r="AF47">
        <f t="shared" si="13"/>
        <v>0.10263370882891126</v>
      </c>
      <c r="AG47">
        <f t="shared" si="6"/>
        <v>0.85218373281857573</v>
      </c>
      <c r="AH47">
        <v>0.37352632837358152</v>
      </c>
      <c r="AI47">
        <v>0.85106382978723405</v>
      </c>
      <c r="AJ47">
        <v>0.11437442309306034</v>
      </c>
      <c r="AK47">
        <v>1.7446248919460741E-2</v>
      </c>
      <c r="AL47">
        <v>0.67648534890451062</v>
      </c>
    </row>
    <row r="48" spans="1:38" x14ac:dyDescent="0.25">
      <c r="A48">
        <v>2</v>
      </c>
      <c r="B48" s="5" t="s">
        <v>11</v>
      </c>
      <c r="C48" s="6" t="s">
        <v>5</v>
      </c>
      <c r="D48" s="6" t="s">
        <v>51</v>
      </c>
      <c r="E48" s="28">
        <v>16311.3</v>
      </c>
      <c r="F48" s="11">
        <v>16</v>
      </c>
      <c r="G48" s="11">
        <v>15</v>
      </c>
      <c r="H48" s="11">
        <f t="shared" si="0"/>
        <v>1</v>
      </c>
      <c r="I48" s="18">
        <v>1</v>
      </c>
      <c r="J48" s="19">
        <v>1.3914956011730211</v>
      </c>
      <c r="K48" s="19">
        <v>2.5</v>
      </c>
      <c r="L48" s="6">
        <v>5207697.5</v>
      </c>
      <c r="M48" s="7">
        <v>736377.8125</v>
      </c>
      <c r="N48" s="7">
        <v>562594.0625</v>
      </c>
      <c r="O48" s="7">
        <v>2941732.75</v>
      </c>
      <c r="P48" s="7">
        <v>5351.1669921875</v>
      </c>
      <c r="Q48" s="7">
        <v>4725.3486328125</v>
      </c>
      <c r="R48" s="7">
        <v>857547.375</v>
      </c>
      <c r="S48" s="7">
        <v>1522387.875</v>
      </c>
      <c r="T48" s="31">
        <f t="shared" si="1"/>
        <v>1183.8413890625</v>
      </c>
      <c r="U48" s="37">
        <v>1463.5555555555554</v>
      </c>
      <c r="V48">
        <f t="shared" si="3"/>
        <v>0.80888039034030523</v>
      </c>
      <c r="W48">
        <f t="shared" si="14"/>
        <v>-5.0814561239095363E-2</v>
      </c>
      <c r="X48" s="28">
        <v>1437.4945833333334</v>
      </c>
      <c r="Y48">
        <f t="shared" si="5"/>
        <v>0.35582506453082302</v>
      </c>
      <c r="Z48">
        <f t="shared" si="7"/>
        <v>5.0314305439568781E-2</v>
      </c>
      <c r="AA48">
        <f t="shared" si="8"/>
        <v>3.8440225952778628E-2</v>
      </c>
      <c r="AB48">
        <f t="shared" si="9"/>
        <v>0.2009990491193441</v>
      </c>
      <c r="AC48">
        <f t="shared" si="10"/>
        <v>3.6562786918985354E-4</v>
      </c>
      <c r="AD48">
        <f t="shared" si="11"/>
        <v>3.2286773227537582E-4</v>
      </c>
      <c r="AE48">
        <f t="shared" si="12"/>
        <v>5.8593428294867911E-2</v>
      </c>
      <c r="AF48">
        <f t="shared" si="13"/>
        <v>0.10401982140145764</v>
      </c>
      <c r="AG48">
        <f t="shared" si="6"/>
        <v>0.80888039034030523</v>
      </c>
      <c r="AH48">
        <v>0.37352632837358152</v>
      </c>
      <c r="AI48">
        <v>0.85106382978723405</v>
      </c>
      <c r="AJ48">
        <v>0.11437442309306034</v>
      </c>
      <c r="AK48">
        <v>1.7446248919460741E-2</v>
      </c>
      <c r="AL48">
        <v>0.67648534890451062</v>
      </c>
    </row>
    <row r="49" spans="1:38" s="20" customFormat="1" x14ac:dyDescent="0.25">
      <c r="A49">
        <v>2</v>
      </c>
      <c r="B49" s="5" t="s">
        <v>11</v>
      </c>
      <c r="C49" s="6" t="s">
        <v>5</v>
      </c>
      <c r="D49" s="6" t="s">
        <v>52</v>
      </c>
      <c r="E49" s="28">
        <v>16311.3</v>
      </c>
      <c r="F49" s="11">
        <v>17</v>
      </c>
      <c r="G49" s="11">
        <v>15</v>
      </c>
      <c r="H49" s="11">
        <f t="shared" si="0"/>
        <v>2</v>
      </c>
      <c r="I49" s="18">
        <v>1</v>
      </c>
      <c r="J49" s="19">
        <v>1.3914956011730211</v>
      </c>
      <c r="K49" s="19">
        <v>2.5</v>
      </c>
      <c r="L49" s="6">
        <v>5125016</v>
      </c>
      <c r="M49" s="7">
        <v>757175.0625</v>
      </c>
      <c r="N49" s="7">
        <v>562594.0625</v>
      </c>
      <c r="O49" s="7">
        <v>3024815.75</v>
      </c>
      <c r="P49" s="7">
        <v>5351.1669921875</v>
      </c>
      <c r="Q49" s="7">
        <v>6517.18896484375</v>
      </c>
      <c r="R49" s="7">
        <v>887850.9375</v>
      </c>
      <c r="S49" s="7">
        <v>1578637.625</v>
      </c>
      <c r="T49" s="31">
        <f t="shared" si="1"/>
        <v>1194.7957793457031</v>
      </c>
      <c r="U49" s="37">
        <v>1469.7777777777776</v>
      </c>
      <c r="V49">
        <f t="shared" si="3"/>
        <v>0.81290913321071434</v>
      </c>
      <c r="W49">
        <f t="shared" si="14"/>
        <v>4.9806410422611053E-3</v>
      </c>
      <c r="X49" s="28">
        <v>1474.7537500000001</v>
      </c>
      <c r="Y49">
        <f t="shared" si="5"/>
        <v>0.34869325672815243</v>
      </c>
      <c r="Z49">
        <f t="shared" si="7"/>
        <v>5.1516295452827342E-2</v>
      </c>
      <c r="AA49">
        <f t="shared" si="8"/>
        <v>3.8277491400816453E-2</v>
      </c>
      <c r="AB49">
        <f t="shared" si="9"/>
        <v>0.20580089015724226</v>
      </c>
      <c r="AC49">
        <f t="shared" si="10"/>
        <v>3.640800040042902E-4</v>
      </c>
      <c r="AD49">
        <f t="shared" si="11"/>
        <v>4.4341321956148898E-4</v>
      </c>
      <c r="AE49">
        <f t="shared" si="12"/>
        <v>6.0407154804203209E-2</v>
      </c>
      <c r="AF49">
        <f t="shared" si="13"/>
        <v>0.10740655144390687</v>
      </c>
      <c r="AG49">
        <f t="shared" si="6"/>
        <v>0.81290913321071445</v>
      </c>
      <c r="AH49" s="20">
        <v>0.37352632837358152</v>
      </c>
      <c r="AI49" s="20">
        <v>0.85106382978723405</v>
      </c>
      <c r="AJ49" s="20">
        <v>0.11437442309306034</v>
      </c>
      <c r="AK49" s="20">
        <v>1.7446248919460741E-2</v>
      </c>
      <c r="AL49" s="20">
        <v>0.67648534890451062</v>
      </c>
    </row>
    <row r="50" spans="1:38" x14ac:dyDescent="0.25">
      <c r="A50">
        <v>2</v>
      </c>
      <c r="B50" s="5" t="s">
        <v>11</v>
      </c>
      <c r="C50" s="6" t="s">
        <v>5</v>
      </c>
      <c r="D50" s="6" t="s">
        <v>53</v>
      </c>
      <c r="E50" s="28">
        <v>16311.3</v>
      </c>
      <c r="F50" s="11">
        <v>18</v>
      </c>
      <c r="G50" s="11">
        <v>15</v>
      </c>
      <c r="H50" s="11">
        <f t="shared" si="0"/>
        <v>3</v>
      </c>
      <c r="I50" s="18">
        <v>1</v>
      </c>
      <c r="J50" s="19">
        <v>1.3914956011730211</v>
      </c>
      <c r="K50" s="19">
        <v>2.5</v>
      </c>
      <c r="L50" s="6">
        <v>5473907.5</v>
      </c>
      <c r="M50" s="7">
        <v>753807.9375</v>
      </c>
      <c r="N50" s="7">
        <v>562594.0625</v>
      </c>
      <c r="O50" s="7">
        <v>3013824.5</v>
      </c>
      <c r="P50" s="7">
        <v>5351.1669921875</v>
      </c>
      <c r="Q50" s="7">
        <v>4300.580078125</v>
      </c>
      <c r="R50" s="7">
        <v>882527.6875</v>
      </c>
      <c r="S50" s="7">
        <v>1557170.125</v>
      </c>
      <c r="T50" s="31">
        <f t="shared" si="1"/>
        <v>1225.3483559570313</v>
      </c>
      <c r="U50" s="37">
        <v>1476</v>
      </c>
      <c r="V50">
        <f t="shared" si="3"/>
        <v>0.8301818129790185</v>
      </c>
      <c r="W50">
        <f t="shared" si="14"/>
        <v>2.1247983400165465E-2</v>
      </c>
      <c r="X50" s="28">
        <v>1512.0129166666668</v>
      </c>
      <c r="Y50">
        <f t="shared" si="5"/>
        <v>0.37086094173441736</v>
      </c>
      <c r="Z50">
        <f t="shared" si="7"/>
        <v>5.1070998475609759E-2</v>
      </c>
      <c r="AA50">
        <f t="shared" si="8"/>
        <v>3.8116128895663959E-2</v>
      </c>
      <c r="AB50">
        <f t="shared" si="9"/>
        <v>0.20418865176151763</v>
      </c>
      <c r="AC50">
        <f t="shared" si="10"/>
        <v>3.6254518917259489E-4</v>
      </c>
      <c r="AD50">
        <f t="shared" si="11"/>
        <v>2.9136721396510838E-4</v>
      </c>
      <c r="AE50">
        <f t="shared" si="12"/>
        <v>5.9791848746612468E-2</v>
      </c>
      <c r="AF50">
        <f t="shared" si="13"/>
        <v>0.10549933096205961</v>
      </c>
      <c r="AG50">
        <f t="shared" si="6"/>
        <v>0.83018181297901839</v>
      </c>
      <c r="AH50">
        <v>0.37352632837358152</v>
      </c>
      <c r="AI50">
        <v>0.85106382978723405</v>
      </c>
      <c r="AJ50">
        <v>0.11437442309306034</v>
      </c>
      <c r="AK50">
        <v>1.7446248919460741E-2</v>
      </c>
      <c r="AL50">
        <v>0.67648534890451062</v>
      </c>
    </row>
    <row r="51" spans="1:38" x14ac:dyDescent="0.25">
      <c r="A51">
        <v>2</v>
      </c>
      <c r="B51" s="5" t="s">
        <v>11</v>
      </c>
      <c r="C51" s="6" t="s">
        <v>5</v>
      </c>
      <c r="D51" s="6" t="s">
        <v>54</v>
      </c>
      <c r="E51" s="28">
        <v>16311.3</v>
      </c>
      <c r="F51" s="11">
        <v>19</v>
      </c>
      <c r="G51" s="11">
        <v>15</v>
      </c>
      <c r="H51" s="11">
        <f t="shared" si="0"/>
        <v>4</v>
      </c>
      <c r="I51" s="18">
        <v>1</v>
      </c>
      <c r="J51" s="19">
        <v>1.3914956011730211</v>
      </c>
      <c r="K51" s="19">
        <v>2.5</v>
      </c>
      <c r="L51" s="6">
        <v>6105922</v>
      </c>
      <c r="M51" s="7">
        <v>760298.75</v>
      </c>
      <c r="N51" s="7">
        <v>562864.125</v>
      </c>
      <c r="O51" s="7">
        <v>3041225</v>
      </c>
      <c r="P51" s="7">
        <v>5353.7353515625</v>
      </c>
      <c r="Q51" s="7">
        <v>2028.22998046875</v>
      </c>
      <c r="R51" s="7">
        <v>882430.6875</v>
      </c>
      <c r="S51" s="7">
        <v>1498217.625</v>
      </c>
      <c r="T51" s="31">
        <f t="shared" si="1"/>
        <v>1285.8340152832031</v>
      </c>
      <c r="U51" s="37">
        <v>1482.2222222222224</v>
      </c>
      <c r="V51">
        <f t="shared" si="3"/>
        <v>0.86750420821205598</v>
      </c>
      <c r="W51">
        <f t="shared" si="14"/>
        <v>4.4956893357022687E-2</v>
      </c>
      <c r="X51" s="28">
        <v>1549.2720833333335</v>
      </c>
      <c r="Y51">
        <f t="shared" si="5"/>
        <v>0.41194376311844072</v>
      </c>
      <c r="Z51">
        <f t="shared" si="7"/>
        <v>5.1294518365817089E-2</v>
      </c>
      <c r="AA51">
        <f t="shared" si="8"/>
        <v>3.7974341266866558E-2</v>
      </c>
      <c r="AB51">
        <f t="shared" si="9"/>
        <v>0.20518009745127433</v>
      </c>
      <c r="AC51">
        <f t="shared" si="10"/>
        <v>3.6119653796148795E-4</v>
      </c>
      <c r="AD51">
        <f t="shared" si="11"/>
        <v>1.3683710512907608E-4</v>
      </c>
      <c r="AE51">
        <f t="shared" si="12"/>
        <v>5.9534304254122934E-2</v>
      </c>
      <c r="AF51">
        <f t="shared" si="13"/>
        <v>0.10107915011244377</v>
      </c>
      <c r="AG51">
        <f t="shared" si="6"/>
        <v>0.86750420821205609</v>
      </c>
      <c r="AH51">
        <v>0.37352632837358152</v>
      </c>
      <c r="AI51">
        <v>0.85106382978723405</v>
      </c>
      <c r="AJ51">
        <v>0.11437442309306034</v>
      </c>
      <c r="AK51">
        <v>1.7446248919460741E-2</v>
      </c>
      <c r="AL51">
        <v>0.67648534890451062</v>
      </c>
    </row>
    <row r="52" spans="1:38" x14ac:dyDescent="0.25">
      <c r="A52">
        <v>2</v>
      </c>
      <c r="B52" s="5" t="s">
        <v>11</v>
      </c>
      <c r="C52" s="6" t="s">
        <v>5</v>
      </c>
      <c r="D52" s="6" t="s">
        <v>55</v>
      </c>
      <c r="E52" s="28">
        <v>16737.3</v>
      </c>
      <c r="F52" s="11">
        <v>20</v>
      </c>
      <c r="G52" s="11">
        <v>15</v>
      </c>
      <c r="H52" s="18">
        <f t="shared" si="0"/>
        <v>5</v>
      </c>
      <c r="I52" s="18">
        <v>1</v>
      </c>
      <c r="J52" s="19">
        <v>1.3914956011730211</v>
      </c>
      <c r="K52" s="19">
        <v>2.5</v>
      </c>
      <c r="L52" s="14">
        <v>695855.6875</v>
      </c>
      <c r="M52" s="16">
        <v>789257.25</v>
      </c>
      <c r="N52" s="16">
        <v>1212613.25</v>
      </c>
      <c r="O52" s="16">
        <v>4950213.5</v>
      </c>
      <c r="P52" s="16">
        <v>5243.69970703125</v>
      </c>
      <c r="Q52" s="16">
        <v>1264.802001953125</v>
      </c>
      <c r="R52" s="16">
        <v>3035433.75</v>
      </c>
      <c r="S52" s="16">
        <v>1766719.625</v>
      </c>
      <c r="T52" s="31">
        <f t="shared" si="1"/>
        <v>1245.6601564208984</v>
      </c>
      <c r="U52" s="37">
        <v>1226.6666666666667</v>
      </c>
      <c r="V52">
        <f t="shared" si="3"/>
        <v>1.0154838231692105</v>
      </c>
      <c r="W52">
        <f t="shared" si="14"/>
        <v>0.17058086122964583</v>
      </c>
      <c r="X52" s="28">
        <v>1117.4191666666668</v>
      </c>
      <c r="Y52">
        <f t="shared" si="5"/>
        <v>5.6727365828804339E-2</v>
      </c>
      <c r="Z52">
        <f t="shared" si="7"/>
        <v>6.4341623641304344E-2</v>
      </c>
      <c r="AA52">
        <f t="shared" si="8"/>
        <v>9.8854341032608692E-2</v>
      </c>
      <c r="AB52">
        <f t="shared" si="9"/>
        <v>0.40355001358695647</v>
      </c>
      <c r="AC52">
        <f t="shared" si="10"/>
        <v>4.2747551959493882E-4</v>
      </c>
      <c r="AD52">
        <f t="shared" si="11"/>
        <v>1.0310885885487431E-4</v>
      </c>
      <c r="AE52">
        <f t="shared" si="12"/>
        <v>0.24745383831521736</v>
      </c>
      <c r="AF52">
        <f t="shared" si="13"/>
        <v>0.14402605638586957</v>
      </c>
      <c r="AG52">
        <f t="shared" si="6"/>
        <v>1.0154838231692107</v>
      </c>
      <c r="AH52">
        <v>0.3632963500684101</v>
      </c>
      <c r="AI52">
        <v>0.85483870967741937</v>
      </c>
      <c r="AJ52">
        <v>0.11445833682973902</v>
      </c>
      <c r="AK52">
        <v>1.7684728122218041E-2</v>
      </c>
      <c r="AL52">
        <v>0.61806415032221484</v>
      </c>
    </row>
    <row r="53" spans="1:38" x14ac:dyDescent="0.25">
      <c r="A53">
        <v>2</v>
      </c>
      <c r="B53" s="5" t="s">
        <v>11</v>
      </c>
      <c r="C53" s="6" t="s">
        <v>5</v>
      </c>
      <c r="D53" s="6" t="s">
        <v>56</v>
      </c>
      <c r="E53" s="28">
        <v>16737.3</v>
      </c>
      <c r="F53" s="11">
        <v>21</v>
      </c>
      <c r="G53" s="11">
        <v>15</v>
      </c>
      <c r="H53" s="11">
        <f t="shared" si="0"/>
        <v>6</v>
      </c>
      <c r="I53" s="18">
        <v>1</v>
      </c>
      <c r="J53" s="19">
        <v>1.3914956011730211</v>
      </c>
      <c r="K53" s="19">
        <v>2.5</v>
      </c>
      <c r="L53" s="6">
        <v>674495.1875</v>
      </c>
      <c r="M53" s="7">
        <v>773440</v>
      </c>
      <c r="N53" s="7">
        <v>1054845.875</v>
      </c>
      <c r="O53" s="7">
        <v>4925684</v>
      </c>
      <c r="P53" s="7">
        <v>5243.69970703125</v>
      </c>
      <c r="Q53" s="7">
        <v>1786.045166015625</v>
      </c>
      <c r="R53" s="7">
        <v>2971964.25</v>
      </c>
      <c r="S53" s="7">
        <v>1791672.5</v>
      </c>
      <c r="T53" s="31">
        <f t="shared" si="1"/>
        <v>1219.9131557373046</v>
      </c>
      <c r="U53" s="37">
        <v>1273</v>
      </c>
      <c r="V53">
        <f t="shared" si="3"/>
        <v>0.95829784425554165</v>
      </c>
      <c r="W53">
        <f t="shared" si="14"/>
        <v>-5.6314022546610186E-2</v>
      </c>
      <c r="X53" s="28">
        <v>1167.8475000000001</v>
      </c>
      <c r="Y53">
        <f t="shared" si="5"/>
        <v>5.29846965828751E-2</v>
      </c>
      <c r="Z53">
        <f t="shared" si="7"/>
        <v>6.075726630007855E-2</v>
      </c>
      <c r="AA53">
        <f t="shared" si="8"/>
        <v>8.2862990966221531E-2</v>
      </c>
      <c r="AB53">
        <f t="shared" si="9"/>
        <v>0.38693511390416341</v>
      </c>
      <c r="AC53">
        <f t="shared" si="10"/>
        <v>4.1191670911478785E-4</v>
      </c>
      <c r="AD53">
        <f t="shared" si="11"/>
        <v>1.403020554607718E-4</v>
      </c>
      <c r="AE53">
        <f t="shared" si="12"/>
        <v>0.23346144933228594</v>
      </c>
      <c r="AF53">
        <f t="shared" si="13"/>
        <v>0.14074410840534171</v>
      </c>
      <c r="AG53">
        <f t="shared" si="6"/>
        <v>0.95829784425554188</v>
      </c>
      <c r="AH53">
        <v>0.3632963500684101</v>
      </c>
      <c r="AI53">
        <v>0.85483870967741937</v>
      </c>
      <c r="AJ53">
        <v>0.11445833682973902</v>
      </c>
      <c r="AK53">
        <v>1.7684728122218041E-2</v>
      </c>
      <c r="AL53">
        <v>0.61806415032221484</v>
      </c>
    </row>
    <row r="54" spans="1:38" x14ac:dyDescent="0.25">
      <c r="A54">
        <v>2</v>
      </c>
      <c r="B54" s="5" t="s">
        <v>11</v>
      </c>
      <c r="C54" s="6" t="s">
        <v>5</v>
      </c>
      <c r="D54" s="6" t="s">
        <v>57</v>
      </c>
      <c r="E54" s="28">
        <v>16737.3</v>
      </c>
      <c r="F54" s="11">
        <v>22</v>
      </c>
      <c r="G54" s="11">
        <v>15</v>
      </c>
      <c r="H54" s="11">
        <f t="shared" si="0"/>
        <v>7</v>
      </c>
      <c r="I54" s="18">
        <v>1</v>
      </c>
      <c r="J54" s="19">
        <v>1.3914956011730211</v>
      </c>
      <c r="K54" s="19">
        <v>2.5</v>
      </c>
      <c r="L54" s="6">
        <v>667266.8125</v>
      </c>
      <c r="M54" s="7">
        <v>802914.25</v>
      </c>
      <c r="N54" s="7">
        <v>683886.9375</v>
      </c>
      <c r="O54" s="7">
        <v>5603215</v>
      </c>
      <c r="P54" s="7">
        <v>5243.69970703125</v>
      </c>
      <c r="Q54" s="7">
        <v>5094.19287109375</v>
      </c>
      <c r="R54" s="7">
        <v>3087108.75</v>
      </c>
      <c r="S54" s="7">
        <v>1833367.5</v>
      </c>
      <c r="T54" s="31">
        <f t="shared" si="1"/>
        <v>1268.8097142578124</v>
      </c>
      <c r="U54" s="37">
        <v>1319.3333333333333</v>
      </c>
      <c r="V54">
        <f t="shared" si="3"/>
        <v>0.96170519019035816</v>
      </c>
      <c r="W54">
        <f t="shared" si="14"/>
        <v>3.5556230823659226E-3</v>
      </c>
      <c r="X54" s="28">
        <v>1218.2758333333334</v>
      </c>
      <c r="Y54">
        <f t="shared" si="5"/>
        <v>5.0576059562910565E-2</v>
      </c>
      <c r="Z54">
        <f t="shared" si="7"/>
        <v>6.0857573269327954E-2</v>
      </c>
      <c r="AA54">
        <f t="shared" si="8"/>
        <v>5.1835796172309247E-2</v>
      </c>
      <c r="AB54">
        <f t="shared" si="9"/>
        <v>0.42470048004042449</v>
      </c>
      <c r="AC54">
        <f t="shared" si="10"/>
        <v>3.9745071048746214E-4</v>
      </c>
      <c r="AD54">
        <f t="shared" si="11"/>
        <v>3.8611871180599421E-4</v>
      </c>
      <c r="AE54">
        <f t="shared" si="12"/>
        <v>0.23399005179383531</v>
      </c>
      <c r="AF54">
        <f t="shared" si="13"/>
        <v>0.13896165992925721</v>
      </c>
      <c r="AG54">
        <f t="shared" si="6"/>
        <v>0.96170519019035827</v>
      </c>
      <c r="AH54">
        <v>0.3632963500684101</v>
      </c>
      <c r="AI54">
        <v>0.85483870967741937</v>
      </c>
      <c r="AJ54">
        <v>0.11445833682973902</v>
      </c>
      <c r="AK54">
        <v>1.7684728122218041E-2</v>
      </c>
      <c r="AL54">
        <v>0.61806415032221484</v>
      </c>
    </row>
    <row r="55" spans="1:38" x14ac:dyDescent="0.25">
      <c r="A55">
        <v>2</v>
      </c>
      <c r="B55" s="5" t="s">
        <v>11</v>
      </c>
      <c r="C55" s="6" t="s">
        <v>5</v>
      </c>
      <c r="D55" s="6" t="s">
        <v>58</v>
      </c>
      <c r="E55" s="28">
        <v>16737.3</v>
      </c>
      <c r="F55" s="11">
        <v>23</v>
      </c>
      <c r="G55" s="11">
        <v>15</v>
      </c>
      <c r="H55" s="11">
        <f t="shared" si="0"/>
        <v>8</v>
      </c>
      <c r="I55" s="18">
        <v>1</v>
      </c>
      <c r="J55" s="19">
        <v>1.3914956011730211</v>
      </c>
      <c r="K55" s="19">
        <v>2.5</v>
      </c>
      <c r="L55" s="6">
        <v>694767.1875</v>
      </c>
      <c r="M55" s="7">
        <v>816415.625</v>
      </c>
      <c r="N55" s="7">
        <v>446412.875</v>
      </c>
      <c r="O55" s="7">
        <v>5068218</v>
      </c>
      <c r="P55" s="7">
        <v>5243.69970703125</v>
      </c>
      <c r="Q55" s="7">
        <v>7021.95263671875</v>
      </c>
      <c r="R55" s="7">
        <v>3139502.75</v>
      </c>
      <c r="S55" s="7">
        <v>1900839.875</v>
      </c>
      <c r="T55" s="31">
        <f t="shared" si="1"/>
        <v>1207.8421964843751</v>
      </c>
      <c r="U55" s="37">
        <v>1365.6666666666667</v>
      </c>
      <c r="V55">
        <f t="shared" si="3"/>
        <v>0.88443411995438737</v>
      </c>
      <c r="W55">
        <f t="shared" si="14"/>
        <v>-8.0347980882453068E-2</v>
      </c>
      <c r="X55" s="28">
        <v>1268.7041666666667</v>
      </c>
      <c r="Y55">
        <f t="shared" si="5"/>
        <v>5.0873848242616544E-2</v>
      </c>
      <c r="Z55">
        <f t="shared" si="7"/>
        <v>5.9781471198437873E-2</v>
      </c>
      <c r="AA55">
        <f t="shared" si="8"/>
        <v>3.2688274957285816E-2</v>
      </c>
      <c r="AB55">
        <f t="shared" si="9"/>
        <v>0.37111676836709784</v>
      </c>
      <c r="AC55">
        <f t="shared" si="10"/>
        <v>3.8396629536474857E-4</v>
      </c>
      <c r="AD55">
        <f t="shared" si="11"/>
        <v>5.1417763998428724E-4</v>
      </c>
      <c r="AE55">
        <f t="shared" si="12"/>
        <v>0.22988792409079814</v>
      </c>
      <c r="AF55">
        <f t="shared" si="13"/>
        <v>0.13918768916280205</v>
      </c>
      <c r="AG55">
        <f t="shared" si="6"/>
        <v>0.88443411995438725</v>
      </c>
      <c r="AH55">
        <v>0.3632963500684101</v>
      </c>
      <c r="AI55">
        <v>0.85483870967741937</v>
      </c>
      <c r="AJ55">
        <v>0.11445833682973902</v>
      </c>
      <c r="AK55">
        <v>1.7684728122218041E-2</v>
      </c>
      <c r="AL55">
        <v>0.61806415032221484</v>
      </c>
    </row>
    <row r="56" spans="1:38" x14ac:dyDescent="0.25">
      <c r="A56">
        <v>2</v>
      </c>
      <c r="B56" s="5" t="s">
        <v>11</v>
      </c>
      <c r="C56" s="6" t="s">
        <v>5</v>
      </c>
      <c r="D56" s="6" t="s">
        <v>59</v>
      </c>
      <c r="E56" s="28">
        <v>16737.3</v>
      </c>
      <c r="F56" s="11">
        <v>24</v>
      </c>
      <c r="G56" s="11">
        <v>15</v>
      </c>
      <c r="H56" s="11">
        <f t="shared" si="0"/>
        <v>9</v>
      </c>
      <c r="I56" s="18">
        <v>1</v>
      </c>
      <c r="J56" s="19">
        <v>1.3914956011730211</v>
      </c>
      <c r="K56" s="19">
        <v>2.5</v>
      </c>
      <c r="L56" s="6">
        <v>688142.1875</v>
      </c>
      <c r="M56" s="7">
        <v>807842.8125</v>
      </c>
      <c r="N56" s="7">
        <v>285215.84375</v>
      </c>
      <c r="O56" s="7">
        <v>5035070.5</v>
      </c>
      <c r="P56" s="7">
        <v>5243.69970703125</v>
      </c>
      <c r="Q56" s="7">
        <v>4622.9921875</v>
      </c>
      <c r="R56" s="7">
        <v>3108135.25</v>
      </c>
      <c r="S56" s="7">
        <v>1886228</v>
      </c>
      <c r="T56" s="31">
        <f t="shared" si="1"/>
        <v>1182.0501285644532</v>
      </c>
      <c r="U56" s="37">
        <v>1412</v>
      </c>
      <c r="V56">
        <f t="shared" si="3"/>
        <v>0.83714598340258728</v>
      </c>
      <c r="W56">
        <f t="shared" si="14"/>
        <v>-5.3467110194978525E-2</v>
      </c>
      <c r="X56" s="28">
        <v>1319.1324999999999</v>
      </c>
      <c r="Y56">
        <f t="shared" si="5"/>
        <v>4.8735282400849858E-2</v>
      </c>
      <c r="Z56">
        <f t="shared" si="7"/>
        <v>5.7212663774787544E-2</v>
      </c>
      <c r="AA56">
        <f t="shared" si="8"/>
        <v>2.0199422361898017E-2</v>
      </c>
      <c r="AB56">
        <f t="shared" si="9"/>
        <v>0.35659139518413602</v>
      </c>
      <c r="AC56">
        <f t="shared" si="10"/>
        <v>3.713668347755843E-4</v>
      </c>
      <c r="AD56">
        <f t="shared" si="11"/>
        <v>3.2740737871813031E-4</v>
      </c>
      <c r="AE56">
        <f t="shared" si="12"/>
        <v>0.22012289305949007</v>
      </c>
      <c r="AF56">
        <f t="shared" si="13"/>
        <v>0.13358555240793202</v>
      </c>
      <c r="AG56">
        <f t="shared" si="6"/>
        <v>0.83714598340258728</v>
      </c>
      <c r="AH56">
        <v>0.3632963500684101</v>
      </c>
      <c r="AI56">
        <v>0.85483870967741937</v>
      </c>
      <c r="AJ56">
        <v>0.11445833682973902</v>
      </c>
      <c r="AK56">
        <v>1.7684728122218041E-2</v>
      </c>
      <c r="AL56">
        <v>0.61806415032221484</v>
      </c>
    </row>
    <row r="57" spans="1:38" x14ac:dyDescent="0.25">
      <c r="A57">
        <v>2</v>
      </c>
      <c r="B57" s="5" t="s">
        <v>11</v>
      </c>
      <c r="C57" s="6" t="s">
        <v>5</v>
      </c>
      <c r="D57" s="6" t="s">
        <v>60</v>
      </c>
      <c r="E57" s="28">
        <v>16737.3</v>
      </c>
      <c r="F57" s="11">
        <v>25</v>
      </c>
      <c r="G57" s="11">
        <v>15</v>
      </c>
      <c r="H57" s="11">
        <f t="shared" si="0"/>
        <v>10</v>
      </c>
      <c r="I57" s="18">
        <v>1</v>
      </c>
      <c r="J57" s="19">
        <v>1.3914956011730211</v>
      </c>
      <c r="K57" s="19">
        <v>2.5</v>
      </c>
      <c r="L57" s="6">
        <v>686469.0625</v>
      </c>
      <c r="M57" s="7">
        <v>812300.6875</v>
      </c>
      <c r="N57" s="7">
        <v>158659.03125</v>
      </c>
      <c r="O57" s="7">
        <v>5274394</v>
      </c>
      <c r="P57" s="7">
        <v>5243.69970703125</v>
      </c>
      <c r="Q57" s="7">
        <v>2224.917724609375</v>
      </c>
      <c r="R57" s="7">
        <v>3125963.5</v>
      </c>
      <c r="S57" s="7">
        <v>1827539.5</v>
      </c>
      <c r="T57" s="31">
        <f t="shared" si="1"/>
        <v>1189.279439868164</v>
      </c>
      <c r="U57" s="37">
        <v>1443.4444444444443</v>
      </c>
      <c r="V57">
        <f t="shared" si="3"/>
        <v>0.8239177090919465</v>
      </c>
      <c r="W57">
        <f t="shared" si="14"/>
        <v>-1.5801633852287431E-2</v>
      </c>
      <c r="X57" s="28">
        <v>1369.5608333333332</v>
      </c>
      <c r="Y57">
        <f t="shared" si="5"/>
        <v>4.7557705815564622E-2</v>
      </c>
      <c r="Z57">
        <f t="shared" si="7"/>
        <v>5.6275161169271039E-2</v>
      </c>
      <c r="AA57">
        <f t="shared" si="8"/>
        <v>1.099169641482565E-2</v>
      </c>
      <c r="AB57">
        <f t="shared" si="9"/>
        <v>0.36540332537910863</v>
      </c>
      <c r="AC57">
        <f t="shared" si="10"/>
        <v>3.6327686370010975E-4</v>
      </c>
      <c r="AD57">
        <f t="shared" si="11"/>
        <v>1.5413947749583846E-4</v>
      </c>
      <c r="AE57">
        <f t="shared" si="12"/>
        <v>0.21656278577476715</v>
      </c>
      <c r="AF57">
        <f t="shared" si="13"/>
        <v>0.12660961819721347</v>
      </c>
      <c r="AG57">
        <f t="shared" si="6"/>
        <v>0.8239177090919465</v>
      </c>
      <c r="AH57">
        <v>0.3632963500684101</v>
      </c>
      <c r="AI57">
        <v>0.85483870967741937</v>
      </c>
      <c r="AJ57">
        <v>0.11445833682973902</v>
      </c>
      <c r="AK57">
        <v>1.7684728122218041E-2</v>
      </c>
      <c r="AL57">
        <v>0.61806415032221484</v>
      </c>
    </row>
    <row r="58" spans="1:38" x14ac:dyDescent="0.25">
      <c r="A58">
        <v>2</v>
      </c>
      <c r="B58" s="5" t="s">
        <v>11</v>
      </c>
      <c r="C58" s="6" t="s">
        <v>5</v>
      </c>
      <c r="D58" s="6" t="s">
        <v>61</v>
      </c>
      <c r="E58" s="28">
        <v>16737.3</v>
      </c>
      <c r="F58" s="11">
        <v>26</v>
      </c>
      <c r="G58" s="11">
        <v>15</v>
      </c>
      <c r="H58" s="11">
        <f t="shared" si="0"/>
        <v>11</v>
      </c>
      <c r="I58" s="18">
        <v>1</v>
      </c>
      <c r="J58" s="19">
        <v>1.3914956011730211</v>
      </c>
      <c r="K58" s="19">
        <v>2.5</v>
      </c>
      <c r="L58" s="6">
        <v>692606.5625</v>
      </c>
      <c r="M58" s="7">
        <v>780663.5</v>
      </c>
      <c r="N58" s="7">
        <v>118119.6875</v>
      </c>
      <c r="O58" s="7">
        <v>5932699</v>
      </c>
      <c r="P58" s="7">
        <v>5243.69970703125</v>
      </c>
      <c r="Q58" s="7">
        <v>1308.201904296875</v>
      </c>
      <c r="R58" s="7">
        <v>3001657.25</v>
      </c>
      <c r="S58" s="7">
        <v>1789411.125</v>
      </c>
      <c r="T58" s="31">
        <f t="shared" si="1"/>
        <v>1232.1709026611329</v>
      </c>
      <c r="U58" s="37">
        <v>1474.8888888888887</v>
      </c>
      <c r="V58">
        <f t="shared" si="3"/>
        <v>0.83543303630783472</v>
      </c>
      <c r="W58">
        <f t="shared" si="14"/>
        <v>1.3976307450145052E-2</v>
      </c>
      <c r="X58" s="28">
        <v>1419.9891666666665</v>
      </c>
      <c r="Y58">
        <f t="shared" si="5"/>
        <v>4.6959914588669584E-2</v>
      </c>
      <c r="Z58">
        <f t="shared" si="7"/>
        <v>5.2930326201597121E-2</v>
      </c>
      <c r="AA58">
        <f t="shared" si="8"/>
        <v>8.008717700015067E-3</v>
      </c>
      <c r="AB58">
        <f t="shared" si="9"/>
        <v>0.40224718246195573</v>
      </c>
      <c r="AC58">
        <f t="shared" si="10"/>
        <v>3.5553184694350802E-4</v>
      </c>
      <c r="AD58">
        <f t="shared" si="11"/>
        <v>8.8698336135843576E-5</v>
      </c>
      <c r="AE58">
        <f t="shared" si="12"/>
        <v>0.20351751732710566</v>
      </c>
      <c r="AF58">
        <f t="shared" si="13"/>
        <v>0.12132514784541211</v>
      </c>
      <c r="AG58">
        <f t="shared" si="6"/>
        <v>0.83543303630783472</v>
      </c>
      <c r="AH58">
        <v>0.3632963500684101</v>
      </c>
      <c r="AI58">
        <v>0.85483870967741937</v>
      </c>
      <c r="AJ58">
        <v>0.11445833682973902</v>
      </c>
      <c r="AK58">
        <v>1.7684728122218041E-2</v>
      </c>
      <c r="AL58">
        <v>0.61806415032221484</v>
      </c>
    </row>
    <row r="59" spans="1:38" x14ac:dyDescent="0.25">
      <c r="A59">
        <v>2</v>
      </c>
      <c r="B59" s="5" t="s">
        <v>11</v>
      </c>
      <c r="C59" s="6" t="s">
        <v>5</v>
      </c>
      <c r="D59" s="6" t="s">
        <v>62</v>
      </c>
      <c r="E59" s="28">
        <v>16737.3</v>
      </c>
      <c r="F59" s="11">
        <v>27</v>
      </c>
      <c r="G59" s="11">
        <v>15</v>
      </c>
      <c r="H59" s="11">
        <f t="shared" si="0"/>
        <v>12</v>
      </c>
      <c r="I59" s="18">
        <v>1</v>
      </c>
      <c r="J59" s="19">
        <v>1.3914956011730211</v>
      </c>
      <c r="K59" s="19">
        <v>2.5</v>
      </c>
      <c r="L59" s="6">
        <v>671733.1875</v>
      </c>
      <c r="M59" s="7">
        <v>758936.875</v>
      </c>
      <c r="N59" s="7">
        <v>131289.828125</v>
      </c>
      <c r="O59" s="7">
        <v>6313230.5</v>
      </c>
      <c r="P59" s="7">
        <v>5243.69970703125</v>
      </c>
      <c r="Q59" s="7">
        <v>1836.973999023438</v>
      </c>
      <c r="R59" s="7">
        <v>2917652.25</v>
      </c>
      <c r="S59" s="7">
        <v>1808754.625</v>
      </c>
      <c r="T59" s="31">
        <f t="shared" si="1"/>
        <v>1260.8677939331055</v>
      </c>
      <c r="U59" s="37">
        <v>1506.3333333333333</v>
      </c>
      <c r="V59">
        <f t="shared" si="3"/>
        <v>0.83704434206667777</v>
      </c>
      <c r="W59">
        <f t="shared" si="14"/>
        <v>1.9287072557773836E-3</v>
      </c>
      <c r="X59" s="28">
        <v>1470.4174999999998</v>
      </c>
      <c r="Y59">
        <f t="shared" si="5"/>
        <v>4.4593927030316442E-2</v>
      </c>
      <c r="Z59">
        <f t="shared" si="7"/>
        <v>5.0383063177694178E-2</v>
      </c>
      <c r="AA59">
        <f t="shared" si="8"/>
        <v>8.7158549319539726E-3</v>
      </c>
      <c r="AB59">
        <f t="shared" si="9"/>
        <v>0.41911244744412479</v>
      </c>
      <c r="AC59">
        <f t="shared" si="10"/>
        <v>3.4811018192285357E-4</v>
      </c>
      <c r="AD59">
        <f t="shared" si="11"/>
        <v>1.2195003312835392E-4</v>
      </c>
      <c r="AE59">
        <f t="shared" si="12"/>
        <v>0.19369233790661652</v>
      </c>
      <c r="AF59">
        <f t="shared" si="13"/>
        <v>0.12007665136092058</v>
      </c>
      <c r="AG59">
        <f t="shared" si="6"/>
        <v>0.83704434206667766</v>
      </c>
      <c r="AH59">
        <v>0.3632963500684101</v>
      </c>
      <c r="AI59">
        <v>0.85483870967741937</v>
      </c>
      <c r="AJ59">
        <v>0.11445833682973902</v>
      </c>
      <c r="AK59">
        <v>1.7684728122218041E-2</v>
      </c>
      <c r="AL59">
        <v>0.61806415032221484</v>
      </c>
    </row>
    <row r="60" spans="1:38" x14ac:dyDescent="0.25">
      <c r="A60">
        <v>2</v>
      </c>
      <c r="B60" s="5" t="s">
        <v>11</v>
      </c>
      <c r="C60" s="6" t="s">
        <v>5</v>
      </c>
      <c r="D60" s="6" t="s">
        <v>63</v>
      </c>
      <c r="E60" s="28">
        <v>16737.3</v>
      </c>
      <c r="F60" s="11">
        <v>28</v>
      </c>
      <c r="G60" s="11">
        <v>15</v>
      </c>
      <c r="H60" s="11">
        <f t="shared" si="0"/>
        <v>13</v>
      </c>
      <c r="I60" s="18">
        <v>1</v>
      </c>
      <c r="J60" s="19">
        <v>1.3914956011730211</v>
      </c>
      <c r="K60" s="19">
        <v>2.5</v>
      </c>
      <c r="L60" s="6">
        <v>665658.625</v>
      </c>
      <c r="M60" s="7">
        <v>791572.5625</v>
      </c>
      <c r="N60" s="7">
        <v>235690.640625</v>
      </c>
      <c r="O60" s="7">
        <v>5511728.5</v>
      </c>
      <c r="P60" s="7">
        <v>5243.69970703125</v>
      </c>
      <c r="Q60" s="7">
        <v>5143.349609375</v>
      </c>
      <c r="R60" s="7">
        <v>3044635</v>
      </c>
      <c r="S60" s="7">
        <v>1841758.625</v>
      </c>
      <c r="T60" s="31">
        <f t="shared" si="1"/>
        <v>1210.1431002441407</v>
      </c>
      <c r="U60" s="37">
        <v>1519.5555555555554</v>
      </c>
      <c r="V60">
        <f t="shared" si="3"/>
        <v>0.796379636019104</v>
      </c>
      <c r="W60">
        <f t="shared" si="14"/>
        <v>-4.8581304482832856E-2</v>
      </c>
      <c r="X60" s="28">
        <v>1520.8458333333331</v>
      </c>
      <c r="Y60">
        <f t="shared" si="5"/>
        <v>4.3806139404796725E-2</v>
      </c>
      <c r="Z60">
        <f t="shared" si="7"/>
        <v>5.2092373958028668E-2</v>
      </c>
      <c r="AA60">
        <f t="shared" si="8"/>
        <v>1.5510498432472946E-2</v>
      </c>
      <c r="AB60">
        <f t="shared" si="9"/>
        <v>0.36271977551915768</v>
      </c>
      <c r="AC60">
        <f t="shared" si="10"/>
        <v>3.45081144803168E-4</v>
      </c>
      <c r="AD60">
        <f t="shared" si="11"/>
        <v>3.3847723372605295E-4</v>
      </c>
      <c r="AE60">
        <f t="shared" si="12"/>
        <v>0.200363520035098</v>
      </c>
      <c r="AF60">
        <f t="shared" si="13"/>
        <v>0.12120377029102078</v>
      </c>
      <c r="AG60">
        <f t="shared" si="6"/>
        <v>0.79637963601910411</v>
      </c>
      <c r="AH60">
        <v>0.3632963500684101</v>
      </c>
      <c r="AI60">
        <v>0.85483870967741937</v>
      </c>
      <c r="AJ60">
        <v>0.11445833682973902</v>
      </c>
      <c r="AK60">
        <v>1.7684728122218041E-2</v>
      </c>
      <c r="AL60">
        <v>0.61806415032221484</v>
      </c>
    </row>
    <row r="61" spans="1:38" x14ac:dyDescent="0.25">
      <c r="A61">
        <v>2</v>
      </c>
      <c r="B61" s="5" t="s">
        <v>11</v>
      </c>
      <c r="C61" s="6" t="s">
        <v>5</v>
      </c>
      <c r="D61" s="6" t="s">
        <v>64</v>
      </c>
      <c r="E61" s="28">
        <v>16737.3</v>
      </c>
      <c r="F61" s="11">
        <v>29</v>
      </c>
      <c r="G61" s="11">
        <v>15</v>
      </c>
      <c r="H61" s="11">
        <f t="shared" si="0"/>
        <v>14</v>
      </c>
      <c r="I61" s="18">
        <v>1</v>
      </c>
      <c r="J61" s="19">
        <v>1.3914956011730211</v>
      </c>
      <c r="K61" s="19">
        <v>2.5</v>
      </c>
      <c r="L61" s="6">
        <v>694380</v>
      </c>
      <c r="M61" s="7">
        <v>813859.0625</v>
      </c>
      <c r="N61" s="7">
        <v>536751.75</v>
      </c>
      <c r="O61" s="7">
        <v>5424219.5</v>
      </c>
      <c r="P61" s="7">
        <v>5243.69970703125</v>
      </c>
      <c r="Q61" s="7">
        <v>7093.6962890625</v>
      </c>
      <c r="R61" s="7">
        <v>3129910</v>
      </c>
      <c r="S61" s="7">
        <v>1909261.375</v>
      </c>
      <c r="T61" s="31">
        <f t="shared" si="1"/>
        <v>1252.0719083496094</v>
      </c>
      <c r="U61" s="37">
        <v>1532.7777777777776</v>
      </c>
      <c r="V61">
        <f t="shared" si="3"/>
        <v>0.81686460131543936</v>
      </c>
      <c r="W61">
        <f t="shared" si="14"/>
        <v>2.5722613148089039E-2</v>
      </c>
      <c r="X61" s="28">
        <v>1571.2741666666664</v>
      </c>
      <c r="Y61">
        <f t="shared" si="5"/>
        <v>4.5302065965929686E-2</v>
      </c>
      <c r="Z61">
        <f t="shared" si="7"/>
        <v>5.3097002990213853E-2</v>
      </c>
      <c r="AA61">
        <f t="shared" si="8"/>
        <v>3.5018236679956509E-2</v>
      </c>
      <c r="AB61">
        <f t="shared" si="9"/>
        <v>0.35388166364624868</v>
      </c>
      <c r="AC61">
        <f t="shared" si="10"/>
        <v>3.4210436653339075E-4</v>
      </c>
      <c r="AD61">
        <f t="shared" si="11"/>
        <v>4.6280004785474819E-4</v>
      </c>
      <c r="AE61">
        <f t="shared" si="12"/>
        <v>0.20419855019934763</v>
      </c>
      <c r="AF61">
        <f t="shared" si="13"/>
        <v>0.12456217741935487</v>
      </c>
      <c r="AG61">
        <f t="shared" si="6"/>
        <v>0.81686460131543925</v>
      </c>
      <c r="AH61">
        <v>0.3632963500684101</v>
      </c>
      <c r="AI61">
        <v>0.85483870967741937</v>
      </c>
      <c r="AJ61">
        <v>0.11445833682973902</v>
      </c>
      <c r="AK61">
        <v>1.7684728122218041E-2</v>
      </c>
      <c r="AL61">
        <v>0.61806415032221484</v>
      </c>
    </row>
    <row r="62" spans="1:38" x14ac:dyDescent="0.25">
      <c r="A62">
        <v>2</v>
      </c>
      <c r="B62" s="5" t="s">
        <v>11</v>
      </c>
      <c r="C62" s="6" t="s">
        <v>5</v>
      </c>
      <c r="D62" s="6" t="s">
        <v>65</v>
      </c>
      <c r="E62" s="28">
        <v>16737.3</v>
      </c>
      <c r="F62" s="11">
        <v>30</v>
      </c>
      <c r="G62" s="11">
        <v>15</v>
      </c>
      <c r="H62" s="11">
        <f t="shared" si="0"/>
        <v>15</v>
      </c>
      <c r="I62" s="18">
        <v>1</v>
      </c>
      <c r="J62" s="19">
        <v>1.3914956011730211</v>
      </c>
      <c r="K62" s="19">
        <v>2.5</v>
      </c>
      <c r="L62" s="6">
        <v>689405.375</v>
      </c>
      <c r="M62" s="7">
        <v>810265.5</v>
      </c>
      <c r="N62" s="7">
        <v>793020.75</v>
      </c>
      <c r="O62" s="7">
        <v>5793480.5</v>
      </c>
      <c r="P62" s="7">
        <v>5243.69970703125</v>
      </c>
      <c r="Q62" s="7">
        <v>4681.00634765625</v>
      </c>
      <c r="R62" s="7">
        <v>3118122</v>
      </c>
      <c r="S62" s="7">
        <v>1883730.375</v>
      </c>
      <c r="T62" s="31">
        <f t="shared" si="1"/>
        <v>1309.7949206054689</v>
      </c>
      <c r="U62" s="37">
        <v>1546</v>
      </c>
      <c r="V62">
        <f t="shared" si="3"/>
        <v>0.84721534321181691</v>
      </c>
      <c r="W62">
        <f t="shared" si="14"/>
        <v>3.715516849120671E-2</v>
      </c>
      <c r="X62" s="28">
        <v>1621.7024999999996</v>
      </c>
      <c r="Y62">
        <f t="shared" si="5"/>
        <v>4.4592844437257438E-2</v>
      </c>
      <c r="Z62">
        <f t="shared" si="7"/>
        <v>5.2410446313065975E-2</v>
      </c>
      <c r="AA62">
        <f t="shared" si="8"/>
        <v>5.1295003234152647E-2</v>
      </c>
      <c r="AB62">
        <f t="shared" si="9"/>
        <v>0.3747400064683053</v>
      </c>
      <c r="AC62">
        <f t="shared" si="10"/>
        <v>3.391785062762775E-4</v>
      </c>
      <c r="AD62">
        <f t="shared" si="11"/>
        <v>3.0278178186651035E-4</v>
      </c>
      <c r="AE62">
        <f t="shared" si="12"/>
        <v>0.20168965071151357</v>
      </c>
      <c r="AF62">
        <f t="shared" si="13"/>
        <v>0.12184543175937904</v>
      </c>
      <c r="AG62">
        <f t="shared" si="6"/>
        <v>0.84721534321181668</v>
      </c>
      <c r="AH62">
        <v>0.3632963500684101</v>
      </c>
      <c r="AI62">
        <v>0.85483870967741937</v>
      </c>
      <c r="AJ62">
        <v>0.11445833682973902</v>
      </c>
      <c r="AK62">
        <v>1.7684728122218041E-2</v>
      </c>
      <c r="AL62">
        <v>0.61806415032221484</v>
      </c>
    </row>
    <row r="63" spans="1:38" x14ac:dyDescent="0.25">
      <c r="A63">
        <v>2</v>
      </c>
      <c r="B63" s="5" t="s">
        <v>11</v>
      </c>
      <c r="C63" s="6" t="s">
        <v>5</v>
      </c>
      <c r="D63" s="6" t="s">
        <v>66</v>
      </c>
      <c r="E63" s="28">
        <v>16737.3</v>
      </c>
      <c r="F63" s="11">
        <v>31</v>
      </c>
      <c r="G63" s="11">
        <v>15</v>
      </c>
      <c r="H63" s="11">
        <f t="shared" si="0"/>
        <v>16</v>
      </c>
      <c r="I63" s="18">
        <v>1</v>
      </c>
      <c r="J63" s="19">
        <v>1.3914956011730211</v>
      </c>
      <c r="K63" s="19">
        <v>2.5</v>
      </c>
      <c r="L63" s="6">
        <v>689296.0625</v>
      </c>
      <c r="M63" s="7">
        <v>817260.5625</v>
      </c>
      <c r="N63" s="7">
        <v>1202941.625</v>
      </c>
      <c r="O63" s="7">
        <v>6462392</v>
      </c>
      <c r="P63" s="7">
        <v>5246.216796875</v>
      </c>
      <c r="Q63" s="7">
        <v>2207.64599609375</v>
      </c>
      <c r="R63" s="7">
        <v>3146248</v>
      </c>
      <c r="S63" s="7">
        <v>1812413</v>
      </c>
      <c r="T63" s="31">
        <f t="shared" si="1"/>
        <v>1413.8005112792969</v>
      </c>
      <c r="U63" s="37">
        <v>1559.2222222222224</v>
      </c>
      <c r="V63">
        <f t="shared" si="3"/>
        <v>0.90673445460797197</v>
      </c>
      <c r="W63">
        <f t="shared" si="14"/>
        <v>7.0252636325631765E-2</v>
      </c>
      <c r="X63" s="28">
        <v>1672.1308333333329</v>
      </c>
      <c r="Y63">
        <f t="shared" si="5"/>
        <v>4.4207685901090282E-2</v>
      </c>
      <c r="Z63">
        <f t="shared" si="7"/>
        <v>5.2414630246561671E-2</v>
      </c>
      <c r="AA63">
        <f t="shared" si="8"/>
        <v>7.7150107781657512E-2</v>
      </c>
      <c r="AB63">
        <f t="shared" si="9"/>
        <v>0.41446253830257246</v>
      </c>
      <c r="AC63">
        <f t="shared" si="10"/>
        <v>3.3646370107514423E-4</v>
      </c>
      <c r="AD63">
        <f t="shared" si="11"/>
        <v>1.4158636047063172E-4</v>
      </c>
      <c r="AE63">
        <f t="shared" si="12"/>
        <v>0.20178316824627662</v>
      </c>
      <c r="AF63">
        <f t="shared" si="13"/>
        <v>0.11623827406826766</v>
      </c>
      <c r="AG63">
        <f t="shared" si="6"/>
        <v>0.90673445460797197</v>
      </c>
      <c r="AH63">
        <v>0.3632963500684101</v>
      </c>
      <c r="AI63">
        <v>0.85483870967741937</v>
      </c>
      <c r="AJ63">
        <v>0.11445833682973902</v>
      </c>
      <c r="AK63">
        <v>1.7684728122218041E-2</v>
      </c>
      <c r="AL63">
        <v>0.61806415032221484</v>
      </c>
    </row>
    <row r="64" spans="1:38" x14ac:dyDescent="0.25">
      <c r="A64">
        <v>3</v>
      </c>
      <c r="B64" s="5" t="s">
        <v>21</v>
      </c>
      <c r="C64" s="6" t="s">
        <v>5</v>
      </c>
      <c r="D64" s="6" t="s">
        <v>36</v>
      </c>
      <c r="E64" s="28">
        <v>40391.269999999997</v>
      </c>
      <c r="F64" s="11">
        <v>1</v>
      </c>
      <c r="G64" s="11">
        <v>13</v>
      </c>
      <c r="H64" s="18">
        <f t="shared" si="0"/>
        <v>-12</v>
      </c>
      <c r="I64" s="18">
        <v>1</v>
      </c>
      <c r="J64" s="19">
        <v>3.2258064516129031E-2</v>
      </c>
      <c r="K64" s="19">
        <v>1.3</v>
      </c>
      <c r="L64" s="14">
        <v>15698599</v>
      </c>
      <c r="M64" s="16">
        <v>9033905</v>
      </c>
      <c r="N64" s="16">
        <v>3127563</v>
      </c>
      <c r="O64" s="16">
        <v>33048578</v>
      </c>
      <c r="P64" s="16">
        <v>17829.80859375</v>
      </c>
      <c r="Q64" s="16">
        <v>37785.37109375</v>
      </c>
      <c r="R64" s="16">
        <v>2346345.75</v>
      </c>
      <c r="S64" s="16">
        <v>3592222</v>
      </c>
      <c r="T64" s="31">
        <f t="shared" si="1"/>
        <v>6690.2827929687501</v>
      </c>
      <c r="U64" s="37"/>
      <c r="X64" s="28">
        <v>3183.7891666666665</v>
      </c>
      <c r="Y64" t="e">
        <f t="shared" si="5"/>
        <v>#DIV/0!</v>
      </c>
      <c r="Z64" t="e">
        <f t="shared" si="7"/>
        <v>#DIV/0!</v>
      </c>
      <c r="AA64" t="e">
        <f t="shared" si="8"/>
        <v>#DIV/0!</v>
      </c>
      <c r="AB64" t="e">
        <f t="shared" si="9"/>
        <v>#DIV/0!</v>
      </c>
      <c r="AC64" t="e">
        <f t="shared" si="10"/>
        <v>#DIV/0!</v>
      </c>
      <c r="AD64" t="e">
        <f t="shared" si="11"/>
        <v>#DIV/0!</v>
      </c>
      <c r="AE64" t="e">
        <f t="shared" si="12"/>
        <v>#DIV/0!</v>
      </c>
      <c r="AF64" t="e">
        <f t="shared" si="13"/>
        <v>#DIV/0!</v>
      </c>
      <c r="AG64" t="e">
        <f t="shared" si="6"/>
        <v>#DIV/0!</v>
      </c>
      <c r="AH64">
        <v>0.40728602987724827</v>
      </c>
      <c r="AI64">
        <v>0.61143931256713213</v>
      </c>
      <c r="AJ64">
        <v>3.9502506033042513E-2</v>
      </c>
      <c r="AK64">
        <v>1.4121675302608707E-2</v>
      </c>
      <c r="AL64">
        <v>0.47101278111618061</v>
      </c>
    </row>
    <row r="65" spans="1:38" x14ac:dyDescent="0.25">
      <c r="A65">
        <v>3</v>
      </c>
      <c r="B65" s="5" t="s">
        <v>21</v>
      </c>
      <c r="C65" s="6" t="s">
        <v>5</v>
      </c>
      <c r="D65" s="6" t="s">
        <v>37</v>
      </c>
      <c r="E65" s="28">
        <v>40391.269999999997</v>
      </c>
      <c r="F65" s="11">
        <v>2</v>
      </c>
      <c r="G65" s="11">
        <v>13</v>
      </c>
      <c r="H65" s="11">
        <f t="shared" si="0"/>
        <v>-11</v>
      </c>
      <c r="I65" s="18">
        <v>1</v>
      </c>
      <c r="J65" s="19">
        <v>3.2258064516129031E-2</v>
      </c>
      <c r="K65" s="19">
        <v>1.3</v>
      </c>
      <c r="L65" s="6">
        <v>17051774</v>
      </c>
      <c r="M65" s="7">
        <v>8675520</v>
      </c>
      <c r="N65" s="7">
        <v>3127563</v>
      </c>
      <c r="O65" s="7">
        <v>31750394</v>
      </c>
      <c r="P65" s="7">
        <v>17829.80859375</v>
      </c>
      <c r="Q65" s="7">
        <v>22216.955078125</v>
      </c>
      <c r="R65" s="7">
        <v>2370763.25</v>
      </c>
      <c r="S65" s="7">
        <v>3517242.5</v>
      </c>
      <c r="T65" s="31">
        <f t="shared" si="1"/>
        <v>6653.3303513671872</v>
      </c>
      <c r="U65" s="37">
        <v>3433.166666666667</v>
      </c>
      <c r="V65">
        <f t="shared" si="3"/>
        <v>1.93795728473242</v>
      </c>
      <c r="W65" t="e">
        <f>(V65-V64)/V64</f>
        <v>#DIV/0!</v>
      </c>
      <c r="X65" s="28">
        <v>3549.060833333333</v>
      </c>
      <c r="Y65">
        <f t="shared" si="5"/>
        <v>0.49667772221952516</v>
      </c>
      <c r="Z65">
        <f t="shared" si="7"/>
        <v>0.25269731540366031</v>
      </c>
      <c r="AA65">
        <f t="shared" si="8"/>
        <v>9.1098490217971742E-2</v>
      </c>
      <c r="AB65">
        <f t="shared" si="9"/>
        <v>0.92481365114811398</v>
      </c>
      <c r="AC65">
        <f t="shared" si="10"/>
        <v>5.1934002409097517E-4</v>
      </c>
      <c r="AD65">
        <f t="shared" si="11"/>
        <v>6.4712719291591821E-4</v>
      </c>
      <c r="AE65">
        <f t="shared" si="12"/>
        <v>6.9054708966454673E-2</v>
      </c>
      <c r="AF65">
        <f t="shared" si="13"/>
        <v>0.10244892955968735</v>
      </c>
      <c r="AG65">
        <f t="shared" si="6"/>
        <v>1.93795728473242</v>
      </c>
      <c r="AH65">
        <v>0.40728602987724827</v>
      </c>
      <c r="AI65">
        <v>0.61143931256713213</v>
      </c>
      <c r="AJ65">
        <v>3.9502506033042513E-2</v>
      </c>
      <c r="AK65">
        <v>1.4121675302608707E-2</v>
      </c>
      <c r="AL65">
        <v>0.47101278111618061</v>
      </c>
    </row>
    <row r="66" spans="1:38" x14ac:dyDescent="0.25">
      <c r="A66">
        <v>3</v>
      </c>
      <c r="B66" s="5" t="s">
        <v>21</v>
      </c>
      <c r="C66" s="6" t="s">
        <v>5</v>
      </c>
      <c r="D66" s="6" t="s">
        <v>38</v>
      </c>
      <c r="E66" s="28">
        <v>40391.269999999997</v>
      </c>
      <c r="F66" s="11">
        <v>3</v>
      </c>
      <c r="G66" s="11">
        <v>13</v>
      </c>
      <c r="H66" s="11">
        <f t="shared" ref="H66:H129" si="15">F66-G66</f>
        <v>-10</v>
      </c>
      <c r="I66" s="18">
        <v>1</v>
      </c>
      <c r="J66" s="19">
        <v>3.2258064516129031E-2</v>
      </c>
      <c r="K66" s="19">
        <v>1.3</v>
      </c>
      <c r="L66" s="6">
        <v>17045140</v>
      </c>
      <c r="M66" s="7">
        <v>8429980</v>
      </c>
      <c r="N66" s="7">
        <v>3127563</v>
      </c>
      <c r="O66" s="7">
        <v>30882508</v>
      </c>
      <c r="P66" s="7">
        <v>17829.80859375</v>
      </c>
      <c r="Q66" s="7">
        <v>31196.998046875</v>
      </c>
      <c r="R66" s="7">
        <v>2288026</v>
      </c>
      <c r="S66" s="7">
        <v>3555133.25</v>
      </c>
      <c r="T66" s="31">
        <f t="shared" ref="T66:T129" si="16">SUM(L66:S66)/10000</f>
        <v>6537.7377056640626</v>
      </c>
      <c r="U66" s="37">
        <v>3504</v>
      </c>
      <c r="V66">
        <f t="shared" si="3"/>
        <v>1.8657927242191958</v>
      </c>
      <c r="W66">
        <f t="shared" ref="W66:W94" si="17">(V66-V65)/V65</f>
        <v>-3.7237436078570829E-2</v>
      </c>
      <c r="X66" s="28">
        <v>3914.3325</v>
      </c>
      <c r="Y66">
        <f t="shared" si="5"/>
        <v>0.4864480593607306</v>
      </c>
      <c r="Z66">
        <f t="shared" si="7"/>
        <v>0.2405816210045662</v>
      </c>
      <c r="AA66">
        <f t="shared" si="8"/>
        <v>8.9256934931506854E-2</v>
      </c>
      <c r="AB66">
        <f t="shared" si="9"/>
        <v>0.88135011415525111</v>
      </c>
      <c r="AC66">
        <f t="shared" si="10"/>
        <v>5.088415694563356E-4</v>
      </c>
      <c r="AD66">
        <f t="shared" si="11"/>
        <v>8.9032528672588465E-4</v>
      </c>
      <c r="AE66">
        <f t="shared" si="12"/>
        <v>6.5297545662100456E-2</v>
      </c>
      <c r="AF66">
        <f t="shared" si="13"/>
        <v>0.10145928224885845</v>
      </c>
      <c r="AG66">
        <f t="shared" si="6"/>
        <v>1.8657927242191961</v>
      </c>
      <c r="AH66">
        <v>0.40728602987724827</v>
      </c>
      <c r="AI66">
        <v>0.61143931256713213</v>
      </c>
      <c r="AJ66">
        <v>3.9502506033042513E-2</v>
      </c>
      <c r="AK66">
        <v>1.4121675302608707E-2</v>
      </c>
      <c r="AL66">
        <v>0.47101278111618061</v>
      </c>
    </row>
    <row r="67" spans="1:38" x14ac:dyDescent="0.25">
      <c r="A67">
        <v>3</v>
      </c>
      <c r="B67" s="5" t="s">
        <v>21</v>
      </c>
      <c r="C67" s="6" t="s">
        <v>5</v>
      </c>
      <c r="D67" s="6" t="s">
        <v>39</v>
      </c>
      <c r="E67" s="28">
        <v>40391.269999999997</v>
      </c>
      <c r="F67" s="11">
        <v>4</v>
      </c>
      <c r="G67" s="11">
        <v>13</v>
      </c>
      <c r="H67" s="11">
        <f t="shared" si="15"/>
        <v>-9</v>
      </c>
      <c r="I67" s="18">
        <v>1</v>
      </c>
      <c r="J67" s="19">
        <v>3.2258064516129031E-2</v>
      </c>
      <c r="K67" s="19">
        <v>1.3</v>
      </c>
      <c r="L67" s="6">
        <v>16200512</v>
      </c>
      <c r="M67" s="7">
        <v>8796784</v>
      </c>
      <c r="N67" s="7">
        <v>3127563</v>
      </c>
      <c r="O67" s="7">
        <v>32209978</v>
      </c>
      <c r="P67" s="7">
        <v>17829.80859375</v>
      </c>
      <c r="Q67" s="7">
        <v>87348.5859375</v>
      </c>
      <c r="R67" s="7">
        <v>2263721.75</v>
      </c>
      <c r="S67" s="7">
        <v>3620038.75</v>
      </c>
      <c r="T67" s="31">
        <f t="shared" si="16"/>
        <v>6632.3775894531254</v>
      </c>
      <c r="U67" s="37">
        <v>3636</v>
      </c>
      <c r="V67">
        <f t="shared" ref="V67:V130" si="18">T67/U67</f>
        <v>1.824086245724182</v>
      </c>
      <c r="W67">
        <f t="shared" si="17"/>
        <v>-2.23532217451793E-2</v>
      </c>
      <c r="X67" s="28">
        <v>4279.604166666667</v>
      </c>
      <c r="Y67">
        <f t="shared" si="5"/>
        <v>0.44555863586358635</v>
      </c>
      <c r="Z67">
        <f t="shared" si="7"/>
        <v>0.24193575357535757</v>
      </c>
      <c r="AA67">
        <f t="shared" si="8"/>
        <v>8.6016584158415843E-2</v>
      </c>
      <c r="AB67">
        <f t="shared" si="9"/>
        <v>0.8858629812981299</v>
      </c>
      <c r="AC67">
        <f t="shared" si="10"/>
        <v>4.9036877320544556E-4</v>
      </c>
      <c r="AD67">
        <f t="shared" si="11"/>
        <v>2.4023263459158413E-3</v>
      </c>
      <c r="AE67">
        <f t="shared" si="12"/>
        <v>6.2258573982398244E-2</v>
      </c>
      <c r="AF67">
        <f t="shared" si="13"/>
        <v>9.956102172717271E-2</v>
      </c>
      <c r="AG67">
        <f t="shared" si="6"/>
        <v>1.824086245724182</v>
      </c>
      <c r="AH67">
        <v>0.40728602987724827</v>
      </c>
      <c r="AI67">
        <v>0.61143931256713213</v>
      </c>
      <c r="AJ67">
        <v>3.9502506033042513E-2</v>
      </c>
      <c r="AK67">
        <v>1.4121675302608707E-2</v>
      </c>
      <c r="AL67">
        <v>0.47101278111618061</v>
      </c>
    </row>
    <row r="68" spans="1:38" x14ac:dyDescent="0.25">
      <c r="A68">
        <v>3</v>
      </c>
      <c r="B68" s="5" t="s">
        <v>21</v>
      </c>
      <c r="C68" s="6" t="s">
        <v>5</v>
      </c>
      <c r="D68" s="6" t="s">
        <v>40</v>
      </c>
      <c r="E68" s="28">
        <v>40391.269999999997</v>
      </c>
      <c r="F68" s="11">
        <v>5</v>
      </c>
      <c r="G68" s="11">
        <v>13</v>
      </c>
      <c r="H68" s="11">
        <f t="shared" si="15"/>
        <v>-8</v>
      </c>
      <c r="I68" s="18">
        <v>1</v>
      </c>
      <c r="J68" s="19">
        <v>3.2258064516129031E-2</v>
      </c>
      <c r="K68" s="19">
        <v>1.3</v>
      </c>
      <c r="L68" s="6">
        <v>18358516</v>
      </c>
      <c r="M68" s="7">
        <v>9049066</v>
      </c>
      <c r="N68" s="7">
        <v>3127563</v>
      </c>
      <c r="O68" s="7">
        <v>33078422</v>
      </c>
      <c r="P68" s="7">
        <v>17829.80859375</v>
      </c>
      <c r="Q68" s="7">
        <v>120470.953125</v>
      </c>
      <c r="R68" s="7">
        <v>2377127.75</v>
      </c>
      <c r="S68" s="7">
        <v>3752205.5</v>
      </c>
      <c r="T68" s="31">
        <f t="shared" si="16"/>
        <v>6988.1201011718749</v>
      </c>
      <c r="U68" s="37">
        <v>3768</v>
      </c>
      <c r="V68">
        <f t="shared" si="18"/>
        <v>1.8545966298226844</v>
      </c>
      <c r="W68">
        <f t="shared" si="17"/>
        <v>1.6726393376421421E-2</v>
      </c>
      <c r="X68" s="28">
        <v>4644.8758333333335</v>
      </c>
      <c r="Y68">
        <f t="shared" ref="Y68:Y131" si="19">L68/$U68/10000</f>
        <v>0.48722176220806795</v>
      </c>
      <c r="Z68">
        <f t="shared" si="7"/>
        <v>0.24015567940552018</v>
      </c>
      <c r="AA68">
        <f t="shared" si="8"/>
        <v>8.3003264331210191E-2</v>
      </c>
      <c r="AB68">
        <f t="shared" si="9"/>
        <v>0.87787744161358805</v>
      </c>
      <c r="AC68">
        <f t="shared" si="10"/>
        <v>4.7319024930334399E-4</v>
      </c>
      <c r="AD68">
        <f t="shared" si="11"/>
        <v>3.1972121317675162E-3</v>
      </c>
      <c r="AE68">
        <f t="shared" si="12"/>
        <v>6.3087254511677279E-2</v>
      </c>
      <c r="AF68">
        <f t="shared" si="13"/>
        <v>9.95808253715499E-2</v>
      </c>
      <c r="AG68">
        <f t="shared" ref="AG68:AG131" si="20">SUM(Y68:AF68)</f>
        <v>1.8545966298226844</v>
      </c>
      <c r="AH68">
        <v>0.40728602987724827</v>
      </c>
      <c r="AI68">
        <v>0.61143931256713213</v>
      </c>
      <c r="AJ68">
        <v>3.9502506033042513E-2</v>
      </c>
      <c r="AK68">
        <v>1.4121675302608707E-2</v>
      </c>
      <c r="AL68">
        <v>0.47101278111618061</v>
      </c>
    </row>
    <row r="69" spans="1:38" x14ac:dyDescent="0.25">
      <c r="A69">
        <v>3</v>
      </c>
      <c r="B69" s="5" t="s">
        <v>21</v>
      </c>
      <c r="C69" s="6" t="s">
        <v>5</v>
      </c>
      <c r="D69" s="6" t="s">
        <v>41</v>
      </c>
      <c r="E69" s="28">
        <v>40391.269999999997</v>
      </c>
      <c r="F69" s="11">
        <v>6</v>
      </c>
      <c r="G69" s="11">
        <v>13</v>
      </c>
      <c r="H69" s="11">
        <f t="shared" si="15"/>
        <v>-7</v>
      </c>
      <c r="I69" s="18">
        <v>1</v>
      </c>
      <c r="J69" s="19">
        <v>3.2258064516129031E-2</v>
      </c>
      <c r="K69" s="19">
        <v>1.3</v>
      </c>
      <c r="L69" s="6">
        <v>19395508</v>
      </c>
      <c r="M69" s="7">
        <v>9015031</v>
      </c>
      <c r="N69" s="7">
        <v>3127563</v>
      </c>
      <c r="O69" s="7">
        <v>32934050</v>
      </c>
      <c r="P69" s="7">
        <v>17829.80859375</v>
      </c>
      <c r="Q69" s="7">
        <v>79496.6875</v>
      </c>
      <c r="R69" s="7">
        <v>2357058.25</v>
      </c>
      <c r="S69" s="7">
        <v>3702661</v>
      </c>
      <c r="T69" s="31">
        <f t="shared" si="16"/>
        <v>7062.9197746093751</v>
      </c>
      <c r="U69" s="37">
        <v>3900</v>
      </c>
      <c r="V69">
        <f t="shared" si="18"/>
        <v>1.8110050704126603</v>
      </c>
      <c r="W69">
        <f t="shared" si="17"/>
        <v>-2.3504604024968897E-2</v>
      </c>
      <c r="X69" s="28">
        <v>5010.1475000000009</v>
      </c>
      <c r="Y69">
        <f t="shared" si="19"/>
        <v>0.49732071794871802</v>
      </c>
      <c r="Z69">
        <f t="shared" si="7"/>
        <v>0.23115464102564101</v>
      </c>
      <c r="AA69">
        <f t="shared" si="8"/>
        <v>8.0193923076923079E-2</v>
      </c>
      <c r="AB69">
        <f t="shared" si="9"/>
        <v>0.84446282051282051</v>
      </c>
      <c r="AC69">
        <f t="shared" si="10"/>
        <v>4.5717457932692305E-4</v>
      </c>
      <c r="AD69">
        <f t="shared" si="11"/>
        <v>2.0383766025641025E-3</v>
      </c>
      <c r="AE69">
        <f t="shared" si="12"/>
        <v>6.0437391025641024E-2</v>
      </c>
      <c r="AF69">
        <f t="shared" si="13"/>
        <v>9.4940025641025633E-2</v>
      </c>
      <c r="AG69">
        <f t="shared" si="20"/>
        <v>1.8110050704126601</v>
      </c>
      <c r="AH69">
        <v>0.40728602987724827</v>
      </c>
      <c r="AI69">
        <v>0.61143931256713213</v>
      </c>
      <c r="AJ69">
        <v>3.9502506033042513E-2</v>
      </c>
      <c r="AK69">
        <v>1.4121675302608707E-2</v>
      </c>
      <c r="AL69">
        <v>0.47101278111618061</v>
      </c>
    </row>
    <row r="70" spans="1:38" x14ac:dyDescent="0.25">
      <c r="A70">
        <v>3</v>
      </c>
      <c r="B70" s="5" t="s">
        <v>21</v>
      </c>
      <c r="C70" s="6" t="s">
        <v>5</v>
      </c>
      <c r="D70" s="6" t="s">
        <v>42</v>
      </c>
      <c r="E70" s="28">
        <v>40391.269999999997</v>
      </c>
      <c r="F70" s="11">
        <v>7</v>
      </c>
      <c r="G70" s="11">
        <v>13</v>
      </c>
      <c r="H70" s="11">
        <f t="shared" si="15"/>
        <v>-6</v>
      </c>
      <c r="I70" s="18">
        <v>1</v>
      </c>
      <c r="J70" s="19">
        <v>3.2258064516129031E-2</v>
      </c>
      <c r="K70" s="19">
        <v>1.3</v>
      </c>
      <c r="L70" s="6">
        <v>23689406</v>
      </c>
      <c r="M70" s="7">
        <v>9096016</v>
      </c>
      <c r="N70" s="7">
        <v>3129064.25</v>
      </c>
      <c r="O70" s="7">
        <v>33220730</v>
      </c>
      <c r="P70" s="7">
        <v>17838.3671875</v>
      </c>
      <c r="Q70" s="7">
        <v>37492.05078125</v>
      </c>
      <c r="R70" s="7">
        <v>2356133</v>
      </c>
      <c r="S70" s="7">
        <v>3563350.5</v>
      </c>
      <c r="T70" s="31">
        <f t="shared" si="16"/>
        <v>7511.0030167968753</v>
      </c>
      <c r="U70" s="37">
        <v>4032</v>
      </c>
      <c r="V70">
        <f t="shared" si="18"/>
        <v>1.862847970435733</v>
      </c>
      <c r="W70">
        <f t="shared" si="17"/>
        <v>2.862659021228451E-2</v>
      </c>
      <c r="X70" s="28">
        <v>5375.4191666666675</v>
      </c>
      <c r="Y70">
        <f t="shared" si="19"/>
        <v>0.58753487103174606</v>
      </c>
      <c r="Z70">
        <f t="shared" si="7"/>
        <v>0.22559563492063495</v>
      </c>
      <c r="AA70">
        <f t="shared" si="8"/>
        <v>7.7605760168650798E-2</v>
      </c>
      <c r="AB70">
        <f t="shared" si="9"/>
        <v>0.82392683531746025</v>
      </c>
      <c r="AC70">
        <f t="shared" si="10"/>
        <v>4.4241982111855156E-4</v>
      </c>
      <c r="AD70">
        <f t="shared" si="11"/>
        <v>9.2986237056671625E-4</v>
      </c>
      <c r="AE70">
        <f t="shared" si="12"/>
        <v>5.8435838293650795E-2</v>
      </c>
      <c r="AF70">
        <f t="shared" si="13"/>
        <v>8.837674851190476E-2</v>
      </c>
      <c r="AG70">
        <f t="shared" si="20"/>
        <v>1.8628479704357328</v>
      </c>
      <c r="AH70">
        <v>0.40728602987724827</v>
      </c>
      <c r="AI70">
        <v>0.61143931256713213</v>
      </c>
      <c r="AJ70">
        <v>3.9502506033042513E-2</v>
      </c>
      <c r="AK70">
        <v>1.4121675302608707E-2</v>
      </c>
      <c r="AL70">
        <v>0.47101278111618061</v>
      </c>
    </row>
    <row r="71" spans="1:38" x14ac:dyDescent="0.25">
      <c r="A71">
        <v>3</v>
      </c>
      <c r="B71" s="5" t="s">
        <v>21</v>
      </c>
      <c r="C71" s="6" t="s">
        <v>5</v>
      </c>
      <c r="D71" s="6" t="s">
        <v>43</v>
      </c>
      <c r="E71" s="33">
        <v>42370.400000000001</v>
      </c>
      <c r="F71" s="11">
        <v>8</v>
      </c>
      <c r="G71" s="11">
        <v>13</v>
      </c>
      <c r="H71" s="18">
        <f t="shared" si="15"/>
        <v>-5</v>
      </c>
      <c r="I71" s="18">
        <v>1</v>
      </c>
      <c r="J71" s="19">
        <v>3.2258064516129031E-2</v>
      </c>
      <c r="K71" s="19">
        <v>1.3</v>
      </c>
      <c r="L71" s="14">
        <v>16530363</v>
      </c>
      <c r="M71" s="16">
        <v>8187121</v>
      </c>
      <c r="N71" s="16">
        <v>3110803</v>
      </c>
      <c r="O71" s="16">
        <v>30676562</v>
      </c>
      <c r="P71" s="16">
        <v>18236.1796875</v>
      </c>
      <c r="Q71" s="16">
        <v>19157.23828125</v>
      </c>
      <c r="R71" s="16">
        <v>2468654.5</v>
      </c>
      <c r="S71" s="16">
        <v>3271673.75</v>
      </c>
      <c r="T71" s="31">
        <f t="shared" si="16"/>
        <v>6428.2570667968748</v>
      </c>
      <c r="U71" s="37">
        <v>3185.8888888888891</v>
      </c>
      <c r="V71">
        <f t="shared" si="18"/>
        <v>2.0177279531675048</v>
      </c>
      <c r="W71">
        <f t="shared" si="17"/>
        <v>8.3141504400675401E-2</v>
      </c>
      <c r="X71" s="33">
        <v>2769.8374999999996</v>
      </c>
      <c r="Y71">
        <f t="shared" si="19"/>
        <v>0.51886188051476989</v>
      </c>
      <c r="Z71">
        <f t="shared" si="7"/>
        <v>0.2569807449516967</v>
      </c>
      <c r="AA71">
        <f t="shared" si="8"/>
        <v>9.7643173019914195E-2</v>
      </c>
      <c r="AB71">
        <f t="shared" si="9"/>
        <v>0.9628886339064624</v>
      </c>
      <c r="AC71">
        <f t="shared" si="10"/>
        <v>5.7240476123007701E-4</v>
      </c>
      <c r="AD71">
        <f t="shared" si="11"/>
        <v>6.0131532986171655E-4</v>
      </c>
      <c r="AE71">
        <f t="shared" si="12"/>
        <v>7.7487149931991753E-2</v>
      </c>
      <c r="AF71">
        <f t="shared" si="13"/>
        <v>0.10269265075157814</v>
      </c>
      <c r="AG71">
        <f t="shared" si="20"/>
        <v>2.0177279531675048</v>
      </c>
      <c r="AH71">
        <v>0.38722079564979328</v>
      </c>
      <c r="AI71">
        <v>0.61657681940700804</v>
      </c>
      <c r="AJ71">
        <v>3.9354000371264151E-2</v>
      </c>
      <c r="AK71">
        <v>1.5007351830523194E-2</v>
      </c>
      <c r="AL71">
        <v>0.43589693992030643</v>
      </c>
    </row>
    <row r="72" spans="1:38" x14ac:dyDescent="0.25">
      <c r="A72">
        <v>3</v>
      </c>
      <c r="B72" s="5" t="s">
        <v>21</v>
      </c>
      <c r="C72" s="6" t="s">
        <v>5</v>
      </c>
      <c r="D72" s="6" t="s">
        <v>44</v>
      </c>
      <c r="E72" s="33">
        <v>42370.400000000001</v>
      </c>
      <c r="F72" s="11">
        <v>9</v>
      </c>
      <c r="G72" s="11">
        <v>13</v>
      </c>
      <c r="H72" s="11">
        <f t="shared" si="15"/>
        <v>-4</v>
      </c>
      <c r="I72" s="18">
        <v>1</v>
      </c>
      <c r="J72" s="19">
        <v>3.2258064516129031E-2</v>
      </c>
      <c r="K72" s="19">
        <v>1.3</v>
      </c>
      <c r="L72" s="6">
        <v>16448453</v>
      </c>
      <c r="M72" s="7">
        <v>8022875</v>
      </c>
      <c r="N72" s="7">
        <v>3110803</v>
      </c>
      <c r="O72" s="7">
        <v>30015620</v>
      </c>
      <c r="P72" s="7">
        <v>18236.1796875</v>
      </c>
      <c r="Q72" s="7">
        <v>27052.220703125</v>
      </c>
      <c r="R72" s="7">
        <v>2380527.25</v>
      </c>
      <c r="S72" s="7">
        <v>3318628.75</v>
      </c>
      <c r="T72" s="31">
        <f t="shared" si="16"/>
        <v>6334.2195400390628</v>
      </c>
      <c r="U72" s="37">
        <v>3265.6666666666665</v>
      </c>
      <c r="V72">
        <f t="shared" si="18"/>
        <v>1.9396405654911901</v>
      </c>
      <c r="W72">
        <f t="shared" si="17"/>
        <v>-3.8700652163603189E-2</v>
      </c>
      <c r="X72" s="33">
        <v>2902.4124999999995</v>
      </c>
      <c r="Y72">
        <f t="shared" si="19"/>
        <v>0.50367825865060734</v>
      </c>
      <c r="Z72">
        <f t="shared" si="7"/>
        <v>0.24567342043482698</v>
      </c>
      <c r="AA72">
        <f t="shared" si="8"/>
        <v>9.5257823823619484E-2</v>
      </c>
      <c r="AB72">
        <f t="shared" si="9"/>
        <v>0.9191268755741554</v>
      </c>
      <c r="AC72">
        <f t="shared" si="10"/>
        <v>5.5842134390629789E-4</v>
      </c>
      <c r="AD72">
        <f t="shared" si="11"/>
        <v>8.2838279176661235E-4</v>
      </c>
      <c r="AE72">
        <f t="shared" si="12"/>
        <v>7.2895598142288465E-2</v>
      </c>
      <c r="AF72">
        <f t="shared" si="13"/>
        <v>0.1016217847300194</v>
      </c>
      <c r="AG72">
        <f t="shared" si="20"/>
        <v>1.9396405654911899</v>
      </c>
      <c r="AH72">
        <v>0.38722079564979328</v>
      </c>
      <c r="AI72">
        <v>0.61657681940700804</v>
      </c>
      <c r="AJ72">
        <v>3.9354000371264151E-2</v>
      </c>
      <c r="AK72">
        <v>1.5007351830523194E-2</v>
      </c>
      <c r="AL72">
        <v>0.43589693992030643</v>
      </c>
    </row>
    <row r="73" spans="1:38" x14ac:dyDescent="0.25">
      <c r="A73">
        <v>3</v>
      </c>
      <c r="B73" s="5" t="s">
        <v>21</v>
      </c>
      <c r="C73" s="6" t="s">
        <v>5</v>
      </c>
      <c r="D73" s="6" t="s">
        <v>45</v>
      </c>
      <c r="E73" s="33">
        <v>42370.400000000001</v>
      </c>
      <c r="F73" s="11">
        <v>10</v>
      </c>
      <c r="G73" s="11">
        <v>13</v>
      </c>
      <c r="H73" s="11">
        <f t="shared" si="15"/>
        <v>-3</v>
      </c>
      <c r="I73" s="18">
        <v>1</v>
      </c>
      <c r="J73" s="19">
        <v>3.2258064516129031E-2</v>
      </c>
      <c r="K73" s="19">
        <v>1.3</v>
      </c>
      <c r="L73" s="6">
        <v>18710946</v>
      </c>
      <c r="M73" s="7">
        <v>8329531.5</v>
      </c>
      <c r="N73" s="7">
        <v>3110803</v>
      </c>
      <c r="O73" s="7">
        <v>31192102</v>
      </c>
      <c r="P73" s="7">
        <v>18236.1796875</v>
      </c>
      <c r="Q73" s="7">
        <v>77158.859375</v>
      </c>
      <c r="R73" s="7">
        <v>2350975</v>
      </c>
      <c r="S73" s="7">
        <v>3396138.5</v>
      </c>
      <c r="T73" s="31">
        <f t="shared" si="16"/>
        <v>6718.5891039062499</v>
      </c>
      <c r="U73" s="37">
        <v>3345.4444444444439</v>
      </c>
      <c r="V73">
        <f t="shared" si="18"/>
        <v>2.0082799805757832</v>
      </c>
      <c r="W73">
        <f t="shared" si="17"/>
        <v>3.5387698270380803E-2</v>
      </c>
      <c r="X73" s="33">
        <v>3034.9874999999997</v>
      </c>
      <c r="Y73">
        <f t="shared" si="19"/>
        <v>0.55929627021820727</v>
      </c>
      <c r="Z73">
        <f t="shared" si="7"/>
        <v>0.24898131289647618</v>
      </c>
      <c r="AA73">
        <f t="shared" si="8"/>
        <v>9.2986239994685985E-2</v>
      </c>
      <c r="AB73">
        <f t="shared" si="9"/>
        <v>0.93237542927363926</v>
      </c>
      <c r="AC73">
        <f t="shared" si="10"/>
        <v>5.4510484302866264E-4</v>
      </c>
      <c r="AD73">
        <f t="shared" si="11"/>
        <v>2.3063859124348206E-3</v>
      </c>
      <c r="AE73">
        <f t="shared" si="12"/>
        <v>7.0273921418844879E-2</v>
      </c>
      <c r="AF73">
        <f t="shared" si="13"/>
        <v>0.10151531601846625</v>
      </c>
      <c r="AG73">
        <f t="shared" si="20"/>
        <v>2.0082799805757832</v>
      </c>
      <c r="AH73">
        <v>0.38722079564979328</v>
      </c>
      <c r="AI73">
        <v>0.61657681940700804</v>
      </c>
      <c r="AJ73">
        <v>3.9354000371264151E-2</v>
      </c>
      <c r="AK73">
        <v>1.5007351830523194E-2</v>
      </c>
      <c r="AL73">
        <v>0.43589693992030643</v>
      </c>
    </row>
    <row r="74" spans="1:38" x14ac:dyDescent="0.25">
      <c r="A74">
        <v>3</v>
      </c>
      <c r="B74" s="5" t="s">
        <v>21</v>
      </c>
      <c r="C74" s="6" t="s">
        <v>5</v>
      </c>
      <c r="D74" s="6" t="s">
        <v>46</v>
      </c>
      <c r="E74" s="33">
        <v>42370.400000000001</v>
      </c>
      <c r="F74" s="11">
        <v>11</v>
      </c>
      <c r="G74" s="11">
        <v>13</v>
      </c>
      <c r="H74" s="11">
        <f t="shared" si="15"/>
        <v>-2</v>
      </c>
      <c r="I74" s="18">
        <v>1</v>
      </c>
      <c r="J74" s="19">
        <v>3.2258064516129031E-2</v>
      </c>
      <c r="K74" s="19">
        <v>1.3</v>
      </c>
      <c r="L74" s="6">
        <v>16924418</v>
      </c>
      <c r="M74" s="7">
        <v>8465941</v>
      </c>
      <c r="N74" s="7">
        <v>3110803</v>
      </c>
      <c r="O74" s="7">
        <v>31752834</v>
      </c>
      <c r="P74" s="7">
        <v>18236.1796875</v>
      </c>
      <c r="Q74" s="7">
        <v>106357.5546875</v>
      </c>
      <c r="R74" s="7">
        <v>2464959.5</v>
      </c>
      <c r="S74" s="7">
        <v>3522856</v>
      </c>
      <c r="T74" s="31">
        <f t="shared" si="16"/>
        <v>6636.6405234374997</v>
      </c>
      <c r="U74" s="37">
        <v>3425.2222222222222</v>
      </c>
      <c r="V74">
        <f t="shared" si="18"/>
        <v>1.9375795475050279</v>
      </c>
      <c r="W74">
        <f t="shared" si="17"/>
        <v>-3.5204470369955637E-2</v>
      </c>
      <c r="X74" s="33">
        <v>3167.5625</v>
      </c>
      <c r="Y74">
        <f t="shared" si="19"/>
        <v>0.49411153209848507</v>
      </c>
      <c r="Z74">
        <f t="shared" si="7"/>
        <v>0.24716472248353716</v>
      </c>
      <c r="AA74">
        <f t="shared" si="8"/>
        <v>9.0820472313231898E-2</v>
      </c>
      <c r="AB74">
        <f t="shared" si="9"/>
        <v>0.92702989587050311</v>
      </c>
      <c r="AC74">
        <f t="shared" si="10"/>
        <v>5.324086586028481E-4</v>
      </c>
      <c r="AD74">
        <f t="shared" si="11"/>
        <v>3.1051285956710029E-3</v>
      </c>
      <c r="AE74">
        <f t="shared" si="12"/>
        <v>7.196495117916113E-2</v>
      </c>
      <c r="AF74">
        <f t="shared" si="13"/>
        <v>0.10285043630583579</v>
      </c>
      <c r="AG74">
        <f t="shared" si="20"/>
        <v>1.9375795475050279</v>
      </c>
      <c r="AH74">
        <v>0.38722079564979328</v>
      </c>
      <c r="AI74">
        <v>0.61657681940700804</v>
      </c>
      <c r="AJ74">
        <v>3.9354000371264151E-2</v>
      </c>
      <c r="AK74">
        <v>1.5007351830523194E-2</v>
      </c>
      <c r="AL74">
        <v>0.43589693992030643</v>
      </c>
    </row>
    <row r="75" spans="1:38" x14ac:dyDescent="0.25">
      <c r="A75">
        <v>3</v>
      </c>
      <c r="B75" s="5" t="s">
        <v>21</v>
      </c>
      <c r="C75" s="6" t="s">
        <v>5</v>
      </c>
      <c r="D75" s="6" t="s">
        <v>47</v>
      </c>
      <c r="E75" s="33">
        <v>42370.400000000001</v>
      </c>
      <c r="F75" s="11">
        <v>12</v>
      </c>
      <c r="G75" s="11">
        <v>13</v>
      </c>
      <c r="H75" s="11">
        <f t="shared" si="15"/>
        <v>-1</v>
      </c>
      <c r="I75" s="18">
        <v>1</v>
      </c>
      <c r="J75" s="19">
        <v>3.2258064516129031E-2</v>
      </c>
      <c r="K75" s="19">
        <v>1.3</v>
      </c>
      <c r="L75" s="6">
        <v>16813728</v>
      </c>
      <c r="M75" s="7">
        <v>8377452</v>
      </c>
      <c r="N75" s="7">
        <v>3110803</v>
      </c>
      <c r="O75" s="7">
        <v>31454476</v>
      </c>
      <c r="P75" s="7">
        <v>18236.1796875</v>
      </c>
      <c r="Q75" s="7">
        <v>70021.8515625</v>
      </c>
      <c r="R75" s="7">
        <v>2438024.75</v>
      </c>
      <c r="S75" s="7">
        <v>3494853</v>
      </c>
      <c r="T75" s="31">
        <f t="shared" si="16"/>
        <v>6577.759478125</v>
      </c>
      <c r="U75" s="37">
        <v>3505</v>
      </c>
      <c r="V75">
        <f t="shared" si="18"/>
        <v>1.8766788810627675</v>
      </c>
      <c r="W75">
        <f t="shared" si="17"/>
        <v>-3.1431311566371911E-2</v>
      </c>
      <c r="X75" s="33">
        <v>3300.1374999999998</v>
      </c>
      <c r="Y75">
        <f t="shared" si="19"/>
        <v>0.47970693295292438</v>
      </c>
      <c r="Z75">
        <f t="shared" si="7"/>
        <v>0.23901432239657633</v>
      </c>
      <c r="AA75">
        <f t="shared" si="8"/>
        <v>8.8753295292439374E-2</v>
      </c>
      <c r="AB75">
        <f t="shared" si="9"/>
        <v>0.89741728958630518</v>
      </c>
      <c r="AC75">
        <f t="shared" si="10"/>
        <v>5.202904333095578E-4</v>
      </c>
      <c r="AD75">
        <f t="shared" si="11"/>
        <v>1.997770372681883E-3</v>
      </c>
      <c r="AE75">
        <f t="shared" si="12"/>
        <v>6.9558480741797421E-2</v>
      </c>
      <c r="AF75">
        <f t="shared" si="13"/>
        <v>9.9710499286733242E-2</v>
      </c>
      <c r="AG75">
        <f t="shared" si="20"/>
        <v>1.8766788810627673</v>
      </c>
      <c r="AH75">
        <v>0.38722079564979328</v>
      </c>
      <c r="AI75">
        <v>0.61657681940700804</v>
      </c>
      <c r="AJ75">
        <v>3.9354000371264151E-2</v>
      </c>
      <c r="AK75">
        <v>1.5007351830523194E-2</v>
      </c>
      <c r="AL75">
        <v>0.43589693992030643</v>
      </c>
    </row>
    <row r="76" spans="1:38" x14ac:dyDescent="0.25">
      <c r="A76">
        <v>3</v>
      </c>
      <c r="B76" s="21" t="s">
        <v>21</v>
      </c>
      <c r="C76" s="22" t="s">
        <v>5</v>
      </c>
      <c r="D76" s="22" t="s">
        <v>48</v>
      </c>
      <c r="E76" s="33">
        <v>42370.400000000001</v>
      </c>
      <c r="F76" s="22">
        <v>13</v>
      </c>
      <c r="G76" s="22">
        <v>13</v>
      </c>
      <c r="H76" s="22">
        <f t="shared" si="15"/>
        <v>0</v>
      </c>
      <c r="I76" s="18">
        <v>1</v>
      </c>
      <c r="J76" s="19">
        <v>3.2258064516129031E-2</v>
      </c>
      <c r="K76" s="19">
        <v>1.3</v>
      </c>
      <c r="L76" s="22">
        <v>17612906</v>
      </c>
      <c r="M76" s="23">
        <v>8423255</v>
      </c>
      <c r="N76" s="23">
        <v>3110803</v>
      </c>
      <c r="O76" s="23">
        <v>31645104</v>
      </c>
      <c r="P76" s="23">
        <v>18236.1796875</v>
      </c>
      <c r="Q76" s="23">
        <v>33699.56640625</v>
      </c>
      <c r="R76" s="23">
        <v>2431485.25</v>
      </c>
      <c r="S76" s="23">
        <v>3385502.75</v>
      </c>
      <c r="T76" s="32">
        <f t="shared" si="16"/>
        <v>6666.099174609375</v>
      </c>
      <c r="U76" s="37">
        <v>3567.6666666666665</v>
      </c>
      <c r="V76">
        <f t="shared" si="18"/>
        <v>1.8684758968352917</v>
      </c>
      <c r="W76">
        <f t="shared" si="17"/>
        <v>-4.3710111038444766E-3</v>
      </c>
      <c r="X76" s="33">
        <v>3432.7125000000001</v>
      </c>
      <c r="Y76">
        <f t="shared" si="19"/>
        <v>0.49368137905260212</v>
      </c>
      <c r="Z76">
        <f t="shared" si="7"/>
        <v>0.23609983182285341</v>
      </c>
      <c r="AA76">
        <f t="shared" si="8"/>
        <v>8.7194328692889844E-2</v>
      </c>
      <c r="AB76">
        <f t="shared" si="9"/>
        <v>0.88699721573390633</v>
      </c>
      <c r="AC76">
        <f t="shared" si="10"/>
        <v>5.1115144410445671E-4</v>
      </c>
      <c r="AD76">
        <f t="shared" si="11"/>
        <v>9.4458281994534254E-4</v>
      </c>
      <c r="AE76">
        <f t="shared" si="12"/>
        <v>6.8153375221900417E-2</v>
      </c>
      <c r="AF76">
        <f t="shared" si="13"/>
        <v>9.4894032047089599E-2</v>
      </c>
      <c r="AG76">
        <f t="shared" si="20"/>
        <v>1.8684758968352915</v>
      </c>
      <c r="AH76">
        <v>0.38722079564979328</v>
      </c>
      <c r="AI76">
        <v>0.61657681940700804</v>
      </c>
      <c r="AJ76">
        <v>3.9354000371264151E-2</v>
      </c>
      <c r="AK76">
        <v>1.5007351830523194E-2</v>
      </c>
      <c r="AL76">
        <v>0.43589693992030643</v>
      </c>
    </row>
    <row r="77" spans="1:38" x14ac:dyDescent="0.25">
      <c r="A77">
        <v>3</v>
      </c>
      <c r="B77" s="5" t="s">
        <v>21</v>
      </c>
      <c r="C77" s="6" t="s">
        <v>5</v>
      </c>
      <c r="D77" s="6" t="s">
        <v>49</v>
      </c>
      <c r="E77" s="33">
        <v>42370.400000000001</v>
      </c>
      <c r="F77" s="11">
        <v>14</v>
      </c>
      <c r="G77" s="11">
        <v>13</v>
      </c>
      <c r="H77" s="11">
        <f t="shared" si="15"/>
        <v>1</v>
      </c>
      <c r="I77" s="18">
        <v>1</v>
      </c>
      <c r="J77" s="19">
        <v>3.2258064516129031E-2</v>
      </c>
      <c r="K77" s="19">
        <v>1.3</v>
      </c>
      <c r="L77" s="6">
        <v>19811198</v>
      </c>
      <c r="M77" s="7">
        <v>8089595</v>
      </c>
      <c r="N77" s="7">
        <v>3110803</v>
      </c>
      <c r="O77" s="7">
        <v>30401540</v>
      </c>
      <c r="P77" s="7">
        <v>18236.1796875</v>
      </c>
      <c r="Q77" s="7">
        <v>19814.59375</v>
      </c>
      <c r="R77" s="7">
        <v>2456997.25</v>
      </c>
      <c r="S77" s="7">
        <v>3313938.5</v>
      </c>
      <c r="T77" s="31">
        <f t="shared" si="16"/>
        <v>6722.2122523437502</v>
      </c>
      <c r="U77" s="37">
        <v>3630.3333333333335</v>
      </c>
      <c r="V77">
        <f t="shared" si="18"/>
        <v>1.8516790705198098</v>
      </c>
      <c r="W77">
        <f t="shared" si="17"/>
        <v>-8.9895868305988162E-3</v>
      </c>
      <c r="X77" s="33">
        <v>3565.2875000000004</v>
      </c>
      <c r="Y77">
        <f t="shared" si="19"/>
        <v>0.54571291892388207</v>
      </c>
      <c r="Z77">
        <f t="shared" si="7"/>
        <v>0.22283339454595538</v>
      </c>
      <c r="AA77">
        <f t="shared" si="8"/>
        <v>8.5689183729685051E-2</v>
      </c>
      <c r="AB77">
        <f t="shared" si="9"/>
        <v>0.83743108989073534</v>
      </c>
      <c r="AC77">
        <f t="shared" si="10"/>
        <v>5.0232796862087958E-4</v>
      </c>
      <c r="AD77">
        <f t="shared" si="11"/>
        <v>5.4580645716646769E-4</v>
      </c>
      <c r="AE77">
        <f t="shared" si="12"/>
        <v>6.7679659810852985E-2</v>
      </c>
      <c r="AF77">
        <f t="shared" si="13"/>
        <v>9.1284689192911578E-2</v>
      </c>
      <c r="AG77">
        <f t="shared" si="20"/>
        <v>1.8516790705198096</v>
      </c>
      <c r="AH77">
        <v>0.38722079564979328</v>
      </c>
      <c r="AI77">
        <v>0.61657681940700804</v>
      </c>
      <c r="AJ77">
        <v>3.9354000371264151E-2</v>
      </c>
      <c r="AK77">
        <v>1.5007351830523194E-2</v>
      </c>
      <c r="AL77">
        <v>0.43589693992030643</v>
      </c>
    </row>
    <row r="78" spans="1:38" x14ac:dyDescent="0.25">
      <c r="A78">
        <v>3</v>
      </c>
      <c r="B78" s="5" t="s">
        <v>21</v>
      </c>
      <c r="C78" s="6" t="s">
        <v>5</v>
      </c>
      <c r="D78" s="6" t="s">
        <v>50</v>
      </c>
      <c r="E78" s="33">
        <v>42370.400000000001</v>
      </c>
      <c r="F78" s="11">
        <v>15</v>
      </c>
      <c r="G78" s="11">
        <v>13</v>
      </c>
      <c r="H78" s="11">
        <f t="shared" si="15"/>
        <v>2</v>
      </c>
      <c r="I78" s="18">
        <v>1</v>
      </c>
      <c r="J78" s="19">
        <v>3.2258064516129031E-2</v>
      </c>
      <c r="K78" s="19">
        <v>1.3</v>
      </c>
      <c r="L78" s="6">
        <v>21081914</v>
      </c>
      <c r="M78" s="7">
        <v>7861029.5</v>
      </c>
      <c r="N78" s="7">
        <v>3110803</v>
      </c>
      <c r="O78" s="7">
        <v>29569808</v>
      </c>
      <c r="P78" s="7">
        <v>18236.1796875</v>
      </c>
      <c r="Q78" s="7">
        <v>27823.607421875</v>
      </c>
      <c r="R78" s="7">
        <v>2370598</v>
      </c>
      <c r="S78" s="7">
        <v>3350321</v>
      </c>
      <c r="T78" s="31">
        <f t="shared" si="16"/>
        <v>6739.0533287109374</v>
      </c>
      <c r="U78" s="37">
        <v>3693</v>
      </c>
      <c r="V78">
        <f t="shared" si="18"/>
        <v>1.8248181231277925</v>
      </c>
      <c r="W78">
        <f t="shared" si="17"/>
        <v>-1.4506265054060847E-2</v>
      </c>
      <c r="X78" s="33">
        <v>3697.8625000000002</v>
      </c>
      <c r="Y78">
        <f t="shared" si="19"/>
        <v>0.57086146764148393</v>
      </c>
      <c r="Z78">
        <f t="shared" si="7"/>
        <v>0.21286297048470079</v>
      </c>
      <c r="AA78">
        <f t="shared" si="8"/>
        <v>8.4235120498239918E-2</v>
      </c>
      <c r="AB78">
        <f t="shared" si="9"/>
        <v>0.80069883563498501</v>
      </c>
      <c r="AC78">
        <f t="shared" si="10"/>
        <v>4.9380394496344431E-4</v>
      </c>
      <c r="AD78">
        <f t="shared" si="11"/>
        <v>7.534147690732467E-4</v>
      </c>
      <c r="AE78">
        <f t="shared" si="12"/>
        <v>6.4191659897102626E-2</v>
      </c>
      <c r="AF78">
        <f t="shared" si="13"/>
        <v>9.0720850257243427E-2</v>
      </c>
      <c r="AG78">
        <f t="shared" si="20"/>
        <v>1.8248181231277925</v>
      </c>
      <c r="AH78">
        <v>0.38722079564979328</v>
      </c>
      <c r="AI78">
        <v>0.61657681940700804</v>
      </c>
      <c r="AJ78">
        <v>3.9354000371264151E-2</v>
      </c>
      <c r="AK78">
        <v>1.5007351830523194E-2</v>
      </c>
      <c r="AL78">
        <v>0.43589693992030643</v>
      </c>
    </row>
    <row r="79" spans="1:38" x14ac:dyDescent="0.25">
      <c r="A79">
        <v>3</v>
      </c>
      <c r="B79" s="5" t="s">
        <v>21</v>
      </c>
      <c r="C79" s="6" t="s">
        <v>5</v>
      </c>
      <c r="D79" s="6" t="s">
        <v>51</v>
      </c>
      <c r="E79" s="33">
        <v>42370.400000000001</v>
      </c>
      <c r="F79" s="11">
        <v>16</v>
      </c>
      <c r="G79" s="11">
        <v>13</v>
      </c>
      <c r="H79" s="11">
        <f t="shared" si="15"/>
        <v>3</v>
      </c>
      <c r="I79" s="18">
        <v>1</v>
      </c>
      <c r="J79" s="19">
        <v>3.2258064516129031E-2</v>
      </c>
      <c r="K79" s="19">
        <v>1.3</v>
      </c>
      <c r="L79" s="6">
        <v>18405442</v>
      </c>
      <c r="M79" s="7">
        <v>8202687</v>
      </c>
      <c r="N79" s="7">
        <v>3110803</v>
      </c>
      <c r="O79" s="7">
        <v>30841348</v>
      </c>
      <c r="P79" s="7">
        <v>18236.1796875</v>
      </c>
      <c r="Q79" s="7">
        <v>77903.421875</v>
      </c>
      <c r="R79" s="7">
        <v>2345188</v>
      </c>
      <c r="S79" s="7">
        <v>3412155.75</v>
      </c>
      <c r="T79" s="31">
        <f t="shared" si="16"/>
        <v>6641.3763351562502</v>
      </c>
      <c r="U79" s="37">
        <v>3773.8888888888887</v>
      </c>
      <c r="V79">
        <f t="shared" si="18"/>
        <v>1.7598229652997572</v>
      </c>
      <c r="W79">
        <f t="shared" si="17"/>
        <v>-3.5617334683541828E-2</v>
      </c>
      <c r="X79" s="33">
        <v>3830.4375000000005</v>
      </c>
      <c r="Y79">
        <f t="shared" si="19"/>
        <v>0.48770492565876639</v>
      </c>
      <c r="Z79">
        <f t="shared" si="7"/>
        <v>0.21735369645223027</v>
      </c>
      <c r="AA79">
        <f t="shared" si="8"/>
        <v>8.2429639334609159E-2</v>
      </c>
      <c r="AB79">
        <f t="shared" si="9"/>
        <v>0.81722988959222731</v>
      </c>
      <c r="AC79">
        <f t="shared" si="10"/>
        <v>4.8321983567643166E-4</v>
      </c>
      <c r="AD79">
        <f t="shared" si="11"/>
        <v>2.0642743909171203E-3</v>
      </c>
      <c r="AE79">
        <f t="shared" si="12"/>
        <v>6.2142476078315918E-2</v>
      </c>
      <c r="AF79">
        <f t="shared" si="13"/>
        <v>9.0414843957014573E-2</v>
      </c>
      <c r="AG79">
        <f t="shared" si="20"/>
        <v>1.759822965299757</v>
      </c>
      <c r="AH79">
        <v>0.38722079564979328</v>
      </c>
      <c r="AI79">
        <v>0.61657681940700804</v>
      </c>
      <c r="AJ79">
        <v>3.9354000371264151E-2</v>
      </c>
      <c r="AK79">
        <v>1.5007351830523194E-2</v>
      </c>
      <c r="AL79">
        <v>0.43589693992030643</v>
      </c>
    </row>
    <row r="80" spans="1:38" x14ac:dyDescent="0.25">
      <c r="A80">
        <v>3</v>
      </c>
      <c r="B80" s="5" t="s">
        <v>21</v>
      </c>
      <c r="C80" s="6" t="s">
        <v>5</v>
      </c>
      <c r="D80" s="6" t="s">
        <v>52</v>
      </c>
      <c r="E80" s="33">
        <v>42370.400000000001</v>
      </c>
      <c r="F80" s="11">
        <v>17</v>
      </c>
      <c r="G80" s="11">
        <v>13</v>
      </c>
      <c r="H80" s="11">
        <f t="shared" si="15"/>
        <v>4</v>
      </c>
      <c r="I80" s="18">
        <v>1</v>
      </c>
      <c r="J80" s="19">
        <v>3.2258064516129031E-2</v>
      </c>
      <c r="K80" s="19">
        <v>1.3</v>
      </c>
      <c r="L80" s="6">
        <v>18113222</v>
      </c>
      <c r="M80" s="7">
        <v>8437426</v>
      </c>
      <c r="N80" s="7">
        <v>3110803</v>
      </c>
      <c r="O80" s="7">
        <v>31674028</v>
      </c>
      <c r="P80" s="7">
        <v>18236.1796875</v>
      </c>
      <c r="Q80" s="7">
        <v>107444.203125</v>
      </c>
      <c r="R80" s="7">
        <v>2463558.5</v>
      </c>
      <c r="S80" s="7">
        <v>3538467</v>
      </c>
      <c r="T80" s="31">
        <f t="shared" si="16"/>
        <v>6746.3184882812502</v>
      </c>
      <c r="U80" s="37">
        <v>3854.7777777777774</v>
      </c>
      <c r="V80">
        <f t="shared" si="18"/>
        <v>1.7501186520200402</v>
      </c>
      <c r="W80">
        <f t="shared" si="17"/>
        <v>-5.5143690422655781E-3</v>
      </c>
      <c r="X80" s="33">
        <v>3963.0125000000007</v>
      </c>
      <c r="Y80">
        <f t="shared" si="19"/>
        <v>0.46989017381027881</v>
      </c>
      <c r="Z80">
        <f t="shared" si="7"/>
        <v>0.21888229325800593</v>
      </c>
      <c r="AA80">
        <f t="shared" si="8"/>
        <v>8.069993082177962E-2</v>
      </c>
      <c r="AB80">
        <f t="shared" si="9"/>
        <v>0.82168233361196796</v>
      </c>
      <c r="AC80">
        <f t="shared" si="10"/>
        <v>4.7307992156198661E-4</v>
      </c>
      <c r="AD80">
        <f t="shared" si="11"/>
        <v>2.7872995362897418E-3</v>
      </c>
      <c r="AE80">
        <f t="shared" si="12"/>
        <v>6.3909222321505782E-2</v>
      </c>
      <c r="AF80">
        <f t="shared" si="13"/>
        <v>9.179431873865046E-2</v>
      </c>
      <c r="AG80">
        <f t="shared" si="20"/>
        <v>1.7501186520200402</v>
      </c>
      <c r="AH80">
        <v>0.38722079564979328</v>
      </c>
      <c r="AI80">
        <v>0.61657681940700804</v>
      </c>
      <c r="AJ80">
        <v>3.9354000371264151E-2</v>
      </c>
      <c r="AK80">
        <v>1.5007351830523194E-2</v>
      </c>
      <c r="AL80">
        <v>0.43589693992030643</v>
      </c>
    </row>
    <row r="81" spans="1:38" x14ac:dyDescent="0.25">
      <c r="A81">
        <v>3</v>
      </c>
      <c r="B81" s="5" t="s">
        <v>21</v>
      </c>
      <c r="C81" s="6" t="s">
        <v>5</v>
      </c>
      <c r="D81" s="6" t="s">
        <v>53</v>
      </c>
      <c r="E81" s="33">
        <v>42370.400000000001</v>
      </c>
      <c r="F81" s="11">
        <v>18</v>
      </c>
      <c r="G81" s="11">
        <v>13</v>
      </c>
      <c r="H81" s="11">
        <f t="shared" si="15"/>
        <v>5</v>
      </c>
      <c r="I81" s="18">
        <v>1</v>
      </c>
      <c r="J81" s="19">
        <v>3.2258064516129031E-2</v>
      </c>
      <c r="K81" s="19">
        <v>1.3</v>
      </c>
      <c r="L81" s="6">
        <v>19346302</v>
      </c>
      <c r="M81" s="7">
        <v>8405240</v>
      </c>
      <c r="N81" s="7">
        <v>3110803</v>
      </c>
      <c r="O81" s="7">
        <v>31536438</v>
      </c>
      <c r="P81" s="7">
        <v>18236.1796875</v>
      </c>
      <c r="Q81" s="7">
        <v>70900.5625</v>
      </c>
      <c r="R81" s="7">
        <v>2442552.75</v>
      </c>
      <c r="S81" s="7">
        <v>3491187</v>
      </c>
      <c r="T81" s="31">
        <f t="shared" si="16"/>
        <v>6842.16594921875</v>
      </c>
      <c r="U81" s="37">
        <v>3935.6666666666665</v>
      </c>
      <c r="V81">
        <f t="shared" si="18"/>
        <v>1.7385024009194758</v>
      </c>
      <c r="W81">
        <f t="shared" si="17"/>
        <v>-6.6374077478441708E-3</v>
      </c>
      <c r="X81" s="33">
        <v>4095.5875000000005</v>
      </c>
      <c r="Y81">
        <f t="shared" si="19"/>
        <v>0.49156353010925724</v>
      </c>
      <c r="Z81">
        <f t="shared" si="7"/>
        <v>0.21356585076649445</v>
      </c>
      <c r="AA81">
        <f t="shared" si="8"/>
        <v>7.9041322944016265E-2</v>
      </c>
      <c r="AB81">
        <f t="shared" si="9"/>
        <v>0.80129850088930299</v>
      </c>
      <c r="AC81">
        <f t="shared" si="10"/>
        <v>4.6335681428389942E-4</v>
      </c>
      <c r="AD81">
        <f t="shared" si="11"/>
        <v>1.8014879944100958E-3</v>
      </c>
      <c r="AE81">
        <f t="shared" si="12"/>
        <v>6.2061982298636409E-2</v>
      </c>
      <c r="AF81">
        <f t="shared" si="13"/>
        <v>8.8706369103074445E-2</v>
      </c>
      <c r="AG81">
        <f t="shared" si="20"/>
        <v>1.7385024009194758</v>
      </c>
      <c r="AH81">
        <v>0.38722079564979328</v>
      </c>
      <c r="AI81">
        <v>0.61657681940700804</v>
      </c>
      <c r="AJ81">
        <v>3.9354000371264151E-2</v>
      </c>
      <c r="AK81">
        <v>1.5007351830523194E-2</v>
      </c>
      <c r="AL81">
        <v>0.43589693992030643</v>
      </c>
    </row>
    <row r="82" spans="1:38" x14ac:dyDescent="0.25">
      <c r="A82">
        <v>3</v>
      </c>
      <c r="B82" s="5" t="s">
        <v>21</v>
      </c>
      <c r="C82" s="6" t="s">
        <v>5</v>
      </c>
      <c r="D82" s="6" t="s">
        <v>54</v>
      </c>
      <c r="E82" s="33">
        <v>42370.400000000001</v>
      </c>
      <c r="F82" s="11">
        <v>19</v>
      </c>
      <c r="G82" s="11">
        <v>13</v>
      </c>
      <c r="H82" s="11">
        <f t="shared" si="15"/>
        <v>6</v>
      </c>
      <c r="I82" s="18">
        <v>1</v>
      </c>
      <c r="J82" s="19">
        <v>3.2258064516129031E-2</v>
      </c>
      <c r="K82" s="19">
        <v>1.3</v>
      </c>
      <c r="L82" s="6">
        <v>21580016</v>
      </c>
      <c r="M82" s="7">
        <v>8480513</v>
      </c>
      <c r="N82" s="7">
        <v>3112296.25</v>
      </c>
      <c r="O82" s="7">
        <v>31811314</v>
      </c>
      <c r="P82" s="7">
        <v>18244.93359375</v>
      </c>
      <c r="Q82" s="7">
        <v>33437.96875</v>
      </c>
      <c r="R82" s="7">
        <v>2441535</v>
      </c>
      <c r="S82" s="7">
        <v>3357969.75</v>
      </c>
      <c r="T82" s="31">
        <f t="shared" si="16"/>
        <v>7083.532690234375</v>
      </c>
      <c r="U82" s="37">
        <v>4016.5555555555557</v>
      </c>
      <c r="V82">
        <f t="shared" si="18"/>
        <v>1.7635838947718989</v>
      </c>
      <c r="W82">
        <f t="shared" si="17"/>
        <v>1.4427068860622652E-2</v>
      </c>
      <c r="X82" s="33">
        <v>4228.1625000000004</v>
      </c>
      <c r="Y82">
        <f t="shared" si="19"/>
        <v>0.53727667155384662</v>
      </c>
      <c r="Z82">
        <f t="shared" ref="Z82:Z145" si="21">M82/$U82/10000</f>
        <v>0.21113894436913883</v>
      </c>
      <c r="AA82">
        <f t="shared" ref="AA82:AA145" si="22">N82/$U82/10000</f>
        <v>7.7486697419015746E-2</v>
      </c>
      <c r="AB82">
        <f t="shared" ref="AB82:AB145" si="23">O82/$U82/10000</f>
        <v>0.7920048300091288</v>
      </c>
      <c r="AC82">
        <f t="shared" ref="AC82:AC145" si="24">P82/$U82/10000</f>
        <v>4.5424327739010764E-4</v>
      </c>
      <c r="AD82">
        <f t="shared" ref="AD82:AD145" si="25">Q82/$U82/10000</f>
        <v>8.3250357893717658E-4</v>
      </c>
      <c r="AE82">
        <f t="shared" ref="AE82:AE145" si="26">R82/$U82/10000</f>
        <v>6.0786785249937761E-2</v>
      </c>
      <c r="AF82">
        <f t="shared" ref="AF82:AF145" si="27">S82/$U82/10000</f>
        <v>8.360321931450386E-2</v>
      </c>
      <c r="AG82">
        <f t="shared" si="20"/>
        <v>1.7635838947718987</v>
      </c>
      <c r="AH82">
        <v>0.38722079564979328</v>
      </c>
      <c r="AI82">
        <v>0.61657681940700804</v>
      </c>
      <c r="AJ82">
        <v>3.9354000371264151E-2</v>
      </c>
      <c r="AK82">
        <v>1.5007351830523194E-2</v>
      </c>
      <c r="AL82">
        <v>0.43589693992030643</v>
      </c>
    </row>
    <row r="83" spans="1:38" x14ac:dyDescent="0.25">
      <c r="A83">
        <v>3</v>
      </c>
      <c r="B83" s="5" t="s">
        <v>21</v>
      </c>
      <c r="C83" s="6" t="s">
        <v>5</v>
      </c>
      <c r="D83" s="6" t="s">
        <v>55</v>
      </c>
      <c r="E83" s="33">
        <v>43944.1</v>
      </c>
      <c r="F83" s="11">
        <v>20</v>
      </c>
      <c r="G83" s="11">
        <v>13</v>
      </c>
      <c r="H83" s="18">
        <f t="shared" si="15"/>
        <v>7</v>
      </c>
      <c r="I83" s="18">
        <v>1</v>
      </c>
      <c r="J83" s="19">
        <v>3.2258064516129031E-2</v>
      </c>
      <c r="K83" s="19">
        <v>1.3</v>
      </c>
      <c r="L83" s="14">
        <v>2214109</v>
      </c>
      <c r="M83" s="16">
        <v>7395646</v>
      </c>
      <c r="N83" s="16">
        <v>6729162</v>
      </c>
      <c r="O83" s="16">
        <v>18726224</v>
      </c>
      <c r="P83" s="16">
        <v>18411.8359375</v>
      </c>
      <c r="Q83" s="16">
        <v>21816.1328125</v>
      </c>
      <c r="R83" s="16">
        <v>27256100</v>
      </c>
      <c r="S83" s="16">
        <v>3971950</v>
      </c>
      <c r="T83" s="31">
        <f t="shared" si="16"/>
        <v>6633.3418968750002</v>
      </c>
      <c r="U83" s="37">
        <v>3404.4444444444448</v>
      </c>
      <c r="V83">
        <f t="shared" si="18"/>
        <v>1.9484359357661551</v>
      </c>
      <c r="W83">
        <f t="shared" si="17"/>
        <v>0.10481613125536333</v>
      </c>
      <c r="X83" s="33">
        <v>2765.4625000000005</v>
      </c>
      <c r="Y83">
        <f t="shared" si="19"/>
        <v>6.5035838772845939E-2</v>
      </c>
      <c r="Z83">
        <f t="shared" si="21"/>
        <v>0.21723503263707572</v>
      </c>
      <c r="AA83">
        <f t="shared" si="22"/>
        <v>0.19765815274151435</v>
      </c>
      <c r="AB83">
        <f t="shared" si="23"/>
        <v>0.55005227154046987</v>
      </c>
      <c r="AC83">
        <f t="shared" si="24"/>
        <v>5.4081763523988247E-4</v>
      </c>
      <c r="AD83">
        <f t="shared" si="25"/>
        <v>6.4081330062826355E-4</v>
      </c>
      <c r="AE83">
        <f t="shared" si="26"/>
        <v>0.8006034595300261</v>
      </c>
      <c r="AF83">
        <f t="shared" si="27"/>
        <v>0.11666954960835507</v>
      </c>
      <c r="AG83">
        <f t="shared" si="20"/>
        <v>1.9484359357661556</v>
      </c>
      <c r="AH83">
        <v>0.389408361987161</v>
      </c>
      <c r="AI83">
        <v>0.62775598539158661</v>
      </c>
      <c r="AJ83">
        <v>3.9210798483120743E-2</v>
      </c>
      <c r="AK83">
        <v>1.6009043307292675E-2</v>
      </c>
      <c r="AL83">
        <v>0.44623217689390515</v>
      </c>
    </row>
    <row r="84" spans="1:38" x14ac:dyDescent="0.25">
      <c r="A84">
        <v>3</v>
      </c>
      <c r="B84" s="5" t="s">
        <v>21</v>
      </c>
      <c r="C84" s="6" t="s">
        <v>5</v>
      </c>
      <c r="D84" s="6" t="s">
        <v>56</v>
      </c>
      <c r="E84" s="33">
        <v>43944.1</v>
      </c>
      <c r="F84" s="11">
        <v>21</v>
      </c>
      <c r="G84" s="11">
        <v>13</v>
      </c>
      <c r="H84" s="11">
        <f t="shared" si="15"/>
        <v>8</v>
      </c>
      <c r="I84" s="18">
        <v>1</v>
      </c>
      <c r="J84" s="19">
        <v>3.2258064516129031E-2</v>
      </c>
      <c r="K84" s="19">
        <v>1.3</v>
      </c>
      <c r="L84" s="6">
        <v>2142508</v>
      </c>
      <c r="M84" s="7">
        <v>7247197</v>
      </c>
      <c r="N84" s="7">
        <v>5853663</v>
      </c>
      <c r="O84" s="7">
        <v>18633432</v>
      </c>
      <c r="P84" s="7">
        <v>18411.8359375</v>
      </c>
      <c r="Q84" s="7">
        <v>30806.8828125</v>
      </c>
      <c r="R84" s="7">
        <v>26669534</v>
      </c>
      <c r="S84" s="7">
        <v>4027849.5</v>
      </c>
      <c r="T84" s="31">
        <f t="shared" si="16"/>
        <v>6462.3402218749998</v>
      </c>
      <c r="U84" s="37">
        <v>3483</v>
      </c>
      <c r="V84">
        <f t="shared" si="18"/>
        <v>1.8553948383218488</v>
      </c>
      <c r="W84">
        <f t="shared" si="17"/>
        <v>-4.7751684177248115E-2</v>
      </c>
      <c r="X84" s="33">
        <v>2928.4708333333338</v>
      </c>
      <c r="Y84">
        <f t="shared" si="19"/>
        <v>6.1513293138099334E-2</v>
      </c>
      <c r="Z84">
        <f t="shared" si="21"/>
        <v>0.20807341372380134</v>
      </c>
      <c r="AA84">
        <f t="shared" si="22"/>
        <v>0.16806382428940569</v>
      </c>
      <c r="AB84">
        <f t="shared" si="23"/>
        <v>0.53498225667527999</v>
      </c>
      <c r="AC84">
        <f t="shared" si="24"/>
        <v>5.2862003840080385E-4</v>
      </c>
      <c r="AD84">
        <f t="shared" si="25"/>
        <v>8.8449275947459082E-4</v>
      </c>
      <c r="AE84">
        <f t="shared" si="26"/>
        <v>0.76570582830892908</v>
      </c>
      <c r="AF84">
        <f t="shared" si="27"/>
        <v>0.11564310938845822</v>
      </c>
      <c r="AG84">
        <f t="shared" si="20"/>
        <v>1.855394838321849</v>
      </c>
      <c r="AH84">
        <v>0.389408361987161</v>
      </c>
      <c r="AI84">
        <v>0.62775598539158661</v>
      </c>
      <c r="AJ84">
        <v>3.9210798483120743E-2</v>
      </c>
      <c r="AK84">
        <v>1.6009043307292675E-2</v>
      </c>
      <c r="AL84">
        <v>0.44623217689390515</v>
      </c>
    </row>
    <row r="85" spans="1:38" x14ac:dyDescent="0.25">
      <c r="A85">
        <v>3</v>
      </c>
      <c r="B85" s="5" t="s">
        <v>21</v>
      </c>
      <c r="C85" s="6" t="s">
        <v>5</v>
      </c>
      <c r="D85" s="6" t="s">
        <v>57</v>
      </c>
      <c r="E85" s="33">
        <v>43944.1</v>
      </c>
      <c r="F85" s="11">
        <v>22</v>
      </c>
      <c r="G85" s="11">
        <v>13</v>
      </c>
      <c r="H85" s="11">
        <f t="shared" si="15"/>
        <v>9</v>
      </c>
      <c r="I85" s="18">
        <v>1</v>
      </c>
      <c r="J85" s="19">
        <v>3.2258064516129031E-2</v>
      </c>
      <c r="K85" s="19">
        <v>1.3</v>
      </c>
      <c r="L85" s="6">
        <v>2118630.5</v>
      </c>
      <c r="M85" s="7">
        <v>7524450</v>
      </c>
      <c r="N85" s="7">
        <v>3795097.75</v>
      </c>
      <c r="O85" s="7">
        <v>21196472</v>
      </c>
      <c r="P85" s="7">
        <v>18411.8359375</v>
      </c>
      <c r="Q85" s="7">
        <v>87867.984375</v>
      </c>
      <c r="R85" s="7">
        <v>27714394</v>
      </c>
      <c r="S85" s="7">
        <v>4120983.5</v>
      </c>
      <c r="T85" s="31">
        <f t="shared" si="16"/>
        <v>6657.6307570312501</v>
      </c>
      <c r="U85" s="37">
        <v>3561.5555555555552</v>
      </c>
      <c r="V85">
        <f t="shared" si="18"/>
        <v>1.8693041995782509</v>
      </c>
      <c r="W85">
        <f t="shared" si="17"/>
        <v>7.4967122733739476E-3</v>
      </c>
      <c r="X85" s="33">
        <v>3091.479166666667</v>
      </c>
      <c r="Y85">
        <f t="shared" si="19"/>
        <v>5.9486100018718423E-2</v>
      </c>
      <c r="Z85">
        <f t="shared" si="21"/>
        <v>0.21126864041929247</v>
      </c>
      <c r="AA85">
        <f t="shared" si="22"/>
        <v>0.10655730876021714</v>
      </c>
      <c r="AB85">
        <f t="shared" si="23"/>
        <v>0.59514646533973925</v>
      </c>
      <c r="AC85">
        <f t="shared" si="24"/>
        <v>5.1696051487333885E-4</v>
      </c>
      <c r="AD85">
        <f t="shared" si="25"/>
        <v>2.4671237891526802E-3</v>
      </c>
      <c r="AE85">
        <f t="shared" si="26"/>
        <v>0.77815419604417557</v>
      </c>
      <c r="AF85">
        <f t="shared" si="27"/>
        <v>0.11570740469208213</v>
      </c>
      <c r="AG85">
        <f t="shared" si="20"/>
        <v>1.8693041995782509</v>
      </c>
      <c r="AH85">
        <v>0.389408361987161</v>
      </c>
      <c r="AI85">
        <v>0.62775598539158661</v>
      </c>
      <c r="AJ85">
        <v>3.9210798483120743E-2</v>
      </c>
      <c r="AK85">
        <v>1.6009043307292675E-2</v>
      </c>
      <c r="AL85">
        <v>0.44623217689390515</v>
      </c>
    </row>
    <row r="86" spans="1:38" x14ac:dyDescent="0.25">
      <c r="A86">
        <v>3</v>
      </c>
      <c r="B86" s="5" t="s">
        <v>21</v>
      </c>
      <c r="C86" s="6" t="s">
        <v>5</v>
      </c>
      <c r="D86" s="6" t="s">
        <v>58</v>
      </c>
      <c r="E86" s="33">
        <v>43944.1</v>
      </c>
      <c r="F86" s="11">
        <v>23</v>
      </c>
      <c r="G86" s="11">
        <v>13</v>
      </c>
      <c r="H86" s="11">
        <f t="shared" si="15"/>
        <v>10</v>
      </c>
      <c r="I86" s="18">
        <v>1</v>
      </c>
      <c r="J86" s="19">
        <v>3.2258064516129031E-2</v>
      </c>
      <c r="K86" s="19">
        <v>1.3</v>
      </c>
      <c r="L86" s="6">
        <v>2211474.5</v>
      </c>
      <c r="M86" s="7">
        <v>7648143</v>
      </c>
      <c r="N86" s="7">
        <v>2477281.75</v>
      </c>
      <c r="O86" s="7">
        <v>19172624</v>
      </c>
      <c r="P86" s="7">
        <v>18411.8359375</v>
      </c>
      <c r="Q86" s="7">
        <v>121119.265625</v>
      </c>
      <c r="R86" s="7">
        <v>28211480</v>
      </c>
      <c r="S86" s="7">
        <v>4271779</v>
      </c>
      <c r="T86" s="31">
        <f t="shared" si="16"/>
        <v>6413.2313351562498</v>
      </c>
      <c r="U86" s="37">
        <v>3640.1111111111109</v>
      </c>
      <c r="V86">
        <f t="shared" si="18"/>
        <v>1.7618229607278852</v>
      </c>
      <c r="W86">
        <f t="shared" si="17"/>
        <v>-5.749799250149621E-2</v>
      </c>
      <c r="X86" s="33">
        <v>3254.4875000000002</v>
      </c>
      <c r="Y86">
        <f t="shared" si="19"/>
        <v>6.0752939470712135E-2</v>
      </c>
      <c r="Z86">
        <f t="shared" si="21"/>
        <v>0.21010740514636309</v>
      </c>
      <c r="AA86">
        <f t="shared" si="22"/>
        <v>6.8055113549647453E-2</v>
      </c>
      <c r="AB86">
        <f t="shared" si="23"/>
        <v>0.52670436189371517</v>
      </c>
      <c r="AC86">
        <f t="shared" si="24"/>
        <v>5.0580422892310985E-4</v>
      </c>
      <c r="AD86">
        <f t="shared" si="25"/>
        <v>3.3273507848508898E-3</v>
      </c>
      <c r="AE86">
        <f t="shared" si="26"/>
        <v>0.77501700192301826</v>
      </c>
      <c r="AF86">
        <f t="shared" si="27"/>
        <v>0.11735298373065536</v>
      </c>
      <c r="AG86">
        <f t="shared" si="20"/>
        <v>1.7618229607278855</v>
      </c>
      <c r="AH86">
        <v>0.389408361987161</v>
      </c>
      <c r="AI86">
        <v>0.62775598539158661</v>
      </c>
      <c r="AJ86">
        <v>3.9210798483120743E-2</v>
      </c>
      <c r="AK86">
        <v>1.6009043307292675E-2</v>
      </c>
      <c r="AL86">
        <v>0.44623217689390515</v>
      </c>
    </row>
    <row r="87" spans="1:38" x14ac:dyDescent="0.25">
      <c r="A87">
        <v>3</v>
      </c>
      <c r="B87" s="5" t="s">
        <v>21</v>
      </c>
      <c r="C87" s="6" t="s">
        <v>5</v>
      </c>
      <c r="D87" s="6" t="s">
        <v>59</v>
      </c>
      <c r="E87" s="33">
        <v>43944.1</v>
      </c>
      <c r="F87" s="11">
        <v>24</v>
      </c>
      <c r="G87" s="11">
        <v>13</v>
      </c>
      <c r="H87" s="11">
        <f t="shared" si="15"/>
        <v>11</v>
      </c>
      <c r="I87" s="18">
        <v>1</v>
      </c>
      <c r="J87" s="19">
        <v>3.2258064516129031E-2</v>
      </c>
      <c r="K87" s="19">
        <v>1.3</v>
      </c>
      <c r="L87" s="6">
        <v>2189815.5</v>
      </c>
      <c r="M87" s="7">
        <v>7568375</v>
      </c>
      <c r="N87" s="7">
        <v>1582750</v>
      </c>
      <c r="O87" s="7">
        <v>19047230</v>
      </c>
      <c r="P87" s="7">
        <v>18411.8359375</v>
      </c>
      <c r="Q87" s="7">
        <v>79740.40625</v>
      </c>
      <c r="R87" s="7">
        <v>27945724</v>
      </c>
      <c r="S87" s="7">
        <v>4239080</v>
      </c>
      <c r="T87" s="31">
        <f t="shared" si="16"/>
        <v>6267.1126742187498</v>
      </c>
      <c r="U87" s="37">
        <v>3718.6666666666665</v>
      </c>
      <c r="V87">
        <f t="shared" si="18"/>
        <v>1.6853117625184879</v>
      </c>
      <c r="W87">
        <f t="shared" si="17"/>
        <v>-4.3427290888403025E-2</v>
      </c>
      <c r="X87" s="33">
        <v>3417.4958333333334</v>
      </c>
      <c r="Y87">
        <f t="shared" si="19"/>
        <v>5.8887114557188952E-2</v>
      </c>
      <c r="Z87">
        <f t="shared" si="21"/>
        <v>0.20352388849049841</v>
      </c>
      <c r="AA87">
        <f t="shared" si="22"/>
        <v>4.2562298314808171E-2</v>
      </c>
      <c r="AB87">
        <f t="shared" si="23"/>
        <v>0.51220589817138762</v>
      </c>
      <c r="AC87">
        <f t="shared" si="24"/>
        <v>4.9511928838741489E-4</v>
      </c>
      <c r="AD87">
        <f t="shared" si="25"/>
        <v>2.1443278840982435E-3</v>
      </c>
      <c r="AE87">
        <f t="shared" si="26"/>
        <v>0.75149849408390113</v>
      </c>
      <c r="AF87">
        <f t="shared" si="27"/>
        <v>0.113994621728218</v>
      </c>
      <c r="AG87">
        <f t="shared" si="20"/>
        <v>1.6853117625184879</v>
      </c>
      <c r="AH87">
        <v>0.389408361987161</v>
      </c>
      <c r="AI87">
        <v>0.62775598539158661</v>
      </c>
      <c r="AJ87">
        <v>3.9210798483120743E-2</v>
      </c>
      <c r="AK87">
        <v>1.6009043307292675E-2</v>
      </c>
      <c r="AL87">
        <v>0.44623217689390515</v>
      </c>
    </row>
    <row r="88" spans="1:38" x14ac:dyDescent="0.25">
      <c r="A88">
        <v>3</v>
      </c>
      <c r="B88" s="5" t="s">
        <v>21</v>
      </c>
      <c r="C88" s="6" t="s">
        <v>5</v>
      </c>
      <c r="D88" s="6" t="s">
        <v>60</v>
      </c>
      <c r="E88" s="33">
        <v>43944.1</v>
      </c>
      <c r="F88" s="11">
        <v>25</v>
      </c>
      <c r="G88" s="11">
        <v>13</v>
      </c>
      <c r="H88" s="11">
        <f t="shared" si="15"/>
        <v>12</v>
      </c>
      <c r="I88" s="18">
        <v>1</v>
      </c>
      <c r="J88" s="19">
        <v>3.2258064516129031E-2</v>
      </c>
      <c r="K88" s="19">
        <v>1.3</v>
      </c>
      <c r="L88" s="6">
        <v>2184680.5</v>
      </c>
      <c r="M88" s="7">
        <v>7609942</v>
      </c>
      <c r="N88" s="7">
        <v>880447.5625</v>
      </c>
      <c r="O88" s="7">
        <v>19952568</v>
      </c>
      <c r="P88" s="7">
        <v>18411.8359375</v>
      </c>
      <c r="Q88" s="7">
        <v>38376.8359375</v>
      </c>
      <c r="R88" s="7">
        <v>28114706</v>
      </c>
      <c r="S88" s="7">
        <v>4107858.25</v>
      </c>
      <c r="T88" s="31">
        <f t="shared" si="16"/>
        <v>6290.6990984374997</v>
      </c>
      <c r="U88" s="37">
        <v>3768.1111111111109</v>
      </c>
      <c r="V88">
        <f t="shared" si="18"/>
        <v>1.6694569010685432</v>
      </c>
      <c r="W88">
        <f t="shared" si="17"/>
        <v>-9.4076726944880718E-3</v>
      </c>
      <c r="X88" s="33">
        <v>3580.5041666666666</v>
      </c>
      <c r="Y88">
        <f t="shared" si="19"/>
        <v>5.7978133754017641E-2</v>
      </c>
      <c r="Z88">
        <f t="shared" si="21"/>
        <v>0.20195641199540001</v>
      </c>
      <c r="AA88">
        <f t="shared" si="22"/>
        <v>2.3365753730132988E-2</v>
      </c>
      <c r="AB88">
        <f t="shared" si="23"/>
        <v>0.52951113732197097</v>
      </c>
      <c r="AC88">
        <f t="shared" si="24"/>
        <v>4.8862242631881583E-4</v>
      </c>
      <c r="AD88">
        <f t="shared" si="25"/>
        <v>1.0184634902176157E-3</v>
      </c>
      <c r="AE88">
        <f t="shared" si="26"/>
        <v>0.74612200041282117</v>
      </c>
      <c r="AF88">
        <f t="shared" si="27"/>
        <v>0.10901637793766404</v>
      </c>
      <c r="AG88">
        <f t="shared" si="20"/>
        <v>1.6694569010685434</v>
      </c>
      <c r="AH88">
        <v>0.389408361987161</v>
      </c>
      <c r="AI88">
        <v>0.62775598539158661</v>
      </c>
      <c r="AJ88">
        <v>3.9210798483120743E-2</v>
      </c>
      <c r="AK88">
        <v>1.6009043307292675E-2</v>
      </c>
      <c r="AL88">
        <v>0.44623217689390515</v>
      </c>
    </row>
    <row r="89" spans="1:38" x14ac:dyDescent="0.25">
      <c r="A89">
        <v>3</v>
      </c>
      <c r="B89" s="5" t="s">
        <v>21</v>
      </c>
      <c r="C89" s="6" t="s">
        <v>5</v>
      </c>
      <c r="D89" s="6" t="s">
        <v>61</v>
      </c>
      <c r="E89" s="33">
        <v>43944.1</v>
      </c>
      <c r="F89" s="11">
        <v>26</v>
      </c>
      <c r="G89" s="11">
        <v>13</v>
      </c>
      <c r="H89" s="11">
        <f t="shared" si="15"/>
        <v>13</v>
      </c>
      <c r="I89" s="18">
        <v>1</v>
      </c>
      <c r="J89" s="19">
        <v>3.2258064516129031E-2</v>
      </c>
      <c r="K89" s="19">
        <v>1.3</v>
      </c>
      <c r="L89" s="6">
        <v>2205482</v>
      </c>
      <c r="M89" s="7">
        <v>7308957.5</v>
      </c>
      <c r="N89" s="7">
        <v>655482.3125</v>
      </c>
      <c r="O89" s="7">
        <v>22442880</v>
      </c>
      <c r="P89" s="7">
        <v>18411.8359375</v>
      </c>
      <c r="Q89" s="7">
        <v>22564.7265625</v>
      </c>
      <c r="R89" s="7">
        <v>27009348</v>
      </c>
      <c r="S89" s="7">
        <v>4022550.5</v>
      </c>
      <c r="T89" s="31">
        <f t="shared" si="16"/>
        <v>6368.5676874999999</v>
      </c>
      <c r="U89" s="37">
        <v>3817.5555555555552</v>
      </c>
      <c r="V89">
        <f t="shared" si="18"/>
        <v>1.6682318291955296</v>
      </c>
      <c r="W89">
        <f t="shared" si="17"/>
        <v>-7.3381461493822312E-4</v>
      </c>
      <c r="X89" s="33">
        <v>3743.5124999999998</v>
      </c>
      <c r="Y89">
        <f t="shared" si="19"/>
        <v>5.7772099656557427E-2</v>
      </c>
      <c r="Z89">
        <f t="shared" si="21"/>
        <v>0.19145648029570989</v>
      </c>
      <c r="AA89">
        <f t="shared" si="22"/>
        <v>1.7170210176669188E-2</v>
      </c>
      <c r="AB89">
        <f t="shared" si="23"/>
        <v>0.58788614005471795</v>
      </c>
      <c r="AC89">
        <f t="shared" si="24"/>
        <v>4.8229385714389672E-4</v>
      </c>
      <c r="AD89">
        <f t="shared" si="25"/>
        <v>5.9107788306216903E-4</v>
      </c>
      <c r="AE89">
        <f t="shared" si="26"/>
        <v>0.7075037312998429</v>
      </c>
      <c r="AF89">
        <f t="shared" si="27"/>
        <v>0.10536979597182608</v>
      </c>
      <c r="AG89">
        <f t="shared" si="20"/>
        <v>1.6682318291955294</v>
      </c>
      <c r="AH89">
        <v>0.389408361987161</v>
      </c>
      <c r="AI89">
        <v>0.62775598539158661</v>
      </c>
      <c r="AJ89">
        <v>3.9210798483120743E-2</v>
      </c>
      <c r="AK89">
        <v>1.6009043307292675E-2</v>
      </c>
      <c r="AL89">
        <v>0.44623217689390515</v>
      </c>
    </row>
    <row r="90" spans="1:38" x14ac:dyDescent="0.25">
      <c r="A90">
        <v>3</v>
      </c>
      <c r="B90" s="5" t="s">
        <v>21</v>
      </c>
      <c r="C90" s="6" t="s">
        <v>5</v>
      </c>
      <c r="D90" s="6" t="s">
        <v>62</v>
      </c>
      <c r="E90" s="33">
        <v>43944.1</v>
      </c>
      <c r="F90" s="11">
        <v>27</v>
      </c>
      <c r="G90" s="11">
        <v>13</v>
      </c>
      <c r="H90" s="11">
        <f t="shared" si="15"/>
        <v>14</v>
      </c>
      <c r="I90" s="18">
        <v>1</v>
      </c>
      <c r="J90" s="19">
        <v>3.2258064516129031E-2</v>
      </c>
      <c r="K90" s="19">
        <v>1.3</v>
      </c>
      <c r="L90" s="6">
        <v>2135170</v>
      </c>
      <c r="M90" s="7">
        <v>7103030</v>
      </c>
      <c r="N90" s="7">
        <v>728567.4375</v>
      </c>
      <c r="O90" s="7">
        <v>23882392</v>
      </c>
      <c r="P90" s="7">
        <v>18411.8359375</v>
      </c>
      <c r="Q90" s="7">
        <v>31685.3359375</v>
      </c>
      <c r="R90" s="7">
        <v>26269776</v>
      </c>
      <c r="S90" s="7">
        <v>4065909.75</v>
      </c>
      <c r="T90" s="31">
        <f t="shared" si="16"/>
        <v>6423.4942359375</v>
      </c>
      <c r="U90" s="37">
        <v>3867</v>
      </c>
      <c r="V90">
        <f t="shared" si="18"/>
        <v>1.661105310560512</v>
      </c>
      <c r="W90">
        <f t="shared" si="17"/>
        <v>-4.2718994508420217E-3</v>
      </c>
      <c r="X90" s="33">
        <v>3906.520833333333</v>
      </c>
      <c r="Y90">
        <f t="shared" si="19"/>
        <v>5.5215153866046036E-2</v>
      </c>
      <c r="Z90">
        <f t="shared" si="21"/>
        <v>0.18368321696405482</v>
      </c>
      <c r="AA90">
        <f t="shared" si="22"/>
        <v>1.8840637121799845E-2</v>
      </c>
      <c r="AB90">
        <f t="shared" si="23"/>
        <v>0.61759482803206622</v>
      </c>
      <c r="AC90">
        <f t="shared" si="24"/>
        <v>4.7612712535557284E-4</v>
      </c>
      <c r="AD90">
        <f t="shared" si="25"/>
        <v>8.1937770720196532E-4</v>
      </c>
      <c r="AE90">
        <f t="shared" si="26"/>
        <v>0.67933219550038793</v>
      </c>
      <c r="AF90">
        <f t="shared" si="27"/>
        <v>0.10514377424359968</v>
      </c>
      <c r="AG90">
        <f t="shared" si="20"/>
        <v>1.661105310560512</v>
      </c>
      <c r="AH90">
        <v>0.389408361987161</v>
      </c>
      <c r="AI90">
        <v>0.62775598539158661</v>
      </c>
      <c r="AJ90">
        <v>3.9210798483120743E-2</v>
      </c>
      <c r="AK90">
        <v>1.6009043307292675E-2</v>
      </c>
      <c r="AL90">
        <v>0.44623217689390515</v>
      </c>
    </row>
    <row r="91" spans="1:38" x14ac:dyDescent="0.25">
      <c r="A91">
        <v>3</v>
      </c>
      <c r="B91" s="5" t="s">
        <v>21</v>
      </c>
      <c r="C91" s="6" t="s">
        <v>5</v>
      </c>
      <c r="D91" s="6" t="s">
        <v>63</v>
      </c>
      <c r="E91" s="33">
        <v>43944.1</v>
      </c>
      <c r="F91" s="11">
        <v>28</v>
      </c>
      <c r="G91" s="11">
        <v>13</v>
      </c>
      <c r="H91" s="11">
        <f t="shared" si="15"/>
        <v>15</v>
      </c>
      <c r="I91" s="18">
        <v>1</v>
      </c>
      <c r="J91" s="19">
        <v>3.2258064516129031E-2</v>
      </c>
      <c r="K91" s="19">
        <v>1.3</v>
      </c>
      <c r="L91" s="6">
        <v>2114360</v>
      </c>
      <c r="M91" s="7">
        <v>7411463</v>
      </c>
      <c r="N91" s="7">
        <v>1307919.5</v>
      </c>
      <c r="O91" s="7">
        <v>20850384</v>
      </c>
      <c r="P91" s="7">
        <v>18411.8359375</v>
      </c>
      <c r="Q91" s="7">
        <v>88715.890625</v>
      </c>
      <c r="R91" s="7">
        <v>27399954</v>
      </c>
      <c r="S91" s="7">
        <v>4139783.25</v>
      </c>
      <c r="T91" s="31">
        <f t="shared" si="16"/>
        <v>6333.0991476562504</v>
      </c>
      <c r="U91" s="37">
        <v>3961.7777777777774</v>
      </c>
      <c r="V91">
        <f t="shared" si="18"/>
        <v>1.5985498185131888</v>
      </c>
      <c r="W91">
        <f t="shared" si="17"/>
        <v>-3.765895614782843E-2</v>
      </c>
      <c r="X91" s="33">
        <v>4069.5291666666662</v>
      </c>
      <c r="Y91">
        <f t="shared" si="19"/>
        <v>5.3368970159299992E-2</v>
      </c>
      <c r="Z91">
        <f t="shared" si="21"/>
        <v>0.18707417264976442</v>
      </c>
      <c r="AA91">
        <f t="shared" si="22"/>
        <v>3.3013449349338121E-2</v>
      </c>
      <c r="AB91">
        <f t="shared" si="23"/>
        <v>0.52628857976217192</v>
      </c>
      <c r="AC91">
        <f t="shared" si="24"/>
        <v>4.6473671594542295E-4</v>
      </c>
      <c r="AD91">
        <f t="shared" si="25"/>
        <v>2.2392949731461749E-3</v>
      </c>
      <c r="AE91">
        <f t="shared" si="26"/>
        <v>0.69160754431231786</v>
      </c>
      <c r="AF91">
        <f t="shared" si="27"/>
        <v>0.10449307059120486</v>
      </c>
      <c r="AG91">
        <f t="shared" si="20"/>
        <v>1.5985498185131888</v>
      </c>
      <c r="AH91">
        <v>0.389408361987161</v>
      </c>
      <c r="AI91">
        <v>0.62775598539158661</v>
      </c>
      <c r="AJ91">
        <v>3.9210798483120743E-2</v>
      </c>
      <c r="AK91">
        <v>1.6009043307292675E-2</v>
      </c>
      <c r="AL91">
        <v>0.44623217689390515</v>
      </c>
    </row>
    <row r="92" spans="1:38" x14ac:dyDescent="0.25">
      <c r="A92">
        <v>3</v>
      </c>
      <c r="B92" s="5" t="s">
        <v>21</v>
      </c>
      <c r="C92" s="6" t="s">
        <v>5</v>
      </c>
      <c r="D92" s="6" t="s">
        <v>64</v>
      </c>
      <c r="E92" s="33">
        <v>43944.1</v>
      </c>
      <c r="F92" s="11">
        <v>29</v>
      </c>
      <c r="G92" s="11">
        <v>13</v>
      </c>
      <c r="H92" s="11">
        <f t="shared" si="15"/>
        <v>16</v>
      </c>
      <c r="I92" s="18">
        <v>1</v>
      </c>
      <c r="J92" s="19">
        <v>3.2258064516129031E-2</v>
      </c>
      <c r="K92" s="19">
        <v>1.3</v>
      </c>
      <c r="L92" s="6">
        <v>2210471.25</v>
      </c>
      <c r="M92" s="7">
        <v>7622736</v>
      </c>
      <c r="N92" s="7">
        <v>2978600</v>
      </c>
      <c r="O92" s="7">
        <v>20519346</v>
      </c>
      <c r="P92" s="7">
        <v>18411.8359375</v>
      </c>
      <c r="Q92" s="7">
        <v>122356.7265625</v>
      </c>
      <c r="R92" s="7">
        <v>28140824</v>
      </c>
      <c r="S92" s="7">
        <v>4290825</v>
      </c>
      <c r="T92" s="31">
        <f t="shared" si="16"/>
        <v>6590.3570812500002</v>
      </c>
      <c r="U92" s="37">
        <v>4056.5555555555552</v>
      </c>
      <c r="V92">
        <f t="shared" si="18"/>
        <v>1.6246189633035693</v>
      </c>
      <c r="W92">
        <f t="shared" si="17"/>
        <v>1.6307996465588656E-2</v>
      </c>
      <c r="X92" s="33">
        <v>4232.5374999999995</v>
      </c>
      <c r="Y92">
        <f t="shared" si="19"/>
        <v>5.449133432852174E-2</v>
      </c>
      <c r="Z92">
        <f t="shared" si="21"/>
        <v>0.18791153962036761</v>
      </c>
      <c r="AA92">
        <f t="shared" si="22"/>
        <v>7.3426826262017603E-2</v>
      </c>
      <c r="AB92">
        <f t="shared" si="23"/>
        <v>0.50583175107507738</v>
      </c>
      <c r="AC92">
        <f t="shared" si="24"/>
        <v>4.5387855990988528E-4</v>
      </c>
      <c r="AD92">
        <f t="shared" si="25"/>
        <v>3.0162714373510643E-3</v>
      </c>
      <c r="AE92">
        <f t="shared" si="26"/>
        <v>0.69371227916404177</v>
      </c>
      <c r="AF92">
        <f t="shared" si="27"/>
        <v>0.10577508285628202</v>
      </c>
      <c r="AG92">
        <f t="shared" si="20"/>
        <v>1.624618963303569</v>
      </c>
      <c r="AH92">
        <v>0.389408361987161</v>
      </c>
      <c r="AI92">
        <v>0.62775598539158661</v>
      </c>
      <c r="AJ92">
        <v>3.9210798483120743E-2</v>
      </c>
      <c r="AK92">
        <v>1.6009043307292675E-2</v>
      </c>
      <c r="AL92">
        <v>0.44623217689390515</v>
      </c>
    </row>
    <row r="93" spans="1:38" x14ac:dyDescent="0.25">
      <c r="A93">
        <v>3</v>
      </c>
      <c r="B93" s="5" t="s">
        <v>21</v>
      </c>
      <c r="C93" s="6" t="s">
        <v>5</v>
      </c>
      <c r="D93" s="6" t="s">
        <v>65</v>
      </c>
      <c r="E93" s="33">
        <v>43944.1</v>
      </c>
      <c r="F93" s="11">
        <v>30</v>
      </c>
      <c r="G93" s="11">
        <v>13</v>
      </c>
      <c r="H93" s="11">
        <f t="shared" si="15"/>
        <v>17</v>
      </c>
      <c r="I93" s="18">
        <v>1</v>
      </c>
      <c r="J93" s="19">
        <v>3.2258064516129031E-2</v>
      </c>
      <c r="K93" s="19">
        <v>1.3</v>
      </c>
      <c r="L93" s="6">
        <v>2193152.25</v>
      </c>
      <c r="M93" s="7">
        <v>7593044</v>
      </c>
      <c r="N93" s="7">
        <v>4400715</v>
      </c>
      <c r="O93" s="7">
        <v>21916228</v>
      </c>
      <c r="P93" s="7">
        <v>18411.8359375</v>
      </c>
      <c r="Q93" s="7">
        <v>80741.078125</v>
      </c>
      <c r="R93" s="7">
        <v>28019240</v>
      </c>
      <c r="S93" s="7">
        <v>4233826.5</v>
      </c>
      <c r="T93" s="31">
        <f t="shared" si="16"/>
        <v>6845.5358664062496</v>
      </c>
      <c r="U93" s="37">
        <v>4151.333333333333</v>
      </c>
      <c r="V93">
        <f t="shared" si="18"/>
        <v>1.6489969165905534</v>
      </c>
      <c r="W93">
        <f t="shared" si="17"/>
        <v>1.5005335920376643E-2</v>
      </c>
      <c r="X93" s="33">
        <v>4395.5458333333327</v>
      </c>
      <c r="Y93">
        <f t="shared" si="19"/>
        <v>5.2830068652641726E-2</v>
      </c>
      <c r="Z93">
        <f t="shared" si="21"/>
        <v>0.18290615063433435</v>
      </c>
      <c r="AA93">
        <f t="shared" si="22"/>
        <v>0.10600726674160912</v>
      </c>
      <c r="AB93">
        <f t="shared" si="23"/>
        <v>0.5279322627268348</v>
      </c>
      <c r="AC93">
        <f t="shared" si="24"/>
        <v>4.435162021238157E-4</v>
      </c>
      <c r="AD93">
        <f t="shared" si="25"/>
        <v>1.9449432662196886E-3</v>
      </c>
      <c r="AE93">
        <f t="shared" si="26"/>
        <v>0.67494555965954717</v>
      </c>
      <c r="AF93">
        <f t="shared" si="27"/>
        <v>0.10198714870724265</v>
      </c>
      <c r="AG93">
        <f t="shared" si="20"/>
        <v>1.6489969165905531</v>
      </c>
      <c r="AH93">
        <v>0.389408361987161</v>
      </c>
      <c r="AI93">
        <v>0.62775598539158661</v>
      </c>
      <c r="AJ93">
        <v>3.9210798483120743E-2</v>
      </c>
      <c r="AK93">
        <v>1.6009043307292675E-2</v>
      </c>
      <c r="AL93">
        <v>0.44623217689390515</v>
      </c>
    </row>
    <row r="94" spans="1:38" x14ac:dyDescent="0.25">
      <c r="A94">
        <v>3</v>
      </c>
      <c r="B94" s="5" t="s">
        <v>21</v>
      </c>
      <c r="C94" s="6" t="s">
        <v>5</v>
      </c>
      <c r="D94" s="6" t="s">
        <v>66</v>
      </c>
      <c r="E94" s="33">
        <v>43944.1</v>
      </c>
      <c r="F94" s="11">
        <v>31</v>
      </c>
      <c r="G94" s="11">
        <v>13</v>
      </c>
      <c r="H94" s="11">
        <f t="shared" si="15"/>
        <v>18</v>
      </c>
      <c r="I94" s="18">
        <v>1</v>
      </c>
      <c r="J94" s="19">
        <v>3.2258064516129031E-2</v>
      </c>
      <c r="K94" s="19">
        <v>1.3</v>
      </c>
      <c r="L94" s="6">
        <v>2192229.5</v>
      </c>
      <c r="M94" s="7">
        <v>7660739</v>
      </c>
      <c r="N94" s="7">
        <v>6675490</v>
      </c>
      <c r="O94" s="7">
        <v>24446662</v>
      </c>
      <c r="P94" s="7">
        <v>18420.673828125</v>
      </c>
      <c r="Q94" s="7">
        <v>38078.9296875</v>
      </c>
      <c r="R94" s="7">
        <v>28263744</v>
      </c>
      <c r="S94" s="7">
        <v>4074427.75</v>
      </c>
      <c r="T94" s="31">
        <f t="shared" si="16"/>
        <v>7336.9791853515626</v>
      </c>
      <c r="U94" s="37">
        <v>4246.1111111111113</v>
      </c>
      <c r="V94">
        <f t="shared" si="18"/>
        <v>1.7279291552574658</v>
      </c>
      <c r="W94">
        <f t="shared" si="17"/>
        <v>4.7866820048464265E-2</v>
      </c>
      <c r="X94" s="33">
        <v>4558.5541666666659</v>
      </c>
      <c r="Y94">
        <f t="shared" si="19"/>
        <v>5.1629112913777309E-2</v>
      </c>
      <c r="Z94">
        <f t="shared" si="21"/>
        <v>0.18041777050896243</v>
      </c>
      <c r="AA94">
        <f t="shared" si="22"/>
        <v>0.15721420908020409</v>
      </c>
      <c r="AB94">
        <f t="shared" si="23"/>
        <v>0.57574239958131623</v>
      </c>
      <c r="AC94">
        <f t="shared" si="24"/>
        <v>4.3382458315615599E-4</v>
      </c>
      <c r="AD94">
        <f t="shared" si="25"/>
        <v>8.9679541328666751E-4</v>
      </c>
      <c r="AE94">
        <f t="shared" si="26"/>
        <v>0.66563835143268346</v>
      </c>
      <c r="AF94">
        <f t="shared" si="27"/>
        <v>9.5956691744079545E-2</v>
      </c>
      <c r="AG94">
        <f t="shared" si="20"/>
        <v>1.7279291552574658</v>
      </c>
      <c r="AH94">
        <v>0.389408361987161</v>
      </c>
      <c r="AI94">
        <v>0.62775598539158661</v>
      </c>
      <c r="AJ94">
        <v>3.9210798483120743E-2</v>
      </c>
      <c r="AK94">
        <v>1.6009043307292675E-2</v>
      </c>
      <c r="AL94">
        <v>0.44623217689390515</v>
      </c>
    </row>
    <row r="95" spans="1:38" x14ac:dyDescent="0.25">
      <c r="A95">
        <v>4</v>
      </c>
      <c r="B95" s="5" t="s">
        <v>15</v>
      </c>
      <c r="C95" s="6" t="s">
        <v>5</v>
      </c>
      <c r="D95" s="6" t="s">
        <v>36</v>
      </c>
      <c r="E95" s="28">
        <v>22590.160800000001</v>
      </c>
      <c r="F95" s="11">
        <v>1</v>
      </c>
      <c r="G95" s="11">
        <v>20</v>
      </c>
      <c r="H95" s="18">
        <f t="shared" si="15"/>
        <v>-19</v>
      </c>
      <c r="I95" s="18">
        <v>1</v>
      </c>
      <c r="J95" s="19">
        <v>0.81818181818181823</v>
      </c>
      <c r="K95" s="19">
        <v>2.9</v>
      </c>
      <c r="L95" s="14">
        <v>23018734</v>
      </c>
      <c r="M95" s="16">
        <v>2367494.25</v>
      </c>
      <c r="N95" s="16">
        <v>1684688.875</v>
      </c>
      <c r="O95" s="16">
        <v>12345354</v>
      </c>
      <c r="P95" s="16">
        <v>6319.30517578125</v>
      </c>
      <c r="Q95" s="16">
        <v>18156.63671875</v>
      </c>
      <c r="R95" s="16">
        <v>3303881</v>
      </c>
      <c r="S95" s="16">
        <v>1847067.875</v>
      </c>
      <c r="T95" s="31">
        <f t="shared" si="16"/>
        <v>4459.1695941894532</v>
      </c>
      <c r="U95" s="37"/>
      <c r="X95" s="28">
        <v>1696.0825</v>
      </c>
      <c r="Y95" t="e">
        <f t="shared" si="19"/>
        <v>#DIV/0!</v>
      </c>
      <c r="Z95" t="e">
        <f t="shared" si="21"/>
        <v>#DIV/0!</v>
      </c>
      <c r="AA95" t="e">
        <f t="shared" si="22"/>
        <v>#DIV/0!</v>
      </c>
      <c r="AB95" t="e">
        <f t="shared" si="23"/>
        <v>#DIV/0!</v>
      </c>
      <c r="AC95" t="e">
        <f t="shared" si="24"/>
        <v>#DIV/0!</v>
      </c>
      <c r="AD95" t="e">
        <f t="shared" si="25"/>
        <v>#DIV/0!</v>
      </c>
      <c r="AE95" t="e">
        <f t="shared" si="26"/>
        <v>#DIV/0!</v>
      </c>
      <c r="AF95" t="e">
        <f t="shared" si="27"/>
        <v>#DIV/0!</v>
      </c>
      <c r="AG95" t="e">
        <f t="shared" si="20"/>
        <v>#DIV/0!</v>
      </c>
      <c r="AH95">
        <v>0.48217894934152039</v>
      </c>
      <c r="AI95">
        <v>0.63419540229885063</v>
      </c>
      <c r="AJ95">
        <v>2.2208324292588292E-2</v>
      </c>
      <c r="AK95">
        <v>8.2445097070756573E-3</v>
      </c>
      <c r="AL95">
        <v>0.5616571091146153</v>
      </c>
    </row>
    <row r="96" spans="1:38" x14ac:dyDescent="0.25">
      <c r="A96">
        <v>4</v>
      </c>
      <c r="B96" s="5" t="s">
        <v>15</v>
      </c>
      <c r="C96" s="6" t="s">
        <v>5</v>
      </c>
      <c r="D96" s="6" t="s">
        <v>37</v>
      </c>
      <c r="E96" s="28">
        <v>22590.160800000001</v>
      </c>
      <c r="F96" s="11">
        <v>2</v>
      </c>
      <c r="G96" s="11">
        <v>20</v>
      </c>
      <c r="H96" s="11">
        <f t="shared" si="15"/>
        <v>-18</v>
      </c>
      <c r="I96" s="18">
        <v>1</v>
      </c>
      <c r="J96" s="19">
        <v>0.81818181818181823</v>
      </c>
      <c r="K96" s="19">
        <v>2.9</v>
      </c>
      <c r="L96" s="6">
        <v>25002882</v>
      </c>
      <c r="M96" s="7">
        <v>2275546.75</v>
      </c>
      <c r="N96" s="7">
        <v>1684688.875</v>
      </c>
      <c r="O96" s="7">
        <v>11857836</v>
      </c>
      <c r="P96" s="7">
        <v>6319.30517578125</v>
      </c>
      <c r="Q96" s="7">
        <v>10675.697265625</v>
      </c>
      <c r="R96" s="7">
        <v>3329835.75</v>
      </c>
      <c r="S96" s="7">
        <v>1811180.125</v>
      </c>
      <c r="T96" s="31">
        <f t="shared" si="16"/>
        <v>4597.8964502441404</v>
      </c>
      <c r="U96" s="37">
        <v>1883.3333333333333</v>
      </c>
      <c r="V96">
        <f t="shared" si="18"/>
        <v>2.4413609470322872</v>
      </c>
      <c r="W96" t="e">
        <f>(V96-V95)/V95</f>
        <v>#DIV/0!</v>
      </c>
      <c r="X96" s="28">
        <v>2115.6508333333336</v>
      </c>
      <c r="Y96">
        <f t="shared" si="19"/>
        <v>1.3275866548672568</v>
      </c>
      <c r="Z96">
        <f t="shared" si="21"/>
        <v>0.12082549115044248</v>
      </c>
      <c r="AA96">
        <f t="shared" si="22"/>
        <v>8.9452506637168139E-2</v>
      </c>
      <c r="AB96">
        <f t="shared" si="23"/>
        <v>0.62961961061946903</v>
      </c>
      <c r="AC96">
        <f t="shared" si="24"/>
        <v>3.3553832791758851E-4</v>
      </c>
      <c r="AD96">
        <f t="shared" si="25"/>
        <v>5.6685118224557524E-4</v>
      </c>
      <c r="AE96">
        <f t="shared" si="26"/>
        <v>0.17680543805309734</v>
      </c>
      <c r="AF96">
        <f t="shared" si="27"/>
        <v>9.6168856194690275E-2</v>
      </c>
      <c r="AG96">
        <f t="shared" si="20"/>
        <v>2.4413609470322872</v>
      </c>
      <c r="AH96">
        <v>0.48217894934152039</v>
      </c>
      <c r="AI96">
        <v>0.63419540229885063</v>
      </c>
      <c r="AJ96">
        <v>2.2208324292588292E-2</v>
      </c>
      <c r="AK96">
        <v>8.2445097070756573E-3</v>
      </c>
      <c r="AL96">
        <v>0.5616571091146153</v>
      </c>
    </row>
    <row r="97" spans="1:38" x14ac:dyDescent="0.25">
      <c r="A97">
        <v>4</v>
      </c>
      <c r="B97" s="5" t="s">
        <v>15</v>
      </c>
      <c r="C97" s="6" t="s">
        <v>5</v>
      </c>
      <c r="D97" s="6" t="s">
        <v>38</v>
      </c>
      <c r="E97" s="28">
        <v>22590.160800000001</v>
      </c>
      <c r="F97" s="11">
        <v>3</v>
      </c>
      <c r="G97" s="11">
        <v>20</v>
      </c>
      <c r="H97" s="11">
        <f t="shared" si="15"/>
        <v>-17</v>
      </c>
      <c r="I97" s="18">
        <v>1</v>
      </c>
      <c r="J97" s="19">
        <v>0.81818181818181823</v>
      </c>
      <c r="K97" s="19">
        <v>2.9</v>
      </c>
      <c r="L97" s="6">
        <v>24993156</v>
      </c>
      <c r="M97" s="7">
        <v>2213754</v>
      </c>
      <c r="N97" s="7">
        <v>1684688.875</v>
      </c>
      <c r="O97" s="7">
        <v>11529865</v>
      </c>
      <c r="P97" s="7">
        <v>6319.30517578125</v>
      </c>
      <c r="Q97" s="7">
        <v>14990.7890625</v>
      </c>
      <c r="R97" s="7">
        <v>3242869</v>
      </c>
      <c r="S97" s="7">
        <v>1829226.5</v>
      </c>
      <c r="T97" s="31">
        <f t="shared" si="16"/>
        <v>4551.4869469238283</v>
      </c>
      <c r="U97" s="37">
        <v>2032.3333333333333</v>
      </c>
      <c r="V97">
        <f t="shared" si="18"/>
        <v>2.2395376153471354</v>
      </c>
      <c r="W97">
        <f t="shared" ref="W97:W125" si="28">(V97-V96)/V96</f>
        <v>-8.2668370660425219E-2</v>
      </c>
      <c r="X97" s="28">
        <v>2535.2191666666668</v>
      </c>
      <c r="Y97">
        <f t="shared" si="19"/>
        <v>1.229776414630146</v>
      </c>
      <c r="Z97">
        <f t="shared" si="21"/>
        <v>0.10892671805806135</v>
      </c>
      <c r="AA97">
        <f t="shared" si="22"/>
        <v>8.2894318927341323E-2</v>
      </c>
      <c r="AB97">
        <f t="shared" si="23"/>
        <v>0.56732155158274566</v>
      </c>
      <c r="AC97">
        <f t="shared" si="24"/>
        <v>3.1093842098316795E-4</v>
      </c>
      <c r="AD97">
        <f t="shared" si="25"/>
        <v>7.3761468242578324E-4</v>
      </c>
      <c r="AE97">
        <f t="shared" si="26"/>
        <v>0.15956383467278989</v>
      </c>
      <c r="AF97">
        <f t="shared" si="27"/>
        <v>9.0006224372642288E-2</v>
      </c>
      <c r="AG97">
        <f t="shared" si="20"/>
        <v>2.2395376153471358</v>
      </c>
      <c r="AH97">
        <v>0.48217894934152039</v>
      </c>
      <c r="AI97">
        <v>0.63419540229885063</v>
      </c>
      <c r="AJ97">
        <v>2.2208324292588292E-2</v>
      </c>
      <c r="AK97">
        <v>8.2445097070756573E-3</v>
      </c>
      <c r="AL97">
        <v>0.5616571091146153</v>
      </c>
    </row>
    <row r="98" spans="1:38" x14ac:dyDescent="0.25">
      <c r="A98">
        <v>4</v>
      </c>
      <c r="B98" s="5" t="s">
        <v>15</v>
      </c>
      <c r="C98" s="6" t="s">
        <v>5</v>
      </c>
      <c r="D98" s="6" t="s">
        <v>39</v>
      </c>
      <c r="E98" s="28">
        <v>22590.160800000001</v>
      </c>
      <c r="F98" s="11">
        <v>4</v>
      </c>
      <c r="G98" s="11">
        <v>20</v>
      </c>
      <c r="H98" s="11">
        <f t="shared" si="15"/>
        <v>-16</v>
      </c>
      <c r="I98" s="18">
        <v>1</v>
      </c>
      <c r="J98" s="19">
        <v>0.81818181818181823</v>
      </c>
      <c r="K98" s="19">
        <v>2.9</v>
      </c>
      <c r="L98" s="6">
        <v>23754684</v>
      </c>
      <c r="M98" s="7">
        <v>2308555.25</v>
      </c>
      <c r="N98" s="7">
        <v>1684688.875</v>
      </c>
      <c r="O98" s="7">
        <v>12027739</v>
      </c>
      <c r="P98" s="7">
        <v>6319.30517578125</v>
      </c>
      <c r="Q98" s="7">
        <v>41972.765625</v>
      </c>
      <c r="R98" s="7">
        <v>3216456.25</v>
      </c>
      <c r="S98" s="7">
        <v>1860284</v>
      </c>
      <c r="T98" s="31">
        <f t="shared" si="16"/>
        <v>4490.0699445800783</v>
      </c>
      <c r="U98" s="37">
        <v>2159.1111111111109</v>
      </c>
      <c r="V98">
        <f t="shared" si="18"/>
        <v>2.0795918845831984</v>
      </c>
      <c r="W98">
        <f t="shared" si="28"/>
        <v>-7.1419086541730098E-2</v>
      </c>
      <c r="X98" s="28">
        <v>2954.7874999999999</v>
      </c>
      <c r="Y98">
        <f t="shared" si="19"/>
        <v>1.1002066488266777</v>
      </c>
      <c r="Z98">
        <f t="shared" si="21"/>
        <v>0.10692155851173325</v>
      </c>
      <c r="AA98">
        <f t="shared" si="22"/>
        <v>7.8026965186290653E-2</v>
      </c>
      <c r="AB98">
        <f t="shared" si="23"/>
        <v>0.55706901502675998</v>
      </c>
      <c r="AC98">
        <f t="shared" si="24"/>
        <v>2.9268086960699494E-4</v>
      </c>
      <c r="AD98">
        <f t="shared" si="25"/>
        <v>1.9439835869956774E-3</v>
      </c>
      <c r="AE98">
        <f t="shared" si="26"/>
        <v>0.14897131664265131</v>
      </c>
      <c r="AF98">
        <f t="shared" si="27"/>
        <v>8.615971593248252E-2</v>
      </c>
      <c r="AG98">
        <f t="shared" si="20"/>
        <v>2.0795918845831984</v>
      </c>
      <c r="AH98">
        <v>0.48217894934152039</v>
      </c>
      <c r="AI98">
        <v>0.63419540229885063</v>
      </c>
      <c r="AJ98">
        <v>2.2208324292588292E-2</v>
      </c>
      <c r="AK98">
        <v>8.2445097070756573E-3</v>
      </c>
      <c r="AL98">
        <v>0.5616571091146153</v>
      </c>
    </row>
    <row r="99" spans="1:38" x14ac:dyDescent="0.25">
      <c r="A99">
        <v>4</v>
      </c>
      <c r="B99" s="5" t="s">
        <v>15</v>
      </c>
      <c r="C99" s="6" t="s">
        <v>5</v>
      </c>
      <c r="D99" s="6" t="s">
        <v>40</v>
      </c>
      <c r="E99" s="28">
        <v>22590.160800000001</v>
      </c>
      <c r="F99" s="11">
        <v>5</v>
      </c>
      <c r="G99" s="11">
        <v>20</v>
      </c>
      <c r="H99" s="11">
        <f t="shared" si="15"/>
        <v>-15</v>
      </c>
      <c r="I99" s="18">
        <v>1</v>
      </c>
      <c r="J99" s="19">
        <v>0.81818181818181823</v>
      </c>
      <c r="K99" s="19">
        <v>2.9</v>
      </c>
      <c r="L99" s="6">
        <v>26918950</v>
      </c>
      <c r="M99" s="7">
        <v>2370908.25</v>
      </c>
      <c r="N99" s="7">
        <v>1684688.875</v>
      </c>
      <c r="O99" s="7">
        <v>12358399</v>
      </c>
      <c r="P99" s="7">
        <v>6319.30517578125</v>
      </c>
      <c r="Q99" s="7">
        <v>57888.734375</v>
      </c>
      <c r="R99" s="7">
        <v>3334188.75</v>
      </c>
      <c r="S99" s="7">
        <v>1923085.375</v>
      </c>
      <c r="T99" s="31">
        <f t="shared" si="16"/>
        <v>4865.4428289550779</v>
      </c>
      <c r="U99" s="37">
        <v>2285.8888888888887</v>
      </c>
      <c r="V99">
        <f t="shared" si="18"/>
        <v>2.1284686463129199</v>
      </c>
      <c r="W99">
        <f t="shared" si="28"/>
        <v>2.350305465801409E-2</v>
      </c>
      <c r="X99" s="28">
        <v>3374.3558333333335</v>
      </c>
      <c r="Y99">
        <f t="shared" si="19"/>
        <v>1.1776141058669132</v>
      </c>
      <c r="Z99">
        <f t="shared" si="21"/>
        <v>0.10371931293442863</v>
      </c>
      <c r="AA99">
        <f t="shared" si="22"/>
        <v>7.369950845768726E-2</v>
      </c>
      <c r="AB99">
        <f t="shared" si="23"/>
        <v>0.54063865746366602</v>
      </c>
      <c r="AC99">
        <f t="shared" si="24"/>
        <v>2.7644848384791355E-4</v>
      </c>
      <c r="AD99">
        <f t="shared" si="25"/>
        <v>2.5324386787294027E-3</v>
      </c>
      <c r="AE99">
        <f t="shared" si="26"/>
        <v>0.14585961575851844</v>
      </c>
      <c r="AF99">
        <f t="shared" si="27"/>
        <v>8.4128558669129452E-2</v>
      </c>
      <c r="AG99">
        <f t="shared" si="20"/>
        <v>2.1284686463129203</v>
      </c>
      <c r="AH99">
        <v>0.48217894934152039</v>
      </c>
      <c r="AI99">
        <v>0.63419540229885063</v>
      </c>
      <c r="AJ99">
        <v>2.2208324292588292E-2</v>
      </c>
      <c r="AK99">
        <v>8.2445097070756573E-3</v>
      </c>
      <c r="AL99">
        <v>0.5616571091146153</v>
      </c>
    </row>
    <row r="100" spans="1:38" x14ac:dyDescent="0.25">
      <c r="A100">
        <v>4</v>
      </c>
      <c r="B100" s="5" t="s">
        <v>15</v>
      </c>
      <c r="C100" s="6" t="s">
        <v>5</v>
      </c>
      <c r="D100" s="6" t="s">
        <v>41</v>
      </c>
      <c r="E100" s="28">
        <v>22590.160800000001</v>
      </c>
      <c r="F100" s="11">
        <v>6</v>
      </c>
      <c r="G100" s="11">
        <v>20</v>
      </c>
      <c r="H100" s="11">
        <f t="shared" si="15"/>
        <v>-14</v>
      </c>
      <c r="I100" s="18">
        <v>1</v>
      </c>
      <c r="J100" s="19">
        <v>0.81818181818181823</v>
      </c>
      <c r="K100" s="19">
        <v>2.9</v>
      </c>
      <c r="L100" s="6">
        <v>28439482</v>
      </c>
      <c r="M100" s="7">
        <v>2359509.5</v>
      </c>
      <c r="N100" s="7">
        <v>1684688.875</v>
      </c>
      <c r="O100" s="7">
        <v>12308066</v>
      </c>
      <c r="P100" s="7">
        <v>6319.30517578125</v>
      </c>
      <c r="Q100" s="7">
        <v>38199.76953125</v>
      </c>
      <c r="R100" s="7">
        <v>3311803.75</v>
      </c>
      <c r="S100" s="7">
        <v>1899719.625</v>
      </c>
      <c r="T100" s="31">
        <f t="shared" si="16"/>
        <v>5004.7788824707031</v>
      </c>
      <c r="U100" s="37">
        <v>2412.6666666666665</v>
      </c>
      <c r="V100">
        <f t="shared" si="18"/>
        <v>2.0743764365034694</v>
      </c>
      <c r="W100">
        <f t="shared" si="28"/>
        <v>-2.5413674710761076E-2</v>
      </c>
      <c r="X100" s="28">
        <v>3793.9241666666671</v>
      </c>
      <c r="Y100">
        <f t="shared" si="19"/>
        <v>1.1787571981210281</v>
      </c>
      <c r="Z100">
        <f t="shared" si="21"/>
        <v>9.7796746338767615E-2</v>
      </c>
      <c r="AA100">
        <f t="shared" si="22"/>
        <v>6.9826839251174361E-2</v>
      </c>
      <c r="AB100">
        <f t="shared" si="23"/>
        <v>0.51014365846919041</v>
      </c>
      <c r="AC100">
        <f t="shared" si="24"/>
        <v>2.6192201612798772E-4</v>
      </c>
      <c r="AD100">
        <f t="shared" si="25"/>
        <v>1.5833007542656813E-3</v>
      </c>
      <c r="AE100">
        <f t="shared" si="26"/>
        <v>0.13726735631389889</v>
      </c>
      <c r="AF100">
        <f t="shared" si="27"/>
        <v>7.8739415239016314E-2</v>
      </c>
      <c r="AG100">
        <f t="shared" si="20"/>
        <v>2.0743764365034689</v>
      </c>
      <c r="AH100">
        <v>0.48217894934152039</v>
      </c>
      <c r="AI100">
        <v>0.63419540229885063</v>
      </c>
      <c r="AJ100">
        <v>2.2208324292588292E-2</v>
      </c>
      <c r="AK100">
        <v>8.2445097070756573E-3</v>
      </c>
      <c r="AL100">
        <v>0.5616571091146153</v>
      </c>
    </row>
    <row r="101" spans="1:38" x14ac:dyDescent="0.25">
      <c r="A101">
        <v>4</v>
      </c>
      <c r="B101" s="5" t="s">
        <v>15</v>
      </c>
      <c r="C101" s="6" t="s">
        <v>5</v>
      </c>
      <c r="D101" s="6" t="s">
        <v>42</v>
      </c>
      <c r="E101" s="28">
        <v>22590.160800000001</v>
      </c>
      <c r="F101" s="11">
        <v>7</v>
      </c>
      <c r="G101" s="11">
        <v>20</v>
      </c>
      <c r="H101" s="11">
        <f t="shared" si="15"/>
        <v>-13</v>
      </c>
      <c r="I101" s="18">
        <v>1</v>
      </c>
      <c r="J101" s="19">
        <v>0.81818181818181823</v>
      </c>
      <c r="K101" s="19">
        <v>2.9</v>
      </c>
      <c r="L101" s="6">
        <v>34735592</v>
      </c>
      <c r="M101" s="7">
        <v>2379640.25</v>
      </c>
      <c r="N101" s="7">
        <v>1685497.625</v>
      </c>
      <c r="O101" s="7">
        <v>12416615</v>
      </c>
      <c r="P101" s="7">
        <v>6322.33837890625</v>
      </c>
      <c r="Q101" s="7">
        <v>18015.69140625</v>
      </c>
      <c r="R101" s="7">
        <v>3310111.25</v>
      </c>
      <c r="S101" s="7">
        <v>1833410.875</v>
      </c>
      <c r="T101" s="31">
        <f t="shared" si="16"/>
        <v>5638.5205029785157</v>
      </c>
      <c r="U101" s="37">
        <v>2539.4444444444443</v>
      </c>
      <c r="V101">
        <f t="shared" si="18"/>
        <v>2.2203756082610653</v>
      </c>
      <c r="W101">
        <f t="shared" si="28"/>
        <v>7.0382197362253804E-2</v>
      </c>
      <c r="X101" s="28">
        <v>4213.4925000000003</v>
      </c>
      <c r="Y101">
        <f t="shared" si="19"/>
        <v>1.3678421702034567</v>
      </c>
      <c r="Z101">
        <f t="shared" si="21"/>
        <v>9.3707119886239337E-2</v>
      </c>
      <c r="AA101">
        <f t="shared" si="22"/>
        <v>6.6372691424196023E-2</v>
      </c>
      <c r="AB101">
        <f t="shared" si="23"/>
        <v>0.48895005469262742</v>
      </c>
      <c r="AC101">
        <f t="shared" si="24"/>
        <v>2.489654141770127E-4</v>
      </c>
      <c r="AD101">
        <f t="shared" si="25"/>
        <v>7.094343585922118E-4</v>
      </c>
      <c r="AE101">
        <f t="shared" si="26"/>
        <v>0.13034785057974185</v>
      </c>
      <c r="AF101">
        <f t="shared" si="27"/>
        <v>7.2197321702034578E-2</v>
      </c>
      <c r="AG101">
        <f t="shared" si="20"/>
        <v>2.2203756082610648</v>
      </c>
      <c r="AH101">
        <v>0.48217894934152039</v>
      </c>
      <c r="AI101">
        <v>0.63419540229885063</v>
      </c>
      <c r="AJ101">
        <v>2.2208324292588292E-2</v>
      </c>
      <c r="AK101">
        <v>8.2445097070756573E-3</v>
      </c>
      <c r="AL101">
        <v>0.5616571091146153</v>
      </c>
    </row>
    <row r="102" spans="1:38" x14ac:dyDescent="0.25">
      <c r="A102">
        <v>4</v>
      </c>
      <c r="B102" s="5" t="s">
        <v>15</v>
      </c>
      <c r="C102" s="6" t="s">
        <v>5</v>
      </c>
      <c r="D102" s="6" t="s">
        <v>43</v>
      </c>
      <c r="E102" s="28">
        <v>25642.6</v>
      </c>
      <c r="F102" s="11">
        <v>8</v>
      </c>
      <c r="G102" s="11">
        <v>20</v>
      </c>
      <c r="H102" s="18">
        <f t="shared" si="15"/>
        <v>-12</v>
      </c>
      <c r="I102" s="18">
        <v>1</v>
      </c>
      <c r="J102" s="19">
        <v>0.81818181818181823</v>
      </c>
      <c r="K102" s="19">
        <v>2.9</v>
      </c>
      <c r="L102" s="14">
        <v>24787074</v>
      </c>
      <c r="M102" s="16">
        <v>2310906.25</v>
      </c>
      <c r="N102" s="16">
        <v>1663739</v>
      </c>
      <c r="O102" s="16">
        <v>12153905</v>
      </c>
      <c r="P102" s="16">
        <v>6463.33251953125</v>
      </c>
      <c r="Q102" s="16">
        <v>9205.44140625</v>
      </c>
      <c r="R102" s="16">
        <v>3459545.5</v>
      </c>
      <c r="S102" s="16">
        <v>1672230.625</v>
      </c>
      <c r="T102" s="31">
        <f t="shared" si="16"/>
        <v>4606.3069148925779</v>
      </c>
      <c r="U102" s="37">
        <v>1787.5555555555557</v>
      </c>
      <c r="V102">
        <f t="shared" si="18"/>
        <v>2.576874828072675</v>
      </c>
      <c r="W102">
        <f t="shared" si="28"/>
        <v>0.16055806886241636</v>
      </c>
      <c r="X102" s="28">
        <v>888.26666666666733</v>
      </c>
      <c r="Y102">
        <f t="shared" si="19"/>
        <v>1.3866463575335652</v>
      </c>
      <c r="Z102">
        <f t="shared" si="21"/>
        <v>0.12927745058428641</v>
      </c>
      <c r="AA102">
        <f t="shared" si="22"/>
        <v>9.3073414967677764E-2</v>
      </c>
      <c r="AB102">
        <f t="shared" si="23"/>
        <v>0.67991760939830925</v>
      </c>
      <c r="AC102">
        <f t="shared" si="24"/>
        <v>3.6157379833280239E-4</v>
      </c>
      <c r="AD102">
        <f t="shared" si="25"/>
        <v>5.1497372362164335E-4</v>
      </c>
      <c r="AE102">
        <f t="shared" si="26"/>
        <v>0.19353499191944304</v>
      </c>
      <c r="AF102">
        <f t="shared" si="27"/>
        <v>9.3548456147439077E-2</v>
      </c>
      <c r="AG102">
        <f t="shared" si="20"/>
        <v>2.576874828072675</v>
      </c>
      <c r="AH102">
        <v>0.49398656922464967</v>
      </c>
      <c r="AI102">
        <v>0.6394714162596955</v>
      </c>
      <c r="AJ102">
        <v>2.2214705994971218E-2</v>
      </c>
      <c r="AK102">
        <v>7.8895392822880689E-3</v>
      </c>
      <c r="AL102">
        <v>0.58776312430868716</v>
      </c>
    </row>
    <row r="103" spans="1:38" x14ac:dyDescent="0.25">
      <c r="A103">
        <v>4</v>
      </c>
      <c r="B103" s="5" t="s">
        <v>15</v>
      </c>
      <c r="C103" s="6" t="s">
        <v>5</v>
      </c>
      <c r="D103" s="6" t="s">
        <v>44</v>
      </c>
      <c r="E103" s="28">
        <v>25642.6</v>
      </c>
      <c r="F103" s="11">
        <v>9</v>
      </c>
      <c r="G103" s="11">
        <v>20</v>
      </c>
      <c r="H103" s="11">
        <f t="shared" si="15"/>
        <v>-11</v>
      </c>
      <c r="I103" s="18">
        <v>1</v>
      </c>
      <c r="J103" s="19">
        <v>0.81818181818181823</v>
      </c>
      <c r="K103" s="19">
        <v>2.9</v>
      </c>
      <c r="L103" s="6">
        <v>24664250</v>
      </c>
      <c r="M103" s="7">
        <v>2262858</v>
      </c>
      <c r="N103" s="7">
        <v>1663739</v>
      </c>
      <c r="O103" s="7">
        <v>11895868</v>
      </c>
      <c r="P103" s="7">
        <v>6463.33251953125</v>
      </c>
      <c r="Q103" s="7">
        <v>12999.140625</v>
      </c>
      <c r="R103" s="7">
        <v>3369907.25</v>
      </c>
      <c r="S103" s="7">
        <v>1694964.625</v>
      </c>
      <c r="T103" s="31">
        <f t="shared" si="16"/>
        <v>4557.1049348144534</v>
      </c>
      <c r="U103" s="37">
        <v>1848</v>
      </c>
      <c r="V103">
        <f t="shared" si="18"/>
        <v>2.4659658738173449</v>
      </c>
      <c r="W103">
        <f t="shared" si="28"/>
        <v>-4.3040101539694252E-2</v>
      </c>
      <c r="X103" s="28">
        <v>1114.4000000000005</v>
      </c>
      <c r="Y103">
        <f t="shared" si="19"/>
        <v>1.3346455627705627</v>
      </c>
      <c r="Z103">
        <f t="shared" si="21"/>
        <v>0.12244902597402597</v>
      </c>
      <c r="AA103">
        <f t="shared" si="22"/>
        <v>9.002916666666666E-2</v>
      </c>
      <c r="AB103">
        <f t="shared" si="23"/>
        <v>0.64371580086580094</v>
      </c>
      <c r="AC103">
        <f t="shared" si="24"/>
        <v>3.4974743071056549E-4</v>
      </c>
      <c r="AD103">
        <f t="shared" si="25"/>
        <v>7.0341670048701301E-4</v>
      </c>
      <c r="AE103">
        <f t="shared" si="26"/>
        <v>0.18235428841991344</v>
      </c>
      <c r="AF103">
        <f t="shared" si="27"/>
        <v>9.1718864989177487E-2</v>
      </c>
      <c r="AG103">
        <f t="shared" si="20"/>
        <v>2.4659658738173449</v>
      </c>
      <c r="AH103">
        <v>0.49398656922464967</v>
      </c>
      <c r="AI103">
        <v>0.6394714162596955</v>
      </c>
      <c r="AJ103">
        <v>2.2214705994971218E-2</v>
      </c>
      <c r="AK103">
        <v>7.8895392822880689E-3</v>
      </c>
      <c r="AL103">
        <v>0.58776312430868716</v>
      </c>
    </row>
    <row r="104" spans="1:38" x14ac:dyDescent="0.25">
      <c r="A104">
        <v>4</v>
      </c>
      <c r="B104" s="5" t="s">
        <v>15</v>
      </c>
      <c r="C104" s="6" t="s">
        <v>5</v>
      </c>
      <c r="D104" s="6" t="s">
        <v>45</v>
      </c>
      <c r="E104" s="28">
        <v>25642.6</v>
      </c>
      <c r="F104" s="11">
        <v>10</v>
      </c>
      <c r="G104" s="11">
        <v>20</v>
      </c>
      <c r="H104" s="11">
        <f t="shared" si="15"/>
        <v>-10</v>
      </c>
      <c r="I104" s="18">
        <v>1</v>
      </c>
      <c r="J104" s="19">
        <v>0.81818181818181823</v>
      </c>
      <c r="K104" s="19">
        <v>2.9</v>
      </c>
      <c r="L104" s="6">
        <v>28056830</v>
      </c>
      <c r="M104" s="7">
        <v>2350670</v>
      </c>
      <c r="N104" s="7">
        <v>1663739</v>
      </c>
      <c r="O104" s="7">
        <v>12359951</v>
      </c>
      <c r="P104" s="7">
        <v>6463.33251953125</v>
      </c>
      <c r="Q104" s="7">
        <v>37076.3984375</v>
      </c>
      <c r="R104" s="7">
        <v>3340659.5</v>
      </c>
      <c r="S104" s="7">
        <v>1731380.25</v>
      </c>
      <c r="T104" s="31">
        <f t="shared" si="16"/>
        <v>4954.6769480957028</v>
      </c>
      <c r="U104" s="37">
        <v>1908.4444444444443</v>
      </c>
      <c r="V104">
        <f t="shared" si="18"/>
        <v>2.5961861046146559</v>
      </c>
      <c r="W104">
        <f t="shared" si="28"/>
        <v>5.2806988198797963E-2</v>
      </c>
      <c r="X104" s="28">
        <v>1340.5333333333338</v>
      </c>
      <c r="Y104">
        <f t="shared" si="19"/>
        <v>1.4701413018164882</v>
      </c>
      <c r="Z104">
        <f t="shared" si="21"/>
        <v>0.12317204238472289</v>
      </c>
      <c r="AA104">
        <f t="shared" si="22"/>
        <v>8.7177753842571024E-2</v>
      </c>
      <c r="AB104">
        <f t="shared" si="23"/>
        <v>0.64764531322775976</v>
      </c>
      <c r="AC104">
        <f t="shared" si="24"/>
        <v>3.386701948985867E-4</v>
      </c>
      <c r="AD104">
        <f t="shared" si="25"/>
        <v>1.9427549251135308E-3</v>
      </c>
      <c r="AE104">
        <f t="shared" si="26"/>
        <v>0.17504620109455055</v>
      </c>
      <c r="AF104">
        <f t="shared" si="27"/>
        <v>9.0722067128551478E-2</v>
      </c>
      <c r="AG104">
        <f t="shared" si="20"/>
        <v>2.5961861046146559</v>
      </c>
      <c r="AH104">
        <v>0.49398656922464967</v>
      </c>
      <c r="AI104">
        <v>0.6394714162596955</v>
      </c>
      <c r="AJ104">
        <v>2.2214705994971218E-2</v>
      </c>
      <c r="AK104">
        <v>7.8895392822880689E-3</v>
      </c>
      <c r="AL104">
        <v>0.58776312430868716</v>
      </c>
    </row>
    <row r="105" spans="1:38" x14ac:dyDescent="0.25">
      <c r="A105">
        <v>4</v>
      </c>
      <c r="B105" s="5" t="s">
        <v>15</v>
      </c>
      <c r="C105" s="6" t="s">
        <v>5</v>
      </c>
      <c r="D105" s="6" t="s">
        <v>46</v>
      </c>
      <c r="E105" s="28">
        <v>25642.6</v>
      </c>
      <c r="F105" s="11">
        <v>11</v>
      </c>
      <c r="G105" s="11">
        <v>20</v>
      </c>
      <c r="H105" s="11">
        <f t="shared" si="15"/>
        <v>-9</v>
      </c>
      <c r="I105" s="18">
        <v>1</v>
      </c>
      <c r="J105" s="19">
        <v>0.81818181818181823</v>
      </c>
      <c r="K105" s="19">
        <v>2.9</v>
      </c>
      <c r="L105" s="6">
        <v>25377954</v>
      </c>
      <c r="M105" s="7">
        <v>2392203.75</v>
      </c>
      <c r="N105" s="7">
        <v>1663739</v>
      </c>
      <c r="O105" s="7">
        <v>12576572</v>
      </c>
      <c r="P105" s="7">
        <v>6463.33251953125</v>
      </c>
      <c r="Q105" s="7">
        <v>51106.9609375</v>
      </c>
      <c r="R105" s="7">
        <v>3458144.75</v>
      </c>
      <c r="S105" s="7">
        <v>1791655.75</v>
      </c>
      <c r="T105" s="31">
        <f t="shared" si="16"/>
        <v>4731.783954345703</v>
      </c>
      <c r="U105" s="37">
        <v>1968.8888888888887</v>
      </c>
      <c r="V105">
        <f t="shared" si="18"/>
        <v>2.4032762747805494</v>
      </c>
      <c r="W105">
        <f t="shared" si="28"/>
        <v>-7.4305085252252961E-2</v>
      </c>
      <c r="X105" s="28">
        <v>1566.666666666667</v>
      </c>
      <c r="Y105">
        <f t="shared" si="19"/>
        <v>1.2889480022573365</v>
      </c>
      <c r="Z105">
        <f t="shared" si="21"/>
        <v>0.12150019046275397</v>
      </c>
      <c r="AA105">
        <f t="shared" si="22"/>
        <v>8.4501416478555316E-2</v>
      </c>
      <c r="AB105">
        <f t="shared" si="23"/>
        <v>0.63876494356659153</v>
      </c>
      <c r="AC105">
        <f t="shared" si="24"/>
        <v>3.2827309636445403E-4</v>
      </c>
      <c r="AD105">
        <f t="shared" si="25"/>
        <v>2.5957260069836346E-3</v>
      </c>
      <c r="AE105">
        <f t="shared" si="26"/>
        <v>0.17563940603837472</v>
      </c>
      <c r="AF105">
        <f t="shared" si="27"/>
        <v>9.0998316873589169E-2</v>
      </c>
      <c r="AG105">
        <f t="shared" si="20"/>
        <v>2.4032762747805494</v>
      </c>
      <c r="AH105">
        <v>0.49398656922464967</v>
      </c>
      <c r="AI105">
        <v>0.6394714162596955</v>
      </c>
      <c r="AJ105">
        <v>2.2214705994971218E-2</v>
      </c>
      <c r="AK105">
        <v>7.8895392822880689E-3</v>
      </c>
      <c r="AL105">
        <v>0.58776312430868716</v>
      </c>
    </row>
    <row r="106" spans="1:38" x14ac:dyDescent="0.25">
      <c r="A106">
        <v>4</v>
      </c>
      <c r="B106" s="5" t="s">
        <v>15</v>
      </c>
      <c r="C106" s="6" t="s">
        <v>5</v>
      </c>
      <c r="D106" s="6" t="s">
        <v>47</v>
      </c>
      <c r="E106" s="28">
        <v>25642.6</v>
      </c>
      <c r="F106" s="11">
        <v>12</v>
      </c>
      <c r="G106" s="11">
        <v>20</v>
      </c>
      <c r="H106" s="11">
        <f t="shared" si="15"/>
        <v>-8</v>
      </c>
      <c r="I106" s="18">
        <v>1</v>
      </c>
      <c r="J106" s="19">
        <v>0.81818181818181823</v>
      </c>
      <c r="K106" s="19">
        <v>2.9</v>
      </c>
      <c r="L106" s="6">
        <v>25211976</v>
      </c>
      <c r="M106" s="7">
        <v>2368620.75</v>
      </c>
      <c r="N106" s="7">
        <v>1663739</v>
      </c>
      <c r="O106" s="7">
        <v>12455758</v>
      </c>
      <c r="P106" s="7">
        <v>6463.33251953125</v>
      </c>
      <c r="Q106" s="7">
        <v>33646.91796875</v>
      </c>
      <c r="R106" s="7">
        <v>3431964.25</v>
      </c>
      <c r="S106" s="7">
        <v>1778281.25</v>
      </c>
      <c r="T106" s="31">
        <f t="shared" si="16"/>
        <v>4695.0449500488285</v>
      </c>
      <c r="U106" s="37">
        <v>2029.3333333333333</v>
      </c>
      <c r="V106">
        <f t="shared" si="18"/>
        <v>2.3135898242684765</v>
      </c>
      <c r="W106">
        <f t="shared" si="28"/>
        <v>-3.731841047707362E-2</v>
      </c>
      <c r="X106" s="28">
        <v>1792.8000000000002</v>
      </c>
      <c r="Y106">
        <f t="shared" si="19"/>
        <v>1.2423772667542707</v>
      </c>
      <c r="Z106">
        <f t="shared" si="21"/>
        <v>0.11671915653745073</v>
      </c>
      <c r="AA106">
        <f t="shared" si="22"/>
        <v>8.198451051248358E-2</v>
      </c>
      <c r="AB106">
        <f t="shared" si="23"/>
        <v>0.61378570959264123</v>
      </c>
      <c r="AC106">
        <f t="shared" si="24"/>
        <v>3.1849536068649393E-4</v>
      </c>
      <c r="AD106">
        <f t="shared" si="25"/>
        <v>1.6580281522051577E-3</v>
      </c>
      <c r="AE106">
        <f t="shared" si="26"/>
        <v>0.16911781783837057</v>
      </c>
      <c r="AF106">
        <f t="shared" si="27"/>
        <v>8.7628839520367943E-2</v>
      </c>
      <c r="AG106">
        <f t="shared" si="20"/>
        <v>2.3135898242684765</v>
      </c>
      <c r="AH106">
        <v>0.49398656922464967</v>
      </c>
      <c r="AI106">
        <v>0.6394714162596955</v>
      </c>
      <c r="AJ106">
        <v>2.2214705994971218E-2</v>
      </c>
      <c r="AK106">
        <v>7.8895392822880689E-3</v>
      </c>
      <c r="AL106">
        <v>0.58776312430868716</v>
      </c>
    </row>
    <row r="107" spans="1:38" s="20" customFormat="1" x14ac:dyDescent="0.25">
      <c r="A107">
        <v>4</v>
      </c>
      <c r="B107" s="5" t="s">
        <v>15</v>
      </c>
      <c r="C107" s="6" t="s">
        <v>5</v>
      </c>
      <c r="D107" s="6" t="s">
        <v>48</v>
      </c>
      <c r="E107" s="28">
        <v>25642.6</v>
      </c>
      <c r="F107" s="11">
        <v>13</v>
      </c>
      <c r="G107" s="11">
        <v>20</v>
      </c>
      <c r="H107" s="11">
        <f t="shared" si="15"/>
        <v>-7</v>
      </c>
      <c r="I107" s="18">
        <v>1</v>
      </c>
      <c r="J107" s="19">
        <v>0.81818181818181823</v>
      </c>
      <c r="K107" s="19">
        <v>2.9</v>
      </c>
      <c r="L107" s="6">
        <v>26410334</v>
      </c>
      <c r="M107" s="7">
        <v>2382546.25</v>
      </c>
      <c r="N107" s="7">
        <v>1663739</v>
      </c>
      <c r="O107" s="7">
        <v>12529233</v>
      </c>
      <c r="P107" s="7">
        <v>6463.33251953125</v>
      </c>
      <c r="Q107" s="7">
        <v>16193.3251953125</v>
      </c>
      <c r="R107" s="7">
        <v>3426423.25</v>
      </c>
      <c r="S107" s="7">
        <v>1726310.5</v>
      </c>
      <c r="T107" s="31">
        <f t="shared" si="16"/>
        <v>4816.1242657714847</v>
      </c>
      <c r="U107" s="37">
        <v>2074.6666666666665</v>
      </c>
      <c r="V107">
        <f t="shared" si="18"/>
        <v>2.3213966576662042</v>
      </c>
      <c r="W107">
        <f t="shared" si="28"/>
        <v>3.3743377135556449E-3</v>
      </c>
      <c r="X107" s="28">
        <v>2018.9333333333334</v>
      </c>
      <c r="Y107">
        <f t="shared" si="19"/>
        <v>1.2729916773778922</v>
      </c>
      <c r="Z107">
        <f t="shared" si="21"/>
        <v>0.11483995420951157</v>
      </c>
      <c r="AA107">
        <f t="shared" si="22"/>
        <v>8.0193075192802069E-2</v>
      </c>
      <c r="AB107">
        <f t="shared" si="23"/>
        <v>0.60391547236503862</v>
      </c>
      <c r="AC107">
        <f t="shared" si="24"/>
        <v>3.1153595049154484E-4</v>
      </c>
      <c r="AD107">
        <f t="shared" si="25"/>
        <v>7.8052660003112952E-4</v>
      </c>
      <c r="AE107">
        <f t="shared" si="26"/>
        <v>0.16515536230719793</v>
      </c>
      <c r="AF107">
        <f t="shared" si="27"/>
        <v>8.320905366323908E-2</v>
      </c>
      <c r="AG107">
        <f t="shared" si="20"/>
        <v>2.3213966576662042</v>
      </c>
      <c r="AH107" s="20">
        <v>0.49398656922464967</v>
      </c>
      <c r="AI107" s="20">
        <v>0.6394714162596955</v>
      </c>
      <c r="AJ107" s="20">
        <v>2.2214705994971218E-2</v>
      </c>
      <c r="AK107" s="20">
        <v>7.8895392822880689E-3</v>
      </c>
      <c r="AL107" s="20">
        <v>0.58776312430868716</v>
      </c>
    </row>
    <row r="108" spans="1:38" x14ac:dyDescent="0.25">
      <c r="A108">
        <v>4</v>
      </c>
      <c r="B108" s="5" t="s">
        <v>15</v>
      </c>
      <c r="C108" s="6" t="s">
        <v>5</v>
      </c>
      <c r="D108" s="6" t="s">
        <v>49</v>
      </c>
      <c r="E108" s="28">
        <v>25642.6</v>
      </c>
      <c r="F108" s="11">
        <v>14</v>
      </c>
      <c r="G108" s="11">
        <v>20</v>
      </c>
      <c r="H108" s="11">
        <f t="shared" si="15"/>
        <v>-6</v>
      </c>
      <c r="I108" s="18">
        <v>1</v>
      </c>
      <c r="J108" s="19">
        <v>0.81818181818181823</v>
      </c>
      <c r="K108" s="19">
        <v>2.9</v>
      </c>
      <c r="L108" s="6">
        <v>29706646</v>
      </c>
      <c r="M108" s="7">
        <v>2290005.5</v>
      </c>
      <c r="N108" s="7">
        <v>1663739</v>
      </c>
      <c r="O108" s="7">
        <v>12034653</v>
      </c>
      <c r="P108" s="7">
        <v>6463.33251953125</v>
      </c>
      <c r="Q108" s="7">
        <v>9521.314453125</v>
      </c>
      <c r="R108" s="7">
        <v>3452883.75</v>
      </c>
      <c r="S108" s="7">
        <v>1691967.5</v>
      </c>
      <c r="T108" s="31">
        <f t="shared" si="16"/>
        <v>5085.5879396972659</v>
      </c>
      <c r="U108" s="37">
        <v>2120</v>
      </c>
      <c r="V108">
        <f t="shared" si="18"/>
        <v>2.3988622357062575</v>
      </c>
      <c r="W108">
        <f t="shared" si="28"/>
        <v>3.3370246219761777E-2</v>
      </c>
      <c r="X108" s="28">
        <v>2245.0666666666666</v>
      </c>
      <c r="Y108">
        <f t="shared" si="19"/>
        <v>1.4012568867924529</v>
      </c>
      <c r="Z108">
        <f t="shared" si="21"/>
        <v>0.10801912735849058</v>
      </c>
      <c r="AA108">
        <f t="shared" si="22"/>
        <v>7.8478254716981138E-2</v>
      </c>
      <c r="AB108">
        <f t="shared" si="23"/>
        <v>0.5676723113207548</v>
      </c>
      <c r="AC108">
        <f t="shared" si="24"/>
        <v>3.0487417544958727E-4</v>
      </c>
      <c r="AD108">
        <f t="shared" si="25"/>
        <v>4.4911860627948108E-4</v>
      </c>
      <c r="AE108">
        <f t="shared" si="26"/>
        <v>0.162871875</v>
      </c>
      <c r="AF108">
        <f t="shared" si="27"/>
        <v>7.9809787735849055E-2</v>
      </c>
      <c r="AG108">
        <f t="shared" si="20"/>
        <v>2.3988622357062575</v>
      </c>
      <c r="AH108">
        <v>0.49398656922464967</v>
      </c>
      <c r="AI108">
        <v>0.6394714162596955</v>
      </c>
      <c r="AJ108">
        <v>2.2214705994971218E-2</v>
      </c>
      <c r="AK108">
        <v>7.8895392822880689E-3</v>
      </c>
      <c r="AL108">
        <v>0.58776312430868716</v>
      </c>
    </row>
    <row r="109" spans="1:38" x14ac:dyDescent="0.25">
      <c r="A109">
        <v>4</v>
      </c>
      <c r="B109" s="5" t="s">
        <v>15</v>
      </c>
      <c r="C109" s="6" t="s">
        <v>5</v>
      </c>
      <c r="D109" s="6" t="s">
        <v>50</v>
      </c>
      <c r="E109" s="28">
        <v>25642.6</v>
      </c>
      <c r="F109" s="11">
        <v>15</v>
      </c>
      <c r="G109" s="11">
        <v>20</v>
      </c>
      <c r="H109" s="11">
        <f t="shared" si="15"/>
        <v>-5</v>
      </c>
      <c r="I109" s="18">
        <v>1</v>
      </c>
      <c r="J109" s="19">
        <v>0.81818181818181823</v>
      </c>
      <c r="K109" s="19">
        <v>2.9</v>
      </c>
      <c r="L109" s="6">
        <v>31612066</v>
      </c>
      <c r="M109" s="7">
        <v>2227763.25</v>
      </c>
      <c r="N109" s="7">
        <v>1663739</v>
      </c>
      <c r="O109" s="7">
        <v>11702072</v>
      </c>
      <c r="P109" s="7">
        <v>6463.33251953125</v>
      </c>
      <c r="Q109" s="7">
        <v>13369.8076171875</v>
      </c>
      <c r="R109" s="7">
        <v>3364219.25</v>
      </c>
      <c r="S109" s="7">
        <v>1709237.125</v>
      </c>
      <c r="T109" s="31">
        <f t="shared" si="16"/>
        <v>5229.8929765136718</v>
      </c>
      <c r="U109" s="37">
        <v>2165.3333333333335</v>
      </c>
      <c r="V109">
        <f t="shared" si="18"/>
        <v>2.4152830864441217</v>
      </c>
      <c r="W109">
        <f t="shared" si="28"/>
        <v>6.8452662655843332E-3</v>
      </c>
      <c r="X109" s="28">
        <v>2471.1999999999998</v>
      </c>
      <c r="Y109">
        <f t="shared" si="19"/>
        <v>1.4599168411330048</v>
      </c>
      <c r="Z109">
        <f t="shared" si="21"/>
        <v>0.10288315501847289</v>
      </c>
      <c r="AA109">
        <f t="shared" si="22"/>
        <v>7.6835237068965515E-2</v>
      </c>
      <c r="AB109">
        <f t="shared" si="23"/>
        <v>0.54042820197044328</v>
      </c>
      <c r="AC109">
        <f t="shared" si="24"/>
        <v>2.9849134172712052E-4</v>
      </c>
      <c r="AD109">
        <f t="shared" si="25"/>
        <v>6.1744801187750152E-4</v>
      </c>
      <c r="AE109">
        <f t="shared" si="26"/>
        <v>0.15536726831896552</v>
      </c>
      <c r="AF109">
        <f t="shared" si="27"/>
        <v>7.8936443580665011E-2</v>
      </c>
      <c r="AG109">
        <f t="shared" si="20"/>
        <v>2.4152830864441217</v>
      </c>
      <c r="AH109">
        <v>0.49398656922464967</v>
      </c>
      <c r="AI109">
        <v>0.6394714162596955</v>
      </c>
      <c r="AJ109">
        <v>2.2214705994971218E-2</v>
      </c>
      <c r="AK109">
        <v>7.8895392822880689E-3</v>
      </c>
      <c r="AL109">
        <v>0.58776312430868716</v>
      </c>
    </row>
    <row r="110" spans="1:38" x14ac:dyDescent="0.25">
      <c r="A110">
        <v>4</v>
      </c>
      <c r="B110" s="5" t="s">
        <v>15</v>
      </c>
      <c r="C110" s="6" t="s">
        <v>5</v>
      </c>
      <c r="D110" s="6" t="s">
        <v>51</v>
      </c>
      <c r="E110" s="28">
        <v>25642.6</v>
      </c>
      <c r="F110" s="11">
        <v>16</v>
      </c>
      <c r="G110" s="11">
        <v>20</v>
      </c>
      <c r="H110" s="11">
        <f t="shared" si="15"/>
        <v>-4</v>
      </c>
      <c r="I110" s="18">
        <v>1</v>
      </c>
      <c r="J110" s="19">
        <v>0.81818181818181823</v>
      </c>
      <c r="K110" s="19">
        <v>2.9</v>
      </c>
      <c r="L110" s="6">
        <v>27598732</v>
      </c>
      <c r="M110" s="7">
        <v>2323161</v>
      </c>
      <c r="N110" s="7">
        <v>1663739</v>
      </c>
      <c r="O110" s="7">
        <v>12207190</v>
      </c>
      <c r="P110" s="7">
        <v>6463.33251953125</v>
      </c>
      <c r="Q110" s="7">
        <v>37434.171875</v>
      </c>
      <c r="R110" s="7">
        <v>3337297.25</v>
      </c>
      <c r="S110" s="7">
        <v>1738957.75</v>
      </c>
      <c r="T110" s="31">
        <f t="shared" si="16"/>
        <v>4891.2974504394533</v>
      </c>
      <c r="U110" s="37">
        <v>2279.6666666666665</v>
      </c>
      <c r="V110">
        <f t="shared" si="18"/>
        <v>2.1456195863895835</v>
      </c>
      <c r="W110">
        <f t="shared" si="28"/>
        <v>-0.11164881730346062</v>
      </c>
      <c r="X110" s="28">
        <v>2697.333333333333</v>
      </c>
      <c r="Y110">
        <f t="shared" si="19"/>
        <v>1.2106476970317299</v>
      </c>
      <c r="Z110">
        <f t="shared" si="21"/>
        <v>0.10190792513525369</v>
      </c>
      <c r="AA110">
        <f t="shared" si="22"/>
        <v>7.298167860798363E-2</v>
      </c>
      <c r="AB110">
        <f t="shared" si="23"/>
        <v>0.53548135692352694</v>
      </c>
      <c r="AC110">
        <f t="shared" si="24"/>
        <v>2.8352094690150246E-4</v>
      </c>
      <c r="AD110">
        <f t="shared" si="25"/>
        <v>1.6420897152361459E-3</v>
      </c>
      <c r="AE110">
        <f t="shared" si="26"/>
        <v>0.14639408904810647</v>
      </c>
      <c r="AF110">
        <f t="shared" si="27"/>
        <v>7.6281228980845162E-2</v>
      </c>
      <c r="AG110">
        <f t="shared" si="20"/>
        <v>2.1456195863895831</v>
      </c>
      <c r="AH110">
        <v>0.49398656922464967</v>
      </c>
      <c r="AI110">
        <v>0.6394714162596955</v>
      </c>
      <c r="AJ110">
        <v>2.2214705994971218E-2</v>
      </c>
      <c r="AK110">
        <v>7.8895392822880689E-3</v>
      </c>
      <c r="AL110">
        <v>0.58776312430868716</v>
      </c>
    </row>
    <row r="111" spans="1:38" x14ac:dyDescent="0.25">
      <c r="A111">
        <v>4</v>
      </c>
      <c r="B111" s="5" t="s">
        <v>15</v>
      </c>
      <c r="C111" s="6" t="s">
        <v>5</v>
      </c>
      <c r="D111" s="6" t="s">
        <v>52</v>
      </c>
      <c r="E111" s="28">
        <v>25642.6</v>
      </c>
      <c r="F111" s="11">
        <v>17</v>
      </c>
      <c r="G111" s="11">
        <v>20</v>
      </c>
      <c r="H111" s="11">
        <f t="shared" si="15"/>
        <v>-3</v>
      </c>
      <c r="I111" s="18">
        <v>1</v>
      </c>
      <c r="J111" s="19">
        <v>0.81818181818181823</v>
      </c>
      <c r="K111" s="19">
        <v>2.9</v>
      </c>
      <c r="L111" s="6">
        <v>27160552</v>
      </c>
      <c r="M111" s="7">
        <v>2385998.25</v>
      </c>
      <c r="N111" s="7">
        <v>1663739</v>
      </c>
      <c r="O111" s="7">
        <v>12542328</v>
      </c>
      <c r="P111" s="7">
        <v>6463.33251953125</v>
      </c>
      <c r="Q111" s="7">
        <v>51629.1171875</v>
      </c>
      <c r="R111" s="7">
        <v>3457336.75</v>
      </c>
      <c r="S111" s="7">
        <v>1799055.75</v>
      </c>
      <c r="T111" s="31">
        <f t="shared" si="16"/>
        <v>4906.7102199707033</v>
      </c>
      <c r="U111" s="37">
        <v>2394</v>
      </c>
      <c r="V111">
        <f t="shared" si="18"/>
        <v>2.0495865580495836</v>
      </c>
      <c r="W111">
        <f t="shared" si="28"/>
        <v>-4.4757714251478252E-2</v>
      </c>
      <c r="X111" s="28">
        <v>2923.4666666666662</v>
      </c>
      <c r="Y111">
        <f t="shared" si="19"/>
        <v>1.1345259816207185</v>
      </c>
      <c r="Z111">
        <f t="shared" si="21"/>
        <v>9.9665758145363409E-2</v>
      </c>
      <c r="AA111">
        <f t="shared" si="22"/>
        <v>6.9496198830409361E-2</v>
      </c>
      <c r="AB111">
        <f t="shared" si="23"/>
        <v>0.52390676691729321</v>
      </c>
      <c r="AC111">
        <f t="shared" si="24"/>
        <v>2.6998047282920842E-4</v>
      </c>
      <c r="AD111">
        <f t="shared" si="25"/>
        <v>2.1566047279657479E-3</v>
      </c>
      <c r="AE111">
        <f t="shared" si="26"/>
        <v>0.14441673976608188</v>
      </c>
      <c r="AF111">
        <f t="shared" si="27"/>
        <v>7.5148527568922305E-2</v>
      </c>
      <c r="AG111">
        <f t="shared" si="20"/>
        <v>2.0495865580495836</v>
      </c>
      <c r="AH111">
        <v>0.49398656922464967</v>
      </c>
      <c r="AI111">
        <v>0.6394714162596955</v>
      </c>
      <c r="AJ111">
        <v>2.2214705994971218E-2</v>
      </c>
      <c r="AK111">
        <v>7.8895392822880689E-3</v>
      </c>
      <c r="AL111">
        <v>0.58776312430868716</v>
      </c>
    </row>
    <row r="112" spans="1:38" x14ac:dyDescent="0.25">
      <c r="A112">
        <v>4</v>
      </c>
      <c r="B112" s="5" t="s">
        <v>15</v>
      </c>
      <c r="C112" s="6" t="s">
        <v>5</v>
      </c>
      <c r="D112" s="6" t="s">
        <v>53</v>
      </c>
      <c r="E112" s="28">
        <v>25642.6</v>
      </c>
      <c r="F112" s="11">
        <v>18</v>
      </c>
      <c r="G112" s="11">
        <v>20</v>
      </c>
      <c r="H112" s="11">
        <f t="shared" si="15"/>
        <v>-2</v>
      </c>
      <c r="I112" s="18">
        <v>1</v>
      </c>
      <c r="J112" s="19">
        <v>0.81818181818181823</v>
      </c>
      <c r="K112" s="19">
        <v>2.9</v>
      </c>
      <c r="L112" s="6">
        <v>29009540</v>
      </c>
      <c r="M112" s="7">
        <v>2374574.75</v>
      </c>
      <c r="N112" s="7">
        <v>1663739</v>
      </c>
      <c r="O112" s="7">
        <v>12490985</v>
      </c>
      <c r="P112" s="7">
        <v>6463.33251953125</v>
      </c>
      <c r="Q112" s="7">
        <v>34069.15625</v>
      </c>
      <c r="R112" s="7">
        <v>3434523</v>
      </c>
      <c r="S112" s="7">
        <v>1776695.875</v>
      </c>
      <c r="T112" s="31">
        <f t="shared" si="16"/>
        <v>5079.0590113769531</v>
      </c>
      <c r="U112" s="37">
        <v>2508.3333333333335</v>
      </c>
      <c r="V112">
        <f t="shared" si="18"/>
        <v>2.0248740244692169</v>
      </c>
      <c r="W112">
        <f t="shared" si="28"/>
        <v>-1.2057326138927956E-2</v>
      </c>
      <c r="X112" s="28">
        <v>3149.5999999999995</v>
      </c>
      <c r="Y112">
        <f t="shared" si="19"/>
        <v>1.1565265116279071</v>
      </c>
      <c r="Z112">
        <f t="shared" si="21"/>
        <v>9.4667431893687704E-2</v>
      </c>
      <c r="AA112">
        <f t="shared" si="22"/>
        <v>6.6328465116279059E-2</v>
      </c>
      <c r="AB112">
        <f t="shared" si="23"/>
        <v>0.49797946843853813</v>
      </c>
      <c r="AC112">
        <f t="shared" si="24"/>
        <v>2.5767438616071424E-4</v>
      </c>
      <c r="AD112">
        <f t="shared" si="25"/>
        <v>1.3582387873754152E-3</v>
      </c>
      <c r="AE112">
        <f t="shared" si="26"/>
        <v>0.13692450498338871</v>
      </c>
      <c r="AF112">
        <f t="shared" si="27"/>
        <v>7.0831729235880395E-2</v>
      </c>
      <c r="AG112">
        <f t="shared" si="20"/>
        <v>2.0248740244692169</v>
      </c>
      <c r="AH112">
        <v>0.49398656922464967</v>
      </c>
      <c r="AI112">
        <v>0.6394714162596955</v>
      </c>
      <c r="AJ112">
        <v>2.2214705994971218E-2</v>
      </c>
      <c r="AK112">
        <v>7.8895392822880689E-3</v>
      </c>
      <c r="AL112">
        <v>0.58776312430868716</v>
      </c>
    </row>
    <row r="113" spans="1:38" x14ac:dyDescent="0.25">
      <c r="A113">
        <v>4</v>
      </c>
      <c r="B113" s="5" t="s">
        <v>15</v>
      </c>
      <c r="C113" s="6" t="s">
        <v>5</v>
      </c>
      <c r="D113" s="6" t="s">
        <v>54</v>
      </c>
      <c r="E113" s="28">
        <v>25642.6</v>
      </c>
      <c r="F113" s="11">
        <v>19</v>
      </c>
      <c r="G113" s="11">
        <v>20</v>
      </c>
      <c r="H113" s="11">
        <f t="shared" si="15"/>
        <v>-1</v>
      </c>
      <c r="I113" s="18">
        <v>1</v>
      </c>
      <c r="J113" s="19">
        <v>0.81818181818181823</v>
      </c>
      <c r="K113" s="19">
        <v>2.9</v>
      </c>
      <c r="L113" s="6">
        <v>32358966</v>
      </c>
      <c r="M113" s="7">
        <v>2394858.75</v>
      </c>
      <c r="N113" s="7">
        <v>1664537.625</v>
      </c>
      <c r="O113" s="7">
        <v>12601016</v>
      </c>
      <c r="P113" s="7">
        <v>6466.43505859375</v>
      </c>
      <c r="Q113" s="7">
        <v>16067.62109375</v>
      </c>
      <c r="R113" s="7">
        <v>3432832</v>
      </c>
      <c r="S113" s="7">
        <v>1713221.875</v>
      </c>
      <c r="T113" s="31">
        <f t="shared" si="16"/>
        <v>5418.7966306152348</v>
      </c>
      <c r="U113" s="37">
        <v>2622.666666666667</v>
      </c>
      <c r="V113">
        <f t="shared" si="18"/>
        <v>2.0661400472605114</v>
      </c>
      <c r="W113">
        <f t="shared" si="28"/>
        <v>2.0379550674571745E-2</v>
      </c>
      <c r="X113" s="28">
        <v>3375.7333333333327</v>
      </c>
      <c r="Y113">
        <f t="shared" si="19"/>
        <v>1.2338192425012708</v>
      </c>
      <c r="Z113">
        <f t="shared" si="21"/>
        <v>9.1313882180986267E-2</v>
      </c>
      <c r="AA113">
        <f t="shared" si="22"/>
        <v>6.3467372585155057E-2</v>
      </c>
      <c r="AB113">
        <f t="shared" si="23"/>
        <v>0.48046578546009139</v>
      </c>
      <c r="AC113">
        <f t="shared" si="24"/>
        <v>2.4655954722650286E-4</v>
      </c>
      <c r="AD113">
        <f t="shared" si="25"/>
        <v>6.1264442401181998E-4</v>
      </c>
      <c r="AE113">
        <f t="shared" si="26"/>
        <v>0.13089089984748345</v>
      </c>
      <c r="AF113">
        <f t="shared" si="27"/>
        <v>6.5323660714285706E-2</v>
      </c>
      <c r="AG113">
        <f t="shared" si="20"/>
        <v>2.0661400472605109</v>
      </c>
      <c r="AH113">
        <v>0.49398656922464967</v>
      </c>
      <c r="AI113">
        <v>0.6394714162596955</v>
      </c>
      <c r="AJ113">
        <v>2.2214705994971218E-2</v>
      </c>
      <c r="AK113">
        <v>7.8895392822880689E-3</v>
      </c>
      <c r="AL113">
        <v>0.58776312430868716</v>
      </c>
    </row>
    <row r="114" spans="1:38" x14ac:dyDescent="0.25">
      <c r="A114">
        <v>4</v>
      </c>
      <c r="B114" s="21" t="s">
        <v>15</v>
      </c>
      <c r="C114" s="22" t="s">
        <v>5</v>
      </c>
      <c r="D114" s="22" t="s">
        <v>55</v>
      </c>
      <c r="E114" s="25">
        <v>25698.184499999999</v>
      </c>
      <c r="F114" s="22">
        <v>20</v>
      </c>
      <c r="G114" s="22">
        <v>20</v>
      </c>
      <c r="H114" s="22">
        <f t="shared" si="15"/>
        <v>0</v>
      </c>
      <c r="I114" s="18">
        <v>1</v>
      </c>
      <c r="J114" s="19">
        <v>0.81818181818181823</v>
      </c>
      <c r="K114" s="19">
        <v>2.9</v>
      </c>
      <c r="L114" s="22">
        <v>3296284</v>
      </c>
      <c r="M114" s="23">
        <v>2074346.25</v>
      </c>
      <c r="N114" s="23">
        <v>3622455.25</v>
      </c>
      <c r="O114" s="23">
        <v>27166702</v>
      </c>
      <c r="P114" s="23">
        <v>6352.87744140625</v>
      </c>
      <c r="Q114" s="23">
        <v>10493.2109375</v>
      </c>
      <c r="R114" s="23">
        <v>11941692</v>
      </c>
      <c r="S114" s="23">
        <v>2062390.75</v>
      </c>
      <c r="T114" s="32">
        <f t="shared" si="16"/>
        <v>5018.0716338378907</v>
      </c>
      <c r="U114" s="37">
        <v>1980.7777777777778</v>
      </c>
      <c r="V114">
        <f t="shared" si="18"/>
        <v>2.5333844564167283</v>
      </c>
      <c r="W114">
        <f t="shared" si="28"/>
        <v>0.22614362940969795</v>
      </c>
      <c r="X114" s="25">
        <v>2089.1824999999999</v>
      </c>
      <c r="Y114">
        <f t="shared" si="19"/>
        <v>0.16641361979020586</v>
      </c>
      <c r="Z114">
        <f t="shared" si="21"/>
        <v>0.1047238248162899</v>
      </c>
      <c r="AA114">
        <f t="shared" si="22"/>
        <v>0.18288044679418858</v>
      </c>
      <c r="AB114">
        <f t="shared" si="23"/>
        <v>1.3715169013294441</v>
      </c>
      <c r="AC114">
        <f t="shared" si="24"/>
        <v>3.2072640922564785E-4</v>
      </c>
      <c r="AD114">
        <f t="shared" si="25"/>
        <v>5.2975205271498297E-4</v>
      </c>
      <c r="AE114">
        <f t="shared" si="26"/>
        <v>0.60287893644471868</v>
      </c>
      <c r="AF114">
        <f t="shared" si="27"/>
        <v>0.10412024877994054</v>
      </c>
      <c r="AG114">
        <f t="shared" si="20"/>
        <v>2.5333844564167283</v>
      </c>
      <c r="AH114">
        <v>0.46462815301213206</v>
      </c>
      <c r="AI114">
        <v>0.64974033467974612</v>
      </c>
      <c r="AJ114">
        <v>2.2118980459227302E-2</v>
      </c>
      <c r="AK114">
        <v>8.4670767306538729E-3</v>
      </c>
      <c r="AL114">
        <v>0.54831135225770256</v>
      </c>
    </row>
    <row r="115" spans="1:38" x14ac:dyDescent="0.25">
      <c r="A115">
        <v>4</v>
      </c>
      <c r="B115" s="5" t="s">
        <v>15</v>
      </c>
      <c r="C115" s="6" t="s">
        <v>5</v>
      </c>
      <c r="D115" s="6" t="s">
        <v>56</v>
      </c>
      <c r="E115" s="25">
        <v>25698.184499999999</v>
      </c>
      <c r="F115" s="11">
        <v>21</v>
      </c>
      <c r="G115" s="11">
        <v>20</v>
      </c>
      <c r="H115" s="11">
        <f t="shared" si="15"/>
        <v>1</v>
      </c>
      <c r="I115" s="18">
        <v>1</v>
      </c>
      <c r="J115" s="19">
        <v>0.81818181818181823</v>
      </c>
      <c r="K115" s="19">
        <v>2.9</v>
      </c>
      <c r="L115" s="6">
        <v>3216605</v>
      </c>
      <c r="M115" s="7">
        <v>2030764.875</v>
      </c>
      <c r="N115" s="7">
        <v>3151155</v>
      </c>
      <c r="O115" s="7">
        <v>27032090</v>
      </c>
      <c r="P115" s="7">
        <v>6352.87744140625</v>
      </c>
      <c r="Q115" s="7">
        <v>14817.6181640625</v>
      </c>
      <c r="R115" s="7">
        <v>11688290</v>
      </c>
      <c r="S115" s="7">
        <v>2089754.25</v>
      </c>
      <c r="T115" s="31">
        <f t="shared" si="16"/>
        <v>4922.9829620605469</v>
      </c>
      <c r="U115" s="37">
        <v>1984.3333333333333</v>
      </c>
      <c r="V115">
        <f t="shared" si="18"/>
        <v>2.4809253966372653</v>
      </c>
      <c r="W115">
        <f t="shared" si="28"/>
        <v>-2.0707105724356641E-2</v>
      </c>
      <c r="X115" s="25">
        <v>2098.6975000000002</v>
      </c>
      <c r="Y115">
        <f t="shared" si="19"/>
        <v>0.16210003359650599</v>
      </c>
      <c r="Z115">
        <f t="shared" si="21"/>
        <v>0.10233990634973963</v>
      </c>
      <c r="AA115">
        <f t="shared" si="22"/>
        <v>0.15880169662355115</v>
      </c>
      <c r="AB115">
        <f t="shared" si="23"/>
        <v>1.3622756593314296</v>
      </c>
      <c r="AC115">
        <f t="shared" si="24"/>
        <v>3.2015172726723923E-4</v>
      </c>
      <c r="AD115">
        <f t="shared" si="25"/>
        <v>7.4673029551801623E-4</v>
      </c>
      <c r="AE115">
        <f t="shared" si="26"/>
        <v>0.58902855703006884</v>
      </c>
      <c r="AF115">
        <f t="shared" si="27"/>
        <v>0.10531266168318495</v>
      </c>
      <c r="AG115">
        <f t="shared" si="20"/>
        <v>2.4809253966372649</v>
      </c>
      <c r="AH115">
        <v>0.46462815301213206</v>
      </c>
      <c r="AI115">
        <v>0.64974033467974612</v>
      </c>
      <c r="AJ115">
        <v>2.2118980459227302E-2</v>
      </c>
      <c r="AK115">
        <v>8.4670767306538729E-3</v>
      </c>
      <c r="AL115">
        <v>0.54831135225770256</v>
      </c>
    </row>
    <row r="116" spans="1:38" x14ac:dyDescent="0.25">
      <c r="A116">
        <v>4</v>
      </c>
      <c r="B116" s="5" t="s">
        <v>15</v>
      </c>
      <c r="C116" s="6" t="s">
        <v>5</v>
      </c>
      <c r="D116" s="6" t="s">
        <v>57</v>
      </c>
      <c r="E116" s="25">
        <v>25698.184499999999</v>
      </c>
      <c r="F116" s="11">
        <v>22</v>
      </c>
      <c r="G116" s="11">
        <v>20</v>
      </c>
      <c r="H116" s="11">
        <f t="shared" si="15"/>
        <v>2</v>
      </c>
      <c r="I116" s="18">
        <v>1</v>
      </c>
      <c r="J116" s="19">
        <v>0.81818181818181823</v>
      </c>
      <c r="K116" s="19">
        <v>2.9</v>
      </c>
      <c r="L116" s="6">
        <v>3190470.25</v>
      </c>
      <c r="M116" s="7">
        <v>2109951</v>
      </c>
      <c r="N116" s="7">
        <v>2042984.5</v>
      </c>
      <c r="O116" s="7">
        <v>30750364</v>
      </c>
      <c r="P116" s="7">
        <v>6352.87744140625</v>
      </c>
      <c r="Q116" s="7">
        <v>42263.09375</v>
      </c>
      <c r="R116" s="7">
        <v>12144193</v>
      </c>
      <c r="S116" s="7">
        <v>2133585.25</v>
      </c>
      <c r="T116" s="31">
        <f t="shared" si="16"/>
        <v>5242.0163971191405</v>
      </c>
      <c r="U116" s="37">
        <v>1987.8888888888887</v>
      </c>
      <c r="V116">
        <f t="shared" si="18"/>
        <v>2.6369765565967396</v>
      </c>
      <c r="W116">
        <f t="shared" si="28"/>
        <v>6.2900383933749707E-2</v>
      </c>
      <c r="X116" s="25">
        <v>2108.2125000000001</v>
      </c>
      <c r="Y116">
        <f t="shared" si="19"/>
        <v>0.16049540131909901</v>
      </c>
      <c r="Z116">
        <f t="shared" si="21"/>
        <v>0.10614028841316865</v>
      </c>
      <c r="AA116">
        <f t="shared" si="22"/>
        <v>0.10277156391481751</v>
      </c>
      <c r="AB116">
        <f t="shared" si="23"/>
        <v>1.5468854507853111</v>
      </c>
      <c r="AC116">
        <f t="shared" si="24"/>
        <v>3.1957910107124394E-4</v>
      </c>
      <c r="AD116">
        <f t="shared" si="25"/>
        <v>2.1260289740651726E-3</v>
      </c>
      <c r="AE116">
        <f t="shared" si="26"/>
        <v>0.61090904365323351</v>
      </c>
      <c r="AF116">
        <f t="shared" si="27"/>
        <v>0.10732920043597341</v>
      </c>
      <c r="AG116">
        <f t="shared" si="20"/>
        <v>2.63697655659674</v>
      </c>
      <c r="AH116">
        <v>0.46462815301213206</v>
      </c>
      <c r="AI116">
        <v>0.64974033467974612</v>
      </c>
      <c r="AJ116">
        <v>2.2118980459227302E-2</v>
      </c>
      <c r="AK116">
        <v>8.4670767306538729E-3</v>
      </c>
      <c r="AL116">
        <v>0.54831135225770256</v>
      </c>
    </row>
    <row r="117" spans="1:38" x14ac:dyDescent="0.25">
      <c r="A117">
        <v>4</v>
      </c>
      <c r="B117" s="5" t="s">
        <v>15</v>
      </c>
      <c r="C117" s="6" t="s">
        <v>5</v>
      </c>
      <c r="D117" s="6" t="s">
        <v>58</v>
      </c>
      <c r="E117" s="25">
        <v>25698.184499999999</v>
      </c>
      <c r="F117" s="11">
        <v>23</v>
      </c>
      <c r="G117" s="11">
        <v>20</v>
      </c>
      <c r="H117" s="11">
        <f t="shared" si="15"/>
        <v>3</v>
      </c>
      <c r="I117" s="18">
        <v>1</v>
      </c>
      <c r="J117" s="19">
        <v>0.81818181818181823</v>
      </c>
      <c r="K117" s="19">
        <v>2.9</v>
      </c>
      <c r="L117" s="6">
        <v>3294635</v>
      </c>
      <c r="M117" s="7">
        <v>2148077.5</v>
      </c>
      <c r="N117" s="7">
        <v>1333575</v>
      </c>
      <c r="O117" s="7">
        <v>27814308</v>
      </c>
      <c r="P117" s="7">
        <v>6352.87744140625</v>
      </c>
      <c r="Q117" s="7">
        <v>58256.421875</v>
      </c>
      <c r="R117" s="7">
        <v>12356874</v>
      </c>
      <c r="S117" s="7">
        <v>2206134.25</v>
      </c>
      <c r="T117" s="31">
        <f t="shared" si="16"/>
        <v>4921.821304931641</v>
      </c>
      <c r="U117" s="37">
        <v>1991.4444444444443</v>
      </c>
      <c r="V117">
        <f t="shared" si="18"/>
        <v>2.4714831079833046</v>
      </c>
      <c r="W117">
        <f t="shared" si="28"/>
        <v>-6.2758786459224142E-2</v>
      </c>
      <c r="X117" s="25">
        <v>2117.7275</v>
      </c>
      <c r="Y117">
        <f t="shared" si="19"/>
        <v>0.16543946325949899</v>
      </c>
      <c r="Z117">
        <f t="shared" si="21"/>
        <v>0.10786529877810636</v>
      </c>
      <c r="AA117">
        <f t="shared" si="22"/>
        <v>6.6965212297048493E-2</v>
      </c>
      <c r="AB117">
        <f t="shared" si="23"/>
        <v>1.3966901300005581</v>
      </c>
      <c r="AC117">
        <f t="shared" si="24"/>
        <v>3.1900851962649252E-4</v>
      </c>
      <c r="AD117">
        <f t="shared" si="25"/>
        <v>2.9253350269207164E-3</v>
      </c>
      <c r="AE117">
        <f t="shared" si="26"/>
        <v>0.6204980527813424</v>
      </c>
      <c r="AF117">
        <f t="shared" si="27"/>
        <v>0.1107806073202031</v>
      </c>
      <c r="AG117">
        <f t="shared" si="20"/>
        <v>2.4714831079833046</v>
      </c>
      <c r="AH117">
        <v>0.46462815301213206</v>
      </c>
      <c r="AI117">
        <v>0.64974033467974612</v>
      </c>
      <c r="AJ117">
        <v>2.2118980459227302E-2</v>
      </c>
      <c r="AK117">
        <v>8.4670767306538729E-3</v>
      </c>
      <c r="AL117">
        <v>0.54831135225770256</v>
      </c>
    </row>
    <row r="118" spans="1:38" x14ac:dyDescent="0.25">
      <c r="A118">
        <v>4</v>
      </c>
      <c r="B118" s="5" t="s">
        <v>15</v>
      </c>
      <c r="C118" s="6" t="s">
        <v>5</v>
      </c>
      <c r="D118" s="6" t="s">
        <v>59</v>
      </c>
      <c r="E118" s="25">
        <v>25698.184499999999</v>
      </c>
      <c r="F118" s="11">
        <v>24</v>
      </c>
      <c r="G118" s="11">
        <v>20</v>
      </c>
      <c r="H118" s="11">
        <f t="shared" si="15"/>
        <v>4</v>
      </c>
      <c r="I118" s="18">
        <v>1</v>
      </c>
      <c r="J118" s="19">
        <v>0.81818181818181823</v>
      </c>
      <c r="K118" s="19">
        <v>2.9</v>
      </c>
      <c r="L118" s="6">
        <v>3271156.5</v>
      </c>
      <c r="M118" s="7">
        <v>2127302.5</v>
      </c>
      <c r="N118" s="7">
        <v>852029</v>
      </c>
      <c r="O118" s="7">
        <v>27632398</v>
      </c>
      <c r="P118" s="7">
        <v>6352.87744140625</v>
      </c>
      <c r="Q118" s="7">
        <v>38353.859375</v>
      </c>
      <c r="R118" s="7">
        <v>12238082</v>
      </c>
      <c r="S118" s="7">
        <v>2190036.75</v>
      </c>
      <c r="T118" s="31">
        <f t="shared" si="16"/>
        <v>4835.5711486816408</v>
      </c>
      <c r="U118" s="37">
        <v>1995</v>
      </c>
      <c r="V118">
        <f t="shared" si="18"/>
        <v>2.4238451873090932</v>
      </c>
      <c r="W118">
        <f t="shared" si="28"/>
        <v>-1.9275033893751084E-2</v>
      </c>
      <c r="X118" s="25">
        <v>2127.2425000000003</v>
      </c>
      <c r="Y118">
        <f t="shared" si="19"/>
        <v>0.16396774436090225</v>
      </c>
      <c r="Z118">
        <f t="shared" si="21"/>
        <v>0.10663170426065162</v>
      </c>
      <c r="AA118">
        <f t="shared" si="22"/>
        <v>4.2708220551378448E-2</v>
      </c>
      <c r="AB118">
        <f t="shared" si="23"/>
        <v>1.3850826065162909</v>
      </c>
      <c r="AC118">
        <f t="shared" si="24"/>
        <v>3.1843997200031325E-4</v>
      </c>
      <c r="AD118">
        <f t="shared" si="25"/>
        <v>1.92249921679198E-3</v>
      </c>
      <c r="AE118">
        <f t="shared" si="26"/>
        <v>0.61343769423558892</v>
      </c>
      <c r="AF118">
        <f t="shared" si="27"/>
        <v>0.10977627819548873</v>
      </c>
      <c r="AG118">
        <f t="shared" si="20"/>
        <v>2.4238451873090927</v>
      </c>
      <c r="AH118">
        <v>0.46462815301213206</v>
      </c>
      <c r="AI118">
        <v>0.64974033467974612</v>
      </c>
      <c r="AJ118">
        <v>2.2118980459227302E-2</v>
      </c>
      <c r="AK118">
        <v>8.4670767306538729E-3</v>
      </c>
      <c r="AL118">
        <v>0.54831135225770256</v>
      </c>
    </row>
    <row r="119" spans="1:38" x14ac:dyDescent="0.25">
      <c r="A119">
        <v>4</v>
      </c>
      <c r="B119" s="5" t="s">
        <v>15</v>
      </c>
      <c r="C119" s="6" t="s">
        <v>5</v>
      </c>
      <c r="D119" s="6" t="s">
        <v>60</v>
      </c>
      <c r="E119" s="25">
        <v>25698.184499999999</v>
      </c>
      <c r="F119" s="11">
        <v>25</v>
      </c>
      <c r="G119" s="11">
        <v>20</v>
      </c>
      <c r="H119" s="11">
        <f t="shared" si="15"/>
        <v>5</v>
      </c>
      <c r="I119" s="18">
        <v>1</v>
      </c>
      <c r="J119" s="19">
        <v>0.81818181818181823</v>
      </c>
      <c r="K119" s="19">
        <v>2.9</v>
      </c>
      <c r="L119" s="6">
        <v>3266048</v>
      </c>
      <c r="M119" s="7">
        <v>2140112.5</v>
      </c>
      <c r="N119" s="7">
        <v>473964.1875</v>
      </c>
      <c r="O119" s="7">
        <v>28945800</v>
      </c>
      <c r="P119" s="7">
        <v>6352.87744140625</v>
      </c>
      <c r="Q119" s="7">
        <v>18458.64453125</v>
      </c>
      <c r="R119" s="7">
        <v>12310210</v>
      </c>
      <c r="S119" s="7">
        <v>2127484</v>
      </c>
      <c r="T119" s="31">
        <f t="shared" si="16"/>
        <v>4928.8430209472654</v>
      </c>
      <c r="U119" s="37">
        <v>2050.3333333333335</v>
      </c>
      <c r="V119">
        <f t="shared" si="18"/>
        <v>2.4039227870007793</v>
      </c>
      <c r="W119">
        <f t="shared" si="28"/>
        <v>-8.219336949663562E-3</v>
      </c>
      <c r="X119" s="25">
        <v>2136.7575000000002</v>
      </c>
      <c r="Y119">
        <f t="shared" si="19"/>
        <v>0.15929351324987806</v>
      </c>
      <c r="Z119">
        <f t="shared" si="21"/>
        <v>0.10437875955129246</v>
      </c>
      <c r="AA119">
        <f t="shared" si="22"/>
        <v>2.3116445496667207E-2</v>
      </c>
      <c r="AB119">
        <f t="shared" si="23"/>
        <v>1.4117606893188097</v>
      </c>
      <c r="AC119">
        <f t="shared" si="24"/>
        <v>3.0984607908012923E-4</v>
      </c>
      <c r="AD119">
        <f t="shared" si="25"/>
        <v>9.0027529822386593E-4</v>
      </c>
      <c r="AE119">
        <f t="shared" si="26"/>
        <v>0.60040042269549654</v>
      </c>
      <c r="AF119">
        <f t="shared" si="27"/>
        <v>0.10376283531133149</v>
      </c>
      <c r="AG119">
        <f t="shared" si="20"/>
        <v>2.4039227870007793</v>
      </c>
      <c r="AH119">
        <v>0.46462815301213206</v>
      </c>
      <c r="AI119">
        <v>0.64974033467974612</v>
      </c>
      <c r="AJ119">
        <v>2.2118980459227302E-2</v>
      </c>
      <c r="AK119">
        <v>8.4670767306538729E-3</v>
      </c>
      <c r="AL119">
        <v>0.54831135225770256</v>
      </c>
    </row>
    <row r="120" spans="1:38" x14ac:dyDescent="0.25">
      <c r="A120">
        <v>4</v>
      </c>
      <c r="B120" s="5" t="s">
        <v>15</v>
      </c>
      <c r="C120" s="6" t="s">
        <v>5</v>
      </c>
      <c r="D120" s="6" t="s">
        <v>61</v>
      </c>
      <c r="E120" s="25">
        <v>25698.184499999999</v>
      </c>
      <c r="F120" s="11">
        <v>26</v>
      </c>
      <c r="G120" s="11">
        <v>20</v>
      </c>
      <c r="H120" s="11">
        <f t="shared" si="15"/>
        <v>6</v>
      </c>
      <c r="I120" s="18">
        <v>1</v>
      </c>
      <c r="J120" s="19">
        <v>0.81818181818181823</v>
      </c>
      <c r="K120" s="19">
        <v>2.9</v>
      </c>
      <c r="L120" s="6">
        <v>3289470.5</v>
      </c>
      <c r="M120" s="7">
        <v>2057429.5</v>
      </c>
      <c r="N120" s="7">
        <v>352860.5</v>
      </c>
      <c r="O120" s="7">
        <v>32558568</v>
      </c>
      <c r="P120" s="7">
        <v>6352.87744140625</v>
      </c>
      <c r="Q120" s="7">
        <v>10853.271484375</v>
      </c>
      <c r="R120" s="7">
        <v>11824214</v>
      </c>
      <c r="S120" s="7">
        <v>2086148.5</v>
      </c>
      <c r="T120" s="31">
        <f t="shared" si="16"/>
        <v>5218.5897148925778</v>
      </c>
      <c r="U120" s="37">
        <v>2105.6666666666665</v>
      </c>
      <c r="V120">
        <f t="shared" si="18"/>
        <v>2.4783550965138095</v>
      </c>
      <c r="W120">
        <f t="shared" si="28"/>
        <v>3.0962853680460586E-2</v>
      </c>
      <c r="X120" s="25">
        <v>2146.2725</v>
      </c>
      <c r="Y120">
        <f t="shared" si="19"/>
        <v>0.15621990660123478</v>
      </c>
      <c r="Z120">
        <f t="shared" si="21"/>
        <v>9.7709173658382151E-2</v>
      </c>
      <c r="AA120">
        <f t="shared" si="22"/>
        <v>1.6757661864809245E-2</v>
      </c>
      <c r="AB120">
        <f t="shared" si="23"/>
        <v>1.5462356181731836</v>
      </c>
      <c r="AC120">
        <f t="shared" si="24"/>
        <v>3.0170385189518364E-4</v>
      </c>
      <c r="AD120">
        <f t="shared" si="25"/>
        <v>5.1543160445029288E-4</v>
      </c>
      <c r="AE120">
        <f t="shared" si="26"/>
        <v>0.56154253601393078</v>
      </c>
      <c r="AF120">
        <f t="shared" si="27"/>
        <v>9.90730647459237E-2</v>
      </c>
      <c r="AG120">
        <f t="shared" si="20"/>
        <v>2.4783550965138099</v>
      </c>
      <c r="AH120">
        <v>0.46462815301213206</v>
      </c>
      <c r="AI120">
        <v>0.64974033467974612</v>
      </c>
      <c r="AJ120">
        <v>2.2118980459227302E-2</v>
      </c>
      <c r="AK120">
        <v>8.4670767306538729E-3</v>
      </c>
      <c r="AL120">
        <v>0.54831135225770256</v>
      </c>
    </row>
    <row r="121" spans="1:38" x14ac:dyDescent="0.25">
      <c r="A121">
        <v>4</v>
      </c>
      <c r="B121" s="5" t="s">
        <v>15</v>
      </c>
      <c r="C121" s="6" t="s">
        <v>5</v>
      </c>
      <c r="D121" s="6" t="s">
        <v>62</v>
      </c>
      <c r="E121" s="25">
        <v>25698.184499999999</v>
      </c>
      <c r="F121" s="11">
        <v>27</v>
      </c>
      <c r="G121" s="11">
        <v>20</v>
      </c>
      <c r="H121" s="11">
        <f t="shared" si="15"/>
        <v>7</v>
      </c>
      <c r="I121" s="18">
        <v>1</v>
      </c>
      <c r="J121" s="19">
        <v>0.81818181818181823</v>
      </c>
      <c r="K121" s="19">
        <v>2.9</v>
      </c>
      <c r="L121" s="6">
        <v>3210802</v>
      </c>
      <c r="M121" s="7">
        <v>2002229</v>
      </c>
      <c r="N121" s="7">
        <v>392203.8125</v>
      </c>
      <c r="O121" s="7">
        <v>34646912</v>
      </c>
      <c r="P121" s="7">
        <v>6352.87744140625</v>
      </c>
      <c r="Q121" s="7">
        <v>15240.1396484375</v>
      </c>
      <c r="R121" s="7">
        <v>11497329</v>
      </c>
      <c r="S121" s="7">
        <v>2106934.5</v>
      </c>
      <c r="T121" s="31">
        <f t="shared" si="16"/>
        <v>5387.8003329589847</v>
      </c>
      <c r="U121" s="37">
        <v>2161</v>
      </c>
      <c r="V121">
        <f t="shared" si="18"/>
        <v>2.4931977477829639</v>
      </c>
      <c r="W121">
        <f t="shared" si="28"/>
        <v>5.988912278967971E-3</v>
      </c>
      <c r="X121" s="25">
        <v>2155.7875000000004</v>
      </c>
      <c r="Y121">
        <f t="shared" si="19"/>
        <v>0.14857945395650163</v>
      </c>
      <c r="Z121">
        <f t="shared" si="21"/>
        <v>9.2652892179546503E-2</v>
      </c>
      <c r="AA121">
        <f t="shared" si="22"/>
        <v>1.8149181513188339E-2</v>
      </c>
      <c r="AB121">
        <f t="shared" si="23"/>
        <v>1.6032814437760297</v>
      </c>
      <c r="AC121">
        <f t="shared" si="24"/>
        <v>2.9397859515993752E-4</v>
      </c>
      <c r="AD121">
        <f t="shared" si="25"/>
        <v>7.0523552283375754E-4</v>
      </c>
      <c r="AE121">
        <f t="shared" si="26"/>
        <v>0.53203743637205003</v>
      </c>
      <c r="AF121">
        <f t="shared" si="27"/>
        <v>9.749812586765387E-2</v>
      </c>
      <c r="AG121">
        <f t="shared" si="20"/>
        <v>2.4931977477829639</v>
      </c>
      <c r="AH121">
        <v>0.46462815301213206</v>
      </c>
      <c r="AI121">
        <v>0.64974033467974612</v>
      </c>
      <c r="AJ121">
        <v>2.2118980459227302E-2</v>
      </c>
      <c r="AK121">
        <v>8.4670767306538729E-3</v>
      </c>
      <c r="AL121">
        <v>0.54831135225770256</v>
      </c>
    </row>
    <row r="122" spans="1:38" x14ac:dyDescent="0.25">
      <c r="A122">
        <v>4</v>
      </c>
      <c r="B122" s="5" t="s">
        <v>15</v>
      </c>
      <c r="C122" s="6" t="s">
        <v>5</v>
      </c>
      <c r="D122" s="6" t="s">
        <v>63</v>
      </c>
      <c r="E122" s="25">
        <v>25698.184499999999</v>
      </c>
      <c r="F122" s="11">
        <v>28</v>
      </c>
      <c r="G122" s="11">
        <v>20</v>
      </c>
      <c r="H122" s="11">
        <f t="shared" si="15"/>
        <v>8</v>
      </c>
      <c r="I122" s="18">
        <v>1</v>
      </c>
      <c r="J122" s="19">
        <v>0.81818181818181823</v>
      </c>
      <c r="K122" s="19">
        <v>2.9</v>
      </c>
      <c r="L122" s="6">
        <v>3187044.5</v>
      </c>
      <c r="M122" s="7">
        <v>2087602.625</v>
      </c>
      <c r="N122" s="7">
        <v>704081.6875</v>
      </c>
      <c r="O122" s="7">
        <v>30248286</v>
      </c>
      <c r="P122" s="7">
        <v>6352.87744140625</v>
      </c>
      <c r="Q122" s="7">
        <v>42670.921875</v>
      </c>
      <c r="R122" s="7">
        <v>11993659</v>
      </c>
      <c r="S122" s="7">
        <v>2142706.5</v>
      </c>
      <c r="T122" s="31">
        <f t="shared" si="16"/>
        <v>5041.2404111816404</v>
      </c>
      <c r="U122" s="37">
        <v>2288.4444444444448</v>
      </c>
      <c r="V122">
        <f t="shared" si="18"/>
        <v>2.2029114245792756</v>
      </c>
      <c r="W122">
        <f t="shared" si="28"/>
        <v>-0.11643132738340581</v>
      </c>
      <c r="X122" s="25">
        <v>2165.3025000000002</v>
      </c>
      <c r="Y122">
        <f t="shared" si="19"/>
        <v>0.13926685035929304</v>
      </c>
      <c r="Z122">
        <f t="shared" si="21"/>
        <v>9.122365325791415E-2</v>
      </c>
      <c r="AA122">
        <f t="shared" si="22"/>
        <v>3.0766824565449599E-2</v>
      </c>
      <c r="AB122">
        <f t="shared" si="23"/>
        <v>1.3217837152845209</v>
      </c>
      <c r="AC122">
        <f t="shared" si="24"/>
        <v>2.7760680215894464E-4</v>
      </c>
      <c r="AD122">
        <f t="shared" si="25"/>
        <v>1.8646256402942317E-3</v>
      </c>
      <c r="AE122">
        <f t="shared" si="26"/>
        <v>0.5240965770052437</v>
      </c>
      <c r="AF122">
        <f t="shared" si="27"/>
        <v>9.3631571664400837E-2</v>
      </c>
      <c r="AG122">
        <f t="shared" si="20"/>
        <v>2.2029114245792756</v>
      </c>
      <c r="AH122">
        <v>0.46462815301213206</v>
      </c>
      <c r="AI122">
        <v>0.64974033467974612</v>
      </c>
      <c r="AJ122">
        <v>2.2118980459227302E-2</v>
      </c>
      <c r="AK122">
        <v>8.4670767306538729E-3</v>
      </c>
      <c r="AL122">
        <v>0.54831135225770256</v>
      </c>
    </row>
    <row r="123" spans="1:38" x14ac:dyDescent="0.25">
      <c r="A123">
        <v>4</v>
      </c>
      <c r="B123" s="5" t="s">
        <v>15</v>
      </c>
      <c r="C123" s="6" t="s">
        <v>5</v>
      </c>
      <c r="D123" s="6" t="s">
        <v>64</v>
      </c>
      <c r="E123" s="25">
        <v>25698.184499999999</v>
      </c>
      <c r="F123" s="11">
        <v>29</v>
      </c>
      <c r="G123" s="11">
        <v>20</v>
      </c>
      <c r="H123" s="11">
        <f t="shared" si="15"/>
        <v>9</v>
      </c>
      <c r="I123" s="18">
        <v>1</v>
      </c>
      <c r="J123" s="19">
        <v>0.81818181818181823</v>
      </c>
      <c r="K123" s="19">
        <v>2.9</v>
      </c>
      <c r="L123" s="6">
        <v>3293811.25</v>
      </c>
      <c r="M123" s="7">
        <v>2143009</v>
      </c>
      <c r="N123" s="7">
        <v>1603445.75</v>
      </c>
      <c r="O123" s="7">
        <v>29768036</v>
      </c>
      <c r="P123" s="7">
        <v>6352.87744140625</v>
      </c>
      <c r="Q123" s="7">
        <v>58851.625</v>
      </c>
      <c r="R123" s="7">
        <v>12323138</v>
      </c>
      <c r="S123" s="7">
        <v>2215041.75</v>
      </c>
      <c r="T123" s="31">
        <f t="shared" si="16"/>
        <v>5141.1686252441405</v>
      </c>
      <c r="U123" s="37">
        <v>2415.8888888888891</v>
      </c>
      <c r="V123">
        <f t="shared" si="18"/>
        <v>2.1280650152783545</v>
      </c>
      <c r="W123">
        <f t="shared" si="28"/>
        <v>-3.3976131979621335E-2</v>
      </c>
      <c r="X123" s="25">
        <v>2174.8175000000001</v>
      </c>
      <c r="Y123">
        <f t="shared" si="19"/>
        <v>0.13633951731591776</v>
      </c>
      <c r="Z123">
        <f t="shared" si="21"/>
        <v>8.8704783148599545E-2</v>
      </c>
      <c r="AA123">
        <f t="shared" si="22"/>
        <v>6.6370840040472792E-2</v>
      </c>
      <c r="AB123">
        <f t="shared" si="23"/>
        <v>1.2321773628294161</v>
      </c>
      <c r="AC123">
        <f t="shared" si="24"/>
        <v>2.629623187814756E-4</v>
      </c>
      <c r="AD123">
        <f t="shared" si="25"/>
        <v>2.4360236627880235E-3</v>
      </c>
      <c r="AE123">
        <f t="shared" si="26"/>
        <v>0.5100871176930506</v>
      </c>
      <c r="AF123">
        <f t="shared" si="27"/>
        <v>9.1686408269328043E-2</v>
      </c>
      <c r="AG123">
        <f t="shared" si="20"/>
        <v>2.128065015278354</v>
      </c>
      <c r="AH123">
        <v>0.46462815301213206</v>
      </c>
      <c r="AI123">
        <v>0.64974033467974612</v>
      </c>
      <c r="AJ123">
        <v>2.2118980459227302E-2</v>
      </c>
      <c r="AK123">
        <v>8.4670767306538729E-3</v>
      </c>
      <c r="AL123">
        <v>0.54831135225770256</v>
      </c>
    </row>
    <row r="124" spans="1:38" x14ac:dyDescent="0.25">
      <c r="A124">
        <v>4</v>
      </c>
      <c r="B124" s="5" t="s">
        <v>15</v>
      </c>
      <c r="C124" s="6" t="s">
        <v>5</v>
      </c>
      <c r="D124" s="6" t="s">
        <v>65</v>
      </c>
      <c r="E124" s="25">
        <v>25698.184499999999</v>
      </c>
      <c r="F124" s="11">
        <v>30</v>
      </c>
      <c r="G124" s="11">
        <v>20</v>
      </c>
      <c r="H124" s="11">
        <f t="shared" si="15"/>
        <v>10</v>
      </c>
      <c r="I124" s="18">
        <v>1</v>
      </c>
      <c r="J124" s="19">
        <v>0.81818181818181823</v>
      </c>
      <c r="K124" s="19">
        <v>2.9</v>
      </c>
      <c r="L124" s="6">
        <v>3273781</v>
      </c>
      <c r="M124" s="7">
        <v>2132104.5</v>
      </c>
      <c r="N124" s="7">
        <v>2369001.25</v>
      </c>
      <c r="O124" s="7">
        <v>31794540</v>
      </c>
      <c r="P124" s="7">
        <v>6352.87744140625</v>
      </c>
      <c r="Q124" s="7">
        <v>38835.1640625</v>
      </c>
      <c r="R124" s="7">
        <v>12272783</v>
      </c>
      <c r="S124" s="7">
        <v>2188128.5</v>
      </c>
      <c r="T124" s="31">
        <f t="shared" si="16"/>
        <v>5407.5526291503902</v>
      </c>
      <c r="U124" s="37">
        <v>2543.3333333333335</v>
      </c>
      <c r="V124">
        <f t="shared" si="18"/>
        <v>2.1261674819726304</v>
      </c>
      <c r="W124">
        <f t="shared" si="28"/>
        <v>-8.9167073942797914E-4</v>
      </c>
      <c r="X124" s="25">
        <v>2184.3325000000004</v>
      </c>
      <c r="Y124">
        <f t="shared" si="19"/>
        <v>0.12872009174311927</v>
      </c>
      <c r="Z124">
        <f t="shared" si="21"/>
        <v>8.3831107470511132E-2</v>
      </c>
      <c r="AA124">
        <f t="shared" si="22"/>
        <v>9.314552752293577E-2</v>
      </c>
      <c r="AB124">
        <f t="shared" si="23"/>
        <v>1.2501129750982962</v>
      </c>
      <c r="AC124">
        <f t="shared" si="24"/>
        <v>2.4978548262409892E-4</v>
      </c>
      <c r="AD124">
        <f t="shared" si="25"/>
        <v>1.526939609272608E-3</v>
      </c>
      <c r="AE124">
        <f t="shared" si="26"/>
        <v>0.4825471690694626</v>
      </c>
      <c r="AF124">
        <f t="shared" si="27"/>
        <v>8.6033885976408903E-2</v>
      </c>
      <c r="AG124">
        <f t="shared" si="20"/>
        <v>2.1261674819726304</v>
      </c>
      <c r="AH124">
        <v>0.46462815301213206</v>
      </c>
      <c r="AI124">
        <v>0.64974033467974612</v>
      </c>
      <c r="AJ124">
        <v>2.2118980459227302E-2</v>
      </c>
      <c r="AK124">
        <v>8.4670767306538729E-3</v>
      </c>
      <c r="AL124">
        <v>0.54831135225770256</v>
      </c>
    </row>
    <row r="125" spans="1:38" x14ac:dyDescent="0.25">
      <c r="A125">
        <v>4</v>
      </c>
      <c r="B125" s="5" t="s">
        <v>15</v>
      </c>
      <c r="C125" s="6" t="s">
        <v>5</v>
      </c>
      <c r="D125" s="6" t="s">
        <v>66</v>
      </c>
      <c r="E125" s="25">
        <v>25698.184499999999</v>
      </c>
      <c r="F125" s="11">
        <v>31</v>
      </c>
      <c r="G125" s="11">
        <v>20</v>
      </c>
      <c r="H125" s="11">
        <f t="shared" si="15"/>
        <v>11</v>
      </c>
      <c r="I125" s="18">
        <v>1</v>
      </c>
      <c r="J125" s="19">
        <v>0.81818181818181823</v>
      </c>
      <c r="K125" s="19">
        <v>2.9</v>
      </c>
      <c r="L125" s="6">
        <v>3272577.5</v>
      </c>
      <c r="M125" s="7">
        <v>2149948.5</v>
      </c>
      <c r="N125" s="7">
        <v>3593562.5</v>
      </c>
      <c r="O125" s="7">
        <v>35465520</v>
      </c>
      <c r="P125" s="7">
        <v>6355.9267578125</v>
      </c>
      <c r="Q125" s="7">
        <v>18315.353515625</v>
      </c>
      <c r="R125" s="7">
        <v>12380972</v>
      </c>
      <c r="S125" s="7">
        <v>2111753</v>
      </c>
      <c r="T125" s="31">
        <f t="shared" si="16"/>
        <v>5899.9004780273435</v>
      </c>
      <c r="U125" s="37">
        <v>2670.7777777777778</v>
      </c>
      <c r="V125">
        <f t="shared" si="18"/>
        <v>2.2090570496420554</v>
      </c>
      <c r="W125">
        <f t="shared" si="28"/>
        <v>3.8985436647032697E-2</v>
      </c>
      <c r="X125" s="25">
        <v>2193.8475000000003</v>
      </c>
      <c r="Y125">
        <f t="shared" si="19"/>
        <v>0.12253275159129676</v>
      </c>
      <c r="Z125">
        <f t="shared" si="21"/>
        <v>8.0498966177143569E-2</v>
      </c>
      <c r="AA125">
        <f t="shared" si="22"/>
        <v>0.13455116071057122</v>
      </c>
      <c r="AB125">
        <f t="shared" si="23"/>
        <v>1.3279098057161876</v>
      </c>
      <c r="AC125">
        <f t="shared" si="24"/>
        <v>2.3798036701881475E-4</v>
      </c>
      <c r="AD125">
        <f t="shared" si="25"/>
        <v>6.8576853035164542E-4</v>
      </c>
      <c r="AE125">
        <f t="shared" si="26"/>
        <v>0.46357177684403211</v>
      </c>
      <c r="AF125">
        <f t="shared" si="27"/>
        <v>7.9068839705454086E-2</v>
      </c>
      <c r="AG125">
        <f t="shared" si="20"/>
        <v>2.2090570496420554</v>
      </c>
      <c r="AH125">
        <v>0.46462815301213206</v>
      </c>
      <c r="AI125">
        <v>0.64974033467974612</v>
      </c>
      <c r="AJ125">
        <v>2.2118980459227302E-2</v>
      </c>
      <c r="AK125">
        <v>8.4670767306538729E-3</v>
      </c>
      <c r="AL125">
        <v>0.54831135225770256</v>
      </c>
    </row>
    <row r="126" spans="1:38" x14ac:dyDescent="0.25">
      <c r="A126">
        <v>5</v>
      </c>
      <c r="B126" s="5" t="s">
        <v>7</v>
      </c>
      <c r="C126" s="6" t="s">
        <v>5</v>
      </c>
      <c r="D126" s="6" t="s">
        <v>36</v>
      </c>
      <c r="E126" s="28">
        <v>20514.1947</v>
      </c>
      <c r="F126" s="11">
        <v>1</v>
      </c>
      <c r="G126" s="11">
        <v>18</v>
      </c>
      <c r="H126" s="18">
        <f t="shared" si="15"/>
        <v>-17</v>
      </c>
      <c r="I126" s="18">
        <v>1</v>
      </c>
      <c r="J126" s="19">
        <v>-0.76539589442815248</v>
      </c>
      <c r="K126" s="19">
        <v>1.9</v>
      </c>
      <c r="L126" s="14">
        <v>34475668</v>
      </c>
      <c r="M126" s="16">
        <v>3596332.5</v>
      </c>
      <c r="N126" s="16">
        <v>1351169.625</v>
      </c>
      <c r="O126" s="16">
        <v>8442803</v>
      </c>
      <c r="P126" s="16">
        <v>6778.33447265625</v>
      </c>
      <c r="Q126" s="16">
        <v>28110.634765625</v>
      </c>
      <c r="R126" s="16">
        <v>1899368.5</v>
      </c>
      <c r="S126" s="16">
        <v>4278079.5</v>
      </c>
      <c r="T126" s="31">
        <f t="shared" si="16"/>
        <v>5407.8310094238277</v>
      </c>
      <c r="U126" s="37"/>
      <c r="X126" s="28">
        <v>1601.0016666666668</v>
      </c>
      <c r="Y126" t="e">
        <f t="shared" si="19"/>
        <v>#DIV/0!</v>
      </c>
      <c r="Z126" t="e">
        <f t="shared" si="21"/>
        <v>#DIV/0!</v>
      </c>
      <c r="AA126" t="e">
        <f t="shared" si="22"/>
        <v>#DIV/0!</v>
      </c>
      <c r="AB126" t="e">
        <f t="shared" si="23"/>
        <v>#DIV/0!</v>
      </c>
      <c r="AC126" t="e">
        <f t="shared" si="24"/>
        <v>#DIV/0!</v>
      </c>
      <c r="AD126" t="e">
        <f t="shared" si="25"/>
        <v>#DIV/0!</v>
      </c>
      <c r="AE126" t="e">
        <f t="shared" si="26"/>
        <v>#DIV/0!</v>
      </c>
      <c r="AF126" t="e">
        <f t="shared" si="27"/>
        <v>#DIV/0!</v>
      </c>
      <c r="AG126" t="e">
        <f t="shared" si="20"/>
        <v>#DIV/0!</v>
      </c>
      <c r="AH126">
        <v>0.47023537316821901</v>
      </c>
      <c r="AI126">
        <v>0.68208333333333337</v>
      </c>
      <c r="AJ126">
        <v>2.095156783201033E-3</v>
      </c>
      <c r="AK126">
        <v>7.5447465651673866E-3</v>
      </c>
      <c r="AL126">
        <v>0.44850054489204266</v>
      </c>
    </row>
    <row r="127" spans="1:38" x14ac:dyDescent="0.25">
      <c r="A127">
        <v>5</v>
      </c>
      <c r="B127" s="5" t="s">
        <v>7</v>
      </c>
      <c r="C127" s="6" t="s">
        <v>5</v>
      </c>
      <c r="D127" s="6" t="s">
        <v>37</v>
      </c>
      <c r="E127" s="28">
        <v>20514.1947</v>
      </c>
      <c r="F127" s="11">
        <v>2</v>
      </c>
      <c r="G127" s="11">
        <v>18</v>
      </c>
      <c r="H127" s="11">
        <f t="shared" si="15"/>
        <v>-16</v>
      </c>
      <c r="I127" s="18">
        <v>1</v>
      </c>
      <c r="J127" s="19">
        <v>-0.76539589442815248</v>
      </c>
      <c r="K127" s="19">
        <v>1.9</v>
      </c>
      <c r="L127" s="6">
        <v>37444708</v>
      </c>
      <c r="M127" s="7">
        <v>3453459.5</v>
      </c>
      <c r="N127" s="7">
        <v>1351169.625</v>
      </c>
      <c r="O127" s="7">
        <v>8106406</v>
      </c>
      <c r="P127" s="7">
        <v>6778.33447265625</v>
      </c>
      <c r="Q127" s="7">
        <v>16542.216796875</v>
      </c>
      <c r="R127" s="7">
        <v>1913938.875</v>
      </c>
      <c r="S127" s="7">
        <v>4195674.5</v>
      </c>
      <c r="T127" s="31">
        <f t="shared" si="16"/>
        <v>5648.8677051269533</v>
      </c>
      <c r="U127" s="37">
        <v>1790.3333333333335</v>
      </c>
      <c r="V127">
        <f t="shared" si="18"/>
        <v>3.1552044526868102</v>
      </c>
      <c r="W127" t="e">
        <f>(V127-V126)/V126</f>
        <v>#DIV/0!</v>
      </c>
      <c r="X127" s="28">
        <v>1926.6649999999997</v>
      </c>
      <c r="Y127">
        <f t="shared" si="19"/>
        <v>2.0914936510891824</v>
      </c>
      <c r="Z127">
        <f t="shared" si="21"/>
        <v>0.19289477750884379</v>
      </c>
      <c r="AA127">
        <f t="shared" si="22"/>
        <v>7.5470282535840622E-2</v>
      </c>
      <c r="AB127">
        <f t="shared" si="23"/>
        <v>0.45278752560044677</v>
      </c>
      <c r="AC127">
        <f t="shared" si="24"/>
        <v>3.7860739932915187E-4</v>
      </c>
      <c r="AD127">
        <f t="shared" si="25"/>
        <v>9.2397412754840807E-4</v>
      </c>
      <c r="AE127">
        <f t="shared" si="26"/>
        <v>0.10690405185254143</v>
      </c>
      <c r="AF127">
        <f t="shared" si="27"/>
        <v>0.23435158257307762</v>
      </c>
      <c r="AG127">
        <f t="shared" si="20"/>
        <v>3.1552044526868102</v>
      </c>
      <c r="AH127">
        <v>0.47023537316821901</v>
      </c>
      <c r="AI127">
        <v>0.68208333333333337</v>
      </c>
      <c r="AJ127">
        <v>2.095156783201033E-3</v>
      </c>
      <c r="AK127">
        <v>7.5447465651673866E-3</v>
      </c>
      <c r="AL127">
        <v>0.44850054489204266</v>
      </c>
    </row>
    <row r="128" spans="1:38" x14ac:dyDescent="0.25">
      <c r="A128">
        <v>5</v>
      </c>
      <c r="B128" s="5" t="s">
        <v>7</v>
      </c>
      <c r="C128" s="6" t="s">
        <v>5</v>
      </c>
      <c r="D128" s="6" t="s">
        <v>38</v>
      </c>
      <c r="E128" s="28">
        <v>20514.1947</v>
      </c>
      <c r="F128" s="11">
        <v>3</v>
      </c>
      <c r="G128" s="11">
        <v>18</v>
      </c>
      <c r="H128" s="11">
        <f t="shared" si="15"/>
        <v>-15</v>
      </c>
      <c r="I128" s="18">
        <v>1</v>
      </c>
      <c r="J128" s="19">
        <v>-0.76539589442815248</v>
      </c>
      <c r="K128" s="19">
        <v>1.9</v>
      </c>
      <c r="L128" s="6">
        <v>37434544</v>
      </c>
      <c r="M128" s="7">
        <v>3355388.25</v>
      </c>
      <c r="N128" s="7">
        <v>1351169.625</v>
      </c>
      <c r="O128" s="7">
        <v>7877870</v>
      </c>
      <c r="P128" s="7">
        <v>6778.33447265625</v>
      </c>
      <c r="Q128" s="7">
        <v>23225.05859375</v>
      </c>
      <c r="R128" s="7">
        <v>1864388.125</v>
      </c>
      <c r="S128" s="7">
        <v>4237108</v>
      </c>
      <c r="T128" s="31">
        <f t="shared" si="16"/>
        <v>5615.0471393066409</v>
      </c>
      <c r="U128" s="37">
        <v>1886</v>
      </c>
      <c r="V128">
        <f t="shared" si="18"/>
        <v>2.9772254185082931</v>
      </c>
      <c r="W128">
        <f t="shared" ref="W128:W156" si="29">(V128-V127)/V127</f>
        <v>-5.6408082850846385E-2</v>
      </c>
      <c r="X128" s="28">
        <v>2252.3283333333329</v>
      </c>
      <c r="Y128">
        <f t="shared" si="19"/>
        <v>1.9848644750795335</v>
      </c>
      <c r="Z128">
        <f t="shared" si="21"/>
        <v>0.17791029957582183</v>
      </c>
      <c r="AA128">
        <f t="shared" si="22"/>
        <v>7.1642079798515376E-2</v>
      </c>
      <c r="AB128">
        <f t="shared" si="23"/>
        <v>0.41770254506892895</v>
      </c>
      <c r="AC128">
        <f t="shared" si="24"/>
        <v>3.5940267617477469E-4</v>
      </c>
      <c r="AD128">
        <f t="shared" si="25"/>
        <v>1.2314453124999999E-3</v>
      </c>
      <c r="AE128">
        <f t="shared" si="26"/>
        <v>9.8854089342523849E-2</v>
      </c>
      <c r="AF128">
        <f t="shared" si="27"/>
        <v>0.22466108165429483</v>
      </c>
      <c r="AG128">
        <f t="shared" si="20"/>
        <v>2.9772254185082927</v>
      </c>
      <c r="AH128">
        <v>0.47023537316821901</v>
      </c>
      <c r="AI128">
        <v>0.68208333333333337</v>
      </c>
      <c r="AJ128">
        <v>2.095156783201033E-3</v>
      </c>
      <c r="AK128">
        <v>7.5447465651673866E-3</v>
      </c>
      <c r="AL128">
        <v>0.44850054489204266</v>
      </c>
    </row>
    <row r="129" spans="1:38" x14ac:dyDescent="0.25">
      <c r="A129">
        <v>5</v>
      </c>
      <c r="B129" s="5" t="s">
        <v>7</v>
      </c>
      <c r="C129" s="6" t="s">
        <v>5</v>
      </c>
      <c r="D129" s="6" t="s">
        <v>39</v>
      </c>
      <c r="E129" s="28">
        <v>20514.1947</v>
      </c>
      <c r="F129" s="11">
        <v>4</v>
      </c>
      <c r="G129" s="11">
        <v>18</v>
      </c>
      <c r="H129" s="11">
        <f t="shared" si="15"/>
        <v>-14</v>
      </c>
      <c r="I129" s="18">
        <v>1</v>
      </c>
      <c r="J129" s="19">
        <v>-0.76539589442815248</v>
      </c>
      <c r="K129" s="19">
        <v>1.9</v>
      </c>
      <c r="L129" s="6">
        <v>35581120</v>
      </c>
      <c r="M129" s="7">
        <v>3501521.25</v>
      </c>
      <c r="N129" s="7">
        <v>1351169.625</v>
      </c>
      <c r="O129" s="7">
        <v>8221006</v>
      </c>
      <c r="P129" s="7">
        <v>6778.33447265625</v>
      </c>
      <c r="Q129" s="7">
        <v>64989.47265625</v>
      </c>
      <c r="R129" s="7">
        <v>1849962.75</v>
      </c>
      <c r="S129" s="7">
        <v>4308418</v>
      </c>
      <c r="T129" s="31">
        <f t="shared" si="16"/>
        <v>5488.4965432128902</v>
      </c>
      <c r="U129" s="37">
        <v>1969.7777777777781</v>
      </c>
      <c r="V129">
        <f t="shared" si="18"/>
        <v>2.7863531638603343</v>
      </c>
      <c r="W129">
        <f t="shared" si="29"/>
        <v>-6.4110783638140961E-2</v>
      </c>
      <c r="X129" s="28">
        <v>2577.9916666666663</v>
      </c>
      <c r="Y129">
        <f t="shared" si="19"/>
        <v>1.8063519855595667</v>
      </c>
      <c r="Z129">
        <f t="shared" si="21"/>
        <v>0.17776224757445847</v>
      </c>
      <c r="AA129">
        <f t="shared" si="22"/>
        <v>6.8595028344990969E-2</v>
      </c>
      <c r="AB129">
        <f t="shared" si="23"/>
        <v>0.41735702842960282</v>
      </c>
      <c r="AC129">
        <f t="shared" si="24"/>
        <v>3.4411670946472384E-4</v>
      </c>
      <c r="AD129">
        <f t="shared" si="25"/>
        <v>3.2993301777202726E-3</v>
      </c>
      <c r="AE129">
        <f t="shared" si="26"/>
        <v>9.3917332750451249E-2</v>
      </c>
      <c r="AF129">
        <f t="shared" si="27"/>
        <v>0.21872609431407941</v>
      </c>
      <c r="AG129">
        <f t="shared" si="20"/>
        <v>2.7863531638603347</v>
      </c>
      <c r="AH129">
        <v>0.47023537316821901</v>
      </c>
      <c r="AI129">
        <v>0.68208333333333337</v>
      </c>
      <c r="AJ129">
        <v>2.095156783201033E-3</v>
      </c>
      <c r="AK129">
        <v>7.5447465651673866E-3</v>
      </c>
      <c r="AL129">
        <v>0.44850054489204266</v>
      </c>
    </row>
    <row r="130" spans="1:38" x14ac:dyDescent="0.25">
      <c r="A130">
        <v>5</v>
      </c>
      <c r="B130" s="5" t="s">
        <v>7</v>
      </c>
      <c r="C130" s="6" t="s">
        <v>5</v>
      </c>
      <c r="D130" s="6" t="s">
        <v>40</v>
      </c>
      <c r="E130" s="28">
        <v>20514.1947</v>
      </c>
      <c r="F130" s="11">
        <v>5</v>
      </c>
      <c r="G130" s="11">
        <v>18</v>
      </c>
      <c r="H130" s="11">
        <f t="shared" ref="H130:H193" si="30">F130-G130</f>
        <v>-13</v>
      </c>
      <c r="I130" s="18">
        <v>1</v>
      </c>
      <c r="J130" s="19">
        <v>-0.76539589442815248</v>
      </c>
      <c r="K130" s="19">
        <v>1.9</v>
      </c>
      <c r="L130" s="6">
        <v>40314776</v>
      </c>
      <c r="M130" s="7">
        <v>3602376</v>
      </c>
      <c r="N130" s="7">
        <v>1351169.625</v>
      </c>
      <c r="O130" s="7">
        <v>8453730</v>
      </c>
      <c r="P130" s="7">
        <v>6778.33447265625</v>
      </c>
      <c r="Q130" s="7">
        <v>89634.953125</v>
      </c>
      <c r="R130" s="7">
        <v>1918137.375</v>
      </c>
      <c r="S130" s="7">
        <v>4452641</v>
      </c>
      <c r="T130" s="31">
        <f t="shared" ref="T130:T193" si="31">SUM(L130:S130)/10000</f>
        <v>6018.9243287597656</v>
      </c>
      <c r="U130" s="37">
        <v>2053.5555555555557</v>
      </c>
      <c r="V130">
        <f t="shared" si="18"/>
        <v>2.9309771106394269</v>
      </c>
      <c r="W130">
        <f t="shared" si="29"/>
        <v>5.1904384790449301E-2</v>
      </c>
      <c r="X130" s="28">
        <v>2903.6549999999993</v>
      </c>
      <c r="Y130">
        <f t="shared" si="19"/>
        <v>1.963169483822097</v>
      </c>
      <c r="Z130">
        <f t="shared" si="21"/>
        <v>0.1754214046098907</v>
      </c>
      <c r="AA130">
        <f t="shared" si="22"/>
        <v>6.5796594659668861E-2</v>
      </c>
      <c r="AB130">
        <f t="shared" si="23"/>
        <v>0.4116630775890055</v>
      </c>
      <c r="AC130">
        <f t="shared" si="24"/>
        <v>3.3007796912621061E-4</v>
      </c>
      <c r="AD130">
        <f t="shared" si="25"/>
        <v>4.3648662380965262E-3</v>
      </c>
      <c r="AE130">
        <f t="shared" si="26"/>
        <v>9.340567241099447E-2</v>
      </c>
      <c r="AF130">
        <f t="shared" si="27"/>
        <v>0.21682593334054753</v>
      </c>
      <c r="AG130">
        <f t="shared" si="20"/>
        <v>2.9309771106394269</v>
      </c>
      <c r="AH130">
        <v>0.47023537316821901</v>
      </c>
      <c r="AI130">
        <v>0.68208333333333337</v>
      </c>
      <c r="AJ130">
        <v>2.095156783201033E-3</v>
      </c>
      <c r="AK130">
        <v>7.5447465651673866E-3</v>
      </c>
      <c r="AL130">
        <v>0.44850054489204266</v>
      </c>
    </row>
    <row r="131" spans="1:38" x14ac:dyDescent="0.25">
      <c r="A131">
        <v>5</v>
      </c>
      <c r="B131" s="5" t="s">
        <v>7</v>
      </c>
      <c r="C131" s="6" t="s">
        <v>5</v>
      </c>
      <c r="D131" s="6" t="s">
        <v>41</v>
      </c>
      <c r="E131" s="28">
        <v>20514.1947</v>
      </c>
      <c r="F131" s="11">
        <v>6</v>
      </c>
      <c r="G131" s="11">
        <v>18</v>
      </c>
      <c r="H131" s="11">
        <f t="shared" si="30"/>
        <v>-12</v>
      </c>
      <c r="I131" s="18">
        <v>1</v>
      </c>
      <c r="J131" s="19">
        <v>-0.76539589442815248</v>
      </c>
      <c r="K131" s="19">
        <v>1.9</v>
      </c>
      <c r="L131" s="6">
        <v>42591812</v>
      </c>
      <c r="M131" s="7">
        <v>3589120.5</v>
      </c>
      <c r="N131" s="7">
        <v>1351169.625</v>
      </c>
      <c r="O131" s="7">
        <v>8423108</v>
      </c>
      <c r="P131" s="7">
        <v>6778.33447265625</v>
      </c>
      <c r="Q131" s="7">
        <v>59152.40234375</v>
      </c>
      <c r="R131" s="7">
        <v>1906348.75</v>
      </c>
      <c r="S131" s="7">
        <v>4398965.5</v>
      </c>
      <c r="T131" s="31">
        <f t="shared" si="31"/>
        <v>6232.6455111816404</v>
      </c>
      <c r="U131" s="37">
        <v>2137.3333333333335</v>
      </c>
      <c r="V131">
        <f t="shared" ref="V131:V194" si="32">T131/U131</f>
        <v>2.9160849241336431</v>
      </c>
      <c r="W131">
        <f t="shared" si="29"/>
        <v>-5.0809630862435938E-3</v>
      </c>
      <c r="X131" s="28">
        <v>3229.3183333333327</v>
      </c>
      <c r="Y131">
        <f t="shared" si="19"/>
        <v>1.9927547723019337</v>
      </c>
      <c r="Z131">
        <f t="shared" si="21"/>
        <v>0.16792516375545849</v>
      </c>
      <c r="AA131">
        <f t="shared" si="22"/>
        <v>6.3217543278228316E-2</v>
      </c>
      <c r="AB131">
        <f t="shared" si="23"/>
        <v>0.39409426076107296</v>
      </c>
      <c r="AC131">
        <f t="shared" si="24"/>
        <v>3.1713979129707965E-4</v>
      </c>
      <c r="AD131">
        <f t="shared" si="25"/>
        <v>2.7675796480232375E-3</v>
      </c>
      <c r="AE131">
        <f t="shared" si="26"/>
        <v>8.9192861041796634E-2</v>
      </c>
      <c r="AF131">
        <f t="shared" si="27"/>
        <v>0.20581560355583278</v>
      </c>
      <c r="AG131">
        <f t="shared" si="20"/>
        <v>2.9160849241336435</v>
      </c>
      <c r="AH131">
        <v>0.47023537316821901</v>
      </c>
      <c r="AI131">
        <v>0.68208333333333337</v>
      </c>
      <c r="AJ131">
        <v>2.095156783201033E-3</v>
      </c>
      <c r="AK131">
        <v>7.5447465651673866E-3</v>
      </c>
      <c r="AL131">
        <v>0.44850054489204266</v>
      </c>
    </row>
    <row r="132" spans="1:38" x14ac:dyDescent="0.25">
      <c r="A132">
        <v>5</v>
      </c>
      <c r="B132" s="5" t="s">
        <v>7</v>
      </c>
      <c r="C132" s="6" t="s">
        <v>5</v>
      </c>
      <c r="D132" s="6" t="s">
        <v>42</v>
      </c>
      <c r="E132" s="28">
        <v>20514.1947</v>
      </c>
      <c r="F132" s="11">
        <v>7</v>
      </c>
      <c r="G132" s="11">
        <v>18</v>
      </c>
      <c r="H132" s="11">
        <f t="shared" si="30"/>
        <v>-11</v>
      </c>
      <c r="I132" s="18">
        <v>1</v>
      </c>
      <c r="J132" s="19">
        <v>-0.76539589442815248</v>
      </c>
      <c r="K132" s="19">
        <v>1.9</v>
      </c>
      <c r="L132" s="6">
        <v>52026344</v>
      </c>
      <c r="M132" s="7">
        <v>3621610.25</v>
      </c>
      <c r="N132" s="7">
        <v>1351818.25</v>
      </c>
      <c r="O132" s="7">
        <v>8499754</v>
      </c>
      <c r="P132" s="7">
        <v>6781.58837890625</v>
      </c>
      <c r="Q132" s="7">
        <v>27878.998046875</v>
      </c>
      <c r="R132" s="7">
        <v>1906237.5</v>
      </c>
      <c r="S132" s="7">
        <v>4246684</v>
      </c>
      <c r="T132" s="31">
        <f t="shared" si="31"/>
        <v>7168.7108586425784</v>
      </c>
      <c r="U132" s="37">
        <v>2221.1111111111113</v>
      </c>
      <c r="V132">
        <f t="shared" si="32"/>
        <v>3.2275336532157679</v>
      </c>
      <c r="W132">
        <f t="shared" si="29"/>
        <v>0.10680372389177074</v>
      </c>
      <c r="X132" s="28">
        <v>3554.9816666666661</v>
      </c>
      <c r="Y132">
        <f t="shared" ref="Y132:Y195" si="33">L132/$U132/10000</f>
        <v>2.3423566583291642</v>
      </c>
      <c r="Z132">
        <f t="shared" si="21"/>
        <v>0.16305398824412204</v>
      </c>
      <c r="AA132">
        <f t="shared" si="22"/>
        <v>6.0862252376188086E-2</v>
      </c>
      <c r="AB132">
        <f t="shared" si="23"/>
        <v>0.3826802701350675</v>
      </c>
      <c r="AC132">
        <f t="shared" si="24"/>
        <v>3.0532413912034138E-4</v>
      </c>
      <c r="AD132">
        <f t="shared" si="25"/>
        <v>1.2551825033610554E-3</v>
      </c>
      <c r="AE132">
        <f t="shared" si="26"/>
        <v>8.5823599299649819E-2</v>
      </c>
      <c r="AF132">
        <f t="shared" si="27"/>
        <v>0.19119637818909452</v>
      </c>
      <c r="AG132">
        <f t="shared" ref="AG132:AG195" si="34">SUM(Y132:AF132)</f>
        <v>3.2275336532157675</v>
      </c>
      <c r="AH132">
        <v>0.47023537316821901</v>
      </c>
      <c r="AI132">
        <v>0.68208333333333337</v>
      </c>
      <c r="AJ132">
        <v>2.095156783201033E-3</v>
      </c>
      <c r="AK132">
        <v>7.5447465651673866E-3</v>
      </c>
      <c r="AL132">
        <v>0.44850054489204266</v>
      </c>
    </row>
    <row r="133" spans="1:38" x14ac:dyDescent="0.25">
      <c r="A133">
        <v>5</v>
      </c>
      <c r="B133" s="5" t="s">
        <v>7</v>
      </c>
      <c r="C133" s="6" t="s">
        <v>5</v>
      </c>
      <c r="D133" s="6" t="s">
        <v>43</v>
      </c>
      <c r="E133" s="28">
        <v>23158.6</v>
      </c>
      <c r="F133" s="11">
        <v>8</v>
      </c>
      <c r="G133" s="11">
        <v>18</v>
      </c>
      <c r="H133" s="18">
        <f t="shared" si="30"/>
        <v>-10</v>
      </c>
      <c r="I133" s="18">
        <v>1</v>
      </c>
      <c r="J133" s="19">
        <v>-0.76539589442815248</v>
      </c>
      <c r="K133" s="19">
        <v>1.9</v>
      </c>
      <c r="L133" s="14">
        <v>36640576</v>
      </c>
      <c r="M133" s="16">
        <v>3355983.25</v>
      </c>
      <c r="N133" s="16">
        <v>1336775.625</v>
      </c>
      <c r="O133" s="16">
        <v>8295033.5</v>
      </c>
      <c r="P133" s="16">
        <v>6932.81982421875</v>
      </c>
      <c r="Q133" s="16">
        <v>14258.1015625</v>
      </c>
      <c r="R133" s="16">
        <v>2037141.625</v>
      </c>
      <c r="S133" s="16">
        <v>3976696.75</v>
      </c>
      <c r="T133" s="31">
        <f t="shared" si="31"/>
        <v>5566.339767138672</v>
      </c>
      <c r="U133" s="37">
        <v>1713.1111111111111</v>
      </c>
      <c r="V133">
        <f t="shared" si="32"/>
        <v>3.2492578741891327</v>
      </c>
      <c r="W133">
        <f t="shared" si="29"/>
        <v>6.7309045567099718E-3</v>
      </c>
      <c r="X133" s="28">
        <v>930.24583333333283</v>
      </c>
      <c r="Y133">
        <f t="shared" si="33"/>
        <v>2.1388324296277079</v>
      </c>
      <c r="Z133">
        <f t="shared" si="21"/>
        <v>0.19589991730444936</v>
      </c>
      <c r="AA133">
        <f t="shared" si="22"/>
        <v>7.8032044525878849E-2</v>
      </c>
      <c r="AB133">
        <f t="shared" si="23"/>
        <v>0.48420872681281618</v>
      </c>
      <c r="AC133">
        <f t="shared" si="24"/>
        <v>4.0469177855732743E-4</v>
      </c>
      <c r="AD133">
        <f t="shared" si="25"/>
        <v>8.3229286588727453E-4</v>
      </c>
      <c r="AE133">
        <f t="shared" si="26"/>
        <v>0.11891474007653392</v>
      </c>
      <c r="AF133">
        <f t="shared" si="27"/>
        <v>0.23213303119730186</v>
      </c>
      <c r="AG133">
        <f t="shared" si="34"/>
        <v>3.2492578741891331</v>
      </c>
      <c r="AH133">
        <v>0.47139291667026506</v>
      </c>
      <c r="AI133">
        <v>0.6859641815910037</v>
      </c>
      <c r="AJ133">
        <v>2.0960297651940333E-3</v>
      </c>
      <c r="AK133">
        <v>7.3775660013990487E-3</v>
      </c>
      <c r="AL133">
        <v>0.47971024338875962</v>
      </c>
    </row>
    <row r="134" spans="1:38" x14ac:dyDescent="0.25">
      <c r="A134">
        <v>5</v>
      </c>
      <c r="B134" s="5" t="s">
        <v>7</v>
      </c>
      <c r="C134" s="6" t="s">
        <v>5</v>
      </c>
      <c r="D134" s="6" t="s">
        <v>44</v>
      </c>
      <c r="E134" s="28">
        <v>23158.6</v>
      </c>
      <c r="F134" s="11">
        <v>9</v>
      </c>
      <c r="G134" s="11">
        <v>18</v>
      </c>
      <c r="H134" s="11">
        <f t="shared" si="30"/>
        <v>-9</v>
      </c>
      <c r="I134" s="18">
        <v>1</v>
      </c>
      <c r="J134" s="19">
        <v>-0.76539589442815248</v>
      </c>
      <c r="K134" s="19">
        <v>1.9</v>
      </c>
      <c r="L134" s="6">
        <v>36460144</v>
      </c>
      <c r="M134" s="7">
        <v>3288842.5</v>
      </c>
      <c r="N134" s="7">
        <v>1336626.25</v>
      </c>
      <c r="O134" s="7">
        <v>8123413</v>
      </c>
      <c r="P134" s="7">
        <v>6932.81982421875</v>
      </c>
      <c r="Q134" s="7">
        <v>20138.177734375</v>
      </c>
      <c r="R134" s="7">
        <v>1984661.875</v>
      </c>
      <c r="S134" s="7">
        <v>4028932.75</v>
      </c>
      <c r="T134" s="31">
        <f t="shared" si="31"/>
        <v>5524.9691372558591</v>
      </c>
      <c r="U134" s="37">
        <v>1748.3333333333333</v>
      </c>
      <c r="V134">
        <f t="shared" si="32"/>
        <v>3.1601348735495858</v>
      </c>
      <c r="W134">
        <f t="shared" si="29"/>
        <v>-2.7428724985944054E-2</v>
      </c>
      <c r="X134" s="28">
        <v>1115.4874999999997</v>
      </c>
      <c r="Y134">
        <f t="shared" si="33"/>
        <v>2.0854229170638705</v>
      </c>
      <c r="Z134">
        <f t="shared" si="21"/>
        <v>0.18811301239275502</v>
      </c>
      <c r="AA134">
        <f t="shared" si="22"/>
        <v>7.6451453765490937E-2</v>
      </c>
      <c r="AB134">
        <f t="shared" si="23"/>
        <v>0.46463754051477602</v>
      </c>
      <c r="AC134">
        <f t="shared" si="24"/>
        <v>3.9653878880183509E-4</v>
      </c>
      <c r="AD134">
        <f t="shared" si="25"/>
        <v>1.1518500134056245E-3</v>
      </c>
      <c r="AE134">
        <f t="shared" si="26"/>
        <v>0.11351736177311725</v>
      </c>
      <c r="AF134">
        <f t="shared" si="27"/>
        <v>0.23044419923736892</v>
      </c>
      <c r="AG134">
        <f t="shared" si="34"/>
        <v>3.1601348735495858</v>
      </c>
      <c r="AH134">
        <v>0.47139291667026506</v>
      </c>
      <c r="AI134">
        <v>0.6859641815910037</v>
      </c>
      <c r="AJ134">
        <v>2.0960297651940333E-3</v>
      </c>
      <c r="AK134">
        <v>7.3775660013990487E-3</v>
      </c>
      <c r="AL134">
        <v>0.47971024338875962</v>
      </c>
    </row>
    <row r="135" spans="1:38" x14ac:dyDescent="0.25">
      <c r="A135">
        <v>5</v>
      </c>
      <c r="B135" s="5" t="s">
        <v>7</v>
      </c>
      <c r="C135" s="6" t="s">
        <v>5</v>
      </c>
      <c r="D135" s="6" t="s">
        <v>45</v>
      </c>
      <c r="E135" s="28">
        <v>23158.6</v>
      </c>
      <c r="F135" s="11">
        <v>10</v>
      </c>
      <c r="G135" s="11">
        <v>18</v>
      </c>
      <c r="H135" s="11">
        <f t="shared" si="30"/>
        <v>-8</v>
      </c>
      <c r="I135" s="18">
        <v>1</v>
      </c>
      <c r="J135" s="19">
        <v>-0.76539589442815248</v>
      </c>
      <c r="K135" s="19">
        <v>1.9</v>
      </c>
      <c r="L135" s="6">
        <v>41467544</v>
      </c>
      <c r="M135" s="7">
        <v>3414473</v>
      </c>
      <c r="N135" s="7">
        <v>1336299.625</v>
      </c>
      <c r="O135" s="7">
        <v>8437371</v>
      </c>
      <c r="P135" s="7">
        <v>6932.81982421875</v>
      </c>
      <c r="Q135" s="7">
        <v>57475.76953125</v>
      </c>
      <c r="R135" s="7">
        <v>1966911.125</v>
      </c>
      <c r="S135" s="7">
        <v>4112592.75</v>
      </c>
      <c r="T135" s="31">
        <f t="shared" si="31"/>
        <v>6079.9600089355472</v>
      </c>
      <c r="U135" s="37">
        <v>1783.5555555555554</v>
      </c>
      <c r="V135">
        <f t="shared" si="32"/>
        <v>3.4088985846262103</v>
      </c>
      <c r="W135">
        <f t="shared" si="29"/>
        <v>7.8719333519206264E-2</v>
      </c>
      <c r="X135" s="28">
        <v>1300.7291666666665</v>
      </c>
      <c r="Y135">
        <f t="shared" si="33"/>
        <v>2.324993122352355</v>
      </c>
      <c r="Z135">
        <f t="shared" si="21"/>
        <v>0.19144192000996763</v>
      </c>
      <c r="AA135">
        <f t="shared" si="22"/>
        <v>7.492335300897085E-2</v>
      </c>
      <c r="AB135">
        <f t="shared" si="23"/>
        <v>0.47306465860951913</v>
      </c>
      <c r="AC135">
        <f t="shared" si="24"/>
        <v>3.8870781471448264E-4</v>
      </c>
      <c r="AD135">
        <f t="shared" si="25"/>
        <v>3.2225387850812986E-3</v>
      </c>
      <c r="AE135">
        <f t="shared" si="26"/>
        <v>0.11028033967729879</v>
      </c>
      <c r="AF135">
        <f t="shared" si="27"/>
        <v>0.23058394436830304</v>
      </c>
      <c r="AG135">
        <f t="shared" si="34"/>
        <v>3.4088985846262103</v>
      </c>
      <c r="AH135">
        <v>0.47139291667026506</v>
      </c>
      <c r="AI135">
        <v>0.6859641815910037</v>
      </c>
      <c r="AJ135">
        <v>2.0960297651940333E-3</v>
      </c>
      <c r="AK135">
        <v>7.3775660013990487E-3</v>
      </c>
      <c r="AL135">
        <v>0.47971024338875962</v>
      </c>
    </row>
    <row r="136" spans="1:38" x14ac:dyDescent="0.25">
      <c r="A136">
        <v>5</v>
      </c>
      <c r="B136" s="5" t="s">
        <v>7</v>
      </c>
      <c r="C136" s="6" t="s">
        <v>5</v>
      </c>
      <c r="D136" s="6" t="s">
        <v>46</v>
      </c>
      <c r="E136" s="28">
        <v>23158.6</v>
      </c>
      <c r="F136" s="11">
        <v>11</v>
      </c>
      <c r="G136" s="11">
        <v>18</v>
      </c>
      <c r="H136" s="11">
        <f t="shared" si="30"/>
        <v>-7</v>
      </c>
      <c r="I136" s="18">
        <v>1</v>
      </c>
      <c r="J136" s="19">
        <v>-0.76539589442815248</v>
      </c>
      <c r="K136" s="19">
        <v>1.9</v>
      </c>
      <c r="L136" s="6">
        <v>37513208</v>
      </c>
      <c r="M136" s="7">
        <v>3470045</v>
      </c>
      <c r="N136" s="7">
        <v>1335944.75</v>
      </c>
      <c r="O136" s="7">
        <v>8578646</v>
      </c>
      <c r="P136" s="7">
        <v>6932.81982421875</v>
      </c>
      <c r="Q136" s="7">
        <v>79224.109375</v>
      </c>
      <c r="R136" s="7">
        <v>2034517</v>
      </c>
      <c r="S136" s="7">
        <v>4251053</v>
      </c>
      <c r="T136" s="31">
        <f t="shared" si="31"/>
        <v>5726.9570679199214</v>
      </c>
      <c r="U136" s="37">
        <v>1818.7777777777776</v>
      </c>
      <c r="V136">
        <f t="shared" si="32"/>
        <v>3.148794282563339</v>
      </c>
      <c r="W136">
        <f t="shared" si="29"/>
        <v>-7.6301566504769464E-2</v>
      </c>
      <c r="X136" s="28">
        <v>1485.9708333333333</v>
      </c>
      <c r="Y136">
        <f t="shared" si="33"/>
        <v>2.0625503818192925</v>
      </c>
      <c r="Z136">
        <f t="shared" si="21"/>
        <v>0.19078993829800234</v>
      </c>
      <c r="AA136">
        <f t="shared" si="22"/>
        <v>7.3452885026574627E-2</v>
      </c>
      <c r="AB136">
        <f t="shared" si="23"/>
        <v>0.4716709267517869</v>
      </c>
      <c r="AC136">
        <f t="shared" si="24"/>
        <v>3.811801479502032E-4</v>
      </c>
      <c r="AD136">
        <f t="shared" si="25"/>
        <v>4.3558982489767242E-3</v>
      </c>
      <c r="AE136">
        <f t="shared" si="26"/>
        <v>0.11186176919787404</v>
      </c>
      <c r="AF136">
        <f t="shared" si="27"/>
        <v>0.2337313030728817</v>
      </c>
      <c r="AG136">
        <f t="shared" si="34"/>
        <v>3.1487942825633395</v>
      </c>
      <c r="AH136">
        <v>0.47139291667026506</v>
      </c>
      <c r="AI136">
        <v>0.6859641815910037</v>
      </c>
      <c r="AJ136">
        <v>2.0960297651940333E-3</v>
      </c>
      <c r="AK136">
        <v>7.3775660013990487E-3</v>
      </c>
      <c r="AL136">
        <v>0.47971024338875962</v>
      </c>
    </row>
    <row r="137" spans="1:38" x14ac:dyDescent="0.25">
      <c r="A137">
        <v>5</v>
      </c>
      <c r="B137" s="5" t="s">
        <v>7</v>
      </c>
      <c r="C137" s="6" t="s">
        <v>5</v>
      </c>
      <c r="D137" s="6" t="s">
        <v>47</v>
      </c>
      <c r="E137" s="28">
        <v>23158.6</v>
      </c>
      <c r="F137" s="11">
        <v>12</v>
      </c>
      <c r="G137" s="11">
        <v>18</v>
      </c>
      <c r="H137" s="11">
        <f t="shared" si="30"/>
        <v>-6</v>
      </c>
      <c r="I137" s="18">
        <v>1</v>
      </c>
      <c r="J137" s="19">
        <v>-0.76539589442815248</v>
      </c>
      <c r="K137" s="19">
        <v>1.9</v>
      </c>
      <c r="L137" s="6">
        <v>37266212</v>
      </c>
      <c r="M137" s="7">
        <v>3433690.75</v>
      </c>
      <c r="N137" s="7">
        <v>1335678.375</v>
      </c>
      <c r="O137" s="7">
        <v>8492356</v>
      </c>
      <c r="P137" s="7">
        <v>6932.81982421875</v>
      </c>
      <c r="Q137" s="7">
        <v>52153.80078125</v>
      </c>
      <c r="R137" s="7">
        <v>2018229.875</v>
      </c>
      <c r="S137" s="7">
        <v>4220353</v>
      </c>
      <c r="T137" s="31">
        <f t="shared" si="31"/>
        <v>5682.5606620605467</v>
      </c>
      <c r="U137" s="37">
        <v>1854</v>
      </c>
      <c r="V137">
        <f t="shared" si="32"/>
        <v>3.06502732581475</v>
      </c>
      <c r="W137">
        <f t="shared" si="29"/>
        <v>-2.6602867393546226E-2</v>
      </c>
      <c r="X137" s="28">
        <v>1671.2125000000001</v>
      </c>
      <c r="Y137">
        <f t="shared" si="33"/>
        <v>2.0100437971952534</v>
      </c>
      <c r="Z137">
        <f t="shared" si="21"/>
        <v>0.18520446332254584</v>
      </c>
      <c r="AA137">
        <f t="shared" si="22"/>
        <v>7.2043062297734634E-2</v>
      </c>
      <c r="AB137">
        <f t="shared" si="23"/>
        <v>0.458055879180151</v>
      </c>
      <c r="AC137">
        <f t="shared" si="24"/>
        <v>3.739385018456715E-4</v>
      </c>
      <c r="AD137">
        <f t="shared" si="25"/>
        <v>2.8130421133360302E-3</v>
      </c>
      <c r="AE137">
        <f t="shared" si="26"/>
        <v>0.10885813781014024</v>
      </c>
      <c r="AF137">
        <f t="shared" si="27"/>
        <v>0.22763500539374326</v>
      </c>
      <c r="AG137">
        <f t="shared" si="34"/>
        <v>3.0650273258147509</v>
      </c>
      <c r="AH137">
        <v>0.47139291667026506</v>
      </c>
      <c r="AI137">
        <v>0.6859641815910037</v>
      </c>
      <c r="AJ137">
        <v>2.0960297651940333E-3</v>
      </c>
      <c r="AK137">
        <v>7.3775660013990487E-3</v>
      </c>
      <c r="AL137">
        <v>0.47971024338875962</v>
      </c>
    </row>
    <row r="138" spans="1:38" s="20" customFormat="1" x14ac:dyDescent="0.25">
      <c r="A138">
        <v>5</v>
      </c>
      <c r="B138" s="5" t="s">
        <v>7</v>
      </c>
      <c r="C138" s="6" t="s">
        <v>5</v>
      </c>
      <c r="D138" s="6" t="s">
        <v>48</v>
      </c>
      <c r="E138" s="28">
        <v>23158.6</v>
      </c>
      <c r="F138" s="11">
        <v>13</v>
      </c>
      <c r="G138" s="11">
        <v>18</v>
      </c>
      <c r="H138" s="11">
        <f t="shared" si="30"/>
        <v>-5</v>
      </c>
      <c r="I138" s="18">
        <v>1</v>
      </c>
      <c r="J138" s="19">
        <v>-0.76539589442815248</v>
      </c>
      <c r="K138" s="19">
        <v>1.9</v>
      </c>
      <c r="L138" s="6">
        <v>39028708</v>
      </c>
      <c r="M138" s="7">
        <v>3452366.75</v>
      </c>
      <c r="N138" s="7">
        <v>1335531.5</v>
      </c>
      <c r="O138" s="7">
        <v>8540351</v>
      </c>
      <c r="P138" s="7">
        <v>6932.81982421875</v>
      </c>
      <c r="Q138" s="7">
        <v>25117.9375</v>
      </c>
      <c r="R138" s="7">
        <v>2014135.625</v>
      </c>
      <c r="S138" s="7">
        <v>4100997.75</v>
      </c>
      <c r="T138" s="31">
        <f t="shared" si="31"/>
        <v>5850.4141382324215</v>
      </c>
      <c r="U138" s="37">
        <v>1895.3333333333333</v>
      </c>
      <c r="V138">
        <f t="shared" si="32"/>
        <v>3.0867468193276935</v>
      </c>
      <c r="W138">
        <f t="shared" si="29"/>
        <v>7.08623160714234E-3</v>
      </c>
      <c r="X138" s="28">
        <v>1856.4541666666669</v>
      </c>
      <c r="Y138">
        <f t="shared" si="33"/>
        <v>2.0592002110446712</v>
      </c>
      <c r="Z138">
        <f t="shared" si="21"/>
        <v>0.18215090133661627</v>
      </c>
      <c r="AA138">
        <f t="shared" si="22"/>
        <v>7.0464201547660921E-2</v>
      </c>
      <c r="AB138">
        <f t="shared" si="23"/>
        <v>0.45059889201547665</v>
      </c>
      <c r="AC138">
        <f t="shared" si="24"/>
        <v>3.6578366993767587E-4</v>
      </c>
      <c r="AD138">
        <f t="shared" si="25"/>
        <v>1.325251714737953E-3</v>
      </c>
      <c r="AE138">
        <f t="shared" si="26"/>
        <v>0.1062681476433345</v>
      </c>
      <c r="AF138">
        <f t="shared" si="27"/>
        <v>0.21637343035525855</v>
      </c>
      <c r="AG138">
        <f t="shared" si="34"/>
        <v>3.0867468193276935</v>
      </c>
      <c r="AH138" s="20">
        <v>0.47139291667026506</v>
      </c>
      <c r="AI138" s="20">
        <v>0.6859641815910037</v>
      </c>
      <c r="AJ138" s="20">
        <v>2.0960297651940333E-3</v>
      </c>
      <c r="AK138" s="20">
        <v>7.3775660013990487E-3</v>
      </c>
      <c r="AL138" s="20">
        <v>0.47971024338875962</v>
      </c>
    </row>
    <row r="139" spans="1:38" x14ac:dyDescent="0.25">
      <c r="A139">
        <v>5</v>
      </c>
      <c r="B139" s="5" t="s">
        <v>7</v>
      </c>
      <c r="C139" s="6" t="s">
        <v>5</v>
      </c>
      <c r="D139" s="6" t="s">
        <v>49</v>
      </c>
      <c r="E139" s="28">
        <v>23158.6</v>
      </c>
      <c r="F139" s="11">
        <v>14</v>
      </c>
      <c r="G139" s="11">
        <v>18</v>
      </c>
      <c r="H139" s="11">
        <f t="shared" si="30"/>
        <v>-4</v>
      </c>
      <c r="I139" s="18">
        <v>1</v>
      </c>
      <c r="J139" s="19">
        <v>-0.76539589442815248</v>
      </c>
      <c r="K139" s="19">
        <v>1.9</v>
      </c>
      <c r="L139" s="6">
        <v>43900160</v>
      </c>
      <c r="M139" s="7">
        <v>3315389</v>
      </c>
      <c r="N139" s="7">
        <v>1335514.125</v>
      </c>
      <c r="O139" s="7">
        <v>8200208.5</v>
      </c>
      <c r="P139" s="7">
        <v>6932.81982421875</v>
      </c>
      <c r="Q139" s="7">
        <v>14782.65234375</v>
      </c>
      <c r="R139" s="7">
        <v>2029228.625</v>
      </c>
      <c r="S139" s="7">
        <v>4022121.25</v>
      </c>
      <c r="T139" s="31">
        <f t="shared" si="31"/>
        <v>6282.4336972167966</v>
      </c>
      <c r="U139" s="37">
        <v>1936.6666666666667</v>
      </c>
      <c r="V139">
        <f t="shared" si="32"/>
        <v>3.2439416680981736</v>
      </c>
      <c r="W139">
        <f t="shared" si="29"/>
        <v>5.0925734428947392E-2</v>
      </c>
      <c r="X139" s="28">
        <v>2041.6958333333337</v>
      </c>
      <c r="Y139">
        <f t="shared" si="33"/>
        <v>2.2667896729776245</v>
      </c>
      <c r="Z139">
        <f t="shared" si="21"/>
        <v>0.17119048192771083</v>
      </c>
      <c r="AA139">
        <f t="shared" si="22"/>
        <v>6.8959421256454392E-2</v>
      </c>
      <c r="AB139">
        <f t="shared" si="23"/>
        <v>0.4234186833046471</v>
      </c>
      <c r="AC139">
        <f t="shared" si="24"/>
        <v>3.579769272402108E-4</v>
      </c>
      <c r="AD139">
        <f t="shared" si="25"/>
        <v>7.6330390759466436E-4</v>
      </c>
      <c r="AE139">
        <f t="shared" si="26"/>
        <v>0.10477944707401032</v>
      </c>
      <c r="AF139">
        <f t="shared" si="27"/>
        <v>0.20768268072289156</v>
      </c>
      <c r="AG139">
        <f t="shared" si="34"/>
        <v>3.2439416680981736</v>
      </c>
      <c r="AH139">
        <v>0.47139291667026506</v>
      </c>
      <c r="AI139">
        <v>0.6859641815910037</v>
      </c>
      <c r="AJ139">
        <v>2.0960297651940333E-3</v>
      </c>
      <c r="AK139">
        <v>7.3775660013990487E-3</v>
      </c>
      <c r="AL139">
        <v>0.47971024338875962</v>
      </c>
    </row>
    <row r="140" spans="1:38" x14ac:dyDescent="0.25">
      <c r="A140">
        <v>5</v>
      </c>
      <c r="B140" s="5" t="s">
        <v>7</v>
      </c>
      <c r="C140" s="6" t="s">
        <v>5</v>
      </c>
      <c r="D140" s="6" t="s">
        <v>50</v>
      </c>
      <c r="E140" s="28">
        <v>23158.6</v>
      </c>
      <c r="F140" s="11">
        <v>15</v>
      </c>
      <c r="G140" s="11">
        <v>18</v>
      </c>
      <c r="H140" s="11">
        <f t="shared" si="30"/>
        <v>-3</v>
      </c>
      <c r="I140" s="18">
        <v>1</v>
      </c>
      <c r="J140" s="19">
        <v>-0.76539589442815248</v>
      </c>
      <c r="K140" s="19">
        <v>1.9</v>
      </c>
      <c r="L140" s="6">
        <v>46713980</v>
      </c>
      <c r="M140" s="7">
        <v>3221409</v>
      </c>
      <c r="N140" s="7">
        <v>1335566.625</v>
      </c>
      <c r="O140" s="7">
        <v>7969220</v>
      </c>
      <c r="P140" s="7">
        <v>6932.81982421875</v>
      </c>
      <c r="Q140" s="7">
        <v>20754.259765625</v>
      </c>
      <c r="R140" s="7">
        <v>1977920.625</v>
      </c>
      <c r="S140" s="7">
        <v>4061780.25</v>
      </c>
      <c r="T140" s="31">
        <f t="shared" si="31"/>
        <v>6530.7563579589842</v>
      </c>
      <c r="U140" s="37">
        <v>1978</v>
      </c>
      <c r="V140">
        <f t="shared" si="32"/>
        <v>3.3016968442664227</v>
      </c>
      <c r="W140">
        <f t="shared" si="29"/>
        <v>1.7804011932837632E-2</v>
      </c>
      <c r="X140" s="28">
        <v>2226.9375000000005</v>
      </c>
      <c r="Y140">
        <f t="shared" si="33"/>
        <v>2.3616774519716883</v>
      </c>
      <c r="Z140">
        <f t="shared" si="21"/>
        <v>0.16286193124368048</v>
      </c>
      <c r="AA140">
        <f t="shared" si="22"/>
        <v>6.7521062942366025E-2</v>
      </c>
      <c r="AB140">
        <f t="shared" si="23"/>
        <v>0.40289282103134477</v>
      </c>
      <c r="AC140">
        <f t="shared" si="24"/>
        <v>3.5049645218497219E-4</v>
      </c>
      <c r="AD140">
        <f t="shared" si="25"/>
        <v>1.0492547909820528E-3</v>
      </c>
      <c r="AE140">
        <f t="shared" si="26"/>
        <v>9.999598710819009E-2</v>
      </c>
      <c r="AF140">
        <f t="shared" si="27"/>
        <v>0.20534783872598586</v>
      </c>
      <c r="AG140">
        <f t="shared" si="34"/>
        <v>3.3016968442664223</v>
      </c>
      <c r="AH140">
        <v>0.47139291667026506</v>
      </c>
      <c r="AI140">
        <v>0.6859641815910037</v>
      </c>
      <c r="AJ140">
        <v>2.0960297651940333E-3</v>
      </c>
      <c r="AK140">
        <v>7.3775660013990487E-3</v>
      </c>
      <c r="AL140">
        <v>0.47971024338875962</v>
      </c>
    </row>
    <row r="141" spans="1:38" x14ac:dyDescent="0.25">
      <c r="A141">
        <v>5</v>
      </c>
      <c r="B141" s="5" t="s">
        <v>7</v>
      </c>
      <c r="C141" s="6" t="s">
        <v>5</v>
      </c>
      <c r="D141" s="6" t="s">
        <v>51</v>
      </c>
      <c r="E141" s="28">
        <v>23158.6</v>
      </c>
      <c r="F141" s="11">
        <v>16</v>
      </c>
      <c r="G141" s="11">
        <v>18</v>
      </c>
      <c r="H141" s="11">
        <f t="shared" si="30"/>
        <v>-2</v>
      </c>
      <c r="I141" s="18">
        <v>1</v>
      </c>
      <c r="J141" s="19">
        <v>-0.76539589442815248</v>
      </c>
      <c r="K141" s="19">
        <v>1.9</v>
      </c>
      <c r="L141" s="6">
        <v>40783508</v>
      </c>
      <c r="M141" s="7">
        <v>3361559.75</v>
      </c>
      <c r="N141" s="7">
        <v>1335664.125</v>
      </c>
      <c r="O141" s="7">
        <v>8316197</v>
      </c>
      <c r="P141" s="7">
        <v>6932.81982421875</v>
      </c>
      <c r="Q141" s="7">
        <v>58071.24609375</v>
      </c>
      <c r="R141" s="7">
        <v>1962971.375</v>
      </c>
      <c r="S141" s="7">
        <v>4130036.5</v>
      </c>
      <c r="T141" s="31">
        <f t="shared" si="31"/>
        <v>5995.4940815917971</v>
      </c>
      <c r="U141" s="37">
        <v>2102.5555555555552</v>
      </c>
      <c r="V141">
        <f t="shared" si="32"/>
        <v>2.8515270694036983</v>
      </c>
      <c r="W141">
        <f t="shared" si="29"/>
        <v>-0.13634497535546575</v>
      </c>
      <c r="X141" s="28">
        <v>2412.1791666666672</v>
      </c>
      <c r="Y141">
        <f t="shared" si="33"/>
        <v>1.9397113142736355</v>
      </c>
      <c r="Z141">
        <f t="shared" si="21"/>
        <v>0.15987971119801303</v>
      </c>
      <c r="AA141">
        <f t="shared" si="22"/>
        <v>6.3525747106695563E-2</v>
      </c>
      <c r="AB141">
        <f t="shared" si="23"/>
        <v>0.39552805052053064</v>
      </c>
      <c r="AC141">
        <f t="shared" si="24"/>
        <v>3.2973301494461111E-4</v>
      </c>
      <c r="AD141">
        <f t="shared" si="25"/>
        <v>2.7619363464765102E-3</v>
      </c>
      <c r="AE141">
        <f t="shared" si="26"/>
        <v>9.3361213206151261E-2</v>
      </c>
      <c r="AF141">
        <f t="shared" si="27"/>
        <v>0.19642936373725098</v>
      </c>
      <c r="AG141">
        <f t="shared" si="34"/>
        <v>2.8515270694036978</v>
      </c>
      <c r="AH141">
        <v>0.47139291667026506</v>
      </c>
      <c r="AI141">
        <v>0.6859641815910037</v>
      </c>
      <c r="AJ141">
        <v>2.0960297651940333E-3</v>
      </c>
      <c r="AK141">
        <v>7.3775660013990487E-3</v>
      </c>
      <c r="AL141">
        <v>0.47971024338875962</v>
      </c>
    </row>
    <row r="142" spans="1:38" x14ac:dyDescent="0.25">
      <c r="A142">
        <v>5</v>
      </c>
      <c r="B142" s="5" t="s">
        <v>7</v>
      </c>
      <c r="C142" s="6" t="s">
        <v>5</v>
      </c>
      <c r="D142" s="6" t="s">
        <v>52</v>
      </c>
      <c r="E142" s="28">
        <v>23158.6</v>
      </c>
      <c r="F142" s="11">
        <v>17</v>
      </c>
      <c r="G142" s="11">
        <v>18</v>
      </c>
      <c r="H142" s="11">
        <f t="shared" si="30"/>
        <v>-1</v>
      </c>
      <c r="I142" s="18">
        <v>1</v>
      </c>
      <c r="J142" s="19">
        <v>-0.76539589442815248</v>
      </c>
      <c r="K142" s="19">
        <v>1.9</v>
      </c>
      <c r="L142" s="6">
        <v>40146068</v>
      </c>
      <c r="M142" s="7">
        <v>3458141.5</v>
      </c>
      <c r="N142" s="7">
        <v>1336101.125</v>
      </c>
      <c r="O142" s="7">
        <v>8551303</v>
      </c>
      <c r="P142" s="7">
        <v>6932.81982421875</v>
      </c>
      <c r="Q142" s="7">
        <v>80093.3671875</v>
      </c>
      <c r="R142" s="7">
        <v>2033540.125</v>
      </c>
      <c r="S142" s="7">
        <v>4268085.5</v>
      </c>
      <c r="T142" s="31">
        <f t="shared" si="31"/>
        <v>5988.0265437011722</v>
      </c>
      <c r="U142" s="37">
        <v>2227.1111111111109</v>
      </c>
      <c r="V142">
        <f t="shared" si="32"/>
        <v>2.688696811679832</v>
      </c>
      <c r="W142">
        <f t="shared" si="29"/>
        <v>-5.7102827278408687E-2</v>
      </c>
      <c r="X142" s="28">
        <v>2597.420833333334</v>
      </c>
      <c r="Y142">
        <f t="shared" si="33"/>
        <v>1.802607323887448</v>
      </c>
      <c r="Z142">
        <f t="shared" si="21"/>
        <v>0.15527476302135304</v>
      </c>
      <c r="AA142">
        <f t="shared" si="22"/>
        <v>5.9992566977649174E-2</v>
      </c>
      <c r="AB142">
        <f t="shared" si="23"/>
        <v>0.38396391438834565</v>
      </c>
      <c r="AC142">
        <f t="shared" si="24"/>
        <v>3.112920495807661E-4</v>
      </c>
      <c r="AD142">
        <f t="shared" si="25"/>
        <v>3.5962896861280185E-3</v>
      </c>
      <c r="AE142">
        <f t="shared" si="26"/>
        <v>9.1308427085412106E-2</v>
      </c>
      <c r="AF142">
        <f t="shared" si="27"/>
        <v>0.19164223458391541</v>
      </c>
      <c r="AG142">
        <f t="shared" si="34"/>
        <v>2.688696811679832</v>
      </c>
      <c r="AH142">
        <v>0.47139291667026506</v>
      </c>
      <c r="AI142">
        <v>0.6859641815910037</v>
      </c>
      <c r="AJ142">
        <v>2.0960297651940333E-3</v>
      </c>
      <c r="AK142">
        <v>7.3775660013990487E-3</v>
      </c>
      <c r="AL142">
        <v>0.47971024338875962</v>
      </c>
    </row>
    <row r="143" spans="1:38" x14ac:dyDescent="0.25">
      <c r="A143">
        <v>5</v>
      </c>
      <c r="B143" s="21" t="s">
        <v>7</v>
      </c>
      <c r="C143" s="22" t="s">
        <v>5</v>
      </c>
      <c r="D143" s="22" t="s">
        <v>53</v>
      </c>
      <c r="E143" s="28">
        <v>23158.6</v>
      </c>
      <c r="F143" s="22">
        <v>18</v>
      </c>
      <c r="G143" s="22">
        <v>18</v>
      </c>
      <c r="H143" s="22">
        <f t="shared" si="30"/>
        <v>0</v>
      </c>
      <c r="I143" s="18">
        <v>1</v>
      </c>
      <c r="J143" s="19">
        <v>-0.76539589442815248</v>
      </c>
      <c r="K143" s="19">
        <v>1.9</v>
      </c>
      <c r="L143" s="22">
        <v>42873268</v>
      </c>
      <c r="M143" s="23">
        <v>3445252.25</v>
      </c>
      <c r="N143" s="23">
        <v>1336432.375</v>
      </c>
      <c r="O143" s="23">
        <v>8520148</v>
      </c>
      <c r="P143" s="23">
        <v>6932.81982421875</v>
      </c>
      <c r="Q143" s="23">
        <v>52856.09765625</v>
      </c>
      <c r="R143" s="23">
        <v>2021313.125</v>
      </c>
      <c r="S143" s="23">
        <v>4216706</v>
      </c>
      <c r="T143" s="32">
        <f t="shared" si="31"/>
        <v>6247.2908667480469</v>
      </c>
      <c r="U143" s="37">
        <v>2351.6666666666665</v>
      </c>
      <c r="V143">
        <f t="shared" si="32"/>
        <v>2.6565375762217069</v>
      </c>
      <c r="W143">
        <f t="shared" si="29"/>
        <v>-1.1960900655820967E-2</v>
      </c>
      <c r="X143" s="28">
        <v>2782.6625000000008</v>
      </c>
      <c r="Y143">
        <f t="shared" si="33"/>
        <v>1.8231014032600994</v>
      </c>
      <c r="Z143">
        <f t="shared" si="21"/>
        <v>0.14650257618710136</v>
      </c>
      <c r="AA143">
        <f t="shared" si="22"/>
        <v>5.6829158398299079E-2</v>
      </c>
      <c r="AB143">
        <f t="shared" si="23"/>
        <v>0.36230253720765415</v>
      </c>
      <c r="AC143">
        <f t="shared" si="24"/>
        <v>2.9480452831546773E-4</v>
      </c>
      <c r="AD143">
        <f t="shared" si="25"/>
        <v>2.2476016012579732E-3</v>
      </c>
      <c r="AE143">
        <f t="shared" si="26"/>
        <v>8.5952365343727855E-2</v>
      </c>
      <c r="AF143">
        <f t="shared" si="27"/>
        <v>0.17930712969525162</v>
      </c>
      <c r="AG143">
        <f t="shared" si="34"/>
        <v>2.6565375762217065</v>
      </c>
      <c r="AH143">
        <v>0.47139291667026506</v>
      </c>
      <c r="AI143">
        <v>0.6859641815910037</v>
      </c>
      <c r="AJ143">
        <v>2.0960297651940333E-3</v>
      </c>
      <c r="AK143">
        <v>7.3775660013990487E-3</v>
      </c>
      <c r="AL143">
        <v>0.47971024338875962</v>
      </c>
    </row>
    <row r="144" spans="1:38" x14ac:dyDescent="0.25">
      <c r="A144">
        <v>5</v>
      </c>
      <c r="B144" s="5" t="s">
        <v>7</v>
      </c>
      <c r="C144" s="6" t="s">
        <v>5</v>
      </c>
      <c r="D144" s="6" t="s">
        <v>54</v>
      </c>
      <c r="E144" s="28">
        <v>23158.6</v>
      </c>
      <c r="F144" s="11">
        <v>19</v>
      </c>
      <c r="G144" s="11">
        <v>18</v>
      </c>
      <c r="H144" s="11">
        <f t="shared" si="30"/>
        <v>1</v>
      </c>
      <c r="I144" s="18">
        <v>1</v>
      </c>
      <c r="J144" s="19">
        <v>-0.76539589442815248</v>
      </c>
      <c r="K144" s="19">
        <v>1.9</v>
      </c>
      <c r="L144" s="6">
        <v>47820032</v>
      </c>
      <c r="M144" s="7">
        <v>3476365</v>
      </c>
      <c r="N144" s="7">
        <v>1337485.625</v>
      </c>
      <c r="O144" s="7">
        <v>8597585</v>
      </c>
      <c r="P144" s="7">
        <v>6936.1474609375</v>
      </c>
      <c r="Q144" s="7">
        <v>24909.443359375</v>
      </c>
      <c r="R144" s="7">
        <v>2021202.75</v>
      </c>
      <c r="S144" s="7">
        <v>4070943.5</v>
      </c>
      <c r="T144" s="31">
        <f t="shared" si="31"/>
        <v>6735.5459465820313</v>
      </c>
      <c r="U144" s="37">
        <v>2476.2222222222222</v>
      </c>
      <c r="V144">
        <f t="shared" si="32"/>
        <v>2.7200894516395175</v>
      </c>
      <c r="W144">
        <f t="shared" si="29"/>
        <v>2.3922821941859386E-2</v>
      </c>
      <c r="X144" s="28">
        <v>2967.9041666666676</v>
      </c>
      <c r="Y144">
        <f t="shared" si="33"/>
        <v>1.93116884142511</v>
      </c>
      <c r="Z144">
        <f t="shared" si="21"/>
        <v>0.14038986359149241</v>
      </c>
      <c r="AA144">
        <f t="shared" si="22"/>
        <v>5.4013150071793949E-2</v>
      </c>
      <c r="AB144">
        <f t="shared" si="23"/>
        <v>0.34720571210625506</v>
      </c>
      <c r="AC144">
        <f t="shared" si="24"/>
        <v>2.8011005630636948E-4</v>
      </c>
      <c r="AD144">
        <f t="shared" si="25"/>
        <v>1.0059453927774163E-3</v>
      </c>
      <c r="AE144">
        <f t="shared" si="26"/>
        <v>8.1624449205779409E-2</v>
      </c>
      <c r="AF144">
        <f t="shared" si="27"/>
        <v>0.16440137979000269</v>
      </c>
      <c r="AG144">
        <f t="shared" si="34"/>
        <v>2.7200894516395175</v>
      </c>
      <c r="AH144">
        <v>0.47139291667026506</v>
      </c>
      <c r="AI144">
        <v>0.6859641815910037</v>
      </c>
      <c r="AJ144">
        <v>2.0960297651940333E-3</v>
      </c>
      <c r="AK144">
        <v>7.3775660013990487E-3</v>
      </c>
      <c r="AL144">
        <v>0.47971024338875962</v>
      </c>
    </row>
    <row r="145" spans="1:38" x14ac:dyDescent="0.25">
      <c r="A145">
        <v>5</v>
      </c>
      <c r="B145" s="5" t="s">
        <v>7</v>
      </c>
      <c r="C145" s="6" t="s">
        <v>5</v>
      </c>
      <c r="D145" s="6" t="s">
        <v>55</v>
      </c>
      <c r="E145" s="29">
        <v>24627</v>
      </c>
      <c r="F145" s="11">
        <v>20</v>
      </c>
      <c r="G145" s="11">
        <v>18</v>
      </c>
      <c r="H145" s="18">
        <f t="shared" si="30"/>
        <v>2</v>
      </c>
      <c r="I145" s="18">
        <v>1</v>
      </c>
      <c r="J145" s="19">
        <v>-0.76539589442815248</v>
      </c>
      <c r="K145" s="19">
        <v>1.9</v>
      </c>
      <c r="L145" s="14">
        <v>2022506.75</v>
      </c>
      <c r="M145" s="16">
        <v>3348475.75</v>
      </c>
      <c r="N145" s="16">
        <v>2861825.75</v>
      </c>
      <c r="O145" s="16">
        <v>43845248</v>
      </c>
      <c r="P145" s="16">
        <v>6995.45458984375</v>
      </c>
      <c r="Q145" s="16">
        <v>16233.9189453125</v>
      </c>
      <c r="R145" s="16">
        <v>8234701</v>
      </c>
      <c r="S145" s="16">
        <v>4875938</v>
      </c>
      <c r="T145" s="31">
        <f t="shared" si="31"/>
        <v>6521.192462353516</v>
      </c>
      <c r="U145" s="37">
        <v>1815.2222222222224</v>
      </c>
      <c r="V145">
        <f t="shared" si="32"/>
        <v>3.5925036519055911</v>
      </c>
      <c r="W145">
        <f t="shared" si="29"/>
        <v>0.32072996707524859</v>
      </c>
      <c r="X145" s="29">
        <v>1484.8025000000009</v>
      </c>
      <c r="Y145">
        <f t="shared" si="33"/>
        <v>0.1114192370080186</v>
      </c>
      <c r="Z145">
        <f t="shared" si="21"/>
        <v>0.1844664366162698</v>
      </c>
      <c r="AA145">
        <f t="shared" si="22"/>
        <v>0.15765704688743343</v>
      </c>
      <c r="AB145">
        <f t="shared" si="23"/>
        <v>2.4154204076635857</v>
      </c>
      <c r="AC145">
        <f t="shared" si="24"/>
        <v>3.8537731106441664E-4</v>
      </c>
      <c r="AD145">
        <f t="shared" si="25"/>
        <v>8.9432129832779878E-4</v>
      </c>
      <c r="AE145">
        <f t="shared" si="26"/>
        <v>0.4536469914917059</v>
      </c>
      <c r="AF145">
        <f t="shared" si="27"/>
        <v>0.26861383362918528</v>
      </c>
      <c r="AG145">
        <f t="shared" si="34"/>
        <v>3.5925036519055911</v>
      </c>
      <c r="AH145">
        <v>0.45195996582607029</v>
      </c>
      <c r="AI145">
        <v>0.69574290484140233</v>
      </c>
      <c r="AJ145">
        <v>2.0916648552290313E-3</v>
      </c>
      <c r="AK145">
        <v>7.7952942628728853E-3</v>
      </c>
      <c r="AL145">
        <v>0.4510725193966274</v>
      </c>
    </row>
    <row r="146" spans="1:38" x14ac:dyDescent="0.25">
      <c r="A146">
        <v>5</v>
      </c>
      <c r="B146" s="5" t="s">
        <v>7</v>
      </c>
      <c r="C146" s="6" t="s">
        <v>5</v>
      </c>
      <c r="D146" s="6" t="s">
        <v>56</v>
      </c>
      <c r="E146" s="29">
        <v>24627</v>
      </c>
      <c r="F146" s="11">
        <v>21</v>
      </c>
      <c r="G146" s="11">
        <v>18</v>
      </c>
      <c r="H146" s="11">
        <f t="shared" si="30"/>
        <v>3</v>
      </c>
      <c r="I146" s="18">
        <v>1</v>
      </c>
      <c r="J146" s="19">
        <v>-0.76539589442815248</v>
      </c>
      <c r="K146" s="19">
        <v>1.9</v>
      </c>
      <c r="L146" s="6">
        <v>1973879.125</v>
      </c>
      <c r="M146" s="7">
        <v>3281413.25</v>
      </c>
      <c r="N146" s="7">
        <v>2489491.75</v>
      </c>
      <c r="O146" s="7">
        <v>43627992</v>
      </c>
      <c r="P146" s="7">
        <v>6995.45458984375</v>
      </c>
      <c r="Q146" s="7">
        <v>22928.095703125</v>
      </c>
      <c r="R146" s="7">
        <v>8064533</v>
      </c>
      <c r="S146" s="7">
        <v>4938723</v>
      </c>
      <c r="T146" s="31">
        <f t="shared" si="31"/>
        <v>6440.5955675292971</v>
      </c>
      <c r="U146" s="37">
        <v>1847</v>
      </c>
      <c r="V146">
        <f t="shared" si="32"/>
        <v>3.4870576976336207</v>
      </c>
      <c r="W146">
        <f t="shared" si="29"/>
        <v>-2.935166237507875E-2</v>
      </c>
      <c r="X146" s="29">
        <v>1587.9741666666675</v>
      </c>
      <c r="Y146">
        <f t="shared" si="33"/>
        <v>0.10686947076340012</v>
      </c>
      <c r="Z146">
        <f t="shared" ref="Z146:Z209" si="35">M146/$U146/10000</f>
        <v>0.17766178938819707</v>
      </c>
      <c r="AA146">
        <f t="shared" ref="AA146:AA209" si="36">N146/$U146/10000</f>
        <v>0.13478569301570115</v>
      </c>
      <c r="AB146">
        <f t="shared" ref="AB146:AB209" si="37">O146/$U146/10000</f>
        <v>2.3621002707092584</v>
      </c>
      <c r="AC146">
        <f t="shared" ref="AC146:AC209" si="38">P146/$U146/10000</f>
        <v>3.7874686463691123E-4</v>
      </c>
      <c r="AD146">
        <f t="shared" ref="AD146:AD209" si="39">Q146/$U146/10000</f>
        <v>1.2413695562060096E-3</v>
      </c>
      <c r="AE146">
        <f t="shared" ref="AE146:AE209" si="40">R146/$U146/10000</f>
        <v>0.43662874932322682</v>
      </c>
      <c r="AF146">
        <f t="shared" ref="AF146:AF209" si="41">S146/$U146/10000</f>
        <v>0.26739160801299405</v>
      </c>
      <c r="AG146">
        <f t="shared" si="34"/>
        <v>3.4870576976336203</v>
      </c>
      <c r="AH146">
        <v>0.45195996582607029</v>
      </c>
      <c r="AI146">
        <v>0.69574290484140233</v>
      </c>
      <c r="AJ146">
        <v>2.0916648552290313E-3</v>
      </c>
      <c r="AK146">
        <v>7.7952942628728853E-3</v>
      </c>
      <c r="AL146">
        <v>0.4510725193966274</v>
      </c>
    </row>
    <row r="147" spans="1:38" x14ac:dyDescent="0.25">
      <c r="A147">
        <v>5</v>
      </c>
      <c r="B147" s="5" t="s">
        <v>7</v>
      </c>
      <c r="C147" s="6" t="s">
        <v>5</v>
      </c>
      <c r="D147" s="6" t="s">
        <v>57</v>
      </c>
      <c r="E147" s="29">
        <v>24627</v>
      </c>
      <c r="F147" s="11">
        <v>22</v>
      </c>
      <c r="G147" s="11">
        <v>18</v>
      </c>
      <c r="H147" s="11">
        <f t="shared" si="30"/>
        <v>4</v>
      </c>
      <c r="I147" s="18">
        <v>1</v>
      </c>
      <c r="J147" s="19">
        <v>-0.76539589442815248</v>
      </c>
      <c r="K147" s="19">
        <v>1.9</v>
      </c>
      <c r="L147" s="6">
        <v>1957307.25</v>
      </c>
      <c r="M147" s="7">
        <v>3406878.5</v>
      </c>
      <c r="N147" s="7">
        <v>1614280.25</v>
      </c>
      <c r="O147" s="7">
        <v>49629048</v>
      </c>
      <c r="P147" s="7">
        <v>6995.45458984375</v>
      </c>
      <c r="Q147" s="7">
        <v>65431.77734375</v>
      </c>
      <c r="R147" s="7">
        <v>8376088</v>
      </c>
      <c r="S147" s="7">
        <v>5039290</v>
      </c>
      <c r="T147" s="31">
        <f t="shared" si="31"/>
        <v>7009.531923193359</v>
      </c>
      <c r="U147" s="37">
        <v>1878.7777777777776</v>
      </c>
      <c r="V147">
        <f t="shared" si="32"/>
        <v>3.7308999532048164</v>
      </c>
      <c r="W147">
        <f t="shared" si="29"/>
        <v>6.9927794924836306E-2</v>
      </c>
      <c r="X147" s="29">
        <v>1691.1458333333339</v>
      </c>
      <c r="Y147">
        <f t="shared" si="33"/>
        <v>0.10417981696138151</v>
      </c>
      <c r="Z147">
        <f t="shared" si="35"/>
        <v>0.18133483056360519</v>
      </c>
      <c r="AA147">
        <f t="shared" si="36"/>
        <v>8.5921830090484361E-2</v>
      </c>
      <c r="AB147">
        <f t="shared" si="37"/>
        <v>2.6415603051629315</v>
      </c>
      <c r="AC147">
        <f t="shared" si="38"/>
        <v>3.7234071387186562E-4</v>
      </c>
      <c r="AD147">
        <f t="shared" si="39"/>
        <v>3.4826778407578808E-3</v>
      </c>
      <c r="AE147">
        <f t="shared" si="40"/>
        <v>0.44582643562599805</v>
      </c>
      <c r="AF147">
        <f t="shared" si="41"/>
        <v>0.26822171624578628</v>
      </c>
      <c r="AG147">
        <f t="shared" si="34"/>
        <v>3.7308999532048164</v>
      </c>
      <c r="AH147">
        <v>0.45195996582607029</v>
      </c>
      <c r="AI147">
        <v>0.69574290484140233</v>
      </c>
      <c r="AJ147">
        <v>2.0916648552290313E-3</v>
      </c>
      <c r="AK147">
        <v>7.7952942628728853E-3</v>
      </c>
      <c r="AL147">
        <v>0.4510725193966274</v>
      </c>
    </row>
    <row r="148" spans="1:38" x14ac:dyDescent="0.25">
      <c r="A148">
        <v>5</v>
      </c>
      <c r="B148" s="5" t="s">
        <v>7</v>
      </c>
      <c r="C148" s="6" t="s">
        <v>5</v>
      </c>
      <c r="D148" s="6" t="s">
        <v>58</v>
      </c>
      <c r="E148" s="29">
        <v>24627</v>
      </c>
      <c r="F148" s="11">
        <v>23</v>
      </c>
      <c r="G148" s="11">
        <v>18</v>
      </c>
      <c r="H148" s="11">
        <f t="shared" si="30"/>
        <v>5</v>
      </c>
      <c r="I148" s="18">
        <v>1</v>
      </c>
      <c r="J148" s="19">
        <v>-0.76539589442815248</v>
      </c>
      <c r="K148" s="19">
        <v>1.9</v>
      </c>
      <c r="L148" s="6">
        <v>2019705.75</v>
      </c>
      <c r="M148" s="7">
        <v>3462422.75</v>
      </c>
      <c r="N148" s="7">
        <v>1053699</v>
      </c>
      <c r="O148" s="7">
        <v>44890448</v>
      </c>
      <c r="P148" s="7">
        <v>6995.45458984375</v>
      </c>
      <c r="Q148" s="7">
        <v>90190.9296875</v>
      </c>
      <c r="R148" s="7">
        <v>8516031</v>
      </c>
      <c r="S148" s="7">
        <v>5205778.5</v>
      </c>
      <c r="T148" s="31">
        <f t="shared" si="31"/>
        <v>6524.5271384277348</v>
      </c>
      <c r="U148" s="37">
        <v>1910.5555555555554</v>
      </c>
      <c r="V148">
        <f t="shared" si="32"/>
        <v>3.4149894879819493</v>
      </c>
      <c r="W148">
        <f t="shared" si="29"/>
        <v>-8.4674065020559505E-2</v>
      </c>
      <c r="X148" s="29">
        <v>1794.3175000000003</v>
      </c>
      <c r="Y148">
        <f t="shared" si="33"/>
        <v>0.10571300814190172</v>
      </c>
      <c r="Z148">
        <f t="shared" si="35"/>
        <v>0.18122596539691771</v>
      </c>
      <c r="AA148">
        <f t="shared" si="36"/>
        <v>5.5151445187554521E-2</v>
      </c>
      <c r="AB148">
        <f t="shared" si="37"/>
        <v>2.3496018144809541</v>
      </c>
      <c r="AC148">
        <f t="shared" si="38"/>
        <v>3.6614766681357228E-4</v>
      </c>
      <c r="AD148">
        <f t="shared" si="39"/>
        <v>4.7206651188572259E-3</v>
      </c>
      <c r="AE148">
        <f t="shared" si="40"/>
        <v>0.44573584763012503</v>
      </c>
      <c r="AF148">
        <f t="shared" si="41"/>
        <v>0.27247459435882526</v>
      </c>
      <c r="AG148">
        <f t="shared" si="34"/>
        <v>3.4149894879819489</v>
      </c>
      <c r="AH148">
        <v>0.45195996582607029</v>
      </c>
      <c r="AI148">
        <v>0.69574290484140233</v>
      </c>
      <c r="AJ148">
        <v>2.0916648552290313E-3</v>
      </c>
      <c r="AK148">
        <v>7.7952942628728853E-3</v>
      </c>
      <c r="AL148">
        <v>0.4510725193966274</v>
      </c>
    </row>
    <row r="149" spans="1:38" x14ac:dyDescent="0.25">
      <c r="A149">
        <v>5</v>
      </c>
      <c r="B149" s="5" t="s">
        <v>7</v>
      </c>
      <c r="C149" s="6" t="s">
        <v>5</v>
      </c>
      <c r="D149" s="6" t="s">
        <v>59</v>
      </c>
      <c r="E149" s="29">
        <v>24627</v>
      </c>
      <c r="F149" s="11">
        <v>24</v>
      </c>
      <c r="G149" s="11">
        <v>18</v>
      </c>
      <c r="H149" s="11">
        <f t="shared" si="30"/>
        <v>6</v>
      </c>
      <c r="I149" s="18">
        <v>1</v>
      </c>
      <c r="J149" s="19">
        <v>-0.76539589442815248</v>
      </c>
      <c r="K149" s="19">
        <v>1.9</v>
      </c>
      <c r="L149" s="6">
        <v>2004427.5</v>
      </c>
      <c r="M149" s="7">
        <v>3426253.5</v>
      </c>
      <c r="N149" s="7">
        <v>673127.75</v>
      </c>
      <c r="O149" s="7">
        <v>44596856</v>
      </c>
      <c r="P149" s="7">
        <v>6995.45458984375</v>
      </c>
      <c r="Q149" s="7">
        <v>59374.12109375</v>
      </c>
      <c r="R149" s="7">
        <v>8430228</v>
      </c>
      <c r="S149" s="7">
        <v>5168824</v>
      </c>
      <c r="T149" s="31">
        <f t="shared" si="31"/>
        <v>6436.6086325683591</v>
      </c>
      <c r="U149" s="37">
        <v>1942.3333333333333</v>
      </c>
      <c r="V149">
        <f t="shared" si="32"/>
        <v>3.313853766553128</v>
      </c>
      <c r="W149">
        <f t="shared" si="29"/>
        <v>-2.9615236528469192E-2</v>
      </c>
      <c r="X149" s="29">
        <v>1897.4891666666667</v>
      </c>
      <c r="Y149">
        <f t="shared" si="33"/>
        <v>0.10319688518963446</v>
      </c>
      <c r="Z149">
        <f t="shared" si="35"/>
        <v>0.17639884159945085</v>
      </c>
      <c r="AA149">
        <f t="shared" si="36"/>
        <v>3.4655624678222072E-2</v>
      </c>
      <c r="AB149">
        <f t="shared" si="37"/>
        <v>2.2960454436245064</v>
      </c>
      <c r="AC149">
        <f t="shared" si="38"/>
        <v>3.6015726393566586E-4</v>
      </c>
      <c r="AD149">
        <f t="shared" si="39"/>
        <v>3.0568450880598939E-3</v>
      </c>
      <c r="AE149">
        <f t="shared" si="40"/>
        <v>0.43402581088038439</v>
      </c>
      <c r="AF149">
        <f t="shared" si="41"/>
        <v>0.26611415822893425</v>
      </c>
      <c r="AG149">
        <f t="shared" si="34"/>
        <v>3.313853766553128</v>
      </c>
      <c r="AH149">
        <v>0.45195996582607029</v>
      </c>
      <c r="AI149">
        <v>0.69574290484140233</v>
      </c>
      <c r="AJ149">
        <v>2.0916648552290313E-3</v>
      </c>
      <c r="AK149">
        <v>7.7952942628728853E-3</v>
      </c>
      <c r="AL149">
        <v>0.4510725193966274</v>
      </c>
    </row>
    <row r="150" spans="1:38" x14ac:dyDescent="0.25">
      <c r="A150">
        <v>5</v>
      </c>
      <c r="B150" s="5" t="s">
        <v>7</v>
      </c>
      <c r="C150" s="6" t="s">
        <v>5</v>
      </c>
      <c r="D150" s="6" t="s">
        <v>60</v>
      </c>
      <c r="E150" s="29">
        <v>24627</v>
      </c>
      <c r="F150" s="11">
        <v>25</v>
      </c>
      <c r="G150" s="11">
        <v>18</v>
      </c>
      <c r="H150" s="11">
        <f t="shared" si="30"/>
        <v>7</v>
      </c>
      <c r="I150" s="18">
        <v>1</v>
      </c>
      <c r="J150" s="19">
        <v>-0.76539589442815248</v>
      </c>
      <c r="K150" s="19">
        <v>1.9</v>
      </c>
      <c r="L150" s="6">
        <v>2000468.375</v>
      </c>
      <c r="M150" s="7">
        <v>3444955.25</v>
      </c>
      <c r="N150" s="7">
        <v>374391.125</v>
      </c>
      <c r="O150" s="7">
        <v>46716600</v>
      </c>
      <c r="P150" s="7">
        <v>6995.45458984375</v>
      </c>
      <c r="Q150" s="7">
        <v>28592.1953125</v>
      </c>
      <c r="R150" s="7">
        <v>8477754</v>
      </c>
      <c r="S150" s="7">
        <v>5025256.5</v>
      </c>
      <c r="T150" s="31">
        <f t="shared" si="31"/>
        <v>6607.501289990234</v>
      </c>
      <c r="U150" s="37">
        <v>1973.8888888888887</v>
      </c>
      <c r="V150">
        <f t="shared" si="32"/>
        <v>3.3474535102680614</v>
      </c>
      <c r="W150">
        <f t="shared" si="29"/>
        <v>1.0139175136228714E-2</v>
      </c>
      <c r="X150" s="29">
        <v>2000.6608333333334</v>
      </c>
      <c r="Y150">
        <f t="shared" si="33"/>
        <v>0.10134655432029271</v>
      </c>
      <c r="Z150">
        <f t="shared" si="35"/>
        <v>0.17452630030959754</v>
      </c>
      <c r="AA150">
        <f t="shared" si="36"/>
        <v>1.8967183366169437E-2</v>
      </c>
      <c r="AB150">
        <f t="shared" si="37"/>
        <v>2.3667289614410363</v>
      </c>
      <c r="AC150">
        <f t="shared" si="38"/>
        <v>3.5439961333292295E-4</v>
      </c>
      <c r="AD150">
        <f t="shared" si="39"/>
        <v>1.4485210121728117E-3</v>
      </c>
      <c r="AE150">
        <f t="shared" si="40"/>
        <v>0.42949499577821559</v>
      </c>
      <c r="AF150">
        <f t="shared" si="41"/>
        <v>0.25458659442724463</v>
      </c>
      <c r="AG150">
        <f t="shared" si="34"/>
        <v>3.3474535102680618</v>
      </c>
      <c r="AH150">
        <v>0.45195996582607029</v>
      </c>
      <c r="AI150">
        <v>0.69574290484140233</v>
      </c>
      <c r="AJ150">
        <v>2.0916648552290313E-3</v>
      </c>
      <c r="AK150">
        <v>7.7952942628728853E-3</v>
      </c>
      <c r="AL150">
        <v>0.4510725193966274</v>
      </c>
    </row>
    <row r="151" spans="1:38" x14ac:dyDescent="0.25">
      <c r="A151">
        <v>5</v>
      </c>
      <c r="B151" s="5" t="s">
        <v>7</v>
      </c>
      <c r="C151" s="6" t="s">
        <v>5</v>
      </c>
      <c r="D151" s="6" t="s">
        <v>61</v>
      </c>
      <c r="E151" s="29">
        <v>24627</v>
      </c>
      <c r="F151" s="11">
        <v>26</v>
      </c>
      <c r="G151" s="11">
        <v>18</v>
      </c>
      <c r="H151" s="11">
        <f t="shared" si="30"/>
        <v>8</v>
      </c>
      <c r="I151" s="18">
        <v>1</v>
      </c>
      <c r="J151" s="19">
        <v>-0.76539589442815248</v>
      </c>
      <c r="K151" s="19">
        <v>1.9</v>
      </c>
      <c r="L151" s="6">
        <v>2014360.625</v>
      </c>
      <c r="M151" s="7">
        <v>3308276.5</v>
      </c>
      <c r="N151" s="7">
        <v>278728.9375</v>
      </c>
      <c r="O151" s="7">
        <v>52547364</v>
      </c>
      <c r="P151" s="7">
        <v>6995.45458984375</v>
      </c>
      <c r="Q151" s="7">
        <v>16824.935546875</v>
      </c>
      <c r="R151" s="7">
        <v>8139993</v>
      </c>
      <c r="S151" s="7">
        <v>4930389</v>
      </c>
      <c r="T151" s="31">
        <f t="shared" si="31"/>
        <v>7124.2932452636715</v>
      </c>
      <c r="U151" s="37">
        <v>2005.4444444444443</v>
      </c>
      <c r="V151">
        <f t="shared" si="32"/>
        <v>3.552475993538315</v>
      </c>
      <c r="W151">
        <f t="shared" si="29"/>
        <v>6.1247298174974679E-2</v>
      </c>
      <c r="X151" s="29">
        <v>2103.8324999999995</v>
      </c>
      <c r="Y151">
        <f t="shared" si="33"/>
        <v>0.10044459873123165</v>
      </c>
      <c r="Z151">
        <f t="shared" si="35"/>
        <v>0.16496475428001553</v>
      </c>
      <c r="AA151">
        <f t="shared" si="36"/>
        <v>1.389861176519475E-2</v>
      </c>
      <c r="AB151">
        <f t="shared" si="37"/>
        <v>2.620235337137792</v>
      </c>
      <c r="AC151">
        <f t="shared" si="38"/>
        <v>3.4882315534707603E-4</v>
      </c>
      <c r="AD151">
        <f t="shared" si="39"/>
        <v>8.3896293380173413E-4</v>
      </c>
      <c r="AE151">
        <f t="shared" si="40"/>
        <v>0.4058947143886088</v>
      </c>
      <c r="AF151">
        <f t="shared" si="41"/>
        <v>0.24585019114632392</v>
      </c>
      <c r="AG151">
        <f t="shared" si="34"/>
        <v>3.5524759935383159</v>
      </c>
      <c r="AH151">
        <v>0.45195996582607029</v>
      </c>
      <c r="AI151">
        <v>0.69574290484140233</v>
      </c>
      <c r="AJ151">
        <v>2.0916648552290313E-3</v>
      </c>
      <c r="AK151">
        <v>7.7952942628728853E-3</v>
      </c>
      <c r="AL151">
        <v>0.4510725193966274</v>
      </c>
    </row>
    <row r="152" spans="1:38" x14ac:dyDescent="0.25">
      <c r="A152">
        <v>5</v>
      </c>
      <c r="B152" s="5" t="s">
        <v>7</v>
      </c>
      <c r="C152" s="6" t="s">
        <v>5</v>
      </c>
      <c r="D152" s="6" t="s">
        <v>62</v>
      </c>
      <c r="E152" s="29">
        <v>24627</v>
      </c>
      <c r="F152" s="11">
        <v>27</v>
      </c>
      <c r="G152" s="11">
        <v>18</v>
      </c>
      <c r="H152" s="11">
        <f t="shared" si="30"/>
        <v>9</v>
      </c>
      <c r="I152" s="18">
        <v>1</v>
      </c>
      <c r="J152" s="19">
        <v>-0.76539589442815248</v>
      </c>
      <c r="K152" s="19">
        <v>1.9</v>
      </c>
      <c r="L152" s="6">
        <v>1966953.875</v>
      </c>
      <c r="M152" s="7">
        <v>3214606</v>
      </c>
      <c r="N152" s="7">
        <v>309876.65625</v>
      </c>
      <c r="O152" s="7">
        <v>55917824</v>
      </c>
      <c r="P152" s="7">
        <v>6995.45458984375</v>
      </c>
      <c r="Q152" s="7">
        <v>23622.1796875</v>
      </c>
      <c r="R152" s="7">
        <v>7910493.5</v>
      </c>
      <c r="S152" s="7">
        <v>4978098.5</v>
      </c>
      <c r="T152" s="31">
        <f t="shared" si="31"/>
        <v>7432.8470165527342</v>
      </c>
      <c r="U152" s="37">
        <v>2037</v>
      </c>
      <c r="V152">
        <f t="shared" si="32"/>
        <v>3.6489185157352648</v>
      </c>
      <c r="W152">
        <f t="shared" si="29"/>
        <v>2.714797295530539E-2</v>
      </c>
      <c r="X152" s="29">
        <v>2207.0041666666662</v>
      </c>
      <c r="Y152">
        <f t="shared" si="33"/>
        <v>9.6561309523809521E-2</v>
      </c>
      <c r="Z152">
        <f t="shared" si="35"/>
        <v>0.1578108001963672</v>
      </c>
      <c r="AA152">
        <f t="shared" si="36"/>
        <v>1.5212403350515465E-2</v>
      </c>
      <c r="AB152">
        <f t="shared" si="37"/>
        <v>2.7451067255768287</v>
      </c>
      <c r="AC152">
        <f t="shared" si="38"/>
        <v>3.4341946930995334E-4</v>
      </c>
      <c r="AD152">
        <f t="shared" si="39"/>
        <v>1.1596553602110948E-3</v>
      </c>
      <c r="AE152">
        <f t="shared" si="40"/>
        <v>0.38834037800687282</v>
      </c>
      <c r="AF152">
        <f t="shared" si="41"/>
        <v>0.24438382425135</v>
      </c>
      <c r="AG152">
        <f t="shared" si="34"/>
        <v>3.6489185157352644</v>
      </c>
      <c r="AH152">
        <v>0.45195996582607029</v>
      </c>
      <c r="AI152">
        <v>0.69574290484140233</v>
      </c>
      <c r="AJ152">
        <v>2.0916648552290313E-3</v>
      </c>
      <c r="AK152">
        <v>7.7952942628728853E-3</v>
      </c>
      <c r="AL152">
        <v>0.4510725193966274</v>
      </c>
    </row>
    <row r="153" spans="1:38" x14ac:dyDescent="0.25">
      <c r="A153">
        <v>5</v>
      </c>
      <c r="B153" s="5" t="s">
        <v>7</v>
      </c>
      <c r="C153" s="6" t="s">
        <v>5</v>
      </c>
      <c r="D153" s="6" t="s">
        <v>63</v>
      </c>
      <c r="E153" s="29">
        <v>24627</v>
      </c>
      <c r="F153" s="11">
        <v>28</v>
      </c>
      <c r="G153" s="11">
        <v>18</v>
      </c>
      <c r="H153" s="11">
        <f t="shared" si="30"/>
        <v>10</v>
      </c>
      <c r="I153" s="18">
        <v>1</v>
      </c>
      <c r="J153" s="19">
        <v>-0.76539589442815248</v>
      </c>
      <c r="K153" s="19">
        <v>1.9</v>
      </c>
      <c r="L153" s="6">
        <v>1953258.375</v>
      </c>
      <c r="M153" s="7">
        <v>3354452.25</v>
      </c>
      <c r="N153" s="7">
        <v>556302.75</v>
      </c>
      <c r="O153" s="7">
        <v>48818732</v>
      </c>
      <c r="P153" s="7">
        <v>6995.45458984375</v>
      </c>
      <c r="Q153" s="7">
        <v>66102.6015625</v>
      </c>
      <c r="R153" s="7">
        <v>8255028</v>
      </c>
      <c r="S153" s="7">
        <v>5060197.5</v>
      </c>
      <c r="T153" s="31">
        <f t="shared" si="31"/>
        <v>6807.106893115234</v>
      </c>
      <c r="U153" s="37">
        <v>2195.8888888888887</v>
      </c>
      <c r="V153">
        <f t="shared" si="32"/>
        <v>3.0999322996527408</v>
      </c>
      <c r="W153">
        <f t="shared" si="29"/>
        <v>-0.15045176090261422</v>
      </c>
      <c r="X153" s="29">
        <v>2310.1758333333328</v>
      </c>
      <c r="Y153">
        <f t="shared" si="33"/>
        <v>8.8950692582097868E-2</v>
      </c>
      <c r="Z153">
        <f t="shared" si="35"/>
        <v>0.15276056393260135</v>
      </c>
      <c r="AA153">
        <f t="shared" si="36"/>
        <v>2.5333829631128877E-2</v>
      </c>
      <c r="AB153">
        <f t="shared" si="37"/>
        <v>2.2231877144158281</v>
      </c>
      <c r="AC153">
        <f t="shared" si="38"/>
        <v>3.1857051717145048E-4</v>
      </c>
      <c r="AD153">
        <f t="shared" si="39"/>
        <v>3.0102889949020903E-3</v>
      </c>
      <c r="AE153">
        <f t="shared" si="40"/>
        <v>0.37593104285786577</v>
      </c>
      <c r="AF153">
        <f t="shared" si="41"/>
        <v>0.23043959672114561</v>
      </c>
      <c r="AG153">
        <f t="shared" si="34"/>
        <v>3.0999322996527408</v>
      </c>
      <c r="AH153">
        <v>0.45195996582607029</v>
      </c>
      <c r="AI153">
        <v>0.69574290484140233</v>
      </c>
      <c r="AJ153">
        <v>2.0916648552290313E-3</v>
      </c>
      <c r="AK153">
        <v>7.7952942628728853E-3</v>
      </c>
      <c r="AL153">
        <v>0.4510725193966274</v>
      </c>
    </row>
    <row r="154" spans="1:38" x14ac:dyDescent="0.25">
      <c r="A154">
        <v>5</v>
      </c>
      <c r="B154" s="5" t="s">
        <v>7</v>
      </c>
      <c r="C154" s="6" t="s">
        <v>5</v>
      </c>
      <c r="D154" s="6" t="s">
        <v>64</v>
      </c>
      <c r="E154" s="29">
        <v>24627</v>
      </c>
      <c r="F154" s="11">
        <v>29</v>
      </c>
      <c r="G154" s="11">
        <v>18</v>
      </c>
      <c r="H154" s="11">
        <f t="shared" si="30"/>
        <v>11</v>
      </c>
      <c r="I154" s="18">
        <v>1</v>
      </c>
      <c r="J154" s="19">
        <v>-0.76539589442815248</v>
      </c>
      <c r="K154" s="19">
        <v>1.9</v>
      </c>
      <c r="L154" s="6">
        <v>2018706.5</v>
      </c>
      <c r="M154" s="7">
        <v>3450629</v>
      </c>
      <c r="N154" s="7">
        <v>1266883.75</v>
      </c>
      <c r="O154" s="7">
        <v>48043640</v>
      </c>
      <c r="P154" s="7">
        <v>6995.45458984375</v>
      </c>
      <c r="Q154" s="7">
        <v>91170.125</v>
      </c>
      <c r="R154" s="7">
        <v>8488730</v>
      </c>
      <c r="S154" s="7">
        <v>5226194</v>
      </c>
      <c r="T154" s="31">
        <f t="shared" si="31"/>
        <v>6859.2948829589841</v>
      </c>
      <c r="U154" s="37">
        <v>2354.7777777777778</v>
      </c>
      <c r="V154">
        <f t="shared" si="32"/>
        <v>2.9129266241981244</v>
      </c>
      <c r="W154">
        <f t="shared" si="29"/>
        <v>-6.0325728879809727E-2</v>
      </c>
      <c r="X154" s="29">
        <v>2413.3474999999989</v>
      </c>
      <c r="Y154">
        <f t="shared" si="33"/>
        <v>8.5728110696928234E-2</v>
      </c>
      <c r="Z154">
        <f t="shared" si="35"/>
        <v>0.14653735195583448</v>
      </c>
      <c r="AA154">
        <f t="shared" si="36"/>
        <v>5.3800565045062046E-2</v>
      </c>
      <c r="AB154">
        <f t="shared" si="37"/>
        <v>2.040262162034634</v>
      </c>
      <c r="AC154">
        <f t="shared" si="38"/>
        <v>2.9707493657619852E-4</v>
      </c>
      <c r="AD154">
        <f t="shared" si="39"/>
        <v>3.8717082291322607E-3</v>
      </c>
      <c r="AE154">
        <f t="shared" si="40"/>
        <v>0.36048964280658707</v>
      </c>
      <c r="AF154">
        <f t="shared" si="41"/>
        <v>0.22194000849337045</v>
      </c>
      <c r="AG154">
        <f t="shared" si="34"/>
        <v>2.9129266241981249</v>
      </c>
      <c r="AH154">
        <v>0.45195996582607029</v>
      </c>
      <c r="AI154">
        <v>0.69574290484140233</v>
      </c>
      <c r="AJ154">
        <v>2.0916648552290313E-3</v>
      </c>
      <c r="AK154">
        <v>7.7952942628728853E-3</v>
      </c>
      <c r="AL154">
        <v>0.4510725193966274</v>
      </c>
    </row>
    <row r="155" spans="1:38" x14ac:dyDescent="0.25">
      <c r="A155">
        <v>5</v>
      </c>
      <c r="B155" s="5" t="s">
        <v>7</v>
      </c>
      <c r="C155" s="6" t="s">
        <v>5</v>
      </c>
      <c r="D155" s="6" t="s">
        <v>65</v>
      </c>
      <c r="E155" s="29">
        <v>24627</v>
      </c>
      <c r="F155" s="11">
        <v>30</v>
      </c>
      <c r="G155" s="11">
        <v>18</v>
      </c>
      <c r="H155" s="11">
        <f t="shared" si="30"/>
        <v>12</v>
      </c>
      <c r="I155" s="18">
        <v>1</v>
      </c>
      <c r="J155" s="19">
        <v>-0.76539589442815248</v>
      </c>
      <c r="K155" s="19">
        <v>1.9</v>
      </c>
      <c r="L155" s="6">
        <v>2007602.75</v>
      </c>
      <c r="M155" s="7">
        <v>3437701.5</v>
      </c>
      <c r="N155" s="7">
        <v>1871815.375</v>
      </c>
      <c r="O155" s="7">
        <v>51314280</v>
      </c>
      <c r="P155" s="7">
        <v>6995.45458984375</v>
      </c>
      <c r="Q155" s="7">
        <v>60165.30078125</v>
      </c>
      <c r="R155" s="7">
        <v>8457973</v>
      </c>
      <c r="S155" s="7">
        <v>5164452</v>
      </c>
      <c r="T155" s="31">
        <f t="shared" si="31"/>
        <v>7232.0985380371094</v>
      </c>
      <c r="U155" s="37">
        <v>2513.6666666666665</v>
      </c>
      <c r="V155">
        <f t="shared" si="32"/>
        <v>2.877111207281704</v>
      </c>
      <c r="W155">
        <f t="shared" si="29"/>
        <v>-1.2295337829280118E-2</v>
      </c>
      <c r="X155" s="29">
        <v>2516.5191666666656</v>
      </c>
      <c r="Y155">
        <f t="shared" si="33"/>
        <v>7.9867500994563051E-2</v>
      </c>
      <c r="Z155">
        <f t="shared" si="35"/>
        <v>0.13676043628166026</v>
      </c>
      <c r="AA155">
        <f t="shared" si="36"/>
        <v>7.4465536732528842E-2</v>
      </c>
      <c r="AB155">
        <f t="shared" si="37"/>
        <v>2.0414114838880786</v>
      </c>
      <c r="AC155">
        <f t="shared" si="38"/>
        <v>2.7829682760285439E-4</v>
      </c>
      <c r="AD155">
        <f t="shared" si="39"/>
        <v>2.3935274147162183E-3</v>
      </c>
      <c r="AE155">
        <f t="shared" si="40"/>
        <v>0.33647949874022015</v>
      </c>
      <c r="AF155">
        <f t="shared" si="41"/>
        <v>0.20545492640233393</v>
      </c>
      <c r="AG155">
        <f t="shared" si="34"/>
        <v>2.877111207281704</v>
      </c>
      <c r="AH155">
        <v>0.45195996582607029</v>
      </c>
      <c r="AI155">
        <v>0.69574290484140233</v>
      </c>
      <c r="AJ155">
        <v>2.0916648552290313E-3</v>
      </c>
      <c r="AK155">
        <v>7.7952942628728853E-3</v>
      </c>
      <c r="AL155">
        <v>0.4510725193966274</v>
      </c>
    </row>
    <row r="156" spans="1:38" x14ac:dyDescent="0.25">
      <c r="A156">
        <v>5</v>
      </c>
      <c r="B156" s="5" t="s">
        <v>7</v>
      </c>
      <c r="C156" s="6" t="s">
        <v>5</v>
      </c>
      <c r="D156" s="6" t="s">
        <v>66</v>
      </c>
      <c r="E156" s="29">
        <v>24627</v>
      </c>
      <c r="F156" s="11">
        <v>31</v>
      </c>
      <c r="G156" s="11">
        <v>18</v>
      </c>
      <c r="H156" s="11">
        <f t="shared" si="30"/>
        <v>13</v>
      </c>
      <c r="I156" s="18">
        <v>1</v>
      </c>
      <c r="J156" s="19">
        <v>-0.76539589442815248</v>
      </c>
      <c r="K156" s="19">
        <v>1.9</v>
      </c>
      <c r="L156" s="6">
        <v>2007741.5</v>
      </c>
      <c r="M156" s="7">
        <v>3468721.75</v>
      </c>
      <c r="N156" s="7">
        <v>2839073.5</v>
      </c>
      <c r="O156" s="7">
        <v>57238996</v>
      </c>
      <c r="P156" s="7">
        <v>6998.81298828125</v>
      </c>
      <c r="Q156" s="7">
        <v>28357.28125</v>
      </c>
      <c r="R156" s="7">
        <v>8534946</v>
      </c>
      <c r="S156" s="7">
        <v>4989278</v>
      </c>
      <c r="T156" s="31">
        <f t="shared" si="31"/>
        <v>7911.411284423828</v>
      </c>
      <c r="U156" s="37">
        <v>2672.5555555555552</v>
      </c>
      <c r="V156">
        <f t="shared" si="32"/>
        <v>2.9602420305082302</v>
      </c>
      <c r="W156">
        <f t="shared" si="29"/>
        <v>2.8893851240831336E-2</v>
      </c>
      <c r="X156" s="29">
        <v>2619.6908333333322</v>
      </c>
      <c r="Y156">
        <f t="shared" si="33"/>
        <v>7.5124406518937356E-2</v>
      </c>
      <c r="Z156">
        <f t="shared" si="35"/>
        <v>0.12979044505882845</v>
      </c>
      <c r="AA156">
        <f t="shared" si="36"/>
        <v>0.10623066353469424</v>
      </c>
      <c r="AB156">
        <f t="shared" si="37"/>
        <v>2.1417326903089013</v>
      </c>
      <c r="AC156">
        <f t="shared" si="38"/>
        <v>2.6187717496583071E-4</v>
      </c>
      <c r="AD156">
        <f t="shared" si="39"/>
        <v>1.0610548840061533E-3</v>
      </c>
      <c r="AE156">
        <f t="shared" si="40"/>
        <v>0.31935523219556816</v>
      </c>
      <c r="AF156">
        <f t="shared" si="41"/>
        <v>0.18668566083232863</v>
      </c>
      <c r="AG156">
        <f t="shared" si="34"/>
        <v>2.9602420305082302</v>
      </c>
      <c r="AH156">
        <v>0.45195996582607029</v>
      </c>
      <c r="AI156">
        <v>0.69574290484140233</v>
      </c>
      <c r="AJ156">
        <v>2.0916648552290313E-3</v>
      </c>
      <c r="AK156">
        <v>7.7952942628728853E-3</v>
      </c>
      <c r="AL156">
        <v>0.4510725193966274</v>
      </c>
    </row>
    <row r="157" spans="1:38" x14ac:dyDescent="0.25">
      <c r="A157">
        <v>6</v>
      </c>
      <c r="B157" s="5" t="s">
        <v>31</v>
      </c>
      <c r="C157" s="6" t="s">
        <v>5</v>
      </c>
      <c r="D157" s="6" t="s">
        <v>36</v>
      </c>
      <c r="E157" s="28">
        <v>27584.075000000001</v>
      </c>
      <c r="F157" s="11">
        <v>1</v>
      </c>
      <c r="G157" s="11">
        <v>16</v>
      </c>
      <c r="H157" s="18">
        <f t="shared" si="30"/>
        <v>-15</v>
      </c>
      <c r="I157" s="18">
        <v>1</v>
      </c>
      <c r="J157" s="19">
        <v>0.85190615835777128</v>
      </c>
      <c r="K157" s="19">
        <v>3.5</v>
      </c>
      <c r="L157" s="14">
        <v>8775816</v>
      </c>
      <c r="M157" s="16">
        <v>4096799.5</v>
      </c>
      <c r="N157" s="16">
        <v>1978346.625</v>
      </c>
      <c r="O157" s="16">
        <v>11562439</v>
      </c>
      <c r="P157" s="16">
        <v>9813.1875</v>
      </c>
      <c r="Q157" s="16">
        <v>18513.060546875</v>
      </c>
      <c r="R157" s="16">
        <v>8357199</v>
      </c>
      <c r="S157" s="16">
        <v>2624919.5</v>
      </c>
      <c r="T157" s="31">
        <f t="shared" si="31"/>
        <v>3742.3845873046876</v>
      </c>
      <c r="U157" s="37"/>
      <c r="X157" s="28">
        <v>2190.87</v>
      </c>
      <c r="Y157" t="e">
        <f t="shared" si="33"/>
        <v>#DIV/0!</v>
      </c>
      <c r="Z157" t="e">
        <f t="shared" si="35"/>
        <v>#DIV/0!</v>
      </c>
      <c r="AA157" t="e">
        <f t="shared" si="36"/>
        <v>#DIV/0!</v>
      </c>
      <c r="AB157" t="e">
        <f t="shared" si="37"/>
        <v>#DIV/0!</v>
      </c>
      <c r="AC157" t="e">
        <f t="shared" si="38"/>
        <v>#DIV/0!</v>
      </c>
      <c r="AD157" t="e">
        <f t="shared" si="39"/>
        <v>#DIV/0!</v>
      </c>
      <c r="AE157" t="e">
        <f t="shared" si="40"/>
        <v>#DIV/0!</v>
      </c>
      <c r="AF157" t="e">
        <f t="shared" si="41"/>
        <v>#DIV/0!</v>
      </c>
      <c r="AG157" t="e">
        <f t="shared" si="34"/>
        <v>#DIV/0!</v>
      </c>
      <c r="AH157">
        <v>0.38663250444323399</v>
      </c>
      <c r="AI157">
        <v>0.72806810120595888</v>
      </c>
      <c r="AJ157">
        <v>2.8501337790388128E-2</v>
      </c>
      <c r="AK157">
        <v>1.3314899992115017E-2</v>
      </c>
      <c r="AL157">
        <v>0.47040163559389786</v>
      </c>
    </row>
    <row r="158" spans="1:38" x14ac:dyDescent="0.25">
      <c r="A158">
        <v>6</v>
      </c>
      <c r="B158" s="5" t="s">
        <v>31</v>
      </c>
      <c r="C158" s="6" t="s">
        <v>5</v>
      </c>
      <c r="D158" s="6" t="s">
        <v>37</v>
      </c>
      <c r="E158" s="28">
        <v>27584.075000000001</v>
      </c>
      <c r="F158" s="11">
        <v>2</v>
      </c>
      <c r="G158" s="11">
        <v>16</v>
      </c>
      <c r="H158" s="11">
        <f t="shared" si="30"/>
        <v>-14</v>
      </c>
      <c r="I158" s="18">
        <v>1</v>
      </c>
      <c r="J158" s="19">
        <v>0.85190615835777128</v>
      </c>
      <c r="K158" s="19">
        <v>3.5</v>
      </c>
      <c r="L158" s="6">
        <v>9532266</v>
      </c>
      <c r="M158" s="7">
        <v>3934430.5</v>
      </c>
      <c r="N158" s="7">
        <v>1978346.625</v>
      </c>
      <c r="O158" s="7">
        <v>11104644</v>
      </c>
      <c r="P158" s="7">
        <v>9813.1875</v>
      </c>
      <c r="Q158" s="7">
        <v>10885.267578125</v>
      </c>
      <c r="R158" s="7">
        <v>8459527</v>
      </c>
      <c r="S158" s="7">
        <v>2569427.75</v>
      </c>
      <c r="T158" s="31">
        <f t="shared" si="31"/>
        <v>3759.9340330078126</v>
      </c>
      <c r="U158" s="37">
        <v>2373.333333333333</v>
      </c>
      <c r="V158">
        <f t="shared" si="32"/>
        <v>1.5842418678403707</v>
      </c>
      <c r="W158" t="e">
        <f>(V158-V157)/V157</f>
        <v>#DIV/0!</v>
      </c>
      <c r="X158" s="28">
        <v>2404.0466666666666</v>
      </c>
      <c r="Y158">
        <f t="shared" si="33"/>
        <v>0.40164042134831468</v>
      </c>
      <c r="Z158">
        <f t="shared" si="35"/>
        <v>0.16577656601123597</v>
      </c>
      <c r="AA158">
        <f t="shared" si="36"/>
        <v>8.335730161516855E-2</v>
      </c>
      <c r="AB158">
        <f t="shared" si="37"/>
        <v>0.46789230337078663</v>
      </c>
      <c r="AC158">
        <f t="shared" si="38"/>
        <v>4.1347700140449445E-4</v>
      </c>
      <c r="AD158">
        <f t="shared" si="39"/>
        <v>4.5864891480863773E-4</v>
      </c>
      <c r="AE158">
        <f t="shared" si="40"/>
        <v>0.3564407443820225</v>
      </c>
      <c r="AF158">
        <f t="shared" si="41"/>
        <v>0.10826240519662922</v>
      </c>
      <c r="AG158">
        <f t="shared" si="34"/>
        <v>1.5842418678403709</v>
      </c>
      <c r="AH158">
        <v>0.38663250444323399</v>
      </c>
      <c r="AI158">
        <v>0.72806810120595888</v>
      </c>
      <c r="AJ158">
        <v>2.8501337790388128E-2</v>
      </c>
      <c r="AK158">
        <v>1.3314899992115017E-2</v>
      </c>
      <c r="AL158">
        <v>0.47040163559389786</v>
      </c>
    </row>
    <row r="159" spans="1:38" x14ac:dyDescent="0.25">
      <c r="A159">
        <v>6</v>
      </c>
      <c r="B159" s="5" t="s">
        <v>31</v>
      </c>
      <c r="C159" s="6" t="s">
        <v>5</v>
      </c>
      <c r="D159" s="6" t="s">
        <v>38</v>
      </c>
      <c r="E159" s="28">
        <v>27584.075000000001</v>
      </c>
      <c r="F159" s="11">
        <v>3</v>
      </c>
      <c r="G159" s="11">
        <v>16</v>
      </c>
      <c r="H159" s="11">
        <f t="shared" si="30"/>
        <v>-13</v>
      </c>
      <c r="I159" s="18">
        <v>1</v>
      </c>
      <c r="J159" s="19">
        <v>0.85190615835777128</v>
      </c>
      <c r="K159" s="19">
        <v>3.5</v>
      </c>
      <c r="L159" s="6">
        <v>9528558</v>
      </c>
      <c r="M159" s="7">
        <v>3822780.75</v>
      </c>
      <c r="N159" s="7">
        <v>1978346.625</v>
      </c>
      <c r="O159" s="7">
        <v>10795972</v>
      </c>
      <c r="P159" s="7">
        <v>9813.1875</v>
      </c>
      <c r="Q159" s="7">
        <v>15285.0673828125</v>
      </c>
      <c r="R159" s="7">
        <v>8106557.5</v>
      </c>
      <c r="S159" s="7">
        <v>2597682.5</v>
      </c>
      <c r="T159" s="31">
        <f t="shared" si="31"/>
        <v>3685.4995629882815</v>
      </c>
      <c r="U159" s="37">
        <v>2432</v>
      </c>
      <c r="V159">
        <f t="shared" si="32"/>
        <v>1.5154192282024184</v>
      </c>
      <c r="W159">
        <f t="shared" ref="W159:W187" si="42">(V159-V158)/V158</f>
        <v>-4.3442002786967714E-2</v>
      </c>
      <c r="X159" s="28">
        <v>2617.2233333333334</v>
      </c>
      <c r="Y159">
        <f t="shared" si="33"/>
        <v>0.39179925986842107</v>
      </c>
      <c r="Z159">
        <f t="shared" si="35"/>
        <v>0.15718670847039473</v>
      </c>
      <c r="AA159">
        <f t="shared" si="36"/>
        <v>8.1346489514802639E-2</v>
      </c>
      <c r="AB159">
        <f t="shared" si="37"/>
        <v>0.44391332236842107</v>
      </c>
      <c r="AC159">
        <f t="shared" si="38"/>
        <v>4.0350277549342108E-4</v>
      </c>
      <c r="AD159">
        <f t="shared" si="39"/>
        <v>6.2849783646432976E-4</v>
      </c>
      <c r="AE159">
        <f t="shared" si="40"/>
        <v>0.33332884457236844</v>
      </c>
      <c r="AF159">
        <f t="shared" si="41"/>
        <v>0.10681260279605262</v>
      </c>
      <c r="AG159">
        <f t="shared" si="34"/>
        <v>1.5154192282024181</v>
      </c>
      <c r="AH159">
        <v>0.38663250444323399</v>
      </c>
      <c r="AI159">
        <v>0.72806810120595888</v>
      </c>
      <c r="AJ159">
        <v>2.8501337790388128E-2</v>
      </c>
      <c r="AK159">
        <v>1.3314899992115017E-2</v>
      </c>
      <c r="AL159">
        <v>0.47040163559389786</v>
      </c>
    </row>
    <row r="160" spans="1:38" x14ac:dyDescent="0.25">
      <c r="A160">
        <v>6</v>
      </c>
      <c r="B160" s="5" t="s">
        <v>31</v>
      </c>
      <c r="C160" s="6" t="s">
        <v>5</v>
      </c>
      <c r="D160" s="6" t="s">
        <v>39</v>
      </c>
      <c r="E160" s="28">
        <v>27584.075000000001</v>
      </c>
      <c r="F160" s="11">
        <v>4</v>
      </c>
      <c r="G160" s="11">
        <v>16</v>
      </c>
      <c r="H160" s="11">
        <f t="shared" si="30"/>
        <v>-12</v>
      </c>
      <c r="I160" s="18">
        <v>1</v>
      </c>
      <c r="J160" s="19">
        <v>0.85190615835777128</v>
      </c>
      <c r="K160" s="19">
        <v>3.5</v>
      </c>
      <c r="L160" s="6">
        <v>9056394</v>
      </c>
      <c r="M160" s="7">
        <v>3989155</v>
      </c>
      <c r="N160" s="7">
        <v>1978346.625</v>
      </c>
      <c r="O160" s="7">
        <v>11263628</v>
      </c>
      <c r="P160" s="7">
        <v>9813.1875</v>
      </c>
      <c r="Q160" s="7">
        <v>42796.71484375</v>
      </c>
      <c r="R160" s="7">
        <v>8007863.5</v>
      </c>
      <c r="S160" s="7">
        <v>2645740</v>
      </c>
      <c r="T160" s="31">
        <f t="shared" si="31"/>
        <v>3699.373702734375</v>
      </c>
      <c r="U160" s="37">
        <v>2534</v>
      </c>
      <c r="V160">
        <f t="shared" si="32"/>
        <v>1.4598949103134866</v>
      </c>
      <c r="W160">
        <f t="shared" si="42"/>
        <v>-3.663957593754065E-2</v>
      </c>
      <c r="X160" s="28">
        <v>2830.3999999999996</v>
      </c>
      <c r="Y160">
        <f t="shared" si="33"/>
        <v>0.35739518547750593</v>
      </c>
      <c r="Z160">
        <f t="shared" si="35"/>
        <v>0.15742521704814522</v>
      </c>
      <c r="AA160">
        <f t="shared" si="36"/>
        <v>7.8072084648776643E-2</v>
      </c>
      <c r="AB160">
        <f t="shared" si="37"/>
        <v>0.44449992107340175</v>
      </c>
      <c r="AC160">
        <f t="shared" si="38"/>
        <v>3.872607537490134E-4</v>
      </c>
      <c r="AD160">
        <f t="shared" si="39"/>
        <v>1.688899559737569E-3</v>
      </c>
      <c r="AE160">
        <f t="shared" si="40"/>
        <v>0.31601671270718235</v>
      </c>
      <c r="AF160">
        <f t="shared" si="41"/>
        <v>0.10440962904498816</v>
      </c>
      <c r="AG160">
        <f t="shared" si="34"/>
        <v>1.4598949103134862</v>
      </c>
      <c r="AH160">
        <v>0.38663250444323399</v>
      </c>
      <c r="AI160">
        <v>0.72806810120595888</v>
      </c>
      <c r="AJ160">
        <v>2.8501337790388128E-2</v>
      </c>
      <c r="AK160">
        <v>1.3314899992115017E-2</v>
      </c>
      <c r="AL160">
        <v>0.47040163559389786</v>
      </c>
    </row>
    <row r="161" spans="1:38" x14ac:dyDescent="0.25">
      <c r="A161">
        <v>6</v>
      </c>
      <c r="B161" s="5" t="s">
        <v>31</v>
      </c>
      <c r="C161" s="6" t="s">
        <v>5</v>
      </c>
      <c r="D161" s="6" t="s">
        <v>40</v>
      </c>
      <c r="E161" s="28">
        <v>27584.075000000001</v>
      </c>
      <c r="F161" s="11">
        <v>5</v>
      </c>
      <c r="G161" s="11">
        <v>16</v>
      </c>
      <c r="H161" s="11">
        <f t="shared" si="30"/>
        <v>-11</v>
      </c>
      <c r="I161" s="18">
        <v>1</v>
      </c>
      <c r="J161" s="19">
        <v>0.85190615835777128</v>
      </c>
      <c r="K161" s="19">
        <v>3.5</v>
      </c>
      <c r="L161" s="6">
        <v>10262760</v>
      </c>
      <c r="M161" s="7">
        <v>4104161.75</v>
      </c>
      <c r="N161" s="7">
        <v>1978346.625</v>
      </c>
      <c r="O161" s="7">
        <v>11575386</v>
      </c>
      <c r="P161" s="7">
        <v>9813.1875</v>
      </c>
      <c r="Q161" s="7">
        <v>59025.12109375</v>
      </c>
      <c r="R161" s="7">
        <v>8500967</v>
      </c>
      <c r="S161" s="7">
        <v>2744606</v>
      </c>
      <c r="T161" s="31">
        <f t="shared" si="31"/>
        <v>3923.5065683593748</v>
      </c>
      <c r="U161" s="37">
        <v>2636</v>
      </c>
      <c r="V161">
        <f t="shared" si="32"/>
        <v>1.488431930333602</v>
      </c>
      <c r="W161">
        <f t="shared" si="42"/>
        <v>1.9547311123913405E-2</v>
      </c>
      <c r="X161" s="28">
        <v>3043.5766666666664</v>
      </c>
      <c r="Y161">
        <f t="shared" si="33"/>
        <v>0.38933080424886191</v>
      </c>
      <c r="Z161">
        <f t="shared" si="35"/>
        <v>0.15569657625189681</v>
      </c>
      <c r="AA161">
        <f t="shared" si="36"/>
        <v>7.5051085925644911E-2</v>
      </c>
      <c r="AB161">
        <f t="shared" si="37"/>
        <v>0.43912693474962061</v>
      </c>
      <c r="AC161">
        <f t="shared" si="38"/>
        <v>3.7227570182094081E-4</v>
      </c>
      <c r="AD161">
        <f t="shared" si="39"/>
        <v>2.2391927577295146E-3</v>
      </c>
      <c r="AE161">
        <f t="shared" si="40"/>
        <v>0.32249495447647952</v>
      </c>
      <c r="AF161">
        <f t="shared" si="41"/>
        <v>0.1041201062215478</v>
      </c>
      <c r="AG161">
        <f t="shared" si="34"/>
        <v>1.488431930333602</v>
      </c>
      <c r="AH161">
        <v>0.38663250444323399</v>
      </c>
      <c r="AI161">
        <v>0.72806810120595888</v>
      </c>
      <c r="AJ161">
        <v>2.8501337790388128E-2</v>
      </c>
      <c r="AK161">
        <v>1.3314899992115017E-2</v>
      </c>
      <c r="AL161">
        <v>0.47040163559389786</v>
      </c>
    </row>
    <row r="162" spans="1:38" x14ac:dyDescent="0.25">
      <c r="A162">
        <v>6</v>
      </c>
      <c r="B162" s="5" t="s">
        <v>31</v>
      </c>
      <c r="C162" s="6" t="s">
        <v>5</v>
      </c>
      <c r="D162" s="6" t="s">
        <v>41</v>
      </c>
      <c r="E162" s="28">
        <v>27584.075000000001</v>
      </c>
      <c r="F162" s="11">
        <v>6</v>
      </c>
      <c r="G162" s="11">
        <v>16</v>
      </c>
      <c r="H162" s="11">
        <f t="shared" si="30"/>
        <v>-10</v>
      </c>
      <c r="I162" s="18">
        <v>1</v>
      </c>
      <c r="J162" s="19">
        <v>0.85190615835777128</v>
      </c>
      <c r="K162" s="19">
        <v>3.5</v>
      </c>
      <c r="L162" s="6">
        <v>10842458</v>
      </c>
      <c r="M162" s="7">
        <v>4088707.75</v>
      </c>
      <c r="N162" s="7">
        <v>1978346.625</v>
      </c>
      <c r="O162" s="7">
        <v>11529523</v>
      </c>
      <c r="P162" s="7">
        <v>9813.1875</v>
      </c>
      <c r="Q162" s="7">
        <v>38949.65234375</v>
      </c>
      <c r="R162" s="7">
        <v>8423728</v>
      </c>
      <c r="S162" s="7">
        <v>2707150.25</v>
      </c>
      <c r="T162" s="31">
        <f t="shared" si="31"/>
        <v>3961.8676464843752</v>
      </c>
      <c r="U162" s="37">
        <v>2738</v>
      </c>
      <c r="V162">
        <f t="shared" si="32"/>
        <v>1.4469932967437455</v>
      </c>
      <c r="W162">
        <f t="shared" si="42"/>
        <v>-2.7840462667694056E-2</v>
      </c>
      <c r="X162" s="28">
        <v>3256.7533333333331</v>
      </c>
      <c r="Y162">
        <f t="shared" si="33"/>
        <v>0.39599919649379106</v>
      </c>
      <c r="Z162">
        <f t="shared" si="35"/>
        <v>0.14933191197954712</v>
      </c>
      <c r="AA162">
        <f t="shared" si="36"/>
        <v>7.2255172571219869E-2</v>
      </c>
      <c r="AB162">
        <f t="shared" si="37"/>
        <v>0.42109287801314832</v>
      </c>
      <c r="AC162">
        <f t="shared" si="38"/>
        <v>3.5840714024835643E-4</v>
      </c>
      <c r="AD162">
        <f t="shared" si="39"/>
        <v>1.4225585224159972E-3</v>
      </c>
      <c r="AE162">
        <f t="shared" si="40"/>
        <v>0.3076598977355734</v>
      </c>
      <c r="AF162">
        <f t="shared" si="41"/>
        <v>9.8873274287801308E-2</v>
      </c>
      <c r="AG162">
        <f t="shared" si="34"/>
        <v>1.4469932967437451</v>
      </c>
      <c r="AH162">
        <v>0.38663250444323399</v>
      </c>
      <c r="AI162">
        <v>0.72806810120595888</v>
      </c>
      <c r="AJ162">
        <v>2.8501337790388128E-2</v>
      </c>
      <c r="AK162">
        <v>1.3314899992115017E-2</v>
      </c>
      <c r="AL162">
        <v>0.47040163559389786</v>
      </c>
    </row>
    <row r="163" spans="1:38" x14ac:dyDescent="0.25">
      <c r="A163">
        <v>6</v>
      </c>
      <c r="B163" s="5" t="s">
        <v>31</v>
      </c>
      <c r="C163" s="6" t="s">
        <v>5</v>
      </c>
      <c r="D163" s="6" t="s">
        <v>42</v>
      </c>
      <c r="E163" s="28">
        <v>27584.075000000001</v>
      </c>
      <c r="F163" s="11">
        <v>7</v>
      </c>
      <c r="G163" s="11">
        <v>16</v>
      </c>
      <c r="H163" s="11">
        <f t="shared" si="30"/>
        <v>-9</v>
      </c>
      <c r="I163" s="18">
        <v>1</v>
      </c>
      <c r="J163" s="19">
        <v>0.85190615835777128</v>
      </c>
      <c r="K163" s="19">
        <v>3.5</v>
      </c>
      <c r="L163" s="6">
        <v>13242829</v>
      </c>
      <c r="M163" s="7">
        <v>4125439</v>
      </c>
      <c r="N163" s="7">
        <v>1979296.25</v>
      </c>
      <c r="O163" s="7">
        <v>11632419</v>
      </c>
      <c r="P163" s="7">
        <v>9817.8984375</v>
      </c>
      <c r="Q163" s="7">
        <v>18369.349609375</v>
      </c>
      <c r="R163" s="7">
        <v>8426371</v>
      </c>
      <c r="S163" s="7">
        <v>2603350.75</v>
      </c>
      <c r="T163" s="31">
        <f t="shared" si="31"/>
        <v>4203.7892248046874</v>
      </c>
      <c r="U163" s="37">
        <v>2840</v>
      </c>
      <c r="V163">
        <f t="shared" si="32"/>
        <v>1.4802074735227773</v>
      </c>
      <c r="W163">
        <f t="shared" si="42"/>
        <v>2.2953925808623672E-2</v>
      </c>
      <c r="X163" s="28">
        <v>3469.9299999999994</v>
      </c>
      <c r="Y163">
        <f t="shared" si="33"/>
        <v>0.46629679577464783</v>
      </c>
      <c r="Z163">
        <f t="shared" si="35"/>
        <v>0.14526193661971831</v>
      </c>
      <c r="AA163">
        <f t="shared" si="36"/>
        <v>6.9693529929577461E-2</v>
      </c>
      <c r="AB163">
        <f t="shared" si="37"/>
        <v>0.40959221830985915</v>
      </c>
      <c r="AC163">
        <f t="shared" si="38"/>
        <v>3.4570064920774648E-4</v>
      </c>
      <c r="AD163">
        <f t="shared" si="39"/>
        <v>6.4680808483714785E-4</v>
      </c>
      <c r="AE163">
        <f t="shared" si="40"/>
        <v>0.29670320422535212</v>
      </c>
      <c r="AF163">
        <f t="shared" si="41"/>
        <v>9.1667279929577461E-2</v>
      </c>
      <c r="AG163">
        <f t="shared" si="34"/>
        <v>1.4802074735227773</v>
      </c>
      <c r="AH163">
        <v>0.38663250444323399</v>
      </c>
      <c r="AI163">
        <v>0.72806810120595888</v>
      </c>
      <c r="AJ163">
        <v>2.8501337790388128E-2</v>
      </c>
      <c r="AK163">
        <v>1.3314899992115017E-2</v>
      </c>
      <c r="AL163">
        <v>0.47040163559389786</v>
      </c>
    </row>
    <row r="164" spans="1:38" x14ac:dyDescent="0.25">
      <c r="A164">
        <v>6</v>
      </c>
      <c r="B164" s="5" t="s">
        <v>31</v>
      </c>
      <c r="C164" s="6" t="s">
        <v>5</v>
      </c>
      <c r="D164" s="6" t="s">
        <v>43</v>
      </c>
      <c r="E164" s="28">
        <v>28975.1</v>
      </c>
      <c r="F164" s="11">
        <v>8</v>
      </c>
      <c r="G164" s="11">
        <v>16</v>
      </c>
      <c r="H164" s="18">
        <f t="shared" si="30"/>
        <v>-8</v>
      </c>
      <c r="I164" s="18">
        <v>1</v>
      </c>
      <c r="J164" s="19">
        <v>0.85190615835777128</v>
      </c>
      <c r="K164" s="19">
        <v>3.5</v>
      </c>
      <c r="L164" s="14">
        <v>9336071</v>
      </c>
      <c r="M164" s="16">
        <v>3826583</v>
      </c>
      <c r="N164" s="16">
        <v>1956885</v>
      </c>
      <c r="O164" s="16">
        <v>11434879</v>
      </c>
      <c r="P164" s="16">
        <v>10036.6640625</v>
      </c>
      <c r="Q164" s="16">
        <v>9386.2861328125</v>
      </c>
      <c r="R164" s="16">
        <v>8680778</v>
      </c>
      <c r="S164" s="16">
        <v>2381021.25</v>
      </c>
      <c r="T164" s="31">
        <f t="shared" si="31"/>
        <v>3763.5640200195312</v>
      </c>
      <c r="U164" s="37">
        <v>2069.2222222222222</v>
      </c>
      <c r="V164">
        <f t="shared" si="32"/>
        <v>1.8188302733273791</v>
      </c>
      <c r="W164">
        <f t="shared" si="42"/>
        <v>0.22876711938138392</v>
      </c>
      <c r="X164" s="28">
        <v>1826.2333333333338</v>
      </c>
      <c r="Y164">
        <f t="shared" si="33"/>
        <v>0.4511874510014498</v>
      </c>
      <c r="Z164">
        <f t="shared" si="35"/>
        <v>0.18492856682596789</v>
      </c>
      <c r="AA164">
        <f t="shared" si="36"/>
        <v>9.4571041185630686E-2</v>
      </c>
      <c r="AB164">
        <f t="shared" si="37"/>
        <v>0.55261725285936747</v>
      </c>
      <c r="AC164">
        <f t="shared" si="38"/>
        <v>4.8504524814745205E-4</v>
      </c>
      <c r="AD164">
        <f t="shared" si="39"/>
        <v>4.5361421465560061E-4</v>
      </c>
      <c r="AE164">
        <f t="shared" si="40"/>
        <v>0.41951888524942277</v>
      </c>
      <c r="AF164">
        <f t="shared" si="41"/>
        <v>0.11506841674273749</v>
      </c>
      <c r="AG164">
        <f t="shared" si="34"/>
        <v>1.8188302733273791</v>
      </c>
      <c r="AH164">
        <v>0.37701681788846286</v>
      </c>
      <c r="AI164">
        <v>0.73004527043126044</v>
      </c>
      <c r="AJ164">
        <v>2.8285673848725223E-2</v>
      </c>
      <c r="AK164">
        <v>1.2965380619911579E-2</v>
      </c>
      <c r="AL164">
        <v>0.4032736930701134</v>
      </c>
    </row>
    <row r="165" spans="1:38" x14ac:dyDescent="0.25">
      <c r="A165">
        <v>6</v>
      </c>
      <c r="B165" s="5" t="s">
        <v>31</v>
      </c>
      <c r="C165" s="6" t="s">
        <v>5</v>
      </c>
      <c r="D165" s="6" t="s">
        <v>44</v>
      </c>
      <c r="E165" s="28">
        <v>28975.1</v>
      </c>
      <c r="F165" s="11">
        <v>9</v>
      </c>
      <c r="G165" s="11">
        <v>16</v>
      </c>
      <c r="H165" s="11">
        <f t="shared" si="30"/>
        <v>-7</v>
      </c>
      <c r="I165" s="18">
        <v>1</v>
      </c>
      <c r="J165" s="19">
        <v>0.85190615835777128</v>
      </c>
      <c r="K165" s="19">
        <v>3.5</v>
      </c>
      <c r="L165" s="6">
        <v>9289809</v>
      </c>
      <c r="M165" s="7">
        <v>3750501.25</v>
      </c>
      <c r="N165" s="7">
        <v>1956885</v>
      </c>
      <c r="O165" s="7">
        <v>11193303</v>
      </c>
      <c r="P165" s="7">
        <v>10036.6640625</v>
      </c>
      <c r="Q165" s="7">
        <v>13254.5146484375</v>
      </c>
      <c r="R165" s="7">
        <v>8304890.5</v>
      </c>
      <c r="S165" s="7">
        <v>2415153</v>
      </c>
      <c r="T165" s="31">
        <f t="shared" si="31"/>
        <v>3693.3832928710935</v>
      </c>
      <c r="U165" s="37">
        <v>2157.6666666666665</v>
      </c>
      <c r="V165">
        <f t="shared" si="32"/>
        <v>1.7117487839662107</v>
      </c>
      <c r="W165">
        <f t="shared" si="42"/>
        <v>-5.8873821780672769E-2</v>
      </c>
      <c r="X165" s="28">
        <v>1930.9500000000005</v>
      </c>
      <c r="Y165">
        <f t="shared" si="33"/>
        <v>0.43054884906534846</v>
      </c>
      <c r="Z165">
        <f t="shared" si="35"/>
        <v>0.17382208790359957</v>
      </c>
      <c r="AA165">
        <f t="shared" si="36"/>
        <v>9.0694500231731826E-2</v>
      </c>
      <c r="AB165">
        <f t="shared" si="37"/>
        <v>0.51876887069365052</v>
      </c>
      <c r="AC165">
        <f t="shared" si="38"/>
        <v>4.6516286401205014E-4</v>
      </c>
      <c r="AD165">
        <f t="shared" si="39"/>
        <v>6.1429853152035387E-4</v>
      </c>
      <c r="AE165">
        <f t="shared" si="40"/>
        <v>0.38490145991039709</v>
      </c>
      <c r="AF165">
        <f t="shared" si="41"/>
        <v>0.11193355476595089</v>
      </c>
      <c r="AG165">
        <f t="shared" si="34"/>
        <v>1.7117487839662104</v>
      </c>
      <c r="AH165">
        <v>0.37701681788846286</v>
      </c>
      <c r="AI165">
        <v>0.73004527043126044</v>
      </c>
      <c r="AJ165">
        <v>2.8285673848725223E-2</v>
      </c>
      <c r="AK165">
        <v>1.2965380619911579E-2</v>
      </c>
      <c r="AL165">
        <v>0.4032736930701134</v>
      </c>
    </row>
    <row r="166" spans="1:38" x14ac:dyDescent="0.25">
      <c r="A166">
        <v>6</v>
      </c>
      <c r="B166" s="5" t="s">
        <v>31</v>
      </c>
      <c r="C166" s="6" t="s">
        <v>5</v>
      </c>
      <c r="D166" s="6" t="s">
        <v>45</v>
      </c>
      <c r="E166" s="28">
        <v>28975.1</v>
      </c>
      <c r="F166" s="11">
        <v>10</v>
      </c>
      <c r="G166" s="11">
        <v>16</v>
      </c>
      <c r="H166" s="11">
        <f t="shared" si="30"/>
        <v>-6</v>
      </c>
      <c r="I166" s="18">
        <v>1</v>
      </c>
      <c r="J166" s="19">
        <v>0.85190615835777128</v>
      </c>
      <c r="K166" s="19">
        <v>3.5</v>
      </c>
      <c r="L166" s="6">
        <v>10567627</v>
      </c>
      <c r="M166" s="7">
        <v>3893468.5</v>
      </c>
      <c r="N166" s="7">
        <v>1956885</v>
      </c>
      <c r="O166" s="7">
        <v>11628915</v>
      </c>
      <c r="P166" s="7">
        <v>10036.6640625</v>
      </c>
      <c r="Q166" s="7">
        <v>37804.78125</v>
      </c>
      <c r="R166" s="7">
        <v>8173442.5</v>
      </c>
      <c r="S166" s="7">
        <v>2474087.75</v>
      </c>
      <c r="T166" s="31">
        <f t="shared" si="31"/>
        <v>3874.2267195312502</v>
      </c>
      <c r="U166" s="37">
        <v>2246.1111111111109</v>
      </c>
      <c r="V166">
        <f t="shared" si="32"/>
        <v>1.7248597811417885</v>
      </c>
      <c r="W166">
        <f t="shared" si="42"/>
        <v>7.6594166728128077E-3</v>
      </c>
      <c r="X166" s="28">
        <v>2035.666666666667</v>
      </c>
      <c r="Y166">
        <f t="shared" si="33"/>
        <v>0.47048549591887223</v>
      </c>
      <c r="Z166">
        <f t="shared" si="35"/>
        <v>0.17334264902300275</v>
      </c>
      <c r="AA166">
        <f t="shared" si="36"/>
        <v>8.7123250061835272E-2</v>
      </c>
      <c r="AB166">
        <f t="shared" si="37"/>
        <v>0.51773551817956964</v>
      </c>
      <c r="AC166">
        <f t="shared" si="38"/>
        <v>4.4684628524610444E-4</v>
      </c>
      <c r="AD166">
        <f t="shared" si="39"/>
        <v>1.6831215990601041E-3</v>
      </c>
      <c r="AE166">
        <f t="shared" si="40"/>
        <v>0.36389306208261196</v>
      </c>
      <c r="AF166">
        <f t="shared" si="41"/>
        <v>0.11014983799159042</v>
      </c>
      <c r="AG166">
        <f t="shared" si="34"/>
        <v>1.7248597811417883</v>
      </c>
      <c r="AH166">
        <v>0.37701681788846286</v>
      </c>
      <c r="AI166">
        <v>0.73004527043126044</v>
      </c>
      <c r="AJ166">
        <v>2.8285673848725223E-2</v>
      </c>
      <c r="AK166">
        <v>1.2965380619911579E-2</v>
      </c>
      <c r="AL166">
        <v>0.4032736930701134</v>
      </c>
    </row>
    <row r="167" spans="1:38" x14ac:dyDescent="0.25">
      <c r="A167">
        <v>6</v>
      </c>
      <c r="B167" s="5" t="s">
        <v>31</v>
      </c>
      <c r="C167" s="6" t="s">
        <v>5</v>
      </c>
      <c r="D167" s="6" t="s">
        <v>46</v>
      </c>
      <c r="E167" s="28">
        <v>28975.1</v>
      </c>
      <c r="F167" s="11">
        <v>11</v>
      </c>
      <c r="G167" s="11">
        <v>16</v>
      </c>
      <c r="H167" s="11">
        <f t="shared" si="30"/>
        <v>-5</v>
      </c>
      <c r="I167" s="18">
        <v>1</v>
      </c>
      <c r="J167" s="19">
        <v>0.85190615835777128</v>
      </c>
      <c r="K167" s="19">
        <v>3.5</v>
      </c>
      <c r="L167" s="6">
        <v>9558626</v>
      </c>
      <c r="M167" s="7">
        <v>3956650.5</v>
      </c>
      <c r="N167" s="7">
        <v>1956885</v>
      </c>
      <c r="O167" s="7">
        <v>11830686</v>
      </c>
      <c r="P167" s="7">
        <v>10036.6640625</v>
      </c>
      <c r="Q167" s="7">
        <v>52110.98046875</v>
      </c>
      <c r="R167" s="7">
        <v>8649679</v>
      </c>
      <c r="S167" s="7">
        <v>2568730.25</v>
      </c>
      <c r="T167" s="31">
        <f t="shared" si="31"/>
        <v>3858.3404394531249</v>
      </c>
      <c r="U167" s="37">
        <v>2334.5555555555552</v>
      </c>
      <c r="V167">
        <f t="shared" si="32"/>
        <v>1.652708769457814</v>
      </c>
      <c r="W167">
        <f t="shared" si="42"/>
        <v>-4.1830073651675868E-2</v>
      </c>
      <c r="X167" s="28">
        <v>2140.3833333333337</v>
      </c>
      <c r="Y167">
        <f t="shared" si="33"/>
        <v>0.40944093094093575</v>
      </c>
      <c r="Z167">
        <f t="shared" si="35"/>
        <v>0.16948195944981204</v>
      </c>
      <c r="AA167">
        <f t="shared" si="36"/>
        <v>8.3822592927514178E-2</v>
      </c>
      <c r="AB167">
        <f t="shared" si="37"/>
        <v>0.50676395221550619</v>
      </c>
      <c r="AC167">
        <f t="shared" si="38"/>
        <v>4.2991755062824242E-4</v>
      </c>
      <c r="AD167">
        <f t="shared" si="39"/>
        <v>2.2321585084896013E-3</v>
      </c>
      <c r="AE167">
        <f t="shared" si="40"/>
        <v>0.37050645376231506</v>
      </c>
      <c r="AF167">
        <f t="shared" si="41"/>
        <v>0.11003080410261293</v>
      </c>
      <c r="AG167">
        <f t="shared" si="34"/>
        <v>1.652708769457814</v>
      </c>
      <c r="AH167">
        <v>0.37701681788846286</v>
      </c>
      <c r="AI167">
        <v>0.73004527043126044</v>
      </c>
      <c r="AJ167">
        <v>2.8285673848725223E-2</v>
      </c>
      <c r="AK167">
        <v>1.2965380619911579E-2</v>
      </c>
      <c r="AL167">
        <v>0.4032736930701134</v>
      </c>
    </row>
    <row r="168" spans="1:38" x14ac:dyDescent="0.25">
      <c r="A168">
        <v>6</v>
      </c>
      <c r="B168" s="5" t="s">
        <v>31</v>
      </c>
      <c r="C168" s="6" t="s">
        <v>5</v>
      </c>
      <c r="D168" s="6" t="s">
        <v>47</v>
      </c>
      <c r="E168" s="28">
        <v>28975.1</v>
      </c>
      <c r="F168" s="11">
        <v>12</v>
      </c>
      <c r="G168" s="11">
        <v>16</v>
      </c>
      <c r="H168" s="11">
        <f t="shared" si="30"/>
        <v>-4</v>
      </c>
      <c r="I168" s="18">
        <v>1</v>
      </c>
      <c r="J168" s="19">
        <v>0.85190615835777128</v>
      </c>
      <c r="K168" s="19">
        <v>3.5</v>
      </c>
      <c r="L168" s="6">
        <v>9496110</v>
      </c>
      <c r="M168" s="7">
        <v>3914783.5</v>
      </c>
      <c r="N168" s="7">
        <v>1956885</v>
      </c>
      <c r="O168" s="7">
        <v>11715417</v>
      </c>
      <c r="P168" s="7">
        <v>10036.6640625</v>
      </c>
      <c r="Q168" s="7">
        <v>34307.9296875</v>
      </c>
      <c r="R168" s="7">
        <v>8526203</v>
      </c>
      <c r="S168" s="7">
        <v>2547928.5</v>
      </c>
      <c r="T168" s="31">
        <f t="shared" si="31"/>
        <v>3820.1671593750002</v>
      </c>
      <c r="U168" s="37">
        <v>2423</v>
      </c>
      <c r="V168">
        <f t="shared" si="32"/>
        <v>1.576626974566653</v>
      </c>
      <c r="W168">
        <f t="shared" si="42"/>
        <v>-4.6034604702993302E-2</v>
      </c>
      <c r="X168" s="28">
        <v>2245.1</v>
      </c>
      <c r="Y168">
        <f t="shared" si="33"/>
        <v>0.3919153941394965</v>
      </c>
      <c r="Z168">
        <f t="shared" si="35"/>
        <v>0.16156762278167561</v>
      </c>
      <c r="AA168">
        <f t="shared" si="36"/>
        <v>8.0762897234832848E-2</v>
      </c>
      <c r="AB168">
        <f t="shared" si="37"/>
        <v>0.48350874948411066</v>
      </c>
      <c r="AC168">
        <f t="shared" si="38"/>
        <v>4.1422468272802313E-4</v>
      </c>
      <c r="AD168">
        <f t="shared" si="39"/>
        <v>1.4159277625877011E-3</v>
      </c>
      <c r="AE168">
        <f t="shared" si="40"/>
        <v>0.35188621543541065</v>
      </c>
      <c r="AF168">
        <f t="shared" si="41"/>
        <v>0.10515594304581098</v>
      </c>
      <c r="AG168">
        <f t="shared" si="34"/>
        <v>1.576626974566653</v>
      </c>
      <c r="AH168">
        <v>0.37701681788846286</v>
      </c>
      <c r="AI168">
        <v>0.73004527043126044</v>
      </c>
      <c r="AJ168">
        <v>2.8285673848725223E-2</v>
      </c>
      <c r="AK168">
        <v>1.2965380619911579E-2</v>
      </c>
      <c r="AL168">
        <v>0.4032736930701134</v>
      </c>
    </row>
    <row r="169" spans="1:38" x14ac:dyDescent="0.25">
      <c r="A169">
        <v>6</v>
      </c>
      <c r="B169" s="5" t="s">
        <v>31</v>
      </c>
      <c r="C169" s="6" t="s">
        <v>5</v>
      </c>
      <c r="D169" s="6" t="s">
        <v>48</v>
      </c>
      <c r="E169" s="28">
        <v>28975.1</v>
      </c>
      <c r="F169" s="11">
        <v>13</v>
      </c>
      <c r="G169" s="11">
        <v>16</v>
      </c>
      <c r="H169" s="11">
        <f t="shared" si="30"/>
        <v>-3</v>
      </c>
      <c r="I169" s="18">
        <v>1</v>
      </c>
      <c r="J169" s="19">
        <v>0.85190615835777128</v>
      </c>
      <c r="K169" s="19">
        <v>3.5</v>
      </c>
      <c r="L169" s="6">
        <v>9947472</v>
      </c>
      <c r="M169" s="7">
        <v>3935943.5</v>
      </c>
      <c r="N169" s="7">
        <v>1956885</v>
      </c>
      <c r="O169" s="7">
        <v>11784040</v>
      </c>
      <c r="P169" s="7">
        <v>10036.6640625</v>
      </c>
      <c r="Q169" s="7">
        <v>16511.451171875</v>
      </c>
      <c r="R169" s="7">
        <v>8491121</v>
      </c>
      <c r="S169" s="7">
        <v>2466137.25</v>
      </c>
      <c r="T169" s="31">
        <f t="shared" si="31"/>
        <v>3860.8146865234376</v>
      </c>
      <c r="U169" s="37">
        <v>2472.5555555555552</v>
      </c>
      <c r="V169">
        <f t="shared" si="32"/>
        <v>1.5614673158095962</v>
      </c>
      <c r="W169">
        <f t="shared" si="42"/>
        <v>-9.6152476150698652E-3</v>
      </c>
      <c r="X169" s="28">
        <v>2349.8166666666666</v>
      </c>
      <c r="Y169">
        <f t="shared" si="33"/>
        <v>0.40231540915831576</v>
      </c>
      <c r="Z169">
        <f t="shared" si="35"/>
        <v>0.15918524019233363</v>
      </c>
      <c r="AA169">
        <f t="shared" si="36"/>
        <v>7.9144227744573775E-2</v>
      </c>
      <c r="AB169">
        <f t="shared" si="37"/>
        <v>0.47659353794993942</v>
      </c>
      <c r="AC169">
        <f t="shared" si="38"/>
        <v>4.0592269160337935E-4</v>
      </c>
      <c r="AD169">
        <f t="shared" si="39"/>
        <v>6.677888848554129E-4</v>
      </c>
      <c r="AE169">
        <f t="shared" si="40"/>
        <v>0.34341477104210671</v>
      </c>
      <c r="AF169">
        <f t="shared" si="41"/>
        <v>9.9740418145867982E-2</v>
      </c>
      <c r="AG169">
        <f t="shared" si="34"/>
        <v>1.5614673158095962</v>
      </c>
      <c r="AH169">
        <v>0.37701681788846286</v>
      </c>
      <c r="AI169">
        <v>0.73004527043126044</v>
      </c>
      <c r="AJ169">
        <v>2.8285673848725223E-2</v>
      </c>
      <c r="AK169">
        <v>1.2965380619911579E-2</v>
      </c>
      <c r="AL169">
        <v>0.4032736930701134</v>
      </c>
    </row>
    <row r="170" spans="1:38" x14ac:dyDescent="0.25">
      <c r="A170">
        <v>6</v>
      </c>
      <c r="B170" s="5" t="s">
        <v>31</v>
      </c>
      <c r="C170" s="6" t="s">
        <v>5</v>
      </c>
      <c r="D170" s="6" t="s">
        <v>49</v>
      </c>
      <c r="E170" s="28">
        <v>28975.1</v>
      </c>
      <c r="F170" s="11">
        <v>14</v>
      </c>
      <c r="G170" s="11">
        <v>16</v>
      </c>
      <c r="H170" s="11">
        <f t="shared" si="30"/>
        <v>-2</v>
      </c>
      <c r="I170" s="18">
        <v>1</v>
      </c>
      <c r="J170" s="19">
        <v>0.85190615835777128</v>
      </c>
      <c r="K170" s="19">
        <v>3.5</v>
      </c>
      <c r="L170" s="6">
        <v>11189031</v>
      </c>
      <c r="M170" s="7">
        <v>3780172.5</v>
      </c>
      <c r="N170" s="7">
        <v>1956885</v>
      </c>
      <c r="O170" s="7">
        <v>11317706</v>
      </c>
      <c r="P170" s="7">
        <v>10036.6640625</v>
      </c>
      <c r="Q170" s="7">
        <v>9708.365234375</v>
      </c>
      <c r="R170" s="7">
        <v>8596491</v>
      </c>
      <c r="S170" s="7">
        <v>2413382</v>
      </c>
      <c r="T170" s="31">
        <f t="shared" si="31"/>
        <v>3927.3412529296875</v>
      </c>
      <c r="U170" s="37">
        <v>2522.1111111111109</v>
      </c>
      <c r="V170">
        <f t="shared" si="32"/>
        <v>1.5571642484852721</v>
      </c>
      <c r="W170">
        <f t="shared" si="42"/>
        <v>-2.755784434778892E-3</v>
      </c>
      <c r="X170" s="28">
        <v>2454.5333333333328</v>
      </c>
      <c r="Y170">
        <f t="shared" si="33"/>
        <v>0.4436375126657563</v>
      </c>
      <c r="Z170">
        <f t="shared" si="35"/>
        <v>0.14988128331644568</v>
      </c>
      <c r="AA170">
        <f t="shared" si="36"/>
        <v>7.758916692365303E-2</v>
      </c>
      <c r="AB170">
        <f t="shared" si="37"/>
        <v>0.44873938940041419</v>
      </c>
      <c r="AC170">
        <f t="shared" si="38"/>
        <v>3.979469428719327E-4</v>
      </c>
      <c r="AD170">
        <f t="shared" si="39"/>
        <v>3.8493011634598446E-4</v>
      </c>
      <c r="AE170">
        <f t="shared" si="40"/>
        <v>0.34084505484823119</v>
      </c>
      <c r="AF170">
        <f t="shared" si="41"/>
        <v>9.5688964271553822E-2</v>
      </c>
      <c r="AG170">
        <f t="shared" si="34"/>
        <v>1.5571642484852717</v>
      </c>
      <c r="AH170">
        <v>0.37701681788846286</v>
      </c>
      <c r="AI170">
        <v>0.73004527043126044</v>
      </c>
      <c r="AJ170">
        <v>2.8285673848725223E-2</v>
      </c>
      <c r="AK170">
        <v>1.2965380619911579E-2</v>
      </c>
      <c r="AL170">
        <v>0.4032736930701134</v>
      </c>
    </row>
    <row r="171" spans="1:38" x14ac:dyDescent="0.25">
      <c r="A171">
        <v>6</v>
      </c>
      <c r="B171" s="5" t="s">
        <v>31</v>
      </c>
      <c r="C171" s="6" t="s">
        <v>5</v>
      </c>
      <c r="D171" s="6" t="s">
        <v>50</v>
      </c>
      <c r="E171" s="28">
        <v>28975.1</v>
      </c>
      <c r="F171" s="11">
        <v>15</v>
      </c>
      <c r="G171" s="11">
        <v>16</v>
      </c>
      <c r="H171" s="11">
        <f t="shared" si="30"/>
        <v>-1</v>
      </c>
      <c r="I171" s="18">
        <v>1</v>
      </c>
      <c r="J171" s="19">
        <v>0.85190615835777128</v>
      </c>
      <c r="K171" s="19">
        <v>3.5</v>
      </c>
      <c r="L171" s="6">
        <v>11906710</v>
      </c>
      <c r="M171" s="7">
        <v>3673092.75</v>
      </c>
      <c r="N171" s="7">
        <v>1956885</v>
      </c>
      <c r="O171" s="7">
        <v>11003431</v>
      </c>
      <c r="P171" s="7">
        <v>10036.6640625</v>
      </c>
      <c r="Q171" s="7">
        <v>13632.4638671875</v>
      </c>
      <c r="R171" s="7">
        <v>8233144</v>
      </c>
      <c r="S171" s="7">
        <v>2440648</v>
      </c>
      <c r="T171" s="31">
        <f t="shared" si="31"/>
        <v>3923.7579877929688</v>
      </c>
      <c r="U171" s="37">
        <v>2571.6666666666665</v>
      </c>
      <c r="V171">
        <f t="shared" si="32"/>
        <v>1.5257646096408175</v>
      </c>
      <c r="W171">
        <f t="shared" si="42"/>
        <v>-2.0164628667141922E-2</v>
      </c>
      <c r="X171" s="28">
        <v>2559.2499999999995</v>
      </c>
      <c r="Y171">
        <f t="shared" si="33"/>
        <v>0.46299585223590412</v>
      </c>
      <c r="Z171">
        <f t="shared" si="35"/>
        <v>0.14282927090084252</v>
      </c>
      <c r="AA171">
        <f t="shared" si="36"/>
        <v>7.6094037589112123E-2</v>
      </c>
      <c r="AB171">
        <f t="shared" si="37"/>
        <v>0.42787158781594298</v>
      </c>
      <c r="AC171">
        <f t="shared" si="38"/>
        <v>3.9027857663642256E-4</v>
      </c>
      <c r="AD171">
        <f t="shared" si="39"/>
        <v>5.3010228906756325E-4</v>
      </c>
      <c r="AE171">
        <f t="shared" si="40"/>
        <v>0.32014817887232666</v>
      </c>
      <c r="AF171">
        <f t="shared" si="41"/>
        <v>9.49053013609851E-2</v>
      </c>
      <c r="AG171">
        <f t="shared" si="34"/>
        <v>1.5257646096408173</v>
      </c>
      <c r="AH171">
        <v>0.37701681788846286</v>
      </c>
      <c r="AI171">
        <v>0.73004527043126044</v>
      </c>
      <c r="AJ171">
        <v>2.8285673848725223E-2</v>
      </c>
      <c r="AK171">
        <v>1.2965380619911579E-2</v>
      </c>
      <c r="AL171">
        <v>0.4032736930701134</v>
      </c>
    </row>
    <row r="172" spans="1:38" x14ac:dyDescent="0.25">
      <c r="A172">
        <v>6</v>
      </c>
      <c r="B172" s="5" t="s">
        <v>31</v>
      </c>
      <c r="C172" s="6" t="s">
        <v>5</v>
      </c>
      <c r="D172" s="6" t="s">
        <v>51</v>
      </c>
      <c r="E172" s="28">
        <v>28975.1</v>
      </c>
      <c r="F172" s="11">
        <v>16</v>
      </c>
      <c r="G172" s="11">
        <v>16</v>
      </c>
      <c r="H172" s="11">
        <f t="shared" si="30"/>
        <v>0</v>
      </c>
      <c r="I172" s="18">
        <v>1</v>
      </c>
      <c r="J172" s="19">
        <v>0.85190615835777128</v>
      </c>
      <c r="K172" s="19">
        <v>3.5</v>
      </c>
      <c r="L172" s="6">
        <v>10395084</v>
      </c>
      <c r="M172" s="7">
        <v>3832770.5</v>
      </c>
      <c r="N172" s="7">
        <v>1956885</v>
      </c>
      <c r="O172" s="7">
        <v>11479839</v>
      </c>
      <c r="P172" s="7">
        <v>10036.6640625</v>
      </c>
      <c r="Q172" s="7">
        <v>38169.58203125</v>
      </c>
      <c r="R172" s="7">
        <v>8131472</v>
      </c>
      <c r="S172" s="7">
        <v>2486123.5</v>
      </c>
      <c r="T172" s="31">
        <f t="shared" si="31"/>
        <v>3833.038024609375</v>
      </c>
      <c r="U172" s="37">
        <v>2634.7777777777778</v>
      </c>
      <c r="V172">
        <f t="shared" si="32"/>
        <v>1.4547860760546694</v>
      </c>
      <c r="W172">
        <f t="shared" si="42"/>
        <v>-4.6519976369655935E-2</v>
      </c>
      <c r="X172" s="28">
        <v>2663.9666666666662</v>
      </c>
      <c r="Y172">
        <f t="shared" si="33"/>
        <v>0.39453361447307383</v>
      </c>
      <c r="Z172">
        <f t="shared" si="35"/>
        <v>0.14546845401256694</v>
      </c>
      <c r="AA172">
        <f t="shared" si="36"/>
        <v>7.4271349049044824E-2</v>
      </c>
      <c r="AB172">
        <f t="shared" si="37"/>
        <v>0.43570425926706868</v>
      </c>
      <c r="AC172">
        <f t="shared" si="38"/>
        <v>3.80930192563151E-4</v>
      </c>
      <c r="AD172">
        <f t="shared" si="39"/>
        <v>1.4486831623213006E-3</v>
      </c>
      <c r="AE172">
        <f t="shared" si="40"/>
        <v>0.30862079028381056</v>
      </c>
      <c r="AF172">
        <f t="shared" si="41"/>
        <v>9.435799561422005E-2</v>
      </c>
      <c r="AG172">
        <f t="shared" si="34"/>
        <v>1.4547860760546694</v>
      </c>
      <c r="AH172">
        <v>0.37701681788846286</v>
      </c>
      <c r="AI172">
        <v>0.73004527043126044</v>
      </c>
      <c r="AJ172">
        <v>2.8285673848725223E-2</v>
      </c>
      <c r="AK172">
        <v>1.2965380619911579E-2</v>
      </c>
      <c r="AL172">
        <v>0.4032736930701134</v>
      </c>
    </row>
    <row r="173" spans="1:38" x14ac:dyDescent="0.25">
      <c r="A173">
        <v>6</v>
      </c>
      <c r="B173" s="5" t="s">
        <v>31</v>
      </c>
      <c r="C173" s="6" t="s">
        <v>5</v>
      </c>
      <c r="D173" s="6" t="s">
        <v>52</v>
      </c>
      <c r="E173" s="28">
        <v>28975.1</v>
      </c>
      <c r="F173" s="11">
        <v>17</v>
      </c>
      <c r="G173" s="11">
        <v>16</v>
      </c>
      <c r="H173" s="11">
        <f t="shared" si="30"/>
        <v>1</v>
      </c>
      <c r="I173" s="18">
        <v>1</v>
      </c>
      <c r="J173" s="19">
        <v>0.85190615835777128</v>
      </c>
      <c r="K173" s="19">
        <v>3.5</v>
      </c>
      <c r="L173" s="6">
        <v>10230043</v>
      </c>
      <c r="M173" s="7">
        <v>3943006</v>
      </c>
      <c r="N173" s="7">
        <v>1956885</v>
      </c>
      <c r="O173" s="7">
        <v>11797067</v>
      </c>
      <c r="P173" s="7">
        <v>10036.6640625</v>
      </c>
      <c r="Q173" s="7">
        <v>52643.39453125</v>
      </c>
      <c r="R173" s="7">
        <v>8638920</v>
      </c>
      <c r="S173" s="7">
        <v>2580426.5</v>
      </c>
      <c r="T173" s="31">
        <f t="shared" si="31"/>
        <v>3920.9027558593748</v>
      </c>
      <c r="U173" s="37">
        <v>2697.8888888888887</v>
      </c>
      <c r="V173">
        <f t="shared" si="32"/>
        <v>1.4533225486073216</v>
      </c>
      <c r="W173">
        <f t="shared" si="42"/>
        <v>-1.0060086987612824E-3</v>
      </c>
      <c r="X173" s="28">
        <v>2768.6833333333325</v>
      </c>
      <c r="Y173">
        <f t="shared" si="33"/>
        <v>0.37918696511675798</v>
      </c>
      <c r="Z173">
        <f t="shared" si="35"/>
        <v>0.14615153412132945</v>
      </c>
      <c r="AA173">
        <f t="shared" si="36"/>
        <v>7.2533935999341048E-2</v>
      </c>
      <c r="AB173">
        <f t="shared" si="37"/>
        <v>0.43727030600057659</v>
      </c>
      <c r="AC173">
        <f t="shared" si="38"/>
        <v>3.7201917780363251E-4</v>
      </c>
      <c r="AD173">
        <f t="shared" si="39"/>
        <v>1.9512810460081958E-3</v>
      </c>
      <c r="AE173">
        <f t="shared" si="40"/>
        <v>0.32021037024834237</v>
      </c>
      <c r="AF173">
        <f t="shared" si="41"/>
        <v>9.5646136897162393E-2</v>
      </c>
      <c r="AG173">
        <f t="shared" si="34"/>
        <v>1.4533225486073218</v>
      </c>
      <c r="AH173">
        <v>0.37701681788846286</v>
      </c>
      <c r="AI173">
        <v>0.73004527043126044</v>
      </c>
      <c r="AJ173">
        <v>2.8285673848725223E-2</v>
      </c>
      <c r="AK173">
        <v>1.2965380619911579E-2</v>
      </c>
      <c r="AL173">
        <v>0.4032736930701134</v>
      </c>
    </row>
    <row r="174" spans="1:38" x14ac:dyDescent="0.25">
      <c r="A174">
        <v>6</v>
      </c>
      <c r="B174" s="5" t="s">
        <v>31</v>
      </c>
      <c r="C174" s="6" t="s">
        <v>5</v>
      </c>
      <c r="D174" s="6" t="s">
        <v>53</v>
      </c>
      <c r="E174" s="28">
        <v>28975.1</v>
      </c>
      <c r="F174" s="11">
        <v>18</v>
      </c>
      <c r="G174" s="11">
        <v>16</v>
      </c>
      <c r="H174" s="11">
        <f t="shared" si="30"/>
        <v>2</v>
      </c>
      <c r="I174" s="18">
        <v>1</v>
      </c>
      <c r="J174" s="19">
        <v>0.85190615835777128</v>
      </c>
      <c r="K174" s="19">
        <v>3.5</v>
      </c>
      <c r="L174" s="6">
        <v>10926466</v>
      </c>
      <c r="M174" s="7">
        <v>3927960.5</v>
      </c>
      <c r="N174" s="7">
        <v>1956885</v>
      </c>
      <c r="O174" s="7">
        <v>11750027</v>
      </c>
      <c r="P174" s="7">
        <v>10036.6640625</v>
      </c>
      <c r="Q174" s="7">
        <v>34738.4609375</v>
      </c>
      <c r="R174" s="7">
        <v>8559282</v>
      </c>
      <c r="S174" s="7">
        <v>2544827</v>
      </c>
      <c r="T174" s="31">
        <f t="shared" si="31"/>
        <v>3971.0222625000001</v>
      </c>
      <c r="U174" s="37">
        <v>2761</v>
      </c>
      <c r="V174">
        <f t="shared" si="32"/>
        <v>1.4382550751539298</v>
      </c>
      <c r="W174">
        <f t="shared" si="42"/>
        <v>-1.0367604540251926E-2</v>
      </c>
      <c r="X174" s="28">
        <v>2873.3999999999992</v>
      </c>
      <c r="Y174">
        <f t="shared" si="33"/>
        <v>0.39574306410720755</v>
      </c>
      <c r="Z174">
        <f t="shared" si="35"/>
        <v>0.14226586381745746</v>
      </c>
      <c r="AA174">
        <f t="shared" si="36"/>
        <v>7.0875950742484609E-2</v>
      </c>
      <c r="AB174">
        <f t="shared" si="37"/>
        <v>0.42557142339731979</v>
      </c>
      <c r="AC174">
        <f t="shared" si="38"/>
        <v>3.6351554011227816E-4</v>
      </c>
      <c r="AD174">
        <f t="shared" si="39"/>
        <v>1.2581840252625859E-3</v>
      </c>
      <c r="AE174">
        <f t="shared" si="40"/>
        <v>0.31000659181455992</v>
      </c>
      <c r="AF174">
        <f t="shared" si="41"/>
        <v>9.2170481709525534E-2</v>
      </c>
      <c r="AG174">
        <f t="shared" si="34"/>
        <v>1.4382550751539296</v>
      </c>
      <c r="AH174">
        <v>0.37701681788846286</v>
      </c>
      <c r="AI174">
        <v>0.73004527043126044</v>
      </c>
      <c r="AJ174">
        <v>2.8285673848725223E-2</v>
      </c>
      <c r="AK174">
        <v>1.2965380619911579E-2</v>
      </c>
      <c r="AL174">
        <v>0.4032736930701134</v>
      </c>
    </row>
    <row r="175" spans="1:38" s="20" customFormat="1" x14ac:dyDescent="0.25">
      <c r="A175">
        <v>6</v>
      </c>
      <c r="B175" s="5" t="s">
        <v>31</v>
      </c>
      <c r="C175" s="6" t="s">
        <v>5</v>
      </c>
      <c r="D175" s="6" t="s">
        <v>54</v>
      </c>
      <c r="E175" s="28">
        <v>28975.1</v>
      </c>
      <c r="F175" s="11">
        <v>19</v>
      </c>
      <c r="G175" s="11">
        <v>16</v>
      </c>
      <c r="H175" s="11">
        <f t="shared" si="30"/>
        <v>3</v>
      </c>
      <c r="I175" s="18">
        <v>1</v>
      </c>
      <c r="J175" s="19">
        <v>0.85190615835777128</v>
      </c>
      <c r="K175" s="19">
        <v>3.5</v>
      </c>
      <c r="L175" s="6">
        <v>12188029</v>
      </c>
      <c r="M175" s="7">
        <v>3963151</v>
      </c>
      <c r="N175" s="7">
        <v>1957824.375</v>
      </c>
      <c r="O175" s="7">
        <v>11854732</v>
      </c>
      <c r="P175" s="7">
        <v>10041.482421875</v>
      </c>
      <c r="Q175" s="7">
        <v>16383.2763671875</v>
      </c>
      <c r="R175" s="7">
        <v>8561835</v>
      </c>
      <c r="S175" s="7">
        <v>2445698</v>
      </c>
      <c r="T175" s="31">
        <f t="shared" si="31"/>
        <v>4099.7694133789064</v>
      </c>
      <c r="U175" s="37">
        <v>2824.1111111111113</v>
      </c>
      <c r="V175">
        <f t="shared" si="32"/>
        <v>1.4517025896215192</v>
      </c>
      <c r="W175">
        <f t="shared" si="42"/>
        <v>9.3498814639330786E-3</v>
      </c>
      <c r="X175" s="28">
        <v>2978.1166666666659</v>
      </c>
      <c r="Y175">
        <f t="shared" si="33"/>
        <v>0.43157044891214535</v>
      </c>
      <c r="Z175">
        <f t="shared" si="35"/>
        <v>0.14033268678443561</v>
      </c>
      <c r="AA175">
        <f t="shared" si="36"/>
        <v>6.932533097926584E-2</v>
      </c>
      <c r="AB175">
        <f t="shared" si="37"/>
        <v>0.41976861155919259</v>
      </c>
      <c r="AC175">
        <f t="shared" si="38"/>
        <v>3.5556258329808786E-4</v>
      </c>
      <c r="AD175">
        <f t="shared" si="39"/>
        <v>5.8012152222798705E-4</v>
      </c>
      <c r="AE175">
        <f t="shared" si="40"/>
        <v>0.3031691977810127</v>
      </c>
      <c r="AF175">
        <f t="shared" si="41"/>
        <v>8.6600629499940976E-2</v>
      </c>
      <c r="AG175">
        <f t="shared" si="34"/>
        <v>1.4517025896215192</v>
      </c>
      <c r="AH175" s="20">
        <v>0.37701681788846286</v>
      </c>
      <c r="AI175" s="20">
        <v>0.73004527043126044</v>
      </c>
      <c r="AJ175" s="20">
        <v>2.8285673848725223E-2</v>
      </c>
      <c r="AK175" s="20">
        <v>1.2965380619911579E-2</v>
      </c>
      <c r="AL175" s="20">
        <v>0.4032736930701134</v>
      </c>
    </row>
    <row r="176" spans="1:38" x14ac:dyDescent="0.25">
      <c r="A176">
        <v>6</v>
      </c>
      <c r="B176" s="5" t="s">
        <v>31</v>
      </c>
      <c r="C176" s="6" t="s">
        <v>5</v>
      </c>
      <c r="D176" s="6" t="s">
        <v>55</v>
      </c>
      <c r="E176" s="29">
        <v>30209.4</v>
      </c>
      <c r="F176" s="11">
        <v>20</v>
      </c>
      <c r="G176" s="11">
        <v>16</v>
      </c>
      <c r="H176" s="18">
        <f t="shared" si="30"/>
        <v>4</v>
      </c>
      <c r="I176" s="18">
        <v>1</v>
      </c>
      <c r="J176" s="19">
        <v>0.85190615835777128</v>
      </c>
      <c r="K176" s="19">
        <v>3.5</v>
      </c>
      <c r="L176" s="14">
        <v>8435764</v>
      </c>
      <c r="M176" s="16">
        <v>3803949.5</v>
      </c>
      <c r="N176" s="16">
        <v>4168324.5</v>
      </c>
      <c r="O176" s="16">
        <v>9412669</v>
      </c>
      <c r="P176" s="16">
        <v>10419.498046875</v>
      </c>
      <c r="Q176" s="16">
        <v>10770.0517578125</v>
      </c>
      <c r="R176" s="16">
        <v>10863344</v>
      </c>
      <c r="S176" s="16">
        <v>2925334.75</v>
      </c>
      <c r="T176" s="31">
        <f t="shared" si="31"/>
        <v>3963.0575299804686</v>
      </c>
      <c r="U176" s="37">
        <v>2242.5555555555552</v>
      </c>
      <c r="V176">
        <f t="shared" si="32"/>
        <v>1.7672059540120013</v>
      </c>
      <c r="W176">
        <f t="shared" si="42"/>
        <v>0.21733333442130084</v>
      </c>
      <c r="X176" s="29">
        <v>1883.4374999999989</v>
      </c>
      <c r="Y176">
        <f t="shared" si="33"/>
        <v>0.37616744785215289</v>
      </c>
      <c r="Z176">
        <f t="shared" si="35"/>
        <v>0.16962565277708966</v>
      </c>
      <c r="AA176">
        <f t="shared" si="36"/>
        <v>0.18587385671109352</v>
      </c>
      <c r="AB176">
        <f t="shared" si="37"/>
        <v>0.4197295793489571</v>
      </c>
      <c r="AC176">
        <f t="shared" si="38"/>
        <v>4.646260834458456E-4</v>
      </c>
      <c r="AD176">
        <f t="shared" si="39"/>
        <v>4.8025796868806676E-4</v>
      </c>
      <c r="AE176">
        <f t="shared" si="40"/>
        <v>0.48441805479859296</v>
      </c>
      <c r="AF176">
        <f t="shared" si="41"/>
        <v>0.1304464784719814</v>
      </c>
      <c r="AG176">
        <f t="shared" si="34"/>
        <v>1.7672059540120013</v>
      </c>
      <c r="AH176">
        <v>0.36759419253609799</v>
      </c>
      <c r="AI176">
        <v>0.73505499760879967</v>
      </c>
      <c r="AJ176">
        <v>2.8184581376070737E-2</v>
      </c>
      <c r="AK176">
        <v>1.2983541546670904E-2</v>
      </c>
      <c r="AL176">
        <v>0.41906953540650793</v>
      </c>
    </row>
    <row r="177" spans="1:38" x14ac:dyDescent="0.25">
      <c r="A177">
        <v>6</v>
      </c>
      <c r="B177" s="5" t="s">
        <v>31</v>
      </c>
      <c r="C177" s="6" t="s">
        <v>5</v>
      </c>
      <c r="D177" s="6" t="s">
        <v>56</v>
      </c>
      <c r="E177" s="29">
        <v>30209.4</v>
      </c>
      <c r="F177" s="11">
        <v>21</v>
      </c>
      <c r="G177" s="11">
        <v>16</v>
      </c>
      <c r="H177" s="11">
        <f t="shared" si="30"/>
        <v>5</v>
      </c>
      <c r="I177" s="18">
        <v>1</v>
      </c>
      <c r="J177" s="19">
        <v>0.85190615835777128</v>
      </c>
      <c r="K177" s="19">
        <v>3.5</v>
      </c>
      <c r="L177" s="6">
        <v>8097263.5</v>
      </c>
      <c r="M177" s="7">
        <v>3728227.25</v>
      </c>
      <c r="N177" s="7">
        <v>3625494.75</v>
      </c>
      <c r="O177" s="7">
        <v>9366029</v>
      </c>
      <c r="P177" s="7">
        <v>10419.498046875</v>
      </c>
      <c r="Q177" s="7">
        <v>15208.5498046875</v>
      </c>
      <c r="R177" s="7">
        <v>10634181</v>
      </c>
      <c r="S177" s="7">
        <v>2966957.5</v>
      </c>
      <c r="T177" s="31">
        <f t="shared" si="31"/>
        <v>3844.3781047851562</v>
      </c>
      <c r="U177" s="37">
        <v>2319.6666666666665</v>
      </c>
      <c r="V177">
        <f t="shared" si="32"/>
        <v>1.6572976454024242</v>
      </c>
      <c r="W177">
        <f t="shared" si="42"/>
        <v>-6.2193265227551808E-2</v>
      </c>
      <c r="X177" s="29">
        <v>1998.712499999999</v>
      </c>
      <c r="Y177">
        <f t="shared" si="33"/>
        <v>0.34907013220290273</v>
      </c>
      <c r="Z177">
        <f t="shared" si="35"/>
        <v>0.16072254275039519</v>
      </c>
      <c r="AA177">
        <f t="shared" si="36"/>
        <v>0.1562937814341141</v>
      </c>
      <c r="AB177">
        <f t="shared" si="37"/>
        <v>0.40376615893088091</v>
      </c>
      <c r="AC177">
        <f t="shared" si="38"/>
        <v>4.491808325998707E-4</v>
      </c>
      <c r="AD177">
        <f t="shared" si="39"/>
        <v>6.5563514030841366E-4</v>
      </c>
      <c r="AE177">
        <f t="shared" si="40"/>
        <v>0.45843573789337549</v>
      </c>
      <c r="AF177">
        <f t="shared" si="41"/>
        <v>0.1279044762178474</v>
      </c>
      <c r="AG177">
        <f t="shared" si="34"/>
        <v>1.6572976454024242</v>
      </c>
      <c r="AH177">
        <v>0.36759419253609799</v>
      </c>
      <c r="AI177">
        <v>0.73505499760879967</v>
      </c>
      <c r="AJ177">
        <v>2.8184581376070737E-2</v>
      </c>
      <c r="AK177">
        <v>1.2983541546670904E-2</v>
      </c>
      <c r="AL177">
        <v>0.41906953540650793</v>
      </c>
    </row>
    <row r="178" spans="1:38" x14ac:dyDescent="0.25">
      <c r="A178">
        <v>6</v>
      </c>
      <c r="B178" s="5" t="s">
        <v>31</v>
      </c>
      <c r="C178" s="6" t="s">
        <v>5</v>
      </c>
      <c r="D178" s="6" t="s">
        <v>57</v>
      </c>
      <c r="E178" s="29">
        <v>30209.4</v>
      </c>
      <c r="F178" s="11">
        <v>22</v>
      </c>
      <c r="G178" s="11">
        <v>16</v>
      </c>
      <c r="H178" s="11">
        <f t="shared" si="30"/>
        <v>6</v>
      </c>
      <c r="I178" s="18">
        <v>1</v>
      </c>
      <c r="J178" s="19">
        <v>0.85190615835777128</v>
      </c>
      <c r="K178" s="19">
        <v>3.5</v>
      </c>
      <c r="L178" s="6">
        <v>7977276</v>
      </c>
      <c r="M178" s="7">
        <v>3870487.25</v>
      </c>
      <c r="N178" s="7">
        <v>2351848.5</v>
      </c>
      <c r="O178" s="7">
        <v>10654331</v>
      </c>
      <c r="P178" s="7">
        <v>10419.498046875</v>
      </c>
      <c r="Q178" s="7">
        <v>43378.12109375</v>
      </c>
      <c r="R178" s="7">
        <v>11047816</v>
      </c>
      <c r="S178" s="7">
        <v>3038012</v>
      </c>
      <c r="T178" s="31">
        <f t="shared" si="31"/>
        <v>3899.3568369140626</v>
      </c>
      <c r="U178" s="37">
        <v>2396.7777777777778</v>
      </c>
      <c r="V178">
        <f t="shared" si="32"/>
        <v>1.626916301155559</v>
      </c>
      <c r="W178">
        <f t="shared" si="42"/>
        <v>-1.8331857485676957E-2</v>
      </c>
      <c r="X178" s="29">
        <v>2113.9874999999993</v>
      </c>
      <c r="Y178">
        <f t="shared" si="33"/>
        <v>0.3328333596031709</v>
      </c>
      <c r="Z178">
        <f t="shared" si="35"/>
        <v>0.16148711348569839</v>
      </c>
      <c r="AA178">
        <f t="shared" si="36"/>
        <v>9.8125429975429973E-2</v>
      </c>
      <c r="AB178">
        <f t="shared" si="37"/>
        <v>0.44452727736312647</v>
      </c>
      <c r="AC178">
        <f t="shared" si="38"/>
        <v>4.3472941644742946E-4</v>
      </c>
      <c r="AD178">
        <f t="shared" si="39"/>
        <v>1.8098516055989524E-3</v>
      </c>
      <c r="AE178">
        <f t="shared" si="40"/>
        <v>0.46094452737471603</v>
      </c>
      <c r="AF178">
        <f t="shared" si="41"/>
        <v>0.12675401233137082</v>
      </c>
      <c r="AG178">
        <f t="shared" si="34"/>
        <v>1.626916301155559</v>
      </c>
      <c r="AH178">
        <v>0.36759419253609799</v>
      </c>
      <c r="AI178">
        <v>0.73505499760879967</v>
      </c>
      <c r="AJ178">
        <v>2.8184581376070737E-2</v>
      </c>
      <c r="AK178">
        <v>1.2983541546670904E-2</v>
      </c>
      <c r="AL178">
        <v>0.41906953540650793</v>
      </c>
    </row>
    <row r="179" spans="1:38" x14ac:dyDescent="0.25">
      <c r="A179">
        <v>6</v>
      </c>
      <c r="B179" s="5" t="s">
        <v>31</v>
      </c>
      <c r="C179" s="6" t="s">
        <v>5</v>
      </c>
      <c r="D179" s="6" t="s">
        <v>58</v>
      </c>
      <c r="E179" s="29">
        <v>30209.4</v>
      </c>
      <c r="F179" s="11">
        <v>23</v>
      </c>
      <c r="G179" s="11">
        <v>16</v>
      </c>
      <c r="H179" s="11">
        <f t="shared" si="30"/>
        <v>7</v>
      </c>
      <c r="I179" s="18">
        <v>1</v>
      </c>
      <c r="J179" s="19">
        <v>0.85190615835777128</v>
      </c>
      <c r="K179" s="19">
        <v>3.5</v>
      </c>
      <c r="L179" s="6">
        <v>8402940</v>
      </c>
      <c r="M179" s="7">
        <v>3933437.5</v>
      </c>
      <c r="N179" s="7">
        <v>1533376.125</v>
      </c>
      <c r="O179" s="7">
        <v>9637052</v>
      </c>
      <c r="P179" s="7">
        <v>10419.498046875</v>
      </c>
      <c r="Q179" s="7">
        <v>59793.3984375</v>
      </c>
      <c r="R179" s="7">
        <v>11238974</v>
      </c>
      <c r="S179" s="7">
        <v>3151982</v>
      </c>
      <c r="T179" s="31">
        <f t="shared" si="31"/>
        <v>3796.7974521484375</v>
      </c>
      <c r="U179" s="37">
        <v>2473.8888888888887</v>
      </c>
      <c r="V179">
        <f t="shared" si="32"/>
        <v>1.5347485771091822</v>
      </c>
      <c r="W179">
        <f t="shared" si="42"/>
        <v>-5.6651792093368451E-2</v>
      </c>
      <c r="X179" s="29">
        <v>2229.2624999999994</v>
      </c>
      <c r="Y179">
        <f t="shared" si="33"/>
        <v>0.33966521446216036</v>
      </c>
      <c r="Z179">
        <f t="shared" si="35"/>
        <v>0.1589981473164159</v>
      </c>
      <c r="AA179">
        <f t="shared" si="36"/>
        <v>6.1982416909948358E-2</v>
      </c>
      <c r="AB179">
        <f t="shared" si="37"/>
        <v>0.38955072086234005</v>
      </c>
      <c r="AC179">
        <f t="shared" si="38"/>
        <v>4.2117890151302496E-4</v>
      </c>
      <c r="AD179">
        <f t="shared" si="39"/>
        <v>2.416979950314395E-3</v>
      </c>
      <c r="AE179">
        <f t="shared" si="40"/>
        <v>0.45430391196945885</v>
      </c>
      <c r="AF179">
        <f t="shared" si="41"/>
        <v>0.12741000673703123</v>
      </c>
      <c r="AG179">
        <f t="shared" si="34"/>
        <v>1.5347485771091822</v>
      </c>
      <c r="AH179">
        <v>0.36759419253609799</v>
      </c>
      <c r="AI179">
        <v>0.73505499760879967</v>
      </c>
      <c r="AJ179">
        <v>2.8184581376070737E-2</v>
      </c>
      <c r="AK179">
        <v>1.2983541546670904E-2</v>
      </c>
      <c r="AL179">
        <v>0.41906953540650793</v>
      </c>
    </row>
    <row r="180" spans="1:38" x14ac:dyDescent="0.25">
      <c r="A180">
        <v>6</v>
      </c>
      <c r="B180" s="5" t="s">
        <v>31</v>
      </c>
      <c r="C180" s="6" t="s">
        <v>5</v>
      </c>
      <c r="D180" s="6" t="s">
        <v>59</v>
      </c>
      <c r="E180" s="29">
        <v>30209.4</v>
      </c>
      <c r="F180" s="11">
        <v>24</v>
      </c>
      <c r="G180" s="11">
        <v>16</v>
      </c>
      <c r="H180" s="11">
        <f t="shared" si="30"/>
        <v>8</v>
      </c>
      <c r="I180" s="18">
        <v>1</v>
      </c>
      <c r="J180" s="19">
        <v>0.85190615835777128</v>
      </c>
      <c r="K180" s="19">
        <v>3.5</v>
      </c>
      <c r="L180" s="6">
        <v>8289266.5</v>
      </c>
      <c r="M180" s="7">
        <v>3891949.25</v>
      </c>
      <c r="N180" s="7">
        <v>979490.5</v>
      </c>
      <c r="O180" s="7">
        <v>9574022</v>
      </c>
      <c r="P180" s="7">
        <v>10419.498046875</v>
      </c>
      <c r="Q180" s="7">
        <v>39365.75</v>
      </c>
      <c r="R180" s="7">
        <v>11129180</v>
      </c>
      <c r="S180" s="7">
        <v>3127367</v>
      </c>
      <c r="T180" s="31">
        <f t="shared" si="31"/>
        <v>3704.1060498046877</v>
      </c>
      <c r="U180" s="37">
        <v>2551</v>
      </c>
      <c r="V180">
        <f t="shared" si="32"/>
        <v>1.4520211876929392</v>
      </c>
      <c r="W180">
        <f t="shared" si="42"/>
        <v>-5.3902893705278079E-2</v>
      </c>
      <c r="X180" s="29">
        <v>2344.5374999999999</v>
      </c>
      <c r="Y180">
        <f t="shared" si="33"/>
        <v>0.32494184633477063</v>
      </c>
      <c r="Z180">
        <f t="shared" si="35"/>
        <v>0.15256563112504901</v>
      </c>
      <c r="AA180">
        <f t="shared" si="36"/>
        <v>3.8396334770678164E-2</v>
      </c>
      <c r="AB180">
        <f t="shared" si="37"/>
        <v>0.37530466483731872</v>
      </c>
      <c r="AC180">
        <f t="shared" si="38"/>
        <v>4.0844759101822816E-4</v>
      </c>
      <c r="AD180">
        <f t="shared" si="39"/>
        <v>1.5431497451979617E-3</v>
      </c>
      <c r="AE180">
        <f t="shared" si="40"/>
        <v>0.43626734613876916</v>
      </c>
      <c r="AF180">
        <f t="shared" si="41"/>
        <v>0.1225937671501372</v>
      </c>
      <c r="AG180">
        <f t="shared" si="34"/>
        <v>1.452021187692939</v>
      </c>
      <c r="AH180">
        <v>0.36759419253609799</v>
      </c>
      <c r="AI180">
        <v>0.73505499760879967</v>
      </c>
      <c r="AJ180">
        <v>2.8184581376070737E-2</v>
      </c>
      <c r="AK180">
        <v>1.2983541546670904E-2</v>
      </c>
      <c r="AL180">
        <v>0.41906953540650793</v>
      </c>
    </row>
    <row r="181" spans="1:38" x14ac:dyDescent="0.25">
      <c r="A181">
        <v>6</v>
      </c>
      <c r="B181" s="5" t="s">
        <v>31</v>
      </c>
      <c r="C181" s="6" t="s">
        <v>5</v>
      </c>
      <c r="D181" s="6" t="s">
        <v>60</v>
      </c>
      <c r="E181" s="29">
        <v>30209.4</v>
      </c>
      <c r="F181" s="11">
        <v>25</v>
      </c>
      <c r="G181" s="11">
        <v>16</v>
      </c>
      <c r="H181" s="11">
        <f t="shared" si="30"/>
        <v>9</v>
      </c>
      <c r="I181" s="18">
        <v>1</v>
      </c>
      <c r="J181" s="19">
        <v>0.85190615835777128</v>
      </c>
      <c r="K181" s="19">
        <v>3.5</v>
      </c>
      <c r="L181" s="6">
        <v>8255510.5</v>
      </c>
      <c r="M181" s="7">
        <v>3913072</v>
      </c>
      <c r="N181" s="7">
        <v>543794.25</v>
      </c>
      <c r="O181" s="7">
        <v>10029087</v>
      </c>
      <c r="P181" s="7">
        <v>10419.498046875</v>
      </c>
      <c r="Q181" s="7">
        <v>18945.638671875</v>
      </c>
      <c r="R181" s="7">
        <v>11194190</v>
      </c>
      <c r="S181" s="7">
        <v>3027948.5</v>
      </c>
      <c r="T181" s="31">
        <f t="shared" si="31"/>
        <v>3699.2967386718751</v>
      </c>
      <c r="U181" s="37">
        <v>2591.2222222222222</v>
      </c>
      <c r="V181">
        <f t="shared" si="32"/>
        <v>1.4276262016228669</v>
      </c>
      <c r="W181">
        <f t="shared" si="42"/>
        <v>-1.6800709436501093E-2</v>
      </c>
      <c r="X181" s="29">
        <v>2459.8125</v>
      </c>
      <c r="Y181">
        <f t="shared" si="33"/>
        <v>0.31859523390935213</v>
      </c>
      <c r="Z181">
        <f t="shared" si="35"/>
        <v>0.1510125980875606</v>
      </c>
      <c r="AA181">
        <f t="shared" si="36"/>
        <v>2.0986013678658721E-2</v>
      </c>
      <c r="AB181">
        <f t="shared" si="37"/>
        <v>0.38704079156125382</v>
      </c>
      <c r="AC181">
        <f t="shared" si="38"/>
        <v>4.0210746718354702E-4</v>
      </c>
      <c r="AD181">
        <f t="shared" si="39"/>
        <v>7.3114681208728187E-4</v>
      </c>
      <c r="AE181">
        <f t="shared" si="40"/>
        <v>0.4320042451009819</v>
      </c>
      <c r="AF181">
        <f t="shared" si="41"/>
        <v>0.11685406500578877</v>
      </c>
      <c r="AG181">
        <f t="shared" si="34"/>
        <v>1.4276262016228667</v>
      </c>
      <c r="AH181">
        <v>0.36759419253609799</v>
      </c>
      <c r="AI181">
        <v>0.73505499760879967</v>
      </c>
      <c r="AJ181">
        <v>2.8184581376070737E-2</v>
      </c>
      <c r="AK181">
        <v>1.2983541546670904E-2</v>
      </c>
      <c r="AL181">
        <v>0.41906953540650793</v>
      </c>
    </row>
    <row r="182" spans="1:38" x14ac:dyDescent="0.25">
      <c r="A182">
        <v>6</v>
      </c>
      <c r="B182" s="5" t="s">
        <v>31</v>
      </c>
      <c r="C182" s="6" t="s">
        <v>5</v>
      </c>
      <c r="D182" s="6" t="s">
        <v>61</v>
      </c>
      <c r="E182" s="29">
        <v>30209.4</v>
      </c>
      <c r="F182" s="11">
        <v>26</v>
      </c>
      <c r="G182" s="11">
        <v>16</v>
      </c>
      <c r="H182" s="11">
        <f t="shared" si="30"/>
        <v>10</v>
      </c>
      <c r="I182" s="18">
        <v>1</v>
      </c>
      <c r="J182" s="19">
        <v>0.85190615835777128</v>
      </c>
      <c r="K182" s="19">
        <v>3.5</v>
      </c>
      <c r="L182" s="6">
        <v>8349201.5</v>
      </c>
      <c r="M182" s="7">
        <v>3758238.75</v>
      </c>
      <c r="N182" s="7">
        <v>403698.71875</v>
      </c>
      <c r="O182" s="7">
        <v>11280832</v>
      </c>
      <c r="P182" s="7">
        <v>10419.498046875</v>
      </c>
      <c r="Q182" s="7">
        <v>11139.6123046875</v>
      </c>
      <c r="R182" s="7">
        <v>10750966</v>
      </c>
      <c r="S182" s="7">
        <v>2963831.75</v>
      </c>
      <c r="T182" s="31">
        <f t="shared" si="31"/>
        <v>3752.8327829101563</v>
      </c>
      <c r="U182" s="37">
        <v>2631.4444444444443</v>
      </c>
      <c r="V182">
        <f t="shared" si="32"/>
        <v>1.426149349583727</v>
      </c>
      <c r="W182">
        <f t="shared" si="42"/>
        <v>-1.0344809008556422E-3</v>
      </c>
      <c r="X182" s="29">
        <v>2575.0875000000005</v>
      </c>
      <c r="Y182">
        <f t="shared" si="33"/>
        <v>0.3172858738335515</v>
      </c>
      <c r="Z182">
        <f t="shared" si="35"/>
        <v>0.14282037220791285</v>
      </c>
      <c r="AA182">
        <f t="shared" si="36"/>
        <v>1.5341335425199512E-2</v>
      </c>
      <c r="AB182">
        <f t="shared" si="37"/>
        <v>0.4286935270024913</v>
      </c>
      <c r="AC182">
        <f t="shared" si="38"/>
        <v>3.959611637962885E-4</v>
      </c>
      <c r="AD182">
        <f t="shared" si="39"/>
        <v>4.2332690428656627E-4</v>
      </c>
      <c r="AE182">
        <f t="shared" si="40"/>
        <v>0.40855758983236923</v>
      </c>
      <c r="AF182">
        <f t="shared" si="41"/>
        <v>0.11263136321411985</v>
      </c>
      <c r="AG182">
        <f t="shared" si="34"/>
        <v>1.426149349583727</v>
      </c>
      <c r="AH182">
        <v>0.36759419253609799</v>
      </c>
      <c r="AI182">
        <v>0.73505499760879967</v>
      </c>
      <c r="AJ182">
        <v>2.8184581376070737E-2</v>
      </c>
      <c r="AK182">
        <v>1.2983541546670904E-2</v>
      </c>
      <c r="AL182">
        <v>0.41906953540650793</v>
      </c>
    </row>
    <row r="183" spans="1:38" x14ac:dyDescent="0.25">
      <c r="A183">
        <v>6</v>
      </c>
      <c r="B183" s="5" t="s">
        <v>31</v>
      </c>
      <c r="C183" s="6" t="s">
        <v>5</v>
      </c>
      <c r="D183" s="6" t="s">
        <v>62</v>
      </c>
      <c r="E183" s="29">
        <v>30209.4</v>
      </c>
      <c r="F183" s="11">
        <v>27</v>
      </c>
      <c r="G183" s="11">
        <v>16</v>
      </c>
      <c r="H183" s="11">
        <f t="shared" si="30"/>
        <v>11</v>
      </c>
      <c r="I183" s="18">
        <v>1</v>
      </c>
      <c r="J183" s="19">
        <v>0.85190615835777128</v>
      </c>
      <c r="K183" s="19">
        <v>3.5</v>
      </c>
      <c r="L183" s="6">
        <v>8023755.5</v>
      </c>
      <c r="M183" s="7">
        <v>3651937</v>
      </c>
      <c r="N183" s="7">
        <v>449326.5</v>
      </c>
      <c r="O183" s="7">
        <v>12004400</v>
      </c>
      <c r="P183" s="7">
        <v>10419.498046875</v>
      </c>
      <c r="Q183" s="7">
        <v>15642.21875</v>
      </c>
      <c r="R183" s="7">
        <v>10452106</v>
      </c>
      <c r="S183" s="7">
        <v>2996645</v>
      </c>
      <c r="T183" s="31">
        <f t="shared" si="31"/>
        <v>3760.4231716796876</v>
      </c>
      <c r="U183" s="37">
        <v>2671.6666666666665</v>
      </c>
      <c r="V183">
        <f t="shared" si="32"/>
        <v>1.4075195901483548</v>
      </c>
      <c r="W183">
        <f t="shared" si="42"/>
        <v>-1.3062979302139651E-2</v>
      </c>
      <c r="X183" s="29">
        <v>2690.3625000000006</v>
      </c>
      <c r="Y183">
        <f t="shared" si="33"/>
        <v>0.30032771678103559</v>
      </c>
      <c r="Z183">
        <f t="shared" si="35"/>
        <v>0.13669134123518403</v>
      </c>
      <c r="AA183">
        <f t="shared" si="36"/>
        <v>1.6818209606986899E-2</v>
      </c>
      <c r="AB183">
        <f t="shared" si="37"/>
        <v>0.44932252027448538</v>
      </c>
      <c r="AC183">
        <f t="shared" si="38"/>
        <v>3.8999992689488461E-4</v>
      </c>
      <c r="AD183">
        <f t="shared" si="39"/>
        <v>5.8548541796631321E-4</v>
      </c>
      <c r="AE183">
        <f t="shared" si="40"/>
        <v>0.39122043668122275</v>
      </c>
      <c r="AF183">
        <f t="shared" si="41"/>
        <v>0.11216388022457893</v>
      </c>
      <c r="AG183">
        <f t="shared" si="34"/>
        <v>1.407519590148355</v>
      </c>
      <c r="AH183">
        <v>0.36759419253609799</v>
      </c>
      <c r="AI183">
        <v>0.73505499760879967</v>
      </c>
      <c r="AJ183">
        <v>2.8184581376070737E-2</v>
      </c>
      <c r="AK183">
        <v>1.2983541546670904E-2</v>
      </c>
      <c r="AL183">
        <v>0.41906953540650793</v>
      </c>
    </row>
    <row r="184" spans="1:38" x14ac:dyDescent="0.25">
      <c r="A184">
        <v>6</v>
      </c>
      <c r="B184" s="5" t="s">
        <v>31</v>
      </c>
      <c r="C184" s="6" t="s">
        <v>5</v>
      </c>
      <c r="D184" s="6" t="s">
        <v>63</v>
      </c>
      <c r="E184" s="29">
        <v>30209.4</v>
      </c>
      <c r="F184" s="11">
        <v>28</v>
      </c>
      <c r="G184" s="11">
        <v>16</v>
      </c>
      <c r="H184" s="11">
        <f t="shared" si="30"/>
        <v>12</v>
      </c>
      <c r="I184" s="18">
        <v>1</v>
      </c>
      <c r="J184" s="19">
        <v>0.85190615835777128</v>
      </c>
      <c r="K184" s="19">
        <v>3.5</v>
      </c>
      <c r="L184" s="6">
        <v>7934233.5</v>
      </c>
      <c r="M184" s="7">
        <v>3810662.25</v>
      </c>
      <c r="N184" s="7">
        <v>807406.125</v>
      </c>
      <c r="O184" s="7">
        <v>10480371</v>
      </c>
      <c r="P184" s="7">
        <v>10419.498046875</v>
      </c>
      <c r="Q184" s="7">
        <v>43796.703125</v>
      </c>
      <c r="R184" s="7">
        <v>10904877</v>
      </c>
      <c r="S184" s="7">
        <v>3052119</v>
      </c>
      <c r="T184" s="31">
        <f t="shared" si="31"/>
        <v>3704.3885076171873</v>
      </c>
      <c r="U184" s="37">
        <v>2754.7777777777774</v>
      </c>
      <c r="V184">
        <f t="shared" si="32"/>
        <v>1.3447140954525345</v>
      </c>
      <c r="W184">
        <f t="shared" si="42"/>
        <v>-4.4621400039768194E-2</v>
      </c>
      <c r="X184" s="29">
        <v>2805.6375000000007</v>
      </c>
      <c r="Y184">
        <f t="shared" si="33"/>
        <v>0.28801718831928369</v>
      </c>
      <c r="Z184">
        <f t="shared" si="35"/>
        <v>0.13832920683257374</v>
      </c>
      <c r="AA184">
        <f t="shared" si="36"/>
        <v>2.9309301516557099E-2</v>
      </c>
      <c r="AB184">
        <f t="shared" si="37"/>
        <v>0.38044342758036548</v>
      </c>
      <c r="AC184">
        <f t="shared" si="38"/>
        <v>3.7823370476293715E-4</v>
      </c>
      <c r="AD184">
        <f t="shared" si="39"/>
        <v>1.5898452310127863E-3</v>
      </c>
      <c r="AE184">
        <f t="shared" si="40"/>
        <v>0.39585323680070994</v>
      </c>
      <c r="AF184">
        <f t="shared" si="41"/>
        <v>0.11079365546726902</v>
      </c>
      <c r="AG184">
        <f t="shared" si="34"/>
        <v>1.344714095452535</v>
      </c>
      <c r="AH184">
        <v>0.36759419253609799</v>
      </c>
      <c r="AI184">
        <v>0.73505499760879967</v>
      </c>
      <c r="AJ184">
        <v>2.8184581376070737E-2</v>
      </c>
      <c r="AK184">
        <v>1.2983541546670904E-2</v>
      </c>
      <c r="AL184">
        <v>0.41906953540650793</v>
      </c>
    </row>
    <row r="185" spans="1:38" x14ac:dyDescent="0.25">
      <c r="A185">
        <v>6</v>
      </c>
      <c r="B185" s="5" t="s">
        <v>31</v>
      </c>
      <c r="C185" s="6" t="s">
        <v>5</v>
      </c>
      <c r="D185" s="6" t="s">
        <v>64</v>
      </c>
      <c r="E185" s="29">
        <v>30209.4</v>
      </c>
      <c r="F185" s="11">
        <v>29</v>
      </c>
      <c r="G185" s="11">
        <v>16</v>
      </c>
      <c r="H185" s="11">
        <f t="shared" si="30"/>
        <v>13</v>
      </c>
      <c r="I185" s="18">
        <v>1</v>
      </c>
      <c r="J185" s="19">
        <v>0.85190615835777128</v>
      </c>
      <c r="K185" s="19">
        <v>3.5</v>
      </c>
      <c r="L185" s="6">
        <v>8391970</v>
      </c>
      <c r="M185" s="7">
        <v>3919986</v>
      </c>
      <c r="N185" s="7">
        <v>1842345.75</v>
      </c>
      <c r="O185" s="7">
        <v>10313976</v>
      </c>
      <c r="P185" s="7">
        <v>10419.498046875</v>
      </c>
      <c r="Q185" s="7">
        <v>60404.3046875</v>
      </c>
      <c r="R185" s="7">
        <v>11206738</v>
      </c>
      <c r="S185" s="7">
        <v>3166298.25</v>
      </c>
      <c r="T185" s="31">
        <f t="shared" si="31"/>
        <v>3891.2137802734374</v>
      </c>
      <c r="U185" s="37">
        <v>2837.8888888888887</v>
      </c>
      <c r="V185">
        <f t="shared" si="32"/>
        <v>1.3711649513511976</v>
      </c>
      <c r="W185">
        <f t="shared" si="42"/>
        <v>1.967024513843716E-2</v>
      </c>
      <c r="X185" s="29">
        <v>2920.9125000000013</v>
      </c>
      <c r="Y185">
        <f t="shared" si="33"/>
        <v>0.29571171841353122</v>
      </c>
      <c r="Z185">
        <f t="shared" si="35"/>
        <v>0.1381303551153048</v>
      </c>
      <c r="AA185">
        <f t="shared" si="36"/>
        <v>6.4919587134411344E-2</v>
      </c>
      <c r="AB185">
        <f t="shared" si="37"/>
        <v>0.36343833052738739</v>
      </c>
      <c r="AC185">
        <f t="shared" si="38"/>
        <v>3.6715665957431194E-4</v>
      </c>
      <c r="AD185">
        <f t="shared" si="39"/>
        <v>2.1284943509944794E-3</v>
      </c>
      <c r="AE185">
        <f t="shared" si="40"/>
        <v>0.39489699698523945</v>
      </c>
      <c r="AF185">
        <f t="shared" si="41"/>
        <v>0.11157231216475473</v>
      </c>
      <c r="AG185">
        <f t="shared" si="34"/>
        <v>1.3711649513511976</v>
      </c>
      <c r="AH185">
        <v>0.36759419253609799</v>
      </c>
      <c r="AI185">
        <v>0.73505499760879967</v>
      </c>
      <c r="AJ185">
        <v>2.8184581376070737E-2</v>
      </c>
      <c r="AK185">
        <v>1.2983541546670904E-2</v>
      </c>
      <c r="AL185">
        <v>0.41906953540650793</v>
      </c>
    </row>
    <row r="186" spans="1:38" x14ac:dyDescent="0.25">
      <c r="A186">
        <v>6</v>
      </c>
      <c r="B186" s="5" t="s">
        <v>31</v>
      </c>
      <c r="C186" s="6" t="s">
        <v>5</v>
      </c>
      <c r="D186" s="6" t="s">
        <v>65</v>
      </c>
      <c r="E186" s="29">
        <v>30209.4</v>
      </c>
      <c r="F186" s="11">
        <v>30</v>
      </c>
      <c r="G186" s="11">
        <v>16</v>
      </c>
      <c r="H186" s="11">
        <f t="shared" si="30"/>
        <v>14</v>
      </c>
      <c r="I186" s="18">
        <v>1</v>
      </c>
      <c r="J186" s="19">
        <v>0.85190615835777128</v>
      </c>
      <c r="K186" s="19">
        <v>3.5</v>
      </c>
      <c r="L186" s="6">
        <v>8323240</v>
      </c>
      <c r="M186" s="7">
        <v>3904922.75</v>
      </c>
      <c r="N186" s="7">
        <v>2722372</v>
      </c>
      <c r="O186" s="7">
        <v>11016115</v>
      </c>
      <c r="P186" s="7">
        <v>10419.498046875</v>
      </c>
      <c r="Q186" s="7">
        <v>39859.75</v>
      </c>
      <c r="R186" s="7">
        <v>11162358</v>
      </c>
      <c r="S186" s="7">
        <v>3122959.5</v>
      </c>
      <c r="T186" s="31">
        <f t="shared" si="31"/>
        <v>4030.2246498046875</v>
      </c>
      <c r="U186" s="37">
        <v>2921</v>
      </c>
      <c r="V186">
        <f t="shared" si="32"/>
        <v>1.3797414069855143</v>
      </c>
      <c r="W186">
        <f t="shared" si="42"/>
        <v>6.2548678959924364E-3</v>
      </c>
      <c r="X186" s="29">
        <v>3036.1875000000014</v>
      </c>
      <c r="Y186">
        <f t="shared" si="33"/>
        <v>0.2849448818897638</v>
      </c>
      <c r="Z186">
        <f t="shared" si="35"/>
        <v>0.13368444881889763</v>
      </c>
      <c r="AA186">
        <f t="shared" si="36"/>
        <v>9.3200000000000005E-2</v>
      </c>
      <c r="AB186">
        <f t="shared" si="37"/>
        <v>0.37713505648750428</v>
      </c>
      <c r="AC186">
        <f t="shared" si="38"/>
        <v>3.5670996394642244E-4</v>
      </c>
      <c r="AD186">
        <f t="shared" si="39"/>
        <v>1.364592605272167E-3</v>
      </c>
      <c r="AE186">
        <f t="shared" si="40"/>
        <v>0.38214166381376241</v>
      </c>
      <c r="AF186">
        <f t="shared" si="41"/>
        <v>0.10691405340636768</v>
      </c>
      <c r="AG186">
        <f t="shared" si="34"/>
        <v>1.3797414069855145</v>
      </c>
      <c r="AH186">
        <v>0.36759419253609799</v>
      </c>
      <c r="AI186">
        <v>0.73505499760879967</v>
      </c>
      <c r="AJ186">
        <v>2.8184581376070737E-2</v>
      </c>
      <c r="AK186">
        <v>1.2983541546670904E-2</v>
      </c>
      <c r="AL186">
        <v>0.41906953540650793</v>
      </c>
    </row>
    <row r="187" spans="1:38" x14ac:dyDescent="0.25">
      <c r="A187">
        <v>6</v>
      </c>
      <c r="B187" s="5" t="s">
        <v>31</v>
      </c>
      <c r="C187" s="6" t="s">
        <v>5</v>
      </c>
      <c r="D187" s="6" t="s">
        <v>66</v>
      </c>
      <c r="E187" s="29">
        <v>30209.4</v>
      </c>
      <c r="F187" s="11">
        <v>31</v>
      </c>
      <c r="G187" s="11">
        <v>16</v>
      </c>
      <c r="H187" s="11">
        <f t="shared" si="30"/>
        <v>15</v>
      </c>
      <c r="I187" s="18">
        <v>1</v>
      </c>
      <c r="J187" s="19">
        <v>0.85190615835777128</v>
      </c>
      <c r="K187" s="19">
        <v>3.5</v>
      </c>
      <c r="L187" s="6">
        <v>8328161</v>
      </c>
      <c r="M187" s="7">
        <v>3939862</v>
      </c>
      <c r="N187" s="7">
        <v>4135790.75</v>
      </c>
      <c r="O187" s="7">
        <v>12288027</v>
      </c>
      <c r="P187" s="7">
        <v>10424.498046875</v>
      </c>
      <c r="Q187" s="7">
        <v>18798.56640625</v>
      </c>
      <c r="R187" s="7">
        <v>11261963</v>
      </c>
      <c r="S187" s="7">
        <v>3002467</v>
      </c>
      <c r="T187" s="31">
        <f t="shared" si="31"/>
        <v>4298.5493814453121</v>
      </c>
      <c r="U187" s="37">
        <v>3004.1111111111113</v>
      </c>
      <c r="V187">
        <f t="shared" si="32"/>
        <v>1.4308889460002148</v>
      </c>
      <c r="W187">
        <f t="shared" si="42"/>
        <v>3.7070380547938049E-2</v>
      </c>
      <c r="X187" s="29">
        <v>3151.4625000000015</v>
      </c>
      <c r="Y187">
        <f t="shared" si="33"/>
        <v>0.27722546510337681</v>
      </c>
      <c r="Z187">
        <f t="shared" si="35"/>
        <v>0.13114901061508302</v>
      </c>
      <c r="AA187">
        <f t="shared" si="36"/>
        <v>0.13767103136442652</v>
      </c>
      <c r="AB187">
        <f t="shared" si="37"/>
        <v>0.40904036320597698</v>
      </c>
      <c r="AC187">
        <f t="shared" si="38"/>
        <v>3.4700773910520763E-4</v>
      </c>
      <c r="AD187">
        <f t="shared" si="39"/>
        <v>6.2576135538798679E-4</v>
      </c>
      <c r="AE187">
        <f t="shared" si="40"/>
        <v>0.37488503532196621</v>
      </c>
      <c r="AF187">
        <f t="shared" si="41"/>
        <v>9.9945271294892182E-2</v>
      </c>
      <c r="AG187">
        <f t="shared" si="34"/>
        <v>1.430888946000215</v>
      </c>
      <c r="AH187">
        <v>0.36759419253609799</v>
      </c>
      <c r="AI187">
        <v>0.73505499760879967</v>
      </c>
      <c r="AJ187">
        <v>2.8184581376070737E-2</v>
      </c>
      <c r="AK187">
        <v>1.2983541546670904E-2</v>
      </c>
      <c r="AL187">
        <v>0.41906953540650793</v>
      </c>
    </row>
    <row r="188" spans="1:38" x14ac:dyDescent="0.25">
      <c r="A188">
        <v>7</v>
      </c>
      <c r="B188" s="5" t="s">
        <v>9</v>
      </c>
      <c r="C188" s="6" t="s">
        <v>5</v>
      </c>
      <c r="D188" s="6" t="s">
        <v>36</v>
      </c>
      <c r="E188" s="28">
        <v>13235.5152</v>
      </c>
      <c r="F188" s="11">
        <v>1</v>
      </c>
      <c r="G188" s="11">
        <v>14</v>
      </c>
      <c r="H188" s="18">
        <f t="shared" si="30"/>
        <v>-13</v>
      </c>
      <c r="I188" s="18">
        <v>1</v>
      </c>
      <c r="J188" s="19">
        <v>0.13196480938416419</v>
      </c>
      <c r="K188" s="19">
        <v>0.4</v>
      </c>
      <c r="L188" s="14">
        <v>5285192.5</v>
      </c>
      <c r="M188" s="16">
        <v>830214.9375</v>
      </c>
      <c r="N188" s="16">
        <v>1433104.25</v>
      </c>
      <c r="O188" s="16">
        <v>3366853</v>
      </c>
      <c r="P188" s="16">
        <v>6444.873046875</v>
      </c>
      <c r="Q188" s="16">
        <v>21927.775390625</v>
      </c>
      <c r="R188" s="16">
        <v>772328.75</v>
      </c>
      <c r="S188" s="16">
        <v>1098586</v>
      </c>
      <c r="T188" s="31">
        <f t="shared" si="31"/>
        <v>1281.46520859375</v>
      </c>
      <c r="U188" s="37"/>
      <c r="X188" s="28">
        <v>1059.1591666666668</v>
      </c>
      <c r="Y188" t="e">
        <f t="shared" si="33"/>
        <v>#DIV/0!</v>
      </c>
      <c r="Z188" t="e">
        <f t="shared" si="35"/>
        <v>#DIV/0!</v>
      </c>
      <c r="AA188" t="e">
        <f t="shared" si="36"/>
        <v>#DIV/0!</v>
      </c>
      <c r="AB188" t="e">
        <f t="shared" si="37"/>
        <v>#DIV/0!</v>
      </c>
      <c r="AC188" t="e">
        <f t="shared" si="38"/>
        <v>#DIV/0!</v>
      </c>
      <c r="AD188" t="e">
        <f t="shared" si="39"/>
        <v>#DIV/0!</v>
      </c>
      <c r="AE188" t="e">
        <f t="shared" si="40"/>
        <v>#DIV/0!</v>
      </c>
      <c r="AF188" t="e">
        <f t="shared" si="41"/>
        <v>#DIV/0!</v>
      </c>
      <c r="AG188" t="e">
        <f t="shared" si="34"/>
        <v>#DIV/0!</v>
      </c>
      <c r="AH188">
        <v>0.35614027325509778</v>
      </c>
      <c r="AI188">
        <v>0.63368421052631574</v>
      </c>
      <c r="AJ188">
        <v>1.2421418186002238E-2</v>
      </c>
      <c r="AK188">
        <v>6.4858298829198573E-3</v>
      </c>
      <c r="AL188">
        <v>0.30944806916177059</v>
      </c>
    </row>
    <row r="189" spans="1:38" x14ac:dyDescent="0.25">
      <c r="A189">
        <v>7</v>
      </c>
      <c r="B189" s="5" t="s">
        <v>9</v>
      </c>
      <c r="C189" s="6" t="s">
        <v>5</v>
      </c>
      <c r="D189" s="6" t="s">
        <v>37</v>
      </c>
      <c r="E189" s="28">
        <v>13235.5152</v>
      </c>
      <c r="F189" s="11">
        <v>2</v>
      </c>
      <c r="G189" s="11">
        <v>14</v>
      </c>
      <c r="H189" s="11">
        <f t="shared" si="30"/>
        <v>-12</v>
      </c>
      <c r="I189" s="18">
        <v>1</v>
      </c>
      <c r="J189" s="19">
        <v>0.13196480938416419</v>
      </c>
      <c r="K189" s="19">
        <v>0.4</v>
      </c>
      <c r="L189" s="6">
        <v>5740761</v>
      </c>
      <c r="M189" s="7">
        <v>798451.125</v>
      </c>
      <c r="N189" s="7">
        <v>1433104.25</v>
      </c>
      <c r="O189" s="7">
        <v>3231520</v>
      </c>
      <c r="P189" s="7">
        <v>6444.873046875</v>
      </c>
      <c r="Q189" s="7">
        <v>12893.044921875</v>
      </c>
      <c r="R189" s="7">
        <v>778119.6875</v>
      </c>
      <c r="S189" s="7">
        <v>1075225.25</v>
      </c>
      <c r="T189" s="31">
        <f t="shared" si="31"/>
        <v>1307.651923046875</v>
      </c>
      <c r="U189" s="37">
        <v>1137.5</v>
      </c>
      <c r="V189">
        <f t="shared" si="32"/>
        <v>1.1495841081730769</v>
      </c>
      <c r="W189" t="e">
        <f>(V189-V188)/V188</f>
        <v>#DIV/0!</v>
      </c>
      <c r="X189" s="28">
        <v>1134.8141666666666</v>
      </c>
      <c r="Y189">
        <f t="shared" si="33"/>
        <v>0.50468228571428575</v>
      </c>
      <c r="Z189">
        <f t="shared" si="35"/>
        <v>7.0193505494505495E-2</v>
      </c>
      <c r="AA189">
        <f t="shared" si="36"/>
        <v>0.1259871868131868</v>
      </c>
      <c r="AB189">
        <f t="shared" si="37"/>
        <v>0.28408967032967036</v>
      </c>
      <c r="AC189">
        <f t="shared" si="38"/>
        <v>5.6658224587912093E-4</v>
      </c>
      <c r="AD189">
        <f t="shared" si="39"/>
        <v>1.1334544986263736E-3</v>
      </c>
      <c r="AE189">
        <f t="shared" si="40"/>
        <v>6.8406126373626377E-2</v>
      </c>
      <c r="AF189">
        <f t="shared" si="41"/>
        <v>9.4525296703296707E-2</v>
      </c>
      <c r="AG189">
        <f t="shared" si="34"/>
        <v>1.1495841081730771</v>
      </c>
      <c r="AH189">
        <v>0.35614027325509778</v>
      </c>
      <c r="AI189">
        <v>0.63368421052631574</v>
      </c>
      <c r="AJ189">
        <v>1.2421418186002238E-2</v>
      </c>
      <c r="AK189">
        <v>6.4858298829198573E-3</v>
      </c>
      <c r="AL189">
        <v>0.30944806916177059</v>
      </c>
    </row>
    <row r="190" spans="1:38" x14ac:dyDescent="0.25">
      <c r="A190">
        <v>7</v>
      </c>
      <c r="B190" s="5" t="s">
        <v>9</v>
      </c>
      <c r="C190" s="6" t="s">
        <v>5</v>
      </c>
      <c r="D190" s="6" t="s">
        <v>38</v>
      </c>
      <c r="E190" s="28">
        <v>13235.5152</v>
      </c>
      <c r="F190" s="11">
        <v>3</v>
      </c>
      <c r="G190" s="11">
        <v>14</v>
      </c>
      <c r="H190" s="11">
        <f t="shared" si="30"/>
        <v>-11</v>
      </c>
      <c r="I190" s="18">
        <v>1</v>
      </c>
      <c r="J190" s="19">
        <v>0.13196480938416419</v>
      </c>
      <c r="K190" s="19">
        <v>0.4</v>
      </c>
      <c r="L190" s="6">
        <v>5738528</v>
      </c>
      <c r="M190" s="7">
        <v>776599.375</v>
      </c>
      <c r="N190" s="7">
        <v>1433104.25</v>
      </c>
      <c r="O190" s="7">
        <v>3139107</v>
      </c>
      <c r="P190" s="7">
        <v>6444.873046875</v>
      </c>
      <c r="Q190" s="7">
        <v>18104.3828125</v>
      </c>
      <c r="R190" s="7">
        <v>758786.8125</v>
      </c>
      <c r="S190" s="7">
        <v>1086978.5</v>
      </c>
      <c r="T190" s="31">
        <f t="shared" si="31"/>
        <v>1295.7653193359374</v>
      </c>
      <c r="U190" s="37">
        <v>1166</v>
      </c>
      <c r="V190">
        <f t="shared" si="32"/>
        <v>1.1112910114373391</v>
      </c>
      <c r="W190">
        <f t="shared" ref="W190:W218" si="43">(V190-V189)/V189</f>
        <v>-3.3310391526369741E-2</v>
      </c>
      <c r="X190" s="28">
        <v>1210.4691666666668</v>
      </c>
      <c r="Y190">
        <f t="shared" si="33"/>
        <v>0.49215506003430526</v>
      </c>
      <c r="Z190">
        <f t="shared" si="35"/>
        <v>6.6603719982847337E-2</v>
      </c>
      <c r="AA190">
        <f t="shared" si="36"/>
        <v>0.12290774013722128</v>
      </c>
      <c r="AB190">
        <f t="shared" si="37"/>
        <v>0.26922015437392799</v>
      </c>
      <c r="AC190">
        <f t="shared" si="38"/>
        <v>5.5273353746783881E-4</v>
      </c>
      <c r="AD190">
        <f t="shared" si="39"/>
        <v>1.5526914933533446E-3</v>
      </c>
      <c r="AE190">
        <f t="shared" si="40"/>
        <v>6.5076055960548884E-2</v>
      </c>
      <c r="AF190">
        <f t="shared" si="41"/>
        <v>9.3222855917667241E-2</v>
      </c>
      <c r="AG190">
        <f t="shared" si="34"/>
        <v>1.1112910114373393</v>
      </c>
      <c r="AH190">
        <v>0.35614027325509778</v>
      </c>
      <c r="AI190">
        <v>0.63368421052631574</v>
      </c>
      <c r="AJ190">
        <v>1.2421418186002238E-2</v>
      </c>
      <c r="AK190">
        <v>6.4858298829198573E-3</v>
      </c>
      <c r="AL190">
        <v>0.30944806916177059</v>
      </c>
    </row>
    <row r="191" spans="1:38" x14ac:dyDescent="0.25">
      <c r="A191">
        <v>7</v>
      </c>
      <c r="B191" s="5" t="s">
        <v>9</v>
      </c>
      <c r="C191" s="6" t="s">
        <v>5</v>
      </c>
      <c r="D191" s="6" t="s">
        <v>39</v>
      </c>
      <c r="E191" s="28">
        <v>13235.5152</v>
      </c>
      <c r="F191" s="11">
        <v>4</v>
      </c>
      <c r="G191" s="11">
        <v>14</v>
      </c>
      <c r="H191" s="11">
        <f t="shared" si="30"/>
        <v>-10</v>
      </c>
      <c r="I191" s="18">
        <v>1</v>
      </c>
      <c r="J191" s="19">
        <v>0.13196480938416419</v>
      </c>
      <c r="K191" s="19">
        <v>0.4</v>
      </c>
      <c r="L191" s="6">
        <v>5454169.5</v>
      </c>
      <c r="M191" s="7">
        <v>809734.1875</v>
      </c>
      <c r="N191" s="7">
        <v>1433104.25</v>
      </c>
      <c r="O191" s="7">
        <v>3277139</v>
      </c>
      <c r="P191" s="7">
        <v>6444.873046875</v>
      </c>
      <c r="Q191" s="7">
        <v>50690.51953125</v>
      </c>
      <c r="R191" s="7">
        <v>752873.3125</v>
      </c>
      <c r="S191" s="7">
        <v>1107196.875</v>
      </c>
      <c r="T191" s="31">
        <f t="shared" si="31"/>
        <v>1289.1352517578125</v>
      </c>
      <c r="U191" s="37">
        <v>1199.6666666666667</v>
      </c>
      <c r="V191">
        <f t="shared" si="32"/>
        <v>1.0745778703177098</v>
      </c>
      <c r="W191">
        <f t="shared" si="43"/>
        <v>-3.3036478061803709E-2</v>
      </c>
      <c r="X191" s="28">
        <v>1286.124166666667</v>
      </c>
      <c r="Y191">
        <f t="shared" si="33"/>
        <v>0.45464041400388994</v>
      </c>
      <c r="Z191">
        <f t="shared" si="35"/>
        <v>6.7496598013337031E-2</v>
      </c>
      <c r="AA191">
        <f t="shared" si="36"/>
        <v>0.11945853709363712</v>
      </c>
      <c r="AB191">
        <f t="shared" si="37"/>
        <v>0.27317079744373435</v>
      </c>
      <c r="AC191">
        <f t="shared" si="38"/>
        <v>5.3722198223464849E-4</v>
      </c>
      <c r="AD191">
        <f t="shared" si="39"/>
        <v>4.225383678626007E-3</v>
      </c>
      <c r="AE191">
        <f t="shared" si="40"/>
        <v>6.2756875173659341E-2</v>
      </c>
      <c r="AF191">
        <f t="shared" si="41"/>
        <v>9.2292042928591278E-2</v>
      </c>
      <c r="AG191">
        <f t="shared" si="34"/>
        <v>1.0745778703177096</v>
      </c>
      <c r="AH191">
        <v>0.35614027325509778</v>
      </c>
      <c r="AI191">
        <v>0.63368421052631574</v>
      </c>
      <c r="AJ191">
        <v>1.2421418186002238E-2</v>
      </c>
      <c r="AK191">
        <v>6.4858298829198573E-3</v>
      </c>
      <c r="AL191">
        <v>0.30944806916177059</v>
      </c>
    </row>
    <row r="192" spans="1:38" x14ac:dyDescent="0.25">
      <c r="A192">
        <v>7</v>
      </c>
      <c r="B192" s="5" t="s">
        <v>9</v>
      </c>
      <c r="C192" s="6" t="s">
        <v>5</v>
      </c>
      <c r="D192" s="6" t="s">
        <v>40</v>
      </c>
      <c r="E192" s="28">
        <v>13235.5152</v>
      </c>
      <c r="F192" s="11">
        <v>5</v>
      </c>
      <c r="G192" s="11">
        <v>14</v>
      </c>
      <c r="H192" s="11">
        <f t="shared" si="30"/>
        <v>-9</v>
      </c>
      <c r="I192" s="18">
        <v>1</v>
      </c>
      <c r="J192" s="19">
        <v>0.13196480938416419</v>
      </c>
      <c r="K192" s="19">
        <v>0.4</v>
      </c>
      <c r="L192" s="6">
        <v>6180697.5</v>
      </c>
      <c r="M192" s="7">
        <v>832251.625</v>
      </c>
      <c r="N192" s="7">
        <v>1433104.25</v>
      </c>
      <c r="O192" s="7">
        <v>3372134</v>
      </c>
      <c r="P192" s="7">
        <v>6444.873046875</v>
      </c>
      <c r="Q192" s="7">
        <v>69912.2421875</v>
      </c>
      <c r="R192" s="7">
        <v>778940.9375</v>
      </c>
      <c r="S192" s="7">
        <v>1148050.25</v>
      </c>
      <c r="T192" s="31">
        <f t="shared" si="31"/>
        <v>1382.1535677734375</v>
      </c>
      <c r="U192" s="37">
        <v>1233.3333333333333</v>
      </c>
      <c r="V192">
        <f t="shared" si="32"/>
        <v>1.1206650549514359</v>
      </c>
      <c r="W192">
        <f t="shared" si="43"/>
        <v>4.2888641118302512E-2</v>
      </c>
      <c r="X192" s="28">
        <v>1361.7791666666667</v>
      </c>
      <c r="Y192">
        <f t="shared" si="33"/>
        <v>0.5011376351351351</v>
      </c>
      <c r="Z192">
        <f t="shared" si="35"/>
        <v>6.7479861486486492E-2</v>
      </c>
      <c r="AA192">
        <f t="shared" si="36"/>
        <v>0.11619764189189191</v>
      </c>
      <c r="AB192">
        <f t="shared" si="37"/>
        <v>0.27341627027027032</v>
      </c>
      <c r="AC192">
        <f t="shared" si="38"/>
        <v>5.2255727407094594E-4</v>
      </c>
      <c r="AD192">
        <f t="shared" si="39"/>
        <v>5.6685601773648646E-3</v>
      </c>
      <c r="AE192">
        <f t="shared" si="40"/>
        <v>6.315737331081081E-2</v>
      </c>
      <c r="AF192">
        <f t="shared" si="41"/>
        <v>9.3085155405405406E-2</v>
      </c>
      <c r="AG192">
        <f t="shared" si="34"/>
        <v>1.1206650549514356</v>
      </c>
      <c r="AH192">
        <v>0.35614027325509778</v>
      </c>
      <c r="AI192">
        <v>0.63368421052631574</v>
      </c>
      <c r="AJ192">
        <v>1.2421418186002238E-2</v>
      </c>
      <c r="AK192">
        <v>6.4858298829198573E-3</v>
      </c>
      <c r="AL192">
        <v>0.30944806916177059</v>
      </c>
    </row>
    <row r="193" spans="1:38" x14ac:dyDescent="0.25">
      <c r="A193">
        <v>7</v>
      </c>
      <c r="B193" s="5" t="s">
        <v>9</v>
      </c>
      <c r="C193" s="6" t="s">
        <v>5</v>
      </c>
      <c r="D193" s="6" t="s">
        <v>41</v>
      </c>
      <c r="E193" s="28">
        <v>13235.5152</v>
      </c>
      <c r="F193" s="11">
        <v>6</v>
      </c>
      <c r="G193" s="11">
        <v>14</v>
      </c>
      <c r="H193" s="11">
        <f t="shared" si="30"/>
        <v>-8</v>
      </c>
      <c r="I193" s="18">
        <v>1</v>
      </c>
      <c r="J193" s="19">
        <v>0.13196480938416419</v>
      </c>
      <c r="K193" s="19">
        <v>0.4</v>
      </c>
      <c r="L193" s="6">
        <v>6529818</v>
      </c>
      <c r="M193" s="7">
        <v>828027.8125</v>
      </c>
      <c r="N193" s="7">
        <v>1433104.25</v>
      </c>
      <c r="O193" s="7">
        <v>3361290.25</v>
      </c>
      <c r="P193" s="7">
        <v>6444.873046875</v>
      </c>
      <c r="Q193" s="7">
        <v>46133.875</v>
      </c>
      <c r="R193" s="7">
        <v>773863.6875</v>
      </c>
      <c r="S193" s="7">
        <v>1132876.375</v>
      </c>
      <c r="T193" s="31">
        <f t="shared" si="31"/>
        <v>1411.1559123046875</v>
      </c>
      <c r="U193" s="37">
        <v>1267</v>
      </c>
      <c r="V193">
        <f t="shared" si="32"/>
        <v>1.1137773577779697</v>
      </c>
      <c r="W193">
        <f t="shared" si="43"/>
        <v>-6.1460800825672533E-3</v>
      </c>
      <c r="X193" s="28">
        <v>1437.4341666666669</v>
      </c>
      <c r="Y193">
        <f t="shared" si="33"/>
        <v>0.51537632202052086</v>
      </c>
      <c r="Z193">
        <f t="shared" si="35"/>
        <v>6.5353418508287298E-2</v>
      </c>
      <c r="AA193">
        <f t="shared" si="36"/>
        <v>0.11311004340962905</v>
      </c>
      <c r="AB193">
        <f t="shared" si="37"/>
        <v>0.2652952052091555</v>
      </c>
      <c r="AC193">
        <f t="shared" si="38"/>
        <v>5.0867190583070248E-4</v>
      </c>
      <c r="AD193">
        <f t="shared" si="39"/>
        <v>3.6411898184688239E-3</v>
      </c>
      <c r="AE193">
        <f t="shared" si="40"/>
        <v>6.1078428374112072E-2</v>
      </c>
      <c r="AF193">
        <f t="shared" si="41"/>
        <v>8.9414078531965271E-2</v>
      </c>
      <c r="AG193">
        <f t="shared" si="34"/>
        <v>1.1137773577779695</v>
      </c>
      <c r="AH193">
        <v>0.35614027325509778</v>
      </c>
      <c r="AI193">
        <v>0.63368421052631574</v>
      </c>
      <c r="AJ193">
        <v>1.2421418186002238E-2</v>
      </c>
      <c r="AK193">
        <v>6.4858298829198573E-3</v>
      </c>
      <c r="AL193">
        <v>0.30944806916177059</v>
      </c>
    </row>
    <row r="194" spans="1:38" x14ac:dyDescent="0.25">
      <c r="A194">
        <v>7</v>
      </c>
      <c r="B194" s="5" t="s">
        <v>9</v>
      </c>
      <c r="C194" s="6" t="s">
        <v>5</v>
      </c>
      <c r="D194" s="6" t="s">
        <v>42</v>
      </c>
      <c r="E194" s="28">
        <v>13235.5152</v>
      </c>
      <c r="F194" s="11">
        <v>7</v>
      </c>
      <c r="G194" s="11">
        <v>14</v>
      </c>
      <c r="H194" s="11">
        <f t="shared" ref="H194:H257" si="44">F194-G194</f>
        <v>-7</v>
      </c>
      <c r="I194" s="18">
        <v>1</v>
      </c>
      <c r="J194" s="19">
        <v>0.13196480938416419</v>
      </c>
      <c r="K194" s="19">
        <v>0.4</v>
      </c>
      <c r="L194" s="6">
        <v>7975429.5</v>
      </c>
      <c r="M194" s="7">
        <v>834890.5625</v>
      </c>
      <c r="N194" s="7">
        <v>1433792.125</v>
      </c>
      <c r="O194" s="7">
        <v>3392532</v>
      </c>
      <c r="P194" s="7">
        <v>6447.966796875</v>
      </c>
      <c r="Q194" s="7">
        <v>21757.552734375</v>
      </c>
      <c r="R194" s="7">
        <v>773414</v>
      </c>
      <c r="S194" s="7">
        <v>1089726.375</v>
      </c>
      <c r="T194" s="31">
        <f t="shared" ref="T194:T257" si="45">SUM(L194:S194)/10000</f>
        <v>1552.7990082031249</v>
      </c>
      <c r="U194" s="37">
        <v>1300.6666666666667</v>
      </c>
      <c r="V194">
        <f t="shared" si="32"/>
        <v>1.193848545517523</v>
      </c>
      <c r="W194">
        <f t="shared" si="43"/>
        <v>7.1891556405221282E-2</v>
      </c>
      <c r="X194" s="28">
        <v>1513.0891666666671</v>
      </c>
      <c r="Y194">
        <f t="shared" si="33"/>
        <v>0.61318012557662738</v>
      </c>
      <c r="Z194">
        <f t="shared" si="35"/>
        <v>6.4189433303434129E-2</v>
      </c>
      <c r="AA194">
        <f t="shared" si="36"/>
        <v>0.11023517106611994</v>
      </c>
      <c r="AB194">
        <f t="shared" si="37"/>
        <v>0.2608302409021015</v>
      </c>
      <c r="AC194">
        <f t="shared" si="38"/>
        <v>4.9574321862186062E-4</v>
      </c>
      <c r="AD194">
        <f t="shared" si="39"/>
        <v>1.6728000564614298E-3</v>
      </c>
      <c r="AE194">
        <f t="shared" si="40"/>
        <v>5.9462890825217836E-2</v>
      </c>
      <c r="AF194">
        <f t="shared" si="41"/>
        <v>8.3782140568938998E-2</v>
      </c>
      <c r="AG194">
        <f t="shared" si="34"/>
        <v>1.1938485455175232</v>
      </c>
      <c r="AH194">
        <v>0.35614027325509778</v>
      </c>
      <c r="AI194">
        <v>0.63368421052631574</v>
      </c>
      <c r="AJ194">
        <v>1.2421418186002238E-2</v>
      </c>
      <c r="AK194">
        <v>6.4858298829198573E-3</v>
      </c>
      <c r="AL194">
        <v>0.30944806916177059</v>
      </c>
    </row>
    <row r="195" spans="1:38" x14ac:dyDescent="0.25">
      <c r="A195">
        <v>7</v>
      </c>
      <c r="B195" s="5" t="s">
        <v>9</v>
      </c>
      <c r="C195" s="6" t="s">
        <v>5</v>
      </c>
      <c r="D195" s="6" t="s">
        <v>43</v>
      </c>
      <c r="E195" s="28">
        <v>13070.2</v>
      </c>
      <c r="F195" s="11">
        <v>8</v>
      </c>
      <c r="G195" s="11">
        <v>14</v>
      </c>
      <c r="H195" s="18">
        <f t="shared" si="44"/>
        <v>-6</v>
      </c>
      <c r="I195" s="18">
        <v>1</v>
      </c>
      <c r="J195" s="19">
        <v>0.13196480938416419</v>
      </c>
      <c r="K195" s="19">
        <v>0.4</v>
      </c>
      <c r="L195" s="14">
        <v>5616081</v>
      </c>
      <c r="M195" s="16">
        <v>788533.6875</v>
      </c>
      <c r="N195" s="16">
        <v>1416203.875</v>
      </c>
      <c r="O195" s="16">
        <v>3309488.25</v>
      </c>
      <c r="P195" s="16">
        <v>6591.47509765625</v>
      </c>
      <c r="Q195" s="16">
        <v>11117.5146484375</v>
      </c>
      <c r="R195" s="16">
        <v>796792.625</v>
      </c>
      <c r="S195" s="16">
        <v>993830.25</v>
      </c>
      <c r="T195" s="31">
        <f t="shared" si="45"/>
        <v>1293.8638677246095</v>
      </c>
      <c r="U195" s="37">
        <v>805.66666666666663</v>
      </c>
      <c r="V195">
        <f t="shared" ref="V195:V258" si="46">T195/U195</f>
        <v>1.6059543248547077</v>
      </c>
      <c r="W195">
        <f t="shared" si="43"/>
        <v>0.34519100507723149</v>
      </c>
      <c r="X195" s="28">
        <v>1226.6541666666669</v>
      </c>
      <c r="Y195">
        <f t="shared" si="33"/>
        <v>0.69707252792718244</v>
      </c>
      <c r="Z195">
        <f t="shared" si="35"/>
        <v>9.7873440732312786E-2</v>
      </c>
      <c r="AA195">
        <f t="shared" si="36"/>
        <v>0.17578037339677288</v>
      </c>
      <c r="AB195">
        <f t="shared" si="37"/>
        <v>0.4107763653289202</v>
      </c>
      <c r="AC195">
        <f t="shared" si="38"/>
        <v>8.1813923429742451E-4</v>
      </c>
      <c r="AD195">
        <f t="shared" si="39"/>
        <v>1.3799149336082956E-3</v>
      </c>
      <c r="AE195">
        <f t="shared" si="40"/>
        <v>9.889854675217212E-2</v>
      </c>
      <c r="AF195">
        <f t="shared" si="41"/>
        <v>0.12335501654944146</v>
      </c>
      <c r="AG195">
        <f t="shared" si="34"/>
        <v>1.6059543248547075</v>
      </c>
      <c r="AH195">
        <v>0.32707227127358413</v>
      </c>
      <c r="AI195">
        <v>0.63713798977853497</v>
      </c>
      <c r="AJ195">
        <v>1.228020627399295E-2</v>
      </c>
      <c r="AK195">
        <v>7.0851325916971436E-3</v>
      </c>
      <c r="AL195">
        <v>0.21043469229799133</v>
      </c>
    </row>
    <row r="196" spans="1:38" x14ac:dyDescent="0.25">
      <c r="A196">
        <v>7</v>
      </c>
      <c r="B196" s="5" t="s">
        <v>9</v>
      </c>
      <c r="C196" s="6" t="s">
        <v>5</v>
      </c>
      <c r="D196" s="6" t="s">
        <v>44</v>
      </c>
      <c r="E196" s="28">
        <v>13070.2</v>
      </c>
      <c r="F196" s="11">
        <v>9</v>
      </c>
      <c r="G196" s="11">
        <v>14</v>
      </c>
      <c r="H196" s="11">
        <f t="shared" si="44"/>
        <v>-5</v>
      </c>
      <c r="I196" s="18">
        <v>1</v>
      </c>
      <c r="J196" s="19">
        <v>0.13196480938416419</v>
      </c>
      <c r="K196" s="19">
        <v>0.4</v>
      </c>
      <c r="L196" s="6">
        <v>5588252.5</v>
      </c>
      <c r="M196" s="7">
        <v>773078.5</v>
      </c>
      <c r="N196" s="7">
        <v>1416203.875</v>
      </c>
      <c r="O196" s="7">
        <v>3242273.5</v>
      </c>
      <c r="P196" s="7">
        <v>6591.47509765625</v>
      </c>
      <c r="Q196" s="7">
        <v>15699.2080078125</v>
      </c>
      <c r="R196" s="7">
        <v>776303.875</v>
      </c>
      <c r="S196" s="7">
        <v>1008606.125</v>
      </c>
      <c r="T196" s="31">
        <f t="shared" si="45"/>
        <v>1282.7009058105468</v>
      </c>
      <c r="U196" s="37">
        <v>866.66666666666663</v>
      </c>
      <c r="V196">
        <f t="shared" si="46"/>
        <v>1.4800395067044771</v>
      </c>
      <c r="W196">
        <f t="shared" si="43"/>
        <v>-7.8404980889865708E-2</v>
      </c>
      <c r="X196" s="28">
        <v>1197.8391666666669</v>
      </c>
      <c r="Y196">
        <f t="shared" ref="Y196:Y259" si="47">L196/$U196/10000</f>
        <v>0.64479836538461544</v>
      </c>
      <c r="Z196">
        <f t="shared" si="35"/>
        <v>8.9201365384615386E-2</v>
      </c>
      <c r="AA196">
        <f t="shared" si="36"/>
        <v>0.16340813942307694</v>
      </c>
      <c r="AB196">
        <f t="shared" si="37"/>
        <v>0.37410848076923081</v>
      </c>
      <c r="AC196">
        <f t="shared" si="38"/>
        <v>7.6055481896033659E-4</v>
      </c>
      <c r="AD196">
        <f t="shared" si="39"/>
        <v>1.8114470778245191E-3</v>
      </c>
      <c r="AE196">
        <f t="shared" si="40"/>
        <v>8.9573524038461541E-2</v>
      </c>
      <c r="AF196">
        <f t="shared" si="41"/>
        <v>0.11637762980769233</v>
      </c>
      <c r="AG196">
        <f t="shared" ref="AG196:AG259" si="48">SUM(Y196:AF196)</f>
        <v>1.4800395067044776</v>
      </c>
      <c r="AH196">
        <v>0.32707227127358413</v>
      </c>
      <c r="AI196">
        <v>0.63713798977853497</v>
      </c>
      <c r="AJ196">
        <v>1.228020627399295E-2</v>
      </c>
      <c r="AK196">
        <v>7.0851325916971436E-3</v>
      </c>
      <c r="AL196">
        <v>0.21043469229799133</v>
      </c>
    </row>
    <row r="197" spans="1:38" x14ac:dyDescent="0.25">
      <c r="A197">
        <v>7</v>
      </c>
      <c r="B197" s="5" t="s">
        <v>9</v>
      </c>
      <c r="C197" s="6" t="s">
        <v>5</v>
      </c>
      <c r="D197" s="6" t="s">
        <v>45</v>
      </c>
      <c r="E197" s="28">
        <v>13070.2</v>
      </c>
      <c r="F197" s="11">
        <v>10</v>
      </c>
      <c r="G197" s="11">
        <v>14</v>
      </c>
      <c r="H197" s="11">
        <f t="shared" si="44"/>
        <v>-4</v>
      </c>
      <c r="I197" s="18">
        <v>1</v>
      </c>
      <c r="J197" s="19">
        <v>0.13196480938416419</v>
      </c>
      <c r="K197" s="19">
        <v>0.4</v>
      </c>
      <c r="L197" s="6">
        <v>6356919</v>
      </c>
      <c r="M197" s="7">
        <v>802362.9375</v>
      </c>
      <c r="N197" s="7">
        <v>1416203.875</v>
      </c>
      <c r="O197" s="7">
        <v>3366612.5</v>
      </c>
      <c r="P197" s="7">
        <v>6591.47509765625</v>
      </c>
      <c r="Q197" s="7">
        <v>44777.58984375</v>
      </c>
      <c r="R197" s="7">
        <v>769682.3125</v>
      </c>
      <c r="S197" s="7">
        <v>1032276.25</v>
      </c>
      <c r="T197" s="31">
        <f t="shared" si="45"/>
        <v>1379.5425939941406</v>
      </c>
      <c r="U197" s="37">
        <v>927.66666666666663</v>
      </c>
      <c r="V197">
        <f t="shared" si="46"/>
        <v>1.4871102342732383</v>
      </c>
      <c r="W197">
        <f t="shared" si="43"/>
        <v>4.7773911012045549E-3</v>
      </c>
      <c r="X197" s="28">
        <v>1169.0241666666668</v>
      </c>
      <c r="Y197">
        <f t="shared" si="47"/>
        <v>0.68525896514552642</v>
      </c>
      <c r="Z197">
        <f t="shared" si="35"/>
        <v>8.6492591178584266E-2</v>
      </c>
      <c r="AA197">
        <f t="shared" si="36"/>
        <v>0.15266301203736976</v>
      </c>
      <c r="AB197">
        <f t="shared" si="37"/>
        <v>0.3629118756737334</v>
      </c>
      <c r="AC197">
        <f t="shared" si="38"/>
        <v>7.1054348878795369E-4</v>
      </c>
      <c r="AD197">
        <f t="shared" si="39"/>
        <v>4.8269051214965865E-3</v>
      </c>
      <c r="AE197">
        <f t="shared" si="40"/>
        <v>8.2969706701401372E-2</v>
      </c>
      <c r="AF197">
        <f t="shared" si="41"/>
        <v>0.11127663492633849</v>
      </c>
      <c r="AG197">
        <f t="shared" si="48"/>
        <v>1.4871102342732383</v>
      </c>
      <c r="AH197">
        <v>0.32707227127358413</v>
      </c>
      <c r="AI197">
        <v>0.63713798977853497</v>
      </c>
      <c r="AJ197">
        <v>1.228020627399295E-2</v>
      </c>
      <c r="AK197">
        <v>7.0851325916971436E-3</v>
      </c>
      <c r="AL197">
        <v>0.21043469229799133</v>
      </c>
    </row>
    <row r="198" spans="1:38" x14ac:dyDescent="0.25">
      <c r="A198">
        <v>7</v>
      </c>
      <c r="B198" s="5" t="s">
        <v>9</v>
      </c>
      <c r="C198" s="6" t="s">
        <v>5</v>
      </c>
      <c r="D198" s="6" t="s">
        <v>46</v>
      </c>
      <c r="E198" s="28">
        <v>13070.2</v>
      </c>
      <c r="F198" s="11">
        <v>11</v>
      </c>
      <c r="G198" s="11">
        <v>14</v>
      </c>
      <c r="H198" s="11">
        <f t="shared" si="44"/>
        <v>-3</v>
      </c>
      <c r="I198" s="18">
        <v>1</v>
      </c>
      <c r="J198" s="19">
        <v>0.13196480938416419</v>
      </c>
      <c r="K198" s="19">
        <v>0.4</v>
      </c>
      <c r="L198" s="6">
        <v>5749958</v>
      </c>
      <c r="M198" s="7">
        <v>815924.625</v>
      </c>
      <c r="N198" s="7">
        <v>1416203.875</v>
      </c>
      <c r="O198" s="7">
        <v>3420736</v>
      </c>
      <c r="P198" s="7">
        <v>6591.47509765625</v>
      </c>
      <c r="Q198" s="7">
        <v>61722.4609375</v>
      </c>
      <c r="R198" s="7">
        <v>796643</v>
      </c>
      <c r="S198" s="7">
        <v>1071489</v>
      </c>
      <c r="T198" s="31">
        <f t="shared" si="45"/>
        <v>1333.9268436035156</v>
      </c>
      <c r="U198" s="37">
        <v>988.66666666666663</v>
      </c>
      <c r="V198">
        <f t="shared" si="46"/>
        <v>1.3492179807183233</v>
      </c>
      <c r="W198">
        <f t="shared" si="43"/>
        <v>-9.2724971139953136E-2</v>
      </c>
      <c r="X198" s="28">
        <v>1140.2091666666668</v>
      </c>
      <c r="Y198">
        <f t="shared" si="47"/>
        <v>0.58158712070128127</v>
      </c>
      <c r="Z198">
        <f t="shared" si="35"/>
        <v>8.2527777309507763E-2</v>
      </c>
      <c r="AA198">
        <f t="shared" si="36"/>
        <v>0.14324381743088335</v>
      </c>
      <c r="AB198">
        <f t="shared" si="37"/>
        <v>0.34599487525286582</v>
      </c>
      <c r="AC198">
        <f t="shared" si="38"/>
        <v>6.6670348256806303E-4</v>
      </c>
      <c r="AD198">
        <f t="shared" si="39"/>
        <v>6.2430000948246796E-3</v>
      </c>
      <c r="AE198">
        <f t="shared" si="40"/>
        <v>8.0577511800404594E-2</v>
      </c>
      <c r="AF198">
        <f t="shared" si="41"/>
        <v>0.10837717464598787</v>
      </c>
      <c r="AG198">
        <f t="shared" si="48"/>
        <v>1.3492179807183233</v>
      </c>
      <c r="AH198">
        <v>0.32707227127358413</v>
      </c>
      <c r="AI198">
        <v>0.63713798977853497</v>
      </c>
      <c r="AJ198">
        <v>1.228020627399295E-2</v>
      </c>
      <c r="AK198">
        <v>7.0851325916971436E-3</v>
      </c>
      <c r="AL198">
        <v>0.21043469229799133</v>
      </c>
    </row>
    <row r="199" spans="1:38" x14ac:dyDescent="0.25">
      <c r="A199">
        <v>7</v>
      </c>
      <c r="B199" s="5" t="s">
        <v>9</v>
      </c>
      <c r="C199" s="6" t="s">
        <v>5</v>
      </c>
      <c r="D199" s="6" t="s">
        <v>47</v>
      </c>
      <c r="E199" s="28">
        <v>13070.2</v>
      </c>
      <c r="F199" s="11">
        <v>12</v>
      </c>
      <c r="G199" s="11">
        <v>14</v>
      </c>
      <c r="H199" s="11">
        <f t="shared" si="44"/>
        <v>-2</v>
      </c>
      <c r="I199" s="18">
        <v>1</v>
      </c>
      <c r="J199" s="19">
        <v>0.13196480938416419</v>
      </c>
      <c r="K199" s="19">
        <v>0.4</v>
      </c>
      <c r="L199" s="6">
        <v>5712352</v>
      </c>
      <c r="M199" s="7">
        <v>807064.375</v>
      </c>
      <c r="N199" s="7">
        <v>1416203.875</v>
      </c>
      <c r="O199" s="7">
        <v>3384854.5</v>
      </c>
      <c r="P199" s="7">
        <v>6591.47509765625</v>
      </c>
      <c r="Q199" s="7">
        <v>40635.76953125</v>
      </c>
      <c r="R199" s="7">
        <v>790774.625</v>
      </c>
      <c r="S199" s="7">
        <v>1062767.125</v>
      </c>
      <c r="T199" s="31">
        <f t="shared" si="45"/>
        <v>1322.1243744628907</v>
      </c>
      <c r="U199" s="37">
        <v>1049.6666666666667</v>
      </c>
      <c r="V199">
        <f t="shared" si="46"/>
        <v>1.2595659331180284</v>
      </c>
      <c r="W199">
        <f t="shared" si="43"/>
        <v>-6.6447415378028202E-2</v>
      </c>
      <c r="X199" s="28">
        <v>1111.3941666666667</v>
      </c>
      <c r="Y199">
        <f t="shared" si="47"/>
        <v>0.54420628771038415</v>
      </c>
      <c r="Z199">
        <f t="shared" si="35"/>
        <v>7.6887682597650039E-2</v>
      </c>
      <c r="AA199">
        <f t="shared" si="36"/>
        <v>0.13491939107653222</v>
      </c>
      <c r="AB199">
        <f t="shared" si="37"/>
        <v>0.32246946649730068</v>
      </c>
      <c r="AC199">
        <f t="shared" si="38"/>
        <v>6.279588851371467E-4</v>
      </c>
      <c r="AD199">
        <f t="shared" si="39"/>
        <v>3.8713022735392187E-3</v>
      </c>
      <c r="AE199">
        <f t="shared" si="40"/>
        <v>7.5335785169895197E-2</v>
      </c>
      <c r="AF199">
        <f t="shared" si="41"/>
        <v>0.1012480589075897</v>
      </c>
      <c r="AG199">
        <f t="shared" si="48"/>
        <v>1.2595659331180284</v>
      </c>
      <c r="AH199">
        <v>0.32707227127358413</v>
      </c>
      <c r="AI199">
        <v>0.63713798977853497</v>
      </c>
      <c r="AJ199">
        <v>1.228020627399295E-2</v>
      </c>
      <c r="AK199">
        <v>7.0851325916971436E-3</v>
      </c>
      <c r="AL199">
        <v>0.21043469229799133</v>
      </c>
    </row>
    <row r="200" spans="1:38" x14ac:dyDescent="0.25">
      <c r="A200">
        <v>7</v>
      </c>
      <c r="B200" s="5" t="s">
        <v>9</v>
      </c>
      <c r="C200" s="6" t="s">
        <v>5</v>
      </c>
      <c r="D200" s="6" t="s">
        <v>48</v>
      </c>
      <c r="E200" s="28">
        <v>13070.2</v>
      </c>
      <c r="F200" s="11">
        <v>13</v>
      </c>
      <c r="G200" s="11">
        <v>14</v>
      </c>
      <c r="H200" s="11">
        <f t="shared" si="44"/>
        <v>-1</v>
      </c>
      <c r="I200" s="18">
        <v>1</v>
      </c>
      <c r="J200" s="19">
        <v>0.13196480938416419</v>
      </c>
      <c r="K200" s="19">
        <v>0.4</v>
      </c>
      <c r="L200" s="6">
        <v>5983867.5</v>
      </c>
      <c r="M200" s="7">
        <v>811453.25</v>
      </c>
      <c r="N200" s="7">
        <v>1416203.875</v>
      </c>
      <c r="O200" s="7">
        <v>3403271</v>
      </c>
      <c r="P200" s="7">
        <v>6591.47509765625</v>
      </c>
      <c r="Q200" s="7">
        <v>19556.8671875</v>
      </c>
      <c r="R200" s="7">
        <v>789587</v>
      </c>
      <c r="S200" s="7">
        <v>1028928.75</v>
      </c>
      <c r="T200" s="31">
        <f t="shared" si="45"/>
        <v>1345.9459717285156</v>
      </c>
      <c r="U200" s="37">
        <v>1118.6666666666667</v>
      </c>
      <c r="V200">
        <f t="shared" si="46"/>
        <v>1.203169819781152</v>
      </c>
      <c r="W200">
        <f t="shared" si="43"/>
        <v>-4.4774244725140411E-2</v>
      </c>
      <c r="X200" s="28">
        <v>1082.5791666666667</v>
      </c>
      <c r="Y200">
        <f t="shared" si="47"/>
        <v>0.53491068235995232</v>
      </c>
      <c r="Z200">
        <f t="shared" si="35"/>
        <v>7.2537537246722281E-2</v>
      </c>
      <c r="AA200">
        <f t="shared" si="36"/>
        <v>0.1265974858462455</v>
      </c>
      <c r="AB200">
        <f t="shared" si="37"/>
        <v>0.30422565554231223</v>
      </c>
      <c r="AC200">
        <f t="shared" si="38"/>
        <v>5.8922602184054672E-4</v>
      </c>
      <c r="AD200">
        <f t="shared" si="39"/>
        <v>1.7482300823152559E-3</v>
      </c>
      <c r="AE200">
        <f t="shared" si="40"/>
        <v>7.0582866507747311E-2</v>
      </c>
      <c r="AF200">
        <f t="shared" si="41"/>
        <v>9.1978136174016692E-2</v>
      </c>
      <c r="AG200">
        <f t="shared" si="48"/>
        <v>1.203169819781152</v>
      </c>
      <c r="AH200">
        <v>0.32707227127358413</v>
      </c>
      <c r="AI200">
        <v>0.63713798977853497</v>
      </c>
      <c r="AJ200">
        <v>1.228020627399295E-2</v>
      </c>
      <c r="AK200">
        <v>7.0851325916971436E-3</v>
      </c>
      <c r="AL200">
        <v>0.21043469229799133</v>
      </c>
    </row>
    <row r="201" spans="1:38" x14ac:dyDescent="0.25">
      <c r="A201">
        <v>7</v>
      </c>
      <c r="B201" s="21" t="s">
        <v>9</v>
      </c>
      <c r="C201" s="22" t="s">
        <v>5</v>
      </c>
      <c r="D201" s="22" t="s">
        <v>49</v>
      </c>
      <c r="E201" s="28">
        <v>13070.2</v>
      </c>
      <c r="F201" s="22">
        <v>14</v>
      </c>
      <c r="G201" s="22">
        <v>14</v>
      </c>
      <c r="H201" s="22">
        <f t="shared" si="44"/>
        <v>0</v>
      </c>
      <c r="I201" s="18">
        <v>1</v>
      </c>
      <c r="J201" s="19">
        <v>0.13196480938416419</v>
      </c>
      <c r="K201" s="19">
        <v>0.4</v>
      </c>
      <c r="L201" s="22">
        <v>6730723</v>
      </c>
      <c r="M201" s="23">
        <v>780476.125</v>
      </c>
      <c r="N201" s="23">
        <v>1416203.875</v>
      </c>
      <c r="O201" s="23">
        <v>3266577</v>
      </c>
      <c r="P201" s="23">
        <v>6591.47509765625</v>
      </c>
      <c r="Q201" s="23">
        <v>11499.0048828125</v>
      </c>
      <c r="R201" s="23">
        <v>795677.0625</v>
      </c>
      <c r="S201" s="23">
        <v>1006572.625</v>
      </c>
      <c r="T201" s="32">
        <f t="shared" si="45"/>
        <v>1401.4320167480469</v>
      </c>
      <c r="U201" s="37">
        <v>1187.6666666666667</v>
      </c>
      <c r="V201">
        <f t="shared" si="46"/>
        <v>1.1799876649576593</v>
      </c>
      <c r="W201">
        <f t="shared" si="43"/>
        <v>-1.92675667577079E-2</v>
      </c>
      <c r="X201" s="28">
        <v>1053.7641666666666</v>
      </c>
      <c r="Y201">
        <f t="shared" si="47"/>
        <v>0.56671818692113385</v>
      </c>
      <c r="Z201">
        <f t="shared" si="35"/>
        <v>6.5715082093741231E-2</v>
      </c>
      <c r="AA201">
        <f t="shared" si="36"/>
        <v>0.11924253788941903</v>
      </c>
      <c r="AB201">
        <f t="shared" si="37"/>
        <v>0.27504156609598651</v>
      </c>
      <c r="AC201">
        <f t="shared" si="38"/>
        <v>5.5499369331935857E-4</v>
      </c>
      <c r="AD201">
        <f t="shared" si="39"/>
        <v>9.682013653785432E-4</v>
      </c>
      <c r="AE201">
        <f t="shared" si="40"/>
        <v>6.699498140611844E-2</v>
      </c>
      <c r="AF201">
        <f t="shared" si="41"/>
        <v>8.4752115492562438E-2</v>
      </c>
      <c r="AG201">
        <f t="shared" si="48"/>
        <v>1.1799876649576591</v>
      </c>
      <c r="AH201">
        <v>0.32707227127358413</v>
      </c>
      <c r="AI201">
        <v>0.63713798977853497</v>
      </c>
      <c r="AJ201">
        <v>1.228020627399295E-2</v>
      </c>
      <c r="AK201">
        <v>7.0851325916971436E-3</v>
      </c>
      <c r="AL201">
        <v>0.21043469229799133</v>
      </c>
    </row>
    <row r="202" spans="1:38" x14ac:dyDescent="0.25">
      <c r="A202">
        <v>7</v>
      </c>
      <c r="B202" s="5" t="s">
        <v>9</v>
      </c>
      <c r="C202" s="6" t="s">
        <v>5</v>
      </c>
      <c r="D202" s="6" t="s">
        <v>50</v>
      </c>
      <c r="E202" s="28">
        <v>13070.2</v>
      </c>
      <c r="F202" s="11">
        <v>15</v>
      </c>
      <c r="G202" s="11">
        <v>14</v>
      </c>
      <c r="H202" s="11">
        <f t="shared" si="44"/>
        <v>1</v>
      </c>
      <c r="I202" s="18">
        <v>1</v>
      </c>
      <c r="J202" s="19">
        <v>0.13196480938416419</v>
      </c>
      <c r="K202" s="19">
        <v>0.4</v>
      </c>
      <c r="L202" s="6">
        <v>7162439.5</v>
      </c>
      <c r="M202" s="7">
        <v>759139.8125</v>
      </c>
      <c r="N202" s="7">
        <v>1416203.875</v>
      </c>
      <c r="O202" s="7">
        <v>3173297.75</v>
      </c>
      <c r="P202" s="7">
        <v>6591.47509765625</v>
      </c>
      <c r="Q202" s="7">
        <v>16146.875</v>
      </c>
      <c r="R202" s="7">
        <v>775351.3125</v>
      </c>
      <c r="S202" s="7">
        <v>1017820.375</v>
      </c>
      <c r="T202" s="31">
        <f t="shared" si="45"/>
        <v>1432.6990975097656</v>
      </c>
      <c r="U202" s="37">
        <v>1256.6666666666667</v>
      </c>
      <c r="V202">
        <f t="shared" si="46"/>
        <v>1.1400788574348266</v>
      </c>
      <c r="W202">
        <f t="shared" si="43"/>
        <v>-3.3821376873685097E-2</v>
      </c>
      <c r="X202" s="28">
        <v>1024.9491666666665</v>
      </c>
      <c r="Y202">
        <f t="shared" si="47"/>
        <v>0.5699553978779841</v>
      </c>
      <c r="Z202">
        <f t="shared" si="35"/>
        <v>6.0409003647214854E-2</v>
      </c>
      <c r="AA202">
        <f t="shared" si="36"/>
        <v>0.11269526856763926</v>
      </c>
      <c r="AB202">
        <f t="shared" si="37"/>
        <v>0.2525170623342175</v>
      </c>
      <c r="AC202">
        <f t="shared" si="38"/>
        <v>5.2452056480023208E-4</v>
      </c>
      <c r="AD202">
        <f t="shared" si="39"/>
        <v>1.2848972148541114E-3</v>
      </c>
      <c r="AE202">
        <f t="shared" si="40"/>
        <v>6.1699043435013257E-2</v>
      </c>
      <c r="AF202">
        <f t="shared" si="41"/>
        <v>8.0993663793103438E-2</v>
      </c>
      <c r="AG202">
        <f t="shared" si="48"/>
        <v>1.1400788574348268</v>
      </c>
      <c r="AH202">
        <v>0.32707227127358413</v>
      </c>
      <c r="AI202">
        <v>0.63713798977853497</v>
      </c>
      <c r="AJ202">
        <v>1.228020627399295E-2</v>
      </c>
      <c r="AK202">
        <v>7.0851325916971436E-3</v>
      </c>
      <c r="AL202">
        <v>0.21043469229799133</v>
      </c>
    </row>
    <row r="203" spans="1:38" x14ac:dyDescent="0.25">
      <c r="A203">
        <v>7</v>
      </c>
      <c r="B203" s="5" t="s">
        <v>9</v>
      </c>
      <c r="C203" s="6" t="s">
        <v>5</v>
      </c>
      <c r="D203" s="6" t="s">
        <v>51</v>
      </c>
      <c r="E203" s="28">
        <v>13070.2</v>
      </c>
      <c r="F203" s="11">
        <v>16</v>
      </c>
      <c r="G203" s="11">
        <v>14</v>
      </c>
      <c r="H203" s="11">
        <f t="shared" si="44"/>
        <v>2</v>
      </c>
      <c r="I203" s="18">
        <v>1</v>
      </c>
      <c r="J203" s="19">
        <v>0.13196480938416419</v>
      </c>
      <c r="K203" s="19">
        <v>0.4</v>
      </c>
      <c r="L203" s="6">
        <v>6253126.5</v>
      </c>
      <c r="M203" s="7">
        <v>791471.9375</v>
      </c>
      <c r="N203" s="7">
        <v>1416203.875</v>
      </c>
      <c r="O203" s="7">
        <v>3312729.5</v>
      </c>
      <c r="P203" s="7">
        <v>6591.47509765625</v>
      </c>
      <c r="Q203" s="7">
        <v>45209.68359375</v>
      </c>
      <c r="R203" s="7">
        <v>769131.9375</v>
      </c>
      <c r="S203" s="7">
        <v>1037169.25</v>
      </c>
      <c r="T203" s="31">
        <f t="shared" si="45"/>
        <v>1363.1634158691406</v>
      </c>
      <c r="U203" s="37">
        <v>1238</v>
      </c>
      <c r="V203">
        <f t="shared" si="46"/>
        <v>1.101101305225477</v>
      </c>
      <c r="W203">
        <f t="shared" si="43"/>
        <v>-3.4188470345857452E-2</v>
      </c>
      <c r="X203" s="28">
        <v>996.13416666666649</v>
      </c>
      <c r="Y203">
        <f t="shared" si="47"/>
        <v>0.50509907108239094</v>
      </c>
      <c r="Z203">
        <f t="shared" si="35"/>
        <v>6.3931497374798057E-2</v>
      </c>
      <c r="AA203">
        <f t="shared" si="36"/>
        <v>0.11439449717285945</v>
      </c>
      <c r="AB203">
        <f t="shared" si="37"/>
        <v>0.26758719709208401</v>
      </c>
      <c r="AC203">
        <f t="shared" si="38"/>
        <v>5.3242932937449519E-4</v>
      </c>
      <c r="AD203">
        <f t="shared" si="39"/>
        <v>3.6518322773626821E-3</v>
      </c>
      <c r="AE203">
        <f t="shared" si="40"/>
        <v>6.2126973949919229E-2</v>
      </c>
      <c r="AF203">
        <f t="shared" si="41"/>
        <v>8.3777806946688196E-2</v>
      </c>
      <c r="AG203">
        <f t="shared" si="48"/>
        <v>1.101101305225477</v>
      </c>
      <c r="AH203">
        <v>0.32707227127358413</v>
      </c>
      <c r="AI203">
        <v>0.63713798977853497</v>
      </c>
      <c r="AJ203">
        <v>1.228020627399295E-2</v>
      </c>
      <c r="AK203">
        <v>7.0851325916971436E-3</v>
      </c>
      <c r="AL203">
        <v>0.21043469229799133</v>
      </c>
    </row>
    <row r="204" spans="1:38" x14ac:dyDescent="0.25">
      <c r="A204">
        <v>7</v>
      </c>
      <c r="B204" s="5" t="s">
        <v>9</v>
      </c>
      <c r="C204" s="6" t="s">
        <v>5</v>
      </c>
      <c r="D204" s="6" t="s">
        <v>52</v>
      </c>
      <c r="E204" s="28">
        <v>13070.2</v>
      </c>
      <c r="F204" s="11">
        <v>17</v>
      </c>
      <c r="G204" s="11">
        <v>14</v>
      </c>
      <c r="H204" s="11">
        <f t="shared" si="44"/>
        <v>3</v>
      </c>
      <c r="I204" s="18">
        <v>1</v>
      </c>
      <c r="J204" s="19">
        <v>0.13196480938416419</v>
      </c>
      <c r="K204" s="19">
        <v>0.4</v>
      </c>
      <c r="L204" s="6">
        <v>6153846.5</v>
      </c>
      <c r="M204" s="7">
        <v>813463.9375</v>
      </c>
      <c r="N204" s="7">
        <v>1416203.875</v>
      </c>
      <c r="O204" s="7">
        <v>3408534.5</v>
      </c>
      <c r="P204" s="7">
        <v>6591.47509765625</v>
      </c>
      <c r="Q204" s="7">
        <v>62353.0859375</v>
      </c>
      <c r="R204" s="7">
        <v>796534.3125</v>
      </c>
      <c r="S204" s="7">
        <v>1076266.25</v>
      </c>
      <c r="T204" s="31">
        <f t="shared" si="45"/>
        <v>1373.3793936035156</v>
      </c>
      <c r="U204" s="37">
        <v>1219.3333333333333</v>
      </c>
      <c r="V204">
        <f t="shared" si="46"/>
        <v>1.1263362987453656</v>
      </c>
      <c r="W204">
        <f t="shared" si="43"/>
        <v>2.2917958048120819E-2</v>
      </c>
      <c r="X204" s="28">
        <v>967.31916666666643</v>
      </c>
      <c r="Y204">
        <f t="shared" si="47"/>
        <v>0.50468943411700384</v>
      </c>
      <c r="Z204">
        <f t="shared" si="35"/>
        <v>6.6713827569710227E-2</v>
      </c>
      <c r="AA204">
        <f t="shared" si="36"/>
        <v>0.11614575246036087</v>
      </c>
      <c r="AB204">
        <f t="shared" si="37"/>
        <v>0.27954082832148713</v>
      </c>
      <c r="AC204">
        <f t="shared" si="38"/>
        <v>5.4058024311013535E-4</v>
      </c>
      <c r="AD204">
        <f t="shared" si="39"/>
        <v>5.1137030566566427E-3</v>
      </c>
      <c r="AE204">
        <f t="shared" si="40"/>
        <v>6.5325394682886825E-2</v>
      </c>
      <c r="AF204">
        <f t="shared" si="41"/>
        <v>8.8266778294149806E-2</v>
      </c>
      <c r="AG204">
        <f t="shared" si="48"/>
        <v>1.1263362987453653</v>
      </c>
      <c r="AH204">
        <v>0.32707227127358413</v>
      </c>
      <c r="AI204">
        <v>0.63713798977853497</v>
      </c>
      <c r="AJ204">
        <v>1.228020627399295E-2</v>
      </c>
      <c r="AK204">
        <v>7.0851325916971436E-3</v>
      </c>
      <c r="AL204">
        <v>0.21043469229799133</v>
      </c>
    </row>
    <row r="205" spans="1:38" s="20" customFormat="1" x14ac:dyDescent="0.25">
      <c r="A205">
        <v>7</v>
      </c>
      <c r="B205" s="5" t="s">
        <v>9</v>
      </c>
      <c r="C205" s="6" t="s">
        <v>5</v>
      </c>
      <c r="D205" s="6" t="s">
        <v>53</v>
      </c>
      <c r="E205" s="28">
        <v>13070.2</v>
      </c>
      <c r="F205" s="11">
        <v>18</v>
      </c>
      <c r="G205" s="11">
        <v>14</v>
      </c>
      <c r="H205" s="11">
        <f t="shared" si="44"/>
        <v>4</v>
      </c>
      <c r="I205" s="18">
        <v>1</v>
      </c>
      <c r="J205" s="19">
        <v>0.13196480938416419</v>
      </c>
      <c r="K205" s="19">
        <v>0.4</v>
      </c>
      <c r="L205" s="6">
        <v>6572777.5</v>
      </c>
      <c r="M205" s="7">
        <v>809296.875</v>
      </c>
      <c r="N205" s="7">
        <v>1416203.875</v>
      </c>
      <c r="O205" s="7">
        <v>3397444.5</v>
      </c>
      <c r="P205" s="7">
        <v>6591.47509765625</v>
      </c>
      <c r="Q205" s="7">
        <v>41145.71875</v>
      </c>
      <c r="R205" s="7">
        <v>791193.0625</v>
      </c>
      <c r="S205" s="7">
        <v>1061744.375</v>
      </c>
      <c r="T205" s="31">
        <f t="shared" si="45"/>
        <v>1409.6397381347656</v>
      </c>
      <c r="U205" s="37">
        <v>1200.6666666666667</v>
      </c>
      <c r="V205">
        <f t="shared" si="46"/>
        <v>1.1740475331494438</v>
      </c>
      <c r="W205">
        <f t="shared" si="43"/>
        <v>4.2359670426340791E-2</v>
      </c>
      <c r="X205" s="28">
        <v>938.50416666666638</v>
      </c>
      <c r="Y205">
        <f t="shared" si="47"/>
        <v>0.54742733203775684</v>
      </c>
      <c r="Z205">
        <f t="shared" si="35"/>
        <v>6.7403959605774555E-2</v>
      </c>
      <c r="AA205">
        <f t="shared" si="36"/>
        <v>0.11795146099389228</v>
      </c>
      <c r="AB205">
        <f t="shared" si="37"/>
        <v>0.28296317323709047</v>
      </c>
      <c r="AC205">
        <f t="shared" si="38"/>
        <v>5.4898460002689479E-4</v>
      </c>
      <c r="AD205">
        <f t="shared" si="39"/>
        <v>3.4269060591338146E-3</v>
      </c>
      <c r="AE205">
        <f t="shared" si="40"/>
        <v>6.5896146238200989E-2</v>
      </c>
      <c r="AF205">
        <f t="shared" si="41"/>
        <v>8.8429570377568004E-2</v>
      </c>
      <c r="AG205">
        <f t="shared" si="48"/>
        <v>1.174047533149444</v>
      </c>
      <c r="AH205" s="20">
        <v>0.32707227127358413</v>
      </c>
      <c r="AI205" s="20">
        <v>0.63713798977853497</v>
      </c>
      <c r="AJ205" s="20">
        <v>1.228020627399295E-2</v>
      </c>
      <c r="AK205" s="20">
        <v>7.0851325916971436E-3</v>
      </c>
      <c r="AL205" s="20">
        <v>0.21043469229799133</v>
      </c>
    </row>
    <row r="206" spans="1:38" x14ac:dyDescent="0.25">
      <c r="A206">
        <v>7</v>
      </c>
      <c r="B206" s="5" t="s">
        <v>9</v>
      </c>
      <c r="C206" s="6" t="s">
        <v>5</v>
      </c>
      <c r="D206" s="6" t="s">
        <v>54</v>
      </c>
      <c r="E206" s="28">
        <v>13070.2</v>
      </c>
      <c r="F206" s="11">
        <v>19</v>
      </c>
      <c r="G206" s="11">
        <v>14</v>
      </c>
      <c r="H206" s="11">
        <f t="shared" si="44"/>
        <v>5</v>
      </c>
      <c r="I206" s="18">
        <v>1</v>
      </c>
      <c r="J206" s="19">
        <v>0.13196480938416419</v>
      </c>
      <c r="K206" s="19">
        <v>0.4</v>
      </c>
      <c r="L206" s="6">
        <v>7331667</v>
      </c>
      <c r="M206" s="7">
        <v>815983.6875</v>
      </c>
      <c r="N206" s="7">
        <v>1416883.625</v>
      </c>
      <c r="O206" s="7">
        <v>3428955</v>
      </c>
      <c r="P206" s="7">
        <v>6594.638671875</v>
      </c>
      <c r="Q206" s="7">
        <v>19405.048828125</v>
      </c>
      <c r="R206" s="7">
        <v>790706.5625</v>
      </c>
      <c r="S206" s="7">
        <v>1020438.4375</v>
      </c>
      <c r="T206" s="31">
        <f t="shared" si="45"/>
        <v>1483.0634</v>
      </c>
      <c r="U206" s="37">
        <v>1182.0000000000002</v>
      </c>
      <c r="V206">
        <f t="shared" si="46"/>
        <v>1.254706768189509</v>
      </c>
      <c r="W206">
        <f t="shared" si="43"/>
        <v>6.8701847891705553E-2</v>
      </c>
      <c r="X206" s="28">
        <v>909.68916666666632</v>
      </c>
      <c r="Y206">
        <f t="shared" si="47"/>
        <v>0.62027639593908612</v>
      </c>
      <c r="Z206">
        <f t="shared" si="35"/>
        <v>6.9034152918781719E-2</v>
      </c>
      <c r="AA206">
        <f t="shared" si="36"/>
        <v>0.1198717110829103</v>
      </c>
      <c r="AB206">
        <f t="shared" si="37"/>
        <v>0.2900977157360406</v>
      </c>
      <c r="AC206">
        <f t="shared" si="38"/>
        <v>5.5792205345812169E-4</v>
      </c>
      <c r="AD206">
        <f t="shared" si="39"/>
        <v>1.6417130988261419E-3</v>
      </c>
      <c r="AE206">
        <f t="shared" si="40"/>
        <v>6.689564826565142E-2</v>
      </c>
      <c r="AF206">
        <f t="shared" si="41"/>
        <v>8.6331509094754635E-2</v>
      </c>
      <c r="AG206">
        <f t="shared" si="48"/>
        <v>1.254706768189509</v>
      </c>
      <c r="AH206">
        <v>0.32707227127358413</v>
      </c>
      <c r="AI206">
        <v>0.63713798977853497</v>
      </c>
      <c r="AJ206">
        <v>1.228020627399295E-2</v>
      </c>
      <c r="AK206">
        <v>7.0851325916971436E-3</v>
      </c>
      <c r="AL206">
        <v>0.21043469229799133</v>
      </c>
    </row>
    <row r="207" spans="1:38" x14ac:dyDescent="0.25">
      <c r="A207">
        <v>7</v>
      </c>
      <c r="B207" s="5" t="s">
        <v>9</v>
      </c>
      <c r="C207" s="6" t="s">
        <v>5</v>
      </c>
      <c r="D207" s="6" t="s">
        <v>55</v>
      </c>
      <c r="E207" s="28">
        <v>13531.2</v>
      </c>
      <c r="F207" s="11">
        <v>20</v>
      </c>
      <c r="G207" s="11">
        <v>14</v>
      </c>
      <c r="H207" s="18">
        <f t="shared" si="44"/>
        <v>6</v>
      </c>
      <c r="I207" s="18">
        <v>1</v>
      </c>
      <c r="J207" s="19">
        <v>0.13196480938416419</v>
      </c>
      <c r="K207" s="19">
        <v>0.4</v>
      </c>
      <c r="L207" s="14">
        <v>804334.1875</v>
      </c>
      <c r="M207" s="16">
        <v>798731.5</v>
      </c>
      <c r="N207" s="16">
        <v>3008176.75</v>
      </c>
      <c r="O207" s="16">
        <v>6339449</v>
      </c>
      <c r="P207" s="16">
        <v>6600.63037109375</v>
      </c>
      <c r="Q207" s="16">
        <v>12660.2421875</v>
      </c>
      <c r="R207" s="16">
        <v>3155240.75</v>
      </c>
      <c r="S207" s="16">
        <v>1215818</v>
      </c>
      <c r="T207" s="31">
        <f t="shared" si="45"/>
        <v>1534.1011060058593</v>
      </c>
      <c r="U207" s="37">
        <v>912.88888888888891</v>
      </c>
      <c r="V207">
        <f t="shared" si="46"/>
        <v>1.6804905007367008</v>
      </c>
      <c r="W207">
        <f t="shared" si="43"/>
        <v>0.33934919563842036</v>
      </c>
      <c r="X207" s="28">
        <v>800.74791666666624</v>
      </c>
      <c r="Y207">
        <f t="shared" si="47"/>
        <v>8.8108662213972733E-2</v>
      </c>
      <c r="Z207">
        <f t="shared" si="35"/>
        <v>8.7494930623174288E-2</v>
      </c>
      <c r="AA207">
        <f t="shared" si="36"/>
        <v>0.32952276959591043</v>
      </c>
      <c r="AB207">
        <f t="shared" si="37"/>
        <v>0.69443818159688409</v>
      </c>
      <c r="AC207">
        <f t="shared" si="38"/>
        <v>7.2304860442847798E-4</v>
      </c>
      <c r="AD207">
        <f t="shared" si="39"/>
        <v>1.386832761532376E-3</v>
      </c>
      <c r="AE207">
        <f t="shared" si="40"/>
        <v>0.3456325066942551</v>
      </c>
      <c r="AF207">
        <f t="shared" si="41"/>
        <v>0.13318356864654335</v>
      </c>
      <c r="AG207">
        <f t="shared" si="48"/>
        <v>1.6804905007367008</v>
      </c>
      <c r="AH207">
        <v>0.32716240983800399</v>
      </c>
      <c r="AI207">
        <v>0.64728516460025654</v>
      </c>
      <c r="AJ207">
        <v>1.223313563665652E-2</v>
      </c>
      <c r="AK207">
        <v>7.6620477119545942E-3</v>
      </c>
      <c r="AL207">
        <v>0.24390210694713907</v>
      </c>
    </row>
    <row r="208" spans="1:38" x14ac:dyDescent="0.25">
      <c r="A208">
        <v>7</v>
      </c>
      <c r="B208" s="5" t="s">
        <v>9</v>
      </c>
      <c r="C208" s="6" t="s">
        <v>5</v>
      </c>
      <c r="D208" s="6" t="s">
        <v>56</v>
      </c>
      <c r="E208" s="28">
        <v>13531.2</v>
      </c>
      <c r="F208" s="11">
        <v>21</v>
      </c>
      <c r="G208" s="11">
        <v>14</v>
      </c>
      <c r="H208" s="11">
        <f t="shared" si="44"/>
        <v>7</v>
      </c>
      <c r="I208" s="18">
        <v>1</v>
      </c>
      <c r="J208" s="19">
        <v>0.13196480938416419</v>
      </c>
      <c r="K208" s="19">
        <v>0.4</v>
      </c>
      <c r="L208" s="6">
        <v>784332.0625</v>
      </c>
      <c r="M208" s="7">
        <v>783066</v>
      </c>
      <c r="N208" s="7">
        <v>2616010</v>
      </c>
      <c r="O208" s="7">
        <v>6308035</v>
      </c>
      <c r="P208" s="7">
        <v>6600.63037109375</v>
      </c>
      <c r="Q208" s="7">
        <v>17877.71484375</v>
      </c>
      <c r="R208" s="7">
        <v>3091147.75</v>
      </c>
      <c r="S208" s="7">
        <v>1233555.25</v>
      </c>
      <c r="T208" s="31">
        <f t="shared" si="45"/>
        <v>1484.0624407714843</v>
      </c>
      <c r="U208" s="37">
        <v>964.66666666666663</v>
      </c>
      <c r="V208">
        <f t="shared" si="46"/>
        <v>1.5384199455129417</v>
      </c>
      <c r="W208">
        <f t="shared" si="43"/>
        <v>-8.4541123654955266E-2</v>
      </c>
      <c r="X208" s="28">
        <v>860.17541666666625</v>
      </c>
      <c r="Y208">
        <f t="shared" si="47"/>
        <v>8.1306018918451975E-2</v>
      </c>
      <c r="Z208">
        <f t="shared" si="35"/>
        <v>8.1174775397373874E-2</v>
      </c>
      <c r="AA208">
        <f t="shared" si="36"/>
        <v>0.271182791983414</v>
      </c>
      <c r="AB208">
        <f t="shared" si="37"/>
        <v>0.65390825846579126</v>
      </c>
      <c r="AC208">
        <f t="shared" si="38"/>
        <v>6.8423949942229617E-4</v>
      </c>
      <c r="AD208">
        <f t="shared" si="39"/>
        <v>1.8532530936852109E-3</v>
      </c>
      <c r="AE208">
        <f t="shared" si="40"/>
        <v>0.32043687802349691</v>
      </c>
      <c r="AF208">
        <f t="shared" si="41"/>
        <v>0.12787373013130615</v>
      </c>
      <c r="AG208">
        <f t="shared" si="48"/>
        <v>1.5384199455129417</v>
      </c>
      <c r="AH208">
        <v>0.32716240983800399</v>
      </c>
      <c r="AI208">
        <v>0.64728516460025654</v>
      </c>
      <c r="AJ208">
        <v>1.223313563665652E-2</v>
      </c>
      <c r="AK208">
        <v>7.6620477119545942E-3</v>
      </c>
      <c r="AL208">
        <v>0.24390210694713907</v>
      </c>
    </row>
    <row r="209" spans="1:38" x14ac:dyDescent="0.25">
      <c r="A209">
        <v>7</v>
      </c>
      <c r="B209" s="5" t="s">
        <v>9</v>
      </c>
      <c r="C209" s="6" t="s">
        <v>5</v>
      </c>
      <c r="D209" s="6" t="s">
        <v>57</v>
      </c>
      <c r="E209" s="28">
        <v>13531.2</v>
      </c>
      <c r="F209" s="11">
        <v>22</v>
      </c>
      <c r="G209" s="11">
        <v>14</v>
      </c>
      <c r="H209" s="11">
        <f t="shared" si="44"/>
        <v>8</v>
      </c>
      <c r="I209" s="18">
        <v>1</v>
      </c>
      <c r="J209" s="19">
        <v>0.13196480938416419</v>
      </c>
      <c r="K209" s="19">
        <v>0.4</v>
      </c>
      <c r="L209" s="6">
        <v>777855.75</v>
      </c>
      <c r="M209" s="7">
        <v>812799.75</v>
      </c>
      <c r="N209" s="7">
        <v>1698101.5</v>
      </c>
      <c r="O209" s="7">
        <v>7175708.5</v>
      </c>
      <c r="P209" s="7">
        <v>6600.63037109375</v>
      </c>
      <c r="Q209" s="7">
        <v>50991.16015625</v>
      </c>
      <c r="R209" s="7">
        <v>3209698</v>
      </c>
      <c r="S209" s="7">
        <v>1261970.625</v>
      </c>
      <c r="T209" s="31">
        <f t="shared" si="45"/>
        <v>1499.3725915527343</v>
      </c>
      <c r="U209" s="37">
        <v>1016.4444444444443</v>
      </c>
      <c r="V209">
        <f t="shared" si="46"/>
        <v>1.475115142542043</v>
      </c>
      <c r="W209">
        <f t="shared" si="43"/>
        <v>-4.1149234417778902E-2</v>
      </c>
      <c r="X209" s="28">
        <v>919.60291666666637</v>
      </c>
      <c r="Y209">
        <f t="shared" si="47"/>
        <v>7.6527128880629652E-2</v>
      </c>
      <c r="Z209">
        <f t="shared" si="35"/>
        <v>7.9964995080891998E-2</v>
      </c>
      <c r="AA209">
        <f t="shared" si="36"/>
        <v>0.16706289352864018</v>
      </c>
      <c r="AB209">
        <f t="shared" si="37"/>
        <v>0.70596170201136865</v>
      </c>
      <c r="AC209">
        <f t="shared" si="38"/>
        <v>6.4938427350069695E-4</v>
      </c>
      <c r="AD209">
        <f t="shared" si="39"/>
        <v>5.0166204788615002E-3</v>
      </c>
      <c r="AE209">
        <f t="shared" si="40"/>
        <v>0.3157770222999563</v>
      </c>
      <c r="AF209">
        <f t="shared" si="41"/>
        <v>0.12415539598819417</v>
      </c>
      <c r="AG209">
        <f t="shared" si="48"/>
        <v>1.4751151425420432</v>
      </c>
      <c r="AH209">
        <v>0.32716240983800399</v>
      </c>
      <c r="AI209">
        <v>0.64728516460025654</v>
      </c>
      <c r="AJ209">
        <v>1.223313563665652E-2</v>
      </c>
      <c r="AK209">
        <v>7.6620477119545942E-3</v>
      </c>
      <c r="AL209">
        <v>0.24390210694713907</v>
      </c>
    </row>
    <row r="210" spans="1:38" x14ac:dyDescent="0.25">
      <c r="A210">
        <v>7</v>
      </c>
      <c r="B210" s="5" t="s">
        <v>9</v>
      </c>
      <c r="C210" s="6" t="s">
        <v>5</v>
      </c>
      <c r="D210" s="6" t="s">
        <v>58</v>
      </c>
      <c r="E210" s="28">
        <v>13531.2</v>
      </c>
      <c r="F210" s="11">
        <v>23</v>
      </c>
      <c r="G210" s="11">
        <v>14</v>
      </c>
      <c r="H210" s="11">
        <f t="shared" si="44"/>
        <v>9</v>
      </c>
      <c r="I210" s="18">
        <v>1</v>
      </c>
      <c r="J210" s="19">
        <v>0.13196480938416419</v>
      </c>
      <c r="K210" s="19">
        <v>0.4</v>
      </c>
      <c r="L210" s="6">
        <v>804155.1875</v>
      </c>
      <c r="M210" s="7">
        <v>826517.25</v>
      </c>
      <c r="N210" s="7">
        <v>1105646.375</v>
      </c>
      <c r="O210" s="7">
        <v>6490569.5</v>
      </c>
      <c r="P210" s="7">
        <v>6600.63037109375</v>
      </c>
      <c r="Q210" s="7">
        <v>70287.390625</v>
      </c>
      <c r="R210" s="7">
        <v>3261313.5</v>
      </c>
      <c r="S210" s="7">
        <v>1309052.5</v>
      </c>
      <c r="T210" s="31">
        <f t="shared" si="45"/>
        <v>1387.4142333496093</v>
      </c>
      <c r="U210" s="37">
        <v>1068.2222222222222</v>
      </c>
      <c r="V210">
        <f t="shared" si="46"/>
        <v>1.2988067505873189</v>
      </c>
      <c r="W210">
        <f t="shared" si="43"/>
        <v>-0.11952178299172947</v>
      </c>
      <c r="X210" s="28">
        <v>979.0304166666665</v>
      </c>
      <c r="Y210">
        <f t="shared" si="47"/>
        <v>7.5279765836280432E-2</v>
      </c>
      <c r="Z210">
        <f t="shared" ref="Z210:Z273" si="49">M210/$U210/10000</f>
        <v>7.7373156334512166E-2</v>
      </c>
      <c r="AA210">
        <f t="shared" ref="AA210:AA273" si="50">N210/$U210/10000</f>
        <v>0.10350340519034741</v>
      </c>
      <c r="AB210">
        <f t="shared" ref="AB210:AB273" si="51">O210/$U210/10000</f>
        <v>0.60760480029124198</v>
      </c>
      <c r="AC210">
        <f t="shared" ref="AC210:AC273" si="52">P210/$U210/10000</f>
        <v>6.1790798148370866E-4</v>
      </c>
      <c r="AD210">
        <f t="shared" ref="AD210:AD273" si="53">Q210/$U210/10000</f>
        <v>6.5798472605055128E-3</v>
      </c>
      <c r="AE210">
        <f t="shared" ref="AE210:AE273" si="54">R210/$U210/10000</f>
        <v>0.30530290721863951</v>
      </c>
      <c r="AF210">
        <f t="shared" ref="AF210:AF273" si="55">S210/$U210/10000</f>
        <v>0.1225449604743083</v>
      </c>
      <c r="AG210">
        <f t="shared" si="48"/>
        <v>1.2988067505873191</v>
      </c>
      <c r="AH210">
        <v>0.32716240983800399</v>
      </c>
      <c r="AI210">
        <v>0.64728516460025654</v>
      </c>
      <c r="AJ210">
        <v>1.223313563665652E-2</v>
      </c>
      <c r="AK210">
        <v>7.6620477119545942E-3</v>
      </c>
      <c r="AL210">
        <v>0.24390210694713907</v>
      </c>
    </row>
    <row r="211" spans="1:38" x14ac:dyDescent="0.25">
      <c r="A211">
        <v>7</v>
      </c>
      <c r="B211" s="5" t="s">
        <v>9</v>
      </c>
      <c r="C211" s="6" t="s">
        <v>5</v>
      </c>
      <c r="D211" s="6" t="s">
        <v>59</v>
      </c>
      <c r="E211" s="28">
        <v>13531.2</v>
      </c>
      <c r="F211" s="11">
        <v>24</v>
      </c>
      <c r="G211" s="11">
        <v>14</v>
      </c>
      <c r="H211" s="11">
        <f t="shared" si="44"/>
        <v>10</v>
      </c>
      <c r="I211" s="18">
        <v>1</v>
      </c>
      <c r="J211" s="19">
        <v>0.13196480938416419</v>
      </c>
      <c r="K211" s="19">
        <v>0.4</v>
      </c>
      <c r="L211" s="6">
        <v>798410.125</v>
      </c>
      <c r="M211" s="7">
        <v>817593.8125</v>
      </c>
      <c r="N211" s="7">
        <v>706106.125</v>
      </c>
      <c r="O211" s="7">
        <v>6448119.5</v>
      </c>
      <c r="P211" s="7">
        <v>6600.63037109375</v>
      </c>
      <c r="Q211" s="7">
        <v>46274.59375</v>
      </c>
      <c r="R211" s="7">
        <v>3227109.75</v>
      </c>
      <c r="S211" s="7">
        <v>1298573.75</v>
      </c>
      <c r="T211" s="31">
        <f t="shared" si="45"/>
        <v>1334.8788286621093</v>
      </c>
      <c r="U211" s="37">
        <v>1120</v>
      </c>
      <c r="V211">
        <f t="shared" si="46"/>
        <v>1.1918560970197405</v>
      </c>
      <c r="W211">
        <f t="shared" si="43"/>
        <v>-8.2345316975920721E-2</v>
      </c>
      <c r="X211" s="28">
        <v>1038.4579166666665</v>
      </c>
      <c r="Y211">
        <f t="shared" si="47"/>
        <v>7.1286618303571428E-2</v>
      </c>
      <c r="Z211">
        <f t="shared" si="49"/>
        <v>7.2999447544642868E-2</v>
      </c>
      <c r="AA211">
        <f t="shared" si="50"/>
        <v>6.3045189732142848E-2</v>
      </c>
      <c r="AB211">
        <f t="shared" si="51"/>
        <v>0.57572495535714285</v>
      </c>
      <c r="AC211">
        <f t="shared" si="52"/>
        <v>5.8934199741908489E-4</v>
      </c>
      <c r="AD211">
        <f t="shared" si="53"/>
        <v>4.1316601562499996E-3</v>
      </c>
      <c r="AE211">
        <f t="shared" si="54"/>
        <v>0.28813479910714285</v>
      </c>
      <c r="AF211">
        <f t="shared" si="55"/>
        <v>0.11594408482142858</v>
      </c>
      <c r="AG211">
        <f t="shared" si="48"/>
        <v>1.1918560970197405</v>
      </c>
      <c r="AH211">
        <v>0.32716240983800399</v>
      </c>
      <c r="AI211">
        <v>0.64728516460025654</v>
      </c>
      <c r="AJ211">
        <v>1.223313563665652E-2</v>
      </c>
      <c r="AK211">
        <v>7.6620477119545942E-3</v>
      </c>
      <c r="AL211">
        <v>0.24390210694713907</v>
      </c>
    </row>
    <row r="212" spans="1:38" x14ac:dyDescent="0.25">
      <c r="A212">
        <v>7</v>
      </c>
      <c r="B212" s="5" t="s">
        <v>9</v>
      </c>
      <c r="C212" s="6" t="s">
        <v>5</v>
      </c>
      <c r="D212" s="6" t="s">
        <v>60</v>
      </c>
      <c r="E212" s="28">
        <v>13531.2</v>
      </c>
      <c r="F212" s="11">
        <v>25</v>
      </c>
      <c r="G212" s="11">
        <v>14</v>
      </c>
      <c r="H212" s="11">
        <f t="shared" si="44"/>
        <v>11</v>
      </c>
      <c r="I212" s="18">
        <v>1</v>
      </c>
      <c r="J212" s="19">
        <v>0.13196480938416419</v>
      </c>
      <c r="K212" s="19">
        <v>0.4</v>
      </c>
      <c r="L212" s="6">
        <v>797235.25</v>
      </c>
      <c r="M212" s="7">
        <v>822068.9375</v>
      </c>
      <c r="N212" s="7">
        <v>391129.4375</v>
      </c>
      <c r="O212" s="7">
        <v>6754607</v>
      </c>
      <c r="P212" s="7">
        <v>6600.63037109375</v>
      </c>
      <c r="Q212" s="7">
        <v>22270.67578125</v>
      </c>
      <c r="R212" s="7">
        <v>3244672.5</v>
      </c>
      <c r="S212" s="7">
        <v>1257936.375</v>
      </c>
      <c r="T212" s="31">
        <f t="shared" si="45"/>
        <v>1329.6520806152344</v>
      </c>
      <c r="U212" s="37">
        <v>1176.3333333333333</v>
      </c>
      <c r="V212">
        <f t="shared" si="46"/>
        <v>1.1303361410727411</v>
      </c>
      <c r="W212">
        <f t="shared" si="43"/>
        <v>-5.1616932699200258E-2</v>
      </c>
      <c r="X212" s="28">
        <v>1097.8854166666665</v>
      </c>
      <c r="Y212">
        <f t="shared" si="47"/>
        <v>6.7772903088693687E-2</v>
      </c>
      <c r="Z212">
        <f t="shared" si="49"/>
        <v>6.9884012822329269E-2</v>
      </c>
      <c r="AA212">
        <f t="shared" si="50"/>
        <v>3.3249881340323036E-2</v>
      </c>
      <c r="AB212">
        <f t="shared" si="51"/>
        <v>0.57420858600170022</v>
      </c>
      <c r="AC212">
        <f t="shared" si="52"/>
        <v>5.611190454316025E-4</v>
      </c>
      <c r="AD212">
        <f t="shared" si="53"/>
        <v>1.8932283180433552E-3</v>
      </c>
      <c r="AE212">
        <f t="shared" si="54"/>
        <v>0.27582934258996883</v>
      </c>
      <c r="AF212">
        <f t="shared" si="55"/>
        <v>0.10693706786625107</v>
      </c>
      <c r="AG212">
        <f t="shared" si="48"/>
        <v>1.1303361410727413</v>
      </c>
      <c r="AH212">
        <v>0.32716240983800399</v>
      </c>
      <c r="AI212">
        <v>0.64728516460025654</v>
      </c>
      <c r="AJ212">
        <v>1.223313563665652E-2</v>
      </c>
      <c r="AK212">
        <v>7.6620477119545942E-3</v>
      </c>
      <c r="AL212">
        <v>0.24390210694713907</v>
      </c>
    </row>
    <row r="213" spans="1:38" x14ac:dyDescent="0.25">
      <c r="A213">
        <v>7</v>
      </c>
      <c r="B213" s="5" t="s">
        <v>9</v>
      </c>
      <c r="C213" s="6" t="s">
        <v>5</v>
      </c>
      <c r="D213" s="6" t="s">
        <v>61</v>
      </c>
      <c r="E213" s="28">
        <v>13531.2</v>
      </c>
      <c r="F213" s="11">
        <v>26</v>
      </c>
      <c r="G213" s="11">
        <v>14</v>
      </c>
      <c r="H213" s="11">
        <f t="shared" si="44"/>
        <v>12</v>
      </c>
      <c r="I213" s="18">
        <v>1</v>
      </c>
      <c r="J213" s="19">
        <v>0.13196480938416419</v>
      </c>
      <c r="K213" s="19">
        <v>0.4</v>
      </c>
      <c r="L213" s="6">
        <v>803172.875</v>
      </c>
      <c r="M213" s="7">
        <v>790610.125</v>
      </c>
      <c r="N213" s="7">
        <v>289413.15625</v>
      </c>
      <c r="O213" s="7">
        <v>7597659</v>
      </c>
      <c r="P213" s="7">
        <v>6600.63037109375</v>
      </c>
      <c r="Q213" s="7">
        <v>13094.66015625</v>
      </c>
      <c r="R213" s="7">
        <v>3114355</v>
      </c>
      <c r="S213" s="7">
        <v>1231089.75</v>
      </c>
      <c r="T213" s="31">
        <f t="shared" si="45"/>
        <v>1384.5995196777344</v>
      </c>
      <c r="U213" s="37">
        <v>1232.6666666666667</v>
      </c>
      <c r="V213">
        <f t="shared" si="46"/>
        <v>1.1232554242923751</v>
      </c>
      <c r="W213">
        <f t="shared" si="43"/>
        <v>-6.2642576160096934E-3</v>
      </c>
      <c r="X213" s="28">
        <v>1157.3129166666668</v>
      </c>
      <c r="Y213">
        <f t="shared" si="47"/>
        <v>6.5157345186587334E-2</v>
      </c>
      <c r="Z213">
        <f t="shared" si="49"/>
        <v>6.413819294213087E-2</v>
      </c>
      <c r="AA213">
        <f t="shared" si="50"/>
        <v>2.3478622735262304E-2</v>
      </c>
      <c r="AB213">
        <f t="shared" si="51"/>
        <v>0.61635957274202269</v>
      </c>
      <c r="AC213">
        <f t="shared" si="52"/>
        <v>5.3547569262523656E-4</v>
      </c>
      <c r="AD213">
        <f t="shared" si="53"/>
        <v>1.0623034199229312E-3</v>
      </c>
      <c r="AE213">
        <f t="shared" si="54"/>
        <v>0.25265183883180098</v>
      </c>
      <c r="AF213">
        <f t="shared" si="55"/>
        <v>9.9872072742022699E-2</v>
      </c>
      <c r="AG213">
        <f t="shared" si="48"/>
        <v>1.1232554242923749</v>
      </c>
      <c r="AH213">
        <v>0.32716240983800399</v>
      </c>
      <c r="AI213">
        <v>0.64728516460025654</v>
      </c>
      <c r="AJ213">
        <v>1.223313563665652E-2</v>
      </c>
      <c r="AK213">
        <v>7.6620477119545942E-3</v>
      </c>
      <c r="AL213">
        <v>0.24390210694713907</v>
      </c>
    </row>
    <row r="214" spans="1:38" x14ac:dyDescent="0.25">
      <c r="A214">
        <v>7</v>
      </c>
      <c r="B214" s="5" t="s">
        <v>9</v>
      </c>
      <c r="C214" s="6" t="s">
        <v>5</v>
      </c>
      <c r="D214" s="6" t="s">
        <v>62</v>
      </c>
      <c r="E214" s="28">
        <v>13531.2</v>
      </c>
      <c r="F214" s="11">
        <v>27</v>
      </c>
      <c r="G214" s="11">
        <v>14</v>
      </c>
      <c r="H214" s="11">
        <f t="shared" si="44"/>
        <v>13</v>
      </c>
      <c r="I214" s="18">
        <v>1</v>
      </c>
      <c r="J214" s="19">
        <v>0.13196480938416419</v>
      </c>
      <c r="K214" s="19">
        <v>0.4</v>
      </c>
      <c r="L214" s="6">
        <v>783340.875</v>
      </c>
      <c r="M214" s="7">
        <v>769005.5</v>
      </c>
      <c r="N214" s="7">
        <v>322635.3125</v>
      </c>
      <c r="O214" s="7">
        <v>8084984</v>
      </c>
      <c r="P214" s="7">
        <v>6600.63037109375</v>
      </c>
      <c r="Q214" s="7">
        <v>18387.4921875</v>
      </c>
      <c r="R214" s="7">
        <v>3025433.5</v>
      </c>
      <c r="S214" s="7">
        <v>1244598.375</v>
      </c>
      <c r="T214" s="31">
        <f t="shared" si="45"/>
        <v>1425.4985685058593</v>
      </c>
      <c r="U214" s="37">
        <v>1289</v>
      </c>
      <c r="V214">
        <f t="shared" si="46"/>
        <v>1.1058949328982617</v>
      </c>
      <c r="W214">
        <f t="shared" si="43"/>
        <v>-1.5455515298357139E-2</v>
      </c>
      <c r="X214" s="28">
        <v>1216.7404166666668</v>
      </c>
      <c r="Y214">
        <f t="shared" si="47"/>
        <v>6.0771208301008538E-2</v>
      </c>
      <c r="Z214">
        <f t="shared" si="49"/>
        <v>5.9659076803723815E-2</v>
      </c>
      <c r="AA214">
        <f t="shared" si="50"/>
        <v>2.5029892358417381E-2</v>
      </c>
      <c r="AB214">
        <f t="shared" si="51"/>
        <v>0.62722916989914668</v>
      </c>
      <c r="AC214">
        <f t="shared" si="52"/>
        <v>5.1207372933233122E-4</v>
      </c>
      <c r="AD214">
        <f t="shared" si="53"/>
        <v>1.4264927996508921E-3</v>
      </c>
      <c r="AE214">
        <f t="shared" si="54"/>
        <v>0.23471167571761056</v>
      </c>
      <c r="AF214">
        <f t="shared" si="55"/>
        <v>9.6555343289371598E-2</v>
      </c>
      <c r="AG214">
        <f t="shared" si="48"/>
        <v>1.1058949328982619</v>
      </c>
      <c r="AH214">
        <v>0.32716240983800399</v>
      </c>
      <c r="AI214">
        <v>0.64728516460025654</v>
      </c>
      <c r="AJ214">
        <v>1.223313563665652E-2</v>
      </c>
      <c r="AK214">
        <v>7.6620477119545942E-3</v>
      </c>
      <c r="AL214">
        <v>0.24390210694713907</v>
      </c>
    </row>
    <row r="215" spans="1:38" x14ac:dyDescent="0.25">
      <c r="A215">
        <v>7</v>
      </c>
      <c r="B215" s="5" t="s">
        <v>9</v>
      </c>
      <c r="C215" s="6" t="s">
        <v>5</v>
      </c>
      <c r="D215" s="6" t="s">
        <v>63</v>
      </c>
      <c r="E215" s="28">
        <v>13531.2</v>
      </c>
      <c r="F215" s="11">
        <v>28</v>
      </c>
      <c r="G215" s="11">
        <v>14</v>
      </c>
      <c r="H215" s="11">
        <f t="shared" si="44"/>
        <v>14</v>
      </c>
      <c r="I215" s="18">
        <v>1</v>
      </c>
      <c r="J215" s="19">
        <v>0.13196480938416419</v>
      </c>
      <c r="K215" s="19">
        <v>0.4</v>
      </c>
      <c r="L215" s="6">
        <v>777283.8125</v>
      </c>
      <c r="M215" s="7">
        <v>801808.9375</v>
      </c>
      <c r="N215" s="7">
        <v>580396.4375</v>
      </c>
      <c r="O215" s="7">
        <v>7058548.5</v>
      </c>
      <c r="P215" s="7">
        <v>6600.63037109375</v>
      </c>
      <c r="Q215" s="7">
        <v>51483.20703125</v>
      </c>
      <c r="R215" s="7">
        <v>3158362.25</v>
      </c>
      <c r="S215" s="7">
        <v>1267834.625</v>
      </c>
      <c r="T215" s="31">
        <f t="shared" si="45"/>
        <v>1370.2318399902344</v>
      </c>
      <c r="U215" s="37">
        <v>1284</v>
      </c>
      <c r="V215">
        <f t="shared" si="46"/>
        <v>1.0671587538864755</v>
      </c>
      <c r="W215">
        <f t="shared" si="43"/>
        <v>-3.5026997465544725E-2</v>
      </c>
      <c r="X215" s="28">
        <v>1276.1679166666668</v>
      </c>
      <c r="Y215">
        <f t="shared" si="47"/>
        <v>6.0536122468847348E-2</v>
      </c>
      <c r="Z215">
        <f t="shared" si="49"/>
        <v>6.2446178933021804E-2</v>
      </c>
      <c r="AA215">
        <f t="shared" si="50"/>
        <v>4.5202214758566978E-2</v>
      </c>
      <c r="AB215">
        <f t="shared" si="51"/>
        <v>0.54973119158878503</v>
      </c>
      <c r="AC215">
        <f t="shared" si="52"/>
        <v>5.140677859107282E-4</v>
      </c>
      <c r="AD215">
        <f t="shared" si="53"/>
        <v>4.0095955631814636E-3</v>
      </c>
      <c r="AE215">
        <f t="shared" si="54"/>
        <v>0.24597836838006229</v>
      </c>
      <c r="AF215">
        <f t="shared" si="55"/>
        <v>9.8741014408099695E-2</v>
      </c>
      <c r="AG215">
        <f t="shared" si="48"/>
        <v>1.0671587538864753</v>
      </c>
      <c r="AH215">
        <v>0.32716240983800399</v>
      </c>
      <c r="AI215">
        <v>0.64728516460025654</v>
      </c>
      <c r="AJ215">
        <v>1.223313563665652E-2</v>
      </c>
      <c r="AK215">
        <v>7.6620477119545942E-3</v>
      </c>
      <c r="AL215">
        <v>0.24390210694713907</v>
      </c>
    </row>
    <row r="216" spans="1:38" x14ac:dyDescent="0.25">
      <c r="A216">
        <v>7</v>
      </c>
      <c r="B216" s="5" t="s">
        <v>9</v>
      </c>
      <c r="C216" s="6" t="s">
        <v>5</v>
      </c>
      <c r="D216" s="6" t="s">
        <v>64</v>
      </c>
      <c r="E216" s="28">
        <v>13531.2</v>
      </c>
      <c r="F216" s="11">
        <v>29</v>
      </c>
      <c r="G216" s="11">
        <v>14</v>
      </c>
      <c r="H216" s="11">
        <f t="shared" si="44"/>
        <v>15</v>
      </c>
      <c r="I216" s="18">
        <v>1</v>
      </c>
      <c r="J216" s="19">
        <v>0.13196480938416419</v>
      </c>
      <c r="K216" s="19">
        <v>0.4</v>
      </c>
      <c r="L216" s="6">
        <v>804041.75</v>
      </c>
      <c r="M216" s="7">
        <v>824033.625</v>
      </c>
      <c r="N216" s="7">
        <v>1327328</v>
      </c>
      <c r="O216" s="7">
        <v>6946480.5</v>
      </c>
      <c r="P216" s="7">
        <v>6600.63037109375</v>
      </c>
      <c r="Q216" s="7">
        <v>71005.5078125</v>
      </c>
      <c r="R216" s="7">
        <v>3249689.5</v>
      </c>
      <c r="S216" s="7">
        <v>1314777.75</v>
      </c>
      <c r="T216" s="31">
        <f t="shared" si="45"/>
        <v>1454.3957263183593</v>
      </c>
      <c r="U216" s="37">
        <v>1279</v>
      </c>
      <c r="V216">
        <f t="shared" si="46"/>
        <v>1.1371350479424231</v>
      </c>
      <c r="W216">
        <f t="shared" si="43"/>
        <v>6.5572524988528294E-2</v>
      </c>
      <c r="X216" s="28">
        <v>1335.595416666667</v>
      </c>
      <c r="Y216">
        <f t="shared" si="47"/>
        <v>6.2864874902267401E-2</v>
      </c>
      <c r="Z216">
        <f t="shared" si="49"/>
        <v>6.4427961297888969E-2</v>
      </c>
      <c r="AA216">
        <f t="shared" si="50"/>
        <v>0.10377857701329163</v>
      </c>
      <c r="AB216">
        <f t="shared" si="51"/>
        <v>0.54311810007818617</v>
      </c>
      <c r="AC216">
        <f t="shared" si="52"/>
        <v>5.1607743323641515E-4</v>
      </c>
      <c r="AD216">
        <f t="shared" si="53"/>
        <v>5.5516425185691944E-3</v>
      </c>
      <c r="AE216">
        <f t="shared" si="54"/>
        <v>0.25408049257232213</v>
      </c>
      <c r="AF216">
        <f t="shared" si="55"/>
        <v>0.10279732212666144</v>
      </c>
      <c r="AG216">
        <f t="shared" si="48"/>
        <v>1.1371350479424234</v>
      </c>
      <c r="AH216">
        <v>0.32716240983800399</v>
      </c>
      <c r="AI216">
        <v>0.64728516460025654</v>
      </c>
      <c r="AJ216">
        <v>1.223313563665652E-2</v>
      </c>
      <c r="AK216">
        <v>7.6620477119545942E-3</v>
      </c>
      <c r="AL216">
        <v>0.24390210694713907</v>
      </c>
    </row>
    <row r="217" spans="1:38" x14ac:dyDescent="0.25">
      <c r="A217">
        <v>7</v>
      </c>
      <c r="B217" s="5" t="s">
        <v>9</v>
      </c>
      <c r="C217" s="6" t="s">
        <v>5</v>
      </c>
      <c r="D217" s="6" t="s">
        <v>65</v>
      </c>
      <c r="E217" s="28">
        <v>13531.2</v>
      </c>
      <c r="F217" s="11">
        <v>30</v>
      </c>
      <c r="G217" s="11">
        <v>14</v>
      </c>
      <c r="H217" s="11">
        <f t="shared" si="44"/>
        <v>16</v>
      </c>
      <c r="I217" s="18">
        <v>1</v>
      </c>
      <c r="J217" s="19">
        <v>0.13196480938416419</v>
      </c>
      <c r="K217" s="19">
        <v>0.4</v>
      </c>
      <c r="L217" s="6">
        <v>798846.625</v>
      </c>
      <c r="M217" s="7">
        <v>819841.9375</v>
      </c>
      <c r="N217" s="7">
        <v>1961686</v>
      </c>
      <c r="O217" s="7">
        <v>7419371</v>
      </c>
      <c r="P217" s="7">
        <v>6600.63037109375</v>
      </c>
      <c r="Q217" s="7">
        <v>46855.30078125</v>
      </c>
      <c r="R217" s="7">
        <v>3239108.25</v>
      </c>
      <c r="S217" s="7">
        <v>1297348.125</v>
      </c>
      <c r="T217" s="31">
        <f t="shared" si="45"/>
        <v>1558.9657868652343</v>
      </c>
      <c r="U217" s="37">
        <v>1274</v>
      </c>
      <c r="V217">
        <f t="shared" si="46"/>
        <v>1.2236780116681589</v>
      </c>
      <c r="W217">
        <f t="shared" si="43"/>
        <v>7.6106144017221183E-2</v>
      </c>
      <c r="X217" s="28">
        <v>1395.0229166666672</v>
      </c>
      <c r="Y217">
        <f t="shared" si="47"/>
        <v>6.2703816718995289E-2</v>
      </c>
      <c r="Z217">
        <f t="shared" si="49"/>
        <v>6.4351800431711154E-2</v>
      </c>
      <c r="AA217">
        <f t="shared" si="50"/>
        <v>0.15397849293563579</v>
      </c>
      <c r="AB217">
        <f t="shared" si="51"/>
        <v>0.58236821036106745</v>
      </c>
      <c r="AC217">
        <f t="shared" si="52"/>
        <v>5.1810285487392078E-4</v>
      </c>
      <c r="AD217">
        <f t="shared" si="53"/>
        <v>3.6778101084183673E-3</v>
      </c>
      <c r="AE217">
        <f t="shared" si="54"/>
        <v>0.25424711538461536</v>
      </c>
      <c r="AF217">
        <f t="shared" si="55"/>
        <v>0.10183266287284144</v>
      </c>
      <c r="AG217">
        <f t="shared" si="48"/>
        <v>1.2236780116681589</v>
      </c>
      <c r="AH217">
        <v>0.32716240983800399</v>
      </c>
      <c r="AI217">
        <v>0.64728516460025654</v>
      </c>
      <c r="AJ217">
        <v>1.223313563665652E-2</v>
      </c>
      <c r="AK217">
        <v>7.6620477119545942E-3</v>
      </c>
      <c r="AL217">
        <v>0.24390210694713907</v>
      </c>
    </row>
    <row r="218" spans="1:38" x14ac:dyDescent="0.25">
      <c r="A218">
        <v>7</v>
      </c>
      <c r="B218" s="5" t="s">
        <v>9</v>
      </c>
      <c r="C218" s="6" t="s">
        <v>5</v>
      </c>
      <c r="D218" s="6" t="s">
        <v>66</v>
      </c>
      <c r="E218" s="28">
        <v>13531.2</v>
      </c>
      <c r="F218" s="11">
        <v>31</v>
      </c>
      <c r="G218" s="11">
        <v>14</v>
      </c>
      <c r="H218" s="11">
        <f t="shared" si="44"/>
        <v>17</v>
      </c>
      <c r="I218" s="18">
        <v>1</v>
      </c>
      <c r="J218" s="19">
        <v>0.13196480938416419</v>
      </c>
      <c r="K218" s="19">
        <v>0.4</v>
      </c>
      <c r="L218" s="6">
        <v>798399.875</v>
      </c>
      <c r="M218" s="7">
        <v>826633.125</v>
      </c>
      <c r="N218" s="7">
        <v>2985286</v>
      </c>
      <c r="O218" s="7">
        <v>8276007</v>
      </c>
      <c r="P218" s="7">
        <v>6603.798828125</v>
      </c>
      <c r="Q218" s="7">
        <v>22097.794921875</v>
      </c>
      <c r="R218" s="7">
        <v>3269143.5</v>
      </c>
      <c r="S218" s="7">
        <v>1247772.125</v>
      </c>
      <c r="T218" s="31">
        <f t="shared" si="45"/>
        <v>1743.194321875</v>
      </c>
      <c r="U218" s="37">
        <v>1269</v>
      </c>
      <c r="V218">
        <f t="shared" si="46"/>
        <v>1.3736755885539795</v>
      </c>
      <c r="W218">
        <f t="shared" si="43"/>
        <v>0.12257928593596193</v>
      </c>
      <c r="X218" s="28">
        <v>1454.450416666667</v>
      </c>
      <c r="Y218">
        <f t="shared" si="47"/>
        <v>6.2915671788810079E-2</v>
      </c>
      <c r="Z218">
        <f t="shared" si="49"/>
        <v>6.5140514184397161E-2</v>
      </c>
      <c r="AA218">
        <f t="shared" si="50"/>
        <v>0.23524712371946416</v>
      </c>
      <c r="AB218">
        <f t="shared" si="51"/>
        <v>0.65216761229314424</v>
      </c>
      <c r="AC218">
        <f t="shared" si="52"/>
        <v>5.2039391868597318E-4</v>
      </c>
      <c r="AD218">
        <f t="shared" si="53"/>
        <v>1.741354997783688E-3</v>
      </c>
      <c r="AE218">
        <f t="shared" si="54"/>
        <v>0.25761572104018915</v>
      </c>
      <c r="AF218">
        <f t="shared" si="55"/>
        <v>9.8327196611505116E-2</v>
      </c>
      <c r="AG218">
        <f t="shared" si="48"/>
        <v>1.3736755885539793</v>
      </c>
      <c r="AH218">
        <v>0.32716240983800399</v>
      </c>
      <c r="AI218">
        <v>0.64728516460025654</v>
      </c>
      <c r="AJ218">
        <v>1.223313563665652E-2</v>
      </c>
      <c r="AK218">
        <v>7.6620477119545942E-3</v>
      </c>
      <c r="AL218">
        <v>0.24390210694713907</v>
      </c>
    </row>
    <row r="219" spans="1:38" x14ac:dyDescent="0.25">
      <c r="A219">
        <v>8</v>
      </c>
      <c r="B219" s="5" t="s">
        <v>35</v>
      </c>
      <c r="C219" s="6" t="s">
        <v>5</v>
      </c>
      <c r="D219" s="6" t="s">
        <v>36</v>
      </c>
      <c r="E219" s="28">
        <v>14879.19</v>
      </c>
      <c r="F219" s="11">
        <v>1</v>
      </c>
      <c r="G219" s="11"/>
      <c r="H219" s="18">
        <f t="shared" si="44"/>
        <v>1</v>
      </c>
      <c r="I219" s="18">
        <v>0</v>
      </c>
      <c r="J219" s="19">
        <v>0</v>
      </c>
      <c r="K219" s="19">
        <v>0</v>
      </c>
      <c r="L219" s="14">
        <v>6782629</v>
      </c>
      <c r="M219" s="16">
        <v>630960.125</v>
      </c>
      <c r="N219" s="16">
        <v>2143520.5</v>
      </c>
      <c r="O219" s="16">
        <v>2718016.75</v>
      </c>
      <c r="P219" s="16">
        <v>9166.591796875</v>
      </c>
      <c r="Q219" s="16">
        <v>39399.75390625</v>
      </c>
      <c r="R219" s="16">
        <v>1666632.125</v>
      </c>
      <c r="S219" s="16">
        <v>2049422.125</v>
      </c>
      <c r="T219" s="31">
        <f t="shared" si="45"/>
        <v>1603.9746970703125</v>
      </c>
      <c r="U219" s="37"/>
      <c r="X219" s="28">
        <v>1187.1512499999999</v>
      </c>
      <c r="Y219" t="e">
        <f t="shared" si="47"/>
        <v>#DIV/0!</v>
      </c>
      <c r="Z219" t="e">
        <f t="shared" si="49"/>
        <v>#DIV/0!</v>
      </c>
      <c r="AA219" t="e">
        <f t="shared" si="50"/>
        <v>#DIV/0!</v>
      </c>
      <c r="AB219" t="e">
        <f t="shared" si="51"/>
        <v>#DIV/0!</v>
      </c>
      <c r="AC219" t="e">
        <f t="shared" si="52"/>
        <v>#DIV/0!</v>
      </c>
      <c r="AD219" t="e">
        <f t="shared" si="53"/>
        <v>#DIV/0!</v>
      </c>
      <c r="AE219" t="e">
        <f t="shared" si="54"/>
        <v>#DIV/0!</v>
      </c>
      <c r="AF219" t="e">
        <f t="shared" si="55"/>
        <v>#DIV/0!</v>
      </c>
      <c r="AG219" t="e">
        <f t="shared" si="48"/>
        <v>#DIV/0!</v>
      </c>
      <c r="AH219">
        <v>0.27436305336513617</v>
      </c>
      <c r="AI219">
        <v>0.65695999999999999</v>
      </c>
      <c r="AJ219">
        <v>6.90549743888911E-3</v>
      </c>
      <c r="AK219">
        <v>5.9659833633416877E-3</v>
      </c>
      <c r="AL219">
        <v>0.25476168554755219</v>
      </c>
    </row>
    <row r="220" spans="1:38" x14ac:dyDescent="0.25">
      <c r="A220">
        <v>8</v>
      </c>
      <c r="B220" s="5" t="s">
        <v>35</v>
      </c>
      <c r="C220" s="6" t="s">
        <v>5</v>
      </c>
      <c r="D220" s="6" t="s">
        <v>37</v>
      </c>
      <c r="E220" s="28">
        <v>14879.19</v>
      </c>
      <c r="F220" s="11">
        <v>2</v>
      </c>
      <c r="G220" s="11"/>
      <c r="H220" s="11">
        <f t="shared" si="44"/>
        <v>2</v>
      </c>
      <c r="I220" s="18">
        <v>0</v>
      </c>
      <c r="J220" s="19">
        <v>0</v>
      </c>
      <c r="K220" s="19">
        <v>0</v>
      </c>
      <c r="L220" s="6">
        <v>7360901.5</v>
      </c>
      <c r="M220" s="7">
        <v>607882.25</v>
      </c>
      <c r="N220" s="7">
        <v>2143520.5</v>
      </c>
      <c r="O220" s="7">
        <v>2606653.75</v>
      </c>
      <c r="P220" s="7">
        <v>9166.591796875</v>
      </c>
      <c r="Q220" s="7">
        <v>23169.310546875</v>
      </c>
      <c r="R220" s="7">
        <v>1676187</v>
      </c>
      <c r="S220" s="7">
        <v>2014339.875</v>
      </c>
      <c r="T220" s="31">
        <f t="shared" si="45"/>
        <v>1644.1820777343751</v>
      </c>
      <c r="U220" s="37">
        <v>1201.6666666666667</v>
      </c>
      <c r="V220">
        <f t="shared" si="46"/>
        <v>1.3682513823032247</v>
      </c>
      <c r="W220" t="e">
        <f>(V220-V219)/V219</f>
        <v>#DIV/0!</v>
      </c>
      <c r="X220" s="28">
        <v>1289.2154166666669</v>
      </c>
      <c r="Y220">
        <f t="shared" si="47"/>
        <v>0.61255768377253805</v>
      </c>
      <c r="Z220">
        <f t="shared" si="49"/>
        <v>5.0586595006934812E-2</v>
      </c>
      <c r="AA220">
        <f t="shared" si="50"/>
        <v>0.17837895977808599</v>
      </c>
      <c r="AB220">
        <f t="shared" si="51"/>
        <v>0.21691986823855755</v>
      </c>
      <c r="AC220">
        <f t="shared" si="52"/>
        <v>7.6282317311026347E-4</v>
      </c>
      <c r="AD220">
        <f t="shared" si="53"/>
        <v>1.9280979650658807E-3</v>
      </c>
      <c r="AE220">
        <f t="shared" si="54"/>
        <v>0.13948851595006934</v>
      </c>
      <c r="AF220">
        <f t="shared" si="55"/>
        <v>0.1676288384188627</v>
      </c>
      <c r="AG220">
        <f t="shared" si="48"/>
        <v>1.3682513823032247</v>
      </c>
      <c r="AH220">
        <v>0.27436305336513617</v>
      </c>
      <c r="AI220">
        <v>0.65695999999999999</v>
      </c>
      <c r="AJ220">
        <v>6.90549743888911E-3</v>
      </c>
      <c r="AK220">
        <v>5.9659833633416877E-3</v>
      </c>
      <c r="AL220">
        <v>0.25476168554755219</v>
      </c>
    </row>
    <row r="221" spans="1:38" x14ac:dyDescent="0.25">
      <c r="A221">
        <v>8</v>
      </c>
      <c r="B221" s="5" t="s">
        <v>35</v>
      </c>
      <c r="C221" s="6" t="s">
        <v>5</v>
      </c>
      <c r="D221" s="6" t="s">
        <v>38</v>
      </c>
      <c r="E221" s="28">
        <v>14879.19</v>
      </c>
      <c r="F221" s="11">
        <v>3</v>
      </c>
      <c r="G221" s="11"/>
      <c r="H221" s="11">
        <f t="shared" si="44"/>
        <v>3</v>
      </c>
      <c r="I221" s="18">
        <v>0</v>
      </c>
      <c r="J221" s="19">
        <v>0</v>
      </c>
      <c r="K221" s="19">
        <v>0</v>
      </c>
      <c r="L221" s="6">
        <v>7368553</v>
      </c>
      <c r="M221" s="7">
        <v>591973.875</v>
      </c>
      <c r="N221" s="7">
        <v>2143520.5</v>
      </c>
      <c r="O221" s="7">
        <v>2529348.5</v>
      </c>
      <c r="P221" s="7">
        <v>9166.591796875</v>
      </c>
      <c r="Q221" s="7">
        <v>32533.248046875</v>
      </c>
      <c r="R221" s="7">
        <v>1642982.375</v>
      </c>
      <c r="S221" s="7">
        <v>2031927.625</v>
      </c>
      <c r="T221" s="31">
        <f t="shared" si="45"/>
        <v>1635.0005714843751</v>
      </c>
      <c r="U221" s="37">
        <v>1284.6666666666667</v>
      </c>
      <c r="V221">
        <f t="shared" si="46"/>
        <v>1.2727041293339711</v>
      </c>
      <c r="W221">
        <f t="shared" ref="W221:W249" si="56">(V221-V220)/V220</f>
        <v>-6.9831650970756276E-2</v>
      </c>
      <c r="X221" s="28">
        <v>1391.2795833333334</v>
      </c>
      <c r="Y221">
        <f t="shared" si="47"/>
        <v>0.57357703684483652</v>
      </c>
      <c r="Z221">
        <f t="shared" si="49"/>
        <v>4.6079959133367925E-2</v>
      </c>
      <c r="AA221">
        <f t="shared" si="50"/>
        <v>0.16685421639854697</v>
      </c>
      <c r="AB221">
        <f t="shared" si="51"/>
        <v>0.19688753243383497</v>
      </c>
      <c r="AC221">
        <f t="shared" si="52"/>
        <v>7.1353854153152567E-4</v>
      </c>
      <c r="AD221">
        <f t="shared" si="53"/>
        <v>2.5324271961760505E-3</v>
      </c>
      <c r="AE221">
        <f t="shared" si="54"/>
        <v>0.12789172612869745</v>
      </c>
      <c r="AF221">
        <f t="shared" si="55"/>
        <v>0.15816769265697977</v>
      </c>
      <c r="AG221">
        <f t="shared" si="48"/>
        <v>1.2727041293339711</v>
      </c>
      <c r="AH221">
        <v>0.27436305336513617</v>
      </c>
      <c r="AI221">
        <v>0.65695999999999999</v>
      </c>
      <c r="AJ221">
        <v>6.90549743888911E-3</v>
      </c>
      <c r="AK221">
        <v>5.9659833633416877E-3</v>
      </c>
      <c r="AL221">
        <v>0.25476168554755219</v>
      </c>
    </row>
    <row r="222" spans="1:38" x14ac:dyDescent="0.25">
      <c r="A222">
        <v>8</v>
      </c>
      <c r="B222" s="5" t="s">
        <v>35</v>
      </c>
      <c r="C222" s="6" t="s">
        <v>5</v>
      </c>
      <c r="D222" s="6" t="s">
        <v>39</v>
      </c>
      <c r="E222" s="28">
        <v>14879.19</v>
      </c>
      <c r="F222" s="11">
        <v>4</v>
      </c>
      <c r="G222" s="11"/>
      <c r="H222" s="11">
        <f t="shared" si="44"/>
        <v>4</v>
      </c>
      <c r="I222" s="18">
        <v>0</v>
      </c>
      <c r="J222" s="19">
        <v>0</v>
      </c>
      <c r="K222" s="19">
        <v>0</v>
      </c>
      <c r="L222" s="6">
        <v>7007122.5</v>
      </c>
      <c r="M222" s="7">
        <v>616667.125</v>
      </c>
      <c r="N222" s="7">
        <v>2143520.5</v>
      </c>
      <c r="O222" s="7">
        <v>2642714.25</v>
      </c>
      <c r="P222" s="7">
        <v>9166.591796875</v>
      </c>
      <c r="Q222" s="7">
        <v>91080.5234375</v>
      </c>
      <c r="R222" s="7">
        <v>1633762.75</v>
      </c>
      <c r="S222" s="7">
        <v>2062260.375</v>
      </c>
      <c r="T222" s="31">
        <f t="shared" si="45"/>
        <v>1620.6294615234376</v>
      </c>
      <c r="U222" s="37">
        <v>1447.8888888888889</v>
      </c>
      <c r="V222">
        <f t="shared" si="46"/>
        <v>1.1193051303592156</v>
      </c>
      <c r="W222">
        <f t="shared" si="56"/>
        <v>-0.12052997663725029</v>
      </c>
      <c r="X222" s="28">
        <v>1493.34375</v>
      </c>
      <c r="Y222">
        <f t="shared" si="47"/>
        <v>0.4839544355767017</v>
      </c>
      <c r="Z222">
        <f t="shared" si="49"/>
        <v>4.2590776801473405E-2</v>
      </c>
      <c r="AA222">
        <f t="shared" si="50"/>
        <v>0.14804454378021639</v>
      </c>
      <c r="AB222">
        <f t="shared" si="51"/>
        <v>0.18252189586370962</v>
      </c>
      <c r="AC222">
        <f t="shared" si="52"/>
        <v>6.3310050012949884E-4</v>
      </c>
      <c r="AD222">
        <f t="shared" si="53"/>
        <v>6.2905740997429207E-3</v>
      </c>
      <c r="AE222">
        <f t="shared" si="54"/>
        <v>0.11283757769933236</v>
      </c>
      <c r="AF222">
        <f t="shared" si="55"/>
        <v>0.14243222603790959</v>
      </c>
      <c r="AG222">
        <f t="shared" si="48"/>
        <v>1.1193051303592154</v>
      </c>
      <c r="AH222">
        <v>0.27436305336513617</v>
      </c>
      <c r="AI222">
        <v>0.65695999999999999</v>
      </c>
      <c r="AJ222">
        <v>6.90549743888911E-3</v>
      </c>
      <c r="AK222">
        <v>5.9659833633416877E-3</v>
      </c>
      <c r="AL222">
        <v>0.25476168554755219</v>
      </c>
    </row>
    <row r="223" spans="1:38" x14ac:dyDescent="0.25">
      <c r="A223">
        <v>8</v>
      </c>
      <c r="B223" s="5" t="s">
        <v>35</v>
      </c>
      <c r="C223" s="6" t="s">
        <v>5</v>
      </c>
      <c r="D223" s="6" t="s">
        <v>40</v>
      </c>
      <c r="E223" s="28">
        <v>14879.19</v>
      </c>
      <c r="F223" s="11">
        <v>5</v>
      </c>
      <c r="G223" s="11"/>
      <c r="H223" s="11">
        <f t="shared" si="44"/>
        <v>5</v>
      </c>
      <c r="I223" s="18">
        <v>0</v>
      </c>
      <c r="J223" s="19">
        <v>0</v>
      </c>
      <c r="K223" s="19">
        <v>0</v>
      </c>
      <c r="L223" s="6">
        <v>7926282.5</v>
      </c>
      <c r="M223" s="7">
        <v>633218</v>
      </c>
      <c r="N223" s="7">
        <v>2143520.5</v>
      </c>
      <c r="O223" s="7">
        <v>2723844.75</v>
      </c>
      <c r="P223" s="7">
        <v>9166.591796875</v>
      </c>
      <c r="Q223" s="7">
        <v>125618.453125</v>
      </c>
      <c r="R223" s="7">
        <v>1680239.75</v>
      </c>
      <c r="S223" s="7">
        <v>2123876.25</v>
      </c>
      <c r="T223" s="31">
        <f t="shared" si="45"/>
        <v>1736.5766794921874</v>
      </c>
      <c r="U223" s="37">
        <v>1611.1111111111111</v>
      </c>
      <c r="V223">
        <f t="shared" si="46"/>
        <v>1.0778751803744611</v>
      </c>
      <c r="W223">
        <f t="shared" si="56"/>
        <v>-3.7013990967287511E-2</v>
      </c>
      <c r="X223" s="28">
        <v>1595.407916666667</v>
      </c>
      <c r="Y223">
        <f t="shared" si="47"/>
        <v>0.49197615517241383</v>
      </c>
      <c r="Z223">
        <f t="shared" si="49"/>
        <v>3.9303186206896552E-2</v>
      </c>
      <c r="AA223">
        <f t="shared" si="50"/>
        <v>0.1330461</v>
      </c>
      <c r="AB223">
        <f t="shared" si="51"/>
        <v>0.16906622586206899</v>
      </c>
      <c r="AC223">
        <f t="shared" si="52"/>
        <v>5.6896087015086204E-4</v>
      </c>
      <c r="AD223">
        <f t="shared" si="53"/>
        <v>7.7970074353448287E-3</v>
      </c>
      <c r="AE223">
        <f t="shared" si="54"/>
        <v>0.10429074310344827</v>
      </c>
      <c r="AF223">
        <f t="shared" si="55"/>
        <v>0.13182680172413794</v>
      </c>
      <c r="AG223">
        <f t="shared" si="48"/>
        <v>1.0778751803744615</v>
      </c>
      <c r="AH223">
        <v>0.27436305336513617</v>
      </c>
      <c r="AI223">
        <v>0.65695999999999999</v>
      </c>
      <c r="AJ223">
        <v>6.90549743888911E-3</v>
      </c>
      <c r="AK223">
        <v>5.9659833633416877E-3</v>
      </c>
      <c r="AL223">
        <v>0.25476168554755219</v>
      </c>
    </row>
    <row r="224" spans="1:38" x14ac:dyDescent="0.25">
      <c r="A224">
        <v>8</v>
      </c>
      <c r="B224" s="5" t="s">
        <v>35</v>
      </c>
      <c r="C224" s="6" t="s">
        <v>5</v>
      </c>
      <c r="D224" s="6" t="s">
        <v>41</v>
      </c>
      <c r="E224" s="28">
        <v>14879.19</v>
      </c>
      <c r="F224" s="11">
        <v>6</v>
      </c>
      <c r="G224" s="11"/>
      <c r="H224" s="11">
        <f t="shared" si="44"/>
        <v>6</v>
      </c>
      <c r="I224" s="18">
        <v>0</v>
      </c>
      <c r="J224" s="19">
        <v>0</v>
      </c>
      <c r="K224" s="19">
        <v>0</v>
      </c>
      <c r="L224" s="6">
        <v>8373601</v>
      </c>
      <c r="M224" s="7">
        <v>629100</v>
      </c>
      <c r="N224" s="7">
        <v>2143520.5</v>
      </c>
      <c r="O224" s="7">
        <v>2717732.75</v>
      </c>
      <c r="P224" s="7">
        <v>9166.591796875</v>
      </c>
      <c r="Q224" s="7">
        <v>82894.578125</v>
      </c>
      <c r="R224" s="7">
        <v>1672956.125</v>
      </c>
      <c r="S224" s="7">
        <v>2100742.5</v>
      </c>
      <c r="T224" s="31">
        <f t="shared" si="45"/>
        <v>1772.9714044921875</v>
      </c>
      <c r="U224" s="37">
        <v>1774.3333333333333</v>
      </c>
      <c r="V224">
        <f t="shared" si="46"/>
        <v>0.99923242785582622</v>
      </c>
      <c r="W224">
        <f t="shared" si="56"/>
        <v>-7.2960908601043969E-2</v>
      </c>
      <c r="X224" s="28">
        <v>1697.4720833333336</v>
      </c>
      <c r="Y224">
        <f t="shared" si="47"/>
        <v>0.47192941950028178</v>
      </c>
      <c r="Z224">
        <f t="shared" si="49"/>
        <v>3.5455570167198948E-2</v>
      </c>
      <c r="AA224">
        <f t="shared" si="50"/>
        <v>0.12080709186548938</v>
      </c>
      <c r="AB224">
        <f t="shared" si="51"/>
        <v>0.15316923257561524</v>
      </c>
      <c r="AC224">
        <f t="shared" si="52"/>
        <v>5.1662174320167196E-4</v>
      </c>
      <c r="AD224">
        <f t="shared" si="53"/>
        <v>4.6718717710877329E-3</v>
      </c>
      <c r="AE224">
        <f t="shared" si="54"/>
        <v>9.4286462051474729E-2</v>
      </c>
      <c r="AF224">
        <f t="shared" si="55"/>
        <v>0.11839615818147661</v>
      </c>
      <c r="AG224">
        <f t="shared" si="48"/>
        <v>0.999232427855826</v>
      </c>
      <c r="AH224">
        <v>0.27436305336513617</v>
      </c>
      <c r="AI224">
        <v>0.65695999999999999</v>
      </c>
      <c r="AJ224">
        <v>6.90549743888911E-3</v>
      </c>
      <c r="AK224">
        <v>5.9659833633416877E-3</v>
      </c>
      <c r="AL224">
        <v>0.25476168554755219</v>
      </c>
    </row>
    <row r="225" spans="1:38" x14ac:dyDescent="0.25">
      <c r="A225">
        <v>8</v>
      </c>
      <c r="B225" s="5" t="s">
        <v>35</v>
      </c>
      <c r="C225" s="6" t="s">
        <v>5</v>
      </c>
      <c r="D225" s="6" t="s">
        <v>42</v>
      </c>
      <c r="E225" s="28">
        <v>14879.19</v>
      </c>
      <c r="F225" s="11">
        <v>7</v>
      </c>
      <c r="G225" s="11"/>
      <c r="H225" s="11">
        <f t="shared" si="44"/>
        <v>7</v>
      </c>
      <c r="I225" s="18">
        <v>0</v>
      </c>
      <c r="J225" s="19">
        <v>0</v>
      </c>
      <c r="K225" s="19">
        <v>0</v>
      </c>
      <c r="L225" s="6">
        <v>10240033</v>
      </c>
      <c r="M225" s="7">
        <v>633879.0625</v>
      </c>
      <c r="N225" s="7">
        <v>2144549.5</v>
      </c>
      <c r="O225" s="7">
        <v>2744375</v>
      </c>
      <c r="P225" s="7">
        <v>9170.9921875</v>
      </c>
      <c r="Q225" s="7">
        <v>39090.15625</v>
      </c>
      <c r="R225" s="7">
        <v>1673633.25</v>
      </c>
      <c r="S225" s="7">
        <v>2035520.125</v>
      </c>
      <c r="T225" s="31">
        <f t="shared" si="45"/>
        <v>1952.02510859375</v>
      </c>
      <c r="U225" s="37">
        <v>1937.5555555555554</v>
      </c>
      <c r="V225">
        <f t="shared" si="46"/>
        <v>1.0074679422722648</v>
      </c>
      <c r="W225">
        <f t="shared" si="56"/>
        <v>8.2418406237180358E-3</v>
      </c>
      <c r="X225" s="28">
        <v>1799.5362500000001</v>
      </c>
      <c r="Y225">
        <f t="shared" si="47"/>
        <v>0.52850267805941054</v>
      </c>
      <c r="Z225">
        <f t="shared" si="49"/>
        <v>3.2715400633673591E-2</v>
      </c>
      <c r="AA225">
        <f t="shared" si="50"/>
        <v>0.11068325209312996</v>
      </c>
      <c r="AB225">
        <f t="shared" si="51"/>
        <v>0.14164109989677715</v>
      </c>
      <c r="AC225">
        <f t="shared" si="52"/>
        <v>4.7332796013017556E-4</v>
      </c>
      <c r="AD225">
        <f t="shared" si="53"/>
        <v>2.0174986021906181E-3</v>
      </c>
      <c r="AE225">
        <f t="shared" si="54"/>
        <v>8.6378594162174568E-2</v>
      </c>
      <c r="AF225">
        <f t="shared" si="55"/>
        <v>0.10505609086477807</v>
      </c>
      <c r="AG225">
        <f t="shared" si="48"/>
        <v>1.0074679422722648</v>
      </c>
      <c r="AH225">
        <v>0.27436305336513617</v>
      </c>
      <c r="AI225">
        <v>0.65695999999999999</v>
      </c>
      <c r="AJ225">
        <v>6.90549743888911E-3</v>
      </c>
      <c r="AK225">
        <v>5.9659833633416877E-3</v>
      </c>
      <c r="AL225">
        <v>0.25476168554755219</v>
      </c>
    </row>
    <row r="226" spans="1:38" x14ac:dyDescent="0.25">
      <c r="A226">
        <v>8</v>
      </c>
      <c r="B226" s="5" t="s">
        <v>35</v>
      </c>
      <c r="C226" s="6" t="s">
        <v>5</v>
      </c>
      <c r="D226" s="6" t="s">
        <v>43</v>
      </c>
      <c r="E226" s="28">
        <v>15901</v>
      </c>
      <c r="F226" s="11">
        <v>8</v>
      </c>
      <c r="G226" s="11"/>
      <c r="H226" s="18">
        <f t="shared" si="44"/>
        <v>8</v>
      </c>
      <c r="I226" s="18">
        <v>0</v>
      </c>
      <c r="J226" s="19">
        <v>0</v>
      </c>
      <c r="K226" s="19">
        <v>0</v>
      </c>
      <c r="L226" s="14">
        <v>7230134</v>
      </c>
      <c r="M226" s="16">
        <v>611586.25</v>
      </c>
      <c r="N226" s="16">
        <v>2098812.25</v>
      </c>
      <c r="O226" s="16">
        <v>2656399.75</v>
      </c>
      <c r="P226" s="16">
        <v>9375.513671875</v>
      </c>
      <c r="Q226" s="16">
        <v>19972.248046875</v>
      </c>
      <c r="R226" s="16">
        <v>1708104.625</v>
      </c>
      <c r="S226" s="16">
        <v>1952355.5</v>
      </c>
      <c r="T226" s="31">
        <f t="shared" si="45"/>
        <v>1628.6740136718749</v>
      </c>
      <c r="U226" s="37">
        <v>975.11111111111109</v>
      </c>
      <c r="V226">
        <f t="shared" si="46"/>
        <v>1.6702445445586684</v>
      </c>
      <c r="W226">
        <f t="shared" si="56"/>
        <v>0.65786371404688382</v>
      </c>
      <c r="X226" s="28">
        <v>873.19583333333367</v>
      </c>
      <c r="Y226">
        <f t="shared" si="47"/>
        <v>0.74146770738377388</v>
      </c>
      <c r="Z226">
        <f t="shared" si="49"/>
        <v>6.2719647333637191E-2</v>
      </c>
      <c r="AA226">
        <f t="shared" si="50"/>
        <v>0.21523826629443937</v>
      </c>
      <c r="AB226">
        <f t="shared" si="51"/>
        <v>0.2724202113719234</v>
      </c>
      <c r="AC226">
        <f t="shared" si="52"/>
        <v>9.6148157528344353E-4</v>
      </c>
      <c r="AD226">
        <f t="shared" si="53"/>
        <v>2.048202283749715E-3</v>
      </c>
      <c r="AE226">
        <f t="shared" si="54"/>
        <v>0.17517025552643575</v>
      </c>
      <c r="AF226">
        <f t="shared" si="55"/>
        <v>0.20021877278942571</v>
      </c>
      <c r="AG226">
        <f t="shared" si="48"/>
        <v>1.6702445445586687</v>
      </c>
      <c r="AH226">
        <v>0.28611408087541662</v>
      </c>
      <c r="AI226">
        <v>0.66214908034849951</v>
      </c>
      <c r="AJ226">
        <v>6.8480437001975526E-3</v>
      </c>
      <c r="AK226">
        <v>6.1629834601597379E-3</v>
      </c>
      <c r="AL226">
        <v>0.23673190889931936</v>
      </c>
    </row>
    <row r="227" spans="1:38" x14ac:dyDescent="0.25">
      <c r="A227">
        <v>8</v>
      </c>
      <c r="B227" s="5" t="s">
        <v>35</v>
      </c>
      <c r="C227" s="6" t="s">
        <v>5</v>
      </c>
      <c r="D227" s="6" t="s">
        <v>44</v>
      </c>
      <c r="E227" s="28">
        <v>15901</v>
      </c>
      <c r="F227" s="11">
        <v>9</v>
      </c>
      <c r="G227" s="11"/>
      <c r="H227" s="11">
        <f t="shared" si="44"/>
        <v>9</v>
      </c>
      <c r="I227" s="18">
        <v>0</v>
      </c>
      <c r="J227" s="19">
        <v>0</v>
      </c>
      <c r="K227" s="19">
        <v>0</v>
      </c>
      <c r="L227" s="6">
        <v>7197173.5</v>
      </c>
      <c r="M227" s="7">
        <v>599770.9375</v>
      </c>
      <c r="N227" s="7">
        <v>2098812.25</v>
      </c>
      <c r="O227" s="7">
        <v>2605303</v>
      </c>
      <c r="P227" s="7">
        <v>9375.513671875</v>
      </c>
      <c r="Q227" s="7">
        <v>28204.259765625</v>
      </c>
      <c r="R227" s="7">
        <v>1672163.875</v>
      </c>
      <c r="S227" s="7">
        <v>1974799.375</v>
      </c>
      <c r="T227" s="31">
        <f t="shared" si="45"/>
        <v>1618.5602710937501</v>
      </c>
      <c r="U227" s="37">
        <v>1026</v>
      </c>
      <c r="V227">
        <f t="shared" si="46"/>
        <v>1.5775441238730508</v>
      </c>
      <c r="W227">
        <f t="shared" si="56"/>
        <v>-5.5501106701780649E-2</v>
      </c>
      <c r="X227" s="28">
        <v>954.30416666666702</v>
      </c>
      <c r="Y227">
        <f t="shared" si="47"/>
        <v>0.70147889863547763</v>
      </c>
      <c r="Z227">
        <f t="shared" si="49"/>
        <v>5.8457206384015595E-2</v>
      </c>
      <c r="AA227">
        <f t="shared" si="50"/>
        <v>0.20456259746588693</v>
      </c>
      <c r="AB227">
        <f t="shared" si="51"/>
        <v>0.25392816764132553</v>
      </c>
      <c r="AC227">
        <f t="shared" si="52"/>
        <v>9.137927555433723E-4</v>
      </c>
      <c r="AD227">
        <f t="shared" si="53"/>
        <v>2.7489531935307016E-3</v>
      </c>
      <c r="AE227">
        <f t="shared" si="54"/>
        <v>0.16297893518518519</v>
      </c>
      <c r="AF227">
        <f t="shared" si="55"/>
        <v>0.19247557261208575</v>
      </c>
      <c r="AG227">
        <f t="shared" si="48"/>
        <v>1.5775441238730508</v>
      </c>
      <c r="AH227">
        <v>0.28611408087541662</v>
      </c>
      <c r="AI227">
        <v>0.66214908034849951</v>
      </c>
      <c r="AJ227">
        <v>6.8480437001975526E-3</v>
      </c>
      <c r="AK227">
        <v>6.1629834601597379E-3</v>
      </c>
      <c r="AL227">
        <v>0.23673190889931936</v>
      </c>
    </row>
    <row r="228" spans="1:38" x14ac:dyDescent="0.25">
      <c r="A228">
        <v>8</v>
      </c>
      <c r="B228" s="5" t="s">
        <v>35</v>
      </c>
      <c r="C228" s="6" t="s">
        <v>5</v>
      </c>
      <c r="D228" s="6" t="s">
        <v>45</v>
      </c>
      <c r="E228" s="28">
        <v>15901</v>
      </c>
      <c r="F228" s="11">
        <v>10</v>
      </c>
      <c r="G228" s="11"/>
      <c r="H228" s="11">
        <f t="shared" si="44"/>
        <v>10</v>
      </c>
      <c r="I228" s="18">
        <v>0</v>
      </c>
      <c r="J228" s="19">
        <v>0</v>
      </c>
      <c r="K228" s="19">
        <v>0</v>
      </c>
      <c r="L228" s="6">
        <v>8167534</v>
      </c>
      <c r="M228" s="7">
        <v>622144</v>
      </c>
      <c r="N228" s="7">
        <v>2098812.25</v>
      </c>
      <c r="O228" s="7">
        <v>2703259</v>
      </c>
      <c r="P228" s="7">
        <v>9375.513671875</v>
      </c>
      <c r="Q228" s="7">
        <v>80454.921875</v>
      </c>
      <c r="R228" s="7">
        <v>1659610.75</v>
      </c>
      <c r="S228" s="7">
        <v>2010684.625</v>
      </c>
      <c r="T228" s="31">
        <f t="shared" si="45"/>
        <v>1735.1875060546874</v>
      </c>
      <c r="U228" s="37">
        <v>1076.8888888888889</v>
      </c>
      <c r="V228">
        <f t="shared" si="46"/>
        <v>1.6112966936124831</v>
      </c>
      <c r="W228">
        <f t="shared" si="56"/>
        <v>2.1395642269939109E-2</v>
      </c>
      <c r="X228" s="28">
        <v>1035.4125000000004</v>
      </c>
      <c r="Y228">
        <f t="shared" si="47"/>
        <v>0.75843794882377213</v>
      </c>
      <c r="Z228">
        <f t="shared" si="49"/>
        <v>5.7772348328518366E-2</v>
      </c>
      <c r="AA228">
        <f t="shared" si="50"/>
        <v>0.19489589609987618</v>
      </c>
      <c r="AB228">
        <f t="shared" si="51"/>
        <v>0.25102487618654556</v>
      </c>
      <c r="AC228">
        <f t="shared" si="52"/>
        <v>8.7061105083445099E-4</v>
      </c>
      <c r="AD228">
        <f t="shared" si="53"/>
        <v>7.4710513503404869E-3</v>
      </c>
      <c r="AE228">
        <f t="shared" si="54"/>
        <v>0.1541116049319026</v>
      </c>
      <c r="AF228">
        <f t="shared" si="55"/>
        <v>0.18671235684069337</v>
      </c>
      <c r="AG228">
        <f t="shared" si="48"/>
        <v>1.6112966936124833</v>
      </c>
      <c r="AH228">
        <v>0.28611408087541662</v>
      </c>
      <c r="AI228">
        <v>0.66214908034849951</v>
      </c>
      <c r="AJ228">
        <v>6.8480437001975526E-3</v>
      </c>
      <c r="AK228">
        <v>6.1629834601597379E-3</v>
      </c>
      <c r="AL228">
        <v>0.23673190889931936</v>
      </c>
    </row>
    <row r="229" spans="1:38" x14ac:dyDescent="0.25">
      <c r="A229">
        <v>8</v>
      </c>
      <c r="B229" s="5" t="s">
        <v>35</v>
      </c>
      <c r="C229" s="6" t="s">
        <v>5</v>
      </c>
      <c r="D229" s="6" t="s">
        <v>46</v>
      </c>
      <c r="E229" s="28">
        <v>15901</v>
      </c>
      <c r="F229" s="11">
        <v>11</v>
      </c>
      <c r="G229" s="11"/>
      <c r="H229" s="11">
        <f t="shared" si="44"/>
        <v>11</v>
      </c>
      <c r="I229" s="18">
        <v>0</v>
      </c>
      <c r="J229" s="19">
        <v>0</v>
      </c>
      <c r="K229" s="19">
        <v>0</v>
      </c>
      <c r="L229" s="6">
        <v>7400422</v>
      </c>
      <c r="M229" s="7">
        <v>633089.6875</v>
      </c>
      <c r="N229" s="7">
        <v>2098812.25</v>
      </c>
      <c r="O229" s="7">
        <v>2742203</v>
      </c>
      <c r="P229" s="7">
        <v>9375.513671875</v>
      </c>
      <c r="Q229" s="7">
        <v>110900.453125</v>
      </c>
      <c r="R229" s="7">
        <v>1705196.25</v>
      </c>
      <c r="S229" s="7">
        <v>2069845.25</v>
      </c>
      <c r="T229" s="31">
        <f t="shared" si="45"/>
        <v>1676.9844404296875</v>
      </c>
      <c r="U229" s="37">
        <v>1127.7777777777778</v>
      </c>
      <c r="V229">
        <f t="shared" si="46"/>
        <v>1.4869812772282942</v>
      </c>
      <c r="W229">
        <f t="shared" si="56"/>
        <v>-7.7152405808937091E-2</v>
      </c>
      <c r="X229" s="28">
        <v>1116.5208333333335</v>
      </c>
      <c r="Y229">
        <f t="shared" si="47"/>
        <v>0.65619505418719204</v>
      </c>
      <c r="Z229">
        <f t="shared" si="49"/>
        <v>5.6136031403940891E-2</v>
      </c>
      <c r="AA229">
        <f t="shared" si="50"/>
        <v>0.18610157881773398</v>
      </c>
      <c r="AB229">
        <f t="shared" si="51"/>
        <v>0.24315100492610836</v>
      </c>
      <c r="AC229">
        <f t="shared" si="52"/>
        <v>8.3132633543719209E-4</v>
      </c>
      <c r="AD229">
        <f t="shared" si="53"/>
        <v>9.8335377155172408E-3</v>
      </c>
      <c r="AE229">
        <f t="shared" si="54"/>
        <v>0.15119966748768474</v>
      </c>
      <c r="AF229">
        <f t="shared" si="55"/>
        <v>0.1835330763546798</v>
      </c>
      <c r="AG229">
        <f t="shared" si="48"/>
        <v>1.4869812772282942</v>
      </c>
      <c r="AH229">
        <v>0.28611408087541662</v>
      </c>
      <c r="AI229">
        <v>0.66214908034849951</v>
      </c>
      <c r="AJ229">
        <v>6.8480437001975526E-3</v>
      </c>
      <c r="AK229">
        <v>6.1629834601597379E-3</v>
      </c>
      <c r="AL229">
        <v>0.23673190889931936</v>
      </c>
    </row>
    <row r="230" spans="1:38" x14ac:dyDescent="0.25">
      <c r="A230">
        <v>8</v>
      </c>
      <c r="B230" s="5" t="s">
        <v>35</v>
      </c>
      <c r="C230" s="6" t="s">
        <v>5</v>
      </c>
      <c r="D230" s="6" t="s">
        <v>47</v>
      </c>
      <c r="E230" s="28">
        <v>15901</v>
      </c>
      <c r="F230" s="11">
        <v>12</v>
      </c>
      <c r="G230" s="11"/>
      <c r="H230" s="11">
        <f t="shared" si="44"/>
        <v>12</v>
      </c>
      <c r="I230" s="18">
        <v>0</v>
      </c>
      <c r="J230" s="19">
        <v>0</v>
      </c>
      <c r="K230" s="19">
        <v>0</v>
      </c>
      <c r="L230" s="6">
        <v>7347818</v>
      </c>
      <c r="M230" s="7">
        <v>625835.125</v>
      </c>
      <c r="N230" s="7">
        <v>2098812.25</v>
      </c>
      <c r="O230" s="7">
        <v>2710754.75</v>
      </c>
      <c r="P230" s="7">
        <v>9375.513671875</v>
      </c>
      <c r="Q230" s="7">
        <v>73011.4921875</v>
      </c>
      <c r="R230" s="7">
        <v>1693455</v>
      </c>
      <c r="S230" s="7">
        <v>2056930</v>
      </c>
      <c r="T230" s="31">
        <f t="shared" si="45"/>
        <v>1661.5992130859374</v>
      </c>
      <c r="U230" s="37">
        <v>1178.6666666666667</v>
      </c>
      <c r="V230">
        <f t="shared" si="46"/>
        <v>1.409727839156621</v>
      </c>
      <c r="W230">
        <f t="shared" si="56"/>
        <v>-5.1953201600273113E-2</v>
      </c>
      <c r="X230" s="28">
        <v>1197.6291666666668</v>
      </c>
      <c r="Y230">
        <f t="shared" si="47"/>
        <v>0.62340084841628962</v>
      </c>
      <c r="Z230">
        <f t="shared" si="49"/>
        <v>5.3096871464932124E-2</v>
      </c>
      <c r="AA230">
        <f t="shared" si="50"/>
        <v>0.17806665016968326</v>
      </c>
      <c r="AB230">
        <f t="shared" si="51"/>
        <v>0.22998484869909502</v>
      </c>
      <c r="AC230">
        <f t="shared" si="52"/>
        <v>7.9543385225183823E-4</v>
      </c>
      <c r="AD230">
        <f t="shared" si="53"/>
        <v>6.1944139299349547E-3</v>
      </c>
      <c r="AE230">
        <f t="shared" si="54"/>
        <v>0.14367548076923076</v>
      </c>
      <c r="AF230">
        <f t="shared" si="55"/>
        <v>0.17451329185520359</v>
      </c>
      <c r="AG230">
        <f t="shared" si="48"/>
        <v>1.4097278391566213</v>
      </c>
      <c r="AH230">
        <v>0.28611408087541662</v>
      </c>
      <c r="AI230">
        <v>0.66214908034849951</v>
      </c>
      <c r="AJ230">
        <v>6.8480437001975526E-3</v>
      </c>
      <c r="AK230">
        <v>6.1629834601597379E-3</v>
      </c>
      <c r="AL230">
        <v>0.23673190889931936</v>
      </c>
    </row>
    <row r="231" spans="1:38" x14ac:dyDescent="0.25">
      <c r="A231">
        <v>8</v>
      </c>
      <c r="B231" s="5" t="s">
        <v>35</v>
      </c>
      <c r="C231" s="6" t="s">
        <v>5</v>
      </c>
      <c r="D231" s="6" t="s">
        <v>48</v>
      </c>
      <c r="E231" s="28">
        <v>15901</v>
      </c>
      <c r="F231" s="11">
        <v>13</v>
      </c>
      <c r="G231" s="11"/>
      <c r="H231" s="11">
        <f t="shared" si="44"/>
        <v>13</v>
      </c>
      <c r="I231" s="18">
        <v>0</v>
      </c>
      <c r="J231" s="19">
        <v>0</v>
      </c>
      <c r="K231" s="19">
        <v>0</v>
      </c>
      <c r="L231" s="6">
        <v>7674637.5</v>
      </c>
      <c r="M231" s="7">
        <v>629129.3125</v>
      </c>
      <c r="N231" s="7">
        <v>2098812.25</v>
      </c>
      <c r="O231" s="7">
        <v>2724026</v>
      </c>
      <c r="P231" s="7">
        <v>9375.513671875</v>
      </c>
      <c r="Q231" s="7">
        <v>35143.15234375</v>
      </c>
      <c r="R231" s="7">
        <v>1690099.25</v>
      </c>
      <c r="S231" s="7">
        <v>2006195.5</v>
      </c>
      <c r="T231" s="31">
        <f t="shared" si="45"/>
        <v>1686.7418478515624</v>
      </c>
      <c r="U231" s="37">
        <v>1253.6666666666667</v>
      </c>
      <c r="V231">
        <f t="shared" si="46"/>
        <v>1.345446834234163</v>
      </c>
      <c r="W231">
        <f t="shared" si="56"/>
        <v>-4.559816663684145E-2</v>
      </c>
      <c r="X231" s="28">
        <v>1278.7375000000002</v>
      </c>
      <c r="Y231">
        <f t="shared" si="47"/>
        <v>0.6121752858282371</v>
      </c>
      <c r="Z231">
        <f t="shared" si="49"/>
        <v>5.0183141119383143E-2</v>
      </c>
      <c r="AA231">
        <f t="shared" si="50"/>
        <v>0.16741389922892846</v>
      </c>
      <c r="AB231">
        <f t="shared" si="51"/>
        <v>0.2172847115128955</v>
      </c>
      <c r="AC231">
        <f t="shared" si="52"/>
        <v>7.4784740801980853E-4</v>
      </c>
      <c r="AD231">
        <f t="shared" si="53"/>
        <v>2.8032293813148096E-3</v>
      </c>
      <c r="AE231">
        <f t="shared" si="54"/>
        <v>0.13481249002924753</v>
      </c>
      <c r="AF231">
        <f t="shared" si="55"/>
        <v>0.16002622972613664</v>
      </c>
      <c r="AG231">
        <f t="shared" si="48"/>
        <v>1.3454468342341628</v>
      </c>
      <c r="AH231">
        <v>0.28611408087541662</v>
      </c>
      <c r="AI231">
        <v>0.66214908034849951</v>
      </c>
      <c r="AJ231">
        <v>6.8480437001975526E-3</v>
      </c>
      <c r="AK231">
        <v>6.1629834601597379E-3</v>
      </c>
      <c r="AL231">
        <v>0.23673190889931936</v>
      </c>
    </row>
    <row r="232" spans="1:38" x14ac:dyDescent="0.25">
      <c r="A232">
        <v>8</v>
      </c>
      <c r="B232" s="5" t="s">
        <v>35</v>
      </c>
      <c r="C232" s="6" t="s">
        <v>5</v>
      </c>
      <c r="D232" s="6" t="s">
        <v>49</v>
      </c>
      <c r="E232" s="28">
        <v>15901</v>
      </c>
      <c r="F232" s="11">
        <v>14</v>
      </c>
      <c r="G232" s="11"/>
      <c r="H232" s="11">
        <f t="shared" si="44"/>
        <v>14</v>
      </c>
      <c r="I232" s="18">
        <v>0</v>
      </c>
      <c r="J232" s="19">
        <v>0</v>
      </c>
      <c r="K232" s="19">
        <v>0</v>
      </c>
      <c r="L232" s="6">
        <v>8633085</v>
      </c>
      <c r="M232" s="7">
        <v>606162.75</v>
      </c>
      <c r="N232" s="7">
        <v>2098812.25</v>
      </c>
      <c r="O232" s="7">
        <v>2612508.5</v>
      </c>
      <c r="P232" s="7">
        <v>9375.513671875</v>
      </c>
      <c r="Q232" s="7">
        <v>20666.73828125</v>
      </c>
      <c r="R232" s="7">
        <v>1700132.125</v>
      </c>
      <c r="S232" s="7">
        <v>1972622.125</v>
      </c>
      <c r="T232" s="31">
        <f t="shared" si="45"/>
        <v>1765.3365001953125</v>
      </c>
      <c r="U232" s="37">
        <v>1328.6666666666667</v>
      </c>
      <c r="V232">
        <f t="shared" si="46"/>
        <v>1.3286526594545753</v>
      </c>
      <c r="W232">
        <f t="shared" si="56"/>
        <v>-1.2482228470326009E-2</v>
      </c>
      <c r="X232" s="28">
        <v>1359.8458333333333</v>
      </c>
      <c r="Y232">
        <f t="shared" si="47"/>
        <v>0.64975551931761155</v>
      </c>
      <c r="Z232">
        <f t="shared" si="49"/>
        <v>4.5621882839939787E-2</v>
      </c>
      <c r="AA232">
        <f t="shared" si="50"/>
        <v>0.15796379202207728</v>
      </c>
      <c r="AB232">
        <f t="shared" si="51"/>
        <v>0.19662632965378826</v>
      </c>
      <c r="AC232">
        <f t="shared" si="52"/>
        <v>7.0563324173670346E-4</v>
      </c>
      <c r="AD232">
        <f t="shared" si="53"/>
        <v>1.5554494441482689E-3</v>
      </c>
      <c r="AE232">
        <f t="shared" si="54"/>
        <v>0.12795776154039135</v>
      </c>
      <c r="AF232">
        <f t="shared" si="55"/>
        <v>0.14846629139488207</v>
      </c>
      <c r="AG232">
        <f t="shared" si="48"/>
        <v>1.3286526594545753</v>
      </c>
      <c r="AH232">
        <v>0.28611408087541662</v>
      </c>
      <c r="AI232">
        <v>0.66214908034849951</v>
      </c>
      <c r="AJ232">
        <v>6.8480437001975526E-3</v>
      </c>
      <c r="AK232">
        <v>6.1629834601597379E-3</v>
      </c>
      <c r="AL232">
        <v>0.23673190889931936</v>
      </c>
    </row>
    <row r="233" spans="1:38" s="20" customFormat="1" x14ac:dyDescent="0.25">
      <c r="A233">
        <v>8</v>
      </c>
      <c r="B233" s="5" t="s">
        <v>35</v>
      </c>
      <c r="C233" s="6" t="s">
        <v>5</v>
      </c>
      <c r="D233" s="6" t="s">
        <v>50</v>
      </c>
      <c r="E233" s="28">
        <v>15901</v>
      </c>
      <c r="F233" s="11">
        <v>15</v>
      </c>
      <c r="G233" s="11"/>
      <c r="H233" s="11">
        <f t="shared" si="44"/>
        <v>15</v>
      </c>
      <c r="I233" s="18">
        <v>0</v>
      </c>
      <c r="J233" s="19">
        <v>0</v>
      </c>
      <c r="K233" s="19">
        <v>0</v>
      </c>
      <c r="L233" s="6">
        <v>9181756</v>
      </c>
      <c r="M233" s="7">
        <v>590288.375</v>
      </c>
      <c r="N233" s="7">
        <v>2098812.25</v>
      </c>
      <c r="O233" s="7">
        <v>2535152</v>
      </c>
      <c r="P233" s="7">
        <v>9375.513671875</v>
      </c>
      <c r="Q233" s="7">
        <v>29019.072265625</v>
      </c>
      <c r="R233" s="7">
        <v>1665338.125</v>
      </c>
      <c r="S233" s="7">
        <v>1989451.625</v>
      </c>
      <c r="T233" s="31">
        <f t="shared" si="45"/>
        <v>1809.9192960937501</v>
      </c>
      <c r="U233" s="37">
        <v>1403.6666666666667</v>
      </c>
      <c r="V233">
        <f t="shared" si="46"/>
        <v>1.2894224384424722</v>
      </c>
      <c r="W233">
        <f t="shared" si="56"/>
        <v>-2.952631805833102E-2</v>
      </c>
      <c r="X233" s="28">
        <v>1440.9541666666667</v>
      </c>
      <c r="Y233">
        <f t="shared" si="47"/>
        <v>0.65412652576585129</v>
      </c>
      <c r="Z233">
        <f t="shared" si="49"/>
        <v>4.2053315720731413E-2</v>
      </c>
      <c r="AA233">
        <f t="shared" si="50"/>
        <v>0.14952355141296603</v>
      </c>
      <c r="AB233">
        <f t="shared" si="51"/>
        <v>0.18060926145808595</v>
      </c>
      <c r="AC233">
        <f t="shared" si="52"/>
        <v>6.6793020697280929E-4</v>
      </c>
      <c r="AD233">
        <f t="shared" si="53"/>
        <v>2.0673763190898835E-3</v>
      </c>
      <c r="AE233">
        <f t="shared" si="54"/>
        <v>0.11864199418190453</v>
      </c>
      <c r="AF233">
        <f t="shared" si="55"/>
        <v>0.14173248337687008</v>
      </c>
      <c r="AG233">
        <f t="shared" si="48"/>
        <v>1.289422438442472</v>
      </c>
      <c r="AH233" s="20">
        <v>0.28611408087541662</v>
      </c>
      <c r="AI233" s="20">
        <v>0.66214908034849951</v>
      </c>
      <c r="AJ233" s="20">
        <v>6.8480437001975526E-3</v>
      </c>
      <c r="AK233" s="20">
        <v>6.1629834601597379E-3</v>
      </c>
      <c r="AL233" s="20">
        <v>0.23673190889931936</v>
      </c>
    </row>
    <row r="234" spans="1:38" x14ac:dyDescent="0.25">
      <c r="A234">
        <v>8</v>
      </c>
      <c r="B234" s="5" t="s">
        <v>35</v>
      </c>
      <c r="C234" s="6" t="s">
        <v>5</v>
      </c>
      <c r="D234" s="6" t="s">
        <v>51</v>
      </c>
      <c r="E234" s="28">
        <v>15901</v>
      </c>
      <c r="F234" s="11">
        <v>16</v>
      </c>
      <c r="G234" s="11"/>
      <c r="H234" s="11">
        <f t="shared" si="44"/>
        <v>16</v>
      </c>
      <c r="I234" s="18">
        <v>0</v>
      </c>
      <c r="J234" s="19">
        <v>0</v>
      </c>
      <c r="K234" s="19">
        <v>0</v>
      </c>
      <c r="L234" s="6">
        <v>8016427</v>
      </c>
      <c r="M234" s="7">
        <v>614868.875</v>
      </c>
      <c r="N234" s="7">
        <v>2098812.25</v>
      </c>
      <c r="O234" s="7">
        <v>2648684</v>
      </c>
      <c r="P234" s="7">
        <v>9375.513671875</v>
      </c>
      <c r="Q234" s="7">
        <v>81240.5390625</v>
      </c>
      <c r="R234" s="7">
        <v>1655630.25</v>
      </c>
      <c r="S234" s="7">
        <v>2018479</v>
      </c>
      <c r="T234" s="31">
        <f t="shared" si="45"/>
        <v>1714.3517427734375</v>
      </c>
      <c r="U234" s="37">
        <v>1550.6666666666667</v>
      </c>
      <c r="V234">
        <f t="shared" si="46"/>
        <v>1.1055578736716063</v>
      </c>
      <c r="W234">
        <f t="shared" si="56"/>
        <v>-0.1425945130852235</v>
      </c>
      <c r="X234" s="28">
        <v>1522.0625</v>
      </c>
      <c r="Y234">
        <f t="shared" si="47"/>
        <v>0.51696648753224417</v>
      </c>
      <c r="Z234">
        <f t="shared" si="49"/>
        <v>3.9651905094582975E-2</v>
      </c>
      <c r="AA234">
        <f t="shared" si="50"/>
        <v>0.13534902730008599</v>
      </c>
      <c r="AB234">
        <f t="shared" si="51"/>
        <v>0.17080937231298365</v>
      </c>
      <c r="AC234">
        <f t="shared" si="52"/>
        <v>6.0461180171162939E-4</v>
      </c>
      <c r="AD234">
        <f t="shared" si="53"/>
        <v>5.239071736618659E-3</v>
      </c>
      <c r="AE234">
        <f t="shared" si="54"/>
        <v>0.10676893271711092</v>
      </c>
      <c r="AF234">
        <f t="shared" si="55"/>
        <v>0.13016846517626826</v>
      </c>
      <c r="AG234">
        <f t="shared" si="48"/>
        <v>1.1055578736716063</v>
      </c>
      <c r="AH234">
        <v>0.28611408087541662</v>
      </c>
      <c r="AI234">
        <v>0.66214908034849951</v>
      </c>
      <c r="AJ234">
        <v>6.8480437001975526E-3</v>
      </c>
      <c r="AK234">
        <v>6.1629834601597379E-3</v>
      </c>
      <c r="AL234">
        <v>0.23673190889931936</v>
      </c>
    </row>
    <row r="235" spans="1:38" x14ac:dyDescent="0.25">
      <c r="A235">
        <v>8</v>
      </c>
      <c r="B235" s="5" t="s">
        <v>35</v>
      </c>
      <c r="C235" s="6" t="s">
        <v>5</v>
      </c>
      <c r="D235" s="6" t="s">
        <v>52</v>
      </c>
      <c r="E235" s="28">
        <v>15901</v>
      </c>
      <c r="F235" s="11">
        <v>17</v>
      </c>
      <c r="G235" s="11"/>
      <c r="H235" s="11">
        <f t="shared" si="44"/>
        <v>17</v>
      </c>
      <c r="I235" s="18">
        <v>0</v>
      </c>
      <c r="J235" s="19">
        <v>0</v>
      </c>
      <c r="K235" s="19">
        <v>0</v>
      </c>
      <c r="L235" s="6">
        <v>7914785</v>
      </c>
      <c r="M235" s="7">
        <v>631423.4375</v>
      </c>
      <c r="N235" s="7">
        <v>2098812.25</v>
      </c>
      <c r="O235" s="7">
        <v>2729799.25</v>
      </c>
      <c r="P235" s="7">
        <v>9375.513671875</v>
      </c>
      <c r="Q235" s="7">
        <v>112047.1953125</v>
      </c>
      <c r="R235" s="7">
        <v>1704245</v>
      </c>
      <c r="S235" s="7">
        <v>2077451.25</v>
      </c>
      <c r="T235" s="31">
        <f t="shared" si="45"/>
        <v>1727.7938896484375</v>
      </c>
      <c r="U235" s="37">
        <v>1697.6666666666667</v>
      </c>
      <c r="V235">
        <f t="shared" si="46"/>
        <v>1.0177462534744379</v>
      </c>
      <c r="W235">
        <f t="shared" si="56"/>
        <v>-7.9427429615730669E-2</v>
      </c>
      <c r="X235" s="28">
        <v>1603.1708333333331</v>
      </c>
      <c r="Y235">
        <f t="shared" si="47"/>
        <v>0.46621549185156091</v>
      </c>
      <c r="Z235">
        <f t="shared" si="49"/>
        <v>3.7193605193402708E-2</v>
      </c>
      <c r="AA235">
        <f t="shared" si="50"/>
        <v>0.1236292312978598</v>
      </c>
      <c r="AB235">
        <f t="shared" si="51"/>
        <v>0.16079712841154525</v>
      </c>
      <c r="AC235">
        <f t="shared" si="52"/>
        <v>5.5225880651138808E-4</v>
      </c>
      <c r="AD235">
        <f t="shared" si="53"/>
        <v>6.6000704091399957E-3</v>
      </c>
      <c r="AE235">
        <f t="shared" si="54"/>
        <v>0.10038749263695268</v>
      </c>
      <c r="AF235">
        <f t="shared" si="55"/>
        <v>0.12237097486746513</v>
      </c>
      <c r="AG235">
        <f t="shared" si="48"/>
        <v>1.0177462534744379</v>
      </c>
      <c r="AH235">
        <v>0.28611408087541662</v>
      </c>
      <c r="AI235">
        <v>0.66214908034849951</v>
      </c>
      <c r="AJ235">
        <v>6.8480437001975526E-3</v>
      </c>
      <c r="AK235">
        <v>6.1629834601597379E-3</v>
      </c>
      <c r="AL235">
        <v>0.23673190889931936</v>
      </c>
    </row>
    <row r="236" spans="1:38" x14ac:dyDescent="0.25">
      <c r="A236">
        <v>8</v>
      </c>
      <c r="B236" s="5" t="s">
        <v>35</v>
      </c>
      <c r="C236" s="6" t="s">
        <v>5</v>
      </c>
      <c r="D236" s="6" t="s">
        <v>53</v>
      </c>
      <c r="E236" s="28">
        <v>15901</v>
      </c>
      <c r="F236" s="11">
        <v>18</v>
      </c>
      <c r="G236" s="11"/>
      <c r="H236" s="11">
        <f t="shared" si="44"/>
        <v>18</v>
      </c>
      <c r="I236" s="18">
        <v>0</v>
      </c>
      <c r="J236" s="19">
        <v>0</v>
      </c>
      <c r="K236" s="19">
        <v>0</v>
      </c>
      <c r="L236" s="6">
        <v>8438850</v>
      </c>
      <c r="M236" s="7">
        <v>627334.6875</v>
      </c>
      <c r="N236" s="7">
        <v>2098812.25</v>
      </c>
      <c r="O236" s="7">
        <v>2723558</v>
      </c>
      <c r="P236" s="7">
        <v>9375.513671875</v>
      </c>
      <c r="Q236" s="7">
        <v>73939.2109375</v>
      </c>
      <c r="R236" s="7">
        <v>1696539.375</v>
      </c>
      <c r="S236" s="7">
        <v>2055303.875</v>
      </c>
      <c r="T236" s="31">
        <f t="shared" si="45"/>
        <v>1772.3712912109374</v>
      </c>
      <c r="U236" s="37">
        <v>1844.6666666666667</v>
      </c>
      <c r="V236">
        <f t="shared" si="46"/>
        <v>0.96080843397773985</v>
      </c>
      <c r="W236">
        <f t="shared" si="56"/>
        <v>-5.5945005252852197E-2</v>
      </c>
      <c r="X236" s="28">
        <v>1684.2791666666665</v>
      </c>
      <c r="Y236">
        <f t="shared" si="47"/>
        <v>0.45747289483194792</v>
      </c>
      <c r="Z236">
        <f t="shared" si="49"/>
        <v>3.4008024259125406E-2</v>
      </c>
      <c r="AA236">
        <f t="shared" si="50"/>
        <v>0.11377731749186844</v>
      </c>
      <c r="AB236">
        <f t="shared" si="51"/>
        <v>0.14764499457896638</v>
      </c>
      <c r="AC236">
        <f t="shared" si="52"/>
        <v>5.0824974730077704E-4</v>
      </c>
      <c r="AD236">
        <f t="shared" si="53"/>
        <v>4.0082694761926271E-3</v>
      </c>
      <c r="AE236">
        <f t="shared" si="54"/>
        <v>9.1969969732562329E-2</v>
      </c>
      <c r="AF236">
        <f t="shared" si="55"/>
        <v>0.11141871385977592</v>
      </c>
      <c r="AG236">
        <f t="shared" si="48"/>
        <v>0.96080843397773985</v>
      </c>
      <c r="AH236">
        <v>0.28611408087541662</v>
      </c>
      <c r="AI236">
        <v>0.66214908034849951</v>
      </c>
      <c r="AJ236">
        <v>6.8480437001975526E-3</v>
      </c>
      <c r="AK236">
        <v>6.1629834601597379E-3</v>
      </c>
      <c r="AL236">
        <v>0.23673190889931936</v>
      </c>
    </row>
    <row r="237" spans="1:38" x14ac:dyDescent="0.25">
      <c r="A237">
        <v>8</v>
      </c>
      <c r="B237" s="5" t="s">
        <v>35</v>
      </c>
      <c r="C237" s="6" t="s">
        <v>5</v>
      </c>
      <c r="D237" s="6" t="s">
        <v>54</v>
      </c>
      <c r="E237" s="28">
        <v>15901</v>
      </c>
      <c r="F237" s="11">
        <v>19</v>
      </c>
      <c r="G237" s="11"/>
      <c r="H237" s="11">
        <f t="shared" si="44"/>
        <v>19</v>
      </c>
      <c r="I237" s="18">
        <v>0</v>
      </c>
      <c r="J237" s="19">
        <v>0</v>
      </c>
      <c r="K237" s="19">
        <v>0</v>
      </c>
      <c r="L237" s="6">
        <v>9404651</v>
      </c>
      <c r="M237" s="7">
        <v>632113.4375</v>
      </c>
      <c r="N237" s="7">
        <v>2099819.75</v>
      </c>
      <c r="O237" s="7">
        <v>2750196.5</v>
      </c>
      <c r="P237" s="7">
        <v>9380.0146484375</v>
      </c>
      <c r="Q237" s="7">
        <v>34866.35546875</v>
      </c>
      <c r="R237" s="7">
        <v>1697156.25</v>
      </c>
      <c r="S237" s="7">
        <v>1992893.125</v>
      </c>
      <c r="T237" s="31">
        <f t="shared" si="45"/>
        <v>1862.1076432617187</v>
      </c>
      <c r="U237" s="37">
        <v>1991.6666666666667</v>
      </c>
      <c r="V237">
        <f t="shared" si="46"/>
        <v>0.93494944431550731</v>
      </c>
      <c r="W237">
        <f t="shared" si="56"/>
        <v>-2.6913782964182068E-2</v>
      </c>
      <c r="X237" s="28">
        <v>1765.3874999999998</v>
      </c>
      <c r="Y237">
        <f t="shared" si="47"/>
        <v>0.47220005020920497</v>
      </c>
      <c r="Z237">
        <f t="shared" si="49"/>
        <v>3.1737913179916317E-2</v>
      </c>
      <c r="AA237">
        <f t="shared" si="50"/>
        <v>0.10543028033472804</v>
      </c>
      <c r="AB237">
        <f t="shared" si="51"/>
        <v>0.138085179916318</v>
      </c>
      <c r="AC237">
        <f t="shared" si="52"/>
        <v>4.7096307858263592E-4</v>
      </c>
      <c r="AD237">
        <f t="shared" si="53"/>
        <v>1.7506119900627614E-3</v>
      </c>
      <c r="AE237">
        <f t="shared" si="54"/>
        <v>8.5212866108786603E-2</v>
      </c>
      <c r="AF237">
        <f t="shared" si="55"/>
        <v>0.10006157949790795</v>
      </c>
      <c r="AG237">
        <f t="shared" si="48"/>
        <v>0.93494944431550731</v>
      </c>
      <c r="AH237">
        <v>0.28611408087541662</v>
      </c>
      <c r="AI237">
        <v>0.66214908034849951</v>
      </c>
      <c r="AJ237">
        <v>6.8480437001975526E-3</v>
      </c>
      <c r="AK237">
        <v>6.1629834601597379E-3</v>
      </c>
      <c r="AL237">
        <v>0.23673190889931936</v>
      </c>
    </row>
    <row r="238" spans="1:38" x14ac:dyDescent="0.25">
      <c r="A238">
        <v>8</v>
      </c>
      <c r="B238" s="5" t="s">
        <v>35</v>
      </c>
      <c r="C238" s="6" t="s">
        <v>5</v>
      </c>
      <c r="D238" s="6" t="s">
        <v>55</v>
      </c>
      <c r="E238" s="28">
        <v>15883.9</v>
      </c>
      <c r="F238" s="11">
        <v>20</v>
      </c>
      <c r="G238" s="11"/>
      <c r="H238" s="18">
        <f t="shared" si="44"/>
        <v>20</v>
      </c>
      <c r="I238" s="18">
        <v>0</v>
      </c>
      <c r="J238" s="19">
        <v>0</v>
      </c>
      <c r="K238" s="19">
        <v>0</v>
      </c>
      <c r="L238" s="14">
        <v>1692726.5</v>
      </c>
      <c r="M238" s="16">
        <v>627093.0625</v>
      </c>
      <c r="N238" s="16">
        <v>4520558.5</v>
      </c>
      <c r="O238" s="16">
        <v>7608823.5</v>
      </c>
      <c r="P238" s="16">
        <v>9238.2392578125</v>
      </c>
      <c r="Q238" s="16">
        <v>22833.67578125</v>
      </c>
      <c r="R238" s="16">
        <v>2532517</v>
      </c>
      <c r="S238" s="16">
        <v>2410743</v>
      </c>
      <c r="T238" s="31">
        <f t="shared" si="45"/>
        <v>1942.4533477539062</v>
      </c>
      <c r="U238" s="37">
        <v>1034.3333333333335</v>
      </c>
      <c r="V238">
        <f t="shared" si="46"/>
        <v>1.8779761660527612</v>
      </c>
      <c r="W238">
        <f t="shared" si="56"/>
        <v>1.0086392665088539</v>
      </c>
      <c r="X238" s="28">
        <v>1299.6416666666669</v>
      </c>
      <c r="Y238">
        <f t="shared" si="47"/>
        <v>0.16365386722526584</v>
      </c>
      <c r="Z238">
        <f t="shared" si="49"/>
        <v>6.0627753383822099E-2</v>
      </c>
      <c r="AA238">
        <f t="shared" si="50"/>
        <v>0.43705045117628094</v>
      </c>
      <c r="AB238">
        <f t="shared" si="51"/>
        <v>0.73562586206896541</v>
      </c>
      <c r="AC238">
        <f t="shared" si="52"/>
        <v>8.9315880674951649E-4</v>
      </c>
      <c r="AD238">
        <f t="shared" si="53"/>
        <v>2.207574197349339E-3</v>
      </c>
      <c r="AE238">
        <f t="shared" si="54"/>
        <v>0.24484534321624232</v>
      </c>
      <c r="AF238">
        <f t="shared" si="55"/>
        <v>0.23307215597808567</v>
      </c>
      <c r="AG238">
        <f t="shared" si="48"/>
        <v>1.8779761660527612</v>
      </c>
      <c r="AH238">
        <v>0.26475865499027318</v>
      </c>
      <c r="AI238">
        <v>0.67112998040496408</v>
      </c>
      <c r="AJ238">
        <v>6.7662826105211052E-3</v>
      </c>
      <c r="AK238">
        <v>6.6747587179471039E-3</v>
      </c>
      <c r="AL238">
        <v>0.24169730837678574</v>
      </c>
    </row>
    <row r="239" spans="1:38" x14ac:dyDescent="0.25">
      <c r="A239">
        <v>8</v>
      </c>
      <c r="B239" s="5" t="s">
        <v>35</v>
      </c>
      <c r="C239" s="6" t="s">
        <v>5</v>
      </c>
      <c r="D239" s="6" t="s">
        <v>56</v>
      </c>
      <c r="E239" s="28">
        <v>15883.9</v>
      </c>
      <c r="F239" s="11">
        <v>21</v>
      </c>
      <c r="G239" s="11"/>
      <c r="H239" s="11">
        <f t="shared" si="44"/>
        <v>21</v>
      </c>
      <c r="I239" s="18">
        <v>0</v>
      </c>
      <c r="J239" s="19">
        <v>0</v>
      </c>
      <c r="K239" s="19">
        <v>0</v>
      </c>
      <c r="L239" s="6">
        <v>1658431.375</v>
      </c>
      <c r="M239" s="7">
        <v>614987.875</v>
      </c>
      <c r="N239" s="7">
        <v>3930036.5</v>
      </c>
      <c r="O239" s="7">
        <v>7568715</v>
      </c>
      <c r="P239" s="7">
        <v>9238.2392578125</v>
      </c>
      <c r="Q239" s="7">
        <v>32244.275390625</v>
      </c>
      <c r="R239" s="7">
        <v>2483783</v>
      </c>
      <c r="S239" s="7">
        <v>2437691.5</v>
      </c>
      <c r="T239" s="31">
        <f t="shared" si="45"/>
        <v>1873.5127764648437</v>
      </c>
      <c r="U239" s="37">
        <v>1079.6666666666667</v>
      </c>
      <c r="V239">
        <f t="shared" si="46"/>
        <v>1.7352696293283516</v>
      </c>
      <c r="W239">
        <f t="shared" si="56"/>
        <v>-7.5989535599037136E-2</v>
      </c>
      <c r="X239" s="28">
        <v>1304.0083333333337</v>
      </c>
      <c r="Y239">
        <f t="shared" si="47"/>
        <v>0.15360586986724298</v>
      </c>
      <c r="Z239">
        <f t="shared" si="49"/>
        <v>5.6960902284655751E-2</v>
      </c>
      <c r="AA239">
        <f t="shared" si="50"/>
        <v>0.36400461562210557</v>
      </c>
      <c r="AB239">
        <f t="shared" si="51"/>
        <v>0.70102330966347637</v>
      </c>
      <c r="AC239">
        <f t="shared" si="52"/>
        <v>8.5565661541949661E-4</v>
      </c>
      <c r="AD239">
        <f t="shared" si="53"/>
        <v>2.9865028148155291E-3</v>
      </c>
      <c r="AE239">
        <f t="shared" si="54"/>
        <v>0.23005091077493053</v>
      </c>
      <c r="AF239">
        <f t="shared" si="55"/>
        <v>0.22578186168570546</v>
      </c>
      <c r="AG239">
        <f t="shared" si="48"/>
        <v>1.7352696293283514</v>
      </c>
      <c r="AH239">
        <v>0.26475865499027318</v>
      </c>
      <c r="AI239">
        <v>0.67112998040496408</v>
      </c>
      <c r="AJ239">
        <v>6.7662826105211052E-3</v>
      </c>
      <c r="AK239">
        <v>6.6747587179471039E-3</v>
      </c>
      <c r="AL239">
        <v>0.24169730837678574</v>
      </c>
    </row>
    <row r="240" spans="1:38" x14ac:dyDescent="0.25">
      <c r="A240">
        <v>8</v>
      </c>
      <c r="B240" s="5" t="s">
        <v>35</v>
      </c>
      <c r="C240" s="6" t="s">
        <v>5</v>
      </c>
      <c r="D240" s="6" t="s">
        <v>57</v>
      </c>
      <c r="E240" s="28">
        <v>15883.9</v>
      </c>
      <c r="F240" s="11">
        <v>22</v>
      </c>
      <c r="G240" s="11"/>
      <c r="H240" s="11">
        <f t="shared" si="44"/>
        <v>22</v>
      </c>
      <c r="I240" s="18">
        <v>0</v>
      </c>
      <c r="J240" s="19">
        <v>0</v>
      </c>
      <c r="K240" s="19">
        <v>0</v>
      </c>
      <c r="L240" s="6">
        <v>1646289.75</v>
      </c>
      <c r="M240" s="7">
        <v>638021.75</v>
      </c>
      <c r="N240" s="7">
        <v>2566708.75</v>
      </c>
      <c r="O240" s="7">
        <v>8558775</v>
      </c>
      <c r="P240" s="7">
        <v>9238.2392578125</v>
      </c>
      <c r="Q240" s="7">
        <v>91972.21875</v>
      </c>
      <c r="R240" s="7">
        <v>2577183.5</v>
      </c>
      <c r="S240" s="7">
        <v>2480793.25</v>
      </c>
      <c r="T240" s="31">
        <f t="shared" si="45"/>
        <v>1856.8982458007813</v>
      </c>
      <c r="U240" s="37">
        <v>1125</v>
      </c>
      <c r="V240">
        <f t="shared" si="46"/>
        <v>1.6505762184895834</v>
      </c>
      <c r="W240">
        <f t="shared" si="56"/>
        <v>-4.8807061108739294E-2</v>
      </c>
      <c r="X240" s="28">
        <v>1308.3750000000002</v>
      </c>
      <c r="Y240">
        <f t="shared" si="47"/>
        <v>0.14633686666666668</v>
      </c>
      <c r="Z240">
        <f t="shared" si="49"/>
        <v>5.6713044444444451E-2</v>
      </c>
      <c r="AA240">
        <f t="shared" si="50"/>
        <v>0.22815188888888888</v>
      </c>
      <c r="AB240">
        <f t="shared" si="51"/>
        <v>0.76078000000000001</v>
      </c>
      <c r="AC240">
        <f t="shared" si="52"/>
        <v>8.2117682291666673E-4</v>
      </c>
      <c r="AD240">
        <f t="shared" si="53"/>
        <v>8.1753083333333341E-3</v>
      </c>
      <c r="AE240">
        <f t="shared" si="54"/>
        <v>0.22908297777777781</v>
      </c>
      <c r="AF240">
        <f t="shared" si="55"/>
        <v>0.22051495555555556</v>
      </c>
      <c r="AG240">
        <f t="shared" si="48"/>
        <v>1.6505762184895834</v>
      </c>
      <c r="AH240">
        <v>0.26475865499027318</v>
      </c>
      <c r="AI240">
        <v>0.67112998040496408</v>
      </c>
      <c r="AJ240">
        <v>6.7662826105211052E-3</v>
      </c>
      <c r="AK240">
        <v>6.6747587179471039E-3</v>
      </c>
      <c r="AL240">
        <v>0.24169730837678574</v>
      </c>
    </row>
    <row r="241" spans="1:38" x14ac:dyDescent="0.25">
      <c r="A241">
        <v>8</v>
      </c>
      <c r="B241" s="5" t="s">
        <v>35</v>
      </c>
      <c r="C241" s="6" t="s">
        <v>5</v>
      </c>
      <c r="D241" s="6" t="s">
        <v>58</v>
      </c>
      <c r="E241" s="28">
        <v>15883.9</v>
      </c>
      <c r="F241" s="11">
        <v>23</v>
      </c>
      <c r="G241" s="11"/>
      <c r="H241" s="11">
        <f t="shared" si="44"/>
        <v>23</v>
      </c>
      <c r="I241" s="18">
        <v>0</v>
      </c>
      <c r="J241" s="19">
        <v>0</v>
      </c>
      <c r="K241" s="19">
        <v>0</v>
      </c>
      <c r="L241" s="6">
        <v>1689486.125</v>
      </c>
      <c r="M241" s="7">
        <v>649171.3125</v>
      </c>
      <c r="N241" s="7">
        <v>1676969.25</v>
      </c>
      <c r="O241" s="7">
        <v>7738991</v>
      </c>
      <c r="P241" s="7">
        <v>9238.2392578125</v>
      </c>
      <c r="Q241" s="7">
        <v>126776.421875</v>
      </c>
      <c r="R241" s="7">
        <v>2614343.75</v>
      </c>
      <c r="S241" s="7">
        <v>2551902.25</v>
      </c>
      <c r="T241" s="31">
        <f t="shared" si="45"/>
        <v>1705.6878348632813</v>
      </c>
      <c r="U241" s="37">
        <v>1170.3333333333333</v>
      </c>
      <c r="V241">
        <f t="shared" si="46"/>
        <v>1.4574376259156492</v>
      </c>
      <c r="W241">
        <f t="shared" si="56"/>
        <v>-0.1170128288596526</v>
      </c>
      <c r="X241" s="28">
        <v>1312.7416666666668</v>
      </c>
      <c r="Y241">
        <f t="shared" si="47"/>
        <v>0.14435939547137569</v>
      </c>
      <c r="Z241">
        <f t="shared" si="49"/>
        <v>5.5468924451723162E-2</v>
      </c>
      <c r="AA241">
        <f t="shared" si="50"/>
        <v>0.14328988180005697</v>
      </c>
      <c r="AB241">
        <f t="shared" si="51"/>
        <v>0.66126382796923955</v>
      </c>
      <c r="AC241">
        <f t="shared" si="52"/>
        <v>7.8936820773105949E-4</v>
      </c>
      <c r="AD241">
        <f t="shared" si="53"/>
        <v>1.0832505429364854E-2</v>
      </c>
      <c r="AE241">
        <f t="shared" si="54"/>
        <v>0.22338454144118486</v>
      </c>
      <c r="AF241">
        <f t="shared" si="55"/>
        <v>0.21804918114497296</v>
      </c>
      <c r="AG241">
        <f t="shared" si="48"/>
        <v>1.457437625915649</v>
      </c>
      <c r="AH241">
        <v>0.26475865499027318</v>
      </c>
      <c r="AI241">
        <v>0.67112998040496408</v>
      </c>
      <c r="AJ241">
        <v>6.7662826105211052E-3</v>
      </c>
      <c r="AK241">
        <v>6.6747587179471039E-3</v>
      </c>
      <c r="AL241">
        <v>0.24169730837678574</v>
      </c>
    </row>
    <row r="242" spans="1:38" x14ac:dyDescent="0.25">
      <c r="A242">
        <v>8</v>
      </c>
      <c r="B242" s="5" t="s">
        <v>35</v>
      </c>
      <c r="C242" s="6" t="s">
        <v>5</v>
      </c>
      <c r="D242" s="6" t="s">
        <v>59</v>
      </c>
      <c r="E242" s="28">
        <v>15883.9</v>
      </c>
      <c r="F242" s="11">
        <v>24</v>
      </c>
      <c r="G242" s="11"/>
      <c r="H242" s="11">
        <f t="shared" si="44"/>
        <v>24</v>
      </c>
      <c r="I242" s="18">
        <v>0</v>
      </c>
      <c r="J242" s="19">
        <v>0</v>
      </c>
      <c r="K242" s="19">
        <v>0</v>
      </c>
      <c r="L242" s="6">
        <v>1678034.375</v>
      </c>
      <c r="M242" s="7">
        <v>641781.8125</v>
      </c>
      <c r="N242" s="7">
        <v>1070400</v>
      </c>
      <c r="O242" s="7">
        <v>7671061</v>
      </c>
      <c r="P242" s="7">
        <v>9238.2392578125</v>
      </c>
      <c r="Q242" s="7">
        <v>83464.3359375</v>
      </c>
      <c r="R242" s="7">
        <v>2584380</v>
      </c>
      <c r="S242" s="7">
        <v>2536334</v>
      </c>
      <c r="T242" s="31">
        <f t="shared" si="45"/>
        <v>1627.4693762695313</v>
      </c>
      <c r="U242" s="37">
        <v>1215.6666666666667</v>
      </c>
      <c r="V242">
        <f t="shared" si="46"/>
        <v>1.3387464021959401</v>
      </c>
      <c r="W242">
        <f t="shared" si="56"/>
        <v>-8.1438287038280752E-2</v>
      </c>
      <c r="X242" s="28">
        <v>1317.1083333333336</v>
      </c>
      <c r="Y242">
        <f t="shared" si="47"/>
        <v>0.13803408623526187</v>
      </c>
      <c r="Z242">
        <f t="shared" si="49"/>
        <v>5.2792581231148883E-2</v>
      </c>
      <c r="AA242">
        <f t="shared" si="50"/>
        <v>8.8050452426652034E-2</v>
      </c>
      <c r="AB242">
        <f t="shared" si="51"/>
        <v>0.63101680833561835</v>
      </c>
      <c r="AC242">
        <f t="shared" si="52"/>
        <v>7.5993193785131607E-4</v>
      </c>
      <c r="AD242">
        <f t="shared" si="53"/>
        <v>6.8657254678502876E-3</v>
      </c>
      <c r="AE242">
        <f t="shared" si="54"/>
        <v>0.21258952563751027</v>
      </c>
      <c r="AF242">
        <f t="shared" si="55"/>
        <v>0.20863729092404715</v>
      </c>
      <c r="AG242">
        <f t="shared" si="48"/>
        <v>1.3387464021959401</v>
      </c>
      <c r="AH242">
        <v>0.26475865499027318</v>
      </c>
      <c r="AI242">
        <v>0.67112998040496408</v>
      </c>
      <c r="AJ242">
        <v>6.7662826105211052E-3</v>
      </c>
      <c r="AK242">
        <v>6.6747587179471039E-3</v>
      </c>
      <c r="AL242">
        <v>0.24169730837678574</v>
      </c>
    </row>
    <row r="243" spans="1:38" x14ac:dyDescent="0.25">
      <c r="A243">
        <v>8</v>
      </c>
      <c r="B243" s="5" t="s">
        <v>35</v>
      </c>
      <c r="C243" s="6" t="s">
        <v>5</v>
      </c>
      <c r="D243" s="6" t="s">
        <v>60</v>
      </c>
      <c r="E243" s="28">
        <v>15883.9</v>
      </c>
      <c r="F243" s="11">
        <v>25</v>
      </c>
      <c r="G243" s="11"/>
      <c r="H243" s="11">
        <f t="shared" si="44"/>
        <v>25</v>
      </c>
      <c r="I243" s="18">
        <v>0</v>
      </c>
      <c r="J243" s="19">
        <v>0</v>
      </c>
      <c r="K243" s="19">
        <v>0</v>
      </c>
      <c r="L243" s="6">
        <v>1674611</v>
      </c>
      <c r="M243" s="7">
        <v>645186.3125</v>
      </c>
      <c r="N243" s="7">
        <v>593156.5</v>
      </c>
      <c r="O243" s="7">
        <v>8002594.5</v>
      </c>
      <c r="P243" s="7">
        <v>9238.2392578125</v>
      </c>
      <c r="Q243" s="7">
        <v>40171.1640625</v>
      </c>
      <c r="R243" s="7">
        <v>2597041.75</v>
      </c>
      <c r="S243" s="7">
        <v>2475295</v>
      </c>
      <c r="T243" s="31">
        <f t="shared" si="45"/>
        <v>1603.7294465820312</v>
      </c>
      <c r="U243" s="37">
        <v>1271.7777777777778</v>
      </c>
      <c r="V243">
        <f t="shared" si="46"/>
        <v>1.2610138929965298</v>
      </c>
      <c r="W243">
        <f t="shared" si="56"/>
        <v>-5.8063654977452056E-2</v>
      </c>
      <c r="X243" s="28">
        <v>1321.4750000000001</v>
      </c>
      <c r="Y243">
        <f t="shared" si="47"/>
        <v>0.13167481216145377</v>
      </c>
      <c r="Z243">
        <f t="shared" si="49"/>
        <v>5.0731057247073212E-2</v>
      </c>
      <c r="AA243">
        <f t="shared" si="50"/>
        <v>4.6639948453608249E-2</v>
      </c>
      <c r="AB243">
        <f t="shared" si="51"/>
        <v>0.62924471867901444</v>
      </c>
      <c r="AC243">
        <f t="shared" si="52"/>
        <v>7.2640357609918315E-4</v>
      </c>
      <c r="AD243">
        <f t="shared" si="53"/>
        <v>3.1586622100515465E-3</v>
      </c>
      <c r="AE243">
        <f t="shared" si="54"/>
        <v>0.20420562423554078</v>
      </c>
      <c r="AF243">
        <f t="shared" si="55"/>
        <v>0.19463266643368862</v>
      </c>
      <c r="AG243">
        <f t="shared" si="48"/>
        <v>1.2610138929965298</v>
      </c>
      <c r="AH243">
        <v>0.26475865499027318</v>
      </c>
      <c r="AI243">
        <v>0.67112998040496408</v>
      </c>
      <c r="AJ243">
        <v>6.7662826105211052E-3</v>
      </c>
      <c r="AK243">
        <v>6.6747587179471039E-3</v>
      </c>
      <c r="AL243">
        <v>0.24169730837678574</v>
      </c>
    </row>
    <row r="244" spans="1:38" x14ac:dyDescent="0.25">
      <c r="A244">
        <v>8</v>
      </c>
      <c r="B244" s="5" t="s">
        <v>35</v>
      </c>
      <c r="C244" s="6" t="s">
        <v>5</v>
      </c>
      <c r="D244" s="6" t="s">
        <v>61</v>
      </c>
      <c r="E244" s="28">
        <v>15883.9</v>
      </c>
      <c r="F244" s="11">
        <v>26</v>
      </c>
      <c r="G244" s="11"/>
      <c r="H244" s="11">
        <f t="shared" si="44"/>
        <v>26</v>
      </c>
      <c r="I244" s="18">
        <v>0</v>
      </c>
      <c r="J244" s="19">
        <v>0</v>
      </c>
      <c r="K244" s="19">
        <v>0</v>
      </c>
      <c r="L244" s="6">
        <v>1684066.75</v>
      </c>
      <c r="M244" s="7">
        <v>621492.5</v>
      </c>
      <c r="N244" s="7">
        <v>440405.25</v>
      </c>
      <c r="O244" s="7">
        <v>8987677</v>
      </c>
      <c r="P244" s="7">
        <v>9238.2392578125</v>
      </c>
      <c r="Q244" s="7">
        <v>23621.2890625</v>
      </c>
      <c r="R244" s="7">
        <v>2490742.5</v>
      </c>
      <c r="S244" s="7">
        <v>2434912.75</v>
      </c>
      <c r="T244" s="31">
        <f t="shared" si="45"/>
        <v>1669.2156278320313</v>
      </c>
      <c r="U244" s="37">
        <v>1327.8888888888889</v>
      </c>
      <c r="V244">
        <f t="shared" si="46"/>
        <v>1.257044653207956</v>
      </c>
      <c r="W244">
        <f t="shared" si="56"/>
        <v>-3.147657460887862E-3</v>
      </c>
      <c r="X244" s="28">
        <v>1325.8416666666667</v>
      </c>
      <c r="Y244">
        <f t="shared" si="47"/>
        <v>0.12682286628733999</v>
      </c>
      <c r="Z244">
        <f t="shared" si="49"/>
        <v>4.6803049953978743E-2</v>
      </c>
      <c r="AA244">
        <f t="shared" si="50"/>
        <v>3.3165820851811564E-2</v>
      </c>
      <c r="AB244">
        <f t="shared" si="51"/>
        <v>0.67683953644046524</v>
      </c>
      <c r="AC244">
        <f t="shared" si="52"/>
        <v>6.957087550858715E-4</v>
      </c>
      <c r="AD244">
        <f t="shared" si="53"/>
        <v>1.7788603594887456E-3</v>
      </c>
      <c r="AE244">
        <f t="shared" si="54"/>
        <v>0.18757160488662036</v>
      </c>
      <c r="AF244">
        <f t="shared" si="55"/>
        <v>0.18336720567316542</v>
      </c>
      <c r="AG244">
        <f t="shared" si="48"/>
        <v>1.257044653207956</v>
      </c>
      <c r="AH244">
        <v>0.26475865499027318</v>
      </c>
      <c r="AI244">
        <v>0.67112998040496408</v>
      </c>
      <c r="AJ244">
        <v>6.7662826105211052E-3</v>
      </c>
      <c r="AK244">
        <v>6.6747587179471039E-3</v>
      </c>
      <c r="AL244">
        <v>0.24169730837678574</v>
      </c>
    </row>
    <row r="245" spans="1:38" x14ac:dyDescent="0.25">
      <c r="A245">
        <v>8</v>
      </c>
      <c r="B245" s="5" t="s">
        <v>35</v>
      </c>
      <c r="C245" s="6" t="s">
        <v>5</v>
      </c>
      <c r="D245" s="6" t="s">
        <v>62</v>
      </c>
      <c r="E245" s="28">
        <v>15883.9</v>
      </c>
      <c r="F245" s="11">
        <v>27</v>
      </c>
      <c r="G245" s="11"/>
      <c r="H245" s="11">
        <f t="shared" si="44"/>
        <v>27</v>
      </c>
      <c r="I245" s="18">
        <v>0</v>
      </c>
      <c r="J245" s="19">
        <v>0</v>
      </c>
      <c r="K245" s="19">
        <v>0</v>
      </c>
      <c r="L245" s="6">
        <v>1651020.25</v>
      </c>
      <c r="M245" s="7">
        <v>605205.25</v>
      </c>
      <c r="N245" s="7">
        <v>492498.875</v>
      </c>
      <c r="O245" s="7">
        <v>9565080</v>
      </c>
      <c r="P245" s="7">
        <v>9238.2392578125</v>
      </c>
      <c r="Q245" s="7">
        <v>33168.4921875</v>
      </c>
      <c r="R245" s="7">
        <v>2417010</v>
      </c>
      <c r="S245" s="7">
        <v>2455166.75</v>
      </c>
      <c r="T245" s="31">
        <f t="shared" si="45"/>
        <v>1722.8387856445313</v>
      </c>
      <c r="U245" s="37">
        <v>1384</v>
      </c>
      <c r="V245">
        <f t="shared" si="46"/>
        <v>1.2448257121709041</v>
      </c>
      <c r="W245">
        <f t="shared" si="56"/>
        <v>-9.7203715125547662E-3</v>
      </c>
      <c r="X245" s="28">
        <v>1330.2083333333335</v>
      </c>
      <c r="Y245">
        <f t="shared" si="47"/>
        <v>0.11929337066473988</v>
      </c>
      <c r="Z245">
        <f t="shared" si="49"/>
        <v>4.3728703034682084E-2</v>
      </c>
      <c r="AA245">
        <f t="shared" si="50"/>
        <v>3.5585178829479772E-2</v>
      </c>
      <c r="AB245">
        <f t="shared" si="51"/>
        <v>0.69111849710982665</v>
      </c>
      <c r="AC245">
        <f t="shared" si="52"/>
        <v>6.6750283654714595E-4</v>
      </c>
      <c r="AD245">
        <f t="shared" si="53"/>
        <v>2.3965673545881506E-3</v>
      </c>
      <c r="AE245">
        <f t="shared" si="54"/>
        <v>0.17463945086705202</v>
      </c>
      <c r="AF245">
        <f t="shared" si="55"/>
        <v>0.17739644147398845</v>
      </c>
      <c r="AG245">
        <f t="shared" si="48"/>
        <v>1.2448257121709041</v>
      </c>
      <c r="AH245">
        <v>0.26475865499027318</v>
      </c>
      <c r="AI245">
        <v>0.67112998040496408</v>
      </c>
      <c r="AJ245">
        <v>6.7662826105211052E-3</v>
      </c>
      <c r="AK245">
        <v>6.6747587179471039E-3</v>
      </c>
      <c r="AL245">
        <v>0.24169730837678574</v>
      </c>
    </row>
    <row r="246" spans="1:38" x14ac:dyDescent="0.25">
      <c r="A246">
        <v>8</v>
      </c>
      <c r="B246" s="5" t="s">
        <v>35</v>
      </c>
      <c r="C246" s="6" t="s">
        <v>5</v>
      </c>
      <c r="D246" s="6" t="s">
        <v>63</v>
      </c>
      <c r="E246" s="28">
        <v>15883.9</v>
      </c>
      <c r="F246" s="11">
        <v>28</v>
      </c>
      <c r="G246" s="11"/>
      <c r="H246" s="11">
        <f t="shared" si="44"/>
        <v>28</v>
      </c>
      <c r="I246" s="18">
        <v>0</v>
      </c>
      <c r="J246" s="19">
        <v>0</v>
      </c>
      <c r="K246" s="19">
        <v>0</v>
      </c>
      <c r="L246" s="6">
        <v>1641967</v>
      </c>
      <c r="M246" s="7">
        <v>630512.25</v>
      </c>
      <c r="N246" s="7">
        <v>887497.875</v>
      </c>
      <c r="O246" s="7">
        <v>8369164.5</v>
      </c>
      <c r="P246" s="7">
        <v>9238.2392578125</v>
      </c>
      <c r="Q246" s="7">
        <v>92864.078125</v>
      </c>
      <c r="R246" s="7">
        <v>2525230.5</v>
      </c>
      <c r="S246" s="7">
        <v>2490086.5</v>
      </c>
      <c r="T246" s="31">
        <f t="shared" si="45"/>
        <v>1664.6560942382812</v>
      </c>
      <c r="U246" s="37">
        <v>1526.3333333333333</v>
      </c>
      <c r="V246">
        <f t="shared" si="46"/>
        <v>1.0906242154869719</v>
      </c>
      <c r="W246">
        <f t="shared" si="56"/>
        <v>-0.12387396498664359</v>
      </c>
      <c r="X246" s="28">
        <v>1334.575</v>
      </c>
      <c r="Y246">
        <f t="shared" si="47"/>
        <v>0.10757591177112906</v>
      </c>
      <c r="Z246">
        <f t="shared" si="49"/>
        <v>4.1308948460362531E-2</v>
      </c>
      <c r="AA246">
        <f t="shared" si="50"/>
        <v>5.8145744158113133E-2</v>
      </c>
      <c r="AB246">
        <f t="shared" si="51"/>
        <v>0.54831826818082552</v>
      </c>
      <c r="AC246">
        <f t="shared" si="52"/>
        <v>6.0525699439697533E-4</v>
      </c>
      <c r="AD246">
        <f t="shared" si="53"/>
        <v>6.084128289473684E-3</v>
      </c>
      <c r="AE246">
        <f t="shared" si="54"/>
        <v>0.16544423454902818</v>
      </c>
      <c r="AF246">
        <f t="shared" si="55"/>
        <v>0.16314172308364272</v>
      </c>
      <c r="AG246">
        <f t="shared" si="48"/>
        <v>1.0906242154869719</v>
      </c>
      <c r="AH246">
        <v>0.26475865499027318</v>
      </c>
      <c r="AI246">
        <v>0.67112998040496408</v>
      </c>
      <c r="AJ246">
        <v>6.7662826105211052E-3</v>
      </c>
      <c r="AK246">
        <v>6.6747587179471039E-3</v>
      </c>
      <c r="AL246">
        <v>0.24169730837678574</v>
      </c>
    </row>
    <row r="247" spans="1:38" x14ac:dyDescent="0.25">
      <c r="A247">
        <v>8</v>
      </c>
      <c r="B247" s="5" t="s">
        <v>35</v>
      </c>
      <c r="C247" s="6" t="s">
        <v>5</v>
      </c>
      <c r="D247" s="6" t="s">
        <v>64</v>
      </c>
      <c r="E247" s="28">
        <v>15883.9</v>
      </c>
      <c r="F247" s="11">
        <v>29</v>
      </c>
      <c r="G247" s="11"/>
      <c r="H247" s="11">
        <f t="shared" si="44"/>
        <v>29</v>
      </c>
      <c r="I247" s="18">
        <v>0</v>
      </c>
      <c r="J247" s="19">
        <v>0</v>
      </c>
      <c r="K247" s="19">
        <v>0</v>
      </c>
      <c r="L247" s="6">
        <v>1688452.125</v>
      </c>
      <c r="M247" s="7">
        <v>647451.5</v>
      </c>
      <c r="N247" s="7">
        <v>2005727.5</v>
      </c>
      <c r="O247" s="7">
        <v>8270910</v>
      </c>
      <c r="P247" s="7">
        <v>9238.2392578125</v>
      </c>
      <c r="Q247" s="7">
        <v>128078.109375</v>
      </c>
      <c r="R247" s="7">
        <v>2602537.5</v>
      </c>
      <c r="S247" s="7">
        <v>2560972</v>
      </c>
      <c r="T247" s="31">
        <f t="shared" si="45"/>
        <v>1791.3366973632812</v>
      </c>
      <c r="U247" s="37">
        <v>1668.6666666666667</v>
      </c>
      <c r="V247">
        <f t="shared" si="46"/>
        <v>1.0735138018557417</v>
      </c>
      <c r="W247">
        <f t="shared" si="56"/>
        <v>-1.5688642694945285E-2</v>
      </c>
      <c r="X247" s="28">
        <v>1338.9416666666666</v>
      </c>
      <c r="Y247">
        <f t="shared" si="47"/>
        <v>0.1011857046544147</v>
      </c>
      <c r="Z247">
        <f t="shared" si="49"/>
        <v>3.8800529364762283E-2</v>
      </c>
      <c r="AA247">
        <f t="shared" si="50"/>
        <v>0.12019941070715143</v>
      </c>
      <c r="AB247">
        <f t="shared" si="51"/>
        <v>0.4956598082301239</v>
      </c>
      <c r="AC247">
        <f t="shared" si="52"/>
        <v>5.5362999946938674E-4</v>
      </c>
      <c r="AD247">
        <f t="shared" si="53"/>
        <v>7.6754759913104263E-3</v>
      </c>
      <c r="AE247">
        <f t="shared" si="54"/>
        <v>0.15596509188973232</v>
      </c>
      <c r="AF247">
        <f t="shared" si="55"/>
        <v>0.15347415101877745</v>
      </c>
      <c r="AG247">
        <f t="shared" si="48"/>
        <v>1.073513801855742</v>
      </c>
      <c r="AH247">
        <v>0.26475865499027318</v>
      </c>
      <c r="AI247">
        <v>0.67112998040496408</v>
      </c>
      <c r="AJ247">
        <v>6.7662826105211052E-3</v>
      </c>
      <c r="AK247">
        <v>6.6747587179471039E-3</v>
      </c>
      <c r="AL247">
        <v>0.24169730837678574</v>
      </c>
    </row>
    <row r="248" spans="1:38" x14ac:dyDescent="0.25">
      <c r="A248">
        <v>8</v>
      </c>
      <c r="B248" s="5" t="s">
        <v>35</v>
      </c>
      <c r="C248" s="6" t="s">
        <v>5</v>
      </c>
      <c r="D248" s="6" t="s">
        <v>65</v>
      </c>
      <c r="E248" s="28">
        <v>15883.9</v>
      </c>
      <c r="F248" s="11">
        <v>30</v>
      </c>
      <c r="G248" s="11"/>
      <c r="H248" s="11">
        <f t="shared" si="44"/>
        <v>30</v>
      </c>
      <c r="I248" s="18">
        <v>0</v>
      </c>
      <c r="J248" s="19">
        <v>0</v>
      </c>
      <c r="K248" s="19">
        <v>0</v>
      </c>
      <c r="L248" s="6">
        <v>1681387.125</v>
      </c>
      <c r="M248" s="7">
        <v>643330.1875</v>
      </c>
      <c r="N248" s="7">
        <v>2969602.25</v>
      </c>
      <c r="O248" s="7">
        <v>8839783</v>
      </c>
      <c r="P248" s="7">
        <v>9238.2392578125</v>
      </c>
      <c r="Q248" s="7">
        <v>84517.03125</v>
      </c>
      <c r="R248" s="7">
        <v>2596569.5</v>
      </c>
      <c r="S248" s="7">
        <v>2534394.5</v>
      </c>
      <c r="T248" s="31">
        <f t="shared" si="45"/>
        <v>1935.8821833007812</v>
      </c>
      <c r="U248" s="37">
        <v>1811</v>
      </c>
      <c r="V248">
        <f t="shared" si="46"/>
        <v>1.0689575832693436</v>
      </c>
      <c r="W248">
        <f t="shared" si="56"/>
        <v>-4.2442105341560944E-3</v>
      </c>
      <c r="X248" s="28">
        <v>1343.3083333333334</v>
      </c>
      <c r="Y248">
        <f t="shared" si="47"/>
        <v>9.2843021811154058E-2</v>
      </c>
      <c r="Z248">
        <f t="shared" si="49"/>
        <v>3.552347805080066E-2</v>
      </c>
      <c r="AA248">
        <f t="shared" si="50"/>
        <v>0.16397582827167312</v>
      </c>
      <c r="AB248">
        <f t="shared" si="51"/>
        <v>0.48811612368856988</v>
      </c>
      <c r="AC248">
        <f t="shared" si="52"/>
        <v>5.1011812577650471E-4</v>
      </c>
      <c r="AD248">
        <f t="shared" si="53"/>
        <v>4.6668708586416344E-3</v>
      </c>
      <c r="AE248">
        <f t="shared" si="54"/>
        <v>0.14337766427388182</v>
      </c>
      <c r="AF248">
        <f t="shared" si="55"/>
        <v>0.13994447818884595</v>
      </c>
      <c r="AG248">
        <f t="shared" si="48"/>
        <v>1.0689575832693436</v>
      </c>
      <c r="AH248">
        <v>0.26475865499027318</v>
      </c>
      <c r="AI248">
        <v>0.67112998040496408</v>
      </c>
      <c r="AJ248">
        <v>6.7662826105211052E-3</v>
      </c>
      <c r="AK248">
        <v>6.6747587179471039E-3</v>
      </c>
      <c r="AL248">
        <v>0.24169730837678574</v>
      </c>
    </row>
    <row r="249" spans="1:38" x14ac:dyDescent="0.25">
      <c r="A249">
        <v>8</v>
      </c>
      <c r="B249" s="5" t="s">
        <v>35</v>
      </c>
      <c r="C249" s="6" t="s">
        <v>5</v>
      </c>
      <c r="D249" s="6" t="s">
        <v>66</v>
      </c>
      <c r="E249" s="28">
        <v>15883.9</v>
      </c>
      <c r="F249" s="11">
        <v>31</v>
      </c>
      <c r="G249" s="11"/>
      <c r="H249" s="11">
        <f t="shared" si="44"/>
        <v>31</v>
      </c>
      <c r="I249" s="18">
        <v>0</v>
      </c>
      <c r="J249" s="19">
        <v>0</v>
      </c>
      <c r="K249" s="19">
        <v>0</v>
      </c>
      <c r="L249" s="6">
        <v>1682235.25</v>
      </c>
      <c r="M249" s="7">
        <v>648272.625</v>
      </c>
      <c r="N249" s="7">
        <v>4483874</v>
      </c>
      <c r="O249" s="7">
        <v>9836393</v>
      </c>
      <c r="P249" s="7">
        <v>9242.673828125</v>
      </c>
      <c r="Q249" s="7">
        <v>39857.6171875</v>
      </c>
      <c r="R249" s="7">
        <v>2621958.25</v>
      </c>
      <c r="S249" s="7">
        <v>2459465.5</v>
      </c>
      <c r="T249" s="31">
        <f t="shared" si="45"/>
        <v>2178.1298916015626</v>
      </c>
      <c r="U249" s="37">
        <v>1953.3333333333333</v>
      </c>
      <c r="V249">
        <f t="shared" si="46"/>
        <v>1.1150835622533597</v>
      </c>
      <c r="W249">
        <f t="shared" si="56"/>
        <v>4.31504296390718E-2</v>
      </c>
      <c r="X249" s="28">
        <v>1347.675</v>
      </c>
      <c r="Y249">
        <f t="shared" si="47"/>
        <v>8.6121258532423209E-2</v>
      </c>
      <c r="Z249">
        <f t="shared" si="49"/>
        <v>3.3188018344709899E-2</v>
      </c>
      <c r="AA249">
        <f t="shared" si="50"/>
        <v>0.22954986348122866</v>
      </c>
      <c r="AB249">
        <f t="shared" si="51"/>
        <v>0.50356960750853241</v>
      </c>
      <c r="AC249">
        <f t="shared" si="52"/>
        <v>4.7317442806100687E-4</v>
      </c>
      <c r="AD249">
        <f t="shared" si="53"/>
        <v>2.0404923474829353E-3</v>
      </c>
      <c r="AE249">
        <f t="shared" si="54"/>
        <v>0.13422994453924914</v>
      </c>
      <c r="AF249">
        <f t="shared" si="55"/>
        <v>0.12591120307167236</v>
      </c>
      <c r="AG249">
        <f t="shared" si="48"/>
        <v>1.1150835622533597</v>
      </c>
      <c r="AH249">
        <v>0.26475865499027318</v>
      </c>
      <c r="AI249">
        <v>0.67112998040496408</v>
      </c>
      <c r="AJ249">
        <v>6.7662826105211052E-3</v>
      </c>
      <c r="AK249">
        <v>6.6747587179471039E-3</v>
      </c>
      <c r="AL249">
        <v>0.24169730837678574</v>
      </c>
    </row>
    <row r="250" spans="1:38" x14ac:dyDescent="0.25">
      <c r="A250">
        <v>9</v>
      </c>
      <c r="B250" s="5" t="s">
        <v>4</v>
      </c>
      <c r="C250" s="6" t="s">
        <v>5</v>
      </c>
      <c r="D250" s="6" t="s">
        <v>36</v>
      </c>
      <c r="E250" s="28">
        <v>43214.85</v>
      </c>
      <c r="F250" s="11">
        <v>1</v>
      </c>
      <c r="G250" s="11">
        <v>14</v>
      </c>
      <c r="H250" s="18">
        <f t="shared" si="44"/>
        <v>-13</v>
      </c>
      <c r="I250" s="18">
        <v>1</v>
      </c>
      <c r="J250" s="19">
        <v>0.48093841642228741</v>
      </c>
      <c r="K250" s="19">
        <v>2.7</v>
      </c>
      <c r="L250" s="14">
        <v>2955987.5</v>
      </c>
      <c r="M250" s="16">
        <v>1354071.125</v>
      </c>
      <c r="N250" s="16">
        <v>879353.8125</v>
      </c>
      <c r="O250" s="16">
        <v>2981629</v>
      </c>
      <c r="P250" s="16">
        <v>6534.5517578125</v>
      </c>
      <c r="Q250" s="16">
        <v>1475.970703125</v>
      </c>
      <c r="R250" s="16">
        <v>5724342</v>
      </c>
      <c r="S250" s="16">
        <v>1589208.75</v>
      </c>
      <c r="T250" s="31">
        <f t="shared" si="45"/>
        <v>1549.2602709960938</v>
      </c>
      <c r="U250" s="37"/>
      <c r="X250" s="28">
        <v>3442.3529166666667</v>
      </c>
      <c r="Y250" t="e">
        <f t="shared" si="47"/>
        <v>#DIV/0!</v>
      </c>
      <c r="Z250" t="e">
        <f t="shared" si="49"/>
        <v>#DIV/0!</v>
      </c>
      <c r="AA250" t="e">
        <f t="shared" si="50"/>
        <v>#DIV/0!</v>
      </c>
      <c r="AB250" t="e">
        <f t="shared" si="51"/>
        <v>#DIV/0!</v>
      </c>
      <c r="AC250" t="e">
        <f t="shared" si="52"/>
        <v>#DIV/0!</v>
      </c>
      <c r="AD250" t="e">
        <f t="shared" si="53"/>
        <v>#DIV/0!</v>
      </c>
      <c r="AE250" t="e">
        <f t="shared" si="54"/>
        <v>#DIV/0!</v>
      </c>
      <c r="AF250" t="e">
        <f t="shared" si="55"/>
        <v>#DIV/0!</v>
      </c>
      <c r="AG250" t="e">
        <f t="shared" si="48"/>
        <v>#DIV/0!</v>
      </c>
      <c r="AH250">
        <v>0.26438596917494794</v>
      </c>
      <c r="AI250">
        <v>0.89312977099236646</v>
      </c>
      <c r="AJ250">
        <v>0.2977628902978825</v>
      </c>
      <c r="AK250">
        <v>1.6159475272967509E-2</v>
      </c>
      <c r="AL250">
        <v>0.92182766645395597</v>
      </c>
    </row>
    <row r="251" spans="1:38" x14ac:dyDescent="0.25">
      <c r="A251">
        <v>9</v>
      </c>
      <c r="B251" s="5" t="s">
        <v>4</v>
      </c>
      <c r="C251" s="6" t="s">
        <v>5</v>
      </c>
      <c r="D251" s="6" t="s">
        <v>37</v>
      </c>
      <c r="E251" s="28">
        <v>43214.85</v>
      </c>
      <c r="F251" s="11">
        <v>2</v>
      </c>
      <c r="G251" s="11">
        <v>14</v>
      </c>
      <c r="H251" s="11">
        <f t="shared" si="44"/>
        <v>-12</v>
      </c>
      <c r="I251" s="18">
        <v>1</v>
      </c>
      <c r="J251" s="19">
        <v>0.48093841642228741</v>
      </c>
      <c r="K251" s="19">
        <v>2.7</v>
      </c>
      <c r="L251" s="6">
        <v>3210785.25</v>
      </c>
      <c r="M251" s="7">
        <v>1301010.375</v>
      </c>
      <c r="N251" s="7">
        <v>879353.8125</v>
      </c>
      <c r="O251" s="7">
        <v>2861096</v>
      </c>
      <c r="P251" s="7">
        <v>6534.5517578125</v>
      </c>
      <c r="Q251" s="7">
        <v>867.837890625</v>
      </c>
      <c r="R251" s="7">
        <v>5808798</v>
      </c>
      <c r="S251" s="7">
        <v>1559970.875</v>
      </c>
      <c r="T251" s="31">
        <f t="shared" si="45"/>
        <v>1562.8416702148438</v>
      </c>
      <c r="U251" s="37">
        <v>3862.8333333333335</v>
      </c>
      <c r="V251">
        <f t="shared" si="46"/>
        <v>0.40458428706429056</v>
      </c>
      <c r="W251" t="e">
        <f>(V251-V250)/V250</f>
        <v>#DIV/0!</v>
      </c>
      <c r="X251" s="28">
        <v>3833.175416666666</v>
      </c>
      <c r="Y251">
        <f t="shared" si="47"/>
        <v>8.3119952970617417E-2</v>
      </c>
      <c r="Z251">
        <f t="shared" si="49"/>
        <v>3.3680209906372702E-2</v>
      </c>
      <c r="AA251">
        <f t="shared" si="50"/>
        <v>2.2764477175648268E-2</v>
      </c>
      <c r="AB251">
        <f t="shared" si="51"/>
        <v>7.4067290848686199E-2</v>
      </c>
      <c r="AC251">
        <f t="shared" si="52"/>
        <v>1.6916473463724814E-4</v>
      </c>
      <c r="AD251">
        <f t="shared" si="53"/>
        <v>2.24663560588083E-5</v>
      </c>
      <c r="AE251">
        <f t="shared" si="54"/>
        <v>0.15037661474737885</v>
      </c>
      <c r="AF251">
        <f t="shared" si="55"/>
        <v>4.0384110324891052E-2</v>
      </c>
      <c r="AG251">
        <f t="shared" si="48"/>
        <v>0.40458428706429056</v>
      </c>
      <c r="AH251">
        <v>0.26438596917494794</v>
      </c>
      <c r="AI251">
        <v>0.89312977099236646</v>
      </c>
      <c r="AJ251">
        <v>0.2977628902978825</v>
      </c>
      <c r="AK251">
        <v>1.6159475272967509E-2</v>
      </c>
      <c r="AL251">
        <v>0.92182766645395597</v>
      </c>
    </row>
    <row r="252" spans="1:38" x14ac:dyDescent="0.25">
      <c r="A252">
        <v>9</v>
      </c>
      <c r="B252" s="5" t="s">
        <v>4</v>
      </c>
      <c r="C252" s="6" t="s">
        <v>5</v>
      </c>
      <c r="D252" s="6" t="s">
        <v>38</v>
      </c>
      <c r="E252" s="28">
        <v>43214.85</v>
      </c>
      <c r="F252" s="11">
        <v>3</v>
      </c>
      <c r="G252" s="11">
        <v>14</v>
      </c>
      <c r="H252" s="11">
        <f t="shared" si="44"/>
        <v>-11</v>
      </c>
      <c r="I252" s="18">
        <v>1</v>
      </c>
      <c r="J252" s="19">
        <v>0.48093841642228741</v>
      </c>
      <c r="K252" s="19">
        <v>2.7</v>
      </c>
      <c r="L252" s="6">
        <v>3209536.25</v>
      </c>
      <c r="M252" s="7">
        <v>1264447.125</v>
      </c>
      <c r="N252" s="7">
        <v>879353.8125</v>
      </c>
      <c r="O252" s="7">
        <v>2778290.5</v>
      </c>
      <c r="P252" s="7">
        <v>6534.5517578125</v>
      </c>
      <c r="Q252" s="7">
        <v>1218.61596679688</v>
      </c>
      <c r="R252" s="7">
        <v>5516972.5</v>
      </c>
      <c r="S252" s="7">
        <v>1575580.25</v>
      </c>
      <c r="T252" s="31">
        <f t="shared" si="45"/>
        <v>1523.193360522461</v>
      </c>
      <c r="U252" s="37">
        <v>3901.3333333333335</v>
      </c>
      <c r="V252">
        <f t="shared" si="46"/>
        <v>0.39042892016125963</v>
      </c>
      <c r="W252">
        <f t="shared" ref="W252:W280" si="57">(V252-V251)/V251</f>
        <v>-3.4987436130413954E-2</v>
      </c>
      <c r="X252" s="28">
        <v>4223.9979166666653</v>
      </c>
      <c r="Y252">
        <f t="shared" si="47"/>
        <v>8.2267675580997943E-2</v>
      </c>
      <c r="Z252">
        <f t="shared" si="49"/>
        <v>3.2410640592959672E-2</v>
      </c>
      <c r="AA252">
        <f t="shared" si="50"/>
        <v>2.253982772983595E-2</v>
      </c>
      <c r="AB252">
        <f t="shared" si="51"/>
        <v>7.1213871326042372E-2</v>
      </c>
      <c r="AC252">
        <f t="shared" si="52"/>
        <v>1.6749534580859108E-4</v>
      </c>
      <c r="AD252">
        <f t="shared" si="53"/>
        <v>3.1235884316393023E-5</v>
      </c>
      <c r="AE252">
        <f t="shared" si="54"/>
        <v>0.14141248718386876</v>
      </c>
      <c r="AF252">
        <f t="shared" si="55"/>
        <v>4.0385686517429936E-2</v>
      </c>
      <c r="AG252">
        <f t="shared" si="48"/>
        <v>0.39042892016125963</v>
      </c>
      <c r="AH252">
        <v>0.26438596917494794</v>
      </c>
      <c r="AI252">
        <v>0.89312977099236646</v>
      </c>
      <c r="AJ252">
        <v>0.2977628902978825</v>
      </c>
      <c r="AK252">
        <v>1.6159475272967509E-2</v>
      </c>
      <c r="AL252">
        <v>0.92182766645395597</v>
      </c>
    </row>
    <row r="253" spans="1:38" x14ac:dyDescent="0.25">
      <c r="A253">
        <v>9</v>
      </c>
      <c r="B253" s="5" t="s">
        <v>4</v>
      </c>
      <c r="C253" s="6" t="s">
        <v>5</v>
      </c>
      <c r="D253" s="6" t="s">
        <v>39</v>
      </c>
      <c r="E253" s="28">
        <v>43214.85</v>
      </c>
      <c r="F253" s="11">
        <v>4</v>
      </c>
      <c r="G253" s="11">
        <v>14</v>
      </c>
      <c r="H253" s="11">
        <f t="shared" si="44"/>
        <v>-10</v>
      </c>
      <c r="I253" s="18">
        <v>1</v>
      </c>
      <c r="J253" s="19">
        <v>0.48093841642228741</v>
      </c>
      <c r="K253" s="19">
        <v>2.7</v>
      </c>
      <c r="L253" s="6">
        <v>3050495.75</v>
      </c>
      <c r="M253" s="7">
        <v>1319082.375</v>
      </c>
      <c r="N253" s="7">
        <v>879353.8125</v>
      </c>
      <c r="O253" s="7">
        <v>2901100.25</v>
      </c>
      <c r="P253" s="7">
        <v>6534.5517578125</v>
      </c>
      <c r="Q253" s="7">
        <v>3412.00708007812</v>
      </c>
      <c r="R253" s="7">
        <v>5435784.5</v>
      </c>
      <c r="S253" s="7">
        <v>1600965</v>
      </c>
      <c r="T253" s="31">
        <f t="shared" si="45"/>
        <v>1519.6728246337891</v>
      </c>
      <c r="U253" s="37">
        <v>4113.1111111111113</v>
      </c>
      <c r="V253">
        <f t="shared" si="46"/>
        <v>0.36947040417375604</v>
      </c>
      <c r="W253">
        <f t="shared" si="57"/>
        <v>-5.3680746751155251E-2</v>
      </c>
      <c r="X253" s="28">
        <v>4614.8204166666656</v>
      </c>
      <c r="Y253">
        <f t="shared" si="47"/>
        <v>7.4165167621157269E-2</v>
      </c>
      <c r="Z253">
        <f t="shared" si="49"/>
        <v>3.2070185787995031E-2</v>
      </c>
      <c r="AA253">
        <f t="shared" si="50"/>
        <v>2.1379286597060888E-2</v>
      </c>
      <c r="AB253">
        <f t="shared" si="51"/>
        <v>7.053299003187638E-2</v>
      </c>
      <c r="AC253">
        <f t="shared" si="52"/>
        <v>1.5887126754636258E-4</v>
      </c>
      <c r="AD253">
        <f t="shared" si="53"/>
        <v>8.2954410612953367E-5</v>
      </c>
      <c r="AE253">
        <f t="shared" si="54"/>
        <v>0.13215749230104273</v>
      </c>
      <c r="AF253">
        <f t="shared" si="55"/>
        <v>3.892345615646442E-2</v>
      </c>
      <c r="AG253">
        <f t="shared" si="48"/>
        <v>0.36947040417375604</v>
      </c>
      <c r="AH253">
        <v>0.26438596917494794</v>
      </c>
      <c r="AI253">
        <v>0.89312977099236646</v>
      </c>
      <c r="AJ253">
        <v>0.2977628902978825</v>
      </c>
      <c r="AK253">
        <v>1.6159475272967509E-2</v>
      </c>
      <c r="AL253">
        <v>0.92182766645395597</v>
      </c>
    </row>
    <row r="254" spans="1:38" x14ac:dyDescent="0.25">
      <c r="A254">
        <v>9</v>
      </c>
      <c r="B254" s="5" t="s">
        <v>4</v>
      </c>
      <c r="C254" s="6" t="s">
        <v>5</v>
      </c>
      <c r="D254" s="6" t="s">
        <v>40</v>
      </c>
      <c r="E254" s="28">
        <v>43214.85</v>
      </c>
      <c r="F254" s="11">
        <v>5</v>
      </c>
      <c r="G254" s="11">
        <v>14</v>
      </c>
      <c r="H254" s="11">
        <f t="shared" si="44"/>
        <v>-9</v>
      </c>
      <c r="I254" s="18">
        <v>1</v>
      </c>
      <c r="J254" s="19">
        <v>0.48093841642228741</v>
      </c>
      <c r="K254" s="19">
        <v>2.7</v>
      </c>
      <c r="L254" s="6">
        <v>3456839.75</v>
      </c>
      <c r="M254" s="7">
        <v>1356696.25</v>
      </c>
      <c r="N254" s="7">
        <v>879353.8125</v>
      </c>
      <c r="O254" s="7">
        <v>2986740.75</v>
      </c>
      <c r="P254" s="7">
        <v>6534.5517578125</v>
      </c>
      <c r="Q254" s="7">
        <v>4705.83203125</v>
      </c>
      <c r="R254" s="7">
        <v>5844210</v>
      </c>
      <c r="S254" s="7">
        <v>1656943.125</v>
      </c>
      <c r="T254" s="31">
        <f t="shared" si="45"/>
        <v>1619.2024071289063</v>
      </c>
      <c r="U254" s="37">
        <v>4324.8888888888896</v>
      </c>
      <c r="V254">
        <f t="shared" si="46"/>
        <v>0.37439167773507742</v>
      </c>
      <c r="W254">
        <f t="shared" si="57"/>
        <v>1.3319804524876059E-2</v>
      </c>
      <c r="X254" s="28">
        <v>5005.6429166666649</v>
      </c>
      <c r="Y254">
        <f t="shared" si="47"/>
        <v>7.9928984045832902E-2</v>
      </c>
      <c r="Z254">
        <f t="shared" si="49"/>
        <v>3.1369505318055699E-2</v>
      </c>
      <c r="AA254">
        <f t="shared" si="50"/>
        <v>2.0332402405970607E-2</v>
      </c>
      <c r="AB254">
        <f t="shared" si="51"/>
        <v>6.9059363760147971E-2</v>
      </c>
      <c r="AC254">
        <f t="shared" si="52"/>
        <v>1.5109178352767569E-4</v>
      </c>
      <c r="AD254">
        <f t="shared" si="53"/>
        <v>1.0880816021285067E-4</v>
      </c>
      <c r="AE254">
        <f t="shared" si="54"/>
        <v>0.13512971431507551</v>
      </c>
      <c r="AF254">
        <f t="shared" si="55"/>
        <v>3.8311807946254231E-2</v>
      </c>
      <c r="AG254">
        <f t="shared" si="48"/>
        <v>0.37439167773507742</v>
      </c>
      <c r="AH254">
        <v>0.26438596917494794</v>
      </c>
      <c r="AI254">
        <v>0.89312977099236646</v>
      </c>
      <c r="AJ254">
        <v>0.2977628902978825</v>
      </c>
      <c r="AK254">
        <v>1.6159475272967509E-2</v>
      </c>
      <c r="AL254">
        <v>0.92182766645395597</v>
      </c>
    </row>
    <row r="255" spans="1:38" x14ac:dyDescent="0.25">
      <c r="A255">
        <v>9</v>
      </c>
      <c r="B255" s="5" t="s">
        <v>4</v>
      </c>
      <c r="C255" s="6" t="s">
        <v>5</v>
      </c>
      <c r="D255" s="6" t="s">
        <v>41</v>
      </c>
      <c r="E255" s="28">
        <v>43214.85</v>
      </c>
      <c r="F255" s="11">
        <v>6</v>
      </c>
      <c r="G255" s="11">
        <v>14</v>
      </c>
      <c r="H255" s="11">
        <f t="shared" si="44"/>
        <v>-8</v>
      </c>
      <c r="I255" s="18">
        <v>1</v>
      </c>
      <c r="J255" s="19">
        <v>0.48093841642228741</v>
      </c>
      <c r="K255" s="19">
        <v>2.7</v>
      </c>
      <c r="L255" s="6">
        <v>3652101.5</v>
      </c>
      <c r="M255" s="7">
        <v>1350953.5</v>
      </c>
      <c r="N255" s="7">
        <v>879353.8125</v>
      </c>
      <c r="O255" s="7">
        <v>2978003.5</v>
      </c>
      <c r="P255" s="7">
        <v>6534.5517578125</v>
      </c>
      <c r="Q255" s="7">
        <v>3105.29663085938</v>
      </c>
      <c r="R255" s="7">
        <v>5781012.5</v>
      </c>
      <c r="S255" s="7">
        <v>1634205.625</v>
      </c>
      <c r="T255" s="31">
        <f t="shared" si="45"/>
        <v>1628.5270285888671</v>
      </c>
      <c r="U255" s="37">
        <v>4536.666666666667</v>
      </c>
      <c r="V255">
        <f t="shared" si="46"/>
        <v>0.35896995486896405</v>
      </c>
      <c r="W255">
        <f t="shared" si="57"/>
        <v>-4.1191414722166739E-2</v>
      </c>
      <c r="X255" s="28">
        <v>5396.4654166666642</v>
      </c>
      <c r="Y255">
        <f t="shared" si="47"/>
        <v>8.0501869948567228E-2</v>
      </c>
      <c r="Z255">
        <f t="shared" si="49"/>
        <v>2.9778548861131519E-2</v>
      </c>
      <c r="AA255">
        <f t="shared" si="50"/>
        <v>1.9383258174136664E-2</v>
      </c>
      <c r="AB255">
        <f t="shared" si="51"/>
        <v>6.5642986774430562E-2</v>
      </c>
      <c r="AC255">
        <f t="shared" si="52"/>
        <v>1.4403861332430197E-4</v>
      </c>
      <c r="AD255">
        <f t="shared" si="53"/>
        <v>6.8448860342234675E-5</v>
      </c>
      <c r="AE255">
        <f t="shared" si="54"/>
        <v>0.12742863703159441</v>
      </c>
      <c r="AF255">
        <f t="shared" si="55"/>
        <v>3.6022166605437181E-2</v>
      </c>
      <c r="AG255">
        <f t="shared" si="48"/>
        <v>0.35896995486896405</v>
      </c>
      <c r="AH255">
        <v>0.26438596917494794</v>
      </c>
      <c r="AI255">
        <v>0.89312977099236646</v>
      </c>
      <c r="AJ255">
        <v>0.2977628902978825</v>
      </c>
      <c r="AK255">
        <v>1.6159475272967509E-2</v>
      </c>
      <c r="AL255">
        <v>0.92182766645395597</v>
      </c>
    </row>
    <row r="256" spans="1:38" x14ac:dyDescent="0.25">
      <c r="A256">
        <v>9</v>
      </c>
      <c r="B256" s="5" t="s">
        <v>4</v>
      </c>
      <c r="C256" s="6" t="s">
        <v>5</v>
      </c>
      <c r="D256" s="6" t="s">
        <v>42</v>
      </c>
      <c r="E256" s="28">
        <v>43214.85</v>
      </c>
      <c r="F256" s="11">
        <v>7</v>
      </c>
      <c r="G256" s="11">
        <v>14</v>
      </c>
      <c r="H256" s="11">
        <f t="shared" si="44"/>
        <v>-7</v>
      </c>
      <c r="I256" s="18">
        <v>1</v>
      </c>
      <c r="J256" s="19">
        <v>0.48093841642228741</v>
      </c>
      <c r="K256" s="19">
        <v>2.7</v>
      </c>
      <c r="L256" s="6">
        <v>4460626.5</v>
      </c>
      <c r="M256" s="7">
        <v>1362734.25</v>
      </c>
      <c r="N256" s="7">
        <v>879775.9375</v>
      </c>
      <c r="O256" s="7">
        <v>3006216.5</v>
      </c>
      <c r="P256" s="7">
        <v>6537.6884765625</v>
      </c>
      <c r="Q256" s="7">
        <v>1464.51318359375</v>
      </c>
      <c r="R256" s="7">
        <v>5783208.5</v>
      </c>
      <c r="S256" s="7">
        <v>1576849.75</v>
      </c>
      <c r="T256" s="31">
        <f t="shared" si="45"/>
        <v>1707.7413639160156</v>
      </c>
      <c r="U256" s="37">
        <v>4748.4444444444443</v>
      </c>
      <c r="V256">
        <f t="shared" si="46"/>
        <v>0.3596422752537472</v>
      </c>
      <c r="W256">
        <f t="shared" si="57"/>
        <v>1.8729154784794539E-3</v>
      </c>
      <c r="X256" s="28">
        <v>5787.2879166666644</v>
      </c>
      <c r="Y256">
        <f t="shared" si="47"/>
        <v>9.3938689863347066E-2</v>
      </c>
      <c r="Z256">
        <f t="shared" si="49"/>
        <v>2.8698540457693746E-2</v>
      </c>
      <c r="AA256">
        <f t="shared" si="50"/>
        <v>1.8527666224026584E-2</v>
      </c>
      <c r="AB256">
        <f t="shared" si="51"/>
        <v>6.3309501357169604E-2</v>
      </c>
      <c r="AC256">
        <f t="shared" si="52"/>
        <v>1.376806352701762E-4</v>
      </c>
      <c r="AD256">
        <f t="shared" si="53"/>
        <v>3.0841956786652353E-5</v>
      </c>
      <c r="AE256">
        <f t="shared" si="54"/>
        <v>0.12179164287719954</v>
      </c>
      <c r="AF256">
        <f t="shared" si="55"/>
        <v>3.320771188225384E-2</v>
      </c>
      <c r="AG256">
        <f t="shared" si="48"/>
        <v>0.3596422752537472</v>
      </c>
      <c r="AH256">
        <v>0.26438596917494794</v>
      </c>
      <c r="AI256">
        <v>0.89312977099236646</v>
      </c>
      <c r="AJ256">
        <v>0.2977628902978825</v>
      </c>
      <c r="AK256">
        <v>1.6159475272967509E-2</v>
      </c>
      <c r="AL256">
        <v>0.92182766645395597</v>
      </c>
    </row>
    <row r="257" spans="1:38" x14ac:dyDescent="0.25">
      <c r="A257">
        <v>9</v>
      </c>
      <c r="B257" s="5" t="s">
        <v>4</v>
      </c>
      <c r="C257" s="6" t="s">
        <v>5</v>
      </c>
      <c r="D257" s="6" t="s">
        <v>43</v>
      </c>
      <c r="E257" s="28">
        <v>44652.800000000003</v>
      </c>
      <c r="F257" s="11">
        <v>8</v>
      </c>
      <c r="G257" s="11">
        <v>14</v>
      </c>
      <c r="H257" s="18">
        <f t="shared" si="44"/>
        <v>-6</v>
      </c>
      <c r="I257" s="18">
        <v>1</v>
      </c>
      <c r="J257" s="19">
        <v>0.48093841642228741</v>
      </c>
      <c r="K257" s="19">
        <v>2.7</v>
      </c>
      <c r="L257" s="14">
        <v>3136607.5</v>
      </c>
      <c r="M257" s="16">
        <v>1247000.125</v>
      </c>
      <c r="N257" s="16">
        <v>865668.4375</v>
      </c>
      <c r="O257" s="16">
        <v>2920014.5</v>
      </c>
      <c r="P257" s="16">
        <v>6683.4853515625</v>
      </c>
      <c r="Q257" s="16">
        <v>748.3193359375</v>
      </c>
      <c r="R257" s="16">
        <v>6036626.5</v>
      </c>
      <c r="S257" s="16">
        <v>1447848.625</v>
      </c>
      <c r="T257" s="31">
        <f t="shared" si="45"/>
        <v>1566.11974921875</v>
      </c>
      <c r="U257" s="37">
        <v>3731.8888888888887</v>
      </c>
      <c r="V257">
        <f t="shared" si="46"/>
        <v>0.41965872935864323</v>
      </c>
      <c r="W257">
        <f t="shared" si="57"/>
        <v>0.16687819601450124</v>
      </c>
      <c r="X257" s="28">
        <v>3204.2791666666667</v>
      </c>
      <c r="Y257">
        <f t="shared" si="47"/>
        <v>8.4048791198975806E-2</v>
      </c>
      <c r="Z257">
        <f t="shared" si="49"/>
        <v>3.3414717375770391E-2</v>
      </c>
      <c r="AA257">
        <f t="shared" si="50"/>
        <v>2.319652227796469E-2</v>
      </c>
      <c r="AB257">
        <f t="shared" si="51"/>
        <v>7.8244947449906219E-2</v>
      </c>
      <c r="AC257">
        <f t="shared" si="52"/>
        <v>1.7909122030566142E-4</v>
      </c>
      <c r="AD257">
        <f t="shared" si="53"/>
        <v>2.0052026151301099E-5</v>
      </c>
      <c r="AE257">
        <f t="shared" si="54"/>
        <v>0.16175793759490278</v>
      </c>
      <c r="AF257">
        <f t="shared" si="55"/>
        <v>3.8796670214666394E-2</v>
      </c>
      <c r="AG257">
        <f t="shared" si="48"/>
        <v>0.41965872935864323</v>
      </c>
      <c r="AH257">
        <v>0.25499856671922028</v>
      </c>
      <c r="AI257">
        <v>0.89333333333333331</v>
      </c>
      <c r="AJ257">
        <v>0.29608804880966622</v>
      </c>
      <c r="AK257">
        <v>1.7154447201519277E-2</v>
      </c>
      <c r="AL257">
        <v>0.80996486745448737</v>
      </c>
    </row>
    <row r="258" spans="1:38" x14ac:dyDescent="0.25">
      <c r="A258">
        <v>9</v>
      </c>
      <c r="B258" s="5" t="s">
        <v>4</v>
      </c>
      <c r="C258" s="6" t="s">
        <v>5</v>
      </c>
      <c r="D258" s="6" t="s">
        <v>44</v>
      </c>
      <c r="E258" s="28">
        <v>44652.800000000003</v>
      </c>
      <c r="F258" s="11">
        <v>9</v>
      </c>
      <c r="G258" s="11">
        <v>14</v>
      </c>
      <c r="H258" s="11">
        <f t="shared" ref="H258:H321" si="58">F258-G258</f>
        <v>-5</v>
      </c>
      <c r="I258" s="18">
        <v>1</v>
      </c>
      <c r="J258" s="19">
        <v>0.48093841642228741</v>
      </c>
      <c r="K258" s="19">
        <v>2.7</v>
      </c>
      <c r="L258" s="6">
        <v>3121065.25</v>
      </c>
      <c r="M258" s="7">
        <v>1222264.75</v>
      </c>
      <c r="N258" s="7">
        <v>865668.4375</v>
      </c>
      <c r="O258" s="7">
        <v>2861781.25</v>
      </c>
      <c r="P258" s="7">
        <v>6683.4853515625</v>
      </c>
      <c r="Q258" s="7">
        <v>1056.712890625</v>
      </c>
      <c r="R258" s="7">
        <v>5725372.5</v>
      </c>
      <c r="S258" s="7">
        <v>1463749.75</v>
      </c>
      <c r="T258" s="31">
        <f t="shared" ref="T258:T321" si="59">SUM(L258:S258)/10000</f>
        <v>1526.7642135742187</v>
      </c>
      <c r="U258" s="37">
        <v>3650</v>
      </c>
      <c r="V258">
        <f t="shared" si="46"/>
        <v>0.41829156536279966</v>
      </c>
      <c r="W258">
        <f t="shared" si="57"/>
        <v>-3.257799493252507E-3</v>
      </c>
      <c r="X258" s="28">
        <v>3300.6091666666666</v>
      </c>
      <c r="Y258">
        <f t="shared" si="47"/>
        <v>8.5508636986301373E-2</v>
      </c>
      <c r="Z258">
        <f t="shared" si="49"/>
        <v>3.3486705479452053E-2</v>
      </c>
      <c r="AA258">
        <f t="shared" si="50"/>
        <v>2.3716943493150684E-2</v>
      </c>
      <c r="AB258">
        <f t="shared" si="51"/>
        <v>7.8404965753424649E-2</v>
      </c>
      <c r="AC258">
        <f t="shared" si="52"/>
        <v>1.831091877140411E-4</v>
      </c>
      <c r="AD258">
        <f t="shared" si="53"/>
        <v>2.8951038099315069E-5</v>
      </c>
      <c r="AE258">
        <f t="shared" si="54"/>
        <v>0.15685952054794519</v>
      </c>
      <c r="AF258">
        <f t="shared" si="55"/>
        <v>4.010273287671233E-2</v>
      </c>
      <c r="AG258">
        <f t="shared" si="48"/>
        <v>0.41829156536279971</v>
      </c>
      <c r="AH258">
        <v>0.25499856671922028</v>
      </c>
      <c r="AI258">
        <v>0.89333333333333331</v>
      </c>
      <c r="AJ258">
        <v>0.29608804880966622</v>
      </c>
      <c r="AK258">
        <v>1.7154447201519277E-2</v>
      </c>
      <c r="AL258">
        <v>0.80996486745448737</v>
      </c>
    </row>
    <row r="259" spans="1:38" x14ac:dyDescent="0.25">
      <c r="A259">
        <v>9</v>
      </c>
      <c r="B259" s="5" t="s">
        <v>4</v>
      </c>
      <c r="C259" s="6" t="s">
        <v>5</v>
      </c>
      <c r="D259" s="6" t="s">
        <v>45</v>
      </c>
      <c r="E259" s="28">
        <v>44652.800000000003</v>
      </c>
      <c r="F259" s="11">
        <v>10</v>
      </c>
      <c r="G259" s="11">
        <v>14</v>
      </c>
      <c r="H259" s="11">
        <f t="shared" si="58"/>
        <v>-4</v>
      </c>
      <c r="I259" s="18">
        <v>1</v>
      </c>
      <c r="J259" s="19">
        <v>0.48093841642228741</v>
      </c>
      <c r="K259" s="19">
        <v>2.7</v>
      </c>
      <c r="L259" s="6">
        <v>3550369.25</v>
      </c>
      <c r="M259" s="7">
        <v>1268781.625</v>
      </c>
      <c r="N259" s="7">
        <v>865668.4375</v>
      </c>
      <c r="O259" s="7">
        <v>2970843.75</v>
      </c>
      <c r="P259" s="7">
        <v>6683.4853515625</v>
      </c>
      <c r="Q259" s="7">
        <v>3013.9765625</v>
      </c>
      <c r="R259" s="7">
        <v>5616111</v>
      </c>
      <c r="S259" s="7">
        <v>1500578.875</v>
      </c>
      <c r="T259" s="31">
        <f t="shared" si="59"/>
        <v>1578.2050399414063</v>
      </c>
      <c r="U259" s="37">
        <v>3568.1111111111113</v>
      </c>
      <c r="V259">
        <f t="shared" ref="V259:V322" si="60">T259/U259</f>
        <v>0.44230826641773285</v>
      </c>
      <c r="W259">
        <f t="shared" si="57"/>
        <v>5.7416173415073837E-2</v>
      </c>
      <c r="X259" s="28">
        <v>3396.9391666666666</v>
      </c>
      <c r="Y259">
        <f t="shared" si="47"/>
        <v>9.9502766013763885E-2</v>
      </c>
      <c r="Z259">
        <f t="shared" si="49"/>
        <v>3.5558915781770624E-2</v>
      </c>
      <c r="AA259">
        <f t="shared" si="50"/>
        <v>2.4261252257652664E-2</v>
      </c>
      <c r="AB259">
        <f t="shared" si="51"/>
        <v>8.3260965185438907E-2</v>
      </c>
      <c r="AC259">
        <f t="shared" si="52"/>
        <v>1.8731158149055678E-4</v>
      </c>
      <c r="AD259">
        <f t="shared" si="53"/>
        <v>8.4469806814997035E-5</v>
      </c>
      <c r="AE259">
        <f t="shared" si="54"/>
        <v>0.15739731261482887</v>
      </c>
      <c r="AF259">
        <f t="shared" si="55"/>
        <v>4.2055273175972345E-2</v>
      </c>
      <c r="AG259">
        <f t="shared" si="48"/>
        <v>0.44230826641773285</v>
      </c>
      <c r="AH259">
        <v>0.25499856671922028</v>
      </c>
      <c r="AI259">
        <v>0.89333333333333331</v>
      </c>
      <c r="AJ259">
        <v>0.29608804880966622</v>
      </c>
      <c r="AK259">
        <v>1.7154447201519277E-2</v>
      </c>
      <c r="AL259">
        <v>0.80996486745448737</v>
      </c>
    </row>
    <row r="260" spans="1:38" x14ac:dyDescent="0.25">
      <c r="A260">
        <v>9</v>
      </c>
      <c r="B260" s="5" t="s">
        <v>4</v>
      </c>
      <c r="C260" s="6" t="s">
        <v>5</v>
      </c>
      <c r="D260" s="6" t="s">
        <v>46</v>
      </c>
      <c r="E260" s="28">
        <v>44652.800000000003</v>
      </c>
      <c r="F260" s="11">
        <v>11</v>
      </c>
      <c r="G260" s="11">
        <v>14</v>
      </c>
      <c r="H260" s="11">
        <f t="shared" si="58"/>
        <v>-3</v>
      </c>
      <c r="I260" s="18">
        <v>1</v>
      </c>
      <c r="J260" s="19">
        <v>0.48093841642228741</v>
      </c>
      <c r="K260" s="19">
        <v>2.7</v>
      </c>
      <c r="L260" s="6">
        <v>3211378.5</v>
      </c>
      <c r="M260" s="7">
        <v>1289843.625</v>
      </c>
      <c r="N260" s="7">
        <v>865668.4375</v>
      </c>
      <c r="O260" s="7">
        <v>3017090</v>
      </c>
      <c r="P260" s="7">
        <v>6683.4853515625</v>
      </c>
      <c r="Q260" s="7">
        <v>4154.53466796875</v>
      </c>
      <c r="R260" s="7">
        <v>6009685</v>
      </c>
      <c r="S260" s="7">
        <v>1553633.375</v>
      </c>
      <c r="T260" s="31">
        <f t="shared" si="59"/>
        <v>1595.8136957519532</v>
      </c>
      <c r="U260" s="37">
        <v>3486.2222222222226</v>
      </c>
      <c r="V260">
        <f t="shared" si="60"/>
        <v>0.45774870161166425</v>
      </c>
      <c r="W260">
        <f t="shared" si="57"/>
        <v>3.4908764692516199E-2</v>
      </c>
      <c r="X260" s="28">
        <v>3493.2691666666665</v>
      </c>
      <c r="Y260">
        <f t="shared" ref="Y260:Y323" si="61">L260/$U260/10000</f>
        <v>9.2116287927078003E-2</v>
      </c>
      <c r="Z260">
        <f t="shared" si="49"/>
        <v>3.6998319177078021E-2</v>
      </c>
      <c r="AA260">
        <f t="shared" si="50"/>
        <v>2.4831131876274854E-2</v>
      </c>
      <c r="AB260">
        <f t="shared" si="51"/>
        <v>8.6543249617542062E-2</v>
      </c>
      <c r="AC260">
        <f t="shared" si="52"/>
        <v>1.917113977691946E-4</v>
      </c>
      <c r="AD260">
        <f t="shared" si="53"/>
        <v>1.1917010457585015E-4</v>
      </c>
      <c r="AE260">
        <f t="shared" si="54"/>
        <v>0.17238387621111675</v>
      </c>
      <c r="AF260">
        <f t="shared" si="55"/>
        <v>4.456495530022947E-2</v>
      </c>
      <c r="AG260">
        <f t="shared" ref="AG260:AG323" si="62">SUM(Y260:AF260)</f>
        <v>0.4577487016116642</v>
      </c>
      <c r="AH260">
        <v>0.25499856671922028</v>
      </c>
      <c r="AI260">
        <v>0.89333333333333331</v>
      </c>
      <c r="AJ260">
        <v>0.29608804880966622</v>
      </c>
      <c r="AK260">
        <v>1.7154447201519277E-2</v>
      </c>
      <c r="AL260">
        <v>0.80996486745448737</v>
      </c>
    </row>
    <row r="261" spans="1:38" x14ac:dyDescent="0.25">
      <c r="A261">
        <v>9</v>
      </c>
      <c r="B261" s="5" t="s">
        <v>4</v>
      </c>
      <c r="C261" s="6" t="s">
        <v>5</v>
      </c>
      <c r="D261" s="6" t="s">
        <v>47</v>
      </c>
      <c r="E261" s="28">
        <v>44652.800000000003</v>
      </c>
      <c r="F261" s="11">
        <v>12</v>
      </c>
      <c r="G261" s="11">
        <v>14</v>
      </c>
      <c r="H261" s="11">
        <f t="shared" si="58"/>
        <v>-2</v>
      </c>
      <c r="I261" s="18">
        <v>1</v>
      </c>
      <c r="J261" s="19">
        <v>0.48093841642228741</v>
      </c>
      <c r="K261" s="19">
        <v>2.7</v>
      </c>
      <c r="L261" s="6">
        <v>3190375.5</v>
      </c>
      <c r="M261" s="7">
        <v>1276142.375</v>
      </c>
      <c r="N261" s="7">
        <v>865668.4375</v>
      </c>
      <c r="O261" s="7">
        <v>2984548</v>
      </c>
      <c r="P261" s="7">
        <v>6683.4853515625</v>
      </c>
      <c r="Q261" s="7">
        <v>2735.19116210938</v>
      </c>
      <c r="R261" s="7">
        <v>5906789.5</v>
      </c>
      <c r="S261" s="7">
        <v>1542490.25</v>
      </c>
      <c r="T261" s="31">
        <f t="shared" si="59"/>
        <v>1577.5432739013672</v>
      </c>
      <c r="U261" s="37">
        <v>3404.3333333333335</v>
      </c>
      <c r="V261">
        <f t="shared" si="60"/>
        <v>0.46339271729208864</v>
      </c>
      <c r="W261">
        <f t="shared" si="57"/>
        <v>1.232994361437325E-2</v>
      </c>
      <c r="X261" s="28">
        <v>3589.5991666666664</v>
      </c>
      <c r="Y261">
        <f t="shared" si="61"/>
        <v>9.3715132674042884E-2</v>
      </c>
      <c r="Z261">
        <f t="shared" si="49"/>
        <v>3.7485823215509639E-2</v>
      </c>
      <c r="AA261">
        <f t="shared" si="50"/>
        <v>2.542842761676295E-2</v>
      </c>
      <c r="AB261">
        <f t="shared" si="51"/>
        <v>8.7669088416723773E-2</v>
      </c>
      <c r="AC261">
        <f t="shared" si="52"/>
        <v>1.9632288313607655E-4</v>
      </c>
      <c r="AD261">
        <f t="shared" si="53"/>
        <v>8.0344399161148933E-5</v>
      </c>
      <c r="AE261">
        <f t="shared" si="54"/>
        <v>0.17350796533829432</v>
      </c>
      <c r="AF261">
        <f t="shared" si="55"/>
        <v>4.5309612748457843E-2</v>
      </c>
      <c r="AG261">
        <f t="shared" si="62"/>
        <v>0.46339271729208864</v>
      </c>
      <c r="AH261">
        <v>0.25499856671922028</v>
      </c>
      <c r="AI261">
        <v>0.89333333333333331</v>
      </c>
      <c r="AJ261">
        <v>0.29608804880966622</v>
      </c>
      <c r="AK261">
        <v>1.7154447201519277E-2</v>
      </c>
      <c r="AL261">
        <v>0.80996486745448737</v>
      </c>
    </row>
    <row r="262" spans="1:38" s="20" customFormat="1" x14ac:dyDescent="0.25">
      <c r="A262">
        <v>9</v>
      </c>
      <c r="B262" s="5" t="s">
        <v>4</v>
      </c>
      <c r="C262" s="6" t="s">
        <v>5</v>
      </c>
      <c r="D262" s="6" t="s">
        <v>48</v>
      </c>
      <c r="E262" s="28">
        <v>44652.800000000003</v>
      </c>
      <c r="F262" s="11">
        <v>13</v>
      </c>
      <c r="G262" s="11">
        <v>14</v>
      </c>
      <c r="H262" s="11">
        <f t="shared" si="58"/>
        <v>-1</v>
      </c>
      <c r="I262" s="18">
        <v>1</v>
      </c>
      <c r="J262" s="19">
        <v>0.48093841642228741</v>
      </c>
      <c r="K262" s="19">
        <v>2.7</v>
      </c>
      <c r="L262" s="6">
        <v>3342018</v>
      </c>
      <c r="M262" s="7">
        <v>1283121</v>
      </c>
      <c r="N262" s="7">
        <v>865668.4375</v>
      </c>
      <c r="O262" s="7">
        <v>3000308.25</v>
      </c>
      <c r="P262" s="7">
        <v>6683.4853515625</v>
      </c>
      <c r="Q262" s="7">
        <v>1316.37133789062</v>
      </c>
      <c r="R262" s="7">
        <v>5877181</v>
      </c>
      <c r="S262" s="7">
        <v>1496375.875</v>
      </c>
      <c r="T262" s="31">
        <f t="shared" si="59"/>
        <v>1587.2672419189453</v>
      </c>
      <c r="U262" s="37">
        <v>3680.8888888888891</v>
      </c>
      <c r="V262">
        <f t="shared" si="60"/>
        <v>0.43121846103810996</v>
      </c>
      <c r="W262">
        <f t="shared" si="57"/>
        <v>-6.9431941964893676E-2</v>
      </c>
      <c r="X262" s="28">
        <v>3685.9291666666663</v>
      </c>
      <c r="Y262">
        <f t="shared" si="61"/>
        <v>9.0793775658053605E-2</v>
      </c>
      <c r="Z262">
        <f t="shared" si="49"/>
        <v>3.4858998430330836E-2</v>
      </c>
      <c r="AA262">
        <f t="shared" si="50"/>
        <v>2.3517918188541414E-2</v>
      </c>
      <c r="AB262">
        <f t="shared" si="51"/>
        <v>8.1510426980198017E-2</v>
      </c>
      <c r="AC262">
        <f t="shared" si="52"/>
        <v>1.8157259165679334E-4</v>
      </c>
      <c r="AD262">
        <f t="shared" si="53"/>
        <v>3.5762322026731399E-5</v>
      </c>
      <c r="AE262">
        <f t="shared" si="54"/>
        <v>0.15966743842067133</v>
      </c>
      <c r="AF262">
        <f t="shared" si="55"/>
        <v>4.0652568446631246E-2</v>
      </c>
      <c r="AG262">
        <f t="shared" si="62"/>
        <v>0.43121846103810996</v>
      </c>
      <c r="AH262" s="20">
        <v>0.25499856671922028</v>
      </c>
      <c r="AI262" s="20">
        <v>0.89333333333333331</v>
      </c>
      <c r="AJ262" s="20">
        <v>0.29608804880966622</v>
      </c>
      <c r="AK262" s="20">
        <v>1.7154447201519277E-2</v>
      </c>
      <c r="AL262" s="20">
        <v>0.80996486745448737</v>
      </c>
    </row>
    <row r="263" spans="1:38" x14ac:dyDescent="0.25">
      <c r="A263">
        <v>9</v>
      </c>
      <c r="B263" s="21" t="s">
        <v>4</v>
      </c>
      <c r="C263" s="22" t="s">
        <v>5</v>
      </c>
      <c r="D263" s="24">
        <v>202207</v>
      </c>
      <c r="E263" s="28">
        <v>44652.800000000003</v>
      </c>
      <c r="F263" s="22">
        <v>14</v>
      </c>
      <c r="G263" s="22">
        <v>14</v>
      </c>
      <c r="H263" s="22">
        <f t="shared" si="58"/>
        <v>0</v>
      </c>
      <c r="I263" s="18">
        <v>1</v>
      </c>
      <c r="J263" s="19">
        <v>0.48093841642228741</v>
      </c>
      <c r="K263" s="19">
        <v>2.7</v>
      </c>
      <c r="L263" s="22">
        <v>3759140.25</v>
      </c>
      <c r="M263" s="23">
        <v>1232977.625</v>
      </c>
      <c r="N263" s="23">
        <v>865668.4375</v>
      </c>
      <c r="O263" s="23">
        <v>2879098</v>
      </c>
      <c r="P263" s="23">
        <v>6683.4853515625</v>
      </c>
      <c r="Q263" s="23">
        <v>773.99694824218795</v>
      </c>
      <c r="R263" s="23">
        <v>5964169</v>
      </c>
      <c r="S263" s="23">
        <v>1469332.5</v>
      </c>
      <c r="T263" s="32">
        <f t="shared" si="59"/>
        <v>1617.7843294799804</v>
      </c>
      <c r="U263" s="37">
        <v>3957.4444444444448</v>
      </c>
      <c r="V263">
        <f t="shared" si="60"/>
        <v>0.40879520917875795</v>
      </c>
      <c r="W263">
        <f t="shared" si="57"/>
        <v>-5.1999749281073343E-2</v>
      </c>
      <c r="X263" s="28">
        <v>3782.2591666666663</v>
      </c>
      <c r="Y263">
        <f t="shared" si="61"/>
        <v>9.4989084566358753E-2</v>
      </c>
      <c r="Z263">
        <f t="shared" si="49"/>
        <v>3.1155904834769911E-2</v>
      </c>
      <c r="AA263">
        <f t="shared" si="50"/>
        <v>2.1874430573883257E-2</v>
      </c>
      <c r="AB263">
        <f t="shared" si="51"/>
        <v>7.2751444534913098E-2</v>
      </c>
      <c r="AC263">
        <f t="shared" si="52"/>
        <v>1.6888387052267878E-4</v>
      </c>
      <c r="AD263">
        <f t="shared" si="53"/>
        <v>1.9557999085211249E-5</v>
      </c>
      <c r="AE263">
        <f t="shared" si="54"/>
        <v>0.15070758626498579</v>
      </c>
      <c r="AF263">
        <f t="shared" si="55"/>
        <v>3.7128316534239265E-2</v>
      </c>
      <c r="AG263">
        <f t="shared" si="62"/>
        <v>0.40879520917875795</v>
      </c>
      <c r="AH263">
        <v>0.25499856671922028</v>
      </c>
      <c r="AI263">
        <v>0.89333333333333331</v>
      </c>
      <c r="AJ263">
        <v>0.29608804880966622</v>
      </c>
      <c r="AK263">
        <v>1.7154447201519277E-2</v>
      </c>
      <c r="AL263">
        <v>0.80996486745448737</v>
      </c>
    </row>
    <row r="264" spans="1:38" x14ac:dyDescent="0.25">
      <c r="A264">
        <v>9</v>
      </c>
      <c r="B264" s="5" t="s">
        <v>4</v>
      </c>
      <c r="C264" s="6" t="s">
        <v>5</v>
      </c>
      <c r="D264" s="6" t="s">
        <v>50</v>
      </c>
      <c r="E264" s="28">
        <v>44652.800000000003</v>
      </c>
      <c r="F264" s="11">
        <v>15</v>
      </c>
      <c r="G264" s="11">
        <v>14</v>
      </c>
      <c r="H264" s="11">
        <f t="shared" si="58"/>
        <v>1</v>
      </c>
      <c r="I264" s="18">
        <v>1</v>
      </c>
      <c r="J264" s="19">
        <v>0.48093841642228741</v>
      </c>
      <c r="K264" s="19">
        <v>2.7</v>
      </c>
      <c r="L264" s="6">
        <v>4000256.25</v>
      </c>
      <c r="M264" s="7">
        <v>1198420.375</v>
      </c>
      <c r="N264" s="7">
        <v>865668.4375</v>
      </c>
      <c r="O264" s="7">
        <v>2795874.5</v>
      </c>
      <c r="P264" s="7">
        <v>6683.4853515625</v>
      </c>
      <c r="Q264" s="7">
        <v>1086.8447265625</v>
      </c>
      <c r="R264" s="7">
        <v>5663698.5</v>
      </c>
      <c r="S264" s="7">
        <v>1484872.875</v>
      </c>
      <c r="T264" s="31">
        <f t="shared" si="59"/>
        <v>1601.6561267578124</v>
      </c>
      <c r="U264" s="37">
        <v>4234</v>
      </c>
      <c r="V264">
        <f t="shared" si="60"/>
        <v>0.37828439460505725</v>
      </c>
      <c r="W264">
        <f t="shared" si="57"/>
        <v>-7.4635939679906879E-2</v>
      </c>
      <c r="X264" s="28">
        <v>3878.5891666666662</v>
      </c>
      <c r="Y264">
        <f t="shared" si="61"/>
        <v>9.4479363486065185E-2</v>
      </c>
      <c r="Z264">
        <f t="shared" si="49"/>
        <v>2.8304685285781766E-2</v>
      </c>
      <c r="AA264">
        <f t="shared" si="50"/>
        <v>2.0445640942371283E-2</v>
      </c>
      <c r="AB264">
        <f t="shared" si="51"/>
        <v>6.6033880491261215E-2</v>
      </c>
      <c r="AC264">
        <f t="shared" si="52"/>
        <v>1.5785274802934576E-4</v>
      </c>
      <c r="AD264">
        <f t="shared" si="53"/>
        <v>2.5669455043989137E-5</v>
      </c>
      <c r="AE264">
        <f t="shared" si="54"/>
        <v>0.13376708786017952</v>
      </c>
      <c r="AF264">
        <f t="shared" si="55"/>
        <v>3.5070214336324991E-2</v>
      </c>
      <c r="AG264">
        <f t="shared" si="62"/>
        <v>0.37828439460505731</v>
      </c>
      <c r="AH264">
        <v>0.25499856671922028</v>
      </c>
      <c r="AI264">
        <v>0.89333333333333331</v>
      </c>
      <c r="AJ264">
        <v>0.29608804880966622</v>
      </c>
      <c r="AK264">
        <v>1.7154447201519277E-2</v>
      </c>
      <c r="AL264">
        <v>0.80996486745448737</v>
      </c>
    </row>
    <row r="265" spans="1:38" x14ac:dyDescent="0.25">
      <c r="A265">
        <v>9</v>
      </c>
      <c r="B265" s="5" t="s">
        <v>4</v>
      </c>
      <c r="C265" s="6" t="s">
        <v>5</v>
      </c>
      <c r="D265" s="6" t="s">
        <v>51</v>
      </c>
      <c r="E265" s="28">
        <v>44652.800000000003</v>
      </c>
      <c r="F265" s="11">
        <v>16</v>
      </c>
      <c r="G265" s="11">
        <v>14</v>
      </c>
      <c r="H265" s="11">
        <f t="shared" si="58"/>
        <v>2</v>
      </c>
      <c r="I265" s="18">
        <v>1</v>
      </c>
      <c r="J265" s="19">
        <v>0.48093841642228741</v>
      </c>
      <c r="K265" s="19">
        <v>2.7</v>
      </c>
      <c r="L265" s="6">
        <v>3492400.5</v>
      </c>
      <c r="M265" s="7">
        <v>1250092.625</v>
      </c>
      <c r="N265" s="7">
        <v>865668.4375</v>
      </c>
      <c r="O265" s="7">
        <v>2919382.5</v>
      </c>
      <c r="P265" s="7">
        <v>6683.4853515625</v>
      </c>
      <c r="Q265" s="7">
        <v>3043.060546875</v>
      </c>
      <c r="R265" s="7">
        <v>5580036.5</v>
      </c>
      <c r="S265" s="7">
        <v>1507788.875</v>
      </c>
      <c r="T265" s="31">
        <f t="shared" si="59"/>
        <v>1562.5095983398437</v>
      </c>
      <c r="U265" s="37">
        <v>4459.2222222222226</v>
      </c>
      <c r="V265">
        <f t="shared" si="60"/>
        <v>0.35039958101957469</v>
      </c>
      <c r="W265">
        <f t="shared" si="57"/>
        <v>-7.3713888236376562E-2</v>
      </c>
      <c r="X265" s="28">
        <v>3974.9191666666661</v>
      </c>
      <c r="Y265">
        <f t="shared" si="61"/>
        <v>7.8318601898686863E-2</v>
      </c>
      <c r="Z265">
        <f t="shared" si="49"/>
        <v>2.8033871439962121E-2</v>
      </c>
      <c r="AA265">
        <f t="shared" si="50"/>
        <v>1.9412991646525303E-2</v>
      </c>
      <c r="AB265">
        <f t="shared" si="51"/>
        <v>6.546842374106096E-2</v>
      </c>
      <c r="AC265">
        <f t="shared" si="52"/>
        <v>1.4988006918013229E-4</v>
      </c>
      <c r="AD265">
        <f t="shared" si="53"/>
        <v>6.8241957795019064E-5</v>
      </c>
      <c r="AE265">
        <f t="shared" si="54"/>
        <v>0.12513474821219445</v>
      </c>
      <c r="AF265">
        <f t="shared" si="55"/>
        <v>3.3812822054169876E-2</v>
      </c>
      <c r="AG265">
        <f t="shared" si="62"/>
        <v>0.35039958101957469</v>
      </c>
      <c r="AH265">
        <v>0.25499856671922028</v>
      </c>
      <c r="AI265">
        <v>0.89333333333333331</v>
      </c>
      <c r="AJ265">
        <v>0.29608804880966622</v>
      </c>
      <c r="AK265">
        <v>1.7154447201519277E-2</v>
      </c>
      <c r="AL265">
        <v>0.80996486745448737</v>
      </c>
    </row>
    <row r="266" spans="1:38" x14ac:dyDescent="0.25">
      <c r="A266">
        <v>9</v>
      </c>
      <c r="B266" s="5" t="s">
        <v>4</v>
      </c>
      <c r="C266" s="6" t="s">
        <v>5</v>
      </c>
      <c r="D266" s="6" t="s">
        <v>52</v>
      </c>
      <c r="E266" s="28">
        <v>44652.800000000003</v>
      </c>
      <c r="F266" s="11">
        <v>17</v>
      </c>
      <c r="G266" s="11">
        <v>14</v>
      </c>
      <c r="H266" s="11">
        <f t="shared" si="58"/>
        <v>3</v>
      </c>
      <c r="I266" s="18">
        <v>1</v>
      </c>
      <c r="J266" s="19">
        <v>0.48093841642228741</v>
      </c>
      <c r="K266" s="19">
        <v>2.7</v>
      </c>
      <c r="L266" s="6">
        <v>3436952.25</v>
      </c>
      <c r="M266" s="7">
        <v>1285620.875</v>
      </c>
      <c r="N266" s="7">
        <v>865668.4375</v>
      </c>
      <c r="O266" s="7">
        <v>3005395</v>
      </c>
      <c r="P266" s="7">
        <v>6683.4853515625</v>
      </c>
      <c r="Q266" s="7">
        <v>4196.9814453125</v>
      </c>
      <c r="R266" s="7">
        <v>6000423</v>
      </c>
      <c r="S266" s="7">
        <v>1560524.375</v>
      </c>
      <c r="T266" s="31">
        <f t="shared" si="59"/>
        <v>1616.5464404296874</v>
      </c>
      <c r="U266" s="37">
        <v>4684.4444444444443</v>
      </c>
      <c r="V266">
        <f t="shared" si="60"/>
        <v>0.34508818699874733</v>
      </c>
      <c r="W266">
        <f t="shared" si="57"/>
        <v>-1.5158106083838751E-2</v>
      </c>
      <c r="X266" s="28">
        <v>4071.249166666666</v>
      </c>
      <c r="Y266">
        <f t="shared" si="61"/>
        <v>7.3369474027514231E-2</v>
      </c>
      <c r="Z266">
        <f t="shared" si="49"/>
        <v>2.7444468394212527E-2</v>
      </c>
      <c r="AA266">
        <f t="shared" si="50"/>
        <v>1.8479639320445922E-2</v>
      </c>
      <c r="AB266">
        <f t="shared" si="51"/>
        <v>6.4156914136622389E-2</v>
      </c>
      <c r="AC266">
        <f t="shared" si="52"/>
        <v>1.4267402315954104E-4</v>
      </c>
      <c r="AD266">
        <f t="shared" si="53"/>
        <v>8.9594006185513524E-5</v>
      </c>
      <c r="AE266">
        <f t="shared" si="54"/>
        <v>0.12809252134724858</v>
      </c>
      <c r="AF266">
        <f t="shared" si="55"/>
        <v>3.3312901743358637E-2</v>
      </c>
      <c r="AG266">
        <f t="shared" si="62"/>
        <v>0.34508818699874738</v>
      </c>
      <c r="AH266">
        <v>0.25499856671922028</v>
      </c>
      <c r="AI266">
        <v>0.89333333333333331</v>
      </c>
      <c r="AJ266">
        <v>0.29608804880966622</v>
      </c>
      <c r="AK266">
        <v>1.7154447201519277E-2</v>
      </c>
      <c r="AL266">
        <v>0.80996486745448737</v>
      </c>
    </row>
    <row r="267" spans="1:38" x14ac:dyDescent="0.25">
      <c r="A267">
        <v>9</v>
      </c>
      <c r="B267" s="5" t="s">
        <v>4</v>
      </c>
      <c r="C267" s="6" t="s">
        <v>5</v>
      </c>
      <c r="D267" s="6" t="s">
        <v>53</v>
      </c>
      <c r="E267" s="28">
        <v>44652.800000000003</v>
      </c>
      <c r="F267" s="11">
        <v>18</v>
      </c>
      <c r="G267" s="11">
        <v>14</v>
      </c>
      <c r="H267" s="11">
        <f t="shared" si="58"/>
        <v>4</v>
      </c>
      <c r="I267" s="18">
        <v>1</v>
      </c>
      <c r="J267" s="19">
        <v>0.48093841642228741</v>
      </c>
      <c r="K267" s="19">
        <v>2.7</v>
      </c>
      <c r="L267" s="6">
        <v>3670927.25</v>
      </c>
      <c r="M267" s="7">
        <v>1280064</v>
      </c>
      <c r="N267" s="7">
        <v>865668.4375</v>
      </c>
      <c r="O267" s="7">
        <v>2996505.5</v>
      </c>
      <c r="P267" s="7">
        <v>6683.4853515625</v>
      </c>
      <c r="Q267" s="7">
        <v>2769.51513671875</v>
      </c>
      <c r="R267" s="7">
        <v>5935238.5</v>
      </c>
      <c r="S267" s="7">
        <v>1539421.625</v>
      </c>
      <c r="T267" s="31">
        <f t="shared" si="59"/>
        <v>1629.7278312988281</v>
      </c>
      <c r="U267" s="37">
        <v>4909.666666666667</v>
      </c>
      <c r="V267">
        <f t="shared" si="60"/>
        <v>0.33194266371759684</v>
      </c>
      <c r="W267">
        <f t="shared" si="57"/>
        <v>-3.8093228851088443E-2</v>
      </c>
      <c r="X267" s="28">
        <v>4167.5791666666664</v>
      </c>
      <c r="Y267">
        <f t="shared" si="61"/>
        <v>7.4769378437096884E-2</v>
      </c>
      <c r="Z267">
        <f t="shared" si="49"/>
        <v>2.6072319913096612E-2</v>
      </c>
      <c r="AA267">
        <f t="shared" si="50"/>
        <v>1.7631918748727E-2</v>
      </c>
      <c r="AB267">
        <f t="shared" si="51"/>
        <v>6.103276868762305E-2</v>
      </c>
      <c r="AC267">
        <f t="shared" si="52"/>
        <v>1.3612910621690202E-4</v>
      </c>
      <c r="AD267">
        <f t="shared" si="53"/>
        <v>5.640943316013477E-5</v>
      </c>
      <c r="AE267">
        <f t="shared" si="54"/>
        <v>0.12088882816212913</v>
      </c>
      <c r="AF267">
        <f t="shared" si="55"/>
        <v>3.1354911229547151E-2</v>
      </c>
      <c r="AG267">
        <f t="shared" si="62"/>
        <v>0.33194266371759684</v>
      </c>
      <c r="AH267">
        <v>0.25499856671922028</v>
      </c>
      <c r="AI267">
        <v>0.89333333333333331</v>
      </c>
      <c r="AJ267">
        <v>0.29608804880966622</v>
      </c>
      <c r="AK267">
        <v>1.7154447201519277E-2</v>
      </c>
      <c r="AL267">
        <v>0.80996486745448737</v>
      </c>
    </row>
    <row r="268" spans="1:38" x14ac:dyDescent="0.25">
      <c r="A268">
        <v>9</v>
      </c>
      <c r="B268" s="5" t="s">
        <v>4</v>
      </c>
      <c r="C268" s="6" t="s">
        <v>5</v>
      </c>
      <c r="D268" s="6" t="s">
        <v>54</v>
      </c>
      <c r="E268" s="28">
        <v>44652.800000000003</v>
      </c>
      <c r="F268" s="11">
        <v>19</v>
      </c>
      <c r="G268" s="11">
        <v>14</v>
      </c>
      <c r="H268" s="11">
        <f t="shared" si="58"/>
        <v>5</v>
      </c>
      <c r="I268" s="18">
        <v>1</v>
      </c>
      <c r="J268" s="19">
        <v>0.48093841642228741</v>
      </c>
      <c r="K268" s="19">
        <v>2.7</v>
      </c>
      <c r="L268" s="6">
        <v>4094770.25</v>
      </c>
      <c r="M268" s="7">
        <v>1291166.5</v>
      </c>
      <c r="N268" s="7">
        <v>866084</v>
      </c>
      <c r="O268" s="7">
        <v>3024842.75</v>
      </c>
      <c r="P268" s="7">
        <v>6686.693359375</v>
      </c>
      <c r="Q268" s="7">
        <v>1306.15258789062</v>
      </c>
      <c r="R268" s="7">
        <v>5937390</v>
      </c>
      <c r="S268" s="7">
        <v>1485135.25</v>
      </c>
      <c r="T268" s="31">
        <f t="shared" si="59"/>
        <v>1670.7381595947265</v>
      </c>
      <c r="U268" s="37">
        <v>5134.8888888888896</v>
      </c>
      <c r="V268">
        <f t="shared" si="60"/>
        <v>0.32536987571628806</v>
      </c>
      <c r="W268">
        <f t="shared" si="57"/>
        <v>-1.9800973841978445E-2</v>
      </c>
      <c r="X268" s="28">
        <v>4263.9091666666664</v>
      </c>
      <c r="Y268">
        <f t="shared" si="61"/>
        <v>7.9744086748604309E-2</v>
      </c>
      <c r="Z268">
        <f t="shared" si="49"/>
        <v>2.5144974466611843E-2</v>
      </c>
      <c r="AA268">
        <f t="shared" si="50"/>
        <v>1.6866655126152246E-2</v>
      </c>
      <c r="AB268">
        <f t="shared" si="51"/>
        <v>5.8907657311637163E-2</v>
      </c>
      <c r="AC268">
        <f t="shared" si="52"/>
        <v>1.302207993992621E-4</v>
      </c>
      <c r="AD268">
        <f t="shared" si="53"/>
        <v>2.5436822804811482E-5</v>
      </c>
      <c r="AE268">
        <f t="shared" si="54"/>
        <v>0.11562840264854804</v>
      </c>
      <c r="AF268">
        <f t="shared" si="55"/>
        <v>2.8922441792530396E-2</v>
      </c>
      <c r="AG268">
        <f t="shared" si="62"/>
        <v>0.32536987571628806</v>
      </c>
      <c r="AH268">
        <v>0.25499856671922028</v>
      </c>
      <c r="AI268">
        <v>0.89333333333333331</v>
      </c>
      <c r="AJ268">
        <v>0.29608804880966622</v>
      </c>
      <c r="AK268">
        <v>1.7154447201519277E-2</v>
      </c>
      <c r="AL268">
        <v>0.80996486745448737</v>
      </c>
    </row>
    <row r="269" spans="1:38" x14ac:dyDescent="0.25">
      <c r="A269">
        <v>9</v>
      </c>
      <c r="B269" s="5" t="s">
        <v>4</v>
      </c>
      <c r="C269" s="6" t="s">
        <v>5</v>
      </c>
      <c r="D269" s="6" t="s">
        <v>55</v>
      </c>
      <c r="E269" s="26">
        <v>47218.66</v>
      </c>
      <c r="F269" s="11">
        <v>20</v>
      </c>
      <c r="G269" s="11">
        <v>14</v>
      </c>
      <c r="H269" s="18">
        <f t="shared" si="58"/>
        <v>6</v>
      </c>
      <c r="I269" s="18">
        <v>1</v>
      </c>
      <c r="J269" s="19">
        <v>0.48093841642228741</v>
      </c>
      <c r="K269" s="19">
        <v>2.7</v>
      </c>
      <c r="L269" s="14">
        <v>5116833</v>
      </c>
      <c r="M269" s="16">
        <v>1263695.25</v>
      </c>
      <c r="N269" s="16">
        <v>2062662.25</v>
      </c>
      <c r="O269" s="16">
        <v>1509111.375</v>
      </c>
      <c r="P269" s="16">
        <v>6733.7607421875</v>
      </c>
      <c r="Q269" s="16">
        <v>848.075439453125</v>
      </c>
      <c r="R269" s="16">
        <v>2029956</v>
      </c>
      <c r="S269" s="16">
        <v>1807076</v>
      </c>
      <c r="T269" s="31">
        <f t="shared" si="59"/>
        <v>1379.6915711181641</v>
      </c>
      <c r="U269" s="37">
        <v>3787.7777777777778</v>
      </c>
      <c r="V269">
        <f t="shared" si="60"/>
        <v>0.36424828806287701</v>
      </c>
      <c r="W269">
        <f t="shared" si="57"/>
        <v>0.11948989518774523</v>
      </c>
      <c r="X269" s="26">
        <v>2830.520416666664</v>
      </c>
      <c r="Y269">
        <f t="shared" si="61"/>
        <v>0.13508799354649456</v>
      </c>
      <c r="Z269">
        <f t="shared" si="49"/>
        <v>3.3362444265180403E-2</v>
      </c>
      <c r="AA269">
        <f t="shared" si="50"/>
        <v>5.4455735552948081E-2</v>
      </c>
      <c r="AB269">
        <f t="shared" si="51"/>
        <v>3.9841602742739804E-2</v>
      </c>
      <c r="AC269">
        <f t="shared" si="52"/>
        <v>1.7777602428773099E-4</v>
      </c>
      <c r="AD269">
        <f t="shared" si="53"/>
        <v>2.2389788662593503E-5</v>
      </c>
      <c r="AE269">
        <f t="shared" si="54"/>
        <v>5.3592267527134058E-2</v>
      </c>
      <c r="AF269">
        <f t="shared" si="55"/>
        <v>4.7708078615429743E-2</v>
      </c>
      <c r="AG269">
        <f t="shared" si="62"/>
        <v>0.36424828806287696</v>
      </c>
      <c r="AH269">
        <v>0.24445632298756464</v>
      </c>
      <c r="AI269">
        <v>0.89465219139525531</v>
      </c>
      <c r="AJ269">
        <v>0.29752362722813736</v>
      </c>
      <c r="AK269">
        <v>1.7176124862501391E-2</v>
      </c>
      <c r="AL269">
        <v>0.86242583137850148</v>
      </c>
    </row>
    <row r="270" spans="1:38" x14ac:dyDescent="0.25">
      <c r="A270">
        <v>9</v>
      </c>
      <c r="B270" s="5" t="s">
        <v>4</v>
      </c>
      <c r="C270" s="6" t="s">
        <v>5</v>
      </c>
      <c r="D270" s="6" t="s">
        <v>56</v>
      </c>
      <c r="E270" s="26">
        <v>47218.66</v>
      </c>
      <c r="F270" s="11">
        <v>21</v>
      </c>
      <c r="G270" s="11">
        <v>14</v>
      </c>
      <c r="H270" s="11">
        <f t="shared" si="58"/>
        <v>7</v>
      </c>
      <c r="I270" s="18">
        <v>1</v>
      </c>
      <c r="J270" s="19">
        <v>0.48093841642228741</v>
      </c>
      <c r="K270" s="19">
        <v>2.7</v>
      </c>
      <c r="L270" s="6">
        <v>4837306</v>
      </c>
      <c r="M270" s="7">
        <v>1238722.875</v>
      </c>
      <c r="N270" s="7">
        <v>1794299</v>
      </c>
      <c r="O270" s="7">
        <v>1501633.625</v>
      </c>
      <c r="P270" s="7">
        <v>6733.7607421875</v>
      </c>
      <c r="Q270" s="7">
        <v>1197.579833984375</v>
      </c>
      <c r="R270" s="7">
        <v>1991320.625</v>
      </c>
      <c r="S270" s="7">
        <v>1827755.5</v>
      </c>
      <c r="T270" s="31">
        <f t="shared" si="59"/>
        <v>1319.8968965576171</v>
      </c>
      <c r="U270" s="37">
        <v>3877.6666666666665</v>
      </c>
      <c r="V270">
        <f t="shared" si="60"/>
        <v>0.3403843109836544</v>
      </c>
      <c r="W270">
        <f t="shared" si="57"/>
        <v>-6.551568768142893E-2</v>
      </c>
      <c r="X270" s="26">
        <v>3031.3145833333315</v>
      </c>
      <c r="Y270">
        <f t="shared" si="61"/>
        <v>0.12474785523940514</v>
      </c>
      <c r="Z270">
        <f t="shared" si="49"/>
        <v>3.1945058239491106E-2</v>
      </c>
      <c r="AA270">
        <f t="shared" si="50"/>
        <v>4.6272646780710053E-2</v>
      </c>
      <c r="AB270">
        <f t="shared" si="51"/>
        <v>3.8725185893578609E-2</v>
      </c>
      <c r="AC270">
        <f t="shared" si="52"/>
        <v>1.7365496627320983E-4</v>
      </c>
      <c r="AD270">
        <f t="shared" si="53"/>
        <v>3.0884032510557253E-5</v>
      </c>
      <c r="AE270">
        <f t="shared" si="54"/>
        <v>5.1353579257285308E-2</v>
      </c>
      <c r="AF270">
        <f t="shared" si="55"/>
        <v>4.7135446574400414E-2</v>
      </c>
      <c r="AG270">
        <f t="shared" si="62"/>
        <v>0.3403843109836544</v>
      </c>
      <c r="AH270">
        <v>0.24445632298756464</v>
      </c>
      <c r="AI270">
        <v>0.89465219139525531</v>
      </c>
      <c r="AJ270">
        <v>0.29752362722813736</v>
      </c>
      <c r="AK270">
        <v>1.7176124862501391E-2</v>
      </c>
      <c r="AL270">
        <v>0.86242583137850148</v>
      </c>
    </row>
    <row r="271" spans="1:38" x14ac:dyDescent="0.25">
      <c r="A271">
        <v>9</v>
      </c>
      <c r="B271" s="5" t="s">
        <v>4</v>
      </c>
      <c r="C271" s="6" t="s">
        <v>5</v>
      </c>
      <c r="D271" s="6" t="s">
        <v>57</v>
      </c>
      <c r="E271" s="26">
        <v>47218.66</v>
      </c>
      <c r="F271" s="11">
        <v>22</v>
      </c>
      <c r="G271" s="11">
        <v>14</v>
      </c>
      <c r="H271" s="11">
        <f t="shared" si="58"/>
        <v>8</v>
      </c>
      <c r="I271" s="18">
        <v>1</v>
      </c>
      <c r="J271" s="19">
        <v>0.48093841642228741</v>
      </c>
      <c r="K271" s="19">
        <v>2.7</v>
      </c>
      <c r="L271" s="6">
        <v>4737775</v>
      </c>
      <c r="M271" s="7">
        <v>1285942.75</v>
      </c>
      <c r="N271" s="7">
        <v>1163295.875</v>
      </c>
      <c r="O271" s="7">
        <v>1708183.75</v>
      </c>
      <c r="P271" s="7">
        <v>6733.7607421875</v>
      </c>
      <c r="Q271" s="7">
        <v>3415.76025390625</v>
      </c>
      <c r="R271" s="7">
        <v>2065995</v>
      </c>
      <c r="S271" s="7">
        <v>1870305.125</v>
      </c>
      <c r="T271" s="31">
        <f t="shared" si="59"/>
        <v>1284.1647020996095</v>
      </c>
      <c r="U271" s="37">
        <v>3967.5555555555552</v>
      </c>
      <c r="V271">
        <f t="shared" si="60"/>
        <v>0.32366647022786171</v>
      </c>
      <c r="W271">
        <f t="shared" si="57"/>
        <v>-4.9114604334967414E-2</v>
      </c>
      <c r="X271" s="26">
        <v>3232.1087499999985</v>
      </c>
      <c r="Y271">
        <f t="shared" si="61"/>
        <v>0.11941294667861546</v>
      </c>
      <c r="Z271">
        <f t="shared" si="49"/>
        <v>3.2411461717262238E-2</v>
      </c>
      <c r="AA271">
        <f t="shared" si="50"/>
        <v>2.9320216408087827E-2</v>
      </c>
      <c r="AB271">
        <f t="shared" si="51"/>
        <v>4.3053807970202758E-2</v>
      </c>
      <c r="AC271">
        <f t="shared" si="52"/>
        <v>1.6972064153603536E-4</v>
      </c>
      <c r="AD271">
        <f t="shared" si="53"/>
        <v>8.609231064511105E-5</v>
      </c>
      <c r="AE271">
        <f t="shared" si="54"/>
        <v>5.2072238714013667E-2</v>
      </c>
      <c r="AF271">
        <f t="shared" si="55"/>
        <v>4.7139985787498603E-2</v>
      </c>
      <c r="AG271">
        <f t="shared" si="62"/>
        <v>0.32366647022786166</v>
      </c>
      <c r="AH271">
        <v>0.24445632298756464</v>
      </c>
      <c r="AI271">
        <v>0.89465219139525531</v>
      </c>
      <c r="AJ271">
        <v>0.29752362722813736</v>
      </c>
      <c r="AK271">
        <v>1.7176124862501391E-2</v>
      </c>
      <c r="AL271">
        <v>0.86242583137850148</v>
      </c>
    </row>
    <row r="272" spans="1:38" x14ac:dyDescent="0.25">
      <c r="A272">
        <v>9</v>
      </c>
      <c r="B272" s="5" t="s">
        <v>4</v>
      </c>
      <c r="C272" s="6" t="s">
        <v>5</v>
      </c>
      <c r="D272" s="6" t="s">
        <v>58</v>
      </c>
      <c r="E272" s="26">
        <v>47218.66</v>
      </c>
      <c r="F272" s="11">
        <v>23</v>
      </c>
      <c r="G272" s="11">
        <v>14</v>
      </c>
      <c r="H272" s="11">
        <f t="shared" si="58"/>
        <v>9</v>
      </c>
      <c r="I272" s="18">
        <v>1</v>
      </c>
      <c r="J272" s="19">
        <v>0.48093841642228741</v>
      </c>
      <c r="K272" s="19">
        <v>2.7</v>
      </c>
      <c r="L272" s="6">
        <v>5088438.5</v>
      </c>
      <c r="M272" s="7">
        <v>1307271.375</v>
      </c>
      <c r="N272" s="7">
        <v>759350.9375</v>
      </c>
      <c r="O272" s="7">
        <v>1545085.875</v>
      </c>
      <c r="P272" s="7">
        <v>6733.7607421875</v>
      </c>
      <c r="Q272" s="7">
        <v>4708.36328125</v>
      </c>
      <c r="R272" s="7">
        <v>2095354.25</v>
      </c>
      <c r="S272" s="7">
        <v>1932781.625</v>
      </c>
      <c r="T272" s="31">
        <f t="shared" si="59"/>
        <v>1273.9724686523437</v>
      </c>
      <c r="U272" s="37">
        <v>4057.4444444444439</v>
      </c>
      <c r="V272">
        <f t="shared" si="60"/>
        <v>0.31398395864586615</v>
      </c>
      <c r="W272">
        <f t="shared" si="57"/>
        <v>-2.9915089985005441E-2</v>
      </c>
      <c r="X272" s="26">
        <v>3432.9029166666655</v>
      </c>
      <c r="Y272">
        <f t="shared" si="61"/>
        <v>0.12540993646794646</v>
      </c>
      <c r="Z272">
        <f t="shared" si="49"/>
        <v>3.221908255059288E-2</v>
      </c>
      <c r="AA272">
        <f t="shared" si="50"/>
        <v>1.8715005168825481E-2</v>
      </c>
      <c r="AB272">
        <f t="shared" si="51"/>
        <v>3.8080271859681797E-2</v>
      </c>
      <c r="AC272">
        <f t="shared" si="52"/>
        <v>1.6596063937258677E-4</v>
      </c>
      <c r="AD272">
        <f t="shared" si="53"/>
        <v>1.1604258162294276E-4</v>
      </c>
      <c r="AE272">
        <f t="shared" si="54"/>
        <v>5.1642216638825754E-2</v>
      </c>
      <c r="AF272">
        <f t="shared" si="55"/>
        <v>4.7635442738998279E-2</v>
      </c>
      <c r="AG272">
        <f t="shared" si="62"/>
        <v>0.3139839586458662</v>
      </c>
      <c r="AH272">
        <v>0.24445632298756464</v>
      </c>
      <c r="AI272">
        <v>0.89465219139525531</v>
      </c>
      <c r="AJ272">
        <v>0.29752362722813736</v>
      </c>
      <c r="AK272">
        <v>1.7176124862501391E-2</v>
      </c>
      <c r="AL272">
        <v>0.86242583137850148</v>
      </c>
    </row>
    <row r="273" spans="1:38" x14ac:dyDescent="0.25">
      <c r="A273">
        <v>9</v>
      </c>
      <c r="B273" s="5" t="s">
        <v>4</v>
      </c>
      <c r="C273" s="6" t="s">
        <v>5</v>
      </c>
      <c r="D273" s="6" t="s">
        <v>59</v>
      </c>
      <c r="E273" s="26">
        <v>47218.66</v>
      </c>
      <c r="F273" s="11">
        <v>24</v>
      </c>
      <c r="G273" s="11">
        <v>14</v>
      </c>
      <c r="H273" s="11">
        <f t="shared" si="58"/>
        <v>10</v>
      </c>
      <c r="I273" s="18">
        <v>1</v>
      </c>
      <c r="J273" s="19">
        <v>0.48093841642228741</v>
      </c>
      <c r="K273" s="19">
        <v>2.7</v>
      </c>
      <c r="L273" s="6">
        <v>4993868.5</v>
      </c>
      <c r="M273" s="7">
        <v>1293367.25</v>
      </c>
      <c r="N273" s="7">
        <v>485153.8125</v>
      </c>
      <c r="O273" s="7">
        <v>1534980.625</v>
      </c>
      <c r="P273" s="7">
        <v>6733.7607421875</v>
      </c>
      <c r="Q273" s="7">
        <v>3099.810791015625</v>
      </c>
      <c r="R273" s="7">
        <v>2071114</v>
      </c>
      <c r="S273" s="7">
        <v>1920708</v>
      </c>
      <c r="T273" s="31">
        <f t="shared" si="59"/>
        <v>1230.9025759033202</v>
      </c>
      <c r="U273" s="37">
        <v>4147.333333333333</v>
      </c>
      <c r="V273">
        <f t="shared" si="60"/>
        <v>0.29679374117585283</v>
      </c>
      <c r="W273">
        <f t="shared" si="57"/>
        <v>-5.4748712463370416E-2</v>
      </c>
      <c r="X273" s="26">
        <v>3633.6970833333326</v>
      </c>
      <c r="Y273">
        <f t="shared" si="61"/>
        <v>0.12041155360874459</v>
      </c>
      <c r="Z273">
        <f t="shared" si="49"/>
        <v>3.1185514788619195E-2</v>
      </c>
      <c r="AA273">
        <f t="shared" si="50"/>
        <v>1.1697970081176661E-2</v>
      </c>
      <c r="AB273">
        <f t="shared" si="51"/>
        <v>3.7011267280180039E-2</v>
      </c>
      <c r="AC273">
        <f t="shared" si="52"/>
        <v>1.6236362503265151E-4</v>
      </c>
      <c r="AD273">
        <f t="shared" si="53"/>
        <v>7.4742263085089816E-5</v>
      </c>
      <c r="AE273">
        <f t="shared" si="54"/>
        <v>4.9938450409901948E-2</v>
      </c>
      <c r="AF273">
        <f t="shared" si="55"/>
        <v>4.6311879119112692E-2</v>
      </c>
      <c r="AG273">
        <f t="shared" si="62"/>
        <v>0.29679374117585289</v>
      </c>
      <c r="AH273">
        <v>0.24445632298756464</v>
      </c>
      <c r="AI273">
        <v>0.89465219139525531</v>
      </c>
      <c r="AJ273">
        <v>0.29752362722813736</v>
      </c>
      <c r="AK273">
        <v>1.7176124862501391E-2</v>
      </c>
      <c r="AL273">
        <v>0.86242583137850148</v>
      </c>
    </row>
    <row r="274" spans="1:38" x14ac:dyDescent="0.25">
      <c r="A274">
        <v>9</v>
      </c>
      <c r="B274" s="5" t="s">
        <v>4</v>
      </c>
      <c r="C274" s="6" t="s">
        <v>5</v>
      </c>
      <c r="D274" s="6" t="s">
        <v>60</v>
      </c>
      <c r="E274" s="26">
        <v>47218.66</v>
      </c>
      <c r="F274" s="11">
        <v>25</v>
      </c>
      <c r="G274" s="11">
        <v>14</v>
      </c>
      <c r="H274" s="11">
        <f t="shared" si="58"/>
        <v>11</v>
      </c>
      <c r="I274" s="18">
        <v>1</v>
      </c>
      <c r="J274" s="19">
        <v>0.48093841642228741</v>
      </c>
      <c r="K274" s="19">
        <v>2.7</v>
      </c>
      <c r="L274" s="6">
        <v>4965392.5</v>
      </c>
      <c r="M274" s="7">
        <v>1300470</v>
      </c>
      <c r="N274" s="7">
        <v>269879.96875</v>
      </c>
      <c r="O274" s="7">
        <v>1607940.25</v>
      </c>
      <c r="P274" s="7">
        <v>6733.7607421875</v>
      </c>
      <c r="Q274" s="7">
        <v>1491.8525390625</v>
      </c>
      <c r="R274" s="7">
        <v>2081136.5</v>
      </c>
      <c r="S274" s="7">
        <v>1864049.25</v>
      </c>
      <c r="T274" s="31">
        <f t="shared" si="59"/>
        <v>1209.7094082031249</v>
      </c>
      <c r="U274" s="37">
        <v>4217.8888888888887</v>
      </c>
      <c r="V274">
        <f t="shared" si="60"/>
        <v>0.28680447495661665</v>
      </c>
      <c r="W274">
        <f t="shared" si="57"/>
        <v>-3.365726709620017E-2</v>
      </c>
      <c r="X274" s="26">
        <v>3834.49125</v>
      </c>
      <c r="Y274">
        <f t="shared" si="61"/>
        <v>0.11772222149047706</v>
      </c>
      <c r="Z274">
        <f t="shared" ref="Z274:Z337" si="63">M274/$U274/10000</f>
        <v>3.0832248887015624E-2</v>
      </c>
      <c r="AA274">
        <f t="shared" ref="AA274:AA337" si="64">N274/$U274/10000</f>
        <v>6.3984608380969945E-3</v>
      </c>
      <c r="AB274">
        <f t="shared" ref="AB274:AB337" si="65">O274/$U274/10000</f>
        <v>3.8121920523695368E-2</v>
      </c>
      <c r="AC274">
        <f t="shared" ref="AC274:AC337" si="66">P274/$U274/10000</f>
        <v>1.5964765596187535E-4</v>
      </c>
      <c r="AD274">
        <f t="shared" ref="AD274:AD337" si="67">Q274/$U274/10000</f>
        <v>3.5369650039678883E-5</v>
      </c>
      <c r="AE274">
        <f t="shared" ref="AE274:AE337" si="68">R274/$U274/10000</f>
        <v>4.9340714154000161E-2</v>
      </c>
      <c r="AF274">
        <f t="shared" ref="AF274:AF337" si="69">S274/$U274/10000</f>
        <v>4.4193891757329892E-2</v>
      </c>
      <c r="AG274">
        <f t="shared" si="62"/>
        <v>0.28680447495661665</v>
      </c>
      <c r="AH274">
        <v>0.24445632298756464</v>
      </c>
      <c r="AI274">
        <v>0.89465219139525531</v>
      </c>
      <c r="AJ274">
        <v>0.29752362722813736</v>
      </c>
      <c r="AK274">
        <v>1.7176124862501391E-2</v>
      </c>
      <c r="AL274">
        <v>0.86242583137850148</v>
      </c>
    </row>
    <row r="275" spans="1:38" x14ac:dyDescent="0.25">
      <c r="A275">
        <v>9</v>
      </c>
      <c r="B275" s="5" t="s">
        <v>4</v>
      </c>
      <c r="C275" s="6" t="s">
        <v>5</v>
      </c>
      <c r="D275" s="6" t="s">
        <v>61</v>
      </c>
      <c r="E275" s="26">
        <v>47218.66</v>
      </c>
      <c r="F275" s="11">
        <v>26</v>
      </c>
      <c r="G275" s="11">
        <v>14</v>
      </c>
      <c r="H275" s="11">
        <f t="shared" si="58"/>
        <v>12</v>
      </c>
      <c r="I275" s="18">
        <v>1</v>
      </c>
      <c r="J275" s="19">
        <v>0.48093841642228741</v>
      </c>
      <c r="K275" s="19">
        <v>2.7</v>
      </c>
      <c r="L275" s="6">
        <v>5042469</v>
      </c>
      <c r="M275" s="7">
        <v>1249688.75</v>
      </c>
      <c r="N275" s="7">
        <v>200922.296875</v>
      </c>
      <c r="O275" s="7">
        <v>1808629.5</v>
      </c>
      <c r="P275" s="7">
        <v>6733.7607421875</v>
      </c>
      <c r="Q275" s="7">
        <v>877.17608642578125</v>
      </c>
      <c r="R275" s="7">
        <v>1995765.75</v>
      </c>
      <c r="S275" s="7">
        <v>1829975.375</v>
      </c>
      <c r="T275" s="31">
        <f t="shared" si="59"/>
        <v>1213.5061608703613</v>
      </c>
      <c r="U275" s="37">
        <v>4288.4444444444443</v>
      </c>
      <c r="V275">
        <f t="shared" si="60"/>
        <v>0.2829711744178996</v>
      </c>
      <c r="W275">
        <f t="shared" si="57"/>
        <v>-1.3365553446461731E-2</v>
      </c>
      <c r="X275" s="26">
        <v>4035.2854166666671</v>
      </c>
      <c r="Y275">
        <f t="shared" si="61"/>
        <v>0.11758270546170588</v>
      </c>
      <c r="Z275">
        <f t="shared" si="63"/>
        <v>2.914084037205928E-2</v>
      </c>
      <c r="AA275">
        <f t="shared" si="64"/>
        <v>4.6852022797051508E-3</v>
      </c>
      <c r="AB275">
        <f t="shared" si="65"/>
        <v>4.217448828894186E-2</v>
      </c>
      <c r="AC275">
        <f t="shared" si="66"/>
        <v>1.5702105575626362E-4</v>
      </c>
      <c r="AD275">
        <f t="shared" si="67"/>
        <v>2.0454411798714975E-5</v>
      </c>
      <c r="AE275">
        <f t="shared" si="68"/>
        <v>4.653822092963001E-2</v>
      </c>
      <c r="AF275">
        <f t="shared" si="69"/>
        <v>4.2672241618302416E-2</v>
      </c>
      <c r="AG275">
        <f t="shared" si="62"/>
        <v>0.28297117441789954</v>
      </c>
      <c r="AH275">
        <v>0.24445632298756464</v>
      </c>
      <c r="AI275">
        <v>0.89465219139525531</v>
      </c>
      <c r="AJ275">
        <v>0.29752362722813736</v>
      </c>
      <c r="AK275">
        <v>1.7176124862501391E-2</v>
      </c>
      <c r="AL275">
        <v>0.86242583137850148</v>
      </c>
    </row>
    <row r="276" spans="1:38" x14ac:dyDescent="0.25">
      <c r="A276">
        <v>9</v>
      </c>
      <c r="B276" s="5" t="s">
        <v>4</v>
      </c>
      <c r="C276" s="6" t="s">
        <v>5</v>
      </c>
      <c r="D276" s="6" t="s">
        <v>62</v>
      </c>
      <c r="E276" s="26">
        <v>47218.66</v>
      </c>
      <c r="F276" s="11">
        <v>27</v>
      </c>
      <c r="G276" s="11">
        <v>14</v>
      </c>
      <c r="H276" s="11">
        <f t="shared" si="58"/>
        <v>13</v>
      </c>
      <c r="I276" s="18">
        <v>1</v>
      </c>
      <c r="J276" s="19">
        <v>0.48093841642228741</v>
      </c>
      <c r="K276" s="19">
        <v>2.7</v>
      </c>
      <c r="L276" s="6">
        <v>4774161.5</v>
      </c>
      <c r="M276" s="7">
        <v>1214762</v>
      </c>
      <c r="N276" s="7">
        <v>223324.796875</v>
      </c>
      <c r="O276" s="7">
        <v>1924637.5</v>
      </c>
      <c r="P276" s="7">
        <v>6733.7607421875</v>
      </c>
      <c r="Q276" s="7">
        <v>1231.728515625</v>
      </c>
      <c r="R276" s="7">
        <v>1936313.25</v>
      </c>
      <c r="S276" s="7">
        <v>1848130.625</v>
      </c>
      <c r="T276" s="31">
        <f t="shared" si="59"/>
        <v>1192.9295161132814</v>
      </c>
      <c r="U276" s="37">
        <v>4359</v>
      </c>
      <c r="V276">
        <f t="shared" si="60"/>
        <v>0.27367045563507258</v>
      </c>
      <c r="W276">
        <f t="shared" si="57"/>
        <v>-3.2868078531177361E-2</v>
      </c>
      <c r="X276" s="26">
        <v>4236.0795833333341</v>
      </c>
      <c r="Y276">
        <f t="shared" si="61"/>
        <v>0.10952423721036934</v>
      </c>
      <c r="Z276">
        <f t="shared" si="63"/>
        <v>2.7867905482908923E-2</v>
      </c>
      <c r="AA276">
        <f t="shared" si="64"/>
        <v>5.1233034382885982E-3</v>
      </c>
      <c r="AB276">
        <f t="shared" si="65"/>
        <v>4.4153188804771738E-2</v>
      </c>
      <c r="AC276">
        <f t="shared" si="66"/>
        <v>1.5447948479439092E-4</v>
      </c>
      <c r="AD276">
        <f t="shared" si="67"/>
        <v>2.8257135022367514E-5</v>
      </c>
      <c r="AE276">
        <f t="shared" si="68"/>
        <v>4.4421042670337231E-2</v>
      </c>
      <c r="AF276">
        <f t="shared" si="69"/>
        <v>4.2398041408579952E-2</v>
      </c>
      <c r="AG276">
        <f t="shared" si="62"/>
        <v>0.27367045563507253</v>
      </c>
      <c r="AH276">
        <v>0.24445632298756464</v>
      </c>
      <c r="AI276">
        <v>0.89465219139525531</v>
      </c>
      <c r="AJ276">
        <v>0.29752362722813736</v>
      </c>
      <c r="AK276">
        <v>1.7176124862501391E-2</v>
      </c>
      <c r="AL276">
        <v>0.86242583137850148</v>
      </c>
    </row>
    <row r="277" spans="1:38" x14ac:dyDescent="0.25">
      <c r="A277">
        <v>9</v>
      </c>
      <c r="B277" s="5" t="s">
        <v>4</v>
      </c>
      <c r="C277" s="6" t="s">
        <v>5</v>
      </c>
      <c r="D277" s="6" t="s">
        <v>63</v>
      </c>
      <c r="E277" s="26">
        <v>47218.66</v>
      </c>
      <c r="F277" s="11">
        <v>28</v>
      </c>
      <c r="G277" s="11">
        <v>14</v>
      </c>
      <c r="H277" s="11">
        <f t="shared" si="58"/>
        <v>14</v>
      </c>
      <c r="I277" s="18">
        <v>1</v>
      </c>
      <c r="J277" s="19">
        <v>0.48093841642228741</v>
      </c>
      <c r="K277" s="19">
        <v>2.7</v>
      </c>
      <c r="L277" s="6">
        <v>4700802.5</v>
      </c>
      <c r="M277" s="7">
        <v>1267154.375</v>
      </c>
      <c r="N277" s="7">
        <v>400911.1875</v>
      </c>
      <c r="O277" s="7">
        <v>1680293.625</v>
      </c>
      <c r="P277" s="7">
        <v>6733.7607421875</v>
      </c>
      <c r="Q277" s="7">
        <v>3448.72119140625</v>
      </c>
      <c r="R277" s="7">
        <v>2023129.375</v>
      </c>
      <c r="S277" s="7">
        <v>1877606.5</v>
      </c>
      <c r="T277" s="31">
        <f t="shared" si="59"/>
        <v>1196.0080044433594</v>
      </c>
      <c r="U277" s="37">
        <v>4489.5555555555557</v>
      </c>
      <c r="V277">
        <f t="shared" si="60"/>
        <v>0.26639786269341764</v>
      </c>
      <c r="W277">
        <f t="shared" si="57"/>
        <v>-2.657427132489823E-2</v>
      </c>
      <c r="X277" s="26">
        <v>4436.8737500000016</v>
      </c>
      <c r="Y277">
        <f t="shared" si="61"/>
        <v>0.1047052974805722</v>
      </c>
      <c r="Z277">
        <f t="shared" si="63"/>
        <v>2.8224494815126469E-2</v>
      </c>
      <c r="AA277">
        <f t="shared" si="64"/>
        <v>8.929863603177747E-3</v>
      </c>
      <c r="AB277">
        <f t="shared" si="65"/>
        <v>3.7426725300697919E-2</v>
      </c>
      <c r="AC277">
        <f t="shared" si="66"/>
        <v>1.4998724615078825E-4</v>
      </c>
      <c r="AD277">
        <f t="shared" si="67"/>
        <v>7.6816538936435794E-5</v>
      </c>
      <c r="AE277">
        <f t="shared" si="68"/>
        <v>4.5063021271593326E-2</v>
      </c>
      <c r="AF277">
        <f t="shared" si="69"/>
        <v>4.1821656437162798E-2</v>
      </c>
      <c r="AG277">
        <f t="shared" si="62"/>
        <v>0.2663978626934177</v>
      </c>
      <c r="AH277">
        <v>0.24445632298756464</v>
      </c>
      <c r="AI277">
        <v>0.89465219139525531</v>
      </c>
      <c r="AJ277">
        <v>0.29752362722813736</v>
      </c>
      <c r="AK277">
        <v>1.7176124862501391E-2</v>
      </c>
      <c r="AL277">
        <v>0.86242583137850148</v>
      </c>
    </row>
    <row r="278" spans="1:38" x14ac:dyDescent="0.25">
      <c r="A278">
        <v>9</v>
      </c>
      <c r="B278" s="5" t="s">
        <v>4</v>
      </c>
      <c r="C278" s="6" t="s">
        <v>5</v>
      </c>
      <c r="D278" s="6" t="s">
        <v>64</v>
      </c>
      <c r="E278" s="26">
        <v>47218.66</v>
      </c>
      <c r="F278" s="11">
        <v>29</v>
      </c>
      <c r="G278" s="11">
        <v>14</v>
      </c>
      <c r="H278" s="11">
        <f t="shared" si="58"/>
        <v>15</v>
      </c>
      <c r="I278" s="18">
        <v>1</v>
      </c>
      <c r="J278" s="19">
        <v>0.48093841642228741</v>
      </c>
      <c r="K278" s="19">
        <v>2.7</v>
      </c>
      <c r="L278" s="6">
        <v>5079000</v>
      </c>
      <c r="M278" s="7">
        <v>1303023.375</v>
      </c>
      <c r="N278" s="7">
        <v>913018.0625</v>
      </c>
      <c r="O278" s="7">
        <v>1653615.875</v>
      </c>
      <c r="P278" s="7">
        <v>6733.7607421875</v>
      </c>
      <c r="Q278" s="7">
        <v>4756.4677734375</v>
      </c>
      <c r="R278" s="7">
        <v>2085576.875</v>
      </c>
      <c r="S278" s="7">
        <v>1941477.75</v>
      </c>
      <c r="T278" s="31">
        <f t="shared" si="59"/>
        <v>1298.7202166015625</v>
      </c>
      <c r="U278" s="37">
        <v>4620.1111111111113</v>
      </c>
      <c r="V278">
        <f t="shared" si="60"/>
        <v>0.28110151149356827</v>
      </c>
      <c r="W278">
        <f t="shared" si="57"/>
        <v>5.5194319697197534E-2</v>
      </c>
      <c r="X278" s="26">
        <v>4637.667916666669</v>
      </c>
      <c r="Y278">
        <f t="shared" si="61"/>
        <v>0.10993242105769462</v>
      </c>
      <c r="Z278">
        <f t="shared" si="63"/>
        <v>2.8203290866020535E-2</v>
      </c>
      <c r="AA278">
        <f t="shared" si="64"/>
        <v>1.9761820452851062E-2</v>
      </c>
      <c r="AB278">
        <f t="shared" si="65"/>
        <v>3.5791690615906306E-2</v>
      </c>
      <c r="AC278">
        <f t="shared" si="66"/>
        <v>1.4574889175269351E-4</v>
      </c>
      <c r="AD278">
        <f t="shared" si="67"/>
        <v>1.0295137192693175E-4</v>
      </c>
      <c r="AE278">
        <f t="shared" si="68"/>
        <v>4.5141270953079529E-2</v>
      </c>
      <c r="AF278">
        <f t="shared" si="69"/>
        <v>4.2022317284336592E-2</v>
      </c>
      <c r="AG278">
        <f t="shared" si="62"/>
        <v>0.28110151149356827</v>
      </c>
      <c r="AH278">
        <v>0.24445632298756464</v>
      </c>
      <c r="AI278">
        <v>0.89465219139525531</v>
      </c>
      <c r="AJ278">
        <v>0.29752362722813736</v>
      </c>
      <c r="AK278">
        <v>1.7176124862501391E-2</v>
      </c>
      <c r="AL278">
        <v>0.86242583137850148</v>
      </c>
    </row>
    <row r="279" spans="1:38" x14ac:dyDescent="0.25">
      <c r="A279">
        <v>9</v>
      </c>
      <c r="B279" s="5" t="s">
        <v>4</v>
      </c>
      <c r="C279" s="6" t="s">
        <v>5</v>
      </c>
      <c r="D279" s="6" t="s">
        <v>65</v>
      </c>
      <c r="E279" s="26">
        <v>47218.66</v>
      </c>
      <c r="F279" s="11">
        <v>30</v>
      </c>
      <c r="G279" s="11">
        <v>14</v>
      </c>
      <c r="H279" s="11">
        <f t="shared" si="58"/>
        <v>16</v>
      </c>
      <c r="I279" s="18">
        <v>1</v>
      </c>
      <c r="J279" s="19">
        <v>0.48093841642228741</v>
      </c>
      <c r="K279" s="19">
        <v>2.7</v>
      </c>
      <c r="L279" s="6">
        <v>5023065</v>
      </c>
      <c r="M279" s="7">
        <v>1297268.75</v>
      </c>
      <c r="N279" s="7">
        <v>1348932.875</v>
      </c>
      <c r="O279" s="7">
        <v>1766187.875</v>
      </c>
      <c r="P279" s="7">
        <v>6733.7607421875</v>
      </c>
      <c r="Q279" s="7">
        <v>3138.71044921875</v>
      </c>
      <c r="R279" s="7">
        <v>2081044.625</v>
      </c>
      <c r="S279" s="7">
        <v>1915852.75</v>
      </c>
      <c r="T279" s="31">
        <f t="shared" si="59"/>
        <v>1344.2224346191406</v>
      </c>
      <c r="U279" s="37">
        <v>4750.666666666667</v>
      </c>
      <c r="V279">
        <f t="shared" si="60"/>
        <v>0.28295448385191002</v>
      </c>
      <c r="W279">
        <f t="shared" si="57"/>
        <v>6.5918263779387405E-3</v>
      </c>
      <c r="X279" s="26">
        <v>4838.4620833333356</v>
      </c>
      <c r="Y279">
        <f t="shared" si="61"/>
        <v>0.1057338969969127</v>
      </c>
      <c r="Z279">
        <f t="shared" si="63"/>
        <v>2.7307088478809988E-2</v>
      </c>
      <c r="AA279">
        <f t="shared" si="64"/>
        <v>2.8394601634858265E-2</v>
      </c>
      <c r="AB279">
        <f t="shared" si="65"/>
        <v>3.7177684710917765E-2</v>
      </c>
      <c r="AC279">
        <f t="shared" si="66"/>
        <v>1.4174349022286344E-4</v>
      </c>
      <c r="AD279">
        <f t="shared" si="67"/>
        <v>6.6068841900478875E-5</v>
      </c>
      <c r="AE279">
        <f t="shared" si="68"/>
        <v>4.3805317674712317E-2</v>
      </c>
      <c r="AF279">
        <f t="shared" si="69"/>
        <v>4.0328082023575636E-2</v>
      </c>
      <c r="AG279">
        <f t="shared" si="62"/>
        <v>0.28295448385191002</v>
      </c>
      <c r="AH279">
        <v>0.24445632298756464</v>
      </c>
      <c r="AI279">
        <v>0.89465219139525531</v>
      </c>
      <c r="AJ279">
        <v>0.29752362722813736</v>
      </c>
      <c r="AK279">
        <v>1.7176124862501391E-2</v>
      </c>
      <c r="AL279">
        <v>0.86242583137850148</v>
      </c>
    </row>
    <row r="280" spans="1:38" x14ac:dyDescent="0.25">
      <c r="A280">
        <v>9</v>
      </c>
      <c r="B280" s="5" t="s">
        <v>4</v>
      </c>
      <c r="C280" s="6" t="s">
        <v>5</v>
      </c>
      <c r="D280" s="6" t="s">
        <v>66</v>
      </c>
      <c r="E280" s="26">
        <v>47218.66</v>
      </c>
      <c r="F280" s="11">
        <v>31</v>
      </c>
      <c r="G280" s="11">
        <v>14</v>
      </c>
      <c r="H280" s="11">
        <f t="shared" si="58"/>
        <v>17</v>
      </c>
      <c r="I280" s="18">
        <v>1</v>
      </c>
      <c r="J280" s="19">
        <v>0.48093841642228741</v>
      </c>
      <c r="K280" s="19">
        <v>2.7</v>
      </c>
      <c r="L280" s="6">
        <v>5026880</v>
      </c>
      <c r="M280" s="7">
        <v>1308454.125</v>
      </c>
      <c r="N280" s="7">
        <v>2046210.5</v>
      </c>
      <c r="O280" s="7">
        <v>1970111</v>
      </c>
      <c r="P280" s="7">
        <v>6736.9921875</v>
      </c>
      <c r="Q280" s="7">
        <v>1480.271606445312</v>
      </c>
      <c r="R280" s="7">
        <v>2101598.75</v>
      </c>
      <c r="S280" s="7">
        <v>1849269.375</v>
      </c>
      <c r="T280" s="31">
        <f t="shared" si="59"/>
        <v>1431.0741013793945</v>
      </c>
      <c r="U280" s="37">
        <v>4881.2222222222226</v>
      </c>
      <c r="V280">
        <f t="shared" si="60"/>
        <v>0.29317946125548133</v>
      </c>
      <c r="W280">
        <f t="shared" si="57"/>
        <v>3.6136474193223106E-2</v>
      </c>
      <c r="X280" s="26">
        <v>5039.2562500000031</v>
      </c>
      <c r="Y280">
        <f t="shared" si="61"/>
        <v>0.10298404315858958</v>
      </c>
      <c r="Z280">
        <f t="shared" si="63"/>
        <v>2.6805870854294232E-2</v>
      </c>
      <c r="AA280">
        <f t="shared" si="64"/>
        <v>4.1920043932530557E-2</v>
      </c>
      <c r="AB280">
        <f t="shared" si="65"/>
        <v>4.0361018415242082E-2</v>
      </c>
      <c r="AC280">
        <f t="shared" si="66"/>
        <v>1.3801855110855658E-4</v>
      </c>
      <c r="AD280">
        <f t="shared" si="67"/>
        <v>3.0325839288902613E-5</v>
      </c>
      <c r="AE280">
        <f t="shared" si="68"/>
        <v>4.305476485852814E-2</v>
      </c>
      <c r="AF280">
        <f t="shared" si="69"/>
        <v>3.788537564589925E-2</v>
      </c>
      <c r="AG280">
        <f t="shared" si="62"/>
        <v>0.29317946125548133</v>
      </c>
      <c r="AH280">
        <v>0.24445632298756464</v>
      </c>
      <c r="AI280">
        <v>0.89465219139525531</v>
      </c>
      <c r="AJ280">
        <v>0.29752362722813736</v>
      </c>
      <c r="AK280">
        <v>1.7176124862501391E-2</v>
      </c>
      <c r="AL280">
        <v>0.86242583137850148</v>
      </c>
    </row>
    <row r="281" spans="1:38" x14ac:dyDescent="0.25">
      <c r="A281">
        <v>10</v>
      </c>
      <c r="B281" s="5" t="s">
        <v>19</v>
      </c>
      <c r="C281" s="6" t="s">
        <v>5</v>
      </c>
      <c r="D281" s="6" t="s">
        <v>36</v>
      </c>
      <c r="E281" s="28">
        <v>116364.2</v>
      </c>
      <c r="F281" s="11">
        <v>1</v>
      </c>
      <c r="G281" s="11">
        <v>17</v>
      </c>
      <c r="H281" s="18">
        <f t="shared" si="58"/>
        <v>-16</v>
      </c>
      <c r="I281" s="18">
        <v>1</v>
      </c>
      <c r="J281" s="19">
        <v>0.68768328445747806</v>
      </c>
      <c r="K281" s="19">
        <v>0.2</v>
      </c>
      <c r="L281" s="14">
        <v>26416578</v>
      </c>
      <c r="M281" s="16">
        <v>10580680</v>
      </c>
      <c r="N281" s="16">
        <v>3017418.5</v>
      </c>
      <c r="O281" s="16">
        <v>25737222</v>
      </c>
      <c r="P281" s="16">
        <v>35650.3046875</v>
      </c>
      <c r="Q281" s="16">
        <v>29488.13671875</v>
      </c>
      <c r="R281" s="16">
        <v>3694417.25</v>
      </c>
      <c r="S281" s="16">
        <v>4950152.5</v>
      </c>
      <c r="T281" s="31">
        <f t="shared" si="59"/>
        <v>7446.160669140625</v>
      </c>
      <c r="U281" s="37"/>
      <c r="X281" s="28">
        <v>9175.001666666667</v>
      </c>
      <c r="Y281" t="e">
        <f t="shared" si="61"/>
        <v>#DIV/0!</v>
      </c>
      <c r="Z281" t="e">
        <f t="shared" si="63"/>
        <v>#DIV/0!</v>
      </c>
      <c r="AA281" t="e">
        <f t="shared" si="64"/>
        <v>#DIV/0!</v>
      </c>
      <c r="AB281" t="e">
        <f t="shared" si="65"/>
        <v>#DIV/0!</v>
      </c>
      <c r="AC281" t="e">
        <f t="shared" si="66"/>
        <v>#DIV/0!</v>
      </c>
      <c r="AD281" t="e">
        <f t="shared" si="67"/>
        <v>#DIV/0!</v>
      </c>
      <c r="AE281" t="e">
        <f t="shared" si="68"/>
        <v>#DIV/0!</v>
      </c>
      <c r="AF281" t="e">
        <f t="shared" si="69"/>
        <v>#DIV/0!</v>
      </c>
      <c r="AG281" t="e">
        <f t="shared" si="62"/>
        <v>#DIV/0!</v>
      </c>
      <c r="AH281">
        <v>0.46041480111580713</v>
      </c>
      <c r="AI281">
        <v>0.73944738389182829</v>
      </c>
      <c r="AJ281">
        <v>7.9784240150093805E-2</v>
      </c>
      <c r="AK281">
        <v>2.3345942308716942E-2</v>
      </c>
      <c r="AL281">
        <v>0.68666311056504992</v>
      </c>
    </row>
    <row r="282" spans="1:38" x14ac:dyDescent="0.25">
      <c r="A282">
        <v>10</v>
      </c>
      <c r="B282" s="5" t="s">
        <v>19</v>
      </c>
      <c r="C282" s="6" t="s">
        <v>5</v>
      </c>
      <c r="D282" s="6" t="s">
        <v>37</v>
      </c>
      <c r="E282" s="28">
        <v>116364.2</v>
      </c>
      <c r="F282" s="11">
        <v>2</v>
      </c>
      <c r="G282" s="11">
        <v>17</v>
      </c>
      <c r="H282" s="11">
        <f t="shared" si="58"/>
        <v>-15</v>
      </c>
      <c r="I282" s="18">
        <v>1</v>
      </c>
      <c r="J282" s="19">
        <v>0.68768328445747806</v>
      </c>
      <c r="K282" s="19">
        <v>0.2</v>
      </c>
      <c r="L282" s="6">
        <v>28693612</v>
      </c>
      <c r="M282" s="7">
        <v>10160599</v>
      </c>
      <c r="N282" s="7">
        <v>3017418.5</v>
      </c>
      <c r="O282" s="7">
        <v>24710744</v>
      </c>
      <c r="P282" s="7">
        <v>35650.3046875</v>
      </c>
      <c r="Q282" s="7">
        <v>17338.3671875</v>
      </c>
      <c r="R282" s="7">
        <v>3729375.25</v>
      </c>
      <c r="S282" s="7">
        <v>4858537.5</v>
      </c>
      <c r="T282" s="31">
        <f t="shared" si="59"/>
        <v>7522.3274921875</v>
      </c>
      <c r="U282" s="37">
        <v>10072</v>
      </c>
      <c r="V282">
        <f t="shared" si="60"/>
        <v>0.74685539040781379</v>
      </c>
      <c r="W282" t="e">
        <f>(V282-V281)/V281</f>
        <v>#DIV/0!</v>
      </c>
      <c r="X282" s="28">
        <v>10390.391666666666</v>
      </c>
      <c r="Y282">
        <f t="shared" si="61"/>
        <v>0.28488494837172362</v>
      </c>
      <c r="Z282">
        <f t="shared" si="63"/>
        <v>0.10087965647339159</v>
      </c>
      <c r="AA282">
        <f t="shared" si="64"/>
        <v>2.9958483915806199E-2</v>
      </c>
      <c r="AB282">
        <f t="shared" si="65"/>
        <v>0.24534098490865766</v>
      </c>
      <c r="AC282">
        <f t="shared" si="66"/>
        <v>3.5395457394261318E-4</v>
      </c>
      <c r="AD282">
        <f t="shared" si="67"/>
        <v>1.7214423339455918E-4</v>
      </c>
      <c r="AE282">
        <f t="shared" si="68"/>
        <v>3.7027156969817315E-2</v>
      </c>
      <c r="AF282">
        <f t="shared" si="69"/>
        <v>4.8238060961080222E-2</v>
      </c>
      <c r="AG282">
        <f t="shared" si="62"/>
        <v>0.74685539040781368</v>
      </c>
      <c r="AH282">
        <v>0.46041480111580713</v>
      </c>
      <c r="AI282">
        <v>0.73944738389182829</v>
      </c>
      <c r="AJ282">
        <v>7.9784240150093805E-2</v>
      </c>
      <c r="AK282">
        <v>2.3345942308716942E-2</v>
      </c>
      <c r="AL282">
        <v>0.68666311056504992</v>
      </c>
    </row>
    <row r="283" spans="1:38" x14ac:dyDescent="0.25">
      <c r="A283">
        <v>10</v>
      </c>
      <c r="B283" s="5" t="s">
        <v>19</v>
      </c>
      <c r="C283" s="6" t="s">
        <v>5</v>
      </c>
      <c r="D283" s="6" t="s">
        <v>38</v>
      </c>
      <c r="E283" s="28">
        <v>116364.2</v>
      </c>
      <c r="F283" s="11">
        <v>3</v>
      </c>
      <c r="G283" s="11">
        <v>17</v>
      </c>
      <c r="H283" s="11">
        <f t="shared" si="58"/>
        <v>-14</v>
      </c>
      <c r="I283" s="18">
        <v>1</v>
      </c>
      <c r="J283" s="19">
        <v>0.68768328445747806</v>
      </c>
      <c r="K283" s="19">
        <v>0.2</v>
      </c>
      <c r="L283" s="6">
        <v>28682450</v>
      </c>
      <c r="M283" s="7">
        <v>9870607</v>
      </c>
      <c r="N283" s="7">
        <v>3017418.5</v>
      </c>
      <c r="O283" s="7">
        <v>24014212</v>
      </c>
      <c r="P283" s="7">
        <v>35650.3046875</v>
      </c>
      <c r="Q283" s="7">
        <v>24346.494140625</v>
      </c>
      <c r="R283" s="7">
        <v>3611347</v>
      </c>
      <c r="S283" s="7">
        <v>4906745</v>
      </c>
      <c r="T283" s="31">
        <f t="shared" si="59"/>
        <v>7416.2776298828121</v>
      </c>
      <c r="U283" s="37">
        <v>10179.333333333334</v>
      </c>
      <c r="V283">
        <f t="shared" si="60"/>
        <v>0.72856221395141907</v>
      </c>
      <c r="W283">
        <f t="shared" ref="W283:W311" si="70">(V283-V282)/V282</f>
        <v>-2.4493599017081331E-2</v>
      </c>
      <c r="X283" s="28">
        <v>11605.781666666668</v>
      </c>
      <c r="Y283">
        <f t="shared" si="61"/>
        <v>0.28177139956775166</v>
      </c>
      <c r="Z283">
        <f t="shared" si="63"/>
        <v>9.6967126203418685E-2</v>
      </c>
      <c r="AA283">
        <f t="shared" si="64"/>
        <v>2.9642594472460541E-2</v>
      </c>
      <c r="AB283">
        <f t="shared" si="65"/>
        <v>0.23591144148274279</v>
      </c>
      <c r="AC283">
        <f t="shared" si="66"/>
        <v>3.50222391978846E-4</v>
      </c>
      <c r="AD283">
        <f t="shared" si="67"/>
        <v>2.3917572343269043E-4</v>
      </c>
      <c r="AE283">
        <f t="shared" si="68"/>
        <v>3.547724474425306E-2</v>
      </c>
      <c r="AF283">
        <f t="shared" si="69"/>
        <v>4.8203009365380835E-2</v>
      </c>
      <c r="AG283">
        <f t="shared" si="62"/>
        <v>0.72856221395141907</v>
      </c>
      <c r="AH283">
        <v>0.46041480111580713</v>
      </c>
      <c r="AI283">
        <v>0.73944738389182829</v>
      </c>
      <c r="AJ283">
        <v>7.9784240150093805E-2</v>
      </c>
      <c r="AK283">
        <v>2.3345942308716942E-2</v>
      </c>
      <c r="AL283">
        <v>0.68666311056504992</v>
      </c>
    </row>
    <row r="284" spans="1:38" x14ac:dyDescent="0.25">
      <c r="A284">
        <v>10</v>
      </c>
      <c r="B284" s="5" t="s">
        <v>19</v>
      </c>
      <c r="C284" s="6" t="s">
        <v>5</v>
      </c>
      <c r="D284" s="6" t="s">
        <v>39</v>
      </c>
      <c r="E284" s="28">
        <v>116364.2</v>
      </c>
      <c r="F284" s="11">
        <v>4</v>
      </c>
      <c r="G284" s="11">
        <v>17</v>
      </c>
      <c r="H284" s="11">
        <f t="shared" si="58"/>
        <v>-13</v>
      </c>
      <c r="I284" s="18">
        <v>1</v>
      </c>
      <c r="J284" s="19">
        <v>0.68768328445747806</v>
      </c>
      <c r="K284" s="19">
        <v>0.2</v>
      </c>
      <c r="L284" s="6">
        <v>27261164</v>
      </c>
      <c r="M284" s="7">
        <v>10300261</v>
      </c>
      <c r="N284" s="7">
        <v>3017418.5</v>
      </c>
      <c r="O284" s="7">
        <v>25061910</v>
      </c>
      <c r="P284" s="7">
        <v>35650.3046875</v>
      </c>
      <c r="Q284" s="7">
        <v>68167.8359375</v>
      </c>
      <c r="R284" s="7">
        <v>3576358.25</v>
      </c>
      <c r="S284" s="7">
        <v>4986222</v>
      </c>
      <c r="T284" s="31">
        <f t="shared" si="59"/>
        <v>7430.7151890625</v>
      </c>
      <c r="U284" s="37">
        <v>10435</v>
      </c>
      <c r="V284">
        <f t="shared" si="60"/>
        <v>0.71209537029827508</v>
      </c>
      <c r="W284">
        <f t="shared" si="70"/>
        <v>-2.2601835969277992E-2</v>
      </c>
      <c r="X284" s="28">
        <v>12821.171666666669</v>
      </c>
      <c r="Y284">
        <f t="shared" si="61"/>
        <v>0.26124737901293726</v>
      </c>
      <c r="Z284">
        <f t="shared" si="63"/>
        <v>9.8708778150455201E-2</v>
      </c>
      <c r="AA284">
        <f t="shared" si="64"/>
        <v>2.8916324868231914E-2</v>
      </c>
      <c r="AB284">
        <f t="shared" si="65"/>
        <v>0.24017163392429325</v>
      </c>
      <c r="AC284">
        <f t="shared" si="66"/>
        <v>3.416416357211308E-4</v>
      </c>
      <c r="AD284">
        <f t="shared" si="67"/>
        <v>6.5326148478677521E-4</v>
      </c>
      <c r="AE284">
        <f t="shared" si="68"/>
        <v>3.4272719214183033E-2</v>
      </c>
      <c r="AF284">
        <f t="shared" si="69"/>
        <v>4.7783632007666506E-2</v>
      </c>
      <c r="AG284">
        <f t="shared" si="62"/>
        <v>0.71209537029827519</v>
      </c>
      <c r="AH284">
        <v>0.46041480111580713</v>
      </c>
      <c r="AI284">
        <v>0.73944738389182829</v>
      </c>
      <c r="AJ284">
        <v>7.9784240150093805E-2</v>
      </c>
      <c r="AK284">
        <v>2.3345942308716942E-2</v>
      </c>
      <c r="AL284">
        <v>0.68666311056504992</v>
      </c>
    </row>
    <row r="285" spans="1:38" x14ac:dyDescent="0.25">
      <c r="A285">
        <v>10</v>
      </c>
      <c r="B285" s="5" t="s">
        <v>19</v>
      </c>
      <c r="C285" s="6" t="s">
        <v>5</v>
      </c>
      <c r="D285" s="6" t="s">
        <v>40</v>
      </c>
      <c r="E285" s="28">
        <v>116364.2</v>
      </c>
      <c r="F285" s="11">
        <v>5</v>
      </c>
      <c r="G285" s="11">
        <v>17</v>
      </c>
      <c r="H285" s="11">
        <f t="shared" si="58"/>
        <v>-12</v>
      </c>
      <c r="I285" s="18">
        <v>1</v>
      </c>
      <c r="J285" s="19">
        <v>0.68768328445747806</v>
      </c>
      <c r="K285" s="19">
        <v>0.2</v>
      </c>
      <c r="L285" s="6">
        <v>30892514</v>
      </c>
      <c r="M285" s="7">
        <v>10599529</v>
      </c>
      <c r="N285" s="7">
        <v>3017418.5</v>
      </c>
      <c r="O285" s="7">
        <v>25771332</v>
      </c>
      <c r="P285" s="7">
        <v>35650.3046875</v>
      </c>
      <c r="Q285" s="7">
        <v>94016.9140625</v>
      </c>
      <c r="R285" s="7">
        <v>3737509</v>
      </c>
      <c r="S285" s="7">
        <v>5157908.5</v>
      </c>
      <c r="T285" s="31">
        <f t="shared" si="59"/>
        <v>7930.5878218750004</v>
      </c>
      <c r="U285" s="37">
        <v>10690.666666666666</v>
      </c>
      <c r="V285">
        <f t="shared" si="60"/>
        <v>0.74182350541360076</v>
      </c>
      <c r="W285">
        <f t="shared" si="70"/>
        <v>4.1747406815569481E-2</v>
      </c>
      <c r="X285" s="28">
        <v>14036.561666666668</v>
      </c>
      <c r="Y285">
        <f t="shared" si="61"/>
        <v>0.28896714267897233</v>
      </c>
      <c r="Z285">
        <f t="shared" si="63"/>
        <v>9.9147502494387627E-2</v>
      </c>
      <c r="AA285">
        <f t="shared" si="64"/>
        <v>2.8224792654028438E-2</v>
      </c>
      <c r="AB285">
        <f t="shared" si="65"/>
        <v>0.2410638438513345</v>
      </c>
      <c r="AC285">
        <f t="shared" si="66"/>
        <v>3.3347129602924669E-4</v>
      </c>
      <c r="AD285">
        <f t="shared" si="67"/>
        <v>8.7942985216855831E-4</v>
      </c>
      <c r="AE285">
        <f t="shared" si="68"/>
        <v>3.4960485781990527E-2</v>
      </c>
      <c r="AF285">
        <f t="shared" si="69"/>
        <v>4.8246836804689448E-2</v>
      </c>
      <c r="AG285">
        <f t="shared" si="62"/>
        <v>0.74182350541360076</v>
      </c>
      <c r="AH285">
        <v>0.46041480111580713</v>
      </c>
      <c r="AI285">
        <v>0.73944738389182829</v>
      </c>
      <c r="AJ285">
        <v>7.9784240150093805E-2</v>
      </c>
      <c r="AK285">
        <v>2.3345942308716942E-2</v>
      </c>
      <c r="AL285">
        <v>0.68666311056504992</v>
      </c>
    </row>
    <row r="286" spans="1:38" x14ac:dyDescent="0.25">
      <c r="A286">
        <v>10</v>
      </c>
      <c r="B286" s="5" t="s">
        <v>19</v>
      </c>
      <c r="C286" s="6" t="s">
        <v>5</v>
      </c>
      <c r="D286" s="6" t="s">
        <v>41</v>
      </c>
      <c r="E286" s="28">
        <v>116364.2</v>
      </c>
      <c r="F286" s="11">
        <v>6</v>
      </c>
      <c r="G286" s="11">
        <v>17</v>
      </c>
      <c r="H286" s="11">
        <f t="shared" si="58"/>
        <v>-11</v>
      </c>
      <c r="I286" s="18">
        <v>1</v>
      </c>
      <c r="J286" s="19">
        <v>0.68768328445747806</v>
      </c>
      <c r="K286" s="19">
        <v>0.2</v>
      </c>
      <c r="L286" s="6">
        <v>32637496</v>
      </c>
      <c r="M286" s="7">
        <v>10561077</v>
      </c>
      <c r="N286" s="7">
        <v>3017418.5</v>
      </c>
      <c r="O286" s="7">
        <v>25678328</v>
      </c>
      <c r="P286" s="7">
        <v>35650.3046875</v>
      </c>
      <c r="Q286" s="7">
        <v>62040.12890625</v>
      </c>
      <c r="R286" s="7">
        <v>3708304.25</v>
      </c>
      <c r="S286" s="7">
        <v>5089516</v>
      </c>
      <c r="T286" s="31">
        <f t="shared" si="59"/>
        <v>8078.9830183593749</v>
      </c>
      <c r="U286" s="37">
        <v>10946.333333333334</v>
      </c>
      <c r="V286">
        <f t="shared" si="60"/>
        <v>0.738053809649445</v>
      </c>
      <c r="W286">
        <f t="shared" si="70"/>
        <v>-5.0816612531763561E-3</v>
      </c>
      <c r="X286" s="28">
        <v>15251.95166666667</v>
      </c>
      <c r="Y286">
        <f t="shared" si="61"/>
        <v>0.29815916440817319</v>
      </c>
      <c r="Z286">
        <f t="shared" si="63"/>
        <v>9.6480498797161904E-2</v>
      </c>
      <c r="AA286">
        <f t="shared" si="64"/>
        <v>2.7565563811321903E-2</v>
      </c>
      <c r="AB286">
        <f t="shared" si="65"/>
        <v>0.23458383020189408</v>
      </c>
      <c r="AC286">
        <f t="shared" si="66"/>
        <v>3.2568261537348881E-4</v>
      </c>
      <c r="AD286">
        <f t="shared" si="67"/>
        <v>5.6676630445126218E-4</v>
      </c>
      <c r="AE286">
        <f t="shared" si="68"/>
        <v>3.3877136179542619E-2</v>
      </c>
      <c r="AF286">
        <f t="shared" si="69"/>
        <v>4.6495167331526532E-2</v>
      </c>
      <c r="AG286">
        <f t="shared" si="62"/>
        <v>0.73805380964944489</v>
      </c>
      <c r="AH286">
        <v>0.46041480111580713</v>
      </c>
      <c r="AI286">
        <v>0.73944738389182829</v>
      </c>
      <c r="AJ286">
        <v>7.9784240150093805E-2</v>
      </c>
      <c r="AK286">
        <v>2.3345942308716942E-2</v>
      </c>
      <c r="AL286">
        <v>0.68666311056504992</v>
      </c>
    </row>
    <row r="287" spans="1:38" x14ac:dyDescent="0.25">
      <c r="A287">
        <v>10</v>
      </c>
      <c r="B287" s="5" t="s">
        <v>19</v>
      </c>
      <c r="C287" s="6" t="s">
        <v>5</v>
      </c>
      <c r="D287" s="6" t="s">
        <v>42</v>
      </c>
      <c r="E287" s="28">
        <v>116364.2</v>
      </c>
      <c r="F287" s="11">
        <v>7</v>
      </c>
      <c r="G287" s="11">
        <v>17</v>
      </c>
      <c r="H287" s="11">
        <f t="shared" si="58"/>
        <v>-10</v>
      </c>
      <c r="I287" s="18">
        <v>1</v>
      </c>
      <c r="J287" s="19">
        <v>0.68768328445747806</v>
      </c>
      <c r="K287" s="19">
        <v>0.2</v>
      </c>
      <c r="L287" s="6">
        <v>39862988</v>
      </c>
      <c r="M287" s="7">
        <v>10656468</v>
      </c>
      <c r="N287" s="7">
        <v>3018867</v>
      </c>
      <c r="O287" s="7">
        <v>25912656</v>
      </c>
      <c r="P287" s="7">
        <v>35667.41796875</v>
      </c>
      <c r="Q287" s="7">
        <v>29259.228515625</v>
      </c>
      <c r="R287" s="7">
        <v>3706641.25</v>
      </c>
      <c r="S287" s="7">
        <v>4912374</v>
      </c>
      <c r="T287" s="31">
        <f t="shared" si="59"/>
        <v>8813.4920896484382</v>
      </c>
      <c r="U287" s="37">
        <v>11202.000000000002</v>
      </c>
      <c r="V287">
        <f t="shared" si="60"/>
        <v>0.78677844042567724</v>
      </c>
      <c r="W287">
        <f t="shared" si="70"/>
        <v>6.6017721389955403E-2</v>
      </c>
      <c r="X287" s="28">
        <v>16467.341666666671</v>
      </c>
      <c r="Y287">
        <f t="shared" si="61"/>
        <v>0.35585599000178536</v>
      </c>
      <c r="Z287">
        <f t="shared" si="63"/>
        <v>9.5130048205677539E-2</v>
      </c>
      <c r="AA287">
        <f t="shared" si="64"/>
        <v>2.6949357257632561E-2</v>
      </c>
      <c r="AB287">
        <f t="shared" si="65"/>
        <v>0.2313216925549009</v>
      </c>
      <c r="AC287">
        <f t="shared" si="66"/>
        <v>3.1840223146536328E-4</v>
      </c>
      <c r="AD287">
        <f t="shared" si="67"/>
        <v>2.6119646951995172E-4</v>
      </c>
      <c r="AE287">
        <f t="shared" si="68"/>
        <v>3.3089102392429917E-2</v>
      </c>
      <c r="AF287">
        <f t="shared" si="69"/>
        <v>4.3852651312265657E-2</v>
      </c>
      <c r="AG287">
        <f t="shared" si="62"/>
        <v>0.78677844042567724</v>
      </c>
      <c r="AH287">
        <v>0.46041480111580713</v>
      </c>
      <c r="AI287">
        <v>0.73944738389182829</v>
      </c>
      <c r="AJ287">
        <v>7.9784240150093805E-2</v>
      </c>
      <c r="AK287">
        <v>2.3345942308716942E-2</v>
      </c>
      <c r="AL287">
        <v>0.68666311056504992</v>
      </c>
    </row>
    <row r="288" spans="1:38" x14ac:dyDescent="0.25">
      <c r="A288">
        <v>10</v>
      </c>
      <c r="B288" s="5" t="s">
        <v>19</v>
      </c>
      <c r="C288" s="6" t="s">
        <v>5</v>
      </c>
      <c r="D288" s="6" t="s">
        <v>43</v>
      </c>
      <c r="E288" s="28">
        <v>122875.6</v>
      </c>
      <c r="F288" s="11">
        <v>8</v>
      </c>
      <c r="G288" s="11">
        <v>17</v>
      </c>
      <c r="H288" s="18">
        <f t="shared" si="58"/>
        <v>-9</v>
      </c>
      <c r="I288" s="18">
        <v>1</v>
      </c>
      <c r="J288" s="19">
        <v>0.68768328445747806</v>
      </c>
      <c r="K288" s="19">
        <v>0.2</v>
      </c>
      <c r="L288" s="14">
        <v>27958330</v>
      </c>
      <c r="M288" s="16">
        <v>9725646</v>
      </c>
      <c r="N288" s="16">
        <v>2980550.75</v>
      </c>
      <c r="O288" s="16">
        <v>25394100</v>
      </c>
      <c r="P288" s="16">
        <v>36462.8359375</v>
      </c>
      <c r="Q288" s="16">
        <v>14950.529296875</v>
      </c>
      <c r="R288" s="16">
        <v>3887353.5</v>
      </c>
      <c r="S288" s="16">
        <v>4570712.5</v>
      </c>
      <c r="T288" s="31">
        <f t="shared" si="59"/>
        <v>7456.8106115234377</v>
      </c>
      <c r="U288" s="37">
        <v>9328.9999999999982</v>
      </c>
      <c r="V288">
        <f t="shared" si="60"/>
        <v>0.799315104676111</v>
      </c>
      <c r="W288">
        <f t="shared" si="70"/>
        <v>1.5934173594857208E-2</v>
      </c>
      <c r="X288" s="28">
        <v>8021.3441666666658</v>
      </c>
      <c r="Y288">
        <f t="shared" si="61"/>
        <v>0.29969267874370248</v>
      </c>
      <c r="Z288">
        <f t="shared" si="63"/>
        <v>0.10425175259942118</v>
      </c>
      <c r="AA288">
        <f t="shared" si="64"/>
        <v>3.1949305927752178E-2</v>
      </c>
      <c r="AB288">
        <f t="shared" si="65"/>
        <v>0.27220602422553336</v>
      </c>
      <c r="AC288">
        <f t="shared" si="66"/>
        <v>3.9085471044592143E-4</v>
      </c>
      <c r="AD288">
        <f t="shared" si="67"/>
        <v>1.6025864826749923E-4</v>
      </c>
      <c r="AE288">
        <f t="shared" si="68"/>
        <v>4.1669562654089408E-2</v>
      </c>
      <c r="AF288">
        <f t="shared" si="69"/>
        <v>4.8994667166898924E-2</v>
      </c>
      <c r="AG288">
        <f t="shared" si="62"/>
        <v>0.799315104676111</v>
      </c>
      <c r="AH288">
        <v>0.45040186985862124</v>
      </c>
      <c r="AI288">
        <v>0.7442160892542572</v>
      </c>
      <c r="AJ288">
        <v>7.9878048780487806E-2</v>
      </c>
      <c r="AK288">
        <v>2.4363481439765095E-2</v>
      </c>
      <c r="AL288">
        <v>0.62134421197514045</v>
      </c>
    </row>
    <row r="289" spans="1:38" x14ac:dyDescent="0.25">
      <c r="A289">
        <v>10</v>
      </c>
      <c r="B289" s="5" t="s">
        <v>19</v>
      </c>
      <c r="C289" s="6" t="s">
        <v>5</v>
      </c>
      <c r="D289" s="6" t="s">
        <v>44</v>
      </c>
      <c r="E289" s="28">
        <v>122875.6</v>
      </c>
      <c r="F289" s="11">
        <v>9</v>
      </c>
      <c r="G289" s="11">
        <v>17</v>
      </c>
      <c r="H289" s="11">
        <f t="shared" si="58"/>
        <v>-8</v>
      </c>
      <c r="I289" s="18">
        <v>1</v>
      </c>
      <c r="J289" s="19">
        <v>0.68768328445747806</v>
      </c>
      <c r="K289" s="19">
        <v>0.2</v>
      </c>
      <c r="L289" s="6">
        <v>27819792</v>
      </c>
      <c r="M289" s="7">
        <v>9532253</v>
      </c>
      <c r="N289" s="7">
        <v>2980550.75</v>
      </c>
      <c r="O289" s="7">
        <v>24867694</v>
      </c>
      <c r="P289" s="7">
        <v>36462.8359375</v>
      </c>
      <c r="Q289" s="7">
        <v>21111.86328125</v>
      </c>
      <c r="R289" s="7">
        <v>3760877.5</v>
      </c>
      <c r="S289" s="7">
        <v>4622587.5</v>
      </c>
      <c r="T289" s="31">
        <f t="shared" si="59"/>
        <v>7364.1329449218747</v>
      </c>
      <c r="U289" s="37">
        <v>9462.6666666666661</v>
      </c>
      <c r="V289">
        <f t="shared" si="60"/>
        <v>0.77823019708206376</v>
      </c>
      <c r="W289">
        <f t="shared" si="70"/>
        <v>-2.6378717818163862E-2</v>
      </c>
      <c r="X289" s="28">
        <v>8412.7558333333327</v>
      </c>
      <c r="Y289">
        <f t="shared" si="61"/>
        <v>0.2939952656051853</v>
      </c>
      <c r="Z289">
        <f t="shared" si="63"/>
        <v>0.10073537762434832</v>
      </c>
      <c r="AA289">
        <f t="shared" si="64"/>
        <v>3.1498000035226154E-2</v>
      </c>
      <c r="AB289">
        <f t="shared" si="65"/>
        <v>0.26279794983795973</v>
      </c>
      <c r="AC289">
        <f t="shared" si="66"/>
        <v>3.8533361917887838E-4</v>
      </c>
      <c r="AD289">
        <f t="shared" si="67"/>
        <v>2.2310691082059325E-4</v>
      </c>
      <c r="AE289">
        <f t="shared" si="68"/>
        <v>3.974437262223475E-2</v>
      </c>
      <c r="AF289">
        <f t="shared" si="69"/>
        <v>4.8850790827110052E-2</v>
      </c>
      <c r="AG289">
        <f t="shared" si="62"/>
        <v>0.77823019708206387</v>
      </c>
      <c r="AH289">
        <v>0.45040186985862124</v>
      </c>
      <c r="AI289">
        <v>0.7442160892542572</v>
      </c>
      <c r="AJ289">
        <v>7.9878048780487806E-2</v>
      </c>
      <c r="AK289">
        <v>2.4363481439765095E-2</v>
      </c>
      <c r="AL289">
        <v>0.62134421197514045</v>
      </c>
    </row>
    <row r="290" spans="1:38" x14ac:dyDescent="0.25">
      <c r="A290">
        <v>10</v>
      </c>
      <c r="B290" s="5" t="s">
        <v>19</v>
      </c>
      <c r="C290" s="6" t="s">
        <v>5</v>
      </c>
      <c r="D290" s="6" t="s">
        <v>45</v>
      </c>
      <c r="E290" s="28">
        <v>122875.6</v>
      </c>
      <c r="F290" s="11">
        <v>10</v>
      </c>
      <c r="G290" s="11">
        <v>17</v>
      </c>
      <c r="H290" s="11">
        <f t="shared" si="58"/>
        <v>-7</v>
      </c>
      <c r="I290" s="18">
        <v>1</v>
      </c>
      <c r="J290" s="19">
        <v>0.68768328445747806</v>
      </c>
      <c r="K290" s="19">
        <v>0.2</v>
      </c>
      <c r="L290" s="6">
        <v>31646418</v>
      </c>
      <c r="M290" s="7">
        <v>9894397</v>
      </c>
      <c r="N290" s="7">
        <v>2980550.75</v>
      </c>
      <c r="O290" s="7">
        <v>25828566</v>
      </c>
      <c r="P290" s="7">
        <v>36462.8359375</v>
      </c>
      <c r="Q290" s="7">
        <v>60215.6640625</v>
      </c>
      <c r="R290" s="7">
        <v>3718840.75</v>
      </c>
      <c r="S290" s="7">
        <v>4732482.5</v>
      </c>
      <c r="T290" s="31">
        <f t="shared" si="59"/>
        <v>7889.7933499999999</v>
      </c>
      <c r="U290" s="37">
        <v>9596.3333333333339</v>
      </c>
      <c r="V290">
        <f t="shared" si="60"/>
        <v>0.82216749626593488</v>
      </c>
      <c r="W290">
        <f t="shared" si="70"/>
        <v>5.6457972652066049E-2</v>
      </c>
      <c r="X290" s="28">
        <v>8804.1674999999996</v>
      </c>
      <c r="Y290">
        <f t="shared" si="61"/>
        <v>0.32977614366598351</v>
      </c>
      <c r="Z290">
        <f t="shared" si="63"/>
        <v>0.10310601618673798</v>
      </c>
      <c r="AA290">
        <f t="shared" si="64"/>
        <v>3.1059266560144499E-2</v>
      </c>
      <c r="AB290">
        <f t="shared" si="65"/>
        <v>0.26915036298586265</v>
      </c>
      <c r="AC290">
        <f t="shared" si="66"/>
        <v>3.7996633371252905E-4</v>
      </c>
      <c r="AD290">
        <f t="shared" si="67"/>
        <v>6.2748616550592235E-4</v>
      </c>
      <c r="AE290">
        <f t="shared" si="68"/>
        <v>3.8752725867518843E-2</v>
      </c>
      <c r="AF290">
        <f t="shared" si="69"/>
        <v>4.9315528500468921E-2</v>
      </c>
      <c r="AG290">
        <f t="shared" si="62"/>
        <v>0.82216749626593488</v>
      </c>
      <c r="AH290">
        <v>0.45040186985862124</v>
      </c>
      <c r="AI290">
        <v>0.7442160892542572</v>
      </c>
      <c r="AJ290">
        <v>7.9878048780487806E-2</v>
      </c>
      <c r="AK290">
        <v>2.4363481439765095E-2</v>
      </c>
      <c r="AL290">
        <v>0.62134421197514045</v>
      </c>
    </row>
    <row r="291" spans="1:38" x14ac:dyDescent="0.25">
      <c r="A291">
        <v>10</v>
      </c>
      <c r="B291" s="5" t="s">
        <v>19</v>
      </c>
      <c r="C291" s="6" t="s">
        <v>5</v>
      </c>
      <c r="D291" s="6" t="s">
        <v>46</v>
      </c>
      <c r="E291" s="28">
        <v>122875.6</v>
      </c>
      <c r="F291" s="11">
        <v>11</v>
      </c>
      <c r="G291" s="11">
        <v>17</v>
      </c>
      <c r="H291" s="11">
        <f t="shared" si="58"/>
        <v>-6</v>
      </c>
      <c r="I291" s="18">
        <v>1</v>
      </c>
      <c r="J291" s="19">
        <v>0.68768328445747806</v>
      </c>
      <c r="K291" s="19">
        <v>0.2</v>
      </c>
      <c r="L291" s="6">
        <v>28624806</v>
      </c>
      <c r="M291" s="7">
        <v>10054613</v>
      </c>
      <c r="N291" s="7">
        <v>2980550.75</v>
      </c>
      <c r="O291" s="7">
        <v>26261302</v>
      </c>
      <c r="P291" s="7">
        <v>36462.8359375</v>
      </c>
      <c r="Q291" s="7">
        <v>83002.65625</v>
      </c>
      <c r="R291" s="7">
        <v>3883103</v>
      </c>
      <c r="S291" s="7">
        <v>4895718</v>
      </c>
      <c r="T291" s="31">
        <f t="shared" si="59"/>
        <v>7681.9558242187504</v>
      </c>
      <c r="U291" s="37">
        <v>9730</v>
      </c>
      <c r="V291">
        <f t="shared" si="60"/>
        <v>0.78951241769976876</v>
      </c>
      <c r="W291">
        <f t="shared" si="70"/>
        <v>-3.9718279686896847E-2</v>
      </c>
      <c r="X291" s="28">
        <v>9195.5791666666664</v>
      </c>
      <c r="Y291">
        <f t="shared" si="61"/>
        <v>0.29419122302158274</v>
      </c>
      <c r="Z291">
        <f t="shared" si="63"/>
        <v>0.10333620760534429</v>
      </c>
      <c r="AA291">
        <f t="shared" si="64"/>
        <v>3.0632587358684481E-2</v>
      </c>
      <c r="AB291">
        <f t="shared" si="65"/>
        <v>0.26990032887975335</v>
      </c>
      <c r="AC291">
        <f t="shared" si="66"/>
        <v>3.7474651528776978E-4</v>
      </c>
      <c r="AD291">
        <f t="shared" si="67"/>
        <v>8.5305915981500518E-4</v>
      </c>
      <c r="AE291">
        <f t="shared" si="68"/>
        <v>3.9908561151079137E-2</v>
      </c>
      <c r="AF291">
        <f t="shared" si="69"/>
        <v>5.0315704008221995E-2</v>
      </c>
      <c r="AG291">
        <f t="shared" si="62"/>
        <v>0.78951241769976876</v>
      </c>
      <c r="AH291">
        <v>0.45040186985862124</v>
      </c>
      <c r="AI291">
        <v>0.7442160892542572</v>
      </c>
      <c r="AJ291">
        <v>7.9878048780487806E-2</v>
      </c>
      <c r="AK291">
        <v>2.4363481439765095E-2</v>
      </c>
      <c r="AL291">
        <v>0.62134421197514045</v>
      </c>
    </row>
    <row r="292" spans="1:38" x14ac:dyDescent="0.25">
      <c r="A292">
        <v>10</v>
      </c>
      <c r="B292" s="5" t="s">
        <v>19</v>
      </c>
      <c r="C292" s="6" t="s">
        <v>5</v>
      </c>
      <c r="D292" s="6" t="s">
        <v>47</v>
      </c>
      <c r="E292" s="28">
        <v>122875.6</v>
      </c>
      <c r="F292" s="11">
        <v>12</v>
      </c>
      <c r="G292" s="11">
        <v>17</v>
      </c>
      <c r="H292" s="11">
        <f t="shared" si="58"/>
        <v>-5</v>
      </c>
      <c r="I292" s="18">
        <v>1</v>
      </c>
      <c r="J292" s="19">
        <v>0.68768328445747806</v>
      </c>
      <c r="K292" s="19">
        <v>0.2</v>
      </c>
      <c r="L292" s="6">
        <v>28437594</v>
      </c>
      <c r="M292" s="7">
        <v>9947972</v>
      </c>
      <c r="N292" s="7">
        <v>2980550.75</v>
      </c>
      <c r="O292" s="7">
        <v>25995890</v>
      </c>
      <c r="P292" s="7">
        <v>36462.8359375</v>
      </c>
      <c r="Q292" s="7">
        <v>54645.859375</v>
      </c>
      <c r="R292" s="7">
        <v>3845063.5</v>
      </c>
      <c r="S292" s="7">
        <v>4860988.5</v>
      </c>
      <c r="T292" s="31">
        <f t="shared" si="59"/>
        <v>7615.9167445312496</v>
      </c>
      <c r="U292" s="37">
        <v>9863.6666666666661</v>
      </c>
      <c r="V292">
        <f t="shared" si="60"/>
        <v>0.7721182195124785</v>
      </c>
      <c r="W292">
        <f t="shared" si="70"/>
        <v>-2.2031570115094545E-2</v>
      </c>
      <c r="X292" s="28">
        <v>9586.9908333333333</v>
      </c>
      <c r="Y292">
        <f t="shared" si="61"/>
        <v>0.28830651887398201</v>
      </c>
      <c r="Z292">
        <f t="shared" si="63"/>
        <v>0.10085470582271637</v>
      </c>
      <c r="AA292">
        <f t="shared" si="64"/>
        <v>3.0217472373356764E-2</v>
      </c>
      <c r="AB292">
        <f t="shared" si="65"/>
        <v>0.26355199215977831</v>
      </c>
      <c r="AC292">
        <f t="shared" si="66"/>
        <v>3.6966816874218513E-4</v>
      </c>
      <c r="AD292">
        <f t="shared" si="67"/>
        <v>5.5401161881991152E-4</v>
      </c>
      <c r="AE292">
        <f t="shared" si="68"/>
        <v>3.8982090838430607E-2</v>
      </c>
      <c r="AF292">
        <f t="shared" si="69"/>
        <v>4.9281759656652366E-2</v>
      </c>
      <c r="AG292">
        <f t="shared" si="62"/>
        <v>0.77211821951247861</v>
      </c>
      <c r="AH292">
        <v>0.45040186985862124</v>
      </c>
      <c r="AI292">
        <v>0.7442160892542572</v>
      </c>
      <c r="AJ292">
        <v>7.9878048780487806E-2</v>
      </c>
      <c r="AK292">
        <v>2.4363481439765095E-2</v>
      </c>
      <c r="AL292">
        <v>0.62134421197514045</v>
      </c>
    </row>
    <row r="293" spans="1:38" x14ac:dyDescent="0.25">
      <c r="A293">
        <v>10</v>
      </c>
      <c r="B293" s="5" t="s">
        <v>19</v>
      </c>
      <c r="C293" s="6" t="s">
        <v>5</v>
      </c>
      <c r="D293" s="6" t="s">
        <v>48</v>
      </c>
      <c r="E293" s="28">
        <v>122875.6</v>
      </c>
      <c r="F293" s="11">
        <v>13</v>
      </c>
      <c r="G293" s="11">
        <v>17</v>
      </c>
      <c r="H293" s="11">
        <f t="shared" si="58"/>
        <v>-4</v>
      </c>
      <c r="I293" s="18">
        <v>1</v>
      </c>
      <c r="J293" s="19">
        <v>0.68768328445747806</v>
      </c>
      <c r="K293" s="19">
        <v>0.2</v>
      </c>
      <c r="L293" s="6">
        <v>29789268</v>
      </c>
      <c r="M293" s="7">
        <v>10001364</v>
      </c>
      <c r="N293" s="7">
        <v>2980550.75</v>
      </c>
      <c r="O293" s="7">
        <v>26143260</v>
      </c>
      <c r="P293" s="7">
        <v>36462.8359375</v>
      </c>
      <c r="Q293" s="7">
        <v>26299.529296875</v>
      </c>
      <c r="R293" s="7">
        <v>3836170.25</v>
      </c>
      <c r="S293" s="7">
        <v>4719380</v>
      </c>
      <c r="T293" s="31">
        <f t="shared" si="59"/>
        <v>7753.2755365234379</v>
      </c>
      <c r="U293" s="37">
        <v>10171.444444444443</v>
      </c>
      <c r="V293">
        <f t="shared" si="60"/>
        <v>0.76225904578953008</v>
      </c>
      <c r="W293">
        <f t="shared" si="70"/>
        <v>-1.2768995049972505E-2</v>
      </c>
      <c r="X293" s="28">
        <v>9978.4025000000001</v>
      </c>
      <c r="Y293">
        <f t="shared" si="61"/>
        <v>0.292871559813421</v>
      </c>
      <c r="Z293">
        <f t="shared" si="63"/>
        <v>9.832786340845287E-2</v>
      </c>
      <c r="AA293">
        <f t="shared" si="64"/>
        <v>2.9303121756988518E-2</v>
      </c>
      <c r="AB293">
        <f t="shared" si="65"/>
        <v>0.25702603148247277</v>
      </c>
      <c r="AC293">
        <f t="shared" si="66"/>
        <v>3.5848237815835183E-4</v>
      </c>
      <c r="AD293">
        <f t="shared" si="67"/>
        <v>2.5856238453172281E-4</v>
      </c>
      <c r="AE293">
        <f t="shared" si="68"/>
        <v>3.7715098095976757E-2</v>
      </c>
      <c r="AF293">
        <f t="shared" si="69"/>
        <v>4.6398326469527983E-2</v>
      </c>
      <c r="AG293">
        <f t="shared" si="62"/>
        <v>0.76225904578952997</v>
      </c>
      <c r="AH293">
        <v>0.45040186985862124</v>
      </c>
      <c r="AI293">
        <v>0.7442160892542572</v>
      </c>
      <c r="AJ293">
        <v>7.9878048780487806E-2</v>
      </c>
      <c r="AK293">
        <v>2.4363481439765095E-2</v>
      </c>
      <c r="AL293">
        <v>0.62134421197514045</v>
      </c>
    </row>
    <row r="294" spans="1:38" x14ac:dyDescent="0.25">
      <c r="A294">
        <v>10</v>
      </c>
      <c r="B294" s="5" t="s">
        <v>19</v>
      </c>
      <c r="C294" s="6" t="s">
        <v>5</v>
      </c>
      <c r="D294" s="6" t="s">
        <v>49</v>
      </c>
      <c r="E294" s="28">
        <v>122875.6</v>
      </c>
      <c r="F294" s="11">
        <v>14</v>
      </c>
      <c r="G294" s="11">
        <v>17</v>
      </c>
      <c r="H294" s="11">
        <f t="shared" si="58"/>
        <v>-3</v>
      </c>
      <c r="I294" s="18">
        <v>1</v>
      </c>
      <c r="J294" s="19">
        <v>0.68768328445747806</v>
      </c>
      <c r="K294" s="19">
        <v>0.2</v>
      </c>
      <c r="L294" s="6">
        <v>33507310</v>
      </c>
      <c r="M294" s="7">
        <v>9605060</v>
      </c>
      <c r="N294" s="7">
        <v>2980550.75</v>
      </c>
      <c r="O294" s="7">
        <v>25101260</v>
      </c>
      <c r="P294" s="7">
        <v>36462.8359375</v>
      </c>
      <c r="Q294" s="7">
        <v>15463.537109375</v>
      </c>
      <c r="R294" s="7">
        <v>3873025.5</v>
      </c>
      <c r="S294" s="7">
        <v>4633894</v>
      </c>
      <c r="T294" s="31">
        <f t="shared" si="59"/>
        <v>7975.3026623046871</v>
      </c>
      <c r="U294" s="37">
        <v>10479.222222222221</v>
      </c>
      <c r="V294">
        <f t="shared" si="60"/>
        <v>0.761058644733411</v>
      </c>
      <c r="W294">
        <f t="shared" si="70"/>
        <v>-1.5747941106762783E-3</v>
      </c>
      <c r="X294" s="28">
        <v>10369.814166666667</v>
      </c>
      <c r="Y294">
        <f t="shared" si="61"/>
        <v>0.31974997084177159</v>
      </c>
      <c r="Z294">
        <f t="shared" si="63"/>
        <v>9.1658138326635788E-2</v>
      </c>
      <c r="AA294">
        <f t="shared" si="64"/>
        <v>2.844248062303182E-2</v>
      </c>
      <c r="AB294">
        <f t="shared" si="65"/>
        <v>0.23953361678665724</v>
      </c>
      <c r="AC294">
        <f t="shared" si="66"/>
        <v>3.4795364736303587E-4</v>
      </c>
      <c r="AD294">
        <f t="shared" si="67"/>
        <v>1.4756378652399461E-4</v>
      </c>
      <c r="AE294">
        <f t="shared" si="68"/>
        <v>3.6959093126080179E-2</v>
      </c>
      <c r="AF294">
        <f t="shared" si="69"/>
        <v>4.4219827595347413E-2</v>
      </c>
      <c r="AG294">
        <f t="shared" si="62"/>
        <v>0.761058644733411</v>
      </c>
      <c r="AH294">
        <v>0.45040186985862124</v>
      </c>
      <c r="AI294">
        <v>0.7442160892542572</v>
      </c>
      <c r="AJ294">
        <v>7.9878048780487806E-2</v>
      </c>
      <c r="AK294">
        <v>2.4363481439765095E-2</v>
      </c>
      <c r="AL294">
        <v>0.62134421197514045</v>
      </c>
    </row>
    <row r="295" spans="1:38" x14ac:dyDescent="0.25">
      <c r="A295">
        <v>10</v>
      </c>
      <c r="B295" s="5" t="s">
        <v>19</v>
      </c>
      <c r="C295" s="6" t="s">
        <v>5</v>
      </c>
      <c r="D295" s="6" t="s">
        <v>50</v>
      </c>
      <c r="E295" s="28">
        <v>122875.6</v>
      </c>
      <c r="F295" s="11">
        <v>15</v>
      </c>
      <c r="G295" s="11">
        <v>17</v>
      </c>
      <c r="H295" s="11">
        <f t="shared" si="58"/>
        <v>-2</v>
      </c>
      <c r="I295" s="18">
        <v>1</v>
      </c>
      <c r="J295" s="19">
        <v>0.68768328445747806</v>
      </c>
      <c r="K295" s="19">
        <v>0.2</v>
      </c>
      <c r="L295" s="6">
        <v>35656512</v>
      </c>
      <c r="M295" s="7">
        <v>9331530</v>
      </c>
      <c r="N295" s="7">
        <v>2980550.75</v>
      </c>
      <c r="O295" s="7">
        <v>24394616</v>
      </c>
      <c r="P295" s="7">
        <v>36462.8359375</v>
      </c>
      <c r="Q295" s="7">
        <v>21713.86328125</v>
      </c>
      <c r="R295" s="7">
        <v>3748671.5</v>
      </c>
      <c r="S295" s="7">
        <v>4681460</v>
      </c>
      <c r="T295" s="31">
        <f t="shared" si="59"/>
        <v>8085.1516949218749</v>
      </c>
      <c r="U295" s="37">
        <v>10787</v>
      </c>
      <c r="V295">
        <f t="shared" si="60"/>
        <v>0.74952736580345558</v>
      </c>
      <c r="W295">
        <f t="shared" si="70"/>
        <v>-1.5151629916765063E-2</v>
      </c>
      <c r="X295" s="28">
        <v>10761.225833333334</v>
      </c>
      <c r="Y295">
        <f t="shared" si="61"/>
        <v>0.33055077407991101</v>
      </c>
      <c r="Z295">
        <f t="shared" si="63"/>
        <v>8.6507184574024287E-2</v>
      </c>
      <c r="AA295">
        <f t="shared" si="64"/>
        <v>2.7630951608417543E-2</v>
      </c>
      <c r="AB295">
        <f t="shared" si="65"/>
        <v>0.22614828960786132</v>
      </c>
      <c r="AC295">
        <f t="shared" si="66"/>
        <v>3.3802573410123297E-4</v>
      </c>
      <c r="AD295">
        <f t="shared" si="67"/>
        <v>2.0129659109344579E-4</v>
      </c>
      <c r="AE295">
        <f t="shared" si="68"/>
        <v>3.4751752109020116E-2</v>
      </c>
      <c r="AF295">
        <f t="shared" si="69"/>
        <v>4.3399091499026606E-2</v>
      </c>
      <c r="AG295">
        <f t="shared" si="62"/>
        <v>0.74952736580345569</v>
      </c>
      <c r="AH295">
        <v>0.45040186985862124</v>
      </c>
      <c r="AI295">
        <v>0.7442160892542572</v>
      </c>
      <c r="AJ295">
        <v>7.9878048780487806E-2</v>
      </c>
      <c r="AK295">
        <v>2.4363481439765095E-2</v>
      </c>
      <c r="AL295">
        <v>0.62134421197514045</v>
      </c>
    </row>
    <row r="296" spans="1:38" x14ac:dyDescent="0.25">
      <c r="A296">
        <v>10</v>
      </c>
      <c r="B296" s="5" t="s">
        <v>19</v>
      </c>
      <c r="C296" s="6" t="s">
        <v>5</v>
      </c>
      <c r="D296" s="6" t="s">
        <v>51</v>
      </c>
      <c r="E296" s="28">
        <v>122875.6</v>
      </c>
      <c r="F296" s="11">
        <v>16</v>
      </c>
      <c r="G296" s="11">
        <v>17</v>
      </c>
      <c r="H296" s="11">
        <f t="shared" si="58"/>
        <v>-1</v>
      </c>
      <c r="I296" s="18">
        <v>1</v>
      </c>
      <c r="J296" s="19">
        <v>0.68768328445747806</v>
      </c>
      <c r="K296" s="19">
        <v>0.2</v>
      </c>
      <c r="L296" s="6">
        <v>31129710</v>
      </c>
      <c r="M296" s="7">
        <v>9737059</v>
      </c>
      <c r="N296" s="7">
        <v>2980550.75</v>
      </c>
      <c r="O296" s="7">
        <v>25458234</v>
      </c>
      <c r="P296" s="7">
        <v>36462.8359375</v>
      </c>
      <c r="Q296" s="7">
        <v>60796.72265625</v>
      </c>
      <c r="R296" s="7">
        <v>3711756</v>
      </c>
      <c r="S296" s="7">
        <v>4754289.5</v>
      </c>
      <c r="T296" s="31">
        <f t="shared" si="59"/>
        <v>7786.885880859375</v>
      </c>
      <c r="U296" s="37">
        <v>10994</v>
      </c>
      <c r="V296">
        <f t="shared" si="60"/>
        <v>0.70828505374380346</v>
      </c>
      <c r="W296">
        <f t="shared" si="70"/>
        <v>-5.5024424645846573E-2</v>
      </c>
      <c r="X296" s="28">
        <v>11152.637500000001</v>
      </c>
      <c r="Y296">
        <f t="shared" si="61"/>
        <v>0.28315181007822449</v>
      </c>
      <c r="Z296">
        <f t="shared" si="63"/>
        <v>8.8567027469528825E-2</v>
      </c>
      <c r="AA296">
        <f t="shared" si="64"/>
        <v>2.7110703565581224E-2</v>
      </c>
      <c r="AB296">
        <f t="shared" si="65"/>
        <v>0.2315647989812625</v>
      </c>
      <c r="AC296">
        <f t="shared" si="66"/>
        <v>3.3166123283154449E-4</v>
      </c>
      <c r="AD296">
        <f t="shared" si="67"/>
        <v>5.5299911457385841E-4</v>
      </c>
      <c r="AE296">
        <f t="shared" si="68"/>
        <v>3.3761651810078223E-2</v>
      </c>
      <c r="AF296">
        <f t="shared" si="69"/>
        <v>4.3244401491722761E-2</v>
      </c>
      <c r="AG296">
        <f t="shared" si="62"/>
        <v>0.70828505374380346</v>
      </c>
      <c r="AH296">
        <v>0.45040186985862124</v>
      </c>
      <c r="AI296">
        <v>0.7442160892542572</v>
      </c>
      <c r="AJ296">
        <v>7.9878048780487806E-2</v>
      </c>
      <c r="AK296">
        <v>2.4363481439765095E-2</v>
      </c>
      <c r="AL296">
        <v>0.62134421197514045</v>
      </c>
    </row>
    <row r="297" spans="1:38" x14ac:dyDescent="0.25">
      <c r="A297">
        <v>10</v>
      </c>
      <c r="B297" s="21" t="s">
        <v>19</v>
      </c>
      <c r="C297" s="22" t="s">
        <v>5</v>
      </c>
      <c r="D297" s="22" t="s">
        <v>52</v>
      </c>
      <c r="E297" s="28">
        <v>122875.6</v>
      </c>
      <c r="F297" s="22">
        <v>17</v>
      </c>
      <c r="G297" s="22">
        <v>17</v>
      </c>
      <c r="H297" s="22">
        <f t="shared" si="58"/>
        <v>0</v>
      </c>
      <c r="I297" s="18">
        <v>1</v>
      </c>
      <c r="J297" s="19">
        <v>0.68768328445747806</v>
      </c>
      <c r="K297" s="19">
        <v>0.2</v>
      </c>
      <c r="L297" s="22">
        <v>30635470</v>
      </c>
      <c r="M297" s="23">
        <v>10019156</v>
      </c>
      <c r="N297" s="23">
        <v>2980550.75</v>
      </c>
      <c r="O297" s="23">
        <v>26177426</v>
      </c>
      <c r="P297" s="23">
        <v>36462.8359375</v>
      </c>
      <c r="Q297" s="23">
        <v>83850.6875</v>
      </c>
      <c r="R297" s="23">
        <v>3881450.25</v>
      </c>
      <c r="S297" s="23">
        <v>4916660</v>
      </c>
      <c r="T297" s="32">
        <f t="shared" si="59"/>
        <v>7873.1026523437504</v>
      </c>
      <c r="U297" s="37">
        <v>11201</v>
      </c>
      <c r="V297">
        <f t="shared" si="60"/>
        <v>0.70289283567036431</v>
      </c>
      <c r="W297">
        <f t="shared" si="70"/>
        <v>-7.613062064400964E-3</v>
      </c>
      <c r="X297" s="28">
        <v>11544.049166666668</v>
      </c>
      <c r="Y297">
        <f t="shared" si="61"/>
        <v>0.27350656191411482</v>
      </c>
      <c r="Z297">
        <f t="shared" si="63"/>
        <v>8.944876350325863E-2</v>
      </c>
      <c r="AA297">
        <f t="shared" si="64"/>
        <v>2.6609684403178291E-2</v>
      </c>
      <c r="AB297">
        <f t="shared" si="65"/>
        <v>0.23370615123649671</v>
      </c>
      <c r="AC297">
        <f t="shared" si="66"/>
        <v>3.2553196980180342E-4</v>
      </c>
      <c r="AD297">
        <f t="shared" si="67"/>
        <v>7.4860001339166146E-4</v>
      </c>
      <c r="AE297">
        <f t="shared" si="68"/>
        <v>3.4652711811445407E-2</v>
      </c>
      <c r="AF297">
        <f t="shared" si="69"/>
        <v>4.3894830818676907E-2</v>
      </c>
      <c r="AG297">
        <f t="shared" si="62"/>
        <v>0.7028928356703642</v>
      </c>
      <c r="AH297">
        <v>0.45040186985862124</v>
      </c>
      <c r="AI297">
        <v>0.7442160892542572</v>
      </c>
      <c r="AJ297">
        <v>7.9878048780487806E-2</v>
      </c>
      <c r="AK297">
        <v>2.4363481439765095E-2</v>
      </c>
      <c r="AL297">
        <v>0.62134421197514045</v>
      </c>
    </row>
    <row r="298" spans="1:38" x14ac:dyDescent="0.25">
      <c r="A298">
        <v>10</v>
      </c>
      <c r="B298" s="5" t="s">
        <v>19</v>
      </c>
      <c r="C298" s="6" t="s">
        <v>5</v>
      </c>
      <c r="D298" s="6" t="s">
        <v>53</v>
      </c>
      <c r="E298" s="28">
        <v>122875.6</v>
      </c>
      <c r="F298" s="11">
        <v>18</v>
      </c>
      <c r="G298" s="11">
        <v>17</v>
      </c>
      <c r="H298" s="11">
        <f t="shared" si="58"/>
        <v>1</v>
      </c>
      <c r="I298" s="18">
        <v>1</v>
      </c>
      <c r="J298" s="19">
        <v>0.68768328445747806</v>
      </c>
      <c r="K298" s="19">
        <v>0.2</v>
      </c>
      <c r="L298" s="6">
        <v>32721018</v>
      </c>
      <c r="M298" s="7">
        <v>9982160</v>
      </c>
      <c r="N298" s="7">
        <v>2980550.75</v>
      </c>
      <c r="O298" s="7">
        <v>26082112</v>
      </c>
      <c r="P298" s="7">
        <v>36462.8359375</v>
      </c>
      <c r="Q298" s="7">
        <v>55331.61328125</v>
      </c>
      <c r="R298" s="7">
        <v>3850599.75</v>
      </c>
      <c r="S298" s="7">
        <v>4852744.5</v>
      </c>
      <c r="T298" s="31">
        <f t="shared" si="59"/>
        <v>8056.0979449218748</v>
      </c>
      <c r="U298" s="37">
        <v>11408</v>
      </c>
      <c r="V298">
        <f t="shared" si="60"/>
        <v>0.70617969362919664</v>
      </c>
      <c r="W298">
        <f t="shared" si="70"/>
        <v>4.6761864569263602E-3</v>
      </c>
      <c r="X298" s="28">
        <v>11935.460833333334</v>
      </c>
      <c r="Y298">
        <f t="shared" si="61"/>
        <v>0.28682519284712482</v>
      </c>
      <c r="Z298">
        <f t="shared" si="63"/>
        <v>8.7501402524544178E-2</v>
      </c>
      <c r="AA298">
        <f t="shared" si="64"/>
        <v>2.6126847387798035E-2</v>
      </c>
      <c r="AB298">
        <f t="shared" si="65"/>
        <v>0.22863001402524546</v>
      </c>
      <c r="AC298">
        <f t="shared" si="66"/>
        <v>3.196251397045933E-4</v>
      </c>
      <c r="AD298">
        <f t="shared" si="67"/>
        <v>4.8502466060001758E-4</v>
      </c>
      <c r="AE298">
        <f t="shared" si="68"/>
        <v>3.3753504119915852E-2</v>
      </c>
      <c r="AF298">
        <f t="shared" si="69"/>
        <v>4.2538082924263677E-2</v>
      </c>
      <c r="AG298">
        <f t="shared" si="62"/>
        <v>0.70617969362919664</v>
      </c>
      <c r="AH298">
        <v>0.45040186985862124</v>
      </c>
      <c r="AI298">
        <v>0.7442160892542572</v>
      </c>
      <c r="AJ298">
        <v>7.9878048780487806E-2</v>
      </c>
      <c r="AK298">
        <v>2.4363481439765095E-2</v>
      </c>
      <c r="AL298">
        <v>0.62134421197514045</v>
      </c>
    </row>
    <row r="299" spans="1:38" x14ac:dyDescent="0.25">
      <c r="A299">
        <v>10</v>
      </c>
      <c r="B299" s="5" t="s">
        <v>19</v>
      </c>
      <c r="C299" s="6" t="s">
        <v>5</v>
      </c>
      <c r="D299" s="6" t="s">
        <v>54</v>
      </c>
      <c r="E299" s="28">
        <v>122875.6</v>
      </c>
      <c r="F299" s="11">
        <v>19</v>
      </c>
      <c r="G299" s="11">
        <v>17</v>
      </c>
      <c r="H299" s="11">
        <f t="shared" si="58"/>
        <v>2</v>
      </c>
      <c r="I299" s="18">
        <v>1</v>
      </c>
      <c r="J299" s="19">
        <v>0.68768328445747806</v>
      </c>
      <c r="K299" s="19">
        <v>0.2</v>
      </c>
      <c r="L299" s="6">
        <v>36498968</v>
      </c>
      <c r="M299" s="7">
        <v>10071987</v>
      </c>
      <c r="N299" s="7">
        <v>2981981.5</v>
      </c>
      <c r="O299" s="7">
        <v>26319674</v>
      </c>
      <c r="P299" s="7">
        <v>36480.33984375</v>
      </c>
      <c r="Q299" s="7">
        <v>26095.373046875</v>
      </c>
      <c r="R299" s="7">
        <v>3848749.5</v>
      </c>
      <c r="S299" s="7">
        <v>4684621</v>
      </c>
      <c r="T299" s="31">
        <f t="shared" si="59"/>
        <v>8446.8556712890622</v>
      </c>
      <c r="U299" s="37">
        <v>11615</v>
      </c>
      <c r="V299">
        <f t="shared" si="60"/>
        <v>0.72723682060172723</v>
      </c>
      <c r="W299">
        <f t="shared" si="70"/>
        <v>2.9818369407245155E-2</v>
      </c>
      <c r="X299" s="28">
        <v>12326.872500000001</v>
      </c>
      <c r="Y299">
        <f t="shared" si="61"/>
        <v>0.31423993112354714</v>
      </c>
      <c r="Z299">
        <f t="shared" si="63"/>
        <v>8.6715342229875161E-2</v>
      </c>
      <c r="AA299">
        <f t="shared" si="64"/>
        <v>2.5673538527765823E-2</v>
      </c>
      <c r="AB299">
        <f t="shared" si="65"/>
        <v>0.22660072320275507</v>
      </c>
      <c r="AC299">
        <f t="shared" si="66"/>
        <v>3.1407955095781321E-4</v>
      </c>
      <c r="AD299">
        <f t="shared" si="67"/>
        <v>2.2466959144963407E-4</v>
      </c>
      <c r="AE299">
        <f t="shared" si="68"/>
        <v>3.3136026689625488E-2</v>
      </c>
      <c r="AF299">
        <f t="shared" si="69"/>
        <v>4.0332509685751181E-2</v>
      </c>
      <c r="AG299">
        <f t="shared" si="62"/>
        <v>0.72723682060172734</v>
      </c>
      <c r="AH299">
        <v>0.45040186985862124</v>
      </c>
      <c r="AI299">
        <v>0.7442160892542572</v>
      </c>
      <c r="AJ299">
        <v>7.9878048780487806E-2</v>
      </c>
      <c r="AK299">
        <v>2.4363481439765095E-2</v>
      </c>
      <c r="AL299">
        <v>0.62134421197514045</v>
      </c>
    </row>
    <row r="300" spans="1:38" x14ac:dyDescent="0.25">
      <c r="A300">
        <v>10</v>
      </c>
      <c r="B300" s="5" t="s">
        <v>19</v>
      </c>
      <c r="C300" s="6" t="s">
        <v>5</v>
      </c>
      <c r="D300" s="6" t="s">
        <v>55</v>
      </c>
      <c r="E300" s="29">
        <v>128222.2</v>
      </c>
      <c r="F300" s="11">
        <v>20</v>
      </c>
      <c r="G300" s="11">
        <v>17</v>
      </c>
      <c r="H300" s="18">
        <f t="shared" si="58"/>
        <v>3</v>
      </c>
      <c r="I300" s="18">
        <v>1</v>
      </c>
      <c r="J300" s="19">
        <v>0.68768328445747806</v>
      </c>
      <c r="K300" s="19">
        <v>0.2</v>
      </c>
      <c r="L300" s="14">
        <v>3951961.25</v>
      </c>
      <c r="M300" s="16">
        <v>9805784</v>
      </c>
      <c r="N300" s="16">
        <v>6557964.5</v>
      </c>
      <c r="O300" s="16">
        <v>29652510</v>
      </c>
      <c r="P300" s="16">
        <v>37251.3671875</v>
      </c>
      <c r="Q300" s="16">
        <v>17040.37890625</v>
      </c>
      <c r="R300" s="16">
        <v>24067286</v>
      </c>
      <c r="S300" s="16">
        <v>5580775</v>
      </c>
      <c r="T300" s="31">
        <f t="shared" si="59"/>
        <v>7967.0572496093746</v>
      </c>
      <c r="U300" s="37">
        <v>9774.6666666666679</v>
      </c>
      <c r="V300">
        <f t="shared" si="60"/>
        <v>0.81507201435097942</v>
      </c>
      <c r="W300">
        <f t="shared" si="70"/>
        <v>0.12077935448397122</v>
      </c>
      <c r="X300" s="29">
        <v>7874.2858333333343</v>
      </c>
      <c r="Y300">
        <f t="shared" si="61"/>
        <v>4.0430649809030141E-2</v>
      </c>
      <c r="Z300">
        <f t="shared" si="63"/>
        <v>0.10031834674669211</v>
      </c>
      <c r="AA300">
        <f t="shared" si="64"/>
        <v>6.7091438753239668E-2</v>
      </c>
      <c r="AB300">
        <f t="shared" si="65"/>
        <v>0.30336083071886505</v>
      </c>
      <c r="AC300">
        <f t="shared" si="66"/>
        <v>3.8110115114752419E-4</v>
      </c>
      <c r="AD300">
        <f t="shared" si="67"/>
        <v>1.7433207174583955E-4</v>
      </c>
      <c r="AE300">
        <f t="shared" si="68"/>
        <v>0.2462210407857045</v>
      </c>
      <c r="AF300">
        <f t="shared" si="69"/>
        <v>5.7094274314554626E-2</v>
      </c>
      <c r="AG300">
        <f t="shared" si="62"/>
        <v>0.81507201435097953</v>
      </c>
      <c r="AH300">
        <v>0.44711304192660617</v>
      </c>
      <c r="AI300">
        <v>0.75041050903119866</v>
      </c>
      <c r="AJ300">
        <v>7.9981238273921201E-2</v>
      </c>
      <c r="AK300">
        <v>2.5749787712202009E-2</v>
      </c>
      <c r="AL300">
        <v>0.65148914729292462</v>
      </c>
    </row>
    <row r="301" spans="1:38" s="20" customFormat="1" x14ac:dyDescent="0.25">
      <c r="A301">
        <v>10</v>
      </c>
      <c r="B301" s="5" t="s">
        <v>19</v>
      </c>
      <c r="C301" s="6" t="s">
        <v>5</v>
      </c>
      <c r="D301" s="6" t="s">
        <v>56</v>
      </c>
      <c r="E301" s="29">
        <v>128222.2</v>
      </c>
      <c r="F301" s="11">
        <v>21</v>
      </c>
      <c r="G301" s="11">
        <v>17</v>
      </c>
      <c r="H301" s="11">
        <f t="shared" si="58"/>
        <v>4</v>
      </c>
      <c r="I301" s="18">
        <v>1</v>
      </c>
      <c r="J301" s="19">
        <v>0.68768328445747806</v>
      </c>
      <c r="K301" s="19">
        <v>0.2</v>
      </c>
      <c r="L301" s="6">
        <v>3826040</v>
      </c>
      <c r="M301" s="7">
        <v>9610816</v>
      </c>
      <c r="N301" s="7">
        <v>5704739.5</v>
      </c>
      <c r="O301" s="7">
        <v>29505580</v>
      </c>
      <c r="P301" s="7">
        <v>37251.3671875</v>
      </c>
      <c r="Q301" s="7">
        <v>24062.974609375</v>
      </c>
      <c r="R301" s="7">
        <v>23568970</v>
      </c>
      <c r="S301" s="7">
        <v>5644560</v>
      </c>
      <c r="T301" s="31">
        <f t="shared" si="59"/>
        <v>7792.2019841796873</v>
      </c>
      <c r="U301" s="37">
        <v>9986.3333333333339</v>
      </c>
      <c r="V301">
        <f t="shared" si="60"/>
        <v>0.78028659009109314</v>
      </c>
      <c r="W301">
        <f t="shared" si="70"/>
        <v>-4.2677731105250881E-2</v>
      </c>
      <c r="X301" s="29">
        <v>8385.3575000000019</v>
      </c>
      <c r="Y301">
        <f t="shared" si="61"/>
        <v>3.8312760773056509E-2</v>
      </c>
      <c r="Z301">
        <f t="shared" si="63"/>
        <v>9.6239687573016458E-2</v>
      </c>
      <c r="AA301">
        <f t="shared" si="64"/>
        <v>5.7125466470843482E-2</v>
      </c>
      <c r="AB301">
        <f t="shared" si="65"/>
        <v>0.29545959477953204</v>
      </c>
      <c r="AC301">
        <f t="shared" si="66"/>
        <v>3.7302347061817816E-4</v>
      </c>
      <c r="AD301">
        <f t="shared" si="67"/>
        <v>2.409590568047164E-4</v>
      </c>
      <c r="AE301">
        <f t="shared" si="68"/>
        <v>0.2360122500751026</v>
      </c>
      <c r="AF301">
        <f t="shared" si="69"/>
        <v>5.6522847892119227E-2</v>
      </c>
      <c r="AG301">
        <f t="shared" si="62"/>
        <v>0.78028659009109325</v>
      </c>
      <c r="AH301" s="20">
        <v>0.44711304192660617</v>
      </c>
      <c r="AI301" s="20">
        <v>0.75041050903119866</v>
      </c>
      <c r="AJ301" s="20">
        <v>7.9981238273921201E-2</v>
      </c>
      <c r="AK301" s="20">
        <v>2.5749787712202009E-2</v>
      </c>
      <c r="AL301" s="20">
        <v>0.65148914729292462</v>
      </c>
    </row>
    <row r="302" spans="1:38" x14ac:dyDescent="0.25">
      <c r="A302">
        <v>10</v>
      </c>
      <c r="B302" s="5" t="s">
        <v>19</v>
      </c>
      <c r="C302" s="6" t="s">
        <v>5</v>
      </c>
      <c r="D302" s="6" t="s">
        <v>57</v>
      </c>
      <c r="E302" s="29">
        <v>128222.2</v>
      </c>
      <c r="F302" s="11">
        <v>22</v>
      </c>
      <c r="G302" s="11">
        <v>17</v>
      </c>
      <c r="H302" s="11">
        <f t="shared" si="58"/>
        <v>5</v>
      </c>
      <c r="I302" s="18">
        <v>1</v>
      </c>
      <c r="J302" s="19">
        <v>0.68768328445747806</v>
      </c>
      <c r="K302" s="19">
        <v>0.2</v>
      </c>
      <c r="L302" s="6">
        <v>3784045</v>
      </c>
      <c r="M302" s="7">
        <v>9976377</v>
      </c>
      <c r="N302" s="7">
        <v>3698547</v>
      </c>
      <c r="O302" s="7">
        <v>33564084</v>
      </c>
      <c r="P302" s="7">
        <v>37251.3671875</v>
      </c>
      <c r="Q302" s="7">
        <v>68632.875</v>
      </c>
      <c r="R302" s="7">
        <v>24479256</v>
      </c>
      <c r="S302" s="7">
        <v>5774448.5</v>
      </c>
      <c r="T302" s="31">
        <f t="shared" si="59"/>
        <v>8138.2641742187498</v>
      </c>
      <c r="U302" s="37">
        <v>10198</v>
      </c>
      <c r="V302">
        <f t="shared" si="60"/>
        <v>0.79802551227875562</v>
      </c>
      <c r="W302">
        <f t="shared" si="70"/>
        <v>2.2733854987295871E-2</v>
      </c>
      <c r="X302" s="29">
        <v>8896.4291666666686</v>
      </c>
      <c r="Y302">
        <f t="shared" si="61"/>
        <v>3.7105756030594232E-2</v>
      </c>
      <c r="Z302">
        <f t="shared" si="63"/>
        <v>9.7826799372425971E-2</v>
      </c>
      <c r="AA302">
        <f t="shared" si="64"/>
        <v>3.6267375956069818E-2</v>
      </c>
      <c r="AB302">
        <f t="shared" si="65"/>
        <v>0.32912418121200238</v>
      </c>
      <c r="AC302">
        <f t="shared" si="66"/>
        <v>3.6528110597666209E-4</v>
      </c>
      <c r="AD302">
        <f t="shared" si="67"/>
        <v>6.7300328495783482E-4</v>
      </c>
      <c r="AE302">
        <f t="shared" si="68"/>
        <v>0.24003977250441264</v>
      </c>
      <c r="AF302">
        <f t="shared" si="69"/>
        <v>5.6623342812316138E-2</v>
      </c>
      <c r="AG302">
        <f t="shared" si="62"/>
        <v>0.79802551227875573</v>
      </c>
      <c r="AH302">
        <v>0.44711304192660617</v>
      </c>
      <c r="AI302">
        <v>0.75041050903119866</v>
      </c>
      <c r="AJ302">
        <v>7.9981238273921201E-2</v>
      </c>
      <c r="AK302">
        <v>2.5749787712202009E-2</v>
      </c>
      <c r="AL302">
        <v>0.65148914729292462</v>
      </c>
    </row>
    <row r="303" spans="1:38" x14ac:dyDescent="0.25">
      <c r="A303">
        <v>10</v>
      </c>
      <c r="B303" s="5" t="s">
        <v>19</v>
      </c>
      <c r="C303" s="6" t="s">
        <v>5</v>
      </c>
      <c r="D303" s="6" t="s">
        <v>58</v>
      </c>
      <c r="E303" s="29">
        <v>128222.2</v>
      </c>
      <c r="F303" s="11">
        <v>23</v>
      </c>
      <c r="G303" s="11">
        <v>17</v>
      </c>
      <c r="H303" s="11">
        <f t="shared" si="58"/>
        <v>6</v>
      </c>
      <c r="I303" s="18">
        <v>1</v>
      </c>
      <c r="J303" s="19">
        <v>0.68768328445747806</v>
      </c>
      <c r="K303" s="19">
        <v>0.2</v>
      </c>
      <c r="L303" s="6">
        <v>3947311.5</v>
      </c>
      <c r="M303" s="7">
        <v>10138050</v>
      </c>
      <c r="N303" s="7">
        <v>2414257</v>
      </c>
      <c r="O303" s="7">
        <v>30359374</v>
      </c>
      <c r="P303" s="7">
        <v>37251.3671875</v>
      </c>
      <c r="Q303" s="7">
        <v>94605.140625</v>
      </c>
      <c r="R303" s="7">
        <v>24888452</v>
      </c>
      <c r="S303" s="7">
        <v>5964648</v>
      </c>
      <c r="T303" s="31">
        <f t="shared" si="59"/>
        <v>7784.3949007812498</v>
      </c>
      <c r="U303" s="37">
        <v>10409.666666666666</v>
      </c>
      <c r="V303">
        <f t="shared" si="60"/>
        <v>0.74780443505535721</v>
      </c>
      <c r="W303">
        <f t="shared" si="70"/>
        <v>-6.2931668788373099E-2</v>
      </c>
      <c r="X303" s="29">
        <v>9407.5008333333353</v>
      </c>
      <c r="Y303">
        <f t="shared" si="61"/>
        <v>3.791967241986615E-2</v>
      </c>
      <c r="Z303">
        <f t="shared" si="63"/>
        <v>9.7390726568253871E-2</v>
      </c>
      <c r="AA303">
        <f t="shared" si="64"/>
        <v>2.3192452528098883E-2</v>
      </c>
      <c r="AB303">
        <f t="shared" si="65"/>
        <v>0.29164597649620544</v>
      </c>
      <c r="AC303">
        <f t="shared" si="66"/>
        <v>3.5785360262096126E-4</v>
      </c>
      <c r="AD303">
        <f t="shared" si="67"/>
        <v>9.0882007709180567E-4</v>
      </c>
      <c r="AE303">
        <f t="shared" si="68"/>
        <v>0.23908980755067405</v>
      </c>
      <c r="AF303">
        <f t="shared" si="69"/>
        <v>5.7299125812546037E-2</v>
      </c>
      <c r="AG303">
        <f t="shared" si="62"/>
        <v>0.74780443505535721</v>
      </c>
      <c r="AH303">
        <v>0.44711304192660617</v>
      </c>
      <c r="AI303">
        <v>0.75041050903119866</v>
      </c>
      <c r="AJ303">
        <v>7.9981238273921201E-2</v>
      </c>
      <c r="AK303">
        <v>2.5749787712202009E-2</v>
      </c>
      <c r="AL303">
        <v>0.65148914729292462</v>
      </c>
    </row>
    <row r="304" spans="1:38" x14ac:dyDescent="0.25">
      <c r="A304">
        <v>10</v>
      </c>
      <c r="B304" s="5" t="s">
        <v>19</v>
      </c>
      <c r="C304" s="6" t="s">
        <v>5</v>
      </c>
      <c r="D304" s="6" t="s">
        <v>59</v>
      </c>
      <c r="E304" s="29">
        <v>128222.2</v>
      </c>
      <c r="F304" s="11">
        <v>24</v>
      </c>
      <c r="G304" s="11">
        <v>17</v>
      </c>
      <c r="H304" s="11">
        <f t="shared" si="58"/>
        <v>7</v>
      </c>
      <c r="I304" s="18">
        <v>1</v>
      </c>
      <c r="J304" s="19">
        <v>0.68768328445747806</v>
      </c>
      <c r="K304" s="19">
        <v>0.2</v>
      </c>
      <c r="L304" s="6">
        <v>3909233.5</v>
      </c>
      <c r="M304" s="7">
        <v>10030757</v>
      </c>
      <c r="N304" s="7">
        <v>1542483.125</v>
      </c>
      <c r="O304" s="7">
        <v>30160816</v>
      </c>
      <c r="P304" s="7">
        <v>37251.3671875</v>
      </c>
      <c r="Q304" s="7">
        <v>62284.5</v>
      </c>
      <c r="R304" s="7">
        <v>24636340</v>
      </c>
      <c r="S304" s="7">
        <v>5927951.5</v>
      </c>
      <c r="T304" s="31">
        <f t="shared" si="59"/>
        <v>7630.7116992187503</v>
      </c>
      <c r="U304" s="37">
        <v>10621.333333333334</v>
      </c>
      <c r="V304">
        <f t="shared" si="60"/>
        <v>0.71843256018253354</v>
      </c>
      <c r="W304">
        <f t="shared" si="70"/>
        <v>-3.9277481512461708E-2</v>
      </c>
      <c r="X304" s="29">
        <v>9918.572500000002</v>
      </c>
      <c r="Y304">
        <f t="shared" si="61"/>
        <v>3.6805487383881494E-2</v>
      </c>
      <c r="Z304">
        <f t="shared" si="63"/>
        <v>9.4439715666582963E-2</v>
      </c>
      <c r="AA304">
        <f t="shared" si="64"/>
        <v>1.4522499921541549E-2</v>
      </c>
      <c r="AB304">
        <f t="shared" si="65"/>
        <v>0.28396449912126537</v>
      </c>
      <c r="AC304">
        <f t="shared" si="66"/>
        <v>3.5072213646277926E-4</v>
      </c>
      <c r="AD304">
        <f t="shared" si="67"/>
        <v>5.8640942756716047E-4</v>
      </c>
      <c r="AE304">
        <f t="shared" si="68"/>
        <v>0.23195148129550588</v>
      </c>
      <c r="AF304">
        <f t="shared" si="69"/>
        <v>5.5811745229726331E-2</v>
      </c>
      <c r="AG304">
        <f t="shared" si="62"/>
        <v>0.71843256018253343</v>
      </c>
      <c r="AH304">
        <v>0.44711304192660617</v>
      </c>
      <c r="AI304">
        <v>0.75041050903119866</v>
      </c>
      <c r="AJ304">
        <v>7.9981238273921201E-2</v>
      </c>
      <c r="AK304">
        <v>2.5749787712202009E-2</v>
      </c>
      <c r="AL304">
        <v>0.65148914729292462</v>
      </c>
    </row>
    <row r="305" spans="1:38" x14ac:dyDescent="0.25">
      <c r="A305">
        <v>10</v>
      </c>
      <c r="B305" s="5" t="s">
        <v>19</v>
      </c>
      <c r="C305" s="6" t="s">
        <v>5</v>
      </c>
      <c r="D305" s="6" t="s">
        <v>60</v>
      </c>
      <c r="E305" s="29">
        <v>128222.2</v>
      </c>
      <c r="F305" s="11">
        <v>25</v>
      </c>
      <c r="G305" s="11">
        <v>17</v>
      </c>
      <c r="H305" s="11">
        <f t="shared" si="58"/>
        <v>8</v>
      </c>
      <c r="I305" s="18">
        <v>1</v>
      </c>
      <c r="J305" s="19">
        <v>0.68768328445747806</v>
      </c>
      <c r="K305" s="19">
        <v>0.2</v>
      </c>
      <c r="L305" s="6">
        <v>3900193</v>
      </c>
      <c r="M305" s="7">
        <v>10084799</v>
      </c>
      <c r="N305" s="7">
        <v>858048</v>
      </c>
      <c r="O305" s="7">
        <v>31594398</v>
      </c>
      <c r="P305" s="7">
        <v>37251.3671875</v>
      </c>
      <c r="Q305" s="7">
        <v>29975.794921875</v>
      </c>
      <c r="R305" s="7">
        <v>24775698</v>
      </c>
      <c r="S305" s="7">
        <v>5754387.5</v>
      </c>
      <c r="T305" s="31">
        <f t="shared" si="59"/>
        <v>7703.4750662109373</v>
      </c>
      <c r="U305" s="37">
        <v>10784.888888888889</v>
      </c>
      <c r="V305">
        <f t="shared" si="60"/>
        <v>0.71428413825824644</v>
      </c>
      <c r="W305">
        <f t="shared" si="70"/>
        <v>-5.7742676963765489E-3</v>
      </c>
      <c r="X305" s="29">
        <v>10429.644166666669</v>
      </c>
      <c r="Y305">
        <f t="shared" si="61"/>
        <v>3.6163497280145063E-2</v>
      </c>
      <c r="Z305">
        <f t="shared" si="63"/>
        <v>9.35086036017473E-2</v>
      </c>
      <c r="AA305">
        <f t="shared" si="64"/>
        <v>7.9560207698013679E-3</v>
      </c>
      <c r="AB305">
        <f t="shared" si="65"/>
        <v>0.29295061196736172</v>
      </c>
      <c r="AC305">
        <f t="shared" si="66"/>
        <v>3.4540334695407158E-4</v>
      </c>
      <c r="AD305">
        <f t="shared" si="67"/>
        <v>2.7794254749121717E-4</v>
      </c>
      <c r="AE305">
        <f t="shared" si="68"/>
        <v>0.22972603849006842</v>
      </c>
      <c r="AF305">
        <f t="shared" si="69"/>
        <v>5.3356020254677332E-2</v>
      </c>
      <c r="AG305">
        <f t="shared" si="62"/>
        <v>0.71428413825824644</v>
      </c>
      <c r="AH305">
        <v>0.44711304192660617</v>
      </c>
      <c r="AI305">
        <v>0.75041050903119866</v>
      </c>
      <c r="AJ305">
        <v>7.9981238273921201E-2</v>
      </c>
      <c r="AK305">
        <v>2.5749787712202009E-2</v>
      </c>
      <c r="AL305">
        <v>0.65148914729292462</v>
      </c>
    </row>
    <row r="306" spans="1:38" x14ac:dyDescent="0.25">
      <c r="A306">
        <v>10</v>
      </c>
      <c r="B306" s="5" t="s">
        <v>19</v>
      </c>
      <c r="C306" s="6" t="s">
        <v>5</v>
      </c>
      <c r="D306" s="6" t="s">
        <v>61</v>
      </c>
      <c r="E306" s="29">
        <v>128222.2</v>
      </c>
      <c r="F306" s="11">
        <v>26</v>
      </c>
      <c r="G306" s="11">
        <v>17</v>
      </c>
      <c r="H306" s="11">
        <f t="shared" si="58"/>
        <v>9</v>
      </c>
      <c r="I306" s="18">
        <v>1</v>
      </c>
      <c r="J306" s="19">
        <v>0.68768328445747806</v>
      </c>
      <c r="K306" s="19">
        <v>0.2</v>
      </c>
      <c r="L306" s="6">
        <v>3936776.75</v>
      </c>
      <c r="M306" s="7">
        <v>9685190</v>
      </c>
      <c r="N306" s="7">
        <v>638806.125</v>
      </c>
      <c r="O306" s="7">
        <v>35537744</v>
      </c>
      <c r="P306" s="7">
        <v>37251.3671875</v>
      </c>
      <c r="Q306" s="7">
        <v>17625.09765625</v>
      </c>
      <c r="R306" s="7">
        <v>23787764</v>
      </c>
      <c r="S306" s="7">
        <v>5649813</v>
      </c>
      <c r="T306" s="31">
        <f t="shared" si="59"/>
        <v>7929.0970339843752</v>
      </c>
      <c r="U306" s="37">
        <v>10948.444444444445</v>
      </c>
      <c r="V306">
        <f t="shared" si="60"/>
        <v>0.7242213333792662</v>
      </c>
      <c r="W306">
        <f t="shared" si="70"/>
        <v>1.3912103865628623E-2</v>
      </c>
      <c r="X306" s="29">
        <v>10940.715833333335</v>
      </c>
      <c r="Y306">
        <f t="shared" si="61"/>
        <v>3.5957407191280336E-2</v>
      </c>
      <c r="Z306">
        <f t="shared" si="63"/>
        <v>8.8461790614597705E-2</v>
      </c>
      <c r="AA306">
        <f t="shared" si="64"/>
        <v>5.8346747635381986E-3</v>
      </c>
      <c r="AB306">
        <f t="shared" si="65"/>
        <v>0.32459171876268572</v>
      </c>
      <c r="AC306">
        <f t="shared" si="66"/>
        <v>3.4024346907475441E-4</v>
      </c>
      <c r="AD306">
        <f t="shared" si="67"/>
        <v>1.6098266512366038E-4</v>
      </c>
      <c r="AE306">
        <f t="shared" si="68"/>
        <v>0.21727071933100592</v>
      </c>
      <c r="AF306">
        <f t="shared" si="69"/>
        <v>5.1603796581959883E-2</v>
      </c>
      <c r="AG306">
        <f t="shared" si="62"/>
        <v>0.7242213333792662</v>
      </c>
      <c r="AH306">
        <v>0.44711304192660617</v>
      </c>
      <c r="AI306">
        <v>0.75041050903119866</v>
      </c>
      <c r="AJ306">
        <v>7.9981238273921201E-2</v>
      </c>
      <c r="AK306">
        <v>2.5749787712202009E-2</v>
      </c>
      <c r="AL306">
        <v>0.65148914729292462</v>
      </c>
    </row>
    <row r="307" spans="1:38" x14ac:dyDescent="0.25">
      <c r="A307">
        <v>10</v>
      </c>
      <c r="B307" s="5" t="s">
        <v>19</v>
      </c>
      <c r="C307" s="6" t="s">
        <v>5</v>
      </c>
      <c r="D307" s="6" t="s">
        <v>62</v>
      </c>
      <c r="E307" s="29">
        <v>128222.2</v>
      </c>
      <c r="F307" s="11">
        <v>27</v>
      </c>
      <c r="G307" s="11">
        <v>17</v>
      </c>
      <c r="H307" s="11">
        <f t="shared" si="58"/>
        <v>10</v>
      </c>
      <c r="I307" s="18">
        <v>1</v>
      </c>
      <c r="J307" s="19">
        <v>0.68768328445747806</v>
      </c>
      <c r="K307" s="19">
        <v>0.2</v>
      </c>
      <c r="L307" s="6">
        <v>3813124.5</v>
      </c>
      <c r="M307" s="7">
        <v>9409794</v>
      </c>
      <c r="N307" s="7">
        <v>710031.9375</v>
      </c>
      <c r="O307" s="7">
        <v>37817176</v>
      </c>
      <c r="P307" s="7">
        <v>37251.3671875</v>
      </c>
      <c r="Q307" s="7">
        <v>24749.125</v>
      </c>
      <c r="R307" s="7">
        <v>23117524</v>
      </c>
      <c r="S307" s="7">
        <v>5705345.5</v>
      </c>
      <c r="T307" s="31">
        <f t="shared" si="59"/>
        <v>8063.4996429687499</v>
      </c>
      <c r="U307" s="37">
        <v>11112</v>
      </c>
      <c r="V307">
        <f t="shared" si="60"/>
        <v>0.72565691531396237</v>
      </c>
      <c r="W307">
        <f t="shared" si="70"/>
        <v>1.9822419867109543E-3</v>
      </c>
      <c r="X307" s="29">
        <v>11451.787500000002</v>
      </c>
      <c r="Y307">
        <f t="shared" si="61"/>
        <v>3.4315375269978403E-2</v>
      </c>
      <c r="Z307">
        <f t="shared" si="63"/>
        <v>8.468137149028078E-2</v>
      </c>
      <c r="AA307">
        <f t="shared" si="64"/>
        <v>6.3897762553995685E-3</v>
      </c>
      <c r="AB307">
        <f t="shared" si="65"/>
        <v>0.34032735781137508</v>
      </c>
      <c r="AC307">
        <f t="shared" si="66"/>
        <v>3.3523548584863213E-4</v>
      </c>
      <c r="AD307">
        <f t="shared" si="67"/>
        <v>2.2272430705543557E-4</v>
      </c>
      <c r="AE307">
        <f t="shared" si="68"/>
        <v>0.20804107271418287</v>
      </c>
      <c r="AF307">
        <f t="shared" si="69"/>
        <v>5.1344001979841611E-2</v>
      </c>
      <c r="AG307">
        <f t="shared" si="62"/>
        <v>0.72565691531396237</v>
      </c>
      <c r="AH307">
        <v>0.44711304192660617</v>
      </c>
      <c r="AI307">
        <v>0.75041050903119866</v>
      </c>
      <c r="AJ307">
        <v>7.9981238273921201E-2</v>
      </c>
      <c r="AK307">
        <v>2.5749787712202009E-2</v>
      </c>
      <c r="AL307">
        <v>0.65148914729292462</v>
      </c>
    </row>
    <row r="308" spans="1:38" x14ac:dyDescent="0.25">
      <c r="A308">
        <v>10</v>
      </c>
      <c r="B308" s="5" t="s">
        <v>19</v>
      </c>
      <c r="C308" s="6" t="s">
        <v>5</v>
      </c>
      <c r="D308" s="6" t="s">
        <v>63</v>
      </c>
      <c r="E308" s="29">
        <v>128222.2</v>
      </c>
      <c r="F308" s="11">
        <v>28</v>
      </c>
      <c r="G308" s="11">
        <v>17</v>
      </c>
      <c r="H308" s="11">
        <f t="shared" si="58"/>
        <v>11</v>
      </c>
      <c r="I308" s="18">
        <v>1</v>
      </c>
      <c r="J308" s="19">
        <v>0.68768328445747806</v>
      </c>
      <c r="K308" s="19">
        <v>0.2</v>
      </c>
      <c r="L308" s="6">
        <v>3776545.25</v>
      </c>
      <c r="M308" s="7">
        <v>9818782</v>
      </c>
      <c r="N308" s="7">
        <v>1274644.625</v>
      </c>
      <c r="O308" s="7">
        <v>33016066</v>
      </c>
      <c r="P308" s="7">
        <v>37251.3671875</v>
      </c>
      <c r="Q308" s="7">
        <v>69295.15625</v>
      </c>
      <c r="R308" s="7">
        <v>24125922</v>
      </c>
      <c r="S308" s="7">
        <v>5796309</v>
      </c>
      <c r="T308" s="31">
        <f t="shared" si="59"/>
        <v>7791.4815398437504</v>
      </c>
      <c r="U308" s="37">
        <v>11381.888888888889</v>
      </c>
      <c r="V308">
        <f t="shared" si="60"/>
        <v>0.68455083474324463</v>
      </c>
      <c r="W308">
        <f t="shared" si="70"/>
        <v>-5.664671513938898E-2</v>
      </c>
      <c r="X308" s="29">
        <v>11962.859166666669</v>
      </c>
      <c r="Y308">
        <f t="shared" si="61"/>
        <v>3.3180303259564413E-2</v>
      </c>
      <c r="Z308">
        <f t="shared" si="63"/>
        <v>8.6266718080381111E-2</v>
      </c>
      <c r="AA308">
        <f t="shared" si="64"/>
        <v>1.1198884802366332E-2</v>
      </c>
      <c r="AB308">
        <f t="shared" si="65"/>
        <v>0.29007545515780431</v>
      </c>
      <c r="AC308">
        <f t="shared" si="66"/>
        <v>3.2728633666302215E-4</v>
      </c>
      <c r="AD308">
        <f t="shared" si="67"/>
        <v>6.0881947562892321E-4</v>
      </c>
      <c r="AE308">
        <f t="shared" si="68"/>
        <v>0.21196764645587046</v>
      </c>
      <c r="AF308">
        <f t="shared" si="69"/>
        <v>5.0925721174966077E-2</v>
      </c>
      <c r="AG308">
        <f t="shared" si="62"/>
        <v>0.68455083474324463</v>
      </c>
      <c r="AH308">
        <v>0.44711304192660617</v>
      </c>
      <c r="AI308">
        <v>0.75041050903119866</v>
      </c>
      <c r="AJ308">
        <v>7.9981238273921201E-2</v>
      </c>
      <c r="AK308">
        <v>2.5749787712202009E-2</v>
      </c>
      <c r="AL308">
        <v>0.65148914729292462</v>
      </c>
    </row>
    <row r="309" spans="1:38" x14ac:dyDescent="0.25">
      <c r="A309">
        <v>10</v>
      </c>
      <c r="B309" s="5" t="s">
        <v>19</v>
      </c>
      <c r="C309" s="6" t="s">
        <v>5</v>
      </c>
      <c r="D309" s="6" t="s">
        <v>64</v>
      </c>
      <c r="E309" s="29">
        <v>128222.2</v>
      </c>
      <c r="F309" s="11">
        <v>29</v>
      </c>
      <c r="G309" s="11">
        <v>17</v>
      </c>
      <c r="H309" s="11">
        <f t="shared" si="58"/>
        <v>12</v>
      </c>
      <c r="I309" s="18">
        <v>1</v>
      </c>
      <c r="J309" s="19">
        <v>0.68768328445747806</v>
      </c>
      <c r="K309" s="19">
        <v>0.2</v>
      </c>
      <c r="L309" s="6">
        <v>3945567.5</v>
      </c>
      <c r="M309" s="7">
        <v>10102528</v>
      </c>
      <c r="N309" s="7">
        <v>2902821.5</v>
      </c>
      <c r="O309" s="7">
        <v>32491874</v>
      </c>
      <c r="P309" s="7">
        <v>37251.3671875</v>
      </c>
      <c r="Q309" s="7">
        <v>95571.703125</v>
      </c>
      <c r="R309" s="7">
        <v>24808412</v>
      </c>
      <c r="S309" s="7">
        <v>5992628</v>
      </c>
      <c r="T309" s="31">
        <f t="shared" si="59"/>
        <v>8037.6654070312497</v>
      </c>
      <c r="U309" s="37">
        <v>11651.777777777776</v>
      </c>
      <c r="V309">
        <f t="shared" si="60"/>
        <v>0.68982309483799575</v>
      </c>
      <c r="W309">
        <f t="shared" si="70"/>
        <v>7.7017802435791318E-3</v>
      </c>
      <c r="X309" s="29">
        <v>12473.930833333336</v>
      </c>
      <c r="Y309">
        <f t="shared" si="61"/>
        <v>3.3862364827494142E-2</v>
      </c>
      <c r="Z309">
        <f t="shared" si="63"/>
        <v>8.6703747639845147E-2</v>
      </c>
      <c r="AA309">
        <f t="shared" si="64"/>
        <v>2.4913121030648643E-2</v>
      </c>
      <c r="AB309">
        <f t="shared" si="65"/>
        <v>0.27885765262334794</v>
      </c>
      <c r="AC309">
        <f t="shared" si="66"/>
        <v>3.1970543807096681E-4</v>
      </c>
      <c r="AD309">
        <f t="shared" si="67"/>
        <v>8.2023280007342727E-4</v>
      </c>
      <c r="AE309">
        <f t="shared" si="68"/>
        <v>0.21291525184521201</v>
      </c>
      <c r="AF309">
        <f t="shared" si="69"/>
        <v>5.143101863330346E-2</v>
      </c>
      <c r="AG309">
        <f t="shared" si="62"/>
        <v>0.68982309483799575</v>
      </c>
      <c r="AH309">
        <v>0.44711304192660617</v>
      </c>
      <c r="AI309">
        <v>0.75041050903119866</v>
      </c>
      <c r="AJ309">
        <v>7.9981238273921201E-2</v>
      </c>
      <c r="AK309">
        <v>2.5749787712202009E-2</v>
      </c>
      <c r="AL309">
        <v>0.65148914729292462</v>
      </c>
    </row>
    <row r="310" spans="1:38" x14ac:dyDescent="0.25">
      <c r="A310">
        <v>10</v>
      </c>
      <c r="B310" s="5" t="s">
        <v>19</v>
      </c>
      <c r="C310" s="6" t="s">
        <v>5</v>
      </c>
      <c r="D310" s="6" t="s">
        <v>65</v>
      </c>
      <c r="E310" s="29">
        <v>128222.2</v>
      </c>
      <c r="F310" s="11">
        <v>30</v>
      </c>
      <c r="G310" s="11">
        <v>17</v>
      </c>
      <c r="H310" s="11">
        <f t="shared" si="58"/>
        <v>13</v>
      </c>
      <c r="I310" s="18">
        <v>1</v>
      </c>
      <c r="J310" s="19">
        <v>0.68768328445747806</v>
      </c>
      <c r="K310" s="19">
        <v>0.2</v>
      </c>
      <c r="L310" s="6">
        <v>3915102</v>
      </c>
      <c r="M310" s="7">
        <v>10064912</v>
      </c>
      <c r="N310" s="7">
        <v>4288756</v>
      </c>
      <c r="O310" s="7">
        <v>34703800</v>
      </c>
      <c r="P310" s="7">
        <v>37251.3671875</v>
      </c>
      <c r="Q310" s="7">
        <v>63066.11328125</v>
      </c>
      <c r="R310" s="7">
        <v>24718634</v>
      </c>
      <c r="S310" s="7">
        <v>5914339</v>
      </c>
      <c r="T310" s="31">
        <f t="shared" si="59"/>
        <v>8370.5860480468746</v>
      </c>
      <c r="U310" s="37">
        <v>11921.666666666666</v>
      </c>
      <c r="V310">
        <f t="shared" si="60"/>
        <v>0.70213220031149515</v>
      </c>
      <c r="W310">
        <f t="shared" si="70"/>
        <v>1.7843858179886214E-2</v>
      </c>
      <c r="X310" s="29">
        <v>12985.002500000002</v>
      </c>
      <c r="Y310">
        <f t="shared" si="61"/>
        <v>3.2840223682371029E-2</v>
      </c>
      <c r="Z310">
        <f t="shared" si="63"/>
        <v>8.4425376764993718E-2</v>
      </c>
      <c r="AA310">
        <f t="shared" si="64"/>
        <v>3.597446665734657E-2</v>
      </c>
      <c r="AB310">
        <f t="shared" si="65"/>
        <v>0.2910985600447365</v>
      </c>
      <c r="AC310">
        <f t="shared" si="66"/>
        <v>3.1246778012721936E-4</v>
      </c>
      <c r="AD310">
        <f t="shared" si="67"/>
        <v>5.2900416564728085E-4</v>
      </c>
      <c r="AE310">
        <f t="shared" si="68"/>
        <v>0.20734209981825807</v>
      </c>
      <c r="AF310">
        <f t="shared" si="69"/>
        <v>4.9610001398014823E-2</v>
      </c>
      <c r="AG310">
        <f t="shared" si="62"/>
        <v>0.70213220031149526</v>
      </c>
      <c r="AH310">
        <v>0.44711304192660617</v>
      </c>
      <c r="AI310">
        <v>0.75041050903119866</v>
      </c>
      <c r="AJ310">
        <v>7.9981238273921201E-2</v>
      </c>
      <c r="AK310">
        <v>2.5749787712202009E-2</v>
      </c>
      <c r="AL310">
        <v>0.65148914729292462</v>
      </c>
    </row>
    <row r="311" spans="1:38" x14ac:dyDescent="0.25">
      <c r="A311">
        <v>10</v>
      </c>
      <c r="B311" s="5" t="s">
        <v>19</v>
      </c>
      <c r="C311" s="6" t="s">
        <v>5</v>
      </c>
      <c r="D311" s="6" t="s">
        <v>66</v>
      </c>
      <c r="E311" s="29">
        <v>128222.2</v>
      </c>
      <c r="F311" s="11">
        <v>31</v>
      </c>
      <c r="G311" s="11">
        <v>17</v>
      </c>
      <c r="H311" s="11">
        <f t="shared" si="58"/>
        <v>14</v>
      </c>
      <c r="I311" s="18">
        <v>1</v>
      </c>
      <c r="J311" s="19">
        <v>0.68768328445747806</v>
      </c>
      <c r="K311" s="19">
        <v>0.2</v>
      </c>
      <c r="L311" s="6">
        <v>3913497.5</v>
      </c>
      <c r="M311" s="7">
        <v>10155335</v>
      </c>
      <c r="N311" s="7">
        <v>6505658.5</v>
      </c>
      <c r="O311" s="7">
        <v>38710684</v>
      </c>
      <c r="P311" s="7">
        <v>37269.25</v>
      </c>
      <c r="Q311" s="7">
        <v>29743.1015625</v>
      </c>
      <c r="R311" s="7">
        <v>24944060</v>
      </c>
      <c r="S311" s="7">
        <v>5711307</v>
      </c>
      <c r="T311" s="31">
        <f t="shared" si="59"/>
        <v>9000.7554351562503</v>
      </c>
      <c r="U311" s="37">
        <v>12191.555555555557</v>
      </c>
      <c r="V311">
        <f t="shared" si="60"/>
        <v>0.73827785093877585</v>
      </c>
      <c r="W311">
        <f t="shared" si="70"/>
        <v>5.1479836149438782E-2</v>
      </c>
      <c r="X311" s="29">
        <v>13496.074166666669</v>
      </c>
      <c r="Y311">
        <f t="shared" si="61"/>
        <v>3.210006698625642E-2</v>
      </c>
      <c r="Z311">
        <f t="shared" si="63"/>
        <v>8.3298107068644961E-2</v>
      </c>
      <c r="AA311">
        <f t="shared" si="64"/>
        <v>5.3362005121942321E-2</v>
      </c>
      <c r="AB311">
        <f t="shared" si="65"/>
        <v>0.31752046589624872</v>
      </c>
      <c r="AC311">
        <f t="shared" si="66"/>
        <v>3.0569724946228716E-4</v>
      </c>
      <c r="AD311">
        <f t="shared" si="67"/>
        <v>2.4396477895674597E-4</v>
      </c>
      <c r="AE311">
        <f t="shared" si="68"/>
        <v>0.2046011264627611</v>
      </c>
      <c r="AF311">
        <f t="shared" si="69"/>
        <v>4.6846417374503298E-2</v>
      </c>
      <c r="AG311">
        <f t="shared" si="62"/>
        <v>0.73827785093877596</v>
      </c>
      <c r="AH311">
        <v>0.44711304192660617</v>
      </c>
      <c r="AI311">
        <v>0.75041050903119866</v>
      </c>
      <c r="AJ311">
        <v>7.9981238273921201E-2</v>
      </c>
      <c r="AK311">
        <v>2.5749787712202009E-2</v>
      </c>
      <c r="AL311">
        <v>0.65148914729292462</v>
      </c>
    </row>
    <row r="312" spans="1:38" x14ac:dyDescent="0.25">
      <c r="A312">
        <v>11</v>
      </c>
      <c r="B312" s="5" t="s">
        <v>23</v>
      </c>
      <c r="C312" s="6" t="s">
        <v>5</v>
      </c>
      <c r="D312" s="6" t="s">
        <v>36</v>
      </c>
      <c r="E312" s="28">
        <v>73515.757700000002</v>
      </c>
      <c r="F312" s="11">
        <v>1</v>
      </c>
      <c r="G312" s="11"/>
      <c r="H312" s="18">
        <f t="shared" si="58"/>
        <v>1</v>
      </c>
      <c r="I312" s="18">
        <v>0</v>
      </c>
      <c r="J312" s="18">
        <v>0</v>
      </c>
      <c r="K312" s="18">
        <v>0</v>
      </c>
      <c r="L312" s="14">
        <v>11165468</v>
      </c>
      <c r="M312" s="16">
        <v>4808269.5</v>
      </c>
      <c r="N312" s="16">
        <v>1870826.25</v>
      </c>
      <c r="O312" s="16">
        <v>6133471</v>
      </c>
      <c r="P312" s="16">
        <v>12505.8017578125</v>
      </c>
      <c r="Q312" s="16">
        <v>21200.470703125</v>
      </c>
      <c r="R312" s="16">
        <v>2512023</v>
      </c>
      <c r="S312" s="16">
        <v>3507482.5</v>
      </c>
      <c r="T312" s="31">
        <f t="shared" si="59"/>
        <v>3003.1246522460938</v>
      </c>
      <c r="U312" s="37"/>
      <c r="X312" s="28">
        <v>5780.4108333333334</v>
      </c>
      <c r="Y312" t="e">
        <f t="shared" si="61"/>
        <v>#DIV/0!</v>
      </c>
      <c r="Z312" t="e">
        <f t="shared" si="63"/>
        <v>#DIV/0!</v>
      </c>
      <c r="AA312" t="e">
        <f t="shared" si="64"/>
        <v>#DIV/0!</v>
      </c>
      <c r="AB312" t="e">
        <f t="shared" si="65"/>
        <v>#DIV/0!</v>
      </c>
      <c r="AC312" t="e">
        <f t="shared" si="66"/>
        <v>#DIV/0!</v>
      </c>
      <c r="AD312" t="e">
        <f t="shared" si="67"/>
        <v>#DIV/0!</v>
      </c>
      <c r="AE312" t="e">
        <f t="shared" si="68"/>
        <v>#DIV/0!</v>
      </c>
      <c r="AF312" t="e">
        <f t="shared" si="69"/>
        <v>#DIV/0!</v>
      </c>
      <c r="AG312" t="e">
        <f t="shared" si="62"/>
        <v>#DIV/0!</v>
      </c>
      <c r="AH312">
        <v>0.42672076003101578</v>
      </c>
      <c r="AI312">
        <v>0.726605504587156</v>
      </c>
      <c r="AJ312">
        <v>6.1986996000227473E-2</v>
      </c>
      <c r="AK312">
        <v>2.1650601854573553E-2</v>
      </c>
      <c r="AL312">
        <v>0.75015411377091656</v>
      </c>
    </row>
    <row r="313" spans="1:38" x14ac:dyDescent="0.25">
      <c r="A313">
        <v>11</v>
      </c>
      <c r="B313" s="5" t="s">
        <v>23</v>
      </c>
      <c r="C313" s="6" t="s">
        <v>5</v>
      </c>
      <c r="D313" s="6" t="s">
        <v>37</v>
      </c>
      <c r="E313" s="28">
        <v>73515.757700000002</v>
      </c>
      <c r="F313" s="11">
        <v>2</v>
      </c>
      <c r="G313" s="11"/>
      <c r="H313" s="11">
        <f t="shared" si="58"/>
        <v>2</v>
      </c>
      <c r="I313" s="18">
        <v>0</v>
      </c>
      <c r="J313" s="18">
        <v>0</v>
      </c>
      <c r="K313" s="18">
        <v>0</v>
      </c>
      <c r="L313" s="6">
        <v>12127899</v>
      </c>
      <c r="M313" s="7">
        <v>4617047</v>
      </c>
      <c r="N313" s="7">
        <v>1870826.25</v>
      </c>
      <c r="O313" s="7">
        <v>5884488.5</v>
      </c>
      <c r="P313" s="7">
        <v>12505.8017578125</v>
      </c>
      <c r="Q313" s="7">
        <v>12719.283203125</v>
      </c>
      <c r="R313" s="7">
        <v>2526046</v>
      </c>
      <c r="S313" s="7">
        <v>3437891.75</v>
      </c>
      <c r="T313" s="31">
        <f t="shared" si="59"/>
        <v>3048.9423584960937</v>
      </c>
      <c r="U313" s="37">
        <v>6316</v>
      </c>
      <c r="V313">
        <f t="shared" si="60"/>
        <v>0.48273311565802624</v>
      </c>
      <c r="W313" t="e">
        <f>(V313-V312)/V312</f>
        <v>#DIV/0!</v>
      </c>
      <c r="X313" s="28">
        <v>6559.7224999999999</v>
      </c>
      <c r="Y313">
        <f t="shared" si="61"/>
        <v>0.19201866687777075</v>
      </c>
      <c r="Z313">
        <f t="shared" si="63"/>
        <v>7.3100807473084228E-2</v>
      </c>
      <c r="AA313">
        <f t="shared" si="64"/>
        <v>2.9620428277390753E-2</v>
      </c>
      <c r="AB313">
        <f t="shared" si="65"/>
        <v>9.3167962317922737E-2</v>
      </c>
      <c r="AC313">
        <f t="shared" si="66"/>
        <v>1.9800192776777233E-4</v>
      </c>
      <c r="AD313">
        <f t="shared" si="67"/>
        <v>2.0138193798487967E-4</v>
      </c>
      <c r="AE313">
        <f t="shared" si="68"/>
        <v>3.9994395186827111E-2</v>
      </c>
      <c r="AF313">
        <f t="shared" si="69"/>
        <v>5.4431471659278023E-2</v>
      </c>
      <c r="AG313">
        <f t="shared" si="62"/>
        <v>0.48273311565802624</v>
      </c>
      <c r="AH313">
        <v>0.42672076003101578</v>
      </c>
      <c r="AI313">
        <v>0.726605504587156</v>
      </c>
      <c r="AJ313">
        <v>6.1986996000227473E-2</v>
      </c>
      <c r="AK313">
        <v>2.1650601854573553E-2</v>
      </c>
      <c r="AL313">
        <v>0.75015411377091656</v>
      </c>
    </row>
    <row r="314" spans="1:38" x14ac:dyDescent="0.25">
      <c r="A314">
        <v>11</v>
      </c>
      <c r="B314" s="5" t="s">
        <v>23</v>
      </c>
      <c r="C314" s="6" t="s">
        <v>5</v>
      </c>
      <c r="D314" s="6" t="s">
        <v>38</v>
      </c>
      <c r="E314" s="28">
        <v>73515.757700000002</v>
      </c>
      <c r="F314" s="11">
        <v>3</v>
      </c>
      <c r="G314" s="11"/>
      <c r="H314" s="11">
        <f t="shared" si="58"/>
        <v>3</v>
      </c>
      <c r="I314" s="18">
        <v>0</v>
      </c>
      <c r="J314" s="18">
        <v>0</v>
      </c>
      <c r="K314" s="18">
        <v>0</v>
      </c>
      <c r="L314" s="6">
        <v>12123182</v>
      </c>
      <c r="M314" s="7">
        <v>4484799.5</v>
      </c>
      <c r="N314" s="7">
        <v>1870826.25</v>
      </c>
      <c r="O314" s="7">
        <v>5712442.5</v>
      </c>
      <c r="P314" s="7">
        <v>12505.8017578125</v>
      </c>
      <c r="Q314" s="7">
        <v>17796.958984375</v>
      </c>
      <c r="R314" s="7">
        <v>2478635</v>
      </c>
      <c r="S314" s="7">
        <v>3473972.25</v>
      </c>
      <c r="T314" s="31">
        <f t="shared" si="59"/>
        <v>3017.4160260742187</v>
      </c>
      <c r="U314" s="37">
        <v>6358.333333333333</v>
      </c>
      <c r="V314">
        <f t="shared" si="60"/>
        <v>0.47456084289502787</v>
      </c>
      <c r="W314">
        <f t="shared" ref="W314:W342" si="71">(V314-V313)/V313</f>
        <v>-1.6929173694368423E-2</v>
      </c>
      <c r="X314" s="28">
        <v>7339.0341666666673</v>
      </c>
      <c r="Y314">
        <f t="shared" si="61"/>
        <v>0.19066603407601573</v>
      </c>
      <c r="Z314">
        <f t="shared" si="63"/>
        <v>7.0534199213630411E-2</v>
      </c>
      <c r="AA314">
        <f t="shared" si="64"/>
        <v>2.9423217562254262E-2</v>
      </c>
      <c r="AB314">
        <f t="shared" si="65"/>
        <v>8.9841821756225432E-2</v>
      </c>
      <c r="AC314">
        <f t="shared" si="66"/>
        <v>1.9668364494593711E-4</v>
      </c>
      <c r="AD314">
        <f t="shared" si="67"/>
        <v>2.7989974811598952E-4</v>
      </c>
      <c r="AE314">
        <f t="shared" si="68"/>
        <v>3.8982463958060286E-2</v>
      </c>
      <c r="AF314">
        <f t="shared" si="69"/>
        <v>5.4636522935779815E-2</v>
      </c>
      <c r="AG314">
        <f t="shared" si="62"/>
        <v>0.47456084289502781</v>
      </c>
      <c r="AH314">
        <v>0.42672076003101578</v>
      </c>
      <c r="AI314">
        <v>0.726605504587156</v>
      </c>
      <c r="AJ314">
        <v>6.1986996000227473E-2</v>
      </c>
      <c r="AK314">
        <v>2.1650601854573553E-2</v>
      </c>
      <c r="AL314">
        <v>0.75015411377091656</v>
      </c>
    </row>
    <row r="315" spans="1:38" x14ac:dyDescent="0.25">
      <c r="A315">
        <v>11</v>
      </c>
      <c r="B315" s="5" t="s">
        <v>23</v>
      </c>
      <c r="C315" s="6" t="s">
        <v>5</v>
      </c>
      <c r="D315" s="6" t="s">
        <v>39</v>
      </c>
      <c r="E315" s="28">
        <v>73515.757700000002</v>
      </c>
      <c r="F315" s="11">
        <v>4</v>
      </c>
      <c r="G315" s="11"/>
      <c r="H315" s="11">
        <f t="shared" si="58"/>
        <v>4</v>
      </c>
      <c r="I315" s="18">
        <v>0</v>
      </c>
      <c r="J315" s="18">
        <v>0</v>
      </c>
      <c r="K315" s="18">
        <v>0</v>
      </c>
      <c r="L315" s="6">
        <v>11522448</v>
      </c>
      <c r="M315" s="7">
        <v>4680554</v>
      </c>
      <c r="N315" s="7">
        <v>1870826.25</v>
      </c>
      <c r="O315" s="7">
        <v>5965916</v>
      </c>
      <c r="P315" s="7">
        <v>12505.8017578125</v>
      </c>
      <c r="Q315" s="7">
        <v>49123.69921875</v>
      </c>
      <c r="R315" s="7">
        <v>2464628.5</v>
      </c>
      <c r="S315" s="7">
        <v>3534294</v>
      </c>
      <c r="T315" s="31">
        <f t="shared" si="59"/>
        <v>3010.0296250976562</v>
      </c>
      <c r="U315" s="37">
        <v>6666.2222222222217</v>
      </c>
      <c r="V315">
        <f t="shared" si="60"/>
        <v>0.45153454606771964</v>
      </c>
      <c r="W315">
        <f t="shared" si="71"/>
        <v>-4.8521274294014191E-2</v>
      </c>
      <c r="X315" s="28">
        <v>8118.3458333333347</v>
      </c>
      <c r="Y315">
        <f t="shared" si="61"/>
        <v>0.17284824321621442</v>
      </c>
      <c r="Z315">
        <f t="shared" si="63"/>
        <v>7.0212990866057742E-2</v>
      </c>
      <c r="AA315">
        <f t="shared" si="64"/>
        <v>2.8064264700980068E-2</v>
      </c>
      <c r="AB315">
        <f t="shared" si="65"/>
        <v>8.9494706313754266E-2</v>
      </c>
      <c r="AC315">
        <f t="shared" si="66"/>
        <v>1.8759953300272102E-4</v>
      </c>
      <c r="AD315">
        <f t="shared" si="67"/>
        <v>7.369046152556004E-4</v>
      </c>
      <c r="AE315">
        <f t="shared" si="68"/>
        <v>3.6971892292819525E-2</v>
      </c>
      <c r="AF315">
        <f t="shared" si="69"/>
        <v>5.3017944529635312E-2</v>
      </c>
      <c r="AG315">
        <f t="shared" si="62"/>
        <v>0.45153454606771964</v>
      </c>
      <c r="AH315">
        <v>0.42672076003101578</v>
      </c>
      <c r="AI315">
        <v>0.726605504587156</v>
      </c>
      <c r="AJ315">
        <v>6.1986996000227473E-2</v>
      </c>
      <c r="AK315">
        <v>2.1650601854573553E-2</v>
      </c>
      <c r="AL315">
        <v>0.75015411377091656</v>
      </c>
    </row>
    <row r="316" spans="1:38" x14ac:dyDescent="0.25">
      <c r="A316">
        <v>11</v>
      </c>
      <c r="B316" s="5" t="s">
        <v>23</v>
      </c>
      <c r="C316" s="6" t="s">
        <v>5</v>
      </c>
      <c r="D316" s="6" t="s">
        <v>40</v>
      </c>
      <c r="E316" s="28">
        <v>73515.757700000002</v>
      </c>
      <c r="F316" s="11">
        <v>5</v>
      </c>
      <c r="G316" s="11"/>
      <c r="H316" s="11">
        <f t="shared" si="58"/>
        <v>5</v>
      </c>
      <c r="I316" s="18">
        <v>0</v>
      </c>
      <c r="J316" s="18">
        <v>0</v>
      </c>
      <c r="K316" s="18">
        <v>0</v>
      </c>
      <c r="L316" s="6">
        <v>13057307</v>
      </c>
      <c r="M316" s="7">
        <v>4817372.5</v>
      </c>
      <c r="N316" s="7">
        <v>1870826.25</v>
      </c>
      <c r="O316" s="7">
        <v>6144537.5</v>
      </c>
      <c r="P316" s="7">
        <v>12505.8017578125</v>
      </c>
      <c r="Q316" s="7">
        <v>67781.2734375</v>
      </c>
      <c r="R316" s="7">
        <v>2529458</v>
      </c>
      <c r="S316" s="7">
        <v>3661861.5</v>
      </c>
      <c r="T316" s="31">
        <f t="shared" si="59"/>
        <v>3216.1649825195313</v>
      </c>
      <c r="U316" s="37">
        <v>6974.1111111111104</v>
      </c>
      <c r="V316">
        <f t="shared" si="60"/>
        <v>0.46115769182334326</v>
      </c>
      <c r="W316">
        <f t="shared" si="71"/>
        <v>2.1312091930570407E-2</v>
      </c>
      <c r="X316" s="28">
        <v>8897.6575000000012</v>
      </c>
      <c r="Y316">
        <f t="shared" si="61"/>
        <v>0.18722539391718582</v>
      </c>
      <c r="Z316">
        <f t="shared" si="63"/>
        <v>6.9075075278410628E-2</v>
      </c>
      <c r="AA316">
        <f t="shared" si="64"/>
        <v>2.6825300317045584E-2</v>
      </c>
      <c r="AB316">
        <f t="shared" si="65"/>
        <v>8.8104955629550563E-2</v>
      </c>
      <c r="AC316">
        <f t="shared" si="66"/>
        <v>1.7931750094844824E-4</v>
      </c>
      <c r="AD316">
        <f t="shared" si="67"/>
        <v>9.7189838758822325E-4</v>
      </c>
      <c r="AE316">
        <f t="shared" si="68"/>
        <v>3.6269252951391662E-2</v>
      </c>
      <c r="AF316">
        <f t="shared" si="69"/>
        <v>5.2506497841222299E-2</v>
      </c>
      <c r="AG316">
        <f t="shared" si="62"/>
        <v>0.46115769182334326</v>
      </c>
      <c r="AH316">
        <v>0.42672076003101578</v>
      </c>
      <c r="AI316">
        <v>0.726605504587156</v>
      </c>
      <c r="AJ316">
        <v>6.1986996000227473E-2</v>
      </c>
      <c r="AK316">
        <v>2.1650601854573553E-2</v>
      </c>
      <c r="AL316">
        <v>0.75015411377091656</v>
      </c>
    </row>
    <row r="317" spans="1:38" x14ac:dyDescent="0.25">
      <c r="A317">
        <v>11</v>
      </c>
      <c r="B317" s="5" t="s">
        <v>23</v>
      </c>
      <c r="C317" s="6" t="s">
        <v>5</v>
      </c>
      <c r="D317" s="6" t="s">
        <v>41</v>
      </c>
      <c r="E317" s="28">
        <v>73515.757700000002</v>
      </c>
      <c r="F317" s="11">
        <v>6</v>
      </c>
      <c r="G317" s="11"/>
      <c r="H317" s="11">
        <f t="shared" si="58"/>
        <v>6</v>
      </c>
      <c r="I317" s="18">
        <v>0</v>
      </c>
      <c r="J317" s="18">
        <v>0</v>
      </c>
      <c r="K317" s="18">
        <v>0</v>
      </c>
      <c r="L317" s="6">
        <v>13794857</v>
      </c>
      <c r="M317" s="7">
        <v>4800045.5</v>
      </c>
      <c r="N317" s="7">
        <v>1870826.25</v>
      </c>
      <c r="O317" s="7">
        <v>6127921.5</v>
      </c>
      <c r="P317" s="7">
        <v>12505.8017578125</v>
      </c>
      <c r="Q317" s="7">
        <v>44797.87890625</v>
      </c>
      <c r="R317" s="7">
        <v>2517815.5</v>
      </c>
      <c r="S317" s="7">
        <v>3612096.25</v>
      </c>
      <c r="T317" s="31">
        <f t="shared" si="59"/>
        <v>3278.0865680664065</v>
      </c>
      <c r="U317" s="37">
        <v>7282</v>
      </c>
      <c r="V317">
        <f t="shared" si="60"/>
        <v>0.4501629453538048</v>
      </c>
      <c r="W317">
        <f t="shared" si="71"/>
        <v>-2.3841620045557531E-2</v>
      </c>
      <c r="X317" s="28">
        <v>9676.9691666666677</v>
      </c>
      <c r="Y317">
        <f t="shared" si="61"/>
        <v>0.18943775061796209</v>
      </c>
      <c r="Z317">
        <f t="shared" si="63"/>
        <v>6.5916581982971706E-2</v>
      </c>
      <c r="AA317">
        <f t="shared" si="64"/>
        <v>2.5691104778906897E-2</v>
      </c>
      <c r="AB317">
        <f t="shared" si="65"/>
        <v>8.4151627300192253E-2</v>
      </c>
      <c r="AC317">
        <f t="shared" si="66"/>
        <v>1.71735811010883E-4</v>
      </c>
      <c r="AD317">
        <f t="shared" si="67"/>
        <v>6.1518647220887117E-4</v>
      </c>
      <c r="AE317">
        <f t="shared" si="68"/>
        <v>3.4575878879428729E-2</v>
      </c>
      <c r="AF317">
        <f t="shared" si="69"/>
        <v>4.9603079511123319E-2</v>
      </c>
      <c r="AG317">
        <f t="shared" si="62"/>
        <v>0.45016294535380474</v>
      </c>
      <c r="AH317">
        <v>0.42672076003101578</v>
      </c>
      <c r="AI317">
        <v>0.726605504587156</v>
      </c>
      <c r="AJ317">
        <v>6.1986996000227473E-2</v>
      </c>
      <c r="AK317">
        <v>2.1650601854573553E-2</v>
      </c>
      <c r="AL317">
        <v>0.75015411377091656</v>
      </c>
    </row>
    <row r="318" spans="1:38" x14ac:dyDescent="0.25">
      <c r="A318">
        <v>11</v>
      </c>
      <c r="B318" s="5" t="s">
        <v>23</v>
      </c>
      <c r="C318" s="6" t="s">
        <v>5</v>
      </c>
      <c r="D318" s="6" t="s">
        <v>42</v>
      </c>
      <c r="E318" s="28">
        <v>73515.757700000002</v>
      </c>
      <c r="F318" s="11">
        <v>7</v>
      </c>
      <c r="G318" s="11"/>
      <c r="H318" s="11">
        <f t="shared" si="58"/>
        <v>7</v>
      </c>
      <c r="I318" s="18">
        <v>0</v>
      </c>
      <c r="J318" s="18">
        <v>0</v>
      </c>
      <c r="K318" s="18">
        <v>0</v>
      </c>
      <c r="L318" s="6">
        <v>16848848</v>
      </c>
      <c r="M318" s="7">
        <v>4843421</v>
      </c>
      <c r="N318" s="7">
        <v>1871724.25</v>
      </c>
      <c r="O318" s="7">
        <v>6187032.5</v>
      </c>
      <c r="P318" s="7">
        <v>12511.8046875</v>
      </c>
      <c r="Q318" s="7">
        <v>20790.677734375</v>
      </c>
      <c r="R318" s="7">
        <v>2517719.75</v>
      </c>
      <c r="S318" s="7">
        <v>3479406</v>
      </c>
      <c r="T318" s="31">
        <f t="shared" si="59"/>
        <v>3578.1453982421876</v>
      </c>
      <c r="U318" s="37">
        <v>7589.8888888888896</v>
      </c>
      <c r="V318">
        <f t="shared" si="60"/>
        <v>0.47143580764144821</v>
      </c>
      <c r="W318">
        <f t="shared" si="71"/>
        <v>4.7255915901572139E-2</v>
      </c>
      <c r="X318" s="28">
        <v>10456.280833333336</v>
      </c>
      <c r="Y318">
        <f t="shared" si="61"/>
        <v>0.22199070693466452</v>
      </c>
      <c r="Z318">
        <f t="shared" si="63"/>
        <v>6.3814122589995456E-2</v>
      </c>
      <c r="AA318">
        <f t="shared" si="64"/>
        <v>2.4660759563161515E-2</v>
      </c>
      <c r="AB318">
        <f t="shared" si="65"/>
        <v>8.1516773046011501E-2</v>
      </c>
      <c r="AC318">
        <f t="shared" si="66"/>
        <v>1.6484832479980675E-4</v>
      </c>
      <c r="AD318">
        <f t="shared" si="67"/>
        <v>2.7392598282711646E-4</v>
      </c>
      <c r="AE318">
        <f t="shared" si="68"/>
        <v>3.3172023818237709E-2</v>
      </c>
      <c r="AF318">
        <f t="shared" si="69"/>
        <v>4.5842647381750569E-2</v>
      </c>
      <c r="AG318">
        <f t="shared" si="62"/>
        <v>0.47143580764144816</v>
      </c>
      <c r="AH318">
        <v>0.42672076003101578</v>
      </c>
      <c r="AI318">
        <v>0.726605504587156</v>
      </c>
      <c r="AJ318">
        <v>6.1986996000227473E-2</v>
      </c>
      <c r="AK318">
        <v>2.1650601854573553E-2</v>
      </c>
      <c r="AL318">
        <v>0.75015411377091656</v>
      </c>
    </row>
    <row r="319" spans="1:38" x14ac:dyDescent="0.25">
      <c r="A319">
        <v>11</v>
      </c>
      <c r="B319" s="5" t="s">
        <v>23</v>
      </c>
      <c r="C319" s="6" t="s">
        <v>5</v>
      </c>
      <c r="D319" s="6" t="s">
        <v>43</v>
      </c>
      <c r="E319" s="28">
        <v>77715.399999999994</v>
      </c>
      <c r="F319" s="11">
        <v>8</v>
      </c>
      <c r="G319" s="11"/>
      <c r="H319" s="18">
        <f t="shared" si="58"/>
        <v>8</v>
      </c>
      <c r="I319" s="18">
        <v>0</v>
      </c>
      <c r="J319" s="18">
        <v>0</v>
      </c>
      <c r="K319" s="18">
        <v>0</v>
      </c>
      <c r="L319" s="14">
        <v>11769941</v>
      </c>
      <c r="M319" s="16">
        <v>4363699.5</v>
      </c>
      <c r="N319" s="16">
        <v>1854190.5</v>
      </c>
      <c r="O319" s="16">
        <v>5994895</v>
      </c>
      <c r="P319" s="16">
        <v>12790.830078125</v>
      </c>
      <c r="Q319" s="16">
        <v>10874.666015625</v>
      </c>
      <c r="R319" s="16">
        <v>2538400.25</v>
      </c>
      <c r="S319" s="16">
        <v>3179837.75</v>
      </c>
      <c r="T319" s="31">
        <f t="shared" si="59"/>
        <v>2972.4629496093748</v>
      </c>
      <c r="U319" s="37">
        <v>6177.3333333333339</v>
      </c>
      <c r="V319">
        <f t="shared" si="60"/>
        <v>0.48118869246860152</v>
      </c>
      <c r="W319">
        <f t="shared" si="71"/>
        <v>2.0687619966642184E-2</v>
      </c>
      <c r="X319" s="28">
        <v>4662.6416666666655</v>
      </c>
      <c r="Y319">
        <f t="shared" si="61"/>
        <v>0.19053433520397151</v>
      </c>
      <c r="Z319">
        <f t="shared" si="63"/>
        <v>7.0640505611914525E-2</v>
      </c>
      <c r="AA319">
        <f t="shared" si="64"/>
        <v>3.0016034426937187E-2</v>
      </c>
      <c r="AB319">
        <f t="shared" si="65"/>
        <v>9.7046649039499236E-2</v>
      </c>
      <c r="AC319">
        <f t="shared" si="66"/>
        <v>2.0706070707087739E-4</v>
      </c>
      <c r="AD319">
        <f t="shared" si="67"/>
        <v>1.7604143129114501E-4</v>
      </c>
      <c r="AE319">
        <f t="shared" si="68"/>
        <v>4.1092168951003663E-2</v>
      </c>
      <c r="AF319">
        <f t="shared" si="69"/>
        <v>5.1475897096913442E-2</v>
      </c>
      <c r="AG319">
        <f t="shared" si="62"/>
        <v>0.48118869246860152</v>
      </c>
      <c r="AH319">
        <v>0.42299595704326304</v>
      </c>
      <c r="AI319">
        <v>0.73376919568192189</v>
      </c>
      <c r="AJ319">
        <v>6.2337686956192066E-2</v>
      </c>
      <c r="AK319">
        <v>2.2750399534712556E-2</v>
      </c>
      <c r="AL319">
        <v>0.66899627052583754</v>
      </c>
    </row>
    <row r="320" spans="1:38" x14ac:dyDescent="0.25">
      <c r="A320">
        <v>11</v>
      </c>
      <c r="B320" s="5" t="s">
        <v>23</v>
      </c>
      <c r="C320" s="6" t="s">
        <v>5</v>
      </c>
      <c r="D320" s="6" t="s">
        <v>44</v>
      </c>
      <c r="E320" s="28">
        <v>77715.399999999994</v>
      </c>
      <c r="F320" s="11">
        <v>9</v>
      </c>
      <c r="G320" s="11"/>
      <c r="H320" s="11">
        <f t="shared" si="58"/>
        <v>9</v>
      </c>
      <c r="I320" s="18">
        <v>0</v>
      </c>
      <c r="J320" s="18">
        <v>0</v>
      </c>
      <c r="K320" s="18">
        <v>0</v>
      </c>
      <c r="L320" s="6">
        <v>11711620</v>
      </c>
      <c r="M320" s="7">
        <v>4278112</v>
      </c>
      <c r="N320" s="7">
        <v>1854190.5</v>
      </c>
      <c r="O320" s="7">
        <v>5877171.5</v>
      </c>
      <c r="P320" s="7">
        <v>12790.830078125</v>
      </c>
      <c r="Q320" s="7">
        <v>15430.8486328125</v>
      </c>
      <c r="R320" s="7">
        <v>2487744.5</v>
      </c>
      <c r="S320" s="7">
        <v>3220794.75</v>
      </c>
      <c r="T320" s="31">
        <f t="shared" si="59"/>
        <v>2945.7854928710935</v>
      </c>
      <c r="U320" s="37">
        <v>6228.666666666667</v>
      </c>
      <c r="V320">
        <f t="shared" si="60"/>
        <v>0.47293998066002785</v>
      </c>
      <c r="W320">
        <f t="shared" si="71"/>
        <v>-1.7142364186190674E-2</v>
      </c>
      <c r="X320" s="28">
        <v>4997.6249999999991</v>
      </c>
      <c r="Y320">
        <f t="shared" si="61"/>
        <v>0.18802772128866529</v>
      </c>
      <c r="Z320">
        <f t="shared" si="63"/>
        <v>6.8684234186021612E-2</v>
      </c>
      <c r="AA320">
        <f t="shared" si="64"/>
        <v>2.9768658353847798E-2</v>
      </c>
      <c r="AB320">
        <f t="shared" si="65"/>
        <v>9.4356815262763558E-2</v>
      </c>
      <c r="AC320">
        <f t="shared" si="66"/>
        <v>2.0535422366678259E-4</v>
      </c>
      <c r="AD320">
        <f t="shared" si="67"/>
        <v>2.4773919457581875E-4</v>
      </c>
      <c r="AE320">
        <f t="shared" si="68"/>
        <v>3.9940241357165791E-2</v>
      </c>
      <c r="AF320">
        <f t="shared" si="69"/>
        <v>5.1709216793321196E-2</v>
      </c>
      <c r="AG320">
        <f t="shared" si="62"/>
        <v>0.47293998066002785</v>
      </c>
      <c r="AH320">
        <v>0.42299595704326304</v>
      </c>
      <c r="AI320">
        <v>0.73376919568192189</v>
      </c>
      <c r="AJ320">
        <v>6.2337686956192066E-2</v>
      </c>
      <c r="AK320">
        <v>2.2750399534712556E-2</v>
      </c>
      <c r="AL320">
        <v>0.66899627052583754</v>
      </c>
    </row>
    <row r="321" spans="1:38" x14ac:dyDescent="0.25">
      <c r="A321">
        <v>11</v>
      </c>
      <c r="B321" s="5" t="s">
        <v>23</v>
      </c>
      <c r="C321" s="6" t="s">
        <v>5</v>
      </c>
      <c r="D321" s="6" t="s">
        <v>45</v>
      </c>
      <c r="E321" s="28">
        <v>77715.399999999994</v>
      </c>
      <c r="F321" s="11">
        <v>10</v>
      </c>
      <c r="G321" s="11"/>
      <c r="H321" s="11">
        <f t="shared" si="58"/>
        <v>10</v>
      </c>
      <c r="I321" s="18">
        <v>0</v>
      </c>
      <c r="J321" s="18">
        <v>0</v>
      </c>
      <c r="K321" s="18">
        <v>0</v>
      </c>
      <c r="L321" s="6">
        <v>13322559</v>
      </c>
      <c r="M321" s="7">
        <v>4440443.5</v>
      </c>
      <c r="N321" s="7">
        <v>1854190.5</v>
      </c>
      <c r="O321" s="7">
        <v>6100014.5</v>
      </c>
      <c r="P321" s="7">
        <v>12790.830078125</v>
      </c>
      <c r="Q321" s="7">
        <v>44691.1796875</v>
      </c>
      <c r="R321" s="7">
        <v>2470850.5</v>
      </c>
      <c r="S321" s="7">
        <v>3300032</v>
      </c>
      <c r="T321" s="31">
        <f t="shared" si="59"/>
        <v>3154.5572009765624</v>
      </c>
      <c r="U321" s="37">
        <v>6280</v>
      </c>
      <c r="V321">
        <f t="shared" si="60"/>
        <v>0.5023180256332106</v>
      </c>
      <c r="W321">
        <f t="shared" si="71"/>
        <v>6.2117913846452981E-2</v>
      </c>
      <c r="X321" s="28">
        <v>5332.6083333333327</v>
      </c>
      <c r="Y321">
        <f t="shared" si="61"/>
        <v>0.21214265923566877</v>
      </c>
      <c r="Z321">
        <f t="shared" si="63"/>
        <v>7.0707699044585987E-2</v>
      </c>
      <c r="AA321">
        <f t="shared" si="64"/>
        <v>2.9525326433121019E-2</v>
      </c>
      <c r="AB321">
        <f t="shared" si="65"/>
        <v>9.7133988853503189E-2</v>
      </c>
      <c r="AC321">
        <f t="shared" si="66"/>
        <v>2.0367563818670379E-4</v>
      </c>
      <c r="AD321">
        <f t="shared" si="67"/>
        <v>7.1164298865445861E-4</v>
      </c>
      <c r="AE321">
        <f t="shared" si="68"/>
        <v>3.9344753184713373E-2</v>
      </c>
      <c r="AF321">
        <f t="shared" si="69"/>
        <v>5.254828025477707E-2</v>
      </c>
      <c r="AG321">
        <f t="shared" si="62"/>
        <v>0.50231802563321049</v>
      </c>
      <c r="AH321">
        <v>0.42299595704326304</v>
      </c>
      <c r="AI321">
        <v>0.73376919568192189</v>
      </c>
      <c r="AJ321">
        <v>6.2337686956192066E-2</v>
      </c>
      <c r="AK321">
        <v>2.2750399534712556E-2</v>
      </c>
      <c r="AL321">
        <v>0.66899627052583754</v>
      </c>
    </row>
    <row r="322" spans="1:38" x14ac:dyDescent="0.25">
      <c r="A322">
        <v>11</v>
      </c>
      <c r="B322" s="5" t="s">
        <v>23</v>
      </c>
      <c r="C322" s="6" t="s">
        <v>5</v>
      </c>
      <c r="D322" s="6" t="s">
        <v>46</v>
      </c>
      <c r="E322" s="28">
        <v>77715.399999999994</v>
      </c>
      <c r="F322" s="11">
        <v>11</v>
      </c>
      <c r="G322" s="11"/>
      <c r="H322" s="11">
        <f t="shared" ref="H322:H385" si="72">F322-G322</f>
        <v>11</v>
      </c>
      <c r="I322" s="18">
        <v>0</v>
      </c>
      <c r="J322" s="18">
        <v>0</v>
      </c>
      <c r="K322" s="18">
        <v>0</v>
      </c>
      <c r="L322" s="6">
        <v>12050516</v>
      </c>
      <c r="M322" s="7">
        <v>4511159</v>
      </c>
      <c r="N322" s="7">
        <v>1854190.5</v>
      </c>
      <c r="O322" s="7">
        <v>6192560.5</v>
      </c>
      <c r="P322" s="7">
        <v>12790.830078125</v>
      </c>
      <c r="Q322" s="7">
        <v>61570.2421875</v>
      </c>
      <c r="R322" s="7">
        <v>2536536.5</v>
      </c>
      <c r="S322" s="7">
        <v>3421685</v>
      </c>
      <c r="T322" s="31">
        <f t="shared" ref="T322:T385" si="73">SUM(L322:S322)/10000</f>
        <v>3064.1008572265623</v>
      </c>
      <c r="U322" s="37">
        <v>6331.333333333333</v>
      </c>
      <c r="V322">
        <f t="shared" si="60"/>
        <v>0.4839582274233804</v>
      </c>
      <c r="W322">
        <f t="shared" si="71"/>
        <v>-3.6550148059461433E-2</v>
      </c>
      <c r="X322" s="28">
        <v>5667.5916666666662</v>
      </c>
      <c r="Y322">
        <f t="shared" si="61"/>
        <v>0.19033140991892178</v>
      </c>
      <c r="Z322">
        <f t="shared" si="63"/>
        <v>7.1251326734758341E-2</v>
      </c>
      <c r="AA322">
        <f t="shared" si="64"/>
        <v>2.9285940296935879E-2</v>
      </c>
      <c r="AB322">
        <f t="shared" si="65"/>
        <v>9.7808157839317691E-2</v>
      </c>
      <c r="AC322">
        <f t="shared" si="66"/>
        <v>2.0202427205630728E-4</v>
      </c>
      <c r="AD322">
        <f t="shared" si="67"/>
        <v>9.7246881416499951E-4</v>
      </c>
      <c r="AE322">
        <f t="shared" si="68"/>
        <v>4.0063227861429927E-2</v>
      </c>
      <c r="AF322">
        <f t="shared" si="69"/>
        <v>5.4043671685795519E-2</v>
      </c>
      <c r="AG322">
        <f t="shared" si="62"/>
        <v>0.48395822742338046</v>
      </c>
      <c r="AH322">
        <v>0.42299595704326304</v>
      </c>
      <c r="AI322">
        <v>0.73376919568192189</v>
      </c>
      <c r="AJ322">
        <v>6.2337686956192066E-2</v>
      </c>
      <c r="AK322">
        <v>2.2750399534712556E-2</v>
      </c>
      <c r="AL322">
        <v>0.66899627052583754</v>
      </c>
    </row>
    <row r="323" spans="1:38" x14ac:dyDescent="0.25">
      <c r="A323">
        <v>11</v>
      </c>
      <c r="B323" s="5" t="s">
        <v>23</v>
      </c>
      <c r="C323" s="6" t="s">
        <v>5</v>
      </c>
      <c r="D323" s="6" t="s">
        <v>47</v>
      </c>
      <c r="E323" s="28">
        <v>77715.399999999994</v>
      </c>
      <c r="F323" s="11">
        <v>12</v>
      </c>
      <c r="G323" s="11"/>
      <c r="H323" s="11">
        <f t="shared" si="72"/>
        <v>12</v>
      </c>
      <c r="I323" s="18">
        <v>0</v>
      </c>
      <c r="J323" s="18">
        <v>0</v>
      </c>
      <c r="K323" s="18">
        <v>0</v>
      </c>
      <c r="L323" s="6">
        <v>11971703</v>
      </c>
      <c r="M323" s="7">
        <v>4462537.5</v>
      </c>
      <c r="N323" s="7">
        <v>1854190.5</v>
      </c>
      <c r="O323" s="7">
        <v>6124359</v>
      </c>
      <c r="P323" s="7">
        <v>12790.830078125</v>
      </c>
      <c r="Q323" s="7">
        <v>40455.4296875</v>
      </c>
      <c r="R323" s="7">
        <v>2521205.5</v>
      </c>
      <c r="S323" s="7">
        <v>3395454.75</v>
      </c>
      <c r="T323" s="31">
        <f t="shared" si="73"/>
        <v>3038.2696509765624</v>
      </c>
      <c r="U323" s="37">
        <v>6382.666666666667</v>
      </c>
      <c r="V323">
        <f t="shared" ref="V323:V386" si="74">T323/U323</f>
        <v>0.47601885068569494</v>
      </c>
      <c r="W323">
        <f t="shared" si="71"/>
        <v>-1.6405086819073485E-2</v>
      </c>
      <c r="X323" s="28">
        <v>6002.5749999999998</v>
      </c>
      <c r="Y323">
        <f t="shared" si="61"/>
        <v>0.18756585021934405</v>
      </c>
      <c r="Z323">
        <f t="shared" si="63"/>
        <v>6.9916505640275739E-2</v>
      </c>
      <c r="AA323">
        <f t="shared" si="64"/>
        <v>2.9050404742009608E-2</v>
      </c>
      <c r="AB323">
        <f t="shared" si="65"/>
        <v>9.5952982034677239E-2</v>
      </c>
      <c r="AC323">
        <f t="shared" si="66"/>
        <v>2.0039946853130872E-4</v>
      </c>
      <c r="AD323">
        <f t="shared" si="67"/>
        <v>6.3383271914821393E-4</v>
      </c>
      <c r="AE323">
        <f t="shared" si="68"/>
        <v>3.9500817317735533E-2</v>
      </c>
      <c r="AF323">
        <f t="shared" si="69"/>
        <v>5.3198058543973262E-2</v>
      </c>
      <c r="AG323">
        <f t="shared" si="62"/>
        <v>0.47601885068569483</v>
      </c>
      <c r="AH323">
        <v>0.42299595704326304</v>
      </c>
      <c r="AI323">
        <v>0.73376919568192189</v>
      </c>
      <c r="AJ323">
        <v>6.2337686956192066E-2</v>
      </c>
      <c r="AK323">
        <v>2.2750399534712556E-2</v>
      </c>
      <c r="AL323">
        <v>0.66899627052583754</v>
      </c>
    </row>
    <row r="324" spans="1:38" x14ac:dyDescent="0.25">
      <c r="A324">
        <v>11</v>
      </c>
      <c r="B324" s="5" t="s">
        <v>23</v>
      </c>
      <c r="C324" s="6" t="s">
        <v>5</v>
      </c>
      <c r="D324" s="6" t="s">
        <v>48</v>
      </c>
      <c r="E324" s="28">
        <v>77715.399999999994</v>
      </c>
      <c r="F324" s="11">
        <v>13</v>
      </c>
      <c r="G324" s="11"/>
      <c r="H324" s="11">
        <f t="shared" si="72"/>
        <v>13</v>
      </c>
      <c r="I324" s="18">
        <v>0</v>
      </c>
      <c r="J324" s="18">
        <v>0</v>
      </c>
      <c r="K324" s="18">
        <v>0</v>
      </c>
      <c r="L324" s="6">
        <v>12540733</v>
      </c>
      <c r="M324" s="7">
        <v>4486210.5</v>
      </c>
      <c r="N324" s="7">
        <v>1854190.5</v>
      </c>
      <c r="O324" s="7">
        <v>6155972.5</v>
      </c>
      <c r="P324" s="7">
        <v>12790.830078125</v>
      </c>
      <c r="Q324" s="7">
        <v>19793.9921875</v>
      </c>
      <c r="R324" s="7">
        <v>2517568</v>
      </c>
      <c r="S324" s="7">
        <v>3290130.5</v>
      </c>
      <c r="T324" s="31">
        <f t="shared" si="73"/>
        <v>3087.7389822265627</v>
      </c>
      <c r="U324" s="37">
        <v>6522.8888888888896</v>
      </c>
      <c r="V324">
        <f t="shared" si="74"/>
        <v>0.47336985725546044</v>
      </c>
      <c r="W324">
        <f t="shared" si="71"/>
        <v>-5.5648918659811156E-3</v>
      </c>
      <c r="X324" s="28">
        <v>6337.5583333333334</v>
      </c>
      <c r="Y324">
        <f t="shared" ref="Y324:Y387" si="75">L324/$U324/10000</f>
        <v>0.19225734507546074</v>
      </c>
      <c r="Z324">
        <f t="shared" si="63"/>
        <v>6.8776435969066185E-2</v>
      </c>
      <c r="AA324">
        <f t="shared" si="64"/>
        <v>2.8425909617415597E-2</v>
      </c>
      <c r="AB324">
        <f t="shared" si="65"/>
        <v>9.4374940380880998E-2</v>
      </c>
      <c r="AC324">
        <f t="shared" si="66"/>
        <v>1.9609149099431914E-4</v>
      </c>
      <c r="AD324">
        <f t="shared" si="67"/>
        <v>3.0345438232463461E-4</v>
      </c>
      <c r="AE324">
        <f t="shared" si="68"/>
        <v>3.8595905018226413E-2</v>
      </c>
      <c r="AF324">
        <f t="shared" si="69"/>
        <v>5.0439775321091534E-2</v>
      </c>
      <c r="AG324">
        <f t="shared" ref="AG324:AG387" si="76">SUM(Y324:AF324)</f>
        <v>0.47336985725546044</v>
      </c>
      <c r="AH324">
        <v>0.42299595704326304</v>
      </c>
      <c r="AI324">
        <v>0.73376919568192189</v>
      </c>
      <c r="AJ324">
        <v>6.2337686956192066E-2</v>
      </c>
      <c r="AK324">
        <v>2.2750399534712556E-2</v>
      </c>
      <c r="AL324">
        <v>0.66899627052583754</v>
      </c>
    </row>
    <row r="325" spans="1:38" x14ac:dyDescent="0.25">
      <c r="A325">
        <v>11</v>
      </c>
      <c r="B325" s="5" t="s">
        <v>23</v>
      </c>
      <c r="C325" s="6" t="s">
        <v>5</v>
      </c>
      <c r="D325" s="6" t="s">
        <v>49</v>
      </c>
      <c r="E325" s="28">
        <v>77715.399999999994</v>
      </c>
      <c r="F325" s="11">
        <v>14</v>
      </c>
      <c r="G325" s="11"/>
      <c r="H325" s="11">
        <f t="shared" si="72"/>
        <v>14</v>
      </c>
      <c r="I325" s="18">
        <v>0</v>
      </c>
      <c r="J325" s="18">
        <v>0</v>
      </c>
      <c r="K325" s="18">
        <v>0</v>
      </c>
      <c r="L325" s="6">
        <v>14105960</v>
      </c>
      <c r="M325" s="7">
        <v>4308160.5</v>
      </c>
      <c r="N325" s="7">
        <v>1854190.5</v>
      </c>
      <c r="O325" s="7">
        <v>5906194</v>
      </c>
      <c r="P325" s="7">
        <v>12790.830078125</v>
      </c>
      <c r="Q325" s="7">
        <v>11892.3056640625</v>
      </c>
      <c r="R325" s="7">
        <v>2532292</v>
      </c>
      <c r="S325" s="7">
        <v>3224645.25</v>
      </c>
      <c r="T325" s="31">
        <f t="shared" si="73"/>
        <v>3195.6125385742189</v>
      </c>
      <c r="U325" s="37">
        <v>6663.1111111111104</v>
      </c>
      <c r="V325">
        <f t="shared" si="74"/>
        <v>0.47959766620811056</v>
      </c>
      <c r="W325">
        <f t="shared" si="71"/>
        <v>1.3156327673160663E-2</v>
      </c>
      <c r="X325" s="28">
        <v>6672.541666666667</v>
      </c>
      <c r="Y325">
        <f t="shared" si="75"/>
        <v>0.21170230789754538</v>
      </c>
      <c r="Z325">
        <f t="shared" si="63"/>
        <v>6.4656891175293496E-2</v>
      </c>
      <c r="AA325">
        <f t="shared" si="64"/>
        <v>2.7827698939434369E-2</v>
      </c>
      <c r="AB325">
        <f t="shared" si="65"/>
        <v>8.8640184765208116E-2</v>
      </c>
      <c r="AC325">
        <f t="shared" si="66"/>
        <v>1.9196483241583012E-4</v>
      </c>
      <c r="AD325">
        <f t="shared" si="67"/>
        <v>1.7847977417383024E-4</v>
      </c>
      <c r="AE325">
        <f t="shared" si="68"/>
        <v>3.8004649146211315E-2</v>
      </c>
      <c r="AF325">
        <f t="shared" si="69"/>
        <v>4.8395489677828182E-2</v>
      </c>
      <c r="AG325">
        <f t="shared" si="76"/>
        <v>0.47959766620811062</v>
      </c>
      <c r="AH325">
        <v>0.42299595704326304</v>
      </c>
      <c r="AI325">
        <v>0.73376919568192189</v>
      </c>
      <c r="AJ325">
        <v>6.2337686956192066E-2</v>
      </c>
      <c r="AK325">
        <v>2.2750399534712556E-2</v>
      </c>
      <c r="AL325">
        <v>0.66899627052583754</v>
      </c>
    </row>
    <row r="326" spans="1:38" x14ac:dyDescent="0.25">
      <c r="A326">
        <v>11</v>
      </c>
      <c r="B326" s="5" t="s">
        <v>23</v>
      </c>
      <c r="C326" s="6" t="s">
        <v>5</v>
      </c>
      <c r="D326" s="6" t="s">
        <v>50</v>
      </c>
      <c r="E326" s="28">
        <v>77715.399999999994</v>
      </c>
      <c r="F326" s="11">
        <v>15</v>
      </c>
      <c r="G326" s="11"/>
      <c r="H326" s="11">
        <f t="shared" si="72"/>
        <v>15</v>
      </c>
      <c r="I326" s="18">
        <v>0</v>
      </c>
      <c r="J326" s="18">
        <v>0</v>
      </c>
      <c r="K326" s="18">
        <v>0</v>
      </c>
      <c r="L326" s="6">
        <v>15010734</v>
      </c>
      <c r="M326" s="7">
        <v>4185064.5</v>
      </c>
      <c r="N326" s="7">
        <v>1854190.5</v>
      </c>
      <c r="O326" s="7">
        <v>5733666</v>
      </c>
      <c r="P326" s="7">
        <v>12790.830078125</v>
      </c>
      <c r="Q326" s="7">
        <v>16635.71875</v>
      </c>
      <c r="R326" s="7">
        <v>2482541.25</v>
      </c>
      <c r="S326" s="7">
        <v>3259903</v>
      </c>
      <c r="T326" s="31">
        <f t="shared" si="73"/>
        <v>3255.5525798828126</v>
      </c>
      <c r="U326" s="37">
        <v>6803.333333333333</v>
      </c>
      <c r="V326">
        <f t="shared" si="74"/>
        <v>0.47852316215817925</v>
      </c>
      <c r="W326">
        <f t="shared" si="71"/>
        <v>-2.2404280204838534E-3</v>
      </c>
      <c r="X326" s="28">
        <v>7007.5250000000005</v>
      </c>
      <c r="Y326">
        <f t="shared" si="75"/>
        <v>0.22063793238608528</v>
      </c>
      <c r="Z326">
        <f t="shared" si="63"/>
        <v>6.1514911807937292E-2</v>
      </c>
      <c r="AA326">
        <f t="shared" si="64"/>
        <v>2.7254147476727098E-2</v>
      </c>
      <c r="AB326">
        <f t="shared" si="65"/>
        <v>8.4277305242528175E-2</v>
      </c>
      <c r="AC326">
        <f t="shared" si="66"/>
        <v>1.8800828140311124E-4</v>
      </c>
      <c r="AD326">
        <f t="shared" si="67"/>
        <v>2.4452305854973051E-4</v>
      </c>
      <c r="AE326">
        <f t="shared" si="68"/>
        <v>3.6490072268495842E-2</v>
      </c>
      <c r="AF326">
        <f t="shared" si="69"/>
        <v>4.7916261636452719E-2</v>
      </c>
      <c r="AG326">
        <f t="shared" si="76"/>
        <v>0.47852316215817925</v>
      </c>
      <c r="AH326">
        <v>0.42299595704326304</v>
      </c>
      <c r="AI326">
        <v>0.73376919568192189</v>
      </c>
      <c r="AJ326">
        <v>6.2337686956192066E-2</v>
      </c>
      <c r="AK326">
        <v>2.2750399534712556E-2</v>
      </c>
      <c r="AL326">
        <v>0.66899627052583754</v>
      </c>
    </row>
    <row r="327" spans="1:38" x14ac:dyDescent="0.25">
      <c r="A327">
        <v>11</v>
      </c>
      <c r="B327" s="5" t="s">
        <v>23</v>
      </c>
      <c r="C327" s="6" t="s">
        <v>5</v>
      </c>
      <c r="D327" s="6" t="s">
        <v>51</v>
      </c>
      <c r="E327" s="28">
        <v>77715.399999999994</v>
      </c>
      <c r="F327" s="11">
        <v>16</v>
      </c>
      <c r="G327" s="11"/>
      <c r="H327" s="11">
        <f t="shared" si="72"/>
        <v>16</v>
      </c>
      <c r="I327" s="18">
        <v>0</v>
      </c>
      <c r="J327" s="18">
        <v>0</v>
      </c>
      <c r="K327" s="18">
        <v>0</v>
      </c>
      <c r="L327" s="6">
        <v>13105034</v>
      </c>
      <c r="M327" s="7">
        <v>4367450</v>
      </c>
      <c r="N327" s="7">
        <v>1854190.5</v>
      </c>
      <c r="O327" s="7">
        <v>5987961</v>
      </c>
      <c r="P327" s="7">
        <v>12790.830078125</v>
      </c>
      <c r="Q327" s="7">
        <v>45872.3359375</v>
      </c>
      <c r="R327" s="7">
        <v>2467824.25</v>
      </c>
      <c r="S327" s="7">
        <v>3315988.25</v>
      </c>
      <c r="T327" s="31">
        <f t="shared" si="73"/>
        <v>3115.7111166015625</v>
      </c>
      <c r="U327" s="37">
        <v>7038.4444444444443</v>
      </c>
      <c r="V327">
        <f t="shared" si="74"/>
        <v>0.44267041406582991</v>
      </c>
      <c r="W327">
        <f t="shared" si="71"/>
        <v>-7.4923746492542728E-2</v>
      </c>
      <c r="X327" s="28">
        <v>7342.5083333333341</v>
      </c>
      <c r="Y327">
        <f t="shared" si="75"/>
        <v>0.1861921920878982</v>
      </c>
      <c r="Z327">
        <f t="shared" si="63"/>
        <v>6.2051352887317272E-2</v>
      </c>
      <c r="AA327">
        <f t="shared" si="64"/>
        <v>2.6343754143908063E-2</v>
      </c>
      <c r="AB327">
        <f t="shared" si="65"/>
        <v>8.507506235594986E-2</v>
      </c>
      <c r="AC327">
        <f t="shared" si="66"/>
        <v>1.8172808180962492E-4</v>
      </c>
      <c r="AD327">
        <f t="shared" si="67"/>
        <v>6.5173968906876518E-4</v>
      </c>
      <c r="AE327">
        <f t="shared" si="68"/>
        <v>3.506206903356171E-2</v>
      </c>
      <c r="AF327">
        <f t="shared" si="69"/>
        <v>4.7112515786316422E-2</v>
      </c>
      <c r="AG327">
        <f t="shared" si="76"/>
        <v>0.44267041406582991</v>
      </c>
      <c r="AH327">
        <v>0.42299595704326304</v>
      </c>
      <c r="AI327">
        <v>0.73376919568192189</v>
      </c>
      <c r="AJ327">
        <v>6.2337686956192066E-2</v>
      </c>
      <c r="AK327">
        <v>2.2750399534712556E-2</v>
      </c>
      <c r="AL327">
        <v>0.66899627052583754</v>
      </c>
    </row>
    <row r="328" spans="1:38" x14ac:dyDescent="0.25">
      <c r="A328">
        <v>11</v>
      </c>
      <c r="B328" s="5" t="s">
        <v>23</v>
      </c>
      <c r="C328" s="6" t="s">
        <v>5</v>
      </c>
      <c r="D328" s="6" t="s">
        <v>52</v>
      </c>
      <c r="E328" s="28">
        <v>77715.399999999994</v>
      </c>
      <c r="F328" s="11">
        <v>17</v>
      </c>
      <c r="G328" s="11"/>
      <c r="H328" s="11">
        <f t="shared" si="72"/>
        <v>17</v>
      </c>
      <c r="I328" s="18">
        <v>0</v>
      </c>
      <c r="J328" s="18">
        <v>0</v>
      </c>
      <c r="K328" s="18">
        <v>0</v>
      </c>
      <c r="L328" s="6">
        <v>12896968</v>
      </c>
      <c r="M328" s="7">
        <v>4494712</v>
      </c>
      <c r="N328" s="7">
        <v>1854190.5</v>
      </c>
      <c r="O328" s="7">
        <v>6166993</v>
      </c>
      <c r="P328" s="7">
        <v>12790.830078125</v>
      </c>
      <c r="Q328" s="7">
        <v>63297.0078125</v>
      </c>
      <c r="R328" s="7">
        <v>2535818.25</v>
      </c>
      <c r="S328" s="7">
        <v>3437087.75</v>
      </c>
      <c r="T328" s="31">
        <f t="shared" si="73"/>
        <v>3146.1857337890624</v>
      </c>
      <c r="U328" s="37">
        <v>7273.5555555555557</v>
      </c>
      <c r="V328">
        <f t="shared" si="74"/>
        <v>0.43255127561182916</v>
      </c>
      <c r="W328">
        <f t="shared" si="71"/>
        <v>-2.2859306003892837E-2</v>
      </c>
      <c r="X328" s="28">
        <v>7677.4916666666677</v>
      </c>
      <c r="Y328">
        <f t="shared" si="75"/>
        <v>0.17731311600623262</v>
      </c>
      <c r="Z328">
        <f t="shared" si="63"/>
        <v>6.1795252207387491E-2</v>
      </c>
      <c r="AA328">
        <f t="shared" si="64"/>
        <v>2.5492216094833643E-2</v>
      </c>
      <c r="AB328">
        <f t="shared" si="65"/>
        <v>8.4786497510005804E-2</v>
      </c>
      <c r="AC328">
        <f t="shared" si="66"/>
        <v>1.7585388577056154E-4</v>
      </c>
      <c r="AD328">
        <f t="shared" si="67"/>
        <v>8.7023474735342644E-4</v>
      </c>
      <c r="AE328">
        <f t="shared" si="68"/>
        <v>3.4863530368763551E-2</v>
      </c>
      <c r="AF328">
        <f t="shared" si="69"/>
        <v>4.7254574791482082E-2</v>
      </c>
      <c r="AG328">
        <f t="shared" si="76"/>
        <v>0.43255127561182921</v>
      </c>
      <c r="AH328">
        <v>0.42299595704326304</v>
      </c>
      <c r="AI328">
        <v>0.73376919568192189</v>
      </c>
      <c r="AJ328">
        <v>6.2337686956192066E-2</v>
      </c>
      <c r="AK328">
        <v>2.2750399534712556E-2</v>
      </c>
      <c r="AL328">
        <v>0.66899627052583754</v>
      </c>
    </row>
    <row r="329" spans="1:38" x14ac:dyDescent="0.25">
      <c r="A329">
        <v>11</v>
      </c>
      <c r="B329" s="5" t="s">
        <v>23</v>
      </c>
      <c r="C329" s="6" t="s">
        <v>5</v>
      </c>
      <c r="D329" s="6" t="s">
        <v>53</v>
      </c>
      <c r="E329" s="28">
        <v>77715.399999999994</v>
      </c>
      <c r="F329" s="11">
        <v>18</v>
      </c>
      <c r="G329" s="11"/>
      <c r="H329" s="11">
        <f t="shared" si="72"/>
        <v>18</v>
      </c>
      <c r="I329" s="18">
        <v>0</v>
      </c>
      <c r="J329" s="18">
        <v>0</v>
      </c>
      <c r="K329" s="18">
        <v>0</v>
      </c>
      <c r="L329" s="6">
        <v>13774945</v>
      </c>
      <c r="M329" s="7">
        <v>4478208</v>
      </c>
      <c r="N329" s="7">
        <v>1854190.5</v>
      </c>
      <c r="O329" s="7">
        <v>6150170</v>
      </c>
      <c r="P329" s="7">
        <v>12790.830078125</v>
      </c>
      <c r="Q329" s="7">
        <v>41838.7890625</v>
      </c>
      <c r="R329" s="7">
        <v>2523571</v>
      </c>
      <c r="S329" s="7">
        <v>3390243.75</v>
      </c>
      <c r="T329" s="31">
        <f t="shared" si="73"/>
        <v>3222.5957869140625</v>
      </c>
      <c r="U329" s="37">
        <v>7508.666666666667</v>
      </c>
      <c r="V329">
        <f t="shared" si="74"/>
        <v>0.42918349288565155</v>
      </c>
      <c r="W329">
        <f t="shared" si="71"/>
        <v>-7.7858578070634267E-3</v>
      </c>
      <c r="X329" s="28">
        <v>8012.4750000000013</v>
      </c>
      <c r="Y329">
        <f t="shared" si="75"/>
        <v>0.183453942111338</v>
      </c>
      <c r="Z329">
        <f t="shared" si="63"/>
        <v>5.9640522063393403E-2</v>
      </c>
      <c r="AA329">
        <f t="shared" si="64"/>
        <v>2.4694004705673445E-2</v>
      </c>
      <c r="AB329">
        <f t="shared" si="65"/>
        <v>8.1907617863801824E-2</v>
      </c>
      <c r="AC329">
        <f t="shared" si="66"/>
        <v>1.7034755497813636E-4</v>
      </c>
      <c r="AD329">
        <f t="shared" si="67"/>
        <v>5.5720663760765339E-4</v>
      </c>
      <c r="AE329">
        <f t="shared" si="68"/>
        <v>3.3608776524904557E-2</v>
      </c>
      <c r="AF329">
        <f t="shared" si="69"/>
        <v>4.5151075423954544E-2</v>
      </c>
      <c r="AG329">
        <f t="shared" si="76"/>
        <v>0.42918349288565161</v>
      </c>
      <c r="AH329">
        <v>0.42299595704326304</v>
      </c>
      <c r="AI329">
        <v>0.73376919568192189</v>
      </c>
      <c r="AJ329">
        <v>6.2337686956192066E-2</v>
      </c>
      <c r="AK329">
        <v>2.2750399534712556E-2</v>
      </c>
      <c r="AL329">
        <v>0.66899627052583754</v>
      </c>
    </row>
    <row r="330" spans="1:38" x14ac:dyDescent="0.25">
      <c r="A330">
        <v>11</v>
      </c>
      <c r="B330" s="5" t="s">
        <v>23</v>
      </c>
      <c r="C330" s="6" t="s">
        <v>5</v>
      </c>
      <c r="D330" s="6" t="s">
        <v>54</v>
      </c>
      <c r="E330" s="28">
        <v>77715.399999999994</v>
      </c>
      <c r="F330" s="11">
        <v>19</v>
      </c>
      <c r="G330" s="11"/>
      <c r="H330" s="11">
        <f t="shared" si="72"/>
        <v>19</v>
      </c>
      <c r="I330" s="18">
        <v>0</v>
      </c>
      <c r="J330" s="18">
        <v>0</v>
      </c>
      <c r="K330" s="18">
        <v>0</v>
      </c>
      <c r="L330" s="6">
        <v>15365393</v>
      </c>
      <c r="M330" s="7">
        <v>4518498</v>
      </c>
      <c r="N330" s="7">
        <v>1855080.5</v>
      </c>
      <c r="O330" s="7">
        <v>6209421</v>
      </c>
      <c r="P330" s="7">
        <v>12796.9697265625</v>
      </c>
      <c r="Q330" s="7">
        <v>19395.119140625</v>
      </c>
      <c r="R330" s="7">
        <v>2523387.25</v>
      </c>
      <c r="S330" s="7">
        <v>3263943.25</v>
      </c>
      <c r="T330" s="31">
        <f t="shared" si="73"/>
        <v>3376.7915088867189</v>
      </c>
      <c r="U330" s="37">
        <v>7743.7777777777783</v>
      </c>
      <c r="V330">
        <f t="shared" si="74"/>
        <v>0.43606513587942247</v>
      </c>
      <c r="W330">
        <f t="shared" si="71"/>
        <v>1.6034267645061582E-2</v>
      </c>
      <c r="X330" s="28">
        <v>8347.4583333333358</v>
      </c>
      <c r="Y330">
        <f t="shared" si="75"/>
        <v>0.19842244239102361</v>
      </c>
      <c r="Z330">
        <f t="shared" si="63"/>
        <v>5.8350047349843601E-2</v>
      </c>
      <c r="AA330">
        <f t="shared" si="64"/>
        <v>2.3955755875685138E-2</v>
      </c>
      <c r="AB330">
        <f t="shared" si="65"/>
        <v>8.0185939966137681E-2</v>
      </c>
      <c r="AC330">
        <f t="shared" si="66"/>
        <v>1.6525486776345524E-4</v>
      </c>
      <c r="AD330">
        <f t="shared" si="67"/>
        <v>2.5046068853219072E-4</v>
      </c>
      <c r="AE330">
        <f t="shared" si="68"/>
        <v>3.2585997718598443E-2</v>
      </c>
      <c r="AF330">
        <f t="shared" si="69"/>
        <v>4.2149237021838322E-2</v>
      </c>
      <c r="AG330">
        <f t="shared" si="76"/>
        <v>0.43606513587942247</v>
      </c>
      <c r="AH330">
        <v>0.42299595704326304</v>
      </c>
      <c r="AI330">
        <v>0.73376919568192189</v>
      </c>
      <c r="AJ330">
        <v>6.2337686956192066E-2</v>
      </c>
      <c r="AK330">
        <v>2.2750399534712556E-2</v>
      </c>
      <c r="AL330">
        <v>0.66899627052583754</v>
      </c>
    </row>
    <row r="331" spans="1:38" x14ac:dyDescent="0.25">
      <c r="A331">
        <v>11</v>
      </c>
      <c r="B331" s="5" t="s">
        <v>23</v>
      </c>
      <c r="C331" s="6" t="s">
        <v>5</v>
      </c>
      <c r="D331" s="6" t="s">
        <v>55</v>
      </c>
      <c r="E331" s="29">
        <v>82553.2</v>
      </c>
      <c r="F331" s="11">
        <v>20</v>
      </c>
      <c r="G331" s="11"/>
      <c r="H331" s="18">
        <f t="shared" si="72"/>
        <v>20</v>
      </c>
      <c r="I331" s="18">
        <v>0</v>
      </c>
      <c r="J331" s="18">
        <v>0</v>
      </c>
      <c r="K331" s="18">
        <v>0</v>
      </c>
      <c r="L331" s="14">
        <v>2556319.25</v>
      </c>
      <c r="M331" s="16">
        <v>4134849</v>
      </c>
      <c r="N331" s="16">
        <v>4018236.5</v>
      </c>
      <c r="O331" s="16">
        <v>13809280</v>
      </c>
      <c r="P331" s="16">
        <v>13347.0263671875</v>
      </c>
      <c r="Q331" s="16">
        <v>11797.28515625</v>
      </c>
      <c r="R331" s="16">
        <v>5415248</v>
      </c>
      <c r="S331" s="16">
        <v>3889144.75</v>
      </c>
      <c r="T331" s="31">
        <f t="shared" si="73"/>
        <v>3384.8221811523435</v>
      </c>
      <c r="U331" s="37">
        <v>6544.0000000000009</v>
      </c>
      <c r="V331">
        <f t="shared" si="74"/>
        <v>0.51724055335457564</v>
      </c>
      <c r="W331">
        <f t="shared" si="71"/>
        <v>0.1861543397901895</v>
      </c>
      <c r="X331" s="29">
        <v>4820.3250000000035</v>
      </c>
      <c r="Y331">
        <f t="shared" si="75"/>
        <v>3.9063558221271388E-2</v>
      </c>
      <c r="Z331">
        <f t="shared" si="63"/>
        <v>6.318534535452322E-2</v>
      </c>
      <c r="AA331">
        <f t="shared" si="64"/>
        <v>6.1403369498777498E-2</v>
      </c>
      <c r="AB331">
        <f t="shared" si="65"/>
        <v>0.2110220048899755</v>
      </c>
      <c r="AC331">
        <f t="shared" si="66"/>
        <v>2.0395822688244953E-4</v>
      </c>
      <c r="AD331">
        <f t="shared" si="67"/>
        <v>1.8027636241213323E-4</v>
      </c>
      <c r="AE331">
        <f t="shared" si="68"/>
        <v>8.2751344743276278E-2</v>
      </c>
      <c r="AF331">
        <f t="shared" si="69"/>
        <v>5.9430696057457204E-2</v>
      </c>
      <c r="AG331">
        <f t="shared" si="76"/>
        <v>0.51724055335457564</v>
      </c>
      <c r="AH331">
        <v>0.40684189104722773</v>
      </c>
      <c r="AI331">
        <v>0.74226648558925612</v>
      </c>
      <c r="AJ331">
        <v>6.2811593653441508E-2</v>
      </c>
      <c r="AK331">
        <v>2.2138160604313343E-2</v>
      </c>
      <c r="AL331">
        <v>0.69622337407077906</v>
      </c>
    </row>
    <row r="332" spans="1:38" x14ac:dyDescent="0.25">
      <c r="A332">
        <v>11</v>
      </c>
      <c r="B332" s="5" t="s">
        <v>23</v>
      </c>
      <c r="C332" s="6" t="s">
        <v>5</v>
      </c>
      <c r="D332" s="6" t="s">
        <v>56</v>
      </c>
      <c r="E332" s="29">
        <v>82553.2</v>
      </c>
      <c r="F332" s="11">
        <v>21</v>
      </c>
      <c r="G332" s="11"/>
      <c r="H332" s="11">
        <f t="shared" si="72"/>
        <v>21</v>
      </c>
      <c r="I332" s="18">
        <v>0</v>
      </c>
      <c r="J332" s="18">
        <v>0</v>
      </c>
      <c r="K332" s="18">
        <v>0</v>
      </c>
      <c r="L332" s="6">
        <v>2506463.75</v>
      </c>
      <c r="M332" s="7">
        <v>4053733.75</v>
      </c>
      <c r="N332" s="7">
        <v>3495443</v>
      </c>
      <c r="O332" s="7">
        <v>13740853</v>
      </c>
      <c r="P332" s="7">
        <v>13347.0263671875</v>
      </c>
      <c r="Q332" s="7">
        <v>16732.861328125</v>
      </c>
      <c r="R332" s="7">
        <v>5309694</v>
      </c>
      <c r="S332" s="7">
        <v>3940077.5</v>
      </c>
      <c r="T332" s="31">
        <f t="shared" si="73"/>
        <v>3307.6344887695313</v>
      </c>
      <c r="U332" s="37">
        <v>6641.666666666667</v>
      </c>
      <c r="V332">
        <f t="shared" si="74"/>
        <v>0.49801272101925187</v>
      </c>
      <c r="W332">
        <f t="shared" si="71"/>
        <v>-3.7173868542636913E-2</v>
      </c>
      <c r="X332" s="29">
        <v>5194.7083333333367</v>
      </c>
      <c r="Y332">
        <f t="shared" si="75"/>
        <v>3.7738475533249688E-2</v>
      </c>
      <c r="Z332">
        <f t="shared" si="63"/>
        <v>6.1034887076537009E-2</v>
      </c>
      <c r="AA332">
        <f t="shared" si="64"/>
        <v>5.2629003764115431E-2</v>
      </c>
      <c r="AB332">
        <f t="shared" si="65"/>
        <v>0.20688862735257213</v>
      </c>
      <c r="AC332">
        <f t="shared" si="66"/>
        <v>2.0095899172678795E-4</v>
      </c>
      <c r="AD332">
        <f t="shared" si="67"/>
        <v>2.5193768624529484E-4</v>
      </c>
      <c r="AE332">
        <f t="shared" si="68"/>
        <v>7.9945204516938526E-2</v>
      </c>
      <c r="AF332">
        <f t="shared" si="69"/>
        <v>5.9323626097866997E-2</v>
      </c>
      <c r="AG332">
        <f t="shared" si="76"/>
        <v>0.49801272101925192</v>
      </c>
      <c r="AH332">
        <v>0.40684189104722773</v>
      </c>
      <c r="AI332">
        <v>0.74226648558925612</v>
      </c>
      <c r="AJ332">
        <v>6.2811593653441508E-2</v>
      </c>
      <c r="AK332">
        <v>2.2138160604313343E-2</v>
      </c>
      <c r="AL332">
        <v>0.69622337407077906</v>
      </c>
    </row>
    <row r="333" spans="1:38" x14ac:dyDescent="0.25">
      <c r="A333">
        <v>11</v>
      </c>
      <c r="B333" s="5" t="s">
        <v>23</v>
      </c>
      <c r="C333" s="6" t="s">
        <v>5</v>
      </c>
      <c r="D333" s="6" t="s">
        <v>57</v>
      </c>
      <c r="E333" s="29">
        <v>82553.2</v>
      </c>
      <c r="F333" s="11">
        <v>22</v>
      </c>
      <c r="G333" s="11"/>
      <c r="H333" s="11">
        <f t="shared" si="72"/>
        <v>22</v>
      </c>
      <c r="I333" s="18">
        <v>0</v>
      </c>
      <c r="J333" s="18">
        <v>0</v>
      </c>
      <c r="K333" s="18">
        <v>0</v>
      </c>
      <c r="L333" s="6">
        <v>2489777.5</v>
      </c>
      <c r="M333" s="7">
        <v>4207687.5</v>
      </c>
      <c r="N333" s="7">
        <v>2266196.5</v>
      </c>
      <c r="O333" s="7">
        <v>15630914</v>
      </c>
      <c r="P333" s="7">
        <v>13347.0263671875</v>
      </c>
      <c r="Q333" s="7">
        <v>48397.234375</v>
      </c>
      <c r="R333" s="7">
        <v>5510485.5</v>
      </c>
      <c r="S333" s="7">
        <v>4033538.75</v>
      </c>
      <c r="T333" s="31">
        <f t="shared" si="73"/>
        <v>3420.0344010742187</v>
      </c>
      <c r="U333" s="37">
        <v>6739.333333333333</v>
      </c>
      <c r="V333">
        <f t="shared" si="74"/>
        <v>0.50747369686530108</v>
      </c>
      <c r="W333">
        <f t="shared" si="71"/>
        <v>1.8997458190798858E-2</v>
      </c>
      <c r="X333" s="29">
        <v>5569.091666666669</v>
      </c>
      <c r="Y333">
        <f t="shared" si="75"/>
        <v>3.6943973192204972E-2</v>
      </c>
      <c r="Z333">
        <f t="shared" si="63"/>
        <v>6.2434773469185884E-2</v>
      </c>
      <c r="AA333">
        <f t="shared" si="64"/>
        <v>3.3626419527154026E-2</v>
      </c>
      <c r="AB333">
        <f t="shared" si="65"/>
        <v>0.23193561183104167</v>
      </c>
      <c r="AC333">
        <f t="shared" si="66"/>
        <v>1.980466866236151E-4</v>
      </c>
      <c r="AD333">
        <f t="shared" si="67"/>
        <v>7.1813088893560198E-4</v>
      </c>
      <c r="AE333">
        <f t="shared" si="68"/>
        <v>8.1766032743100209E-2</v>
      </c>
      <c r="AF333">
        <f t="shared" si="69"/>
        <v>5.9850708527055096E-2</v>
      </c>
      <c r="AG333">
        <f t="shared" si="76"/>
        <v>0.50747369686530108</v>
      </c>
      <c r="AH333">
        <v>0.40684189104722773</v>
      </c>
      <c r="AI333">
        <v>0.74226648558925612</v>
      </c>
      <c r="AJ333">
        <v>6.2811593653441508E-2</v>
      </c>
      <c r="AK333">
        <v>2.2138160604313343E-2</v>
      </c>
      <c r="AL333">
        <v>0.69622337407077906</v>
      </c>
    </row>
    <row r="334" spans="1:38" x14ac:dyDescent="0.25">
      <c r="A334">
        <v>11</v>
      </c>
      <c r="B334" s="5" t="s">
        <v>23</v>
      </c>
      <c r="C334" s="6" t="s">
        <v>5</v>
      </c>
      <c r="D334" s="6" t="s">
        <v>58</v>
      </c>
      <c r="E334" s="29">
        <v>82553.2</v>
      </c>
      <c r="F334" s="11">
        <v>23</v>
      </c>
      <c r="G334" s="11"/>
      <c r="H334" s="11">
        <f t="shared" si="72"/>
        <v>23</v>
      </c>
      <c r="I334" s="18">
        <v>0</v>
      </c>
      <c r="J334" s="18">
        <v>0</v>
      </c>
      <c r="K334" s="18">
        <v>0</v>
      </c>
      <c r="L334" s="6">
        <v>2554309</v>
      </c>
      <c r="M334" s="7">
        <v>4274908.5</v>
      </c>
      <c r="N334" s="7">
        <v>1479278.25</v>
      </c>
      <c r="O334" s="7">
        <v>14138469</v>
      </c>
      <c r="P334" s="7">
        <v>13347.0263671875</v>
      </c>
      <c r="Q334" s="7">
        <v>66679.1171875</v>
      </c>
      <c r="R334" s="7">
        <v>5592834</v>
      </c>
      <c r="S334" s="7">
        <v>4177498.25</v>
      </c>
      <c r="T334" s="31">
        <f t="shared" si="73"/>
        <v>3229.7323143554686</v>
      </c>
      <c r="U334" s="37">
        <v>6837</v>
      </c>
      <c r="V334">
        <f t="shared" si="74"/>
        <v>0.47239027561144781</v>
      </c>
      <c r="W334">
        <f t="shared" si="71"/>
        <v>-6.9133477203973157E-2</v>
      </c>
      <c r="X334" s="29">
        <v>5943.4750000000013</v>
      </c>
      <c r="Y334">
        <f t="shared" si="75"/>
        <v>3.7360084832528888E-2</v>
      </c>
      <c r="Z334">
        <f t="shared" si="63"/>
        <v>6.2526086002632736E-2</v>
      </c>
      <c r="AA334">
        <f t="shared" si="64"/>
        <v>2.1636364633611235E-2</v>
      </c>
      <c r="AB334">
        <f t="shared" si="65"/>
        <v>0.20679346204475646</v>
      </c>
      <c r="AC334">
        <f t="shared" si="66"/>
        <v>1.9521758618089074E-4</v>
      </c>
      <c r="AD334">
        <f t="shared" si="67"/>
        <v>9.7526864395933882E-4</v>
      </c>
      <c r="AE334">
        <f t="shared" si="68"/>
        <v>8.1802457218078106E-2</v>
      </c>
      <c r="AF334">
        <f t="shared" si="69"/>
        <v>6.1101334649700162E-2</v>
      </c>
      <c r="AG334">
        <f t="shared" si="76"/>
        <v>0.47239027561144786</v>
      </c>
      <c r="AH334">
        <v>0.40684189104722773</v>
      </c>
      <c r="AI334">
        <v>0.74226648558925612</v>
      </c>
      <c r="AJ334">
        <v>6.2811593653441508E-2</v>
      </c>
      <c r="AK334">
        <v>2.2138160604313343E-2</v>
      </c>
      <c r="AL334">
        <v>0.69622337407077906</v>
      </c>
    </row>
    <row r="335" spans="1:38" x14ac:dyDescent="0.25">
      <c r="A335">
        <v>11</v>
      </c>
      <c r="B335" s="5" t="s">
        <v>23</v>
      </c>
      <c r="C335" s="6" t="s">
        <v>5</v>
      </c>
      <c r="D335" s="6" t="s">
        <v>59</v>
      </c>
      <c r="E335" s="29">
        <v>82553.2</v>
      </c>
      <c r="F335" s="11">
        <v>24</v>
      </c>
      <c r="G335" s="11"/>
      <c r="H335" s="11">
        <f t="shared" si="72"/>
        <v>24</v>
      </c>
      <c r="I335" s="18">
        <v>0</v>
      </c>
      <c r="J335" s="18">
        <v>0</v>
      </c>
      <c r="K335" s="18">
        <v>0</v>
      </c>
      <c r="L335" s="6">
        <v>2539136.25</v>
      </c>
      <c r="M335" s="7">
        <v>4228920.5</v>
      </c>
      <c r="N335" s="7">
        <v>945119.75</v>
      </c>
      <c r="O335" s="7">
        <v>14046000</v>
      </c>
      <c r="P335" s="7">
        <v>13347.0263671875</v>
      </c>
      <c r="Q335" s="7">
        <v>43819.8203125</v>
      </c>
      <c r="R335" s="7">
        <v>5530493</v>
      </c>
      <c r="S335" s="7">
        <v>4147807.5</v>
      </c>
      <c r="T335" s="31">
        <f t="shared" si="73"/>
        <v>3149.4643846679687</v>
      </c>
      <c r="U335" s="37">
        <v>6934.666666666667</v>
      </c>
      <c r="V335">
        <f t="shared" si="74"/>
        <v>0.45416233195558092</v>
      </c>
      <c r="W335">
        <f t="shared" si="71"/>
        <v>-3.8586619151448835E-2</v>
      </c>
      <c r="X335" s="29">
        <v>6317.8583333333336</v>
      </c>
      <c r="Y335">
        <f t="shared" si="75"/>
        <v>3.661511608344549E-2</v>
      </c>
      <c r="Z335">
        <f t="shared" si="63"/>
        <v>6.0982318304172271E-2</v>
      </c>
      <c r="AA335">
        <f t="shared" si="64"/>
        <v>1.3628913910786387E-2</v>
      </c>
      <c r="AB335">
        <f t="shared" si="65"/>
        <v>0.20254758700249953</v>
      </c>
      <c r="AC335">
        <f t="shared" si="66"/>
        <v>1.9246817487772783E-4</v>
      </c>
      <c r="AD335">
        <f t="shared" si="67"/>
        <v>6.3189512083012872E-4</v>
      </c>
      <c r="AE335">
        <f t="shared" si="68"/>
        <v>7.9751389155931537E-2</v>
      </c>
      <c r="AF335">
        <f t="shared" si="69"/>
        <v>5.9812644203037869E-2</v>
      </c>
      <c r="AG335">
        <f t="shared" si="76"/>
        <v>0.45416233195558098</v>
      </c>
      <c r="AH335">
        <v>0.40684189104722773</v>
      </c>
      <c r="AI335">
        <v>0.74226648558925612</v>
      </c>
      <c r="AJ335">
        <v>6.2811593653441508E-2</v>
      </c>
      <c r="AK335">
        <v>2.2138160604313343E-2</v>
      </c>
      <c r="AL335">
        <v>0.69622337407077906</v>
      </c>
    </row>
    <row r="336" spans="1:38" x14ac:dyDescent="0.25">
      <c r="A336">
        <v>11</v>
      </c>
      <c r="B336" s="5" t="s">
        <v>23</v>
      </c>
      <c r="C336" s="6" t="s">
        <v>5</v>
      </c>
      <c r="D336" s="6" t="s">
        <v>60</v>
      </c>
      <c r="E336" s="29">
        <v>82553.2</v>
      </c>
      <c r="F336" s="11">
        <v>25</v>
      </c>
      <c r="G336" s="11"/>
      <c r="H336" s="11">
        <f t="shared" si="72"/>
        <v>25</v>
      </c>
      <c r="I336" s="18">
        <v>0</v>
      </c>
      <c r="J336" s="18">
        <v>0</v>
      </c>
      <c r="K336" s="18">
        <v>0</v>
      </c>
      <c r="L336" s="6">
        <v>2535478.5</v>
      </c>
      <c r="M336" s="7">
        <v>4251454</v>
      </c>
      <c r="N336" s="7">
        <v>525748.375</v>
      </c>
      <c r="O336" s="7">
        <v>14713624</v>
      </c>
      <c r="P336" s="7">
        <v>13347.0263671875</v>
      </c>
      <c r="Q336" s="7">
        <v>21409.56640625</v>
      </c>
      <c r="R336" s="7">
        <v>5558627</v>
      </c>
      <c r="S336" s="7">
        <v>4020158</v>
      </c>
      <c r="T336" s="31">
        <f t="shared" si="73"/>
        <v>3163.9846467773436</v>
      </c>
      <c r="U336" s="37">
        <v>7010</v>
      </c>
      <c r="V336">
        <f t="shared" si="74"/>
        <v>0.45135301665867955</v>
      </c>
      <c r="W336">
        <f t="shared" si="71"/>
        <v>-6.1857073985081938E-3</v>
      </c>
      <c r="X336" s="29">
        <v>6692.2416666666668</v>
      </c>
      <c r="Y336">
        <f t="shared" si="75"/>
        <v>3.6169450784593438E-2</v>
      </c>
      <c r="Z336">
        <f t="shared" si="63"/>
        <v>6.0648416547788873E-2</v>
      </c>
      <c r="AA336">
        <f t="shared" si="64"/>
        <v>7.4999768188302425E-3</v>
      </c>
      <c r="AB336">
        <f t="shared" si="65"/>
        <v>0.20989477888730385</v>
      </c>
      <c r="AC336">
        <f t="shared" si="66"/>
        <v>1.903998055233595E-4</v>
      </c>
      <c r="AD336">
        <f t="shared" si="67"/>
        <v>3.0541464202924395E-4</v>
      </c>
      <c r="AE336">
        <f t="shared" si="68"/>
        <v>7.9295677603423681E-2</v>
      </c>
      <c r="AF336">
        <f t="shared" si="69"/>
        <v>5.7348901569186879E-2</v>
      </c>
      <c r="AG336">
        <f t="shared" si="76"/>
        <v>0.45135301665867961</v>
      </c>
      <c r="AH336">
        <v>0.40684189104722773</v>
      </c>
      <c r="AI336">
        <v>0.74226648558925612</v>
      </c>
      <c r="AJ336">
        <v>6.2811593653441508E-2</v>
      </c>
      <c r="AK336">
        <v>2.2138160604313343E-2</v>
      </c>
      <c r="AL336">
        <v>0.69622337407077906</v>
      </c>
    </row>
    <row r="337" spans="1:38" x14ac:dyDescent="0.25">
      <c r="A337">
        <v>11</v>
      </c>
      <c r="B337" s="5" t="s">
        <v>23</v>
      </c>
      <c r="C337" s="6" t="s">
        <v>5</v>
      </c>
      <c r="D337" s="6" t="s">
        <v>61</v>
      </c>
      <c r="E337" s="29">
        <v>82553.2</v>
      </c>
      <c r="F337" s="11">
        <v>26</v>
      </c>
      <c r="G337" s="11"/>
      <c r="H337" s="11">
        <f t="shared" si="72"/>
        <v>26</v>
      </c>
      <c r="I337" s="18">
        <v>0</v>
      </c>
      <c r="J337" s="18">
        <v>0</v>
      </c>
      <c r="K337" s="18">
        <v>0</v>
      </c>
      <c r="L337" s="6">
        <v>2549923.5</v>
      </c>
      <c r="M337" s="7">
        <v>4082935.25</v>
      </c>
      <c r="N337" s="7">
        <v>391413.25</v>
      </c>
      <c r="O337" s="7">
        <v>16550055</v>
      </c>
      <c r="P337" s="7">
        <v>13347.0263671875</v>
      </c>
      <c r="Q337" s="7">
        <v>12839.39453125</v>
      </c>
      <c r="R337" s="7">
        <v>5332501</v>
      </c>
      <c r="S337" s="7">
        <v>3940457</v>
      </c>
      <c r="T337" s="31">
        <f t="shared" si="73"/>
        <v>3287.3471420898436</v>
      </c>
      <c r="U337" s="37">
        <v>7085.333333333333</v>
      </c>
      <c r="V337">
        <f t="shared" si="74"/>
        <v>0.46396506521779879</v>
      </c>
      <c r="W337">
        <f t="shared" si="71"/>
        <v>2.7942758979401423E-2</v>
      </c>
      <c r="X337" s="29">
        <v>7066.6249999999991</v>
      </c>
      <c r="Y337">
        <f t="shared" si="75"/>
        <v>3.5988758468197213E-2</v>
      </c>
      <c r="Z337">
        <f t="shared" si="63"/>
        <v>5.7625168187805796E-2</v>
      </c>
      <c r="AA337">
        <f t="shared" si="64"/>
        <v>5.5242743225442231E-3</v>
      </c>
      <c r="AB337">
        <f t="shared" si="65"/>
        <v>0.23358188276251413</v>
      </c>
      <c r="AC337">
        <f t="shared" si="66"/>
        <v>1.8837541918311301E-4</v>
      </c>
      <c r="AD337">
        <f t="shared" si="67"/>
        <v>1.8121087501764209E-4</v>
      </c>
      <c r="AE337">
        <f t="shared" si="68"/>
        <v>7.5261116861121566E-2</v>
      </c>
      <c r="AF337">
        <f t="shared" si="69"/>
        <v>5.5614278321415134E-2</v>
      </c>
      <c r="AG337">
        <f t="shared" si="76"/>
        <v>0.46396506521779884</v>
      </c>
      <c r="AH337">
        <v>0.40684189104722773</v>
      </c>
      <c r="AI337">
        <v>0.74226648558925612</v>
      </c>
      <c r="AJ337">
        <v>6.2811593653441508E-2</v>
      </c>
      <c r="AK337">
        <v>2.2138160604313343E-2</v>
      </c>
      <c r="AL337">
        <v>0.69622337407077906</v>
      </c>
    </row>
    <row r="338" spans="1:38" x14ac:dyDescent="0.25">
      <c r="A338">
        <v>11</v>
      </c>
      <c r="B338" s="5" t="s">
        <v>23</v>
      </c>
      <c r="C338" s="6" t="s">
        <v>5</v>
      </c>
      <c r="D338" s="6" t="s">
        <v>62</v>
      </c>
      <c r="E338" s="29">
        <v>82553.2</v>
      </c>
      <c r="F338" s="11">
        <v>27</v>
      </c>
      <c r="G338" s="11"/>
      <c r="H338" s="11">
        <f t="shared" si="72"/>
        <v>27</v>
      </c>
      <c r="I338" s="18">
        <v>0</v>
      </c>
      <c r="J338" s="18">
        <v>0</v>
      </c>
      <c r="K338" s="18">
        <v>0</v>
      </c>
      <c r="L338" s="6">
        <v>2501025</v>
      </c>
      <c r="M338" s="7">
        <v>3966571</v>
      </c>
      <c r="N338" s="7">
        <v>435055.125</v>
      </c>
      <c r="O338" s="7">
        <v>17611594</v>
      </c>
      <c r="P338" s="7">
        <v>13347.0263671875</v>
      </c>
      <c r="Q338" s="7">
        <v>17966.326171875</v>
      </c>
      <c r="R338" s="7">
        <v>5175966.5</v>
      </c>
      <c r="S338" s="7">
        <v>3982013.5</v>
      </c>
      <c r="T338" s="31">
        <f t="shared" si="73"/>
        <v>3370.3538477539064</v>
      </c>
      <c r="U338" s="37">
        <v>7160.666666666667</v>
      </c>
      <c r="V338">
        <f t="shared" si="74"/>
        <v>0.47067598655905962</v>
      </c>
      <c r="W338">
        <f t="shared" si="71"/>
        <v>1.4464281568506739E-2</v>
      </c>
      <c r="X338" s="29">
        <v>7441.0083333333314</v>
      </c>
      <c r="Y338">
        <f t="shared" si="75"/>
        <v>3.4927264686714456E-2</v>
      </c>
      <c r="Z338">
        <f t="shared" ref="Z338:Z401" si="77">M338/$U338/10000</f>
        <v>5.5393878596033889E-2</v>
      </c>
      <c r="AA338">
        <f t="shared" ref="AA338:AA401" si="78">N338/$U338/10000</f>
        <v>6.0756231961642303E-3</v>
      </c>
      <c r="AB338">
        <f t="shared" ref="AB338:AB401" si="79">O338/$U338/10000</f>
        <v>0.24594908295317008</v>
      </c>
      <c r="AC338">
        <f t="shared" ref="AC338:AC401" si="80">P338/$U338/10000</f>
        <v>1.8639362769557071E-4</v>
      </c>
      <c r="AD338">
        <f t="shared" ref="AD338:AD401" si="81">Q338/$U338/10000</f>
        <v>2.5090298163869747E-4</v>
      </c>
      <c r="AE338">
        <f t="shared" ref="AE338:AE401" si="82">R338/$U338/10000</f>
        <v>7.2283304627129688E-2</v>
      </c>
      <c r="AF338">
        <f t="shared" ref="AF338:AF401" si="83">S338/$U338/10000</f>
        <v>5.5609535890512984E-2</v>
      </c>
      <c r="AG338">
        <f t="shared" si="76"/>
        <v>0.47067598655905962</v>
      </c>
      <c r="AH338">
        <v>0.40684189104722773</v>
      </c>
      <c r="AI338">
        <v>0.74226648558925612</v>
      </c>
      <c r="AJ338">
        <v>6.2811593653441508E-2</v>
      </c>
      <c r="AK338">
        <v>2.2138160604313343E-2</v>
      </c>
      <c r="AL338">
        <v>0.69622337407077906</v>
      </c>
    </row>
    <row r="339" spans="1:38" x14ac:dyDescent="0.25">
      <c r="A339">
        <v>11</v>
      </c>
      <c r="B339" s="5" t="s">
        <v>23</v>
      </c>
      <c r="C339" s="6" t="s">
        <v>5</v>
      </c>
      <c r="D339" s="6" t="s">
        <v>63</v>
      </c>
      <c r="E339" s="29">
        <v>82553.2</v>
      </c>
      <c r="F339" s="11">
        <v>28</v>
      </c>
      <c r="G339" s="11"/>
      <c r="H339" s="11">
        <f t="shared" si="72"/>
        <v>28</v>
      </c>
      <c r="I339" s="18">
        <v>0</v>
      </c>
      <c r="J339" s="18">
        <v>0</v>
      </c>
      <c r="K339" s="18">
        <v>0</v>
      </c>
      <c r="L339" s="6">
        <v>2486614.25</v>
      </c>
      <c r="M339" s="7">
        <v>4139309.5</v>
      </c>
      <c r="N339" s="7">
        <v>781008.0625</v>
      </c>
      <c r="O339" s="7">
        <v>15375700</v>
      </c>
      <c r="P339" s="7">
        <v>13347.0263671875</v>
      </c>
      <c r="Q339" s="7">
        <v>49605.78515625</v>
      </c>
      <c r="R339" s="7">
        <v>5406128.5</v>
      </c>
      <c r="S339" s="7">
        <v>4051201</v>
      </c>
      <c r="T339" s="31">
        <f t="shared" si="73"/>
        <v>3230.2914124023437</v>
      </c>
      <c r="U339" s="37">
        <v>7374.7777777777783</v>
      </c>
      <c r="V339">
        <f t="shared" si="74"/>
        <v>0.43801881354799527</v>
      </c>
      <c r="W339">
        <f t="shared" si="71"/>
        <v>-6.9383554597312325E-2</v>
      </c>
      <c r="X339" s="29">
        <v>7815.3916666666646</v>
      </c>
      <c r="Y339">
        <f t="shared" si="75"/>
        <v>3.3717819369321861E-2</v>
      </c>
      <c r="Z339">
        <f t="shared" si="77"/>
        <v>5.6127921745287995E-2</v>
      </c>
      <c r="AA339">
        <f t="shared" si="78"/>
        <v>1.0590258934355836E-2</v>
      </c>
      <c r="AB339">
        <f t="shared" si="79"/>
        <v>0.20849034999171348</v>
      </c>
      <c r="AC339">
        <f t="shared" si="80"/>
        <v>1.8098208202836619E-4</v>
      </c>
      <c r="AD339">
        <f t="shared" si="81"/>
        <v>6.726410835825561E-4</v>
      </c>
      <c r="AE339">
        <f t="shared" si="82"/>
        <v>7.330564612116372E-2</v>
      </c>
      <c r="AF339">
        <f t="shared" si="83"/>
        <v>5.4933194220541486E-2</v>
      </c>
      <c r="AG339">
        <f t="shared" si="76"/>
        <v>0.43801881354799527</v>
      </c>
      <c r="AH339">
        <v>0.40684189104722773</v>
      </c>
      <c r="AI339">
        <v>0.74226648558925612</v>
      </c>
      <c r="AJ339">
        <v>6.2811593653441508E-2</v>
      </c>
      <c r="AK339">
        <v>2.2138160604313343E-2</v>
      </c>
      <c r="AL339">
        <v>0.69622337407077906</v>
      </c>
    </row>
    <row r="340" spans="1:38" x14ac:dyDescent="0.25">
      <c r="A340">
        <v>11</v>
      </c>
      <c r="B340" s="5" t="s">
        <v>23</v>
      </c>
      <c r="C340" s="6" t="s">
        <v>5</v>
      </c>
      <c r="D340" s="6" t="s">
        <v>64</v>
      </c>
      <c r="E340" s="29">
        <v>82553.2</v>
      </c>
      <c r="F340" s="11">
        <v>29</v>
      </c>
      <c r="G340" s="11"/>
      <c r="H340" s="11">
        <f t="shared" si="72"/>
        <v>29</v>
      </c>
      <c r="I340" s="18">
        <v>0</v>
      </c>
      <c r="J340" s="18">
        <v>0</v>
      </c>
      <c r="K340" s="18">
        <v>0</v>
      </c>
      <c r="L340" s="6">
        <v>2553563.25</v>
      </c>
      <c r="M340" s="7">
        <v>4259495.5</v>
      </c>
      <c r="N340" s="7">
        <v>1778634.5</v>
      </c>
      <c r="O340" s="7">
        <v>15131582</v>
      </c>
      <c r="P340" s="7">
        <v>13347.0263671875</v>
      </c>
      <c r="Q340" s="7">
        <v>68445.8359375</v>
      </c>
      <c r="R340" s="7">
        <v>5569016</v>
      </c>
      <c r="S340" s="7">
        <v>4196407.5</v>
      </c>
      <c r="T340" s="31">
        <f t="shared" si="73"/>
        <v>3357.0491612304686</v>
      </c>
      <c r="U340" s="37">
        <v>7588.8888888888896</v>
      </c>
      <c r="V340">
        <f t="shared" si="74"/>
        <v>0.44236372549156977</v>
      </c>
      <c r="W340">
        <f t="shared" si="71"/>
        <v>9.9194642083528135E-3</v>
      </c>
      <c r="X340" s="29">
        <v>8189.7749999999969</v>
      </c>
      <c r="Y340">
        <f t="shared" si="75"/>
        <v>3.3648710468521227E-2</v>
      </c>
      <c r="Z340">
        <f t="shared" si="77"/>
        <v>5.6128051976573931E-2</v>
      </c>
      <c r="AA340">
        <f t="shared" si="78"/>
        <v>2.3437350658857978E-2</v>
      </c>
      <c r="AB340">
        <f t="shared" si="79"/>
        <v>0.19939127086383601</v>
      </c>
      <c r="AC340">
        <f t="shared" si="80"/>
        <v>1.7587589649295385E-4</v>
      </c>
      <c r="AD340">
        <f t="shared" si="81"/>
        <v>9.0192170342240114E-4</v>
      </c>
      <c r="AE340">
        <f t="shared" si="82"/>
        <v>7.3383812591508044E-2</v>
      </c>
      <c r="AF340">
        <f t="shared" si="83"/>
        <v>5.5296731332357241E-2</v>
      </c>
      <c r="AG340">
        <f t="shared" si="76"/>
        <v>0.44236372549156977</v>
      </c>
      <c r="AH340">
        <v>0.40684189104722773</v>
      </c>
      <c r="AI340">
        <v>0.74226648558925612</v>
      </c>
      <c r="AJ340">
        <v>6.2811593653441508E-2</v>
      </c>
      <c r="AK340">
        <v>2.2138160604313343E-2</v>
      </c>
      <c r="AL340">
        <v>0.69622337407077906</v>
      </c>
    </row>
    <row r="341" spans="1:38" x14ac:dyDescent="0.25">
      <c r="A341">
        <v>11</v>
      </c>
      <c r="B341" s="5" t="s">
        <v>23</v>
      </c>
      <c r="C341" s="6" t="s">
        <v>5</v>
      </c>
      <c r="D341" s="6" t="s">
        <v>65</v>
      </c>
      <c r="E341" s="29">
        <v>82553.2</v>
      </c>
      <c r="F341" s="11">
        <v>30</v>
      </c>
      <c r="G341" s="11"/>
      <c r="H341" s="11">
        <f t="shared" si="72"/>
        <v>30</v>
      </c>
      <c r="I341" s="18">
        <v>0</v>
      </c>
      <c r="J341" s="18">
        <v>0</v>
      </c>
      <c r="K341" s="18">
        <v>0</v>
      </c>
      <c r="L341" s="6">
        <v>2541613.25</v>
      </c>
      <c r="M341" s="7">
        <v>4243546.5</v>
      </c>
      <c r="N341" s="7">
        <v>2627833</v>
      </c>
      <c r="O341" s="7">
        <v>16161683</v>
      </c>
      <c r="P341" s="7">
        <v>13347.0263671875</v>
      </c>
      <c r="Q341" s="7">
        <v>45235.625</v>
      </c>
      <c r="R341" s="7">
        <v>5554557</v>
      </c>
      <c r="S341" s="7">
        <v>4139504.5</v>
      </c>
      <c r="T341" s="31">
        <f t="shared" si="73"/>
        <v>3532.7319901367187</v>
      </c>
      <c r="U341" s="37">
        <v>7803</v>
      </c>
      <c r="V341">
        <f t="shared" si="74"/>
        <v>0.45274022685335369</v>
      </c>
      <c r="W341">
        <f t="shared" si="71"/>
        <v>2.3456944509302146E-2</v>
      </c>
      <c r="X341" s="29">
        <v>8564.1583333333292</v>
      </c>
      <c r="Y341">
        <f t="shared" si="75"/>
        <v>3.2572257465077532E-2</v>
      </c>
      <c r="Z341">
        <f t="shared" si="77"/>
        <v>5.4383525567089579E-2</v>
      </c>
      <c r="AA341">
        <f t="shared" si="78"/>
        <v>3.3677213892092786E-2</v>
      </c>
      <c r="AB341">
        <f t="shared" si="79"/>
        <v>0.20712140202486226</v>
      </c>
      <c r="AC341">
        <f t="shared" si="80"/>
        <v>1.7104993422001154E-4</v>
      </c>
      <c r="AD341">
        <f t="shared" si="81"/>
        <v>5.7972094066384731E-4</v>
      </c>
      <c r="AE341">
        <f t="shared" si="82"/>
        <v>7.1184890426758948E-2</v>
      </c>
      <c r="AF341">
        <f t="shared" si="83"/>
        <v>5.3050166602588752E-2</v>
      </c>
      <c r="AG341">
        <f t="shared" si="76"/>
        <v>0.45274022685335374</v>
      </c>
      <c r="AH341">
        <v>0.40684189104722773</v>
      </c>
      <c r="AI341">
        <v>0.74226648558925612</v>
      </c>
      <c r="AJ341">
        <v>6.2811593653441508E-2</v>
      </c>
      <c r="AK341">
        <v>2.2138160604313343E-2</v>
      </c>
      <c r="AL341">
        <v>0.69622337407077906</v>
      </c>
    </row>
    <row r="342" spans="1:38" x14ac:dyDescent="0.25">
      <c r="A342">
        <v>11</v>
      </c>
      <c r="B342" s="5" t="s">
        <v>23</v>
      </c>
      <c r="C342" s="6" t="s">
        <v>5</v>
      </c>
      <c r="D342" s="6" t="s">
        <v>66</v>
      </c>
      <c r="E342" s="29">
        <v>82553.2</v>
      </c>
      <c r="F342" s="11">
        <v>31</v>
      </c>
      <c r="G342" s="11"/>
      <c r="H342" s="11">
        <f t="shared" si="72"/>
        <v>31</v>
      </c>
      <c r="I342" s="18">
        <v>0</v>
      </c>
      <c r="J342" s="18">
        <v>0</v>
      </c>
      <c r="K342" s="18">
        <v>0</v>
      </c>
      <c r="L342" s="6">
        <v>2541541.5</v>
      </c>
      <c r="M342" s="7">
        <v>4281569</v>
      </c>
      <c r="N342" s="7">
        <v>3986187</v>
      </c>
      <c r="O342" s="7">
        <v>18027704</v>
      </c>
      <c r="P342" s="7">
        <v>13353.4345703125</v>
      </c>
      <c r="Q342" s="7">
        <v>21000.88671875</v>
      </c>
      <c r="R342" s="7">
        <v>5608435.5</v>
      </c>
      <c r="S342" s="7">
        <v>3986197</v>
      </c>
      <c r="T342" s="31">
        <f t="shared" si="73"/>
        <v>3846.5988321289065</v>
      </c>
      <c r="U342" s="37">
        <v>8017.1111111111104</v>
      </c>
      <c r="V342">
        <f t="shared" si="74"/>
        <v>0.4797986180829914</v>
      </c>
      <c r="W342">
        <f t="shared" si="71"/>
        <v>5.9765820717323073E-2</v>
      </c>
      <c r="X342" s="29">
        <v>8938.5416666666624</v>
      </c>
      <c r="Y342">
        <f t="shared" si="75"/>
        <v>3.170146284336281E-2</v>
      </c>
      <c r="Z342">
        <f t="shared" si="77"/>
        <v>5.3405384316877795E-2</v>
      </c>
      <c r="AA342">
        <f t="shared" si="78"/>
        <v>4.9720989827313801E-2</v>
      </c>
      <c r="AB342">
        <f t="shared" si="79"/>
        <v>0.22486533802699782</v>
      </c>
      <c r="AC342">
        <f t="shared" si="80"/>
        <v>1.6656167521247956E-4</v>
      </c>
      <c r="AD342">
        <f t="shared" si="81"/>
        <v>2.6195080032811763E-4</v>
      </c>
      <c r="AE342">
        <f t="shared" si="82"/>
        <v>6.9955816032375204E-2</v>
      </c>
      <c r="AF342">
        <f t="shared" si="83"/>
        <v>4.9721114560523333E-2</v>
      </c>
      <c r="AG342">
        <f t="shared" si="76"/>
        <v>0.4797986180829914</v>
      </c>
      <c r="AH342">
        <v>0.40684189104722773</v>
      </c>
      <c r="AI342">
        <v>0.74226648558925612</v>
      </c>
      <c r="AJ342">
        <v>6.2811593653441508E-2</v>
      </c>
      <c r="AK342">
        <v>2.2138160604313343E-2</v>
      </c>
      <c r="AL342">
        <v>0.69622337407077906</v>
      </c>
    </row>
    <row r="343" spans="1:38" x14ac:dyDescent="0.25">
      <c r="A343">
        <v>12</v>
      </c>
      <c r="B343" s="5" t="s">
        <v>13</v>
      </c>
      <c r="C343" s="6" t="s">
        <v>5</v>
      </c>
      <c r="D343" s="6" t="s">
        <v>36</v>
      </c>
      <c r="E343" s="28">
        <v>42959.175300000003</v>
      </c>
      <c r="F343" s="11">
        <v>1</v>
      </c>
      <c r="G343" s="11">
        <v>16</v>
      </c>
      <c r="H343" s="18">
        <f t="shared" si="72"/>
        <v>-15</v>
      </c>
      <c r="I343" s="18">
        <v>1</v>
      </c>
      <c r="J343" s="18">
        <v>-2.1994134897360709E-2</v>
      </c>
      <c r="K343" s="18">
        <v>1.1000000000000001</v>
      </c>
      <c r="L343" s="14">
        <v>17640908</v>
      </c>
      <c r="M343" s="16">
        <v>6022795.5</v>
      </c>
      <c r="N343" s="16">
        <v>2298707.75</v>
      </c>
      <c r="O343" s="16">
        <v>10213730</v>
      </c>
      <c r="P343" s="16">
        <v>14081.13671875</v>
      </c>
      <c r="Q343" s="16">
        <v>30589.95703125</v>
      </c>
      <c r="R343" s="16">
        <v>1900118.375</v>
      </c>
      <c r="S343" s="16">
        <v>2355887.75</v>
      </c>
      <c r="T343" s="31">
        <f t="shared" si="73"/>
        <v>4047.6818468749998</v>
      </c>
      <c r="U343" s="37"/>
      <c r="X343" s="28">
        <v>3359.44625</v>
      </c>
      <c r="Y343" t="e">
        <f t="shared" si="75"/>
        <v>#DIV/0!</v>
      </c>
      <c r="Z343" t="e">
        <f t="shared" si="77"/>
        <v>#DIV/0!</v>
      </c>
      <c r="AA343" t="e">
        <f t="shared" si="78"/>
        <v>#DIV/0!</v>
      </c>
      <c r="AB343" t="e">
        <f t="shared" si="79"/>
        <v>#DIV/0!</v>
      </c>
      <c r="AC343" t="e">
        <f t="shared" si="80"/>
        <v>#DIV/0!</v>
      </c>
      <c r="AD343" t="e">
        <f t="shared" si="81"/>
        <v>#DIV/0!</v>
      </c>
      <c r="AE343" t="e">
        <f t="shared" si="82"/>
        <v>#DIV/0!</v>
      </c>
      <c r="AF343" t="e">
        <f t="shared" si="83"/>
        <v>#DIV/0!</v>
      </c>
      <c r="AG343" t="e">
        <f t="shared" si="76"/>
        <v>#DIV/0!</v>
      </c>
      <c r="AH343">
        <v>0.3939903380780217</v>
      </c>
      <c r="AI343">
        <v>0.59398004253230818</v>
      </c>
      <c r="AJ343">
        <v>4.3620665049236479E-2</v>
      </c>
      <c r="AK343">
        <v>1.7205171999658941E-2</v>
      </c>
      <c r="AL343">
        <v>0.46083084685254344</v>
      </c>
    </row>
    <row r="344" spans="1:38" x14ac:dyDescent="0.25">
      <c r="A344">
        <v>12</v>
      </c>
      <c r="B344" s="5" t="s">
        <v>13</v>
      </c>
      <c r="C344" s="6" t="s">
        <v>5</v>
      </c>
      <c r="D344" s="6" t="s">
        <v>37</v>
      </c>
      <c r="E344" s="28">
        <v>42959.175300000003</v>
      </c>
      <c r="F344" s="11">
        <v>2</v>
      </c>
      <c r="G344" s="11">
        <v>16</v>
      </c>
      <c r="H344" s="11">
        <f t="shared" si="72"/>
        <v>-14</v>
      </c>
      <c r="I344" s="18">
        <v>1</v>
      </c>
      <c r="J344" s="18">
        <v>-2.1994134897360709E-2</v>
      </c>
      <c r="K344" s="18">
        <v>1.1000000000000001</v>
      </c>
      <c r="L344" s="6">
        <v>19161504</v>
      </c>
      <c r="M344" s="7">
        <v>5783524.5</v>
      </c>
      <c r="N344" s="7">
        <v>2298707.75</v>
      </c>
      <c r="O344" s="7">
        <v>9804317</v>
      </c>
      <c r="P344" s="7">
        <v>14081.13671875</v>
      </c>
      <c r="Q344" s="7">
        <v>18018.740234375</v>
      </c>
      <c r="R344" s="7">
        <v>1919364.125</v>
      </c>
      <c r="S344" s="7">
        <v>2314773.25</v>
      </c>
      <c r="T344" s="31">
        <f t="shared" si="73"/>
        <v>4131.4290501953128</v>
      </c>
      <c r="U344" s="37">
        <v>3715</v>
      </c>
      <c r="V344">
        <f t="shared" si="74"/>
        <v>1.1120939569839334</v>
      </c>
      <c r="W344" t="e">
        <f>(V344-V343)/V343</f>
        <v>#DIV/0!</v>
      </c>
      <c r="X344" s="28">
        <v>3734.7537499999999</v>
      </c>
      <c r="Y344">
        <f t="shared" si="75"/>
        <v>0.51578745625841182</v>
      </c>
      <c r="Z344">
        <f t="shared" si="77"/>
        <v>0.15568033647375504</v>
      </c>
      <c r="AA344">
        <f t="shared" si="78"/>
        <v>6.1876386271870795E-2</v>
      </c>
      <c r="AB344">
        <f t="shared" si="79"/>
        <v>0.2639116285329744</v>
      </c>
      <c r="AC344">
        <f t="shared" si="80"/>
        <v>3.7903463576716015E-4</v>
      </c>
      <c r="AD344">
        <f t="shared" si="81"/>
        <v>4.8502665503028262E-4</v>
      </c>
      <c r="AE344">
        <f t="shared" si="82"/>
        <v>5.1665252355316285E-2</v>
      </c>
      <c r="AF344">
        <f t="shared" si="83"/>
        <v>6.2308835800807538E-2</v>
      </c>
      <c r="AG344">
        <f t="shared" si="76"/>
        <v>1.1120939569839332</v>
      </c>
      <c r="AH344">
        <v>0.3939903380780217</v>
      </c>
      <c r="AI344">
        <v>0.59398004253230818</v>
      </c>
      <c r="AJ344">
        <v>4.3620665049236479E-2</v>
      </c>
      <c r="AK344">
        <v>1.7205171999658941E-2</v>
      </c>
      <c r="AL344">
        <v>0.46083084685254344</v>
      </c>
    </row>
    <row r="345" spans="1:38" x14ac:dyDescent="0.25">
      <c r="A345">
        <v>12</v>
      </c>
      <c r="B345" s="5" t="s">
        <v>13</v>
      </c>
      <c r="C345" s="6" t="s">
        <v>5</v>
      </c>
      <c r="D345" s="6" t="s">
        <v>38</v>
      </c>
      <c r="E345" s="28">
        <v>42959.175300000003</v>
      </c>
      <c r="F345" s="11">
        <v>3</v>
      </c>
      <c r="G345" s="11">
        <v>16</v>
      </c>
      <c r="H345" s="11">
        <f t="shared" si="72"/>
        <v>-13</v>
      </c>
      <c r="I345" s="18">
        <v>1</v>
      </c>
      <c r="J345" s="18">
        <v>-2.1994134897360709E-2</v>
      </c>
      <c r="K345" s="18">
        <v>1.1000000000000001</v>
      </c>
      <c r="L345" s="6">
        <v>19154050</v>
      </c>
      <c r="M345" s="7">
        <v>5618613</v>
      </c>
      <c r="N345" s="7">
        <v>2298707.75</v>
      </c>
      <c r="O345" s="7">
        <v>9524849</v>
      </c>
      <c r="P345" s="7">
        <v>14081.13671875</v>
      </c>
      <c r="Q345" s="7">
        <v>25293.748046875</v>
      </c>
      <c r="R345" s="7">
        <v>1854116.875</v>
      </c>
      <c r="S345" s="7">
        <v>2335453.5</v>
      </c>
      <c r="T345" s="31">
        <f t="shared" si="73"/>
        <v>4082.5165009765624</v>
      </c>
      <c r="U345" s="37">
        <v>3772.3333333333335</v>
      </c>
      <c r="V345">
        <f t="shared" si="74"/>
        <v>1.0822258109860994</v>
      </c>
      <c r="W345">
        <f t="shared" ref="W345:W373" si="84">(V345-V344)/V344</f>
        <v>-2.6857574227665333E-2</v>
      </c>
      <c r="X345" s="28">
        <v>4110.0612499999988</v>
      </c>
      <c r="Y345">
        <f t="shared" si="75"/>
        <v>0.5077507289917822</v>
      </c>
      <c r="Z345">
        <f t="shared" si="77"/>
        <v>0.14894264381019703</v>
      </c>
      <c r="AA345">
        <f t="shared" si="78"/>
        <v>6.0935965803658211E-2</v>
      </c>
      <c r="AB345">
        <f t="shared" si="79"/>
        <v>0.25249224176018381</v>
      </c>
      <c r="AC345">
        <f t="shared" si="80"/>
        <v>3.732739255655209E-4</v>
      </c>
      <c r="AD345">
        <f t="shared" si="81"/>
        <v>6.7050670796699652E-4</v>
      </c>
      <c r="AE345">
        <f t="shared" si="82"/>
        <v>4.915039873641424E-2</v>
      </c>
      <c r="AF345">
        <f t="shared" si="83"/>
        <v>6.1910051250331354E-2</v>
      </c>
      <c r="AG345">
        <f t="shared" si="76"/>
        <v>1.0822258109860994</v>
      </c>
      <c r="AH345">
        <v>0.3939903380780217</v>
      </c>
      <c r="AI345">
        <v>0.59398004253230818</v>
      </c>
      <c r="AJ345">
        <v>4.3620665049236479E-2</v>
      </c>
      <c r="AK345">
        <v>1.7205171999658941E-2</v>
      </c>
      <c r="AL345">
        <v>0.46083084685254344</v>
      </c>
    </row>
    <row r="346" spans="1:38" x14ac:dyDescent="0.25">
      <c r="A346">
        <v>12</v>
      </c>
      <c r="B346" s="5" t="s">
        <v>13</v>
      </c>
      <c r="C346" s="6" t="s">
        <v>5</v>
      </c>
      <c r="D346" s="6" t="s">
        <v>39</v>
      </c>
      <c r="E346" s="28">
        <v>42959.175300000003</v>
      </c>
      <c r="F346" s="11">
        <v>4</v>
      </c>
      <c r="G346" s="11">
        <v>16</v>
      </c>
      <c r="H346" s="11">
        <f t="shared" si="72"/>
        <v>-12</v>
      </c>
      <c r="I346" s="18">
        <v>1</v>
      </c>
      <c r="J346" s="18">
        <v>-2.1994134897360709E-2</v>
      </c>
      <c r="K346" s="18">
        <v>1.1000000000000001</v>
      </c>
      <c r="L346" s="6">
        <v>18204920</v>
      </c>
      <c r="M346" s="7">
        <v>5863526</v>
      </c>
      <c r="N346" s="7">
        <v>2298707.75</v>
      </c>
      <c r="O346" s="7">
        <v>9942284</v>
      </c>
      <c r="P346" s="7">
        <v>14081.13671875</v>
      </c>
      <c r="Q346" s="7">
        <v>70729.59375</v>
      </c>
      <c r="R346" s="7">
        <v>1834979.5</v>
      </c>
      <c r="S346" s="7">
        <v>2371036.25</v>
      </c>
      <c r="T346" s="31">
        <f t="shared" si="73"/>
        <v>4060.0264230468752</v>
      </c>
      <c r="U346" s="37">
        <v>3768</v>
      </c>
      <c r="V346">
        <f t="shared" si="74"/>
        <v>1.0775017046302746</v>
      </c>
      <c r="W346">
        <f t="shared" si="84"/>
        <v>-4.3651762024787292E-3</v>
      </c>
      <c r="X346" s="28">
        <v>4485.3687499999987</v>
      </c>
      <c r="Y346">
        <f t="shared" si="75"/>
        <v>0.48314543524416143</v>
      </c>
      <c r="Z346">
        <f t="shared" si="77"/>
        <v>0.1556137473460722</v>
      </c>
      <c r="AA346">
        <f t="shared" si="78"/>
        <v>6.1006044320594484E-2</v>
      </c>
      <c r="AB346">
        <f t="shared" si="79"/>
        <v>0.26386104033970276</v>
      </c>
      <c r="AC346">
        <f t="shared" si="80"/>
        <v>3.7370320378848194E-4</v>
      </c>
      <c r="AD346">
        <f t="shared" si="81"/>
        <v>1.8771123606687898E-3</v>
      </c>
      <c r="AE346">
        <f t="shared" si="82"/>
        <v>4.8699031316348194E-2</v>
      </c>
      <c r="AF346">
        <f t="shared" si="83"/>
        <v>6.2925590498938422E-2</v>
      </c>
      <c r="AG346">
        <f t="shared" si="76"/>
        <v>1.0775017046302748</v>
      </c>
      <c r="AH346">
        <v>0.3939903380780217</v>
      </c>
      <c r="AI346">
        <v>0.59398004253230818</v>
      </c>
      <c r="AJ346">
        <v>4.3620665049236479E-2</v>
      </c>
      <c r="AK346">
        <v>1.7205171999658941E-2</v>
      </c>
      <c r="AL346">
        <v>0.46083084685254344</v>
      </c>
    </row>
    <row r="347" spans="1:38" x14ac:dyDescent="0.25">
      <c r="A347">
        <v>12</v>
      </c>
      <c r="B347" s="5" t="s">
        <v>13</v>
      </c>
      <c r="C347" s="6" t="s">
        <v>5</v>
      </c>
      <c r="D347" s="6" t="s">
        <v>40</v>
      </c>
      <c r="E347" s="28">
        <v>42959.175300000003</v>
      </c>
      <c r="F347" s="11">
        <v>5</v>
      </c>
      <c r="G347" s="11">
        <v>16</v>
      </c>
      <c r="H347" s="11">
        <f t="shared" si="72"/>
        <v>-11</v>
      </c>
      <c r="I347" s="18">
        <v>1</v>
      </c>
      <c r="J347" s="18">
        <v>-2.1994134897360709E-2</v>
      </c>
      <c r="K347" s="18">
        <v>1.1000000000000001</v>
      </c>
      <c r="L347" s="6">
        <v>20629924</v>
      </c>
      <c r="M347" s="7">
        <v>6033733.5</v>
      </c>
      <c r="N347" s="7">
        <v>2298707.75</v>
      </c>
      <c r="O347" s="7">
        <v>10228577</v>
      </c>
      <c r="P347" s="7">
        <v>14081.13671875</v>
      </c>
      <c r="Q347" s="7">
        <v>97553.921875</v>
      </c>
      <c r="R347" s="7">
        <v>1924464.25</v>
      </c>
      <c r="S347" s="7">
        <v>2442960.75</v>
      </c>
      <c r="T347" s="31">
        <f t="shared" si="73"/>
        <v>4367.0002308593748</v>
      </c>
      <c r="U347" s="37">
        <v>3763.6666666666665</v>
      </c>
      <c r="V347">
        <f t="shared" si="74"/>
        <v>1.1603047287731934</v>
      </c>
      <c r="W347">
        <f t="shared" si="84"/>
        <v>7.6847232618839439E-2</v>
      </c>
      <c r="X347" s="28">
        <v>4860.6762499999986</v>
      </c>
      <c r="Y347">
        <f t="shared" si="75"/>
        <v>0.54813366398016128</v>
      </c>
      <c r="Z347">
        <f t="shared" si="77"/>
        <v>0.16031529979629794</v>
      </c>
      <c r="AA347">
        <f t="shared" si="78"/>
        <v>6.1076284208661763E-2</v>
      </c>
      <c r="AB347">
        <f t="shared" si="79"/>
        <v>0.27177159684704633</v>
      </c>
      <c r="AC347">
        <f t="shared" si="80"/>
        <v>3.7413347051855464E-4</v>
      </c>
      <c r="AD347">
        <f t="shared" si="81"/>
        <v>2.5919915474714376E-3</v>
      </c>
      <c r="AE347">
        <f t="shared" si="82"/>
        <v>5.1132696395359133E-2</v>
      </c>
      <c r="AF347">
        <f t="shared" si="83"/>
        <v>6.490906252767692E-2</v>
      </c>
      <c r="AG347">
        <f t="shared" si="76"/>
        <v>1.1603047287731934</v>
      </c>
      <c r="AH347">
        <v>0.3939903380780217</v>
      </c>
      <c r="AI347">
        <v>0.59398004253230818</v>
      </c>
      <c r="AJ347">
        <v>4.3620665049236479E-2</v>
      </c>
      <c r="AK347">
        <v>1.7205171999658941E-2</v>
      </c>
      <c r="AL347">
        <v>0.46083084685254344</v>
      </c>
    </row>
    <row r="348" spans="1:38" x14ac:dyDescent="0.25">
      <c r="A348">
        <v>12</v>
      </c>
      <c r="B348" s="5" t="s">
        <v>13</v>
      </c>
      <c r="C348" s="6" t="s">
        <v>5</v>
      </c>
      <c r="D348" s="6" t="s">
        <v>41</v>
      </c>
      <c r="E348" s="28">
        <v>42959.175300000003</v>
      </c>
      <c r="F348" s="11">
        <v>6</v>
      </c>
      <c r="G348" s="11">
        <v>16</v>
      </c>
      <c r="H348" s="11">
        <f t="shared" si="72"/>
        <v>-10</v>
      </c>
      <c r="I348" s="18">
        <v>1</v>
      </c>
      <c r="J348" s="18">
        <v>-2.1994134897360709E-2</v>
      </c>
      <c r="K348" s="18">
        <v>1.1000000000000001</v>
      </c>
      <c r="L348" s="6">
        <v>21795218</v>
      </c>
      <c r="M348" s="7">
        <v>6011656</v>
      </c>
      <c r="N348" s="7">
        <v>2298707.75</v>
      </c>
      <c r="O348" s="7">
        <v>10194379</v>
      </c>
      <c r="P348" s="7">
        <v>14081.13671875</v>
      </c>
      <c r="Q348" s="7">
        <v>64383.12890625</v>
      </c>
      <c r="R348" s="7">
        <v>1908683.5</v>
      </c>
      <c r="S348" s="7">
        <v>2416223.75</v>
      </c>
      <c r="T348" s="31">
        <f t="shared" si="73"/>
        <v>4470.3332265625004</v>
      </c>
      <c r="U348" s="37">
        <v>3759.3333333333335</v>
      </c>
      <c r="V348">
        <f t="shared" si="74"/>
        <v>1.1891292498392889</v>
      </c>
      <c r="W348">
        <f t="shared" si="84"/>
        <v>2.4842199080384805E-2</v>
      </c>
      <c r="X348" s="28">
        <v>5235.9837499999985</v>
      </c>
      <c r="Y348">
        <f t="shared" si="75"/>
        <v>0.57976284802269906</v>
      </c>
      <c r="Z348">
        <f t="shared" si="77"/>
        <v>0.15991282142223798</v>
      </c>
      <c r="AA348">
        <f t="shared" si="78"/>
        <v>6.1146686025891107E-2</v>
      </c>
      <c r="AB348">
        <f t="shared" si="79"/>
        <v>0.27117518176981736</v>
      </c>
      <c r="AC348">
        <f t="shared" si="80"/>
        <v>3.7456472917405564E-4</v>
      </c>
      <c r="AD348">
        <f t="shared" si="81"/>
        <v>1.7126209143354316E-3</v>
      </c>
      <c r="AE348">
        <f t="shared" si="82"/>
        <v>5.0771861145593185E-2</v>
      </c>
      <c r="AF348">
        <f t="shared" si="83"/>
        <v>6.4272665809540691E-2</v>
      </c>
      <c r="AG348">
        <f t="shared" si="76"/>
        <v>1.1891292498392887</v>
      </c>
      <c r="AH348">
        <v>0.3939903380780217</v>
      </c>
      <c r="AI348">
        <v>0.59398004253230818</v>
      </c>
      <c r="AJ348">
        <v>4.3620665049236479E-2</v>
      </c>
      <c r="AK348">
        <v>1.7205171999658941E-2</v>
      </c>
      <c r="AL348">
        <v>0.46083084685254344</v>
      </c>
    </row>
    <row r="349" spans="1:38" x14ac:dyDescent="0.25">
      <c r="A349">
        <v>12</v>
      </c>
      <c r="B349" s="5" t="s">
        <v>13</v>
      </c>
      <c r="C349" s="6" t="s">
        <v>5</v>
      </c>
      <c r="D349" s="6" t="s">
        <v>42</v>
      </c>
      <c r="E349" s="28">
        <v>42959.175300000003</v>
      </c>
      <c r="F349" s="11">
        <v>7</v>
      </c>
      <c r="G349" s="11">
        <v>16</v>
      </c>
      <c r="H349" s="11">
        <f t="shared" si="72"/>
        <v>-9</v>
      </c>
      <c r="I349" s="18">
        <v>1</v>
      </c>
      <c r="J349" s="18">
        <v>-2.1994134897360709E-2</v>
      </c>
      <c r="K349" s="18">
        <v>1.1000000000000001</v>
      </c>
      <c r="L349" s="6">
        <v>26620378</v>
      </c>
      <c r="M349" s="7">
        <v>6065861</v>
      </c>
      <c r="N349" s="7">
        <v>2299811.25</v>
      </c>
      <c r="O349" s="7">
        <v>10288972</v>
      </c>
      <c r="P349" s="7">
        <v>14087.896484375</v>
      </c>
      <c r="Q349" s="7">
        <v>30321.078125</v>
      </c>
      <c r="R349" s="7">
        <v>1908018.125</v>
      </c>
      <c r="S349" s="7">
        <v>2340428.5</v>
      </c>
      <c r="T349" s="31">
        <f t="shared" si="73"/>
        <v>4956.7877849609376</v>
      </c>
      <c r="U349" s="37">
        <v>3755.0000000000005</v>
      </c>
      <c r="V349">
        <f t="shared" si="74"/>
        <v>1.3200500093105025</v>
      </c>
      <c r="W349">
        <f t="shared" si="84"/>
        <v>0.11009800615778949</v>
      </c>
      <c r="X349" s="28">
        <v>5611.2912499999975</v>
      </c>
      <c r="Y349">
        <f t="shared" si="75"/>
        <v>0.70893150466045263</v>
      </c>
      <c r="Z349">
        <f t="shared" si="77"/>
        <v>0.16154090545938746</v>
      </c>
      <c r="AA349">
        <f t="shared" si="78"/>
        <v>6.1246637816245002E-2</v>
      </c>
      <c r="AB349">
        <f t="shared" si="79"/>
        <v>0.27400724367509982</v>
      </c>
      <c r="AC349">
        <f t="shared" si="80"/>
        <v>3.7517700357856185E-4</v>
      </c>
      <c r="AD349">
        <f t="shared" si="81"/>
        <v>8.0748543608521962E-4</v>
      </c>
      <c r="AE349">
        <f t="shared" si="82"/>
        <v>5.0812733022636482E-2</v>
      </c>
      <c r="AF349">
        <f t="shared" si="83"/>
        <v>6.23283222370173E-2</v>
      </c>
      <c r="AG349">
        <f t="shared" si="76"/>
        <v>1.3200500093105021</v>
      </c>
      <c r="AH349">
        <v>0.3939903380780217</v>
      </c>
      <c r="AI349">
        <v>0.59398004253230818</v>
      </c>
      <c r="AJ349">
        <v>4.3620665049236479E-2</v>
      </c>
      <c r="AK349">
        <v>1.7205171999658941E-2</v>
      </c>
      <c r="AL349">
        <v>0.46083084685254344</v>
      </c>
    </row>
    <row r="350" spans="1:38" x14ac:dyDescent="0.25">
      <c r="A350">
        <v>12</v>
      </c>
      <c r="B350" s="5" t="s">
        <v>13</v>
      </c>
      <c r="C350" s="6" t="s">
        <v>5</v>
      </c>
      <c r="D350" s="6" t="s">
        <v>43</v>
      </c>
      <c r="E350" s="28">
        <v>45045</v>
      </c>
      <c r="F350" s="11">
        <v>8</v>
      </c>
      <c r="G350" s="11">
        <v>16</v>
      </c>
      <c r="H350" s="18">
        <f t="shared" si="72"/>
        <v>-8</v>
      </c>
      <c r="I350" s="18">
        <v>1</v>
      </c>
      <c r="J350" s="18">
        <v>-2.1994134897360709E-2</v>
      </c>
      <c r="K350" s="18">
        <v>1.1000000000000001</v>
      </c>
      <c r="L350" s="14">
        <v>19232524</v>
      </c>
      <c r="M350" s="16">
        <v>5505212</v>
      </c>
      <c r="N350" s="16">
        <v>2279375</v>
      </c>
      <c r="O350" s="16">
        <v>10032272</v>
      </c>
      <c r="P350" s="16">
        <v>14402.0693359375</v>
      </c>
      <c r="Q350" s="16">
        <v>15525.296875</v>
      </c>
      <c r="R350" s="16">
        <v>2008929.125</v>
      </c>
      <c r="S350" s="16">
        <v>2142928.5</v>
      </c>
      <c r="T350" s="31">
        <f t="shared" si="73"/>
        <v>4123.1167991210941</v>
      </c>
      <c r="U350" s="37">
        <v>3383.7777777777778</v>
      </c>
      <c r="V350">
        <f t="shared" si="74"/>
        <v>1.2184951465190073</v>
      </c>
      <c r="W350">
        <f t="shared" si="84"/>
        <v>-7.6932587458970664E-2</v>
      </c>
      <c r="X350" s="28">
        <v>2781.1624999999999</v>
      </c>
      <c r="Y350">
        <f t="shared" si="75"/>
        <v>0.56837432192815396</v>
      </c>
      <c r="Z350">
        <f t="shared" si="77"/>
        <v>0.16269425362842319</v>
      </c>
      <c r="AA350">
        <f t="shared" si="78"/>
        <v>6.7361840809089121E-2</v>
      </c>
      <c r="AB350">
        <f t="shared" si="79"/>
        <v>0.29648140802521833</v>
      </c>
      <c r="AC350">
        <f t="shared" si="80"/>
        <v>4.2562101537872693E-4</v>
      </c>
      <c r="AD350">
        <f t="shared" si="81"/>
        <v>4.5881549837459773E-4</v>
      </c>
      <c r="AE350">
        <f t="shared" si="82"/>
        <v>5.9369416579102906E-2</v>
      </c>
      <c r="AF350">
        <f t="shared" si="83"/>
        <v>6.3329469035266303E-2</v>
      </c>
      <c r="AG350">
        <f t="shared" si="76"/>
        <v>1.2184951465190075</v>
      </c>
      <c r="AH350">
        <v>0.39287379287379287</v>
      </c>
      <c r="AI350">
        <v>0.60159947772156031</v>
      </c>
      <c r="AJ350">
        <v>4.3720565149136581E-2</v>
      </c>
      <c r="AK350">
        <v>1.821844821844822E-2</v>
      </c>
      <c r="AL350">
        <v>0.42830957375969292</v>
      </c>
    </row>
    <row r="351" spans="1:38" x14ac:dyDescent="0.25">
      <c r="A351">
        <v>12</v>
      </c>
      <c r="B351" s="5" t="s">
        <v>13</v>
      </c>
      <c r="C351" s="6" t="s">
        <v>5</v>
      </c>
      <c r="D351" s="6" t="s">
        <v>44</v>
      </c>
      <c r="E351" s="28">
        <v>45045</v>
      </c>
      <c r="F351" s="11">
        <v>9</v>
      </c>
      <c r="G351" s="11">
        <v>16</v>
      </c>
      <c r="H351" s="11">
        <f t="shared" si="72"/>
        <v>-7</v>
      </c>
      <c r="I351" s="18">
        <v>1</v>
      </c>
      <c r="J351" s="18">
        <v>-2.1994134897360709E-2</v>
      </c>
      <c r="K351" s="18">
        <v>1.1000000000000001</v>
      </c>
      <c r="L351" s="6">
        <v>19137224</v>
      </c>
      <c r="M351" s="7">
        <v>5396344.5</v>
      </c>
      <c r="N351" s="7">
        <v>2279375</v>
      </c>
      <c r="O351" s="7">
        <v>9827739</v>
      </c>
      <c r="P351" s="7">
        <v>14402.0693359375</v>
      </c>
      <c r="Q351" s="7">
        <v>21933.056640625</v>
      </c>
      <c r="R351" s="7">
        <v>1939380.375</v>
      </c>
      <c r="S351" s="7">
        <v>2168953</v>
      </c>
      <c r="T351" s="31">
        <f t="shared" si="73"/>
        <v>4078.5351000976561</v>
      </c>
      <c r="U351" s="37">
        <v>3504</v>
      </c>
      <c r="V351">
        <f t="shared" si="74"/>
        <v>1.1639654966032125</v>
      </c>
      <c r="W351">
        <f t="shared" si="84"/>
        <v>-4.4751634892904499E-2</v>
      </c>
      <c r="X351" s="28">
        <v>2951.3708333333329</v>
      </c>
      <c r="Y351">
        <f t="shared" si="75"/>
        <v>0.54615365296803653</v>
      </c>
      <c r="Z351">
        <f t="shared" si="77"/>
        <v>0.15400526541095891</v>
      </c>
      <c r="AA351">
        <f t="shared" si="78"/>
        <v>6.505065639269407E-2</v>
      </c>
      <c r="AB351">
        <f t="shared" si="79"/>
        <v>0.28047200342465756</v>
      </c>
      <c r="AC351">
        <f t="shared" si="80"/>
        <v>4.1101796050049941E-4</v>
      </c>
      <c r="AD351">
        <f t="shared" si="81"/>
        <v>6.2594339727811081E-4</v>
      </c>
      <c r="AE351">
        <f t="shared" si="82"/>
        <v>5.5347613441780824E-2</v>
      </c>
      <c r="AF351">
        <f t="shared" si="83"/>
        <v>6.1899343607305937E-2</v>
      </c>
      <c r="AG351">
        <f t="shared" si="76"/>
        <v>1.1639654966032125</v>
      </c>
      <c r="AH351">
        <v>0.39287379287379287</v>
      </c>
      <c r="AI351">
        <v>0.60159947772156031</v>
      </c>
      <c r="AJ351">
        <v>4.3720565149136581E-2</v>
      </c>
      <c r="AK351">
        <v>1.821844821844822E-2</v>
      </c>
      <c r="AL351">
        <v>0.42830957375969292</v>
      </c>
    </row>
    <row r="352" spans="1:38" x14ac:dyDescent="0.25">
      <c r="A352">
        <v>12</v>
      </c>
      <c r="B352" s="5" t="s">
        <v>13</v>
      </c>
      <c r="C352" s="6" t="s">
        <v>5</v>
      </c>
      <c r="D352" s="6" t="s">
        <v>45</v>
      </c>
      <c r="E352" s="28">
        <v>45045</v>
      </c>
      <c r="F352" s="11">
        <v>10</v>
      </c>
      <c r="G352" s="11">
        <v>16</v>
      </c>
      <c r="H352" s="11">
        <f t="shared" si="72"/>
        <v>-6</v>
      </c>
      <c r="I352" s="18">
        <v>1</v>
      </c>
      <c r="J352" s="18">
        <v>-2.1994134897360709E-2</v>
      </c>
      <c r="K352" s="18">
        <v>1.1000000000000001</v>
      </c>
      <c r="L352" s="6">
        <v>21769558</v>
      </c>
      <c r="M352" s="7">
        <v>5601675.5</v>
      </c>
      <c r="N352" s="7">
        <v>2279375</v>
      </c>
      <c r="O352" s="7">
        <v>10205371</v>
      </c>
      <c r="P352" s="7">
        <v>14402.0693359375</v>
      </c>
      <c r="Q352" s="7">
        <v>62644.8828125</v>
      </c>
      <c r="R352" s="7">
        <v>1916028.75</v>
      </c>
      <c r="S352" s="7">
        <v>2210642</v>
      </c>
      <c r="T352" s="31">
        <f t="shared" si="73"/>
        <v>4405.9697202148436</v>
      </c>
      <c r="U352" s="37">
        <v>3624.2222222222222</v>
      </c>
      <c r="V352">
        <f t="shared" si="74"/>
        <v>1.2157007628283032</v>
      </c>
      <c r="W352">
        <f t="shared" si="84"/>
        <v>4.4447422519025843E-2</v>
      </c>
      <c r="X352" s="28">
        <v>3121.5791666666664</v>
      </c>
      <c r="Y352">
        <f t="shared" si="75"/>
        <v>0.60066841008032379</v>
      </c>
      <c r="Z352">
        <f t="shared" si="77"/>
        <v>0.15456214206879637</v>
      </c>
      <c r="AA352">
        <f t="shared" si="78"/>
        <v>6.2892804586424683E-2</v>
      </c>
      <c r="AB352">
        <f t="shared" si="79"/>
        <v>0.28158789318781041</v>
      </c>
      <c r="AC352">
        <f t="shared" si="80"/>
        <v>3.9738372684848089E-4</v>
      </c>
      <c r="AD352">
        <f t="shared" si="81"/>
        <v>1.7285055653703477E-3</v>
      </c>
      <c r="AE352">
        <f t="shared" si="82"/>
        <v>5.2867308694585814E-2</v>
      </c>
      <c r="AF352">
        <f t="shared" si="83"/>
        <v>6.0996314918143356E-2</v>
      </c>
      <c r="AG352">
        <f t="shared" si="76"/>
        <v>1.2157007628283034</v>
      </c>
      <c r="AH352">
        <v>0.39287379287379287</v>
      </c>
      <c r="AI352">
        <v>0.60159947772156031</v>
      </c>
      <c r="AJ352">
        <v>4.3720565149136581E-2</v>
      </c>
      <c r="AK352">
        <v>1.821844821844822E-2</v>
      </c>
      <c r="AL352">
        <v>0.42830957375969292</v>
      </c>
    </row>
    <row r="353" spans="1:38" x14ac:dyDescent="0.25">
      <c r="A353">
        <v>12</v>
      </c>
      <c r="B353" s="5" t="s">
        <v>13</v>
      </c>
      <c r="C353" s="6" t="s">
        <v>5</v>
      </c>
      <c r="D353" s="6" t="s">
        <v>46</v>
      </c>
      <c r="E353" s="28">
        <v>45045</v>
      </c>
      <c r="F353" s="11">
        <v>11</v>
      </c>
      <c r="G353" s="11">
        <v>16</v>
      </c>
      <c r="H353" s="11">
        <f t="shared" si="72"/>
        <v>-5</v>
      </c>
      <c r="I353" s="18">
        <v>1</v>
      </c>
      <c r="J353" s="18">
        <v>-2.1994134897360709E-2</v>
      </c>
      <c r="K353" s="18">
        <v>1.1000000000000001</v>
      </c>
      <c r="L353" s="6">
        <v>19690992</v>
      </c>
      <c r="M353" s="7">
        <v>5691845</v>
      </c>
      <c r="N353" s="7">
        <v>2279375</v>
      </c>
      <c r="O353" s="7">
        <v>10371547</v>
      </c>
      <c r="P353" s="7">
        <v>14402.0693359375</v>
      </c>
      <c r="Q353" s="7">
        <v>86346.90625</v>
      </c>
      <c r="R353" s="7">
        <v>2005928.5</v>
      </c>
      <c r="S353" s="7">
        <v>2279675.75</v>
      </c>
      <c r="T353" s="31">
        <f t="shared" si="73"/>
        <v>4242.0112225585935</v>
      </c>
      <c r="U353" s="37">
        <v>3744.4444444444439</v>
      </c>
      <c r="V353">
        <f t="shared" si="74"/>
        <v>1.1328813354014049</v>
      </c>
      <c r="W353">
        <f t="shared" si="84"/>
        <v>-6.812484614570824E-2</v>
      </c>
      <c r="X353" s="28">
        <v>3291.7874999999999</v>
      </c>
      <c r="Y353">
        <f t="shared" si="75"/>
        <v>0.52587218991097939</v>
      </c>
      <c r="Z353">
        <f t="shared" si="77"/>
        <v>0.15200772997032644</v>
      </c>
      <c r="AA353">
        <f t="shared" si="78"/>
        <v>6.0873516320474788E-2</v>
      </c>
      <c r="AB353">
        <f t="shared" si="79"/>
        <v>0.27698493471810093</v>
      </c>
      <c r="AC353">
        <f t="shared" si="80"/>
        <v>3.8462499710218849E-4</v>
      </c>
      <c r="AD353">
        <f t="shared" si="81"/>
        <v>2.3060004636498519E-3</v>
      </c>
      <c r="AE353">
        <f t="shared" si="82"/>
        <v>5.3570790801186957E-2</v>
      </c>
      <c r="AF353">
        <f t="shared" si="83"/>
        <v>6.088154821958458E-2</v>
      </c>
      <c r="AG353">
        <f t="shared" si="76"/>
        <v>1.1328813354014051</v>
      </c>
      <c r="AH353">
        <v>0.39287379287379287</v>
      </c>
      <c r="AI353">
        <v>0.60159947772156031</v>
      </c>
      <c r="AJ353">
        <v>4.3720565149136581E-2</v>
      </c>
      <c r="AK353">
        <v>1.821844821844822E-2</v>
      </c>
      <c r="AL353">
        <v>0.42830957375969292</v>
      </c>
    </row>
    <row r="354" spans="1:38" x14ac:dyDescent="0.25">
      <c r="A354">
        <v>12</v>
      </c>
      <c r="B354" s="5" t="s">
        <v>13</v>
      </c>
      <c r="C354" s="6" t="s">
        <v>5</v>
      </c>
      <c r="D354" s="6" t="s">
        <v>47</v>
      </c>
      <c r="E354" s="28">
        <v>45045</v>
      </c>
      <c r="F354" s="11">
        <v>12</v>
      </c>
      <c r="G354" s="11">
        <v>16</v>
      </c>
      <c r="H354" s="11">
        <f t="shared" si="72"/>
        <v>-4</v>
      </c>
      <c r="I354" s="18">
        <v>1</v>
      </c>
      <c r="J354" s="18">
        <v>-2.1994134897360709E-2</v>
      </c>
      <c r="K354" s="18">
        <v>1.1000000000000001</v>
      </c>
      <c r="L354" s="6">
        <v>19562208</v>
      </c>
      <c r="M354" s="7">
        <v>5631209.5</v>
      </c>
      <c r="N354" s="7">
        <v>2279375</v>
      </c>
      <c r="O354" s="7">
        <v>10264053</v>
      </c>
      <c r="P354" s="7">
        <v>14402.0693359375</v>
      </c>
      <c r="Q354" s="7">
        <v>56837.3203125</v>
      </c>
      <c r="R354" s="7">
        <v>1984626.625</v>
      </c>
      <c r="S354" s="7">
        <v>2264338.25</v>
      </c>
      <c r="T354" s="31">
        <f t="shared" si="73"/>
        <v>4205.7049764648436</v>
      </c>
      <c r="U354" s="37">
        <v>3864.6666666666665</v>
      </c>
      <c r="V354">
        <f t="shared" si="74"/>
        <v>1.0882452069513999</v>
      </c>
      <c r="W354">
        <f t="shared" si="84"/>
        <v>-3.9400533008330837E-2</v>
      </c>
      <c r="X354" s="28">
        <v>3461.9958333333334</v>
      </c>
      <c r="Y354">
        <f t="shared" si="75"/>
        <v>0.50618099016732798</v>
      </c>
      <c r="Z354">
        <f t="shared" si="77"/>
        <v>0.14571009573917545</v>
      </c>
      <c r="AA354">
        <f t="shared" si="78"/>
        <v>5.8979860272554779E-2</v>
      </c>
      <c r="AB354">
        <f t="shared" si="79"/>
        <v>0.26558701914783511</v>
      </c>
      <c r="AC354">
        <f t="shared" si="80"/>
        <v>3.7266006561853114E-4</v>
      </c>
      <c r="AD354">
        <f t="shared" si="81"/>
        <v>1.4706914001854407E-3</v>
      </c>
      <c r="AE354">
        <f t="shared" si="82"/>
        <v>5.1353112601345528E-2</v>
      </c>
      <c r="AF354">
        <f t="shared" si="83"/>
        <v>5.8590777557357254E-2</v>
      </c>
      <c r="AG354">
        <f t="shared" si="76"/>
        <v>1.0882452069514001</v>
      </c>
      <c r="AH354">
        <v>0.39287379287379287</v>
      </c>
      <c r="AI354">
        <v>0.60159947772156031</v>
      </c>
      <c r="AJ354">
        <v>4.3720565149136581E-2</v>
      </c>
      <c r="AK354">
        <v>1.821844821844822E-2</v>
      </c>
      <c r="AL354">
        <v>0.42830957375969292</v>
      </c>
    </row>
    <row r="355" spans="1:38" x14ac:dyDescent="0.25">
      <c r="A355">
        <v>12</v>
      </c>
      <c r="B355" s="5" t="s">
        <v>13</v>
      </c>
      <c r="C355" s="6" t="s">
        <v>5</v>
      </c>
      <c r="D355" s="6" t="s">
        <v>48</v>
      </c>
      <c r="E355" s="28">
        <v>45045</v>
      </c>
      <c r="F355" s="11">
        <v>13</v>
      </c>
      <c r="G355" s="11">
        <v>16</v>
      </c>
      <c r="H355" s="11">
        <f t="shared" si="72"/>
        <v>-3</v>
      </c>
      <c r="I355" s="18">
        <v>1</v>
      </c>
      <c r="J355" s="18">
        <v>-2.1994134897360709E-2</v>
      </c>
      <c r="K355" s="18">
        <v>1.1000000000000001</v>
      </c>
      <c r="L355" s="6">
        <v>20492026</v>
      </c>
      <c r="M355" s="7">
        <v>5661430</v>
      </c>
      <c r="N355" s="7">
        <v>2279375</v>
      </c>
      <c r="O355" s="7">
        <v>10320680</v>
      </c>
      <c r="P355" s="7">
        <v>14402.0693359375</v>
      </c>
      <c r="Q355" s="7">
        <v>27395.720703125</v>
      </c>
      <c r="R355" s="7">
        <v>1979426</v>
      </c>
      <c r="S355" s="7">
        <v>2204790</v>
      </c>
      <c r="T355" s="31">
        <f t="shared" si="73"/>
        <v>4297.9524790039059</v>
      </c>
      <c r="U355" s="37">
        <v>3924.6666666666665</v>
      </c>
      <c r="V355">
        <f t="shared" si="74"/>
        <v>1.0951127430789636</v>
      </c>
      <c r="W355">
        <f t="shared" si="84"/>
        <v>6.3106513896829244E-3</v>
      </c>
      <c r="X355" s="28">
        <v>3632.2041666666664</v>
      </c>
      <c r="Y355">
        <f t="shared" si="75"/>
        <v>0.52213417700016984</v>
      </c>
      <c r="Z355">
        <f t="shared" si="77"/>
        <v>0.1442525055206387</v>
      </c>
      <c r="AA355">
        <f t="shared" si="78"/>
        <v>5.80781807372176E-2</v>
      </c>
      <c r="AB355">
        <f t="shared" si="79"/>
        <v>0.26296959402072362</v>
      </c>
      <c r="AC355">
        <f t="shared" si="80"/>
        <v>3.6696286740115934E-4</v>
      </c>
      <c r="AD355">
        <f t="shared" si="81"/>
        <v>6.9803942678252926E-4</v>
      </c>
      <c r="AE355">
        <f t="shared" si="82"/>
        <v>5.0435518940037373E-2</v>
      </c>
      <c r="AF355">
        <f t="shared" si="83"/>
        <v>5.6177764565992869E-2</v>
      </c>
      <c r="AG355">
        <f t="shared" si="76"/>
        <v>1.0951127430789636</v>
      </c>
      <c r="AH355">
        <v>0.39287379287379287</v>
      </c>
      <c r="AI355">
        <v>0.60159947772156031</v>
      </c>
      <c r="AJ355">
        <v>4.3720565149136581E-2</v>
      </c>
      <c r="AK355">
        <v>1.821844821844822E-2</v>
      </c>
      <c r="AL355">
        <v>0.42830957375969292</v>
      </c>
    </row>
    <row r="356" spans="1:38" x14ac:dyDescent="0.25">
      <c r="A356">
        <v>12</v>
      </c>
      <c r="B356" s="5" t="s">
        <v>13</v>
      </c>
      <c r="C356" s="6" t="s">
        <v>5</v>
      </c>
      <c r="D356" s="6" t="s">
        <v>49</v>
      </c>
      <c r="E356" s="28">
        <v>45045</v>
      </c>
      <c r="F356" s="11">
        <v>14</v>
      </c>
      <c r="G356" s="11">
        <v>16</v>
      </c>
      <c r="H356" s="11">
        <f t="shared" si="72"/>
        <v>-2</v>
      </c>
      <c r="I356" s="18">
        <v>1</v>
      </c>
      <c r="J356" s="18">
        <v>-2.1994134897360709E-2</v>
      </c>
      <c r="K356" s="18">
        <v>1.1000000000000001</v>
      </c>
      <c r="L356" s="6">
        <v>23049666</v>
      </c>
      <c r="M356" s="7">
        <v>5436944</v>
      </c>
      <c r="N356" s="7">
        <v>2279375</v>
      </c>
      <c r="O356" s="7">
        <v>9907205</v>
      </c>
      <c r="P356" s="7">
        <v>14402.0693359375</v>
      </c>
      <c r="Q356" s="7">
        <v>16140.6015625</v>
      </c>
      <c r="R356" s="7">
        <v>1999541.25</v>
      </c>
      <c r="S356" s="7">
        <v>2165444</v>
      </c>
      <c r="T356" s="31">
        <f t="shared" si="73"/>
        <v>4486.8717920898434</v>
      </c>
      <c r="U356" s="37">
        <v>3984.6666666666665</v>
      </c>
      <c r="V356">
        <f t="shared" si="74"/>
        <v>1.126034413273342</v>
      </c>
      <c r="W356">
        <f t="shared" si="84"/>
        <v>2.823606098075401E-2</v>
      </c>
      <c r="X356" s="28">
        <v>3802.4124999999999</v>
      </c>
      <c r="Y356">
        <f t="shared" si="75"/>
        <v>0.57845907645976236</v>
      </c>
      <c r="Z356">
        <f t="shared" si="77"/>
        <v>0.13644664547431823</v>
      </c>
      <c r="AA356">
        <f t="shared" si="78"/>
        <v>5.7203655680107081E-2</v>
      </c>
      <c r="AB356">
        <f t="shared" si="79"/>
        <v>0.2486332190061904</v>
      </c>
      <c r="AC356">
        <f t="shared" si="80"/>
        <v>3.6143724282928309E-4</v>
      </c>
      <c r="AD356">
        <f t="shared" si="81"/>
        <v>4.0506779895850765E-4</v>
      </c>
      <c r="AE356">
        <f t="shared" si="82"/>
        <v>5.0180891333444874E-2</v>
      </c>
      <c r="AF356">
        <f t="shared" si="83"/>
        <v>5.4344420277731308E-2</v>
      </c>
      <c r="AG356">
        <f t="shared" si="76"/>
        <v>1.1260344132733422</v>
      </c>
      <c r="AH356">
        <v>0.39287379287379287</v>
      </c>
      <c r="AI356">
        <v>0.60159947772156031</v>
      </c>
      <c r="AJ356">
        <v>4.3720565149136581E-2</v>
      </c>
      <c r="AK356">
        <v>1.821844821844822E-2</v>
      </c>
      <c r="AL356">
        <v>0.42830957375969292</v>
      </c>
    </row>
    <row r="357" spans="1:38" x14ac:dyDescent="0.25">
      <c r="A357">
        <v>12</v>
      </c>
      <c r="B357" s="5" t="s">
        <v>13</v>
      </c>
      <c r="C357" s="6" t="s">
        <v>5</v>
      </c>
      <c r="D357" s="6" t="s">
        <v>50</v>
      </c>
      <c r="E357" s="28">
        <v>45045</v>
      </c>
      <c r="F357" s="11">
        <v>15</v>
      </c>
      <c r="G357" s="11">
        <v>16</v>
      </c>
      <c r="H357" s="11">
        <f t="shared" si="72"/>
        <v>-1</v>
      </c>
      <c r="I357" s="18">
        <v>1</v>
      </c>
      <c r="J357" s="18">
        <v>-2.1994134897360709E-2</v>
      </c>
      <c r="K357" s="18">
        <v>1.1000000000000001</v>
      </c>
      <c r="L357" s="6">
        <v>24528100</v>
      </c>
      <c r="M357" s="7">
        <v>5282308.5</v>
      </c>
      <c r="N357" s="7">
        <v>2279375</v>
      </c>
      <c r="O357" s="7">
        <v>9625108</v>
      </c>
      <c r="P357" s="7">
        <v>14402.0693359375</v>
      </c>
      <c r="Q357" s="7">
        <v>22656.46875</v>
      </c>
      <c r="R357" s="7">
        <v>1931384.5</v>
      </c>
      <c r="S357" s="7">
        <v>2185234.75</v>
      </c>
      <c r="T357" s="31">
        <f t="shared" si="73"/>
        <v>4586.8569288085937</v>
      </c>
      <c r="U357" s="37">
        <v>4044.6666666666665</v>
      </c>
      <c r="V357">
        <f t="shared" si="74"/>
        <v>1.1340506664270464</v>
      </c>
      <c r="W357">
        <f t="shared" si="84"/>
        <v>7.1190125800875874E-3</v>
      </c>
      <c r="X357" s="28">
        <v>3972.6208333333334</v>
      </c>
      <c r="Y357">
        <f t="shared" si="75"/>
        <v>0.60643069062139443</v>
      </c>
      <c r="Z357">
        <f t="shared" si="77"/>
        <v>0.13059935305752432</v>
      </c>
      <c r="AA357">
        <f t="shared" si="78"/>
        <v>5.6355076644140432E-2</v>
      </c>
      <c r="AB357">
        <f t="shared" si="79"/>
        <v>0.2379703642656997</v>
      </c>
      <c r="AC357">
        <f t="shared" si="80"/>
        <v>3.5607555635250125E-4</v>
      </c>
      <c r="AD357">
        <f t="shared" si="81"/>
        <v>5.6015663631119169E-4</v>
      </c>
      <c r="AE357">
        <f t="shared" si="82"/>
        <v>4.7751388659963735E-2</v>
      </c>
      <c r="AF357">
        <f t="shared" si="83"/>
        <v>5.4027560985660125E-2</v>
      </c>
      <c r="AG357">
        <f t="shared" si="76"/>
        <v>1.1340506664270464</v>
      </c>
      <c r="AH357">
        <v>0.39287379287379287</v>
      </c>
      <c r="AI357">
        <v>0.60159947772156031</v>
      </c>
      <c r="AJ357">
        <v>4.3720565149136581E-2</v>
      </c>
      <c r="AK357">
        <v>1.821844821844822E-2</v>
      </c>
      <c r="AL357">
        <v>0.42830957375969292</v>
      </c>
    </row>
    <row r="358" spans="1:38" x14ac:dyDescent="0.25">
      <c r="A358">
        <v>12</v>
      </c>
      <c r="B358" s="21" t="s">
        <v>13</v>
      </c>
      <c r="C358" s="22" t="s">
        <v>5</v>
      </c>
      <c r="D358" s="22" t="s">
        <v>51</v>
      </c>
      <c r="E358" s="28">
        <v>45045</v>
      </c>
      <c r="F358" s="22">
        <v>16</v>
      </c>
      <c r="G358" s="22">
        <v>16</v>
      </c>
      <c r="H358" s="22">
        <f t="shared" si="72"/>
        <v>0</v>
      </c>
      <c r="I358" s="18">
        <v>1</v>
      </c>
      <c r="J358" s="18">
        <v>-2.1994134897360709E-2</v>
      </c>
      <c r="K358" s="18">
        <v>1.1000000000000001</v>
      </c>
      <c r="L358" s="22">
        <v>21414114</v>
      </c>
      <c r="M358" s="23">
        <v>5512217.5</v>
      </c>
      <c r="N358" s="23">
        <v>2279375</v>
      </c>
      <c r="O358" s="23">
        <v>10046710</v>
      </c>
      <c r="P358" s="23">
        <v>14402.0693359375</v>
      </c>
      <c r="Q358" s="23">
        <v>63345.4609375</v>
      </c>
      <c r="R358" s="23">
        <v>1911369.125</v>
      </c>
      <c r="S358" s="23">
        <v>2219286.75</v>
      </c>
      <c r="T358" s="32">
        <f t="shared" si="73"/>
        <v>4346.0819905273438</v>
      </c>
      <c r="U358" s="37">
        <v>3950.3333333333335</v>
      </c>
      <c r="V358">
        <f t="shared" si="74"/>
        <v>1.1001810793673135</v>
      </c>
      <c r="W358">
        <f t="shared" si="84"/>
        <v>-2.986602632706253E-2</v>
      </c>
      <c r="X358" s="28">
        <v>4142.8291666666664</v>
      </c>
      <c r="Y358">
        <f t="shared" si="75"/>
        <v>0.54208372289258289</v>
      </c>
      <c r="Z358">
        <f t="shared" si="77"/>
        <v>0.13953803476499874</v>
      </c>
      <c r="AA358">
        <f t="shared" si="78"/>
        <v>5.7700826934435907E-2</v>
      </c>
      <c r="AB358">
        <f t="shared" si="79"/>
        <v>0.25432562652940677</v>
      </c>
      <c r="AC358">
        <f t="shared" si="80"/>
        <v>3.6457858415165387E-4</v>
      </c>
      <c r="AD358">
        <f t="shared" si="81"/>
        <v>1.6035472349379797E-3</v>
      </c>
      <c r="AE358">
        <f t="shared" si="82"/>
        <v>4.8385008649059147E-2</v>
      </c>
      <c r="AF358">
        <f t="shared" si="83"/>
        <v>5.6179733777740271E-2</v>
      </c>
      <c r="AG358">
        <f t="shared" si="76"/>
        <v>1.1001810793673132</v>
      </c>
      <c r="AH358">
        <v>0.39287379287379287</v>
      </c>
      <c r="AI358">
        <v>0.60159947772156031</v>
      </c>
      <c r="AJ358">
        <v>4.3720565149136581E-2</v>
      </c>
      <c r="AK358">
        <v>1.821844821844822E-2</v>
      </c>
      <c r="AL358">
        <v>0.42830957375969292</v>
      </c>
    </row>
    <row r="359" spans="1:38" x14ac:dyDescent="0.25">
      <c r="A359">
        <v>12</v>
      </c>
      <c r="B359" s="5" t="s">
        <v>13</v>
      </c>
      <c r="C359" s="6" t="s">
        <v>5</v>
      </c>
      <c r="D359" s="6" t="s">
        <v>52</v>
      </c>
      <c r="E359" s="28">
        <v>45045</v>
      </c>
      <c r="F359" s="11">
        <v>17</v>
      </c>
      <c r="G359" s="11">
        <v>16</v>
      </c>
      <c r="H359" s="11">
        <f t="shared" si="72"/>
        <v>1</v>
      </c>
      <c r="I359" s="18">
        <v>1</v>
      </c>
      <c r="J359" s="18">
        <v>-2.1994134897360709E-2</v>
      </c>
      <c r="K359" s="18">
        <v>1.1000000000000001</v>
      </c>
      <c r="L359" s="6">
        <v>21074128</v>
      </c>
      <c r="M359" s="7">
        <v>5671688.5</v>
      </c>
      <c r="N359" s="7">
        <v>2279375</v>
      </c>
      <c r="O359" s="7">
        <v>10335519</v>
      </c>
      <c r="P359" s="7">
        <v>14402.0693359375</v>
      </c>
      <c r="Q359" s="7">
        <v>87369.75</v>
      </c>
      <c r="R359" s="7">
        <v>2004798.625</v>
      </c>
      <c r="S359" s="7">
        <v>2288117</v>
      </c>
      <c r="T359" s="31">
        <f t="shared" si="73"/>
        <v>4375.5397944335937</v>
      </c>
      <c r="U359" s="37">
        <v>3856</v>
      </c>
      <c r="V359">
        <f t="shared" si="74"/>
        <v>1.1347354238676333</v>
      </c>
      <c r="W359">
        <f t="shared" si="84"/>
        <v>3.1407870166419459E-2</v>
      </c>
      <c r="X359" s="28">
        <v>4313.0375000000004</v>
      </c>
      <c r="Y359">
        <f t="shared" si="75"/>
        <v>0.54652821576763477</v>
      </c>
      <c r="Z359">
        <f t="shared" si="77"/>
        <v>0.14708735736514522</v>
      </c>
      <c r="AA359">
        <f t="shared" si="78"/>
        <v>5.9112422199170123E-2</v>
      </c>
      <c r="AB359">
        <f t="shared" si="79"/>
        <v>0.26803731846473028</v>
      </c>
      <c r="AC359">
        <f t="shared" si="80"/>
        <v>3.7349764875356587E-4</v>
      </c>
      <c r="AD359">
        <f t="shared" si="81"/>
        <v>2.265813018672199E-3</v>
      </c>
      <c r="AE359">
        <f t="shared" si="82"/>
        <v>5.1991665586099592E-2</v>
      </c>
      <c r="AF359">
        <f t="shared" si="83"/>
        <v>5.9339133817427385E-2</v>
      </c>
      <c r="AG359">
        <f t="shared" si="76"/>
        <v>1.134735423867633</v>
      </c>
      <c r="AH359">
        <v>0.39287379287379287</v>
      </c>
      <c r="AI359">
        <v>0.60159947772156031</v>
      </c>
      <c r="AJ359">
        <v>4.3720565149136581E-2</v>
      </c>
      <c r="AK359">
        <v>1.821844821844822E-2</v>
      </c>
      <c r="AL359">
        <v>0.42830957375969292</v>
      </c>
    </row>
    <row r="360" spans="1:38" x14ac:dyDescent="0.25">
      <c r="A360">
        <v>12</v>
      </c>
      <c r="B360" s="5" t="s">
        <v>13</v>
      </c>
      <c r="C360" s="6" t="s">
        <v>5</v>
      </c>
      <c r="D360" s="6" t="s">
        <v>53</v>
      </c>
      <c r="E360" s="28">
        <v>45045</v>
      </c>
      <c r="F360" s="11">
        <v>18</v>
      </c>
      <c r="G360" s="11">
        <v>16</v>
      </c>
      <c r="H360" s="11">
        <f t="shared" si="72"/>
        <v>2</v>
      </c>
      <c r="I360" s="18">
        <v>1</v>
      </c>
      <c r="J360" s="18">
        <v>-2.1994134897360709E-2</v>
      </c>
      <c r="K360" s="18">
        <v>1.1000000000000001</v>
      </c>
      <c r="L360" s="6">
        <v>22508774</v>
      </c>
      <c r="M360" s="7">
        <v>5650527</v>
      </c>
      <c r="N360" s="7">
        <v>2279375</v>
      </c>
      <c r="O360" s="7">
        <v>10300678</v>
      </c>
      <c r="P360" s="7">
        <v>14402.0693359375</v>
      </c>
      <c r="Q360" s="7">
        <v>57662.7734375</v>
      </c>
      <c r="R360" s="7">
        <v>1988274.5</v>
      </c>
      <c r="S360" s="7">
        <v>2262530.25</v>
      </c>
      <c r="T360" s="31">
        <f t="shared" si="73"/>
        <v>4506.2223592773435</v>
      </c>
      <c r="U360" s="37">
        <v>3761.6666666666665</v>
      </c>
      <c r="V360">
        <f t="shared" si="74"/>
        <v>1.1979323950227763</v>
      </c>
      <c r="W360">
        <f t="shared" si="84"/>
        <v>5.5693133241352763E-2</v>
      </c>
      <c r="X360" s="28">
        <v>4483.2458333333334</v>
      </c>
      <c r="Y360">
        <f t="shared" si="75"/>
        <v>0.59837237040319013</v>
      </c>
      <c r="Z360">
        <f t="shared" si="77"/>
        <v>0.1502133894550288</v>
      </c>
      <c r="AA360">
        <f t="shared" si="78"/>
        <v>6.0594816127603021E-2</v>
      </c>
      <c r="AB360">
        <f t="shared" si="79"/>
        <v>0.2738328223305273</v>
      </c>
      <c r="AC360">
        <f t="shared" si="80"/>
        <v>3.8286404969262297E-4</v>
      </c>
      <c r="AD360">
        <f t="shared" si="81"/>
        <v>1.5329049208019495E-3</v>
      </c>
      <c r="AE360">
        <f t="shared" si="82"/>
        <v>5.2856211785556044E-2</v>
      </c>
      <c r="AF360">
        <f t="shared" si="83"/>
        <v>6.0147015950376616E-2</v>
      </c>
      <c r="AG360">
        <f t="shared" si="76"/>
        <v>1.1979323950227763</v>
      </c>
      <c r="AH360">
        <v>0.39287379287379287</v>
      </c>
      <c r="AI360">
        <v>0.60159947772156031</v>
      </c>
      <c r="AJ360">
        <v>4.3720565149136581E-2</v>
      </c>
      <c r="AK360">
        <v>1.821844821844822E-2</v>
      </c>
      <c r="AL360">
        <v>0.42830957375969292</v>
      </c>
    </row>
    <row r="361" spans="1:38" x14ac:dyDescent="0.25">
      <c r="A361">
        <v>12</v>
      </c>
      <c r="B361" s="5" t="s">
        <v>13</v>
      </c>
      <c r="C361" s="6" t="s">
        <v>5</v>
      </c>
      <c r="D361" s="6" t="s">
        <v>54</v>
      </c>
      <c r="E361" s="28">
        <v>45045</v>
      </c>
      <c r="F361" s="11">
        <v>19</v>
      </c>
      <c r="G361" s="11">
        <v>16</v>
      </c>
      <c r="H361" s="11">
        <f t="shared" si="72"/>
        <v>3</v>
      </c>
      <c r="I361" s="18">
        <v>1</v>
      </c>
      <c r="J361" s="18">
        <v>-2.1994134897360709E-2</v>
      </c>
      <c r="K361" s="18">
        <v>1.1000000000000001</v>
      </c>
      <c r="L361" s="6">
        <v>25107626</v>
      </c>
      <c r="M361" s="7">
        <v>5701266.5</v>
      </c>
      <c r="N361" s="7">
        <v>2280469.25</v>
      </c>
      <c r="O361" s="7">
        <v>10396107</v>
      </c>
      <c r="P361" s="7">
        <v>14408.9833984375</v>
      </c>
      <c r="Q361" s="7">
        <v>27151.638671875</v>
      </c>
      <c r="R361" s="7">
        <v>1987542</v>
      </c>
      <c r="S361" s="7">
        <v>2189972</v>
      </c>
      <c r="T361" s="31">
        <f t="shared" si="73"/>
        <v>4770.4543372070311</v>
      </c>
      <c r="U361" s="37">
        <v>3667.333333333333</v>
      </c>
      <c r="V361">
        <f t="shared" si="74"/>
        <v>1.3007964926032625</v>
      </c>
      <c r="W361">
        <f t="shared" si="84"/>
        <v>8.5868032292866117E-2</v>
      </c>
      <c r="X361" s="28">
        <v>4653.4541666666664</v>
      </c>
      <c r="Y361">
        <f t="shared" si="75"/>
        <v>0.6846289583712053</v>
      </c>
      <c r="Z361">
        <f t="shared" si="77"/>
        <v>0.15546082075986184</v>
      </c>
      <c r="AA361">
        <f t="shared" si="78"/>
        <v>6.2183309852754054E-2</v>
      </c>
      <c r="AB361">
        <f t="shared" si="79"/>
        <v>0.28347864933648431</v>
      </c>
      <c r="AC361">
        <f t="shared" si="80"/>
        <v>3.9290083798684334E-4</v>
      </c>
      <c r="AD361">
        <f t="shared" si="81"/>
        <v>7.4036462475572629E-4</v>
      </c>
      <c r="AE361">
        <f t="shared" si="82"/>
        <v>5.4195837120523546E-2</v>
      </c>
      <c r="AF361">
        <f t="shared" si="83"/>
        <v>5.9715651699690966E-2</v>
      </c>
      <c r="AG361">
        <f t="shared" si="76"/>
        <v>1.3007964926032625</v>
      </c>
      <c r="AH361">
        <v>0.39287379287379287</v>
      </c>
      <c r="AI361">
        <v>0.60159947772156031</v>
      </c>
      <c r="AJ361">
        <v>4.3720565149136581E-2</v>
      </c>
      <c r="AK361">
        <v>1.821844821844822E-2</v>
      </c>
      <c r="AL361">
        <v>0.42830957375969292</v>
      </c>
    </row>
    <row r="362" spans="1:38" x14ac:dyDescent="0.25">
      <c r="A362">
        <v>12</v>
      </c>
      <c r="B362" s="5" t="s">
        <v>13</v>
      </c>
      <c r="C362" s="6" t="s">
        <v>5</v>
      </c>
      <c r="D362" s="6" t="s">
        <v>55</v>
      </c>
      <c r="E362" s="25">
        <v>47050.6</v>
      </c>
      <c r="F362" s="11">
        <v>20</v>
      </c>
      <c r="G362" s="11">
        <v>16</v>
      </c>
      <c r="H362" s="18">
        <f t="shared" si="72"/>
        <v>4</v>
      </c>
      <c r="I362" s="18">
        <v>1</v>
      </c>
      <c r="J362" s="18">
        <v>-2.1994134897360709E-2</v>
      </c>
      <c r="K362" s="18">
        <v>1.1000000000000001</v>
      </c>
      <c r="L362" s="14">
        <v>1986056.5</v>
      </c>
      <c r="M362" s="16">
        <v>5492366</v>
      </c>
      <c r="N362" s="16">
        <v>4913697</v>
      </c>
      <c r="O362" s="16">
        <v>21196574</v>
      </c>
      <c r="P362" s="16">
        <v>14869.6103515625</v>
      </c>
      <c r="Q362" s="16">
        <v>17683.5390625</v>
      </c>
      <c r="R362" s="16">
        <v>9680295</v>
      </c>
      <c r="S362" s="16">
        <v>2694618.25</v>
      </c>
      <c r="T362" s="31">
        <f t="shared" si="73"/>
        <v>4599.615989941406</v>
      </c>
      <c r="U362" s="37">
        <v>3604.9999999999995</v>
      </c>
      <c r="V362">
        <f t="shared" si="74"/>
        <v>1.275899026336035</v>
      </c>
      <c r="W362">
        <f t="shared" si="84"/>
        <v>-1.9140170202489211E-2</v>
      </c>
      <c r="X362" s="25">
        <v>2801.2208333333328</v>
      </c>
      <c r="Y362">
        <f t="shared" si="75"/>
        <v>5.5091719833564499E-2</v>
      </c>
      <c r="Z362">
        <f t="shared" si="77"/>
        <v>0.15235411927877948</v>
      </c>
      <c r="AA362">
        <f t="shared" si="78"/>
        <v>0.1363022746185853</v>
      </c>
      <c r="AB362">
        <f t="shared" si="79"/>
        <v>0.58797708737864085</v>
      </c>
      <c r="AC362">
        <f t="shared" si="80"/>
        <v>4.1247185441227463E-4</v>
      </c>
      <c r="AD362">
        <f t="shared" si="81"/>
        <v>4.9052812933425799E-4</v>
      </c>
      <c r="AE362">
        <f t="shared" si="82"/>
        <v>0.26852413314840501</v>
      </c>
      <c r="AF362">
        <f t="shared" si="83"/>
        <v>7.4746692094313463E-2</v>
      </c>
      <c r="AG362">
        <f t="shared" si="76"/>
        <v>1.275899026336035</v>
      </c>
      <c r="AH362">
        <v>0.39818620803985499</v>
      </c>
      <c r="AI362">
        <v>0.61509557261885317</v>
      </c>
      <c r="AJ362">
        <v>4.3677750820607965E-2</v>
      </c>
      <c r="AK362">
        <v>1.9701442702112194E-2</v>
      </c>
      <c r="AL362">
        <v>0.45573298995669614</v>
      </c>
    </row>
    <row r="363" spans="1:38" x14ac:dyDescent="0.25">
      <c r="A363">
        <v>12</v>
      </c>
      <c r="B363" s="5" t="s">
        <v>13</v>
      </c>
      <c r="C363" s="6" t="s">
        <v>5</v>
      </c>
      <c r="D363" s="6" t="s">
        <v>56</v>
      </c>
      <c r="E363" s="25">
        <v>47050.6</v>
      </c>
      <c r="F363" s="11">
        <v>21</v>
      </c>
      <c r="G363" s="11">
        <v>16</v>
      </c>
      <c r="H363" s="11">
        <f t="shared" si="72"/>
        <v>5</v>
      </c>
      <c r="I363" s="18">
        <v>1</v>
      </c>
      <c r="J363" s="18">
        <v>-2.1994134897360709E-2</v>
      </c>
      <c r="K363" s="18">
        <v>1.1000000000000001</v>
      </c>
      <c r="L363" s="6">
        <v>1919914.75</v>
      </c>
      <c r="M363" s="7">
        <v>5383635.5</v>
      </c>
      <c r="N363" s="7">
        <v>4274399.5</v>
      </c>
      <c r="O363" s="7">
        <v>21091540</v>
      </c>
      <c r="P363" s="7">
        <v>14869.6103515625</v>
      </c>
      <c r="Q363" s="7">
        <v>24980.564453125</v>
      </c>
      <c r="R363" s="7">
        <v>9482973</v>
      </c>
      <c r="S363" s="7">
        <v>2726002</v>
      </c>
      <c r="T363" s="31">
        <f t="shared" si="73"/>
        <v>4491.831492480469</v>
      </c>
      <c r="U363" s="37">
        <v>3739.6666666666665</v>
      </c>
      <c r="V363">
        <f t="shared" si="74"/>
        <v>1.2011315159498537</v>
      </c>
      <c r="W363">
        <f t="shared" si="84"/>
        <v>-5.8599864756452708E-2</v>
      </c>
      <c r="X363" s="25">
        <v>3004.7958333333327</v>
      </c>
      <c r="Y363">
        <f t="shared" si="75"/>
        <v>5.1339194669756658E-2</v>
      </c>
      <c r="Z363">
        <f t="shared" si="77"/>
        <v>0.14396030394865852</v>
      </c>
      <c r="AA363">
        <f t="shared" si="78"/>
        <v>0.11429894375612801</v>
      </c>
      <c r="AB363">
        <f t="shared" si="79"/>
        <v>0.56399518673678584</v>
      </c>
      <c r="AC363">
        <f t="shared" si="80"/>
        <v>3.9761860285843215E-4</v>
      </c>
      <c r="AD363">
        <f t="shared" si="81"/>
        <v>6.6798906639963451E-4</v>
      </c>
      <c r="AE363">
        <f t="shared" si="82"/>
        <v>0.25357802834477228</v>
      </c>
      <c r="AF363">
        <f t="shared" si="83"/>
        <v>7.2894250824494161E-2</v>
      </c>
      <c r="AG363">
        <f t="shared" si="76"/>
        <v>1.2011315159498535</v>
      </c>
      <c r="AH363">
        <v>0.39818620803985499</v>
      </c>
      <c r="AI363">
        <v>0.61509557261885317</v>
      </c>
      <c r="AJ363">
        <v>4.3677750820607965E-2</v>
      </c>
      <c r="AK363">
        <v>1.9701442702112194E-2</v>
      </c>
      <c r="AL363">
        <v>0.45573298995669614</v>
      </c>
    </row>
    <row r="364" spans="1:38" x14ac:dyDescent="0.25">
      <c r="A364">
        <v>12</v>
      </c>
      <c r="B364" s="5" t="s">
        <v>13</v>
      </c>
      <c r="C364" s="6" t="s">
        <v>5</v>
      </c>
      <c r="D364" s="6" t="s">
        <v>57</v>
      </c>
      <c r="E364" s="25">
        <v>47050.6</v>
      </c>
      <c r="F364" s="11">
        <v>22</v>
      </c>
      <c r="G364" s="11">
        <v>16</v>
      </c>
      <c r="H364" s="11">
        <f t="shared" si="72"/>
        <v>6</v>
      </c>
      <c r="I364" s="18">
        <v>1</v>
      </c>
      <c r="J364" s="18">
        <v>-2.1994134897360709E-2</v>
      </c>
      <c r="K364" s="18">
        <v>1.1000000000000001</v>
      </c>
      <c r="L364" s="6">
        <v>1897621</v>
      </c>
      <c r="M364" s="7">
        <v>5588696</v>
      </c>
      <c r="N364" s="7">
        <v>2771216.25</v>
      </c>
      <c r="O364" s="7">
        <v>23992692</v>
      </c>
      <c r="P364" s="7">
        <v>14869.6103515625</v>
      </c>
      <c r="Q364" s="7">
        <v>71335.4375</v>
      </c>
      <c r="R364" s="7">
        <v>9847324</v>
      </c>
      <c r="S364" s="7">
        <v>2776276</v>
      </c>
      <c r="T364" s="31">
        <f t="shared" si="73"/>
        <v>4696.0030297851563</v>
      </c>
      <c r="U364" s="37">
        <v>3874.3333333333335</v>
      </c>
      <c r="V364">
        <f t="shared" si="74"/>
        <v>1.2120802795625456</v>
      </c>
      <c r="W364">
        <f t="shared" si="84"/>
        <v>9.1153745175303752E-3</v>
      </c>
      <c r="X364" s="25">
        <v>3208.3708333333329</v>
      </c>
      <c r="Y364">
        <f t="shared" si="75"/>
        <v>4.8979291060827664E-2</v>
      </c>
      <c r="Z364">
        <f t="shared" si="77"/>
        <v>0.14424922997504946</v>
      </c>
      <c r="AA364">
        <f t="shared" si="78"/>
        <v>7.1527563881958175E-2</v>
      </c>
      <c r="AB364">
        <f t="shared" si="79"/>
        <v>0.61927278671599417</v>
      </c>
      <c r="AC364">
        <f t="shared" si="80"/>
        <v>3.8379790978824313E-4</v>
      </c>
      <c r="AD364">
        <f t="shared" si="81"/>
        <v>1.8412312871031575E-3</v>
      </c>
      <c r="AE364">
        <f t="shared" si="82"/>
        <v>0.25416821818807533</v>
      </c>
      <c r="AF364">
        <f t="shared" si="83"/>
        <v>7.1658160543749461E-2</v>
      </c>
      <c r="AG364">
        <f t="shared" si="76"/>
        <v>1.2120802795625456</v>
      </c>
      <c r="AH364">
        <v>0.39818620803985499</v>
      </c>
      <c r="AI364">
        <v>0.61509557261885317</v>
      </c>
      <c r="AJ364">
        <v>4.3677750820607965E-2</v>
      </c>
      <c r="AK364">
        <v>1.9701442702112194E-2</v>
      </c>
      <c r="AL364">
        <v>0.45573298995669614</v>
      </c>
    </row>
    <row r="365" spans="1:38" x14ac:dyDescent="0.25">
      <c r="A365">
        <v>12</v>
      </c>
      <c r="B365" s="5" t="s">
        <v>13</v>
      </c>
      <c r="C365" s="6" t="s">
        <v>5</v>
      </c>
      <c r="D365" s="6" t="s">
        <v>58</v>
      </c>
      <c r="E365" s="25">
        <v>47050.6</v>
      </c>
      <c r="F365" s="11">
        <v>23</v>
      </c>
      <c r="G365" s="11">
        <v>16</v>
      </c>
      <c r="H365" s="11">
        <f t="shared" si="72"/>
        <v>7</v>
      </c>
      <c r="I365" s="18">
        <v>1</v>
      </c>
      <c r="J365" s="18">
        <v>-2.1994134897360709E-2</v>
      </c>
      <c r="K365" s="18">
        <v>1.1000000000000001</v>
      </c>
      <c r="L365" s="6">
        <v>1982943</v>
      </c>
      <c r="M365" s="7">
        <v>5678860</v>
      </c>
      <c r="N365" s="7">
        <v>1808934.375</v>
      </c>
      <c r="O365" s="7">
        <v>21701862</v>
      </c>
      <c r="P365" s="7">
        <v>14869.6103515625</v>
      </c>
      <c r="Q365" s="7">
        <v>98326.234375</v>
      </c>
      <c r="R365" s="7">
        <v>10007577</v>
      </c>
      <c r="S365" s="7">
        <v>2859525</v>
      </c>
      <c r="T365" s="31">
        <f t="shared" si="73"/>
        <v>4415.2897219726565</v>
      </c>
      <c r="U365" s="37">
        <v>4009</v>
      </c>
      <c r="V365">
        <f t="shared" si="74"/>
        <v>1.1013444055806076</v>
      </c>
      <c r="W365">
        <f t="shared" si="84"/>
        <v>-9.1360181210029978E-2</v>
      </c>
      <c r="X365" s="25">
        <v>3411.9458333333332</v>
      </c>
      <c r="Y365">
        <f t="shared" si="75"/>
        <v>4.9462284859067097E-2</v>
      </c>
      <c r="Z365">
        <f t="shared" si="77"/>
        <v>0.14165278124220504</v>
      </c>
      <c r="AA365">
        <f t="shared" si="78"/>
        <v>4.5121835245697177E-2</v>
      </c>
      <c r="AB365">
        <f t="shared" si="79"/>
        <v>0.54132856073833868</v>
      </c>
      <c r="AC365">
        <f t="shared" si="80"/>
        <v>3.7090572091699926E-4</v>
      </c>
      <c r="AD365">
        <f t="shared" si="81"/>
        <v>2.4526374251683711E-3</v>
      </c>
      <c r="AE365">
        <f t="shared" si="82"/>
        <v>0.24962776253429783</v>
      </c>
      <c r="AF365">
        <f t="shared" si="83"/>
        <v>7.1327637814916439E-2</v>
      </c>
      <c r="AG365">
        <f t="shared" si="76"/>
        <v>1.1013444055806074</v>
      </c>
      <c r="AH365">
        <v>0.39818620803985499</v>
      </c>
      <c r="AI365">
        <v>0.61509557261885317</v>
      </c>
      <c r="AJ365">
        <v>4.3677750820607965E-2</v>
      </c>
      <c r="AK365">
        <v>1.9701442702112194E-2</v>
      </c>
      <c r="AL365">
        <v>0.45573298995669614</v>
      </c>
    </row>
    <row r="366" spans="1:38" x14ac:dyDescent="0.25">
      <c r="A366">
        <v>12</v>
      </c>
      <c r="B366" s="5" t="s">
        <v>13</v>
      </c>
      <c r="C366" s="6" t="s">
        <v>5</v>
      </c>
      <c r="D366" s="6" t="s">
        <v>59</v>
      </c>
      <c r="E366" s="25">
        <v>47050.6</v>
      </c>
      <c r="F366" s="11">
        <v>24</v>
      </c>
      <c r="G366" s="11">
        <v>16</v>
      </c>
      <c r="H366" s="11">
        <f t="shared" si="72"/>
        <v>8</v>
      </c>
      <c r="I366" s="18">
        <v>1</v>
      </c>
      <c r="J366" s="18">
        <v>-2.1994134897360709E-2</v>
      </c>
      <c r="K366" s="18">
        <v>1.1000000000000001</v>
      </c>
      <c r="L366" s="6">
        <v>1962560.625</v>
      </c>
      <c r="M366" s="7">
        <v>5618548</v>
      </c>
      <c r="N366" s="7">
        <v>1155739</v>
      </c>
      <c r="O366" s="7">
        <v>21559926</v>
      </c>
      <c r="P366" s="7">
        <v>14869.6103515625</v>
      </c>
      <c r="Q366" s="7">
        <v>64724.2578125</v>
      </c>
      <c r="R366" s="7">
        <v>9903797</v>
      </c>
      <c r="S366" s="7">
        <v>2841030</v>
      </c>
      <c r="T366" s="31">
        <f t="shared" si="73"/>
        <v>4312.1194493164066</v>
      </c>
      <c r="U366" s="37">
        <v>4143.666666666667</v>
      </c>
      <c r="V366">
        <f t="shared" si="74"/>
        <v>1.0406530727977812</v>
      </c>
      <c r="W366">
        <f t="shared" si="84"/>
        <v>-5.5106588343571919E-2</v>
      </c>
      <c r="X366" s="25">
        <v>3615.520833333333</v>
      </c>
      <c r="Y366">
        <f t="shared" si="75"/>
        <v>4.7362898198053248E-2</v>
      </c>
      <c r="Z366">
        <f t="shared" si="77"/>
        <v>0.13559362883114792</v>
      </c>
      <c r="AA366">
        <f t="shared" si="78"/>
        <v>2.7891698173920038E-2</v>
      </c>
      <c r="AB366">
        <f t="shared" si="79"/>
        <v>0.52031033706057428</v>
      </c>
      <c r="AC366">
        <f t="shared" si="80"/>
        <v>3.5885150876588769E-4</v>
      </c>
      <c r="AD366">
        <f t="shared" si="81"/>
        <v>1.5620044520754566E-3</v>
      </c>
      <c r="AE366">
        <f t="shared" si="82"/>
        <v>0.23901046577105622</v>
      </c>
      <c r="AF366">
        <f t="shared" si="83"/>
        <v>6.8563188802188077E-2</v>
      </c>
      <c r="AG366">
        <f t="shared" si="76"/>
        <v>1.0406530727977812</v>
      </c>
      <c r="AH366">
        <v>0.39818620803985499</v>
      </c>
      <c r="AI366">
        <v>0.61509557261885317</v>
      </c>
      <c r="AJ366">
        <v>4.3677750820607965E-2</v>
      </c>
      <c r="AK366">
        <v>1.9701442702112194E-2</v>
      </c>
      <c r="AL366">
        <v>0.45573298995669614</v>
      </c>
    </row>
    <row r="367" spans="1:38" x14ac:dyDescent="0.25">
      <c r="A367">
        <v>12</v>
      </c>
      <c r="B367" s="5" t="s">
        <v>13</v>
      </c>
      <c r="C367" s="6" t="s">
        <v>5</v>
      </c>
      <c r="D367" s="6" t="s">
        <v>60</v>
      </c>
      <c r="E367" s="25">
        <v>47050.6</v>
      </c>
      <c r="F367" s="11">
        <v>25</v>
      </c>
      <c r="G367" s="11">
        <v>16</v>
      </c>
      <c r="H367" s="11">
        <f t="shared" si="72"/>
        <v>9</v>
      </c>
      <c r="I367" s="18">
        <v>1</v>
      </c>
      <c r="J367" s="18">
        <v>-2.1994134897360709E-2</v>
      </c>
      <c r="K367" s="18">
        <v>1.1000000000000001</v>
      </c>
      <c r="L367" s="6">
        <v>1957500.625</v>
      </c>
      <c r="M367" s="7">
        <v>5648829</v>
      </c>
      <c r="N367" s="7">
        <v>642911.0625</v>
      </c>
      <c r="O367" s="7">
        <v>22584696</v>
      </c>
      <c r="P367" s="7">
        <v>14869.6103515625</v>
      </c>
      <c r="Q367" s="7">
        <v>31190.7109375</v>
      </c>
      <c r="R367" s="7">
        <v>9958398</v>
      </c>
      <c r="S367" s="7">
        <v>2769220</v>
      </c>
      <c r="T367" s="31">
        <f t="shared" si="73"/>
        <v>4360.7615008789062</v>
      </c>
      <c r="U367" s="37">
        <v>4192.2222222222226</v>
      </c>
      <c r="V367">
        <f t="shared" si="74"/>
        <v>1.0402028494012763</v>
      </c>
      <c r="W367">
        <f t="shared" si="84"/>
        <v>-4.3263543660568125E-4</v>
      </c>
      <c r="X367" s="25">
        <v>3819.0958333333333</v>
      </c>
      <c r="Y367">
        <f t="shared" si="75"/>
        <v>4.6693627418499861E-2</v>
      </c>
      <c r="Z367">
        <f t="shared" si="77"/>
        <v>0.13474545719586536</v>
      </c>
      <c r="AA367">
        <f t="shared" si="78"/>
        <v>1.5335805890538031E-2</v>
      </c>
      <c r="AB367">
        <f t="shared" si="79"/>
        <v>0.53872850251789028</v>
      </c>
      <c r="AC367">
        <f t="shared" si="80"/>
        <v>3.5469518463838453E-4</v>
      </c>
      <c r="AD367">
        <f t="shared" si="81"/>
        <v>7.4401377799496421E-4</v>
      </c>
      <c r="AE367">
        <f t="shared" si="82"/>
        <v>0.23754461171481575</v>
      </c>
      <c r="AF367">
        <f t="shared" si="83"/>
        <v>6.605613570103365E-2</v>
      </c>
      <c r="AG367">
        <f t="shared" si="76"/>
        <v>1.0402028494012763</v>
      </c>
      <c r="AH367">
        <v>0.39818620803985499</v>
      </c>
      <c r="AI367">
        <v>0.61509557261885317</v>
      </c>
      <c r="AJ367">
        <v>4.3677750820607965E-2</v>
      </c>
      <c r="AK367">
        <v>1.9701442702112194E-2</v>
      </c>
      <c r="AL367">
        <v>0.45573298995669614</v>
      </c>
    </row>
    <row r="368" spans="1:38" x14ac:dyDescent="0.25">
      <c r="A368">
        <v>12</v>
      </c>
      <c r="B368" s="5" t="s">
        <v>13</v>
      </c>
      <c r="C368" s="6" t="s">
        <v>5</v>
      </c>
      <c r="D368" s="6" t="s">
        <v>61</v>
      </c>
      <c r="E368" s="25">
        <v>47050.6</v>
      </c>
      <c r="F368" s="11">
        <v>26</v>
      </c>
      <c r="G368" s="11">
        <v>16</v>
      </c>
      <c r="H368" s="11">
        <f t="shared" si="72"/>
        <v>10</v>
      </c>
      <c r="I368" s="18">
        <v>1</v>
      </c>
      <c r="J368" s="18">
        <v>-2.1994134897360709E-2</v>
      </c>
      <c r="K368" s="18">
        <v>1.1000000000000001</v>
      </c>
      <c r="L368" s="6">
        <v>1976561.375</v>
      </c>
      <c r="M368" s="7">
        <v>5424896.5</v>
      </c>
      <c r="N368" s="7">
        <v>478639.375</v>
      </c>
      <c r="O368" s="7">
        <v>25403524</v>
      </c>
      <c r="P368" s="7">
        <v>14869.6103515625</v>
      </c>
      <c r="Q368" s="7">
        <v>18371.37109375</v>
      </c>
      <c r="R368" s="7">
        <v>9559394</v>
      </c>
      <c r="S368" s="7">
        <v>2721772.5</v>
      </c>
      <c r="T368" s="31">
        <f t="shared" si="73"/>
        <v>4559.8028731445311</v>
      </c>
      <c r="U368" s="37">
        <v>4240.7777777777774</v>
      </c>
      <c r="V368">
        <f t="shared" si="74"/>
        <v>1.0752279680954957</v>
      </c>
      <c r="W368">
        <f t="shared" si="84"/>
        <v>3.3671431215920346E-2</v>
      </c>
      <c r="X368" s="25">
        <v>4022.6708333333336</v>
      </c>
      <c r="Y368">
        <f t="shared" si="75"/>
        <v>4.6608463790709251E-2</v>
      </c>
      <c r="Z368">
        <f t="shared" si="77"/>
        <v>0.12792220635627638</v>
      </c>
      <c r="AA368">
        <f t="shared" si="78"/>
        <v>1.1286594112715174E-2</v>
      </c>
      <c r="AB368">
        <f t="shared" si="79"/>
        <v>0.59902983205386851</v>
      </c>
      <c r="AC368">
        <f t="shared" si="80"/>
        <v>3.5063403768717088E-4</v>
      </c>
      <c r="AD368">
        <f t="shared" si="81"/>
        <v>4.3320758729727257E-4</v>
      </c>
      <c r="AE368">
        <f t="shared" si="82"/>
        <v>0.22541605575497159</v>
      </c>
      <c r="AF368">
        <f t="shared" si="83"/>
        <v>6.4180974401970292E-2</v>
      </c>
      <c r="AG368">
        <f t="shared" si="76"/>
        <v>1.0752279680954957</v>
      </c>
      <c r="AH368">
        <v>0.39818620803985499</v>
      </c>
      <c r="AI368">
        <v>0.61509557261885317</v>
      </c>
      <c r="AJ368">
        <v>4.3677750820607965E-2</v>
      </c>
      <c r="AK368">
        <v>1.9701442702112194E-2</v>
      </c>
      <c r="AL368">
        <v>0.45573298995669614</v>
      </c>
    </row>
    <row r="369" spans="1:38" x14ac:dyDescent="0.25">
      <c r="A369">
        <v>12</v>
      </c>
      <c r="B369" s="5" t="s">
        <v>13</v>
      </c>
      <c r="C369" s="6" t="s">
        <v>5</v>
      </c>
      <c r="D369" s="6" t="s">
        <v>62</v>
      </c>
      <c r="E369" s="25">
        <v>47050.6</v>
      </c>
      <c r="F369" s="11">
        <v>27</v>
      </c>
      <c r="G369" s="11">
        <v>16</v>
      </c>
      <c r="H369" s="11">
        <f t="shared" si="72"/>
        <v>11</v>
      </c>
      <c r="I369" s="18">
        <v>1</v>
      </c>
      <c r="J369" s="18">
        <v>-2.1994134897360709E-2</v>
      </c>
      <c r="K369" s="18">
        <v>1.1000000000000001</v>
      </c>
      <c r="L369" s="6">
        <v>1911842.125</v>
      </c>
      <c r="M369" s="7">
        <v>5270843</v>
      </c>
      <c r="N369" s="7">
        <v>532006.8125</v>
      </c>
      <c r="O369" s="7">
        <v>27032940</v>
      </c>
      <c r="P369" s="7">
        <v>14869.6103515625</v>
      </c>
      <c r="Q369" s="7">
        <v>25789.056640625</v>
      </c>
      <c r="R369" s="7">
        <v>9287163</v>
      </c>
      <c r="S369" s="7">
        <v>2745638.5</v>
      </c>
      <c r="T369" s="31">
        <f t="shared" si="73"/>
        <v>4682.1092104492191</v>
      </c>
      <c r="U369" s="37">
        <v>4289.333333333333</v>
      </c>
      <c r="V369">
        <f t="shared" si="74"/>
        <v>1.0915703785629203</v>
      </c>
      <c r="W369">
        <f t="shared" si="84"/>
        <v>1.5199019140444393E-2</v>
      </c>
      <c r="X369" s="25">
        <v>4226.2458333333334</v>
      </c>
      <c r="Y369">
        <f t="shared" si="75"/>
        <v>4.4572010996269819E-2</v>
      </c>
      <c r="Z369">
        <f t="shared" si="77"/>
        <v>0.12288256916381722</v>
      </c>
      <c r="AA369">
        <f t="shared" si="78"/>
        <v>1.2403018631488965E-2</v>
      </c>
      <c r="AB369">
        <f t="shared" si="79"/>
        <v>0.63023640037301842</v>
      </c>
      <c r="AC369">
        <f t="shared" si="80"/>
        <v>3.4666483567522151E-4</v>
      </c>
      <c r="AD369">
        <f t="shared" si="81"/>
        <v>6.0123694375097147E-4</v>
      </c>
      <c r="AE369">
        <f t="shared" si="82"/>
        <v>0.21651763288778367</v>
      </c>
      <c r="AF369">
        <f t="shared" si="83"/>
        <v>6.4010844731115943E-2</v>
      </c>
      <c r="AG369">
        <f t="shared" si="76"/>
        <v>1.0915703785629203</v>
      </c>
      <c r="AH369">
        <v>0.39818620803985499</v>
      </c>
      <c r="AI369">
        <v>0.61509557261885317</v>
      </c>
      <c r="AJ369">
        <v>4.3677750820607965E-2</v>
      </c>
      <c r="AK369">
        <v>1.9701442702112194E-2</v>
      </c>
      <c r="AL369">
        <v>0.45573298995669614</v>
      </c>
    </row>
    <row r="370" spans="1:38" x14ac:dyDescent="0.25">
      <c r="A370">
        <v>12</v>
      </c>
      <c r="B370" s="5" t="s">
        <v>13</v>
      </c>
      <c r="C370" s="6" t="s">
        <v>5</v>
      </c>
      <c r="D370" s="6" t="s">
        <v>63</v>
      </c>
      <c r="E370" s="25">
        <v>47050.6</v>
      </c>
      <c r="F370" s="11">
        <v>28</v>
      </c>
      <c r="G370" s="11">
        <v>16</v>
      </c>
      <c r="H370" s="11">
        <f t="shared" si="72"/>
        <v>12</v>
      </c>
      <c r="I370" s="18">
        <v>1</v>
      </c>
      <c r="J370" s="18">
        <v>-2.1994134897360709E-2</v>
      </c>
      <c r="K370" s="18">
        <v>1.1000000000000001</v>
      </c>
      <c r="L370" s="6">
        <v>1892915.5</v>
      </c>
      <c r="M370" s="7">
        <v>5500209</v>
      </c>
      <c r="N370" s="7">
        <v>955055.0625</v>
      </c>
      <c r="O370" s="7">
        <v>23600952</v>
      </c>
      <c r="P370" s="7">
        <v>14869.6103515625</v>
      </c>
      <c r="Q370" s="7">
        <v>72118.09375</v>
      </c>
      <c r="R370" s="7">
        <v>9694018</v>
      </c>
      <c r="S370" s="7">
        <v>2786702</v>
      </c>
      <c r="T370" s="31">
        <f t="shared" si="73"/>
        <v>4451.6839266601564</v>
      </c>
      <c r="U370" s="37">
        <v>4160.5555555555557</v>
      </c>
      <c r="V370">
        <f t="shared" si="74"/>
        <v>1.0699734367723703</v>
      </c>
      <c r="W370">
        <f t="shared" si="84"/>
        <v>-1.9785203239925633E-2</v>
      </c>
      <c r="X370" s="25">
        <v>4429.8208333333332</v>
      </c>
      <c r="Y370">
        <f t="shared" si="75"/>
        <v>4.5496700494057948E-2</v>
      </c>
      <c r="Z370">
        <f t="shared" si="77"/>
        <v>0.1321989077313393</v>
      </c>
      <c r="AA370">
        <f t="shared" si="78"/>
        <v>2.2954988816931497E-2</v>
      </c>
      <c r="AB370">
        <f t="shared" si="79"/>
        <v>0.56725482173854991</v>
      </c>
      <c r="AC370">
        <f t="shared" si="80"/>
        <v>3.5739482751785949E-4</v>
      </c>
      <c r="AD370">
        <f t="shared" si="81"/>
        <v>1.7333765355855252E-3</v>
      </c>
      <c r="AE370">
        <f t="shared" si="82"/>
        <v>0.23299816263853648</v>
      </c>
      <c r="AF370">
        <f t="shared" si="83"/>
        <v>6.6979083989851779E-2</v>
      </c>
      <c r="AG370">
        <f t="shared" si="76"/>
        <v>1.0699734367723703</v>
      </c>
      <c r="AH370">
        <v>0.39818620803985499</v>
      </c>
      <c r="AI370">
        <v>0.61509557261885317</v>
      </c>
      <c r="AJ370">
        <v>4.3677750820607965E-2</v>
      </c>
      <c r="AK370">
        <v>1.9701442702112194E-2</v>
      </c>
      <c r="AL370">
        <v>0.45573298995669614</v>
      </c>
    </row>
    <row r="371" spans="1:38" x14ac:dyDescent="0.25">
      <c r="A371">
        <v>12</v>
      </c>
      <c r="B371" s="5" t="s">
        <v>13</v>
      </c>
      <c r="C371" s="6" t="s">
        <v>5</v>
      </c>
      <c r="D371" s="6" t="s">
        <v>64</v>
      </c>
      <c r="E371" s="25">
        <v>47050.6</v>
      </c>
      <c r="F371" s="11">
        <v>29</v>
      </c>
      <c r="G371" s="11">
        <v>16</v>
      </c>
      <c r="H371" s="11">
        <f t="shared" si="72"/>
        <v>13</v>
      </c>
      <c r="I371" s="18">
        <v>1</v>
      </c>
      <c r="J371" s="18">
        <v>-2.1994134897360709E-2</v>
      </c>
      <c r="K371" s="18">
        <v>1.1000000000000001</v>
      </c>
      <c r="L371" s="6">
        <v>1981810.375</v>
      </c>
      <c r="M371" s="7">
        <v>5658917.5</v>
      </c>
      <c r="N371" s="7">
        <v>2175001.75</v>
      </c>
      <c r="O371" s="7">
        <v>23226244</v>
      </c>
      <c r="P371" s="7">
        <v>14869.6103515625</v>
      </c>
      <c r="Q371" s="7">
        <v>99468.859375</v>
      </c>
      <c r="R371" s="7">
        <v>9972772</v>
      </c>
      <c r="S371" s="7">
        <v>2869705.5</v>
      </c>
      <c r="T371" s="31">
        <f t="shared" si="73"/>
        <v>4599.8789594726559</v>
      </c>
      <c r="U371" s="37">
        <v>4031.7777777777774</v>
      </c>
      <c r="V371">
        <f t="shared" si="74"/>
        <v>1.1409058765158437</v>
      </c>
      <c r="W371">
        <f t="shared" si="84"/>
        <v>6.6293645529598141E-2</v>
      </c>
      <c r="X371" s="25">
        <v>4633.3958333333339</v>
      </c>
      <c r="Y371">
        <f t="shared" si="75"/>
        <v>4.9154752177148216E-2</v>
      </c>
      <c r="Z371">
        <f t="shared" si="77"/>
        <v>0.14035787218210882</v>
      </c>
      <c r="AA371">
        <f t="shared" si="78"/>
        <v>5.3946469023865962E-2</v>
      </c>
      <c r="AB371">
        <f t="shared" si="79"/>
        <v>0.57607946866560111</v>
      </c>
      <c r="AC371">
        <f t="shared" si="80"/>
        <v>3.6881026611933671E-4</v>
      </c>
      <c r="AD371">
        <f t="shared" si="81"/>
        <v>2.4671215740919364E-3</v>
      </c>
      <c r="AE371">
        <f t="shared" si="82"/>
        <v>0.24735420823458085</v>
      </c>
      <c r="AF371">
        <f t="shared" si="83"/>
        <v>7.1177174392327625E-2</v>
      </c>
      <c r="AG371">
        <f t="shared" si="76"/>
        <v>1.140905876515844</v>
      </c>
      <c r="AH371">
        <v>0.39818620803985499</v>
      </c>
      <c r="AI371">
        <v>0.61509557261885317</v>
      </c>
      <c r="AJ371">
        <v>4.3677750820607965E-2</v>
      </c>
      <c r="AK371">
        <v>1.9701442702112194E-2</v>
      </c>
      <c r="AL371">
        <v>0.45573298995669614</v>
      </c>
    </row>
    <row r="372" spans="1:38" x14ac:dyDescent="0.25">
      <c r="A372">
        <v>12</v>
      </c>
      <c r="B372" s="5" t="s">
        <v>13</v>
      </c>
      <c r="C372" s="6" t="s">
        <v>5</v>
      </c>
      <c r="D372" s="6" t="s">
        <v>65</v>
      </c>
      <c r="E372" s="25">
        <v>47050.6</v>
      </c>
      <c r="F372" s="11">
        <v>30</v>
      </c>
      <c r="G372" s="11">
        <v>16</v>
      </c>
      <c r="H372" s="11">
        <f t="shared" si="72"/>
        <v>14</v>
      </c>
      <c r="I372" s="18">
        <v>1</v>
      </c>
      <c r="J372" s="18">
        <v>-2.1994134897360709E-2</v>
      </c>
      <c r="K372" s="18">
        <v>1.1000000000000001</v>
      </c>
      <c r="L372" s="6">
        <v>1966249.375</v>
      </c>
      <c r="M372" s="7">
        <v>5637631</v>
      </c>
      <c r="N372" s="7">
        <v>3213443.5</v>
      </c>
      <c r="O372" s="7">
        <v>24807398</v>
      </c>
      <c r="P372" s="7">
        <v>14869.6103515625</v>
      </c>
      <c r="Q372" s="7">
        <v>65646.6015625</v>
      </c>
      <c r="R372" s="7">
        <v>9939208</v>
      </c>
      <c r="S372" s="7">
        <v>2838849.5</v>
      </c>
      <c r="T372" s="31">
        <f t="shared" si="73"/>
        <v>4848.3295586914064</v>
      </c>
      <c r="U372" s="37">
        <v>3903</v>
      </c>
      <c r="V372">
        <f t="shared" si="74"/>
        <v>1.2422058823190896</v>
      </c>
      <c r="W372">
        <f t="shared" si="84"/>
        <v>8.8789099862120899E-2</v>
      </c>
      <c r="X372" s="25">
        <v>4836.9708333333347</v>
      </c>
      <c r="Y372">
        <f t="shared" si="75"/>
        <v>5.0377898411478349E-2</v>
      </c>
      <c r="Z372">
        <f t="shared" si="77"/>
        <v>0.14444353061747375</v>
      </c>
      <c r="AA372">
        <f t="shared" si="78"/>
        <v>8.2332654368434538E-2</v>
      </c>
      <c r="AB372">
        <f t="shared" si="79"/>
        <v>0.63559820650781451</v>
      </c>
      <c r="AC372">
        <f t="shared" si="80"/>
        <v>3.8097899952760697E-4</v>
      </c>
      <c r="AD372">
        <f t="shared" si="81"/>
        <v>1.6819523843838073E-3</v>
      </c>
      <c r="AE372">
        <f t="shared" si="82"/>
        <v>0.25465559825775047</v>
      </c>
      <c r="AF372">
        <f t="shared" si="83"/>
        <v>7.2735062772226494E-2</v>
      </c>
      <c r="AG372">
        <f t="shared" si="76"/>
        <v>1.2422058823190896</v>
      </c>
      <c r="AH372">
        <v>0.39818620803985499</v>
      </c>
      <c r="AI372">
        <v>0.61509557261885317</v>
      </c>
      <c r="AJ372">
        <v>4.3677750820607965E-2</v>
      </c>
      <c r="AK372">
        <v>1.9701442702112194E-2</v>
      </c>
      <c r="AL372">
        <v>0.45573298995669614</v>
      </c>
    </row>
    <row r="373" spans="1:38" x14ac:dyDescent="0.25">
      <c r="A373">
        <v>12</v>
      </c>
      <c r="B373" s="5" t="s">
        <v>13</v>
      </c>
      <c r="C373" s="6" t="s">
        <v>5</v>
      </c>
      <c r="D373" s="6" t="s">
        <v>66</v>
      </c>
      <c r="E373" s="25">
        <v>47050.6</v>
      </c>
      <c r="F373" s="11">
        <v>31</v>
      </c>
      <c r="G373" s="11">
        <v>16</v>
      </c>
      <c r="H373" s="11">
        <f t="shared" si="72"/>
        <v>15</v>
      </c>
      <c r="I373" s="18">
        <v>1</v>
      </c>
      <c r="J373" s="18">
        <v>-2.1994134897360709E-2</v>
      </c>
      <c r="K373" s="18">
        <v>1.1000000000000001</v>
      </c>
      <c r="L373" s="6">
        <v>1965709.5</v>
      </c>
      <c r="M373" s="7">
        <v>5688170.5</v>
      </c>
      <c r="N373" s="7">
        <v>4874505</v>
      </c>
      <c r="O373" s="7">
        <v>27671648</v>
      </c>
      <c r="P373" s="7">
        <v>14876.7490234375</v>
      </c>
      <c r="Q373" s="7">
        <v>30917.75390625</v>
      </c>
      <c r="R373" s="7">
        <v>10031294</v>
      </c>
      <c r="S373" s="7">
        <v>2751402</v>
      </c>
      <c r="T373" s="31">
        <f t="shared" si="73"/>
        <v>5302.8523502929684</v>
      </c>
      <c r="U373" s="37">
        <v>3774.2222222222226</v>
      </c>
      <c r="V373">
        <f t="shared" si="74"/>
        <v>1.4050185808006568</v>
      </c>
      <c r="W373">
        <f t="shared" si="84"/>
        <v>0.13106740259320795</v>
      </c>
      <c r="X373" s="25">
        <v>5040.5458333333336</v>
      </c>
      <c r="Y373">
        <f t="shared" si="75"/>
        <v>5.2082505593499764E-2</v>
      </c>
      <c r="Z373">
        <f t="shared" si="77"/>
        <v>0.1507110648257183</v>
      </c>
      <c r="AA373">
        <f t="shared" si="78"/>
        <v>0.12915257006594441</v>
      </c>
      <c r="AB373">
        <f t="shared" si="79"/>
        <v>0.73317484691474322</v>
      </c>
      <c r="AC373">
        <f t="shared" si="80"/>
        <v>3.9416727864736658E-4</v>
      </c>
      <c r="AD373">
        <f t="shared" si="81"/>
        <v>8.1918212775627041E-4</v>
      </c>
      <c r="AE373">
        <f t="shared" si="82"/>
        <v>0.26578440296749878</v>
      </c>
      <c r="AF373">
        <f t="shared" si="83"/>
        <v>7.2899841026848794E-2</v>
      </c>
      <c r="AG373">
        <f t="shared" si="76"/>
        <v>1.405018580800657</v>
      </c>
      <c r="AH373">
        <v>0.39818620803985499</v>
      </c>
      <c r="AI373">
        <v>0.61509557261885317</v>
      </c>
      <c r="AJ373">
        <v>4.3677750820607965E-2</v>
      </c>
      <c r="AK373">
        <v>1.9701442702112194E-2</v>
      </c>
      <c r="AL373">
        <v>0.45573298995669614</v>
      </c>
    </row>
    <row r="374" spans="1:38" x14ac:dyDescent="0.25">
      <c r="A374">
        <v>13</v>
      </c>
      <c r="B374" s="5" t="s">
        <v>28</v>
      </c>
      <c r="C374" s="6" t="s">
        <v>5</v>
      </c>
      <c r="D374" s="6" t="s">
        <v>36</v>
      </c>
      <c r="E374" s="28">
        <v>48810.355799999998</v>
      </c>
      <c r="F374" s="11">
        <v>1</v>
      </c>
      <c r="G374" s="11"/>
      <c r="H374" s="18">
        <f t="shared" si="72"/>
        <v>1</v>
      </c>
      <c r="I374" s="18">
        <v>0</v>
      </c>
      <c r="J374" s="19">
        <v>0</v>
      </c>
      <c r="K374" s="19">
        <v>0</v>
      </c>
      <c r="L374" s="14">
        <v>5832719.5</v>
      </c>
      <c r="M374" s="16">
        <v>4523243.5</v>
      </c>
      <c r="N374" s="16">
        <v>1117580.625</v>
      </c>
      <c r="O374" s="16">
        <v>5753640.5</v>
      </c>
      <c r="P374" s="16">
        <v>5101.89697265625</v>
      </c>
      <c r="Q374" s="16">
        <v>16312.92578125</v>
      </c>
      <c r="R374" s="16">
        <v>381602.46875</v>
      </c>
      <c r="S374" s="16">
        <v>1587937.75</v>
      </c>
      <c r="T374" s="31">
        <f t="shared" si="73"/>
        <v>1921.8139166503906</v>
      </c>
      <c r="U374" s="37"/>
      <c r="X374" s="28">
        <v>3882.2750000000001</v>
      </c>
      <c r="Y374" t="e">
        <f t="shared" si="75"/>
        <v>#DIV/0!</v>
      </c>
      <c r="Z374" t="e">
        <f t="shared" si="77"/>
        <v>#DIV/0!</v>
      </c>
      <c r="AA374" t="e">
        <f t="shared" si="78"/>
        <v>#DIV/0!</v>
      </c>
      <c r="AB374" t="e">
        <f t="shared" si="79"/>
        <v>#DIV/0!</v>
      </c>
      <c r="AC374" t="e">
        <f t="shared" si="80"/>
        <v>#DIV/0!</v>
      </c>
      <c r="AD374" t="e">
        <f t="shared" si="81"/>
        <v>#DIV/0!</v>
      </c>
      <c r="AE374" t="e">
        <f t="shared" si="82"/>
        <v>#DIV/0!</v>
      </c>
      <c r="AF374" t="e">
        <f t="shared" si="83"/>
        <v>#DIV/0!</v>
      </c>
      <c r="AG374" t="e">
        <f t="shared" si="76"/>
        <v>#DIV/0!</v>
      </c>
      <c r="AH374">
        <v>0.4596258239117364</v>
      </c>
      <c r="AI374">
        <v>0.6969190351086697</v>
      </c>
      <c r="AJ374">
        <v>3.3779477374123644E-2</v>
      </c>
      <c r="AK374">
        <v>1.5809214814205472E-2</v>
      </c>
      <c r="AL374">
        <v>0.65006378825373889</v>
      </c>
    </row>
    <row r="375" spans="1:38" x14ac:dyDescent="0.25">
      <c r="A375">
        <v>13</v>
      </c>
      <c r="B375" s="5" t="s">
        <v>28</v>
      </c>
      <c r="C375" s="6" t="s">
        <v>5</v>
      </c>
      <c r="D375" s="6" t="s">
        <v>37</v>
      </c>
      <c r="E375" s="28">
        <v>48810.355799999998</v>
      </c>
      <c r="F375" s="11">
        <v>2</v>
      </c>
      <c r="G375" s="11"/>
      <c r="H375" s="11">
        <f t="shared" si="72"/>
        <v>2</v>
      </c>
      <c r="I375" s="18">
        <v>0</v>
      </c>
      <c r="J375" s="19">
        <v>0</v>
      </c>
      <c r="K375" s="19">
        <v>0</v>
      </c>
      <c r="L375" s="6">
        <v>6344546</v>
      </c>
      <c r="M375" s="7">
        <v>4342315</v>
      </c>
      <c r="N375" s="7">
        <v>1117580.625</v>
      </c>
      <c r="O375" s="7">
        <v>5523738.5</v>
      </c>
      <c r="P375" s="7">
        <v>5101.89697265625</v>
      </c>
      <c r="Q375" s="7">
        <v>9815.51171875</v>
      </c>
      <c r="R375" s="7">
        <v>386794.875</v>
      </c>
      <c r="S375" s="7">
        <v>1559193.375</v>
      </c>
      <c r="T375" s="31">
        <f t="shared" si="73"/>
        <v>1928.9085783691405</v>
      </c>
      <c r="U375" s="37">
        <v>4116.166666666667</v>
      </c>
      <c r="V375">
        <f t="shared" si="74"/>
        <v>0.46861770539801767</v>
      </c>
      <c r="W375" t="e">
        <f>(V375-V374)/V374</f>
        <v>#DIV/0!</v>
      </c>
      <c r="X375" s="28">
        <v>4378.7333333333336</v>
      </c>
      <c r="Y375">
        <f t="shared" si="75"/>
        <v>0.15413724743896018</v>
      </c>
      <c r="Z375">
        <f t="shared" si="77"/>
        <v>0.10549414908693364</v>
      </c>
      <c r="AA375">
        <f t="shared" si="78"/>
        <v>2.7151005182815727E-2</v>
      </c>
      <c r="AB375">
        <f t="shared" si="79"/>
        <v>0.13419618172247641</v>
      </c>
      <c r="AC375">
        <f t="shared" si="80"/>
        <v>1.2394777436910355E-4</v>
      </c>
      <c r="AD375">
        <f t="shared" si="81"/>
        <v>2.3846244609669189E-4</v>
      </c>
      <c r="AE375">
        <f t="shared" si="82"/>
        <v>9.3969682552536744E-3</v>
      </c>
      <c r="AF375">
        <f t="shared" si="83"/>
        <v>3.7879743491112276E-2</v>
      </c>
      <c r="AG375">
        <f t="shared" si="76"/>
        <v>0.46861770539801773</v>
      </c>
      <c r="AH375">
        <v>0.4596258239117364</v>
      </c>
      <c r="AI375">
        <v>0.6969190351086697</v>
      </c>
      <c r="AJ375">
        <v>3.3779477374123644E-2</v>
      </c>
      <c r="AK375">
        <v>1.5809214814205472E-2</v>
      </c>
      <c r="AL375">
        <v>0.65006378825373889</v>
      </c>
    </row>
    <row r="376" spans="1:38" x14ac:dyDescent="0.25">
      <c r="A376">
        <v>13</v>
      </c>
      <c r="B376" s="5" t="s">
        <v>28</v>
      </c>
      <c r="C376" s="6" t="s">
        <v>5</v>
      </c>
      <c r="D376" s="6" t="s">
        <v>38</v>
      </c>
      <c r="E376" s="28">
        <v>48810.355799999998</v>
      </c>
      <c r="F376" s="11">
        <v>3</v>
      </c>
      <c r="G376" s="11"/>
      <c r="H376" s="11">
        <f t="shared" si="72"/>
        <v>3</v>
      </c>
      <c r="I376" s="18">
        <v>0</v>
      </c>
      <c r="J376" s="19">
        <v>0</v>
      </c>
      <c r="K376" s="19">
        <v>0</v>
      </c>
      <c r="L376" s="6">
        <v>6356186</v>
      </c>
      <c r="M376" s="7">
        <v>4217465</v>
      </c>
      <c r="N376" s="7">
        <v>1117580.625</v>
      </c>
      <c r="O376" s="7">
        <v>5367016</v>
      </c>
      <c r="P376" s="7">
        <v>5101.89697265625</v>
      </c>
      <c r="Q376" s="7">
        <v>13726.9853515625</v>
      </c>
      <c r="R376" s="7">
        <v>369418.46875</v>
      </c>
      <c r="S376" s="7">
        <v>1574210.125</v>
      </c>
      <c r="T376" s="31">
        <f t="shared" si="73"/>
        <v>1902.0705101074218</v>
      </c>
      <c r="U376" s="37">
        <v>4154</v>
      </c>
      <c r="V376">
        <f t="shared" si="74"/>
        <v>0.45788890469605725</v>
      </c>
      <c r="W376">
        <f t="shared" ref="W376:W404" si="85">(V376-V375)/V375</f>
        <v>-2.2894569663875534E-2</v>
      </c>
      <c r="X376" s="28">
        <v>4875.1916666666666</v>
      </c>
      <c r="Y376">
        <f t="shared" si="75"/>
        <v>0.15301362542128069</v>
      </c>
      <c r="Z376">
        <f t="shared" si="77"/>
        <v>0.1015278045257583</v>
      </c>
      <c r="AA376">
        <f t="shared" si="78"/>
        <v>2.6903722315840158E-2</v>
      </c>
      <c r="AB376">
        <f t="shared" si="79"/>
        <v>0.12920115551275879</v>
      </c>
      <c r="AC376">
        <f t="shared" si="80"/>
        <v>1.2281889678999159E-4</v>
      </c>
      <c r="AD376">
        <f t="shared" si="81"/>
        <v>3.3045222319601588E-4</v>
      </c>
      <c r="AE376">
        <f t="shared" si="82"/>
        <v>8.8930782077515647E-3</v>
      </c>
      <c r="AF376">
        <f t="shared" si="83"/>
        <v>3.7896247592681752E-2</v>
      </c>
      <c r="AG376">
        <f t="shared" si="76"/>
        <v>0.45788890469605725</v>
      </c>
      <c r="AH376">
        <v>0.4596258239117364</v>
      </c>
      <c r="AI376">
        <v>0.6969190351086697</v>
      </c>
      <c r="AJ376">
        <v>3.3779477374123644E-2</v>
      </c>
      <c r="AK376">
        <v>1.5809214814205472E-2</v>
      </c>
      <c r="AL376">
        <v>0.65006378825373889</v>
      </c>
    </row>
    <row r="377" spans="1:38" x14ac:dyDescent="0.25">
      <c r="A377">
        <v>13</v>
      </c>
      <c r="B377" s="5" t="s">
        <v>28</v>
      </c>
      <c r="C377" s="6" t="s">
        <v>5</v>
      </c>
      <c r="D377" s="6" t="s">
        <v>39</v>
      </c>
      <c r="E377" s="28">
        <v>48810.355799999998</v>
      </c>
      <c r="F377" s="11">
        <v>4</v>
      </c>
      <c r="G377" s="11"/>
      <c r="H377" s="11">
        <f t="shared" si="72"/>
        <v>4</v>
      </c>
      <c r="I377" s="18">
        <v>0</v>
      </c>
      <c r="J377" s="19">
        <v>0</v>
      </c>
      <c r="K377" s="19">
        <v>0</v>
      </c>
      <c r="L377" s="6">
        <v>6038751</v>
      </c>
      <c r="M377" s="7">
        <v>4402182.5</v>
      </c>
      <c r="N377" s="7">
        <v>1117580.625</v>
      </c>
      <c r="O377" s="7">
        <v>5601455</v>
      </c>
      <c r="P377" s="7">
        <v>5101.89697265625</v>
      </c>
      <c r="Q377" s="7">
        <v>37811.61328125</v>
      </c>
      <c r="R377" s="7">
        <v>364136.5</v>
      </c>
      <c r="S377" s="7">
        <v>1599135.75</v>
      </c>
      <c r="T377" s="31">
        <f t="shared" si="73"/>
        <v>1916.6154885253907</v>
      </c>
      <c r="U377" s="37">
        <v>4326</v>
      </c>
      <c r="V377">
        <f t="shared" si="74"/>
        <v>0.44304565153152814</v>
      </c>
      <c r="W377">
        <f t="shared" si="85"/>
        <v>-3.2416712901968958E-2</v>
      </c>
      <c r="X377" s="28">
        <v>5371.6500000000005</v>
      </c>
      <c r="Y377">
        <f t="shared" si="75"/>
        <v>0.13959202496532594</v>
      </c>
      <c r="Z377">
        <f t="shared" si="77"/>
        <v>0.10176103791030976</v>
      </c>
      <c r="AA377">
        <f t="shared" si="78"/>
        <v>2.5834041262135923E-2</v>
      </c>
      <c r="AB377">
        <f t="shared" si="79"/>
        <v>0.12948347202958854</v>
      </c>
      <c r="AC377">
        <f t="shared" si="80"/>
        <v>1.1793566742154993E-4</v>
      </c>
      <c r="AD377">
        <f t="shared" si="81"/>
        <v>8.7405486087031891E-4</v>
      </c>
      <c r="AE377">
        <f t="shared" si="82"/>
        <v>8.4173948220064732E-3</v>
      </c>
      <c r="AF377">
        <f t="shared" si="83"/>
        <v>3.6965690013869623E-2</v>
      </c>
      <c r="AG377">
        <f t="shared" si="76"/>
        <v>0.44304565153152814</v>
      </c>
      <c r="AH377">
        <v>0.4596258239117364</v>
      </c>
      <c r="AI377">
        <v>0.6969190351086697</v>
      </c>
      <c r="AJ377">
        <v>3.3779477374123644E-2</v>
      </c>
      <c r="AK377">
        <v>1.5809214814205472E-2</v>
      </c>
      <c r="AL377">
        <v>0.65006378825373889</v>
      </c>
    </row>
    <row r="378" spans="1:38" x14ac:dyDescent="0.25">
      <c r="A378">
        <v>13</v>
      </c>
      <c r="B378" s="5" t="s">
        <v>28</v>
      </c>
      <c r="C378" s="6" t="s">
        <v>5</v>
      </c>
      <c r="D378" s="6" t="s">
        <v>40</v>
      </c>
      <c r="E378" s="28">
        <v>48810.355799999998</v>
      </c>
      <c r="F378" s="11">
        <v>5</v>
      </c>
      <c r="G378" s="11"/>
      <c r="H378" s="11">
        <f t="shared" si="72"/>
        <v>5</v>
      </c>
      <c r="I378" s="18">
        <v>0</v>
      </c>
      <c r="J378" s="19">
        <v>0</v>
      </c>
      <c r="K378" s="19">
        <v>0</v>
      </c>
      <c r="L378" s="6">
        <v>6802948.5</v>
      </c>
      <c r="M378" s="7">
        <v>4531246.5</v>
      </c>
      <c r="N378" s="7">
        <v>1117580.625</v>
      </c>
      <c r="O378" s="7">
        <v>5761350.5</v>
      </c>
      <c r="P378" s="7">
        <v>5101.89697265625</v>
      </c>
      <c r="Q378" s="7">
        <v>52176.12890625</v>
      </c>
      <c r="R378" s="7">
        <v>387629.0625</v>
      </c>
      <c r="S378" s="7">
        <v>1652447.875</v>
      </c>
      <c r="T378" s="31">
        <f t="shared" si="73"/>
        <v>2031.0481088378906</v>
      </c>
      <c r="U378" s="37">
        <v>4498</v>
      </c>
      <c r="V378">
        <f t="shared" si="74"/>
        <v>0.45154471072429758</v>
      </c>
      <c r="W378">
        <f t="shared" si="85"/>
        <v>1.9183258346831173E-2</v>
      </c>
      <c r="X378" s="28">
        <v>5868.1083333333336</v>
      </c>
      <c r="Y378">
        <f t="shared" si="75"/>
        <v>0.1512438528234771</v>
      </c>
      <c r="Z378">
        <f t="shared" si="77"/>
        <v>0.10073913961760783</v>
      </c>
      <c r="AA378">
        <f t="shared" si="78"/>
        <v>2.4846167741218322E-2</v>
      </c>
      <c r="AB378">
        <f t="shared" si="79"/>
        <v>0.1280869386393953</v>
      </c>
      <c r="AC378">
        <f t="shared" si="80"/>
        <v>1.1342589979226878E-4</v>
      </c>
      <c r="AD378">
        <f t="shared" si="81"/>
        <v>1.1599850801745218E-3</v>
      </c>
      <c r="AE378">
        <f t="shared" si="82"/>
        <v>8.6178093041351708E-3</v>
      </c>
      <c r="AF378">
        <f t="shared" si="83"/>
        <v>3.6737391618497109E-2</v>
      </c>
      <c r="AG378">
        <f t="shared" si="76"/>
        <v>0.45154471072429758</v>
      </c>
      <c r="AH378">
        <v>0.4596258239117364</v>
      </c>
      <c r="AI378">
        <v>0.6969190351086697</v>
      </c>
      <c r="AJ378">
        <v>3.3779477374123644E-2</v>
      </c>
      <c r="AK378">
        <v>1.5809214814205472E-2</v>
      </c>
      <c r="AL378">
        <v>0.65006378825373889</v>
      </c>
    </row>
    <row r="379" spans="1:38" x14ac:dyDescent="0.25">
      <c r="A379">
        <v>13</v>
      </c>
      <c r="B379" s="5" t="s">
        <v>28</v>
      </c>
      <c r="C379" s="6" t="s">
        <v>5</v>
      </c>
      <c r="D379" s="6" t="s">
        <v>41</v>
      </c>
      <c r="E379" s="28">
        <v>48810.355799999998</v>
      </c>
      <c r="F379" s="11">
        <v>6</v>
      </c>
      <c r="G379" s="11"/>
      <c r="H379" s="11">
        <f t="shared" si="72"/>
        <v>6</v>
      </c>
      <c r="I379" s="18">
        <v>0</v>
      </c>
      <c r="J379" s="19">
        <v>0</v>
      </c>
      <c r="K379" s="19">
        <v>0</v>
      </c>
      <c r="L379" s="6">
        <v>7190247</v>
      </c>
      <c r="M379" s="7">
        <v>4515829.5</v>
      </c>
      <c r="N379" s="7">
        <v>1117580.625</v>
      </c>
      <c r="O379" s="7">
        <v>5741220</v>
      </c>
      <c r="P379" s="7">
        <v>5101.89697265625</v>
      </c>
      <c r="Q379" s="7">
        <v>34492.01953125</v>
      </c>
      <c r="R379" s="7">
        <v>383122.78125</v>
      </c>
      <c r="S379" s="7">
        <v>1631411</v>
      </c>
      <c r="T379" s="31">
        <f t="shared" si="73"/>
        <v>2061.9004822753905</v>
      </c>
      <c r="U379" s="37">
        <v>4670</v>
      </c>
      <c r="V379">
        <f t="shared" si="74"/>
        <v>0.44152044588338124</v>
      </c>
      <c r="W379">
        <f t="shared" si="85"/>
        <v>-2.2199938572720693E-2</v>
      </c>
      <c r="X379" s="28">
        <v>6364.5666666666666</v>
      </c>
      <c r="Y379">
        <f t="shared" si="75"/>
        <v>0.15396674518201284</v>
      </c>
      <c r="Z379">
        <f t="shared" si="77"/>
        <v>9.669870449678801E-2</v>
      </c>
      <c r="AA379">
        <f t="shared" si="78"/>
        <v>2.3931062633832975E-2</v>
      </c>
      <c r="AB379">
        <f t="shared" si="79"/>
        <v>0.12293832976445397</v>
      </c>
      <c r="AC379">
        <f t="shared" si="80"/>
        <v>1.092483291789347E-4</v>
      </c>
      <c r="AD379">
        <f t="shared" si="81"/>
        <v>7.3858714199678799E-4</v>
      </c>
      <c r="AE379">
        <f t="shared" si="82"/>
        <v>8.2039139453961452E-3</v>
      </c>
      <c r="AF379">
        <f t="shared" si="83"/>
        <v>3.4933854389721623E-2</v>
      </c>
      <c r="AG379">
        <f t="shared" si="76"/>
        <v>0.44152044588338124</v>
      </c>
      <c r="AH379">
        <v>0.4596258239117364</v>
      </c>
      <c r="AI379">
        <v>0.6969190351086697</v>
      </c>
      <c r="AJ379">
        <v>3.3779477374123644E-2</v>
      </c>
      <c r="AK379">
        <v>1.5809214814205472E-2</v>
      </c>
      <c r="AL379">
        <v>0.65006378825373889</v>
      </c>
    </row>
    <row r="380" spans="1:38" x14ac:dyDescent="0.25">
      <c r="A380">
        <v>13</v>
      </c>
      <c r="B380" s="5" t="s">
        <v>28</v>
      </c>
      <c r="C380" s="6" t="s">
        <v>5</v>
      </c>
      <c r="D380" s="6" t="s">
        <v>42</v>
      </c>
      <c r="E380" s="28">
        <v>48810.355799999998</v>
      </c>
      <c r="F380" s="11">
        <v>7</v>
      </c>
      <c r="G380" s="11"/>
      <c r="H380" s="11">
        <f t="shared" si="72"/>
        <v>7</v>
      </c>
      <c r="I380" s="18">
        <v>0</v>
      </c>
      <c r="J380" s="19">
        <v>0</v>
      </c>
      <c r="K380" s="19">
        <v>0</v>
      </c>
      <c r="L380" s="6">
        <v>8759475</v>
      </c>
      <c r="M380" s="7">
        <v>4557108.5</v>
      </c>
      <c r="N380" s="7">
        <v>1118117.125</v>
      </c>
      <c r="O380" s="7">
        <v>5794243.5</v>
      </c>
      <c r="P380" s="7">
        <v>5104.34619140625</v>
      </c>
      <c r="Q380" s="7">
        <v>15970.0556640625</v>
      </c>
      <c r="R380" s="7">
        <v>382619.03125</v>
      </c>
      <c r="S380" s="7">
        <v>1576222.875</v>
      </c>
      <c r="T380" s="31">
        <f t="shared" si="73"/>
        <v>2220.8860433105469</v>
      </c>
      <c r="U380" s="37">
        <v>4842</v>
      </c>
      <c r="V380">
        <f t="shared" si="74"/>
        <v>0.45867121918846487</v>
      </c>
      <c r="W380">
        <f t="shared" si="85"/>
        <v>3.8844799748217473E-2</v>
      </c>
      <c r="X380" s="28">
        <v>6861.0250000000005</v>
      </c>
      <c r="Y380">
        <f t="shared" si="75"/>
        <v>0.18090613382899629</v>
      </c>
      <c r="Z380">
        <f t="shared" si="77"/>
        <v>9.4116243287897569E-2</v>
      </c>
      <c r="AA380">
        <f t="shared" si="78"/>
        <v>2.3092051321767865E-2</v>
      </c>
      <c r="AB380">
        <f t="shared" si="79"/>
        <v>0.11966632589838909</v>
      </c>
      <c r="AC380">
        <f t="shared" si="80"/>
        <v>1.0541813695593247E-4</v>
      </c>
      <c r="AD380">
        <f t="shared" si="81"/>
        <v>3.2982353705209624E-4</v>
      </c>
      <c r="AE380">
        <f t="shared" si="82"/>
        <v>7.9020865603056586E-3</v>
      </c>
      <c r="AF380">
        <f t="shared" si="83"/>
        <v>3.2553136617100367E-2</v>
      </c>
      <c r="AG380">
        <f t="shared" si="76"/>
        <v>0.45867121918846487</v>
      </c>
      <c r="AH380">
        <v>0.4596258239117364</v>
      </c>
      <c r="AI380">
        <v>0.6969190351086697</v>
      </c>
      <c r="AJ380">
        <v>3.3779477374123644E-2</v>
      </c>
      <c r="AK380">
        <v>1.5809214814205472E-2</v>
      </c>
      <c r="AL380">
        <v>0.65006378825373889</v>
      </c>
    </row>
    <row r="381" spans="1:38" x14ac:dyDescent="0.25">
      <c r="A381">
        <v>13</v>
      </c>
      <c r="B381" s="5" t="s">
        <v>28</v>
      </c>
      <c r="C381" s="6" t="s">
        <v>5</v>
      </c>
      <c r="D381" s="6" t="s">
        <v>43</v>
      </c>
      <c r="E381" s="25">
        <v>53109.85</v>
      </c>
      <c r="F381" s="11">
        <v>8</v>
      </c>
      <c r="G381" s="11"/>
      <c r="H381" s="18">
        <f t="shared" si="72"/>
        <v>8</v>
      </c>
      <c r="I381" s="18">
        <v>0</v>
      </c>
      <c r="J381" s="19">
        <v>0</v>
      </c>
      <c r="K381" s="19">
        <v>0</v>
      </c>
      <c r="L381" s="14">
        <v>6434085.5</v>
      </c>
      <c r="M381" s="16">
        <v>4099634</v>
      </c>
      <c r="N381" s="16">
        <v>1105204.625</v>
      </c>
      <c r="O381" s="16">
        <v>5659318.5</v>
      </c>
      <c r="P381" s="16">
        <v>5218.25341796875</v>
      </c>
      <c r="Q381" s="16">
        <v>8381.783203125</v>
      </c>
      <c r="R381" s="16">
        <v>413400.90625</v>
      </c>
      <c r="S381" s="16">
        <v>1417261.875</v>
      </c>
      <c r="T381" s="31">
        <f t="shared" si="73"/>
        <v>1914.2505442871093</v>
      </c>
      <c r="U381" s="37">
        <v>3801.3333333333335</v>
      </c>
      <c r="V381">
        <f t="shared" si="74"/>
        <v>0.5035734507945745</v>
      </c>
      <c r="W381">
        <f t="shared" si="85"/>
        <v>9.7896335605176923E-2</v>
      </c>
      <c r="X381" s="25">
        <v>3305.8529166666672</v>
      </c>
      <c r="Y381">
        <f t="shared" si="75"/>
        <v>0.16925865047351807</v>
      </c>
      <c r="Z381">
        <f t="shared" si="77"/>
        <v>0.10784726411785339</v>
      </c>
      <c r="AA381">
        <f t="shared" si="78"/>
        <v>2.9074130787443E-2</v>
      </c>
      <c r="AB381">
        <f t="shared" si="79"/>
        <v>0.14887719659768503</v>
      </c>
      <c r="AC381">
        <f t="shared" si="80"/>
        <v>1.3727429194937082E-4</v>
      </c>
      <c r="AD381">
        <f t="shared" si="81"/>
        <v>2.2049587521374078E-4</v>
      </c>
      <c r="AE381">
        <f t="shared" si="82"/>
        <v>1.0875155373114696E-2</v>
      </c>
      <c r="AF381">
        <f t="shared" si="83"/>
        <v>3.7283283277797258E-2</v>
      </c>
      <c r="AG381">
        <f t="shared" si="76"/>
        <v>0.5035734507945745</v>
      </c>
      <c r="AH381">
        <v>0.43407607284596267</v>
      </c>
      <c r="AI381">
        <v>0.70128939828080228</v>
      </c>
      <c r="AJ381">
        <v>3.3787545078297072E-2</v>
      </c>
      <c r="AK381">
        <v>1.6393028742133699E-2</v>
      </c>
      <c r="AL381">
        <v>0.58673008599210708</v>
      </c>
    </row>
    <row r="382" spans="1:38" x14ac:dyDescent="0.25">
      <c r="A382">
        <v>13</v>
      </c>
      <c r="B382" s="5" t="s">
        <v>28</v>
      </c>
      <c r="C382" s="6" t="s">
        <v>5</v>
      </c>
      <c r="D382" s="6" t="s">
        <v>44</v>
      </c>
      <c r="E382" s="25">
        <v>53109.85</v>
      </c>
      <c r="F382" s="11">
        <v>9</v>
      </c>
      <c r="G382" s="11"/>
      <c r="H382" s="11">
        <f t="shared" si="72"/>
        <v>9</v>
      </c>
      <c r="I382" s="18">
        <v>0</v>
      </c>
      <c r="J382" s="19">
        <v>0</v>
      </c>
      <c r="K382" s="19">
        <v>0</v>
      </c>
      <c r="L382" s="6">
        <v>6395893</v>
      </c>
      <c r="M382" s="7">
        <v>4018932.5</v>
      </c>
      <c r="N382" s="7">
        <v>1105204.625</v>
      </c>
      <c r="O382" s="7">
        <v>5543168</v>
      </c>
      <c r="P382" s="7">
        <v>5218.25341796875</v>
      </c>
      <c r="Q382" s="7">
        <v>11901.798828125</v>
      </c>
      <c r="R382" s="7">
        <v>395015.75</v>
      </c>
      <c r="S382" s="7">
        <v>1433852.375</v>
      </c>
      <c r="T382" s="31">
        <f t="shared" si="73"/>
        <v>1890.9186302246094</v>
      </c>
      <c r="U382" s="37">
        <v>3898</v>
      </c>
      <c r="V382">
        <f t="shared" si="74"/>
        <v>0.48509969990369661</v>
      </c>
      <c r="W382">
        <f t="shared" si="85"/>
        <v>-3.6685315442521176E-2</v>
      </c>
      <c r="X382" s="25">
        <v>3489.1087500000008</v>
      </c>
      <c r="Y382">
        <f t="shared" si="75"/>
        <v>0.16408140071831709</v>
      </c>
      <c r="Z382">
        <f t="shared" si="77"/>
        <v>0.10310242432016418</v>
      </c>
      <c r="AA382">
        <f t="shared" si="78"/>
        <v>2.8353120189840944E-2</v>
      </c>
      <c r="AB382">
        <f t="shared" si="79"/>
        <v>0.1422054386865059</v>
      </c>
      <c r="AC382">
        <f t="shared" si="80"/>
        <v>1.3387002098431887E-4</v>
      </c>
      <c r="AD382">
        <f t="shared" si="81"/>
        <v>3.0533090887955363E-4</v>
      </c>
      <c r="AE382">
        <f t="shared" si="82"/>
        <v>1.013380579784505E-2</v>
      </c>
      <c r="AF382">
        <f t="shared" si="83"/>
        <v>3.6784309261159567E-2</v>
      </c>
      <c r="AG382">
        <f t="shared" si="76"/>
        <v>0.48509969990369661</v>
      </c>
      <c r="AH382">
        <v>0.43407607284596267</v>
      </c>
      <c r="AI382">
        <v>0.70128939828080228</v>
      </c>
      <c r="AJ382">
        <v>3.3787545078297072E-2</v>
      </c>
      <c r="AK382">
        <v>1.6393028742133699E-2</v>
      </c>
      <c r="AL382">
        <v>0.58673008599210708</v>
      </c>
    </row>
    <row r="383" spans="1:38" x14ac:dyDescent="0.25">
      <c r="A383">
        <v>13</v>
      </c>
      <c r="B383" s="5" t="s">
        <v>28</v>
      </c>
      <c r="C383" s="6" t="s">
        <v>5</v>
      </c>
      <c r="D383" s="6" t="s">
        <v>45</v>
      </c>
      <c r="E383" s="25">
        <v>53109.85</v>
      </c>
      <c r="F383" s="11">
        <v>10</v>
      </c>
      <c r="G383" s="11"/>
      <c r="H383" s="11">
        <f t="shared" si="72"/>
        <v>10</v>
      </c>
      <c r="I383" s="18">
        <v>0</v>
      </c>
      <c r="J383" s="19">
        <v>0</v>
      </c>
      <c r="K383" s="19">
        <v>0</v>
      </c>
      <c r="L383" s="6">
        <v>7277086</v>
      </c>
      <c r="M383" s="7">
        <v>4171835.75</v>
      </c>
      <c r="N383" s="7">
        <v>1105202.25</v>
      </c>
      <c r="O383" s="7">
        <v>5756744</v>
      </c>
      <c r="P383" s="7">
        <v>5218.25341796875</v>
      </c>
      <c r="Q383" s="7">
        <v>34545.3046875</v>
      </c>
      <c r="R383" s="7">
        <v>389037.40625</v>
      </c>
      <c r="S383" s="7">
        <v>1467503.75</v>
      </c>
      <c r="T383" s="31">
        <f t="shared" si="73"/>
        <v>2020.7172714355468</v>
      </c>
      <c r="U383" s="37">
        <v>3994.6666666666665</v>
      </c>
      <c r="V383">
        <f t="shared" si="74"/>
        <v>0.5058537895783245</v>
      </c>
      <c r="W383">
        <f t="shared" si="85"/>
        <v>4.2783142679222529E-2</v>
      </c>
      <c r="X383" s="25">
        <v>3672.3645833333339</v>
      </c>
      <c r="Y383">
        <f t="shared" si="75"/>
        <v>0.18217004339118825</v>
      </c>
      <c r="Z383">
        <f t="shared" si="77"/>
        <v>0.10443514060413886</v>
      </c>
      <c r="AA383">
        <f t="shared" si="78"/>
        <v>2.7666945510680909E-2</v>
      </c>
      <c r="AB383">
        <f t="shared" si="79"/>
        <v>0.14411074766355142</v>
      </c>
      <c r="AC383">
        <f t="shared" si="80"/>
        <v>1.3063050946183455E-4</v>
      </c>
      <c r="AD383">
        <f t="shared" si="81"/>
        <v>8.6478566474048734E-4</v>
      </c>
      <c r="AE383">
        <f t="shared" si="82"/>
        <v>9.7389203834279039E-3</v>
      </c>
      <c r="AF383">
        <f t="shared" si="83"/>
        <v>3.6736575851134851E-2</v>
      </c>
      <c r="AG383">
        <f t="shared" si="76"/>
        <v>0.50585378957832439</v>
      </c>
      <c r="AH383">
        <v>0.43407607284596267</v>
      </c>
      <c r="AI383">
        <v>0.70128939828080228</v>
      </c>
      <c r="AJ383">
        <v>3.3787545078297072E-2</v>
      </c>
      <c r="AK383">
        <v>1.6393028742133699E-2</v>
      </c>
      <c r="AL383">
        <v>0.58673008599210708</v>
      </c>
    </row>
    <row r="384" spans="1:38" x14ac:dyDescent="0.25">
      <c r="A384">
        <v>13</v>
      </c>
      <c r="B384" s="5" t="s">
        <v>28</v>
      </c>
      <c r="C384" s="6" t="s">
        <v>5</v>
      </c>
      <c r="D384" s="6" t="s">
        <v>46</v>
      </c>
      <c r="E384" s="25">
        <v>53109.85</v>
      </c>
      <c r="F384" s="11">
        <v>11</v>
      </c>
      <c r="G384" s="11"/>
      <c r="H384" s="11">
        <f t="shared" si="72"/>
        <v>11</v>
      </c>
      <c r="I384" s="18">
        <v>0</v>
      </c>
      <c r="J384" s="19">
        <v>0</v>
      </c>
      <c r="K384" s="19">
        <v>0</v>
      </c>
      <c r="L384" s="6">
        <v>6577700</v>
      </c>
      <c r="M384" s="7">
        <v>4237850</v>
      </c>
      <c r="N384" s="7">
        <v>1105202</v>
      </c>
      <c r="O384" s="7">
        <v>5851931</v>
      </c>
      <c r="P384" s="7">
        <v>5218.25341796875</v>
      </c>
      <c r="Q384" s="7">
        <v>47588.8515625</v>
      </c>
      <c r="R384" s="7">
        <v>413163.0625</v>
      </c>
      <c r="S384" s="7">
        <v>1518263.25</v>
      </c>
      <c r="T384" s="31">
        <f t="shared" si="73"/>
        <v>1975.6916417480468</v>
      </c>
      <c r="U384" s="37">
        <v>4091.3333333333335</v>
      </c>
      <c r="V384">
        <f t="shared" si="74"/>
        <v>0.4828967675773293</v>
      </c>
      <c r="W384">
        <f t="shared" si="85"/>
        <v>-4.5382722189611313E-2</v>
      </c>
      <c r="X384" s="25">
        <v>3855.6204166666671</v>
      </c>
      <c r="Y384">
        <f t="shared" si="75"/>
        <v>0.16077154961707674</v>
      </c>
      <c r="Z384">
        <f t="shared" si="77"/>
        <v>0.10358114714029655</v>
      </c>
      <c r="AA384">
        <f t="shared" si="78"/>
        <v>2.701324751507251E-2</v>
      </c>
      <c r="AB384">
        <f t="shared" si="79"/>
        <v>0.14303236923578294</v>
      </c>
      <c r="AC384">
        <f t="shared" si="80"/>
        <v>1.2754407897919381E-4</v>
      </c>
      <c r="AD384">
        <f t="shared" si="81"/>
        <v>1.1631624139441094E-3</v>
      </c>
      <c r="AE384">
        <f t="shared" si="82"/>
        <v>1.0098494276519472E-2</v>
      </c>
      <c r="AF384">
        <f t="shared" si="83"/>
        <v>3.7109253299657814E-2</v>
      </c>
      <c r="AG384">
        <f t="shared" si="76"/>
        <v>0.4828967675773293</v>
      </c>
      <c r="AH384">
        <v>0.43407607284596267</v>
      </c>
      <c r="AI384">
        <v>0.70128939828080228</v>
      </c>
      <c r="AJ384">
        <v>3.3787545078297072E-2</v>
      </c>
      <c r="AK384">
        <v>1.6393028742133699E-2</v>
      </c>
      <c r="AL384">
        <v>0.58673008599210708</v>
      </c>
    </row>
    <row r="385" spans="1:38" x14ac:dyDescent="0.25">
      <c r="A385">
        <v>13</v>
      </c>
      <c r="B385" s="5" t="s">
        <v>28</v>
      </c>
      <c r="C385" s="6" t="s">
        <v>5</v>
      </c>
      <c r="D385" s="6" t="s">
        <v>47</v>
      </c>
      <c r="E385" s="25">
        <v>53109.85</v>
      </c>
      <c r="F385" s="11">
        <v>12</v>
      </c>
      <c r="G385" s="11"/>
      <c r="H385" s="11">
        <f t="shared" si="72"/>
        <v>12</v>
      </c>
      <c r="I385" s="18">
        <v>0</v>
      </c>
      <c r="J385" s="19">
        <v>0</v>
      </c>
      <c r="K385" s="19">
        <v>0</v>
      </c>
      <c r="L385" s="6">
        <v>6535054.5</v>
      </c>
      <c r="M385" s="7">
        <v>4192504.5</v>
      </c>
      <c r="N385" s="7">
        <v>1105201.25</v>
      </c>
      <c r="O385" s="7">
        <v>5792160.5</v>
      </c>
      <c r="P385" s="7">
        <v>5218.25341796875</v>
      </c>
      <c r="Q385" s="7">
        <v>31260.072265625</v>
      </c>
      <c r="R385" s="7">
        <v>407838.1875</v>
      </c>
      <c r="S385" s="7">
        <v>1507401.875</v>
      </c>
      <c r="T385" s="31">
        <f t="shared" si="73"/>
        <v>1957.6639138183593</v>
      </c>
      <c r="U385" s="37">
        <v>4188</v>
      </c>
      <c r="V385">
        <f t="shared" si="74"/>
        <v>0.46744601571594063</v>
      </c>
      <c r="W385">
        <f t="shared" si="85"/>
        <v>-3.1995972843024759E-2</v>
      </c>
      <c r="X385" s="25">
        <v>4038.8762500000003</v>
      </c>
      <c r="Y385">
        <f t="shared" si="75"/>
        <v>0.15604237106017194</v>
      </c>
      <c r="Z385">
        <f t="shared" si="77"/>
        <v>0.10010755730659027</v>
      </c>
      <c r="AA385">
        <f t="shared" si="78"/>
        <v>2.6389714660936005E-2</v>
      </c>
      <c r="AB385">
        <f t="shared" si="79"/>
        <v>0.13830373686723973</v>
      </c>
      <c r="AC385">
        <f t="shared" si="80"/>
        <v>1.2460012936888132E-4</v>
      </c>
      <c r="AD385">
        <f t="shared" si="81"/>
        <v>7.464200636491166E-4</v>
      </c>
      <c r="AE385">
        <f t="shared" si="82"/>
        <v>9.7382566260744985E-3</v>
      </c>
      <c r="AF385">
        <f t="shared" si="83"/>
        <v>3.5993359001910225E-2</v>
      </c>
      <c r="AG385">
        <f t="shared" si="76"/>
        <v>0.46744601571594069</v>
      </c>
      <c r="AH385">
        <v>0.43407607284596267</v>
      </c>
      <c r="AI385">
        <v>0.70128939828080228</v>
      </c>
      <c r="AJ385">
        <v>3.3787545078297072E-2</v>
      </c>
      <c r="AK385">
        <v>1.6393028742133699E-2</v>
      </c>
      <c r="AL385">
        <v>0.58673008599210708</v>
      </c>
    </row>
    <row r="386" spans="1:38" x14ac:dyDescent="0.25">
      <c r="A386">
        <v>13</v>
      </c>
      <c r="B386" s="5" t="s">
        <v>28</v>
      </c>
      <c r="C386" s="6" t="s">
        <v>5</v>
      </c>
      <c r="D386" s="6" t="s">
        <v>48</v>
      </c>
      <c r="E386" s="25">
        <v>53109.85</v>
      </c>
      <c r="F386" s="11">
        <v>13</v>
      </c>
      <c r="G386" s="11"/>
      <c r="H386" s="11">
        <f t="shared" ref="H386:H449" si="86">F386-G386</f>
        <v>13</v>
      </c>
      <c r="I386" s="18">
        <v>0</v>
      </c>
      <c r="J386" s="19">
        <v>0</v>
      </c>
      <c r="K386" s="19">
        <v>0</v>
      </c>
      <c r="L386" s="6">
        <v>6844451</v>
      </c>
      <c r="M386" s="7">
        <v>4214796</v>
      </c>
      <c r="N386" s="7">
        <v>1105200.875</v>
      </c>
      <c r="O386" s="7">
        <v>5824628</v>
      </c>
      <c r="P386" s="7">
        <v>5218.25341796875</v>
      </c>
      <c r="Q386" s="7">
        <v>15330.2392578125</v>
      </c>
      <c r="R386" s="7">
        <v>406723.96875</v>
      </c>
      <c r="S386" s="7">
        <v>1463418.5</v>
      </c>
      <c r="T386" s="31">
        <f t="shared" ref="T386:T449" si="87">SUM(L386:S386)/10000</f>
        <v>1987.9766836425781</v>
      </c>
      <c r="U386" s="37">
        <v>4215.7777777777774</v>
      </c>
      <c r="V386">
        <f t="shared" si="74"/>
        <v>0.47155632683525395</v>
      </c>
      <c r="W386">
        <f t="shared" si="85"/>
        <v>8.7931247269654421E-3</v>
      </c>
      <c r="X386" s="25">
        <v>4222.1320833333339</v>
      </c>
      <c r="Y386">
        <f t="shared" si="75"/>
        <v>0.16235322070528702</v>
      </c>
      <c r="Z386">
        <f t="shared" si="77"/>
        <v>9.9976711823309264E-2</v>
      </c>
      <c r="AA386">
        <f t="shared" si="78"/>
        <v>2.6215823823203841E-2</v>
      </c>
      <c r="AB386">
        <f t="shared" si="79"/>
        <v>0.13816259554056193</v>
      </c>
      <c r="AC386">
        <f t="shared" si="80"/>
        <v>1.2377913858446776E-4</v>
      </c>
      <c r="AD386">
        <f t="shared" si="81"/>
        <v>3.6363964292950425E-4</v>
      </c>
      <c r="AE386">
        <f t="shared" si="82"/>
        <v>9.6476614800221402E-3</v>
      </c>
      <c r="AF386">
        <f t="shared" si="83"/>
        <v>3.4712894681355758E-2</v>
      </c>
      <c r="AG386">
        <f t="shared" si="76"/>
        <v>0.47155632683525395</v>
      </c>
      <c r="AH386">
        <v>0.43407607284596267</v>
      </c>
      <c r="AI386">
        <v>0.70128939828080228</v>
      </c>
      <c r="AJ386">
        <v>3.3787545078297072E-2</v>
      </c>
      <c r="AK386">
        <v>1.6393028742133699E-2</v>
      </c>
      <c r="AL386">
        <v>0.58673008599210708</v>
      </c>
    </row>
    <row r="387" spans="1:38" x14ac:dyDescent="0.25">
      <c r="A387">
        <v>13</v>
      </c>
      <c r="B387" s="5" t="s">
        <v>28</v>
      </c>
      <c r="C387" s="6" t="s">
        <v>5</v>
      </c>
      <c r="D387" s="6" t="s">
        <v>49</v>
      </c>
      <c r="E387" s="25">
        <v>53109.85</v>
      </c>
      <c r="F387" s="11">
        <v>14</v>
      </c>
      <c r="G387" s="11"/>
      <c r="H387" s="11">
        <f t="shared" si="86"/>
        <v>14</v>
      </c>
      <c r="I387" s="18">
        <v>0</v>
      </c>
      <c r="J387" s="19">
        <v>0</v>
      </c>
      <c r="K387" s="19">
        <v>0</v>
      </c>
      <c r="L387" s="6">
        <v>7700150.5</v>
      </c>
      <c r="M387" s="7">
        <v>4046454</v>
      </c>
      <c r="N387" s="7">
        <v>1105200.875</v>
      </c>
      <c r="O387" s="7">
        <v>5591988</v>
      </c>
      <c r="P387" s="7">
        <v>5218.25341796875</v>
      </c>
      <c r="Q387" s="7">
        <v>9237.7138671875</v>
      </c>
      <c r="R387" s="7">
        <v>412165.34375</v>
      </c>
      <c r="S387" s="7">
        <v>1436488.625</v>
      </c>
      <c r="T387" s="31">
        <f t="shared" si="87"/>
        <v>2030.6903311035155</v>
      </c>
      <c r="U387" s="37">
        <v>4243.5555555555557</v>
      </c>
      <c r="V387">
        <f t="shared" ref="V387:V450" si="88">T387/U387</f>
        <v>0.4785351115398942</v>
      </c>
      <c r="W387">
        <f t="shared" si="85"/>
        <v>1.4799472104375783E-2</v>
      </c>
      <c r="X387" s="25">
        <v>4405.3879166666666</v>
      </c>
      <c r="Y387">
        <f t="shared" si="75"/>
        <v>0.181455159457478</v>
      </c>
      <c r="Z387">
        <f t="shared" si="77"/>
        <v>9.5355273355676576E-2</v>
      </c>
      <c r="AA387">
        <f t="shared" si="78"/>
        <v>2.6044218357247594E-2</v>
      </c>
      <c r="AB387">
        <f t="shared" si="79"/>
        <v>0.13177600544616674</v>
      </c>
      <c r="AC387">
        <f t="shared" si="80"/>
        <v>1.229688960036624E-4</v>
      </c>
      <c r="AD387">
        <f t="shared" si="81"/>
        <v>2.1768806243372299E-4</v>
      </c>
      <c r="AE387">
        <f t="shared" si="82"/>
        <v>9.7127358969155836E-3</v>
      </c>
      <c r="AF387">
        <f t="shared" si="83"/>
        <v>3.3851062067972351E-2</v>
      </c>
      <c r="AG387">
        <f t="shared" si="76"/>
        <v>0.4785351115398942</v>
      </c>
      <c r="AH387">
        <v>0.43407607284596267</v>
      </c>
      <c r="AI387">
        <v>0.70128939828080228</v>
      </c>
      <c r="AJ387">
        <v>3.3787545078297072E-2</v>
      </c>
      <c r="AK387">
        <v>1.6393028742133699E-2</v>
      </c>
      <c r="AL387">
        <v>0.58673008599210708</v>
      </c>
    </row>
    <row r="388" spans="1:38" x14ac:dyDescent="0.25">
      <c r="A388">
        <v>13</v>
      </c>
      <c r="B388" s="5" t="s">
        <v>28</v>
      </c>
      <c r="C388" s="6" t="s">
        <v>5</v>
      </c>
      <c r="D388" s="6" t="s">
        <v>50</v>
      </c>
      <c r="E388" s="25">
        <v>53109.85</v>
      </c>
      <c r="F388" s="11">
        <v>15</v>
      </c>
      <c r="G388" s="11"/>
      <c r="H388" s="11">
        <f t="shared" si="86"/>
        <v>15</v>
      </c>
      <c r="I388" s="18">
        <v>0</v>
      </c>
      <c r="J388" s="19">
        <v>0</v>
      </c>
      <c r="K388" s="19">
        <v>0</v>
      </c>
      <c r="L388" s="6">
        <v>8193895.5</v>
      </c>
      <c r="M388" s="7">
        <v>3930386</v>
      </c>
      <c r="N388" s="7">
        <v>1105200.875</v>
      </c>
      <c r="O388" s="7">
        <v>5433464.5</v>
      </c>
      <c r="P388" s="7">
        <v>5218.25341796875</v>
      </c>
      <c r="Q388" s="7">
        <v>12915.6435546875</v>
      </c>
      <c r="R388" s="7">
        <v>393961.4375</v>
      </c>
      <c r="S388" s="7">
        <v>1451237.625</v>
      </c>
      <c r="T388" s="31">
        <f t="shared" si="87"/>
        <v>2052.6279834472657</v>
      </c>
      <c r="U388" s="37">
        <v>4271.333333333333</v>
      </c>
      <c r="V388">
        <f t="shared" si="88"/>
        <v>0.48055907213530497</v>
      </c>
      <c r="W388">
        <f t="shared" si="85"/>
        <v>4.2294923540673887E-3</v>
      </c>
      <c r="X388" s="25">
        <v>4588.6437500000002</v>
      </c>
      <c r="Y388">
        <f t="shared" ref="Y388:Y451" si="89">L388/$U388/10000</f>
        <v>0.19183460668019353</v>
      </c>
      <c r="Z388">
        <f t="shared" si="77"/>
        <v>9.2017777430934922E-2</v>
      </c>
      <c r="AA388">
        <f t="shared" si="78"/>
        <v>2.5874844896207276E-2</v>
      </c>
      <c r="AB388">
        <f t="shared" si="79"/>
        <v>0.12720769080692995</v>
      </c>
      <c r="AC388">
        <f t="shared" si="80"/>
        <v>1.2216919192996917E-4</v>
      </c>
      <c r="AD388">
        <f t="shared" si="81"/>
        <v>3.0237966805105743E-4</v>
      </c>
      <c r="AE388">
        <f t="shared" si="82"/>
        <v>9.2233831161229914E-3</v>
      </c>
      <c r="AF388">
        <f t="shared" si="83"/>
        <v>3.3976220344935228E-2</v>
      </c>
      <c r="AG388">
        <f t="shared" ref="AG388:AG451" si="90">SUM(Y388:AF388)</f>
        <v>0.48055907213530497</v>
      </c>
      <c r="AH388">
        <v>0.43407607284596267</v>
      </c>
      <c r="AI388">
        <v>0.70128939828080228</v>
      </c>
      <c r="AJ388">
        <v>3.3787545078297072E-2</v>
      </c>
      <c r="AK388">
        <v>1.6393028742133699E-2</v>
      </c>
      <c r="AL388">
        <v>0.58673008599210708</v>
      </c>
    </row>
    <row r="389" spans="1:38" x14ac:dyDescent="0.25">
      <c r="A389">
        <v>13</v>
      </c>
      <c r="B389" s="5" t="s">
        <v>28</v>
      </c>
      <c r="C389" s="6" t="s">
        <v>5</v>
      </c>
      <c r="D389" s="6" t="s">
        <v>51</v>
      </c>
      <c r="E389" s="25">
        <v>53109.85</v>
      </c>
      <c r="F389" s="11">
        <v>16</v>
      </c>
      <c r="G389" s="11"/>
      <c r="H389" s="11">
        <f t="shared" si="86"/>
        <v>16</v>
      </c>
      <c r="I389" s="18">
        <v>0</v>
      </c>
      <c r="J389" s="19">
        <v>0</v>
      </c>
      <c r="K389" s="19">
        <v>0</v>
      </c>
      <c r="L389" s="6">
        <v>7168436</v>
      </c>
      <c r="M389" s="7">
        <v>4102331.5</v>
      </c>
      <c r="N389" s="7">
        <v>1105201</v>
      </c>
      <c r="O389" s="7">
        <v>5670707.5</v>
      </c>
      <c r="P389" s="7">
        <v>5218.25341796875</v>
      </c>
      <c r="Q389" s="7">
        <v>35539.93359375</v>
      </c>
      <c r="R389" s="7">
        <v>388425.40625</v>
      </c>
      <c r="S389" s="7">
        <v>1474238.25</v>
      </c>
      <c r="T389" s="31">
        <f t="shared" si="87"/>
        <v>1995.0097843261719</v>
      </c>
      <c r="U389" s="37">
        <v>4517.333333333333</v>
      </c>
      <c r="V389">
        <f t="shared" si="88"/>
        <v>0.44163439735673821</v>
      </c>
      <c r="W389">
        <f t="shared" si="85"/>
        <v>-8.0998730511131059E-2</v>
      </c>
      <c r="X389" s="25">
        <v>4771.8995833333338</v>
      </c>
      <c r="Y389">
        <f t="shared" si="89"/>
        <v>0.15868733766233767</v>
      </c>
      <c r="Z389">
        <f t="shared" si="77"/>
        <v>9.0813123524203079E-2</v>
      </c>
      <c r="AA389">
        <f t="shared" si="78"/>
        <v>2.4465783648170016E-2</v>
      </c>
      <c r="AB389">
        <f t="shared" si="79"/>
        <v>0.12553219082054312</v>
      </c>
      <c r="AC389">
        <f t="shared" si="80"/>
        <v>1.1551623563980409E-4</v>
      </c>
      <c r="AD389">
        <f t="shared" si="81"/>
        <v>7.8674587353342684E-4</v>
      </c>
      <c r="AE389">
        <f t="shared" si="82"/>
        <v>8.5985553331611574E-3</v>
      </c>
      <c r="AF389">
        <f t="shared" si="83"/>
        <v>3.2635144259149942E-2</v>
      </c>
      <c r="AG389">
        <f t="shared" si="90"/>
        <v>0.44163439735673826</v>
      </c>
      <c r="AH389">
        <v>0.43407607284596267</v>
      </c>
      <c r="AI389">
        <v>0.70128939828080228</v>
      </c>
      <c r="AJ389">
        <v>3.3787545078297072E-2</v>
      </c>
      <c r="AK389">
        <v>1.6393028742133699E-2</v>
      </c>
      <c r="AL389">
        <v>0.58673008599210708</v>
      </c>
    </row>
    <row r="390" spans="1:38" s="20" customFormat="1" x14ac:dyDescent="0.25">
      <c r="A390">
        <v>13</v>
      </c>
      <c r="B390" s="5" t="s">
        <v>28</v>
      </c>
      <c r="C390" s="6" t="s">
        <v>5</v>
      </c>
      <c r="D390" s="6" t="s">
        <v>52</v>
      </c>
      <c r="E390" s="25">
        <v>53109.85</v>
      </c>
      <c r="F390" s="11">
        <v>17</v>
      </c>
      <c r="G390" s="11"/>
      <c r="H390" s="11">
        <f t="shared" si="86"/>
        <v>17</v>
      </c>
      <c r="I390" s="18">
        <v>0</v>
      </c>
      <c r="J390" s="19">
        <v>0</v>
      </c>
      <c r="K390" s="19">
        <v>0</v>
      </c>
      <c r="L390" s="6">
        <v>7047804</v>
      </c>
      <c r="M390" s="7">
        <v>4222208.5</v>
      </c>
      <c r="N390" s="7">
        <v>1105201.375</v>
      </c>
      <c r="O390" s="7">
        <v>5832363</v>
      </c>
      <c r="P390" s="7">
        <v>5218.25341796875</v>
      </c>
      <c r="Q390" s="7">
        <v>49043.03515625</v>
      </c>
      <c r="R390" s="7">
        <v>413032.09375</v>
      </c>
      <c r="S390" s="7">
        <v>1524746.875</v>
      </c>
      <c r="T390" s="31">
        <f t="shared" si="87"/>
        <v>2019.961713232422</v>
      </c>
      <c r="U390" s="37">
        <v>4763.333333333333</v>
      </c>
      <c r="V390">
        <f t="shared" si="88"/>
        <v>0.42406474035670161</v>
      </c>
      <c r="W390">
        <f t="shared" si="85"/>
        <v>-3.9783262139892576E-2</v>
      </c>
      <c r="X390" s="25">
        <v>4955.1554166666665</v>
      </c>
      <c r="Y390">
        <f t="shared" si="89"/>
        <v>0.14795949615115467</v>
      </c>
      <c r="Z390">
        <f t="shared" si="77"/>
        <v>8.8639786564030792E-2</v>
      </c>
      <c r="AA390">
        <f t="shared" si="78"/>
        <v>2.3202268194541638E-2</v>
      </c>
      <c r="AB390">
        <f t="shared" si="79"/>
        <v>0.12244289013296011</v>
      </c>
      <c r="AC390">
        <f t="shared" si="80"/>
        <v>1.0955045664035165E-4</v>
      </c>
      <c r="AD390">
        <f t="shared" si="81"/>
        <v>1.029594859823303E-3</v>
      </c>
      <c r="AE390">
        <f t="shared" si="82"/>
        <v>8.6710726469559126E-3</v>
      </c>
      <c r="AF390">
        <f t="shared" si="83"/>
        <v>3.201008135059482E-2</v>
      </c>
      <c r="AG390">
        <f t="shared" si="90"/>
        <v>0.42406474035670161</v>
      </c>
      <c r="AH390" s="20">
        <v>0.43407607284596267</v>
      </c>
      <c r="AI390" s="20">
        <v>0.70128939828080228</v>
      </c>
      <c r="AJ390" s="20">
        <v>3.3787545078297072E-2</v>
      </c>
      <c r="AK390" s="20">
        <v>1.6393028742133699E-2</v>
      </c>
      <c r="AL390" s="20">
        <v>0.58673008599210708</v>
      </c>
    </row>
    <row r="391" spans="1:38" x14ac:dyDescent="0.25">
      <c r="A391">
        <v>13</v>
      </c>
      <c r="B391" s="5" t="s">
        <v>28</v>
      </c>
      <c r="C391" s="6" t="s">
        <v>5</v>
      </c>
      <c r="D391" s="6" t="s">
        <v>53</v>
      </c>
      <c r="E391" s="25">
        <v>53109.85</v>
      </c>
      <c r="F391" s="11">
        <v>18</v>
      </c>
      <c r="G391" s="11"/>
      <c r="H391" s="11">
        <f t="shared" si="86"/>
        <v>18</v>
      </c>
      <c r="I391" s="18">
        <v>0</v>
      </c>
      <c r="J391" s="19">
        <v>0</v>
      </c>
      <c r="K391" s="19">
        <v>0</v>
      </c>
      <c r="L391" s="6">
        <v>7528150</v>
      </c>
      <c r="M391" s="7">
        <v>4207574</v>
      </c>
      <c r="N391" s="7">
        <v>1105201.375</v>
      </c>
      <c r="O391" s="7">
        <v>5811859</v>
      </c>
      <c r="P391" s="7">
        <v>5218.25341796875</v>
      </c>
      <c r="Q391" s="7">
        <v>32424.54296875</v>
      </c>
      <c r="R391" s="7">
        <v>408307.28125</v>
      </c>
      <c r="S391" s="7">
        <v>1505020.375</v>
      </c>
      <c r="T391" s="31">
        <f t="shared" si="87"/>
        <v>2060.3754827636717</v>
      </c>
      <c r="U391" s="37">
        <v>5009.333333333333</v>
      </c>
      <c r="V391">
        <f t="shared" si="88"/>
        <v>0.41130732288335209</v>
      </c>
      <c r="W391">
        <f t="shared" si="85"/>
        <v>-3.0083655298996637E-2</v>
      </c>
      <c r="X391" s="25">
        <v>5138.4112500000001</v>
      </c>
      <c r="Y391">
        <f t="shared" si="89"/>
        <v>0.15028247271759382</v>
      </c>
      <c r="Z391">
        <f t="shared" si="77"/>
        <v>8.3994689912163967E-2</v>
      </c>
      <c r="AA391">
        <f t="shared" si="78"/>
        <v>2.2062843525419221E-2</v>
      </c>
      <c r="AB391">
        <f t="shared" si="79"/>
        <v>0.11602060819803034</v>
      </c>
      <c r="AC391">
        <f t="shared" si="80"/>
        <v>1.0417061654183026E-4</v>
      </c>
      <c r="AD391">
        <f t="shared" si="81"/>
        <v>6.4728259852442111E-4</v>
      </c>
      <c r="AE391">
        <f t="shared" si="82"/>
        <v>8.1509305546313554E-3</v>
      </c>
      <c r="AF391">
        <f t="shared" si="83"/>
        <v>3.0044324760447164E-2</v>
      </c>
      <c r="AG391">
        <f t="shared" si="90"/>
        <v>0.41130732288335209</v>
      </c>
      <c r="AH391">
        <v>0.43407607284596267</v>
      </c>
      <c r="AI391">
        <v>0.70128939828080228</v>
      </c>
      <c r="AJ391">
        <v>3.3787545078297072E-2</v>
      </c>
      <c r="AK391">
        <v>1.6393028742133699E-2</v>
      </c>
      <c r="AL391">
        <v>0.58673008599210708</v>
      </c>
    </row>
    <row r="392" spans="1:38" x14ac:dyDescent="0.25">
      <c r="A392">
        <v>13</v>
      </c>
      <c r="B392" s="5" t="s">
        <v>28</v>
      </c>
      <c r="C392" s="6" t="s">
        <v>5</v>
      </c>
      <c r="D392" s="6" t="s">
        <v>54</v>
      </c>
      <c r="E392" s="25">
        <v>53109.85</v>
      </c>
      <c r="F392" s="11">
        <v>19</v>
      </c>
      <c r="G392" s="11"/>
      <c r="H392" s="11">
        <f t="shared" si="86"/>
        <v>19</v>
      </c>
      <c r="I392" s="18">
        <v>0</v>
      </c>
      <c r="J392" s="19">
        <v>0</v>
      </c>
      <c r="K392" s="19">
        <v>0</v>
      </c>
      <c r="L392" s="6">
        <v>8398531</v>
      </c>
      <c r="M392" s="7">
        <v>4245897</v>
      </c>
      <c r="N392" s="7">
        <v>1105735.5</v>
      </c>
      <c r="O392" s="7">
        <v>5865467</v>
      </c>
      <c r="P392" s="7">
        <v>5220.75830078125</v>
      </c>
      <c r="Q392" s="7">
        <v>14994.998046875</v>
      </c>
      <c r="R392" s="7">
        <v>407779.34375</v>
      </c>
      <c r="S392" s="7">
        <v>1452551.375</v>
      </c>
      <c r="T392" s="31">
        <f t="shared" si="87"/>
        <v>2149.6176975097655</v>
      </c>
      <c r="U392" s="37">
        <v>5255.333333333333</v>
      </c>
      <c r="V392">
        <f t="shared" si="88"/>
        <v>0.40903546191356699</v>
      </c>
      <c r="W392">
        <f t="shared" si="85"/>
        <v>-5.5235120878929893E-3</v>
      </c>
      <c r="X392" s="25">
        <v>5321.6670833333337</v>
      </c>
      <c r="Y392">
        <f t="shared" si="89"/>
        <v>0.15980967271343396</v>
      </c>
      <c r="Z392">
        <f t="shared" si="77"/>
        <v>8.0792154002283401E-2</v>
      </c>
      <c r="AA392">
        <f t="shared" si="78"/>
        <v>2.1040254344792592E-2</v>
      </c>
      <c r="AB392">
        <f t="shared" si="79"/>
        <v>0.11160979956869212</v>
      </c>
      <c r="AC392">
        <f t="shared" si="80"/>
        <v>9.9342096298006785E-5</v>
      </c>
      <c r="AD392">
        <f t="shared" si="81"/>
        <v>2.8532915223027403E-4</v>
      </c>
      <c r="AE392">
        <f t="shared" si="82"/>
        <v>7.7593430879741221E-3</v>
      </c>
      <c r="AF392">
        <f t="shared" si="83"/>
        <v>2.7639566947862487E-2</v>
      </c>
      <c r="AG392">
        <f t="shared" si="90"/>
        <v>0.40903546191356699</v>
      </c>
      <c r="AH392">
        <v>0.43407607284596267</v>
      </c>
      <c r="AI392">
        <v>0.70128939828080228</v>
      </c>
      <c r="AJ392">
        <v>3.3787545078297072E-2</v>
      </c>
      <c r="AK392">
        <v>1.6393028742133699E-2</v>
      </c>
      <c r="AL392">
        <v>0.58673008599210708</v>
      </c>
    </row>
    <row r="393" spans="1:38" x14ac:dyDescent="0.25">
      <c r="A393">
        <v>13</v>
      </c>
      <c r="B393" s="5" t="s">
        <v>28</v>
      </c>
      <c r="C393" s="6" t="s">
        <v>5</v>
      </c>
      <c r="D393" s="6" t="s">
        <v>55</v>
      </c>
      <c r="E393" s="25">
        <v>54355.1</v>
      </c>
      <c r="F393" s="11">
        <v>20</v>
      </c>
      <c r="G393" s="11"/>
      <c r="H393" s="18">
        <f t="shared" si="86"/>
        <v>20</v>
      </c>
      <c r="I393" s="18">
        <v>0</v>
      </c>
      <c r="J393" s="19">
        <v>0</v>
      </c>
      <c r="K393" s="19">
        <v>0</v>
      </c>
      <c r="L393" s="14">
        <v>414254.125</v>
      </c>
      <c r="M393" s="16">
        <v>3981300.75</v>
      </c>
      <c r="N393" s="16">
        <v>2360254.5</v>
      </c>
      <c r="O393" s="16">
        <v>8829024</v>
      </c>
      <c r="P393" s="16">
        <v>5171.72314453125</v>
      </c>
      <c r="Q393" s="16">
        <v>9010.74609375</v>
      </c>
      <c r="R393" s="16">
        <v>5341913</v>
      </c>
      <c r="S393" s="16">
        <v>1785427.25</v>
      </c>
      <c r="T393" s="31">
        <f t="shared" si="87"/>
        <v>2272.6356094238281</v>
      </c>
      <c r="U393" s="37">
        <v>3838.1111111111104</v>
      </c>
      <c r="V393">
        <f t="shared" si="88"/>
        <v>0.59212345438480896</v>
      </c>
      <c r="W393">
        <f t="shared" si="85"/>
        <v>0.44760909387834485</v>
      </c>
      <c r="X393" s="25">
        <v>3342.5175000000017</v>
      </c>
      <c r="Y393">
        <f t="shared" si="89"/>
        <v>1.0793176982311902E-2</v>
      </c>
      <c r="Z393">
        <f t="shared" si="77"/>
        <v>0.1037307319862201</v>
      </c>
      <c r="AA393">
        <f t="shared" si="78"/>
        <v>6.1495210317575211E-2</v>
      </c>
      <c r="AB393">
        <f t="shared" si="79"/>
        <v>0.2300356541122659</v>
      </c>
      <c r="AC393">
        <f t="shared" si="80"/>
        <v>1.3474657181131129E-4</v>
      </c>
      <c r="AD393">
        <f t="shared" si="81"/>
        <v>2.3477032928162007E-4</v>
      </c>
      <c r="AE393">
        <f t="shared" si="82"/>
        <v>0.13918078047650756</v>
      </c>
      <c r="AF393">
        <f t="shared" si="83"/>
        <v>4.6518383608835374E-2</v>
      </c>
      <c r="AG393">
        <f t="shared" si="90"/>
        <v>0.59212345438480896</v>
      </c>
      <c r="AH393">
        <v>0.43239364843409356</v>
      </c>
      <c r="AI393">
        <v>0.71049486014821894</v>
      </c>
      <c r="AJ393">
        <v>3.3747206557429951E-2</v>
      </c>
      <c r="AK393">
        <v>1.687587733257781E-2</v>
      </c>
      <c r="AL393">
        <v>0.61303992395112794</v>
      </c>
    </row>
    <row r="394" spans="1:38" x14ac:dyDescent="0.25">
      <c r="A394">
        <v>13</v>
      </c>
      <c r="B394" s="5" t="s">
        <v>28</v>
      </c>
      <c r="C394" s="6" t="s">
        <v>5</v>
      </c>
      <c r="D394" s="6" t="s">
        <v>56</v>
      </c>
      <c r="E394" s="25">
        <v>54355.1</v>
      </c>
      <c r="F394" s="11">
        <v>21</v>
      </c>
      <c r="G394" s="11"/>
      <c r="H394" s="11">
        <f t="shared" si="86"/>
        <v>21</v>
      </c>
      <c r="I394" s="18">
        <v>0</v>
      </c>
      <c r="J394" s="19">
        <v>0</v>
      </c>
      <c r="K394" s="19">
        <v>0</v>
      </c>
      <c r="L394" s="6">
        <v>396672.96875</v>
      </c>
      <c r="M394" s="7">
        <v>3902826</v>
      </c>
      <c r="N394" s="7">
        <v>2053933.5</v>
      </c>
      <c r="O394" s="7">
        <v>8718425</v>
      </c>
      <c r="P394" s="7">
        <v>5171.72314453125</v>
      </c>
      <c r="Q394" s="7">
        <v>12789.33984375</v>
      </c>
      <c r="R394" s="7">
        <v>5232185</v>
      </c>
      <c r="S394" s="7">
        <v>1807303.75</v>
      </c>
      <c r="T394" s="31">
        <f t="shared" si="87"/>
        <v>2212.9307281738279</v>
      </c>
      <c r="U394" s="37">
        <v>3993</v>
      </c>
      <c r="V394">
        <f t="shared" si="88"/>
        <v>0.554202536482301</v>
      </c>
      <c r="W394">
        <f t="shared" si="85"/>
        <v>-6.4042249334484103E-2</v>
      </c>
      <c r="X394" s="25">
        <v>3558.3491666666678</v>
      </c>
      <c r="Y394">
        <f t="shared" si="89"/>
        <v>9.9342090846481334E-3</v>
      </c>
      <c r="Z394">
        <f t="shared" si="77"/>
        <v>9.7741697971450034E-2</v>
      </c>
      <c r="AA394">
        <f t="shared" si="78"/>
        <v>5.1438354620586026E-2</v>
      </c>
      <c r="AB394">
        <f t="shared" si="79"/>
        <v>0.21834272476834463</v>
      </c>
      <c r="AC394">
        <f t="shared" si="80"/>
        <v>1.295197381550526E-4</v>
      </c>
      <c r="AD394">
        <f t="shared" si="81"/>
        <v>3.2029401061232156E-4</v>
      </c>
      <c r="AE394">
        <f t="shared" si="82"/>
        <v>0.13103393438517405</v>
      </c>
      <c r="AF394">
        <f t="shared" si="83"/>
        <v>4.5261801903330831E-2</v>
      </c>
      <c r="AG394">
        <f t="shared" si="90"/>
        <v>0.55420253648230111</v>
      </c>
      <c r="AH394">
        <v>0.43239364843409356</v>
      </c>
      <c r="AI394">
        <v>0.71049486014821894</v>
      </c>
      <c r="AJ394">
        <v>3.3747206557429951E-2</v>
      </c>
      <c r="AK394">
        <v>1.687587733257781E-2</v>
      </c>
      <c r="AL394">
        <v>0.61303992395112794</v>
      </c>
    </row>
    <row r="395" spans="1:38" x14ac:dyDescent="0.25">
      <c r="A395">
        <v>13</v>
      </c>
      <c r="B395" s="5" t="s">
        <v>28</v>
      </c>
      <c r="C395" s="6" t="s">
        <v>5</v>
      </c>
      <c r="D395" s="6" t="s">
        <v>57</v>
      </c>
      <c r="E395" s="25">
        <v>54355.1</v>
      </c>
      <c r="F395" s="11">
        <v>22</v>
      </c>
      <c r="G395" s="11"/>
      <c r="H395" s="11">
        <f t="shared" si="86"/>
        <v>22</v>
      </c>
      <c r="I395" s="18">
        <v>0</v>
      </c>
      <c r="J395" s="19">
        <v>0</v>
      </c>
      <c r="K395" s="19">
        <v>0</v>
      </c>
      <c r="L395" s="6">
        <v>390941.6875</v>
      </c>
      <c r="M395" s="7">
        <v>4051439.75</v>
      </c>
      <c r="N395" s="7">
        <v>1329893.5</v>
      </c>
      <c r="O395" s="7">
        <v>9841509</v>
      </c>
      <c r="P395" s="7">
        <v>5171.72314453125</v>
      </c>
      <c r="Q395" s="7">
        <v>37071.0625</v>
      </c>
      <c r="R395" s="7">
        <v>5433841</v>
      </c>
      <c r="S395" s="7">
        <v>1847502.625</v>
      </c>
      <c r="T395" s="31">
        <f t="shared" si="87"/>
        <v>2293.7370348144532</v>
      </c>
      <c r="U395" s="37">
        <v>4147.8888888888896</v>
      </c>
      <c r="V395">
        <f t="shared" si="88"/>
        <v>0.55298902556401053</v>
      </c>
      <c r="W395">
        <f t="shared" si="85"/>
        <v>-2.1896524075710848E-3</v>
      </c>
      <c r="X395" s="25">
        <v>3774.1808333333342</v>
      </c>
      <c r="Y395">
        <f t="shared" si="89"/>
        <v>9.4250761766360384E-3</v>
      </c>
      <c r="Z395">
        <f t="shared" si="77"/>
        <v>9.7674741501700982E-2</v>
      </c>
      <c r="AA395">
        <f t="shared" si="78"/>
        <v>3.206193646031448E-2</v>
      </c>
      <c r="AB395">
        <f t="shared" si="79"/>
        <v>0.23726549248613746</v>
      </c>
      <c r="AC395">
        <f t="shared" si="80"/>
        <v>1.2468326136664233E-4</v>
      </c>
      <c r="AD395">
        <f t="shared" si="81"/>
        <v>8.9373325788218898E-4</v>
      </c>
      <c r="AE395">
        <f t="shared" si="82"/>
        <v>0.13100256891055689</v>
      </c>
      <c r="AF395">
        <f t="shared" si="83"/>
        <v>4.4540793509415762E-2</v>
      </c>
      <c r="AG395">
        <f t="shared" si="90"/>
        <v>0.55298902556401042</v>
      </c>
      <c r="AH395">
        <v>0.43239364843409356</v>
      </c>
      <c r="AI395">
        <v>0.71049486014821894</v>
      </c>
      <c r="AJ395">
        <v>3.3747206557429951E-2</v>
      </c>
      <c r="AK395">
        <v>1.687587733257781E-2</v>
      </c>
      <c r="AL395">
        <v>0.61303992395112794</v>
      </c>
    </row>
    <row r="396" spans="1:38" x14ac:dyDescent="0.25">
      <c r="A396">
        <v>13</v>
      </c>
      <c r="B396" s="5" t="s">
        <v>28</v>
      </c>
      <c r="C396" s="6" t="s">
        <v>5</v>
      </c>
      <c r="D396" s="6" t="s">
        <v>58</v>
      </c>
      <c r="E396" s="25">
        <v>54355.1</v>
      </c>
      <c r="F396" s="11">
        <v>23</v>
      </c>
      <c r="G396" s="11"/>
      <c r="H396" s="11">
        <f t="shared" si="86"/>
        <v>23</v>
      </c>
      <c r="I396" s="18">
        <v>0</v>
      </c>
      <c r="J396" s="19">
        <v>0</v>
      </c>
      <c r="K396" s="19">
        <v>0</v>
      </c>
      <c r="L396" s="6">
        <v>413985.90625</v>
      </c>
      <c r="M396" s="7">
        <v>4115725.25</v>
      </c>
      <c r="N396" s="7">
        <v>868445.0625</v>
      </c>
      <c r="O396" s="7">
        <v>8851312</v>
      </c>
      <c r="P396" s="7">
        <v>5171.72314453125</v>
      </c>
      <c r="Q396" s="7">
        <v>51070.6875</v>
      </c>
      <c r="R396" s="7">
        <v>5523809</v>
      </c>
      <c r="S396" s="7">
        <v>1908506.875</v>
      </c>
      <c r="T396" s="31">
        <f t="shared" si="87"/>
        <v>2173.8026504394529</v>
      </c>
      <c r="U396" s="37">
        <v>4302.7777777777783</v>
      </c>
      <c r="V396">
        <f t="shared" si="88"/>
        <v>0.50520913761020203</v>
      </c>
      <c r="W396">
        <f t="shared" si="85"/>
        <v>-8.6402958729743906E-2</v>
      </c>
      <c r="X396" s="25">
        <v>3990.0125000000007</v>
      </c>
      <c r="Y396">
        <f t="shared" si="89"/>
        <v>9.6213638637830858E-3</v>
      </c>
      <c r="Z396">
        <f t="shared" si="77"/>
        <v>9.5652749515816635E-2</v>
      </c>
      <c r="AA396">
        <f t="shared" si="78"/>
        <v>2.0183358457069072E-2</v>
      </c>
      <c r="AB396">
        <f t="shared" si="79"/>
        <v>0.20571157650096833</v>
      </c>
      <c r="AC396">
        <f t="shared" si="80"/>
        <v>1.2019498592842155E-4</v>
      </c>
      <c r="AD396">
        <f t="shared" si="81"/>
        <v>1.1869236604260813E-3</v>
      </c>
      <c r="AE396">
        <f t="shared" si="82"/>
        <v>0.12837774306003871</v>
      </c>
      <c r="AF396">
        <f t="shared" si="83"/>
        <v>4.4355227566171718E-2</v>
      </c>
      <c r="AG396">
        <f t="shared" si="90"/>
        <v>0.50520913761020203</v>
      </c>
      <c r="AH396">
        <v>0.43239364843409356</v>
      </c>
      <c r="AI396">
        <v>0.71049486014821894</v>
      </c>
      <c r="AJ396">
        <v>3.3747206557429951E-2</v>
      </c>
      <c r="AK396">
        <v>1.687587733257781E-2</v>
      </c>
      <c r="AL396">
        <v>0.61303992395112794</v>
      </c>
    </row>
    <row r="397" spans="1:38" x14ac:dyDescent="0.25">
      <c r="A397">
        <v>13</v>
      </c>
      <c r="B397" s="5" t="s">
        <v>28</v>
      </c>
      <c r="C397" s="6" t="s">
        <v>5</v>
      </c>
      <c r="D397" s="6" t="s">
        <v>59</v>
      </c>
      <c r="E397" s="25">
        <v>54355.1</v>
      </c>
      <c r="F397" s="11">
        <v>24</v>
      </c>
      <c r="G397" s="11"/>
      <c r="H397" s="11">
        <f t="shared" si="86"/>
        <v>24</v>
      </c>
      <c r="I397" s="18">
        <v>0</v>
      </c>
      <c r="J397" s="19">
        <v>0</v>
      </c>
      <c r="K397" s="19">
        <v>0</v>
      </c>
      <c r="L397" s="6">
        <v>408873.8125</v>
      </c>
      <c r="M397" s="7">
        <v>4071806.25</v>
      </c>
      <c r="N397" s="7">
        <v>554418.875</v>
      </c>
      <c r="O397" s="7">
        <v>8800883</v>
      </c>
      <c r="P397" s="7">
        <v>5171.72314453125</v>
      </c>
      <c r="Q397" s="7">
        <v>33553.0546875</v>
      </c>
      <c r="R397" s="7">
        <v>5467470</v>
      </c>
      <c r="S397" s="7">
        <v>1896176.625</v>
      </c>
      <c r="T397" s="31">
        <f t="shared" si="87"/>
        <v>2123.8353340332033</v>
      </c>
      <c r="U397" s="37">
        <v>4457.666666666667</v>
      </c>
      <c r="V397">
        <f t="shared" si="88"/>
        <v>0.47644552472142448</v>
      </c>
      <c r="W397">
        <f t="shared" si="85"/>
        <v>-5.6934070956908008E-2</v>
      </c>
      <c r="X397" s="25">
        <v>4205.8441666666668</v>
      </c>
      <c r="Y397">
        <f t="shared" si="89"/>
        <v>9.1723729716593119E-3</v>
      </c>
      <c r="Z397">
        <f t="shared" si="77"/>
        <v>9.1343892544679561E-2</v>
      </c>
      <c r="AA397">
        <f t="shared" si="78"/>
        <v>1.2437423353024751E-2</v>
      </c>
      <c r="AB397">
        <f t="shared" si="79"/>
        <v>0.19743250579525909</v>
      </c>
      <c r="AC397">
        <f t="shared" si="80"/>
        <v>1.1601861537122373E-4</v>
      </c>
      <c r="AD397">
        <f t="shared" si="81"/>
        <v>7.5270443477529344E-4</v>
      </c>
      <c r="AE397">
        <f t="shared" si="82"/>
        <v>0.12265318178419202</v>
      </c>
      <c r="AF397">
        <f t="shared" si="83"/>
        <v>4.253742522246317E-2</v>
      </c>
      <c r="AG397">
        <f t="shared" si="90"/>
        <v>0.47644552472142443</v>
      </c>
      <c r="AH397">
        <v>0.43239364843409356</v>
      </c>
      <c r="AI397">
        <v>0.71049486014821894</v>
      </c>
      <c r="AJ397">
        <v>3.3747206557429951E-2</v>
      </c>
      <c r="AK397">
        <v>1.687587733257781E-2</v>
      </c>
      <c r="AL397">
        <v>0.61303992395112794</v>
      </c>
    </row>
    <row r="398" spans="1:38" x14ac:dyDescent="0.25">
      <c r="A398">
        <v>13</v>
      </c>
      <c r="B398" s="5" t="s">
        <v>28</v>
      </c>
      <c r="C398" s="6" t="s">
        <v>5</v>
      </c>
      <c r="D398" s="6" t="s">
        <v>60</v>
      </c>
      <c r="E398" s="25">
        <v>54355.1</v>
      </c>
      <c r="F398" s="11">
        <v>25</v>
      </c>
      <c r="G398" s="11"/>
      <c r="H398" s="11">
        <f t="shared" si="86"/>
        <v>25</v>
      </c>
      <c r="I398" s="18">
        <v>0</v>
      </c>
      <c r="J398" s="19">
        <v>0</v>
      </c>
      <c r="K398" s="19">
        <v>0</v>
      </c>
      <c r="L398" s="6">
        <v>407789.625</v>
      </c>
      <c r="M398" s="7">
        <v>4093539.5</v>
      </c>
      <c r="N398" s="7">
        <v>308086.65625</v>
      </c>
      <c r="O398" s="7">
        <v>9228404</v>
      </c>
      <c r="P398" s="7">
        <v>5171.72314453125</v>
      </c>
      <c r="Q398" s="7">
        <v>16431.06640625</v>
      </c>
      <c r="R398" s="7">
        <v>5498150</v>
      </c>
      <c r="S398" s="7">
        <v>1841991.25</v>
      </c>
      <c r="T398" s="31">
        <f t="shared" si="87"/>
        <v>2139.9563820800781</v>
      </c>
      <c r="U398" s="37">
        <v>4465.1111111111113</v>
      </c>
      <c r="V398">
        <f t="shared" si="88"/>
        <v>0.47926161943763257</v>
      </c>
      <c r="W398">
        <f t="shared" si="85"/>
        <v>5.9106331575989549E-3</v>
      </c>
      <c r="X398" s="25">
        <v>4421.6758333333328</v>
      </c>
      <c r="Y398">
        <f t="shared" si="89"/>
        <v>9.1327990469317662E-3</v>
      </c>
      <c r="Z398">
        <f t="shared" si="77"/>
        <v>9.1678334494600111E-2</v>
      </c>
      <c r="AA398">
        <f t="shared" si="78"/>
        <v>6.8998653915542715E-3</v>
      </c>
      <c r="AB398">
        <f t="shared" si="79"/>
        <v>0.20667803712735777</v>
      </c>
      <c r="AC398">
        <f t="shared" si="80"/>
        <v>1.1582518364798997E-4</v>
      </c>
      <c r="AD398">
        <f t="shared" si="81"/>
        <v>3.6798785063517142E-4</v>
      </c>
      <c r="AE398">
        <f t="shared" si="82"/>
        <v>0.12313579355994625</v>
      </c>
      <c r="AF398">
        <f t="shared" si="83"/>
        <v>4.1252976782959243E-2</v>
      </c>
      <c r="AG398">
        <f t="shared" si="90"/>
        <v>0.47926161943763257</v>
      </c>
      <c r="AH398">
        <v>0.43239364843409356</v>
      </c>
      <c r="AI398">
        <v>0.71049486014821894</v>
      </c>
      <c r="AJ398">
        <v>3.3747206557429951E-2</v>
      </c>
      <c r="AK398">
        <v>1.687587733257781E-2</v>
      </c>
      <c r="AL398">
        <v>0.61303992395112794</v>
      </c>
    </row>
    <row r="399" spans="1:38" x14ac:dyDescent="0.25">
      <c r="A399">
        <v>13</v>
      </c>
      <c r="B399" s="5" t="s">
        <v>28</v>
      </c>
      <c r="C399" s="6" t="s">
        <v>5</v>
      </c>
      <c r="D399" s="6" t="s">
        <v>61</v>
      </c>
      <c r="E399" s="25">
        <v>54355.1</v>
      </c>
      <c r="F399" s="11">
        <v>26</v>
      </c>
      <c r="G399" s="11"/>
      <c r="H399" s="11">
        <f t="shared" si="86"/>
        <v>26</v>
      </c>
      <c r="I399" s="18">
        <v>0</v>
      </c>
      <c r="J399" s="19">
        <v>0</v>
      </c>
      <c r="K399" s="19">
        <v>0</v>
      </c>
      <c r="L399" s="6">
        <v>412983</v>
      </c>
      <c r="M399" s="7">
        <v>3930115.5</v>
      </c>
      <c r="N399" s="7">
        <v>229363.171875</v>
      </c>
      <c r="O399" s="7">
        <v>10442618</v>
      </c>
      <c r="P399" s="7">
        <v>5171.72314453125</v>
      </c>
      <c r="Q399" s="7">
        <v>9882.841796875</v>
      </c>
      <c r="R399" s="7">
        <v>5278610.5</v>
      </c>
      <c r="S399" s="7">
        <v>1808632.625</v>
      </c>
      <c r="T399" s="31">
        <f t="shared" si="87"/>
        <v>2211.7377361816407</v>
      </c>
      <c r="U399" s="37">
        <v>4472.5555555555557</v>
      </c>
      <c r="V399">
        <f t="shared" si="88"/>
        <v>0.49451319468448973</v>
      </c>
      <c r="W399">
        <f t="shared" si="85"/>
        <v>3.182306829566995E-2</v>
      </c>
      <c r="X399" s="25">
        <v>4637.5074999999997</v>
      </c>
      <c r="Y399">
        <f t="shared" si="89"/>
        <v>9.2337142573224347E-3</v>
      </c>
      <c r="Z399">
        <f t="shared" si="77"/>
        <v>8.7871809554567359E-2</v>
      </c>
      <c r="AA399">
        <f t="shared" si="78"/>
        <v>5.1282352790475248E-3</v>
      </c>
      <c r="AB399">
        <f t="shared" si="79"/>
        <v>0.23348213052443298</v>
      </c>
      <c r="AC399">
        <f t="shared" si="80"/>
        <v>1.1563239584821317E-4</v>
      </c>
      <c r="AD399">
        <f t="shared" si="81"/>
        <v>2.2096632840254142E-4</v>
      </c>
      <c r="AE399">
        <f t="shared" si="82"/>
        <v>0.11802224554691575</v>
      </c>
      <c r="AF399">
        <f t="shared" si="83"/>
        <v>4.0438460797952942E-2</v>
      </c>
      <c r="AG399">
        <f t="shared" si="90"/>
        <v>0.49451319468448973</v>
      </c>
      <c r="AH399">
        <v>0.43239364843409356</v>
      </c>
      <c r="AI399">
        <v>0.71049486014821894</v>
      </c>
      <c r="AJ399">
        <v>3.3747206557429951E-2</v>
      </c>
      <c r="AK399">
        <v>1.687587733257781E-2</v>
      </c>
      <c r="AL399">
        <v>0.61303992395112794</v>
      </c>
    </row>
    <row r="400" spans="1:38" x14ac:dyDescent="0.25">
      <c r="A400">
        <v>13</v>
      </c>
      <c r="B400" s="5" t="s">
        <v>28</v>
      </c>
      <c r="C400" s="6" t="s">
        <v>5</v>
      </c>
      <c r="D400" s="6" t="s">
        <v>62</v>
      </c>
      <c r="E400" s="25">
        <v>54355.1</v>
      </c>
      <c r="F400" s="11">
        <v>27</v>
      </c>
      <c r="G400" s="11"/>
      <c r="H400" s="11">
        <f t="shared" si="86"/>
        <v>27</v>
      </c>
      <c r="I400" s="18">
        <v>0</v>
      </c>
      <c r="J400" s="19">
        <v>0</v>
      </c>
      <c r="K400" s="19">
        <v>0</v>
      </c>
      <c r="L400" s="6">
        <v>395589.46875</v>
      </c>
      <c r="M400" s="7">
        <v>3817556.5</v>
      </c>
      <c r="N400" s="7">
        <v>254944.09375</v>
      </c>
      <c r="O400" s="7">
        <v>11059491</v>
      </c>
      <c r="P400" s="7">
        <v>5171.72314453125</v>
      </c>
      <c r="Q400" s="7">
        <v>13822.064453125</v>
      </c>
      <c r="R400" s="7">
        <v>5129062.5</v>
      </c>
      <c r="S400" s="7">
        <v>1826265</v>
      </c>
      <c r="T400" s="31">
        <f t="shared" si="87"/>
        <v>2250.1902350097657</v>
      </c>
      <c r="U400" s="37">
        <v>4480</v>
      </c>
      <c r="V400">
        <f t="shared" si="88"/>
        <v>0.50227460602896556</v>
      </c>
      <c r="W400">
        <f t="shared" si="85"/>
        <v>1.5695054101494264E-2</v>
      </c>
      <c r="X400" s="25">
        <v>4853.3391666666657</v>
      </c>
      <c r="Y400">
        <f t="shared" si="89"/>
        <v>8.8301220703124999E-3</v>
      </c>
      <c r="Z400">
        <f t="shared" si="77"/>
        <v>8.5213314732142859E-2</v>
      </c>
      <c r="AA400">
        <f t="shared" si="78"/>
        <v>5.690716378348214E-3</v>
      </c>
      <c r="AB400">
        <f t="shared" si="79"/>
        <v>0.24686363839285713</v>
      </c>
      <c r="AC400">
        <f t="shared" si="80"/>
        <v>1.1544024876185826E-4</v>
      </c>
      <c r="AD400">
        <f t="shared" si="81"/>
        <v>3.0852822440011158E-4</v>
      </c>
      <c r="AE400">
        <f t="shared" si="82"/>
        <v>0.11448800223214287</v>
      </c>
      <c r="AF400">
        <f t="shared" si="83"/>
        <v>4.0764843750000002E-2</v>
      </c>
      <c r="AG400">
        <f t="shared" si="90"/>
        <v>0.50227460602896556</v>
      </c>
      <c r="AH400">
        <v>0.43239364843409356</v>
      </c>
      <c r="AI400">
        <v>0.71049486014821894</v>
      </c>
      <c r="AJ400">
        <v>3.3747206557429951E-2</v>
      </c>
      <c r="AK400">
        <v>1.687587733257781E-2</v>
      </c>
      <c r="AL400">
        <v>0.61303992395112794</v>
      </c>
    </row>
    <row r="401" spans="1:38" x14ac:dyDescent="0.25">
      <c r="A401">
        <v>13</v>
      </c>
      <c r="B401" s="5" t="s">
        <v>28</v>
      </c>
      <c r="C401" s="6" t="s">
        <v>5</v>
      </c>
      <c r="D401" s="6" t="s">
        <v>63</v>
      </c>
      <c r="E401" s="25">
        <v>54355.1</v>
      </c>
      <c r="F401" s="11">
        <v>28</v>
      </c>
      <c r="G401" s="11"/>
      <c r="H401" s="11">
        <f t="shared" si="86"/>
        <v>28</v>
      </c>
      <c r="I401" s="18">
        <v>0</v>
      </c>
      <c r="J401" s="19">
        <v>0</v>
      </c>
      <c r="K401" s="19">
        <v>0</v>
      </c>
      <c r="L401" s="6">
        <v>390313.3125</v>
      </c>
      <c r="M401" s="7">
        <v>3984505.5</v>
      </c>
      <c r="N401" s="7">
        <v>457768.84375</v>
      </c>
      <c r="O401" s="7">
        <v>9655263</v>
      </c>
      <c r="P401" s="7">
        <v>5171.72314453125</v>
      </c>
      <c r="Q401" s="7">
        <v>38083.7578125</v>
      </c>
      <c r="R401" s="7">
        <v>5352957</v>
      </c>
      <c r="S401" s="7">
        <v>1855352.5</v>
      </c>
      <c r="T401" s="31">
        <f t="shared" si="87"/>
        <v>2173.941563720703</v>
      </c>
      <c r="U401" s="37">
        <v>4765.5555555555557</v>
      </c>
      <c r="V401">
        <f t="shared" si="88"/>
        <v>0.45617799192087494</v>
      </c>
      <c r="W401">
        <f t="shared" si="85"/>
        <v>-9.1775720999584628E-2</v>
      </c>
      <c r="X401" s="25">
        <v>5069.1708333333318</v>
      </c>
      <c r="Y401">
        <f t="shared" si="89"/>
        <v>8.1903003322452792E-3</v>
      </c>
      <c r="Z401">
        <f t="shared" si="77"/>
        <v>8.3610514105852185E-2</v>
      </c>
      <c r="AA401">
        <f t="shared" si="78"/>
        <v>9.6057812864304027E-3</v>
      </c>
      <c r="AB401">
        <f t="shared" si="79"/>
        <v>0.20260519235252972</v>
      </c>
      <c r="AC401">
        <f t="shared" si="80"/>
        <v>1.085229850799283E-4</v>
      </c>
      <c r="AD401">
        <f t="shared" si="81"/>
        <v>7.9914623528211696E-4</v>
      </c>
      <c r="AE401">
        <f t="shared" si="82"/>
        <v>0.11232598041501515</v>
      </c>
      <c r="AF401">
        <f t="shared" si="83"/>
        <v>3.8932554208440197E-2</v>
      </c>
      <c r="AG401">
        <f t="shared" si="90"/>
        <v>0.45617799192087494</v>
      </c>
      <c r="AH401">
        <v>0.43239364843409356</v>
      </c>
      <c r="AI401">
        <v>0.71049486014821894</v>
      </c>
      <c r="AJ401">
        <v>3.3747206557429951E-2</v>
      </c>
      <c r="AK401">
        <v>1.687587733257781E-2</v>
      </c>
      <c r="AL401">
        <v>0.61303992395112794</v>
      </c>
    </row>
    <row r="402" spans="1:38" x14ac:dyDescent="0.25">
      <c r="A402">
        <v>13</v>
      </c>
      <c r="B402" s="5" t="s">
        <v>28</v>
      </c>
      <c r="C402" s="6" t="s">
        <v>5</v>
      </c>
      <c r="D402" s="6" t="s">
        <v>64</v>
      </c>
      <c r="E402" s="25">
        <v>54355.1</v>
      </c>
      <c r="F402" s="11">
        <v>29</v>
      </c>
      <c r="G402" s="11"/>
      <c r="H402" s="11">
        <f t="shared" si="86"/>
        <v>29</v>
      </c>
      <c r="I402" s="18">
        <v>0</v>
      </c>
      <c r="J402" s="19">
        <v>0</v>
      </c>
      <c r="K402" s="19">
        <v>0</v>
      </c>
      <c r="L402" s="6">
        <v>413851.25</v>
      </c>
      <c r="M402" s="7">
        <v>4100659.75</v>
      </c>
      <c r="N402" s="7">
        <v>1042936.5</v>
      </c>
      <c r="O402" s="7">
        <v>9496012</v>
      </c>
      <c r="P402" s="7">
        <v>5171.72314453125</v>
      </c>
      <c r="Q402" s="7">
        <v>52551.21875</v>
      </c>
      <c r="R402" s="7">
        <v>5505421</v>
      </c>
      <c r="S402" s="7">
        <v>1916601.25</v>
      </c>
      <c r="T402" s="31">
        <f t="shared" si="87"/>
        <v>2253.320469189453</v>
      </c>
      <c r="U402" s="37">
        <v>5051.1111111111113</v>
      </c>
      <c r="V402">
        <f t="shared" si="88"/>
        <v>0.44610392042906016</v>
      </c>
      <c r="W402">
        <f t="shared" si="85"/>
        <v>-2.2083642065665769E-2</v>
      </c>
      <c r="X402" s="25">
        <v>5285.0024999999987</v>
      </c>
      <c r="Y402">
        <f t="shared" si="89"/>
        <v>8.193271557413109E-3</v>
      </c>
      <c r="Z402">
        <f t="shared" ref="Z402:Z465" si="91">M402/$U402/10000</f>
        <v>8.1183321051473814E-2</v>
      </c>
      <c r="AA402">
        <f t="shared" ref="AA402:AA465" si="92">N402/$U402/10000</f>
        <v>2.0647664980202377E-2</v>
      </c>
      <c r="AB402">
        <f t="shared" ref="AB402:AB465" si="93">O402/$U402/10000</f>
        <v>0.18799847778266607</v>
      </c>
      <c r="AC402">
        <f t="shared" ref="AC402:AC465" si="94">P402/$U402/10000</f>
        <v>1.0238783172191212E-4</v>
      </c>
      <c r="AD402">
        <f t="shared" ref="AD402:AD465" si="95">Q402/$U402/10000</f>
        <v>1.0403892845358557E-3</v>
      </c>
      <c r="AE402">
        <f t="shared" ref="AE402:AE465" si="96">R402/$U402/10000</f>
        <v>0.10899425648922129</v>
      </c>
      <c r="AF402">
        <f t="shared" ref="AF402:AF465" si="97">S402/$U402/10000</f>
        <v>3.7944151451825781E-2</v>
      </c>
      <c r="AG402">
        <f t="shared" si="90"/>
        <v>0.44610392042906022</v>
      </c>
      <c r="AH402">
        <v>0.43239364843409356</v>
      </c>
      <c r="AI402">
        <v>0.71049486014821894</v>
      </c>
      <c r="AJ402">
        <v>3.3747206557429951E-2</v>
      </c>
      <c r="AK402">
        <v>1.687587733257781E-2</v>
      </c>
      <c r="AL402">
        <v>0.61303992395112794</v>
      </c>
    </row>
    <row r="403" spans="1:38" x14ac:dyDescent="0.25">
      <c r="A403">
        <v>13</v>
      </c>
      <c r="B403" s="5" t="s">
        <v>28</v>
      </c>
      <c r="C403" s="6" t="s">
        <v>5</v>
      </c>
      <c r="D403" s="6" t="s">
        <v>65</v>
      </c>
      <c r="E403" s="25">
        <v>54355.1</v>
      </c>
      <c r="F403" s="11">
        <v>30</v>
      </c>
      <c r="G403" s="11"/>
      <c r="H403" s="11">
        <f t="shared" si="86"/>
        <v>30</v>
      </c>
      <c r="I403" s="18">
        <v>0</v>
      </c>
      <c r="J403" s="19">
        <v>0</v>
      </c>
      <c r="K403" s="19">
        <v>0</v>
      </c>
      <c r="L403" s="6">
        <v>409357.21875</v>
      </c>
      <c r="M403" s="7">
        <v>4086307</v>
      </c>
      <c r="N403" s="7">
        <v>1540462.875</v>
      </c>
      <c r="O403" s="7">
        <v>10134055</v>
      </c>
      <c r="P403" s="7">
        <v>5171.72314453125</v>
      </c>
      <c r="Q403" s="7">
        <v>34738.9453125</v>
      </c>
      <c r="R403" s="7">
        <v>5485994</v>
      </c>
      <c r="S403" s="7">
        <v>1892055.75</v>
      </c>
      <c r="T403" s="31">
        <f t="shared" si="87"/>
        <v>2358.8142512207032</v>
      </c>
      <c r="U403" s="37">
        <v>5336.666666666667</v>
      </c>
      <c r="V403">
        <f t="shared" si="88"/>
        <v>0.44200142121562208</v>
      </c>
      <c r="W403">
        <f t="shared" si="85"/>
        <v>-9.1962859449706748E-3</v>
      </c>
      <c r="X403" s="25">
        <v>5500.8341666666656</v>
      </c>
      <c r="Y403">
        <f t="shared" si="89"/>
        <v>7.6706536930043713E-3</v>
      </c>
      <c r="Z403">
        <f t="shared" si="91"/>
        <v>7.6570399750156157E-2</v>
      </c>
      <c r="AA403">
        <f t="shared" si="92"/>
        <v>2.8865637882573389E-2</v>
      </c>
      <c r="AB403">
        <f t="shared" si="93"/>
        <v>0.18989484697064332</v>
      </c>
      <c r="AC403">
        <f t="shared" si="94"/>
        <v>9.6909240684533098E-5</v>
      </c>
      <c r="AD403">
        <f t="shared" si="95"/>
        <v>6.5094838187070578E-4</v>
      </c>
      <c r="AE403">
        <f t="shared" si="96"/>
        <v>0.10279813866333541</v>
      </c>
      <c r="AF403">
        <f t="shared" si="97"/>
        <v>3.5453886633354151E-2</v>
      </c>
      <c r="AG403">
        <f t="shared" si="90"/>
        <v>0.44200142121562197</v>
      </c>
      <c r="AH403">
        <v>0.43239364843409356</v>
      </c>
      <c r="AI403">
        <v>0.71049486014821894</v>
      </c>
      <c r="AJ403">
        <v>3.3747206557429951E-2</v>
      </c>
      <c r="AK403">
        <v>1.687587733257781E-2</v>
      </c>
      <c r="AL403">
        <v>0.61303992395112794</v>
      </c>
    </row>
    <row r="404" spans="1:38" x14ac:dyDescent="0.25">
      <c r="A404">
        <v>13</v>
      </c>
      <c r="B404" s="5" t="s">
        <v>28</v>
      </c>
      <c r="C404" s="6" t="s">
        <v>5</v>
      </c>
      <c r="D404" s="6" t="s">
        <v>66</v>
      </c>
      <c r="E404" s="25">
        <v>54355.1</v>
      </c>
      <c r="F404" s="11">
        <v>31</v>
      </c>
      <c r="G404" s="11"/>
      <c r="H404" s="11">
        <f t="shared" si="86"/>
        <v>31</v>
      </c>
      <c r="I404" s="18">
        <v>0</v>
      </c>
      <c r="J404" s="19">
        <v>0</v>
      </c>
      <c r="K404" s="19">
        <v>0</v>
      </c>
      <c r="L404" s="6">
        <v>408880.65625</v>
      </c>
      <c r="M404" s="7">
        <v>4123456.75</v>
      </c>
      <c r="N404" s="7">
        <v>2341975</v>
      </c>
      <c r="O404" s="7">
        <v>11344861</v>
      </c>
      <c r="P404" s="7">
        <v>5174.20556640625</v>
      </c>
      <c r="Q404" s="7">
        <v>16089.3408203125</v>
      </c>
      <c r="R404" s="7">
        <v>5536529.5</v>
      </c>
      <c r="S404" s="7">
        <v>1826772.875</v>
      </c>
      <c r="T404" s="31">
        <f t="shared" si="87"/>
        <v>2560.3739327636717</v>
      </c>
      <c r="U404" s="37">
        <v>5622.2222222222226</v>
      </c>
      <c r="V404">
        <f t="shared" si="88"/>
        <v>0.45540247815954632</v>
      </c>
      <c r="W404">
        <f t="shared" si="85"/>
        <v>3.0319035868861574E-2</v>
      </c>
      <c r="X404" s="25">
        <v>5716.6658333333307</v>
      </c>
      <c r="Y404">
        <f t="shared" si="89"/>
        <v>7.2725808423913033E-3</v>
      </c>
      <c r="Z404">
        <f t="shared" si="91"/>
        <v>7.3342116106719368E-2</v>
      </c>
      <c r="AA404">
        <f t="shared" si="92"/>
        <v>4.1655681818181814E-2</v>
      </c>
      <c r="AB404">
        <f t="shared" si="93"/>
        <v>0.20178606521739129</v>
      </c>
      <c r="AC404">
        <f t="shared" si="94"/>
        <v>9.2031324303668474E-5</v>
      </c>
      <c r="AD404">
        <f t="shared" si="95"/>
        <v>2.8617404621109185E-4</v>
      </c>
      <c r="AE404">
        <f t="shared" si="96"/>
        <v>9.8475821146245049E-2</v>
      </c>
      <c r="AF404">
        <f t="shared" si="97"/>
        <v>3.249200765810277E-2</v>
      </c>
      <c r="AG404">
        <f t="shared" si="90"/>
        <v>0.45540247815954638</v>
      </c>
      <c r="AH404">
        <v>0.43239364843409356</v>
      </c>
      <c r="AI404">
        <v>0.71049486014821894</v>
      </c>
      <c r="AJ404">
        <v>3.3747206557429951E-2</v>
      </c>
      <c r="AK404">
        <v>1.687587733257781E-2</v>
      </c>
      <c r="AL404">
        <v>0.61303992395112794</v>
      </c>
    </row>
    <row r="405" spans="1:38" x14ac:dyDescent="0.25">
      <c r="A405">
        <v>14</v>
      </c>
      <c r="B405" s="5" t="s">
        <v>20</v>
      </c>
      <c r="C405" s="6" t="s">
        <v>5</v>
      </c>
      <c r="D405" s="6" t="s">
        <v>36</v>
      </c>
      <c r="E405" s="28">
        <v>29619.672999999999</v>
      </c>
      <c r="F405" s="11">
        <v>1</v>
      </c>
      <c r="G405" s="11">
        <v>14</v>
      </c>
      <c r="H405" s="18">
        <f t="shared" si="86"/>
        <v>-13</v>
      </c>
      <c r="I405" s="18">
        <v>1</v>
      </c>
      <c r="J405" s="19">
        <v>0.36950146627565977</v>
      </c>
      <c r="K405" s="19">
        <v>-1.2</v>
      </c>
      <c r="L405" s="14">
        <v>7253981</v>
      </c>
      <c r="M405" s="16">
        <v>3845166.25</v>
      </c>
      <c r="N405" s="16">
        <v>1749178.625</v>
      </c>
      <c r="O405" s="16">
        <v>5176326</v>
      </c>
      <c r="P405" s="16">
        <v>5690.99169921875</v>
      </c>
      <c r="Q405" s="16">
        <v>30086.205078125</v>
      </c>
      <c r="R405" s="16">
        <v>630678</v>
      </c>
      <c r="S405" s="16">
        <v>1464797.625</v>
      </c>
      <c r="T405" s="31">
        <f t="shared" si="87"/>
        <v>2015.5904696777343</v>
      </c>
      <c r="U405" s="37"/>
      <c r="X405" s="28">
        <v>2317.0729166666665</v>
      </c>
      <c r="Y405" t="e">
        <f t="shared" si="89"/>
        <v>#DIV/0!</v>
      </c>
      <c r="Z405" t="e">
        <f t="shared" si="91"/>
        <v>#DIV/0!</v>
      </c>
      <c r="AA405" t="e">
        <f t="shared" si="92"/>
        <v>#DIV/0!</v>
      </c>
      <c r="AB405" t="e">
        <f t="shared" si="93"/>
        <v>#DIV/0!</v>
      </c>
      <c r="AC405" t="e">
        <f t="shared" si="94"/>
        <v>#DIV/0!</v>
      </c>
      <c r="AD405" t="e">
        <f t="shared" si="95"/>
        <v>#DIV/0!</v>
      </c>
      <c r="AE405" t="e">
        <f t="shared" si="96"/>
        <v>#DIV/0!</v>
      </c>
      <c r="AF405" t="e">
        <f t="shared" si="97"/>
        <v>#DIV/0!</v>
      </c>
      <c r="AG405" t="e">
        <f t="shared" si="90"/>
        <v>#DIV/0!</v>
      </c>
      <c r="AH405">
        <v>0.42401886070788153</v>
      </c>
      <c r="AI405">
        <v>0.61456719061323883</v>
      </c>
      <c r="AJ405">
        <v>2.7058273829491542E-2</v>
      </c>
      <c r="AK405">
        <v>1.3431836333912262E-2</v>
      </c>
      <c r="AL405">
        <v>0.4148523278953572</v>
      </c>
    </row>
    <row r="406" spans="1:38" x14ac:dyDescent="0.25">
      <c r="A406">
        <v>14</v>
      </c>
      <c r="B406" s="5" t="s">
        <v>20</v>
      </c>
      <c r="C406" s="6" t="s">
        <v>5</v>
      </c>
      <c r="D406" s="6" t="s">
        <v>37</v>
      </c>
      <c r="E406" s="28">
        <v>29619.672999999999</v>
      </c>
      <c r="F406" s="11">
        <v>2</v>
      </c>
      <c r="G406" s="11">
        <v>14</v>
      </c>
      <c r="H406" s="11">
        <f t="shared" si="86"/>
        <v>-12</v>
      </c>
      <c r="I406" s="18">
        <v>1</v>
      </c>
      <c r="J406" s="19">
        <v>0.36950146627565977</v>
      </c>
      <c r="K406" s="19">
        <v>-1.2</v>
      </c>
      <c r="L406" s="6">
        <v>7879253.5</v>
      </c>
      <c r="M406" s="7">
        <v>3692081.75</v>
      </c>
      <c r="N406" s="7">
        <v>1749178.625</v>
      </c>
      <c r="O406" s="7">
        <v>4969462.5</v>
      </c>
      <c r="P406" s="7">
        <v>5690.99169921875</v>
      </c>
      <c r="Q406" s="7">
        <v>18093.109375</v>
      </c>
      <c r="R406" s="7">
        <v>637188.1875</v>
      </c>
      <c r="S406" s="7">
        <v>1443242.625</v>
      </c>
      <c r="T406" s="31">
        <f t="shared" si="87"/>
        <v>2039.4191288574218</v>
      </c>
      <c r="U406" s="37">
        <v>2508.1666666666665</v>
      </c>
      <c r="V406">
        <f t="shared" si="88"/>
        <v>0.81311148735095562</v>
      </c>
      <c r="W406" t="e">
        <f>(V406-V405)/V405</f>
        <v>#DIV/0!</v>
      </c>
      <c r="X406" s="28">
        <v>2654.2270833333328</v>
      </c>
      <c r="Y406">
        <f t="shared" si="89"/>
        <v>0.31414393647418432</v>
      </c>
      <c r="Z406">
        <f t="shared" si="91"/>
        <v>0.14720240879792679</v>
      </c>
      <c r="AA406">
        <f t="shared" si="92"/>
        <v>6.9739329855804374E-2</v>
      </c>
      <c r="AB406">
        <f t="shared" si="93"/>
        <v>0.19813127118080937</v>
      </c>
      <c r="AC406">
        <f t="shared" si="94"/>
        <v>2.2689846631213038E-4</v>
      </c>
      <c r="AD406">
        <f t="shared" si="95"/>
        <v>7.2136790650541565E-4</v>
      </c>
      <c r="AE406">
        <f t="shared" si="96"/>
        <v>2.5404539338162006E-2</v>
      </c>
      <c r="AF406">
        <f t="shared" si="97"/>
        <v>5.7541735331251252E-2</v>
      </c>
      <c r="AG406">
        <f t="shared" si="90"/>
        <v>0.81311148735095562</v>
      </c>
      <c r="AH406">
        <v>0.42401886070788153</v>
      </c>
      <c r="AI406">
        <v>0.61456719061323883</v>
      </c>
      <c r="AJ406">
        <v>2.7058273829491542E-2</v>
      </c>
      <c r="AK406">
        <v>1.3431836333912262E-2</v>
      </c>
      <c r="AL406">
        <v>0.4148523278953572</v>
      </c>
    </row>
    <row r="407" spans="1:38" x14ac:dyDescent="0.25">
      <c r="A407">
        <v>14</v>
      </c>
      <c r="B407" s="5" t="s">
        <v>20</v>
      </c>
      <c r="C407" s="6" t="s">
        <v>5</v>
      </c>
      <c r="D407" s="6" t="s">
        <v>38</v>
      </c>
      <c r="E407" s="28">
        <v>29619.672999999999</v>
      </c>
      <c r="F407" s="11">
        <v>3</v>
      </c>
      <c r="G407" s="11">
        <v>14</v>
      </c>
      <c r="H407" s="11">
        <f t="shared" si="86"/>
        <v>-11</v>
      </c>
      <c r="I407" s="18">
        <v>1</v>
      </c>
      <c r="J407" s="19">
        <v>0.36950146627565977</v>
      </c>
      <c r="K407" s="19">
        <v>-1.2</v>
      </c>
      <c r="L407" s="6">
        <v>7876188.5</v>
      </c>
      <c r="M407" s="7">
        <v>3586404</v>
      </c>
      <c r="N407" s="7">
        <v>1749178.625</v>
      </c>
      <c r="O407" s="7">
        <v>4828547.5</v>
      </c>
      <c r="P407" s="7">
        <v>5690.99169921875</v>
      </c>
      <c r="Q407" s="7">
        <v>25305.59375</v>
      </c>
      <c r="R407" s="7">
        <v>615436.625</v>
      </c>
      <c r="S407" s="7">
        <v>1454089.75</v>
      </c>
      <c r="T407" s="31">
        <f t="shared" si="87"/>
        <v>2014.0841585449218</v>
      </c>
      <c r="U407" s="37">
        <v>2555.6666666666665</v>
      </c>
      <c r="V407">
        <f t="shared" si="88"/>
        <v>0.78808562353394629</v>
      </c>
      <c r="W407">
        <f t="shared" ref="W407:W435" si="98">(V407-V406)/V406</f>
        <v>-3.077789971771442E-2</v>
      </c>
      <c r="X407" s="28">
        <v>2991.3812499999995</v>
      </c>
      <c r="Y407">
        <f t="shared" si="89"/>
        <v>0.30818528107473592</v>
      </c>
      <c r="Z407">
        <f t="shared" si="91"/>
        <v>0.14033144645884962</v>
      </c>
      <c r="AA407">
        <f t="shared" si="92"/>
        <v>6.8443144319812188E-2</v>
      </c>
      <c r="AB407">
        <f t="shared" si="93"/>
        <v>0.18893494848050085</v>
      </c>
      <c r="AC407">
        <f t="shared" si="94"/>
        <v>2.2268129773909289E-4</v>
      </c>
      <c r="AD407">
        <f t="shared" si="95"/>
        <v>9.9017583474631551E-4</v>
      </c>
      <c r="AE407">
        <f t="shared" si="96"/>
        <v>2.4081255706273643E-2</v>
      </c>
      <c r="AF407">
        <f t="shared" si="97"/>
        <v>5.6896690361288645E-2</v>
      </c>
      <c r="AG407">
        <f t="shared" si="90"/>
        <v>0.78808562353394618</v>
      </c>
      <c r="AH407">
        <v>0.42401886070788153</v>
      </c>
      <c r="AI407">
        <v>0.61456719061323883</v>
      </c>
      <c r="AJ407">
        <v>2.7058273829491542E-2</v>
      </c>
      <c r="AK407">
        <v>1.3431836333912262E-2</v>
      </c>
      <c r="AL407">
        <v>0.4148523278953572</v>
      </c>
    </row>
    <row r="408" spans="1:38" x14ac:dyDescent="0.25">
      <c r="A408">
        <v>14</v>
      </c>
      <c r="B408" s="5" t="s">
        <v>20</v>
      </c>
      <c r="C408" s="6" t="s">
        <v>5</v>
      </c>
      <c r="D408" s="6" t="s">
        <v>39</v>
      </c>
      <c r="E408" s="28">
        <v>29619.672999999999</v>
      </c>
      <c r="F408" s="11">
        <v>4</v>
      </c>
      <c r="G408" s="11">
        <v>14</v>
      </c>
      <c r="H408" s="11">
        <f t="shared" si="86"/>
        <v>-10</v>
      </c>
      <c r="I408" s="18">
        <v>1</v>
      </c>
      <c r="J408" s="19">
        <v>0.36950146627565977</v>
      </c>
      <c r="K408" s="19">
        <v>-1.2</v>
      </c>
      <c r="L408" s="6">
        <v>7485903.5</v>
      </c>
      <c r="M408" s="7">
        <v>3743195.75</v>
      </c>
      <c r="N408" s="7">
        <v>1749178.625</v>
      </c>
      <c r="O408" s="7">
        <v>5039553.5</v>
      </c>
      <c r="P408" s="7">
        <v>5690.99169921875</v>
      </c>
      <c r="Q408" s="7">
        <v>69732.171875</v>
      </c>
      <c r="R408" s="7">
        <v>608792.6875</v>
      </c>
      <c r="S408" s="7">
        <v>1472746.25</v>
      </c>
      <c r="T408" s="31">
        <f t="shared" si="87"/>
        <v>2017.4793476074219</v>
      </c>
      <c r="U408" s="37">
        <v>2613.1111111111109</v>
      </c>
      <c r="V408">
        <f t="shared" si="88"/>
        <v>0.77206029970519596</v>
      </c>
      <c r="W408">
        <f t="shared" si="98"/>
        <v>-2.0334495834208103E-2</v>
      </c>
      <c r="X408" s="28">
        <v>3328.5354166666662</v>
      </c>
      <c r="Y408">
        <f t="shared" si="89"/>
        <v>0.28647474912832727</v>
      </c>
      <c r="Z408">
        <f t="shared" si="91"/>
        <v>0.14324671209286505</v>
      </c>
      <c r="AA408">
        <f t="shared" si="92"/>
        <v>6.6938547601836901E-2</v>
      </c>
      <c r="AB408">
        <f t="shared" si="93"/>
        <v>0.19285645675652693</v>
      </c>
      <c r="AC408">
        <f t="shared" si="94"/>
        <v>2.17786058733603E-4</v>
      </c>
      <c r="AD408">
        <f t="shared" si="95"/>
        <v>2.6685498208818778E-3</v>
      </c>
      <c r="AE408">
        <f t="shared" si="96"/>
        <v>2.3297619642401568E-2</v>
      </c>
      <c r="AF408">
        <f t="shared" si="97"/>
        <v>5.6359878603622758E-2</v>
      </c>
      <c r="AG408">
        <f t="shared" si="90"/>
        <v>0.77206029970519596</v>
      </c>
      <c r="AH408">
        <v>0.42401886070788153</v>
      </c>
      <c r="AI408">
        <v>0.61456719061323883</v>
      </c>
      <c r="AJ408">
        <v>2.7058273829491542E-2</v>
      </c>
      <c r="AK408">
        <v>1.3431836333912262E-2</v>
      </c>
      <c r="AL408">
        <v>0.4148523278953572</v>
      </c>
    </row>
    <row r="409" spans="1:38" x14ac:dyDescent="0.25">
      <c r="A409">
        <v>14</v>
      </c>
      <c r="B409" s="5" t="s">
        <v>20</v>
      </c>
      <c r="C409" s="6" t="s">
        <v>5</v>
      </c>
      <c r="D409" s="6" t="s">
        <v>40</v>
      </c>
      <c r="E409" s="28">
        <v>29619.672999999999</v>
      </c>
      <c r="F409" s="11">
        <v>5</v>
      </c>
      <c r="G409" s="11">
        <v>14</v>
      </c>
      <c r="H409" s="11">
        <f t="shared" si="86"/>
        <v>-9</v>
      </c>
      <c r="I409" s="18">
        <v>1</v>
      </c>
      <c r="J409" s="19">
        <v>0.36950146627565977</v>
      </c>
      <c r="K409" s="19">
        <v>-1.2</v>
      </c>
      <c r="L409" s="6">
        <v>8483071</v>
      </c>
      <c r="M409" s="7">
        <v>3852554</v>
      </c>
      <c r="N409" s="7">
        <v>1749178.625</v>
      </c>
      <c r="O409" s="7">
        <v>5183330</v>
      </c>
      <c r="P409" s="7">
        <v>5690.99169921875</v>
      </c>
      <c r="Q409" s="7">
        <v>96222.0625</v>
      </c>
      <c r="R409" s="7">
        <v>638147.25</v>
      </c>
      <c r="S409" s="7">
        <v>1510432.125</v>
      </c>
      <c r="T409" s="31">
        <f t="shared" si="87"/>
        <v>2151.8626054199217</v>
      </c>
      <c r="U409" s="37">
        <v>2670.5555555555552</v>
      </c>
      <c r="V409">
        <f t="shared" si="88"/>
        <v>0.80577339083749944</v>
      </c>
      <c r="W409">
        <f t="shared" si="98"/>
        <v>4.3666396452681874E-2</v>
      </c>
      <c r="X409" s="28">
        <v>3665.6895833333324</v>
      </c>
      <c r="Y409">
        <f t="shared" si="89"/>
        <v>0.31765192011649684</v>
      </c>
      <c r="Z409">
        <f t="shared" si="91"/>
        <v>0.144260395256917</v>
      </c>
      <c r="AA409">
        <f t="shared" si="92"/>
        <v>6.5498679529852305E-2</v>
      </c>
      <c r="AB409">
        <f t="shared" si="93"/>
        <v>0.19409182442271691</v>
      </c>
      <c r="AC409">
        <f t="shared" si="94"/>
        <v>2.1310141582262849E-4</v>
      </c>
      <c r="AD409">
        <f t="shared" si="95"/>
        <v>3.6030728624921993E-3</v>
      </c>
      <c r="AE409">
        <f t="shared" si="96"/>
        <v>2.3895674017058461E-2</v>
      </c>
      <c r="AF409">
        <f t="shared" si="97"/>
        <v>5.6558723216143129E-2</v>
      </c>
      <c r="AG409">
        <f t="shared" si="90"/>
        <v>0.80577339083749944</v>
      </c>
      <c r="AH409">
        <v>0.42401886070788153</v>
      </c>
      <c r="AI409">
        <v>0.61456719061323883</v>
      </c>
      <c r="AJ409">
        <v>2.7058273829491542E-2</v>
      </c>
      <c r="AK409">
        <v>1.3431836333912262E-2</v>
      </c>
      <c r="AL409">
        <v>0.4148523278953572</v>
      </c>
    </row>
    <row r="410" spans="1:38" x14ac:dyDescent="0.25">
      <c r="A410">
        <v>14</v>
      </c>
      <c r="B410" s="5" t="s">
        <v>20</v>
      </c>
      <c r="C410" s="6" t="s">
        <v>5</v>
      </c>
      <c r="D410" s="6" t="s">
        <v>41</v>
      </c>
      <c r="E410" s="28">
        <v>29619.672999999999</v>
      </c>
      <c r="F410" s="11">
        <v>6</v>
      </c>
      <c r="G410" s="11">
        <v>14</v>
      </c>
      <c r="H410" s="11">
        <f t="shared" si="86"/>
        <v>-8</v>
      </c>
      <c r="I410" s="18">
        <v>1</v>
      </c>
      <c r="J410" s="19">
        <v>0.36950146627565977</v>
      </c>
      <c r="K410" s="19">
        <v>-1.2</v>
      </c>
      <c r="L410" s="6">
        <v>8962242</v>
      </c>
      <c r="M410" s="7">
        <v>3838685.5</v>
      </c>
      <c r="N410" s="7">
        <v>1749178.625</v>
      </c>
      <c r="O410" s="7">
        <v>5165198</v>
      </c>
      <c r="P410" s="7">
        <v>5690.99169921875</v>
      </c>
      <c r="Q410" s="7">
        <v>63606.71484375</v>
      </c>
      <c r="R410" s="7">
        <v>632460.25</v>
      </c>
      <c r="S410" s="7">
        <v>1496443.875</v>
      </c>
      <c r="T410" s="31">
        <f t="shared" si="87"/>
        <v>2191.3505956542967</v>
      </c>
      <c r="U410" s="37">
        <v>2728</v>
      </c>
      <c r="V410">
        <f t="shared" si="88"/>
        <v>0.80328101013720554</v>
      </c>
      <c r="W410">
        <f t="shared" si="98"/>
        <v>-3.093153396022895E-3</v>
      </c>
      <c r="X410" s="28">
        <v>4002.8437499999991</v>
      </c>
      <c r="Y410">
        <f t="shared" si="89"/>
        <v>0.32852793255131962</v>
      </c>
      <c r="Z410">
        <f t="shared" si="91"/>
        <v>0.14071427785923754</v>
      </c>
      <c r="AA410">
        <f t="shared" si="92"/>
        <v>6.4119451063049851E-2</v>
      </c>
      <c r="AB410">
        <f t="shared" si="93"/>
        <v>0.18934010263929621</v>
      </c>
      <c r="AC410">
        <f t="shared" si="94"/>
        <v>2.0861406522062865E-4</v>
      </c>
      <c r="AD410">
        <f t="shared" si="95"/>
        <v>2.3316244444189886E-3</v>
      </c>
      <c r="AE410">
        <f t="shared" si="96"/>
        <v>2.3184026759530792E-2</v>
      </c>
      <c r="AF410">
        <f t="shared" si="97"/>
        <v>5.4854980755131962E-2</v>
      </c>
      <c r="AG410">
        <f t="shared" si="90"/>
        <v>0.80328101013720565</v>
      </c>
      <c r="AH410">
        <v>0.42401886070788153</v>
      </c>
      <c r="AI410">
        <v>0.61456719061323883</v>
      </c>
      <c r="AJ410">
        <v>2.7058273829491542E-2</v>
      </c>
      <c r="AK410">
        <v>1.3431836333912262E-2</v>
      </c>
      <c r="AL410">
        <v>0.4148523278953572</v>
      </c>
    </row>
    <row r="411" spans="1:38" x14ac:dyDescent="0.25">
      <c r="A411">
        <v>14</v>
      </c>
      <c r="B411" s="5" t="s">
        <v>20</v>
      </c>
      <c r="C411" s="6" t="s">
        <v>5</v>
      </c>
      <c r="D411" s="6" t="s">
        <v>42</v>
      </c>
      <c r="E411" s="28">
        <v>29619.672999999999</v>
      </c>
      <c r="F411" s="11">
        <v>7</v>
      </c>
      <c r="G411" s="11">
        <v>14</v>
      </c>
      <c r="H411" s="11">
        <f t="shared" si="86"/>
        <v>-7</v>
      </c>
      <c r="I411" s="18">
        <v>1</v>
      </c>
      <c r="J411" s="19">
        <v>0.36950146627565977</v>
      </c>
      <c r="K411" s="19">
        <v>-1.2</v>
      </c>
      <c r="L411" s="6">
        <v>10946359</v>
      </c>
      <c r="M411" s="7">
        <v>3873373.5</v>
      </c>
      <c r="N411" s="7">
        <v>1750018.25</v>
      </c>
      <c r="O411" s="7">
        <v>5212894.5</v>
      </c>
      <c r="P411" s="7">
        <v>5693.7236328125</v>
      </c>
      <c r="Q411" s="7">
        <v>29463.314453125</v>
      </c>
      <c r="R411" s="7">
        <v>631863.0625</v>
      </c>
      <c r="S411" s="7">
        <v>1456868.25</v>
      </c>
      <c r="T411" s="31">
        <f t="shared" si="87"/>
        <v>2390.6533600585935</v>
      </c>
      <c r="U411" s="37">
        <v>2785.4444444444448</v>
      </c>
      <c r="V411">
        <f t="shared" si="88"/>
        <v>0.85826639437262509</v>
      </c>
      <c r="W411">
        <f t="shared" si="98"/>
        <v>6.8450994784537089E-2</v>
      </c>
      <c r="X411" s="28">
        <v>4339.9979166666662</v>
      </c>
      <c r="Y411">
        <f t="shared" si="89"/>
        <v>0.39298428736686736</v>
      </c>
      <c r="Z411">
        <f t="shared" si="91"/>
        <v>0.13905764689457095</v>
      </c>
      <c r="AA411">
        <f t="shared" si="92"/>
        <v>6.2827253779568396E-2</v>
      </c>
      <c r="AB411">
        <f t="shared" si="93"/>
        <v>0.18714767441860464</v>
      </c>
      <c r="AC411">
        <f t="shared" si="94"/>
        <v>2.0440987951379192E-4</v>
      </c>
      <c r="AD411">
        <f t="shared" si="95"/>
        <v>1.0577599029802742E-3</v>
      </c>
      <c r="AE411">
        <f t="shared" si="96"/>
        <v>2.2684461137261157E-2</v>
      </c>
      <c r="AF411">
        <f t="shared" si="97"/>
        <v>5.2302900993258593E-2</v>
      </c>
      <c r="AG411">
        <f t="shared" si="90"/>
        <v>0.8582663943726252</v>
      </c>
      <c r="AH411">
        <v>0.42401886070788153</v>
      </c>
      <c r="AI411">
        <v>0.61456719061323883</v>
      </c>
      <c r="AJ411">
        <v>2.7058273829491542E-2</v>
      </c>
      <c r="AK411">
        <v>1.3431836333912262E-2</v>
      </c>
      <c r="AL411">
        <v>0.4148523278953572</v>
      </c>
    </row>
    <row r="412" spans="1:38" x14ac:dyDescent="0.25">
      <c r="A412">
        <v>14</v>
      </c>
      <c r="B412" s="5" t="s">
        <v>20</v>
      </c>
      <c r="C412" s="6" t="s">
        <v>5</v>
      </c>
      <c r="D412" s="6" t="s">
        <v>43</v>
      </c>
      <c r="E412" s="28">
        <v>32074.7</v>
      </c>
      <c r="F412" s="11">
        <v>8</v>
      </c>
      <c r="G412" s="11">
        <v>14</v>
      </c>
      <c r="H412" s="18">
        <f t="shared" si="86"/>
        <v>-6</v>
      </c>
      <c r="I412" s="18">
        <v>1</v>
      </c>
      <c r="J412" s="19">
        <v>0.36950146627565977</v>
      </c>
      <c r="K412" s="19">
        <v>-1.2</v>
      </c>
      <c r="L412" s="14">
        <v>8190419</v>
      </c>
      <c r="M412" s="16">
        <v>3492848.75</v>
      </c>
      <c r="N412" s="16">
        <v>1736769.375</v>
      </c>
      <c r="O412" s="16">
        <v>5100465.5</v>
      </c>
      <c r="P412" s="16">
        <v>5820.69873046875</v>
      </c>
      <c r="Q412" s="16">
        <v>15453.798828125</v>
      </c>
      <c r="R412" s="16">
        <v>660146.0625</v>
      </c>
      <c r="S412" s="16">
        <v>1313394.25</v>
      </c>
      <c r="T412" s="31">
        <f t="shared" si="87"/>
        <v>2051.5317435058596</v>
      </c>
      <c r="U412" s="37">
        <v>2316.333333333333</v>
      </c>
      <c r="V412">
        <f t="shared" si="88"/>
        <v>0.88568070665096843</v>
      </c>
      <c r="W412">
        <f t="shared" si="98"/>
        <v>3.1941495621977178E-2</v>
      </c>
      <c r="X412" s="28">
        <v>1965.8999999999999</v>
      </c>
      <c r="Y412">
        <f t="shared" si="89"/>
        <v>0.35359414304216441</v>
      </c>
      <c r="Z412">
        <f t="shared" si="91"/>
        <v>0.15079214635199312</v>
      </c>
      <c r="AA412">
        <f t="shared" si="92"/>
        <v>7.4979250611598797E-2</v>
      </c>
      <c r="AB412">
        <f t="shared" si="93"/>
        <v>0.22019566124622253</v>
      </c>
      <c r="AC412">
        <f t="shared" si="94"/>
        <v>2.5128933934963669E-4</v>
      </c>
      <c r="AD412">
        <f t="shared" si="95"/>
        <v>6.6716644818499071E-4</v>
      </c>
      <c r="AE412">
        <f t="shared" si="96"/>
        <v>2.8499614153115561E-2</v>
      </c>
      <c r="AF412">
        <f t="shared" si="97"/>
        <v>5.6701435458339333E-2</v>
      </c>
      <c r="AG412">
        <f t="shared" si="90"/>
        <v>0.88568070665096821</v>
      </c>
      <c r="AH412">
        <v>0.40009415520643993</v>
      </c>
      <c r="AI412">
        <v>0.62080388692579502</v>
      </c>
      <c r="AJ412">
        <v>2.712416734556956E-2</v>
      </c>
      <c r="AK412">
        <v>1.3708327747414628E-2</v>
      </c>
      <c r="AL412">
        <v>0.40448644340087281</v>
      </c>
    </row>
    <row r="413" spans="1:38" x14ac:dyDescent="0.25">
      <c r="A413">
        <v>14</v>
      </c>
      <c r="B413" s="5" t="s">
        <v>20</v>
      </c>
      <c r="C413" s="6" t="s">
        <v>5</v>
      </c>
      <c r="D413" s="6" t="s">
        <v>44</v>
      </c>
      <c r="E413" s="28">
        <v>32074.7</v>
      </c>
      <c r="F413" s="11">
        <v>9</v>
      </c>
      <c r="G413" s="11">
        <v>14</v>
      </c>
      <c r="H413" s="11">
        <f t="shared" si="86"/>
        <v>-5</v>
      </c>
      <c r="I413" s="18">
        <v>1</v>
      </c>
      <c r="J413" s="19">
        <v>0.36950146627565977</v>
      </c>
      <c r="K413" s="19">
        <v>-1.2</v>
      </c>
      <c r="L413" s="6">
        <v>8149834.5</v>
      </c>
      <c r="M413" s="7">
        <v>3424642</v>
      </c>
      <c r="N413" s="7">
        <v>1736769.375</v>
      </c>
      <c r="O413" s="7">
        <v>4995633.5</v>
      </c>
      <c r="P413" s="7">
        <v>5820.69873046875</v>
      </c>
      <c r="Q413" s="7">
        <v>21940.9375</v>
      </c>
      <c r="R413" s="7">
        <v>637272</v>
      </c>
      <c r="S413" s="7">
        <v>1327017.125</v>
      </c>
      <c r="T413" s="31">
        <f t="shared" si="87"/>
        <v>2029.893013623047</v>
      </c>
      <c r="U413" s="37">
        <v>2387.6666666666665</v>
      </c>
      <c r="V413">
        <f t="shared" si="88"/>
        <v>0.85015762122981176</v>
      </c>
      <c r="W413">
        <f t="shared" si="98"/>
        <v>-4.0108229923490606E-2</v>
      </c>
      <c r="X413" s="28">
        <v>2081.3999999999996</v>
      </c>
      <c r="Y413">
        <f t="shared" si="89"/>
        <v>0.34133049699846435</v>
      </c>
      <c r="Z413">
        <f t="shared" si="91"/>
        <v>0.14343049001814884</v>
      </c>
      <c r="AA413">
        <f t="shared" si="92"/>
        <v>7.2739189236353488E-2</v>
      </c>
      <c r="AB413">
        <f t="shared" si="93"/>
        <v>0.20922658802177863</v>
      </c>
      <c r="AC413">
        <f t="shared" si="94"/>
        <v>2.4378188177308742E-4</v>
      </c>
      <c r="AD413">
        <f t="shared" si="95"/>
        <v>9.1892799804551173E-4</v>
      </c>
      <c r="AE413">
        <f t="shared" si="96"/>
        <v>2.669015775513053E-2</v>
      </c>
      <c r="AF413">
        <f t="shared" si="97"/>
        <v>5.5577989320117274E-2</v>
      </c>
      <c r="AG413">
        <f t="shared" si="90"/>
        <v>0.85015762122981164</v>
      </c>
      <c r="AH413">
        <v>0.40009415520643993</v>
      </c>
      <c r="AI413">
        <v>0.62080388692579502</v>
      </c>
      <c r="AJ413">
        <v>2.712416734556956E-2</v>
      </c>
      <c r="AK413">
        <v>1.3708327747414628E-2</v>
      </c>
      <c r="AL413">
        <v>0.40448644340087281</v>
      </c>
    </row>
    <row r="414" spans="1:38" x14ac:dyDescent="0.25">
      <c r="A414">
        <v>14</v>
      </c>
      <c r="B414" s="5" t="s">
        <v>20</v>
      </c>
      <c r="C414" s="6" t="s">
        <v>5</v>
      </c>
      <c r="D414" s="6" t="s">
        <v>45</v>
      </c>
      <c r="E414" s="28">
        <v>32074.7</v>
      </c>
      <c r="F414" s="11">
        <v>10</v>
      </c>
      <c r="G414" s="11">
        <v>14</v>
      </c>
      <c r="H414" s="11">
        <f t="shared" si="86"/>
        <v>-4</v>
      </c>
      <c r="I414" s="18">
        <v>1</v>
      </c>
      <c r="J414" s="19">
        <v>0.36950146627565977</v>
      </c>
      <c r="K414" s="19">
        <v>-1.2</v>
      </c>
      <c r="L414" s="6">
        <v>9270848</v>
      </c>
      <c r="M414" s="7">
        <v>3554789</v>
      </c>
      <c r="N414" s="7">
        <v>1736769.375</v>
      </c>
      <c r="O414" s="7">
        <v>5188140</v>
      </c>
      <c r="P414" s="7">
        <v>5820.69873046875</v>
      </c>
      <c r="Q414" s="7">
        <v>63658.4609375</v>
      </c>
      <c r="R414" s="7">
        <v>629864.1875</v>
      </c>
      <c r="S414" s="7">
        <v>1348842.375</v>
      </c>
      <c r="T414" s="31">
        <f t="shared" si="87"/>
        <v>2179.8732097167967</v>
      </c>
      <c r="U414" s="37">
        <v>2459</v>
      </c>
      <c r="V414">
        <f t="shared" si="88"/>
        <v>0.88648768186937643</v>
      </c>
      <c r="W414">
        <f t="shared" si="98"/>
        <v>4.2733323483015694E-2</v>
      </c>
      <c r="X414" s="28">
        <v>2196.8999999999996</v>
      </c>
      <c r="Y414">
        <f t="shared" si="89"/>
        <v>0.37701699877999184</v>
      </c>
      <c r="Z414">
        <f t="shared" si="91"/>
        <v>0.14456238308255387</v>
      </c>
      <c r="AA414">
        <f t="shared" si="92"/>
        <v>7.0629092110614064E-2</v>
      </c>
      <c r="AB414">
        <f t="shared" si="93"/>
        <v>0.21098576657177714</v>
      </c>
      <c r="AC414">
        <f t="shared" si="94"/>
        <v>2.3670999310568321E-4</v>
      </c>
      <c r="AD414">
        <f t="shared" si="95"/>
        <v>2.5887946700894672E-3</v>
      </c>
      <c r="AE414">
        <f t="shared" si="96"/>
        <v>2.5614647722651485E-2</v>
      </c>
      <c r="AF414">
        <f t="shared" si="97"/>
        <v>5.4853288938592926E-2</v>
      </c>
      <c r="AG414">
        <f t="shared" si="90"/>
        <v>0.88648768186937632</v>
      </c>
      <c r="AH414">
        <v>0.40009415520643993</v>
      </c>
      <c r="AI414">
        <v>0.62080388692579502</v>
      </c>
      <c r="AJ414">
        <v>2.712416734556956E-2</v>
      </c>
      <c r="AK414">
        <v>1.3708327747414628E-2</v>
      </c>
      <c r="AL414">
        <v>0.40448644340087281</v>
      </c>
    </row>
    <row r="415" spans="1:38" x14ac:dyDescent="0.25">
      <c r="A415">
        <v>14</v>
      </c>
      <c r="B415" s="5" t="s">
        <v>20</v>
      </c>
      <c r="C415" s="6" t="s">
        <v>5</v>
      </c>
      <c r="D415" s="6" t="s">
        <v>46</v>
      </c>
      <c r="E415" s="28">
        <v>32074.7</v>
      </c>
      <c r="F415" s="11">
        <v>11</v>
      </c>
      <c r="G415" s="11">
        <v>14</v>
      </c>
      <c r="H415" s="11">
        <f t="shared" si="86"/>
        <v>-3</v>
      </c>
      <c r="I415" s="18">
        <v>1</v>
      </c>
      <c r="J415" s="19">
        <v>0.36950146627565977</v>
      </c>
      <c r="K415" s="19">
        <v>-1.2</v>
      </c>
      <c r="L415" s="6">
        <v>8385664.5</v>
      </c>
      <c r="M415" s="7">
        <v>3611016.25</v>
      </c>
      <c r="N415" s="7">
        <v>1736769.375</v>
      </c>
      <c r="O415" s="7">
        <v>5274024</v>
      </c>
      <c r="P415" s="7">
        <v>5820.69873046875</v>
      </c>
      <c r="Q415" s="7">
        <v>87695.71875</v>
      </c>
      <c r="R415" s="7">
        <v>659938.5</v>
      </c>
      <c r="S415" s="7">
        <v>1385010</v>
      </c>
      <c r="T415" s="31">
        <f t="shared" si="87"/>
        <v>2114.5939042480468</v>
      </c>
      <c r="U415" s="37">
        <v>2530.3333333333335</v>
      </c>
      <c r="V415">
        <f t="shared" si="88"/>
        <v>0.83569776218471081</v>
      </c>
      <c r="W415">
        <f t="shared" si="98"/>
        <v>-5.7293429704023222E-2</v>
      </c>
      <c r="X415" s="28">
        <v>2312.3999999999996</v>
      </c>
      <c r="Y415">
        <f t="shared" si="89"/>
        <v>0.33140552628112235</v>
      </c>
      <c r="Z415">
        <f t="shared" si="91"/>
        <v>0.14270911276511658</v>
      </c>
      <c r="AA415">
        <f t="shared" si="92"/>
        <v>6.8637967659069946E-2</v>
      </c>
      <c r="AB415">
        <f t="shared" si="93"/>
        <v>0.20843198524568565</v>
      </c>
      <c r="AC415">
        <f t="shared" si="94"/>
        <v>2.3003683561330851E-4</v>
      </c>
      <c r="AD415">
        <f t="shared" si="95"/>
        <v>3.4657773185351069E-3</v>
      </c>
      <c r="AE415">
        <f t="shared" si="96"/>
        <v>2.6081089448030559E-2</v>
      </c>
      <c r="AF415">
        <f t="shared" si="97"/>
        <v>5.4736266631537342E-2</v>
      </c>
      <c r="AG415">
        <f t="shared" si="90"/>
        <v>0.83569776218471081</v>
      </c>
      <c r="AH415">
        <v>0.40009415520643993</v>
      </c>
      <c r="AI415">
        <v>0.62080388692579502</v>
      </c>
      <c r="AJ415">
        <v>2.712416734556956E-2</v>
      </c>
      <c r="AK415">
        <v>1.3708327747414628E-2</v>
      </c>
      <c r="AL415">
        <v>0.40448644340087281</v>
      </c>
    </row>
    <row r="416" spans="1:38" x14ac:dyDescent="0.25">
      <c r="A416">
        <v>14</v>
      </c>
      <c r="B416" s="5" t="s">
        <v>20</v>
      </c>
      <c r="C416" s="6" t="s">
        <v>5</v>
      </c>
      <c r="D416" s="6" t="s">
        <v>47</v>
      </c>
      <c r="E416" s="28">
        <v>32074.7</v>
      </c>
      <c r="F416" s="11">
        <v>12</v>
      </c>
      <c r="G416" s="11">
        <v>14</v>
      </c>
      <c r="H416" s="11">
        <f t="shared" si="86"/>
        <v>-2</v>
      </c>
      <c r="I416" s="18">
        <v>1</v>
      </c>
      <c r="J416" s="19">
        <v>0.36950146627565977</v>
      </c>
      <c r="K416" s="19">
        <v>-1.2</v>
      </c>
      <c r="L416" s="6">
        <v>8330820</v>
      </c>
      <c r="M416" s="7">
        <v>3571970.75</v>
      </c>
      <c r="N416" s="7">
        <v>1736769.375</v>
      </c>
      <c r="O416" s="7">
        <v>5220126</v>
      </c>
      <c r="P416" s="7">
        <v>5820.69873046875</v>
      </c>
      <c r="Q416" s="7">
        <v>57608.37890625</v>
      </c>
      <c r="R416" s="7">
        <v>653358.125</v>
      </c>
      <c r="S416" s="7">
        <v>1376956.75</v>
      </c>
      <c r="T416" s="31">
        <f t="shared" si="87"/>
        <v>2095.3430077636717</v>
      </c>
      <c r="U416" s="37">
        <v>2601.6666666666665</v>
      </c>
      <c r="V416">
        <f t="shared" si="88"/>
        <v>0.80538488447034151</v>
      </c>
      <c r="W416">
        <f t="shared" si="98"/>
        <v>-3.6272536658617224E-2</v>
      </c>
      <c r="X416" s="28">
        <v>2427.8999999999996</v>
      </c>
      <c r="Y416">
        <f t="shared" si="89"/>
        <v>0.32021089045483669</v>
      </c>
      <c r="Z416">
        <f t="shared" si="91"/>
        <v>0.13729548046124279</v>
      </c>
      <c r="AA416">
        <f t="shared" si="92"/>
        <v>6.6756029788597057E-2</v>
      </c>
      <c r="AB416">
        <f t="shared" si="93"/>
        <v>0.20064545803971814</v>
      </c>
      <c r="AC416">
        <f t="shared" si="94"/>
        <v>2.2372961167721014E-4</v>
      </c>
      <c r="AD416">
        <f t="shared" si="95"/>
        <v>2.2142874659673291E-3</v>
      </c>
      <c r="AE416">
        <f t="shared" si="96"/>
        <v>2.5113060538116593E-2</v>
      </c>
      <c r="AF416">
        <f t="shared" si="97"/>
        <v>5.2925948110185778E-2</v>
      </c>
      <c r="AG416">
        <f t="shared" si="90"/>
        <v>0.80538488447034151</v>
      </c>
      <c r="AH416">
        <v>0.40009415520643993</v>
      </c>
      <c r="AI416">
        <v>0.62080388692579502</v>
      </c>
      <c r="AJ416">
        <v>2.712416734556956E-2</v>
      </c>
      <c r="AK416">
        <v>1.3708327747414628E-2</v>
      </c>
      <c r="AL416">
        <v>0.40448644340087281</v>
      </c>
    </row>
    <row r="417" spans="1:38" x14ac:dyDescent="0.25">
      <c r="A417">
        <v>14</v>
      </c>
      <c r="B417" s="5" t="s">
        <v>20</v>
      </c>
      <c r="C417" s="6" t="s">
        <v>5</v>
      </c>
      <c r="D417" s="6" t="s">
        <v>48</v>
      </c>
      <c r="E417" s="28">
        <v>32074.7</v>
      </c>
      <c r="F417" s="11">
        <v>13</v>
      </c>
      <c r="G417" s="11">
        <v>14</v>
      </c>
      <c r="H417" s="11">
        <f t="shared" si="86"/>
        <v>-1</v>
      </c>
      <c r="I417" s="18">
        <v>1</v>
      </c>
      <c r="J417" s="19">
        <v>0.36950146627565977</v>
      </c>
      <c r="K417" s="19">
        <v>-1.2</v>
      </c>
      <c r="L417" s="6">
        <v>8726795</v>
      </c>
      <c r="M417" s="7">
        <v>3590895.25</v>
      </c>
      <c r="N417" s="7">
        <v>1736769.375</v>
      </c>
      <c r="O417" s="7">
        <v>5249426.5</v>
      </c>
      <c r="P417" s="7">
        <v>5820.69873046875</v>
      </c>
      <c r="Q417" s="7">
        <v>28239.60546875</v>
      </c>
      <c r="R417" s="7">
        <v>652013.5625</v>
      </c>
      <c r="S417" s="7">
        <v>1345734.625</v>
      </c>
      <c r="T417" s="31">
        <f t="shared" si="87"/>
        <v>2133.569461669922</v>
      </c>
      <c r="U417" s="37">
        <v>2623.2222222222222</v>
      </c>
      <c r="V417">
        <f t="shared" si="88"/>
        <v>0.81333919924729126</v>
      </c>
      <c r="W417">
        <f t="shared" si="98"/>
        <v>9.8764142838127286E-3</v>
      </c>
      <c r="X417" s="28">
        <v>2543.3999999999996</v>
      </c>
      <c r="Y417">
        <f t="shared" si="89"/>
        <v>0.33267463679105425</v>
      </c>
      <c r="Z417">
        <f t="shared" si="91"/>
        <v>0.13688871722648144</v>
      </c>
      <c r="AA417">
        <f t="shared" si="92"/>
        <v>6.6207481786606806E-2</v>
      </c>
      <c r="AB417">
        <f t="shared" si="93"/>
        <v>0.20011367910542591</v>
      </c>
      <c r="AC417">
        <f t="shared" si="94"/>
        <v>2.2189117952568408E-4</v>
      </c>
      <c r="AD417">
        <f t="shared" si="95"/>
        <v>1.0765235682102163E-3</v>
      </c>
      <c r="AE417">
        <f t="shared" si="96"/>
        <v>2.485544522216104E-2</v>
      </c>
      <c r="AF417">
        <f t="shared" si="97"/>
        <v>5.1300824367825827E-2</v>
      </c>
      <c r="AG417">
        <f t="shared" si="90"/>
        <v>0.81333919924729103</v>
      </c>
      <c r="AH417">
        <v>0.40009415520643993</v>
      </c>
      <c r="AI417">
        <v>0.62080388692579502</v>
      </c>
      <c r="AJ417">
        <v>2.712416734556956E-2</v>
      </c>
      <c r="AK417">
        <v>1.3708327747414628E-2</v>
      </c>
      <c r="AL417">
        <v>0.40448644340087281</v>
      </c>
    </row>
    <row r="418" spans="1:38" s="20" customFormat="1" x14ac:dyDescent="0.25">
      <c r="A418">
        <v>14</v>
      </c>
      <c r="B418" s="5" t="s">
        <v>20</v>
      </c>
      <c r="C418" s="6" t="s">
        <v>5</v>
      </c>
      <c r="D418" s="6" t="s">
        <v>49</v>
      </c>
      <c r="E418" s="28">
        <v>32074.7</v>
      </c>
      <c r="F418" s="11">
        <v>14</v>
      </c>
      <c r="G418" s="11">
        <v>14</v>
      </c>
      <c r="H418" s="11">
        <f t="shared" si="86"/>
        <v>0</v>
      </c>
      <c r="I418" s="18">
        <v>1</v>
      </c>
      <c r="J418" s="19">
        <v>0.36950146627565977</v>
      </c>
      <c r="K418" s="19">
        <v>-1.2</v>
      </c>
      <c r="L418" s="6">
        <v>9815999</v>
      </c>
      <c r="M418" s="7">
        <v>3448191.25</v>
      </c>
      <c r="N418" s="7">
        <v>1736769.375</v>
      </c>
      <c r="O418" s="7">
        <v>5039751</v>
      </c>
      <c r="P418" s="7">
        <v>5820.69873046875</v>
      </c>
      <c r="Q418" s="7">
        <v>17007.349609375</v>
      </c>
      <c r="R418" s="7">
        <v>658802.4375</v>
      </c>
      <c r="S418" s="7">
        <v>1325109.125</v>
      </c>
      <c r="T418" s="31">
        <f t="shared" si="87"/>
        <v>2204.7450235839842</v>
      </c>
      <c r="U418" s="37">
        <v>2644.7777777777778</v>
      </c>
      <c r="V418">
        <f t="shared" si="88"/>
        <v>0.83362203135133628</v>
      </c>
      <c r="W418">
        <f t="shared" si="98"/>
        <v>2.4937728469027275E-2</v>
      </c>
      <c r="X418" s="28">
        <v>2658.8999999999996</v>
      </c>
      <c r="Y418">
        <f t="shared" si="89"/>
        <v>0.37114645632903415</v>
      </c>
      <c r="Z418">
        <f t="shared" si="91"/>
        <v>0.13037735264462463</v>
      </c>
      <c r="AA418">
        <f t="shared" si="92"/>
        <v>6.5667875372852166E-2</v>
      </c>
      <c r="AB418">
        <f t="shared" si="93"/>
        <v>0.19055479981514933</v>
      </c>
      <c r="AC418">
        <f t="shared" si="94"/>
        <v>2.2008271467553983E-4</v>
      </c>
      <c r="AD418">
        <f t="shared" si="95"/>
        <v>6.4305401203367224E-4</v>
      </c>
      <c r="AE418">
        <f t="shared" si="96"/>
        <v>2.4909557356215604E-2</v>
      </c>
      <c r="AF418">
        <f t="shared" si="97"/>
        <v>5.0102853106751249E-2</v>
      </c>
      <c r="AG418">
        <f t="shared" si="90"/>
        <v>0.83362203135133628</v>
      </c>
      <c r="AH418" s="20">
        <v>0.40009415520643993</v>
      </c>
      <c r="AI418" s="20">
        <v>0.62080388692579502</v>
      </c>
      <c r="AJ418" s="20">
        <v>2.712416734556956E-2</v>
      </c>
      <c r="AK418" s="20">
        <v>1.3708327747414628E-2</v>
      </c>
      <c r="AL418" s="20">
        <v>0.40448644340087281</v>
      </c>
    </row>
    <row r="419" spans="1:38" x14ac:dyDescent="0.25">
      <c r="A419">
        <v>14</v>
      </c>
      <c r="B419" s="5" t="s">
        <v>20</v>
      </c>
      <c r="C419" s="6" t="s">
        <v>5</v>
      </c>
      <c r="D419" s="6" t="s">
        <v>50</v>
      </c>
      <c r="E419" s="28">
        <v>32074.7</v>
      </c>
      <c r="F419" s="11">
        <v>15</v>
      </c>
      <c r="G419" s="11">
        <v>14</v>
      </c>
      <c r="H419" s="11">
        <f t="shared" si="86"/>
        <v>1</v>
      </c>
      <c r="I419" s="18">
        <v>1</v>
      </c>
      <c r="J419" s="19">
        <v>0.36950146627565977</v>
      </c>
      <c r="K419" s="19">
        <v>-1.2</v>
      </c>
      <c r="L419" s="6">
        <v>10445609</v>
      </c>
      <c r="M419" s="7">
        <v>3349750.75</v>
      </c>
      <c r="N419" s="7">
        <v>1736769.375</v>
      </c>
      <c r="O419" s="7">
        <v>4896991.5</v>
      </c>
      <c r="P419" s="7">
        <v>5820.69873046875</v>
      </c>
      <c r="Q419" s="7">
        <v>23780.97265625</v>
      </c>
      <c r="R419" s="7">
        <v>636124.625</v>
      </c>
      <c r="S419" s="7">
        <v>1335488.5</v>
      </c>
      <c r="T419" s="31">
        <f t="shared" si="87"/>
        <v>2243.0335421386717</v>
      </c>
      <c r="U419" s="37">
        <v>2666.3333333333335</v>
      </c>
      <c r="V419">
        <f t="shared" si="88"/>
        <v>0.84124273364370727</v>
      </c>
      <c r="W419">
        <f t="shared" si="98"/>
        <v>9.1416757304476678E-3</v>
      </c>
      <c r="X419" s="28">
        <v>2774.3999999999996</v>
      </c>
      <c r="Y419">
        <f t="shared" si="89"/>
        <v>0.39175930741342668</v>
      </c>
      <c r="Z419">
        <f t="shared" si="91"/>
        <v>0.12563135704463058</v>
      </c>
      <c r="AA419">
        <f t="shared" si="92"/>
        <v>6.5136993686710831E-2</v>
      </c>
      <c r="AB419">
        <f t="shared" si="93"/>
        <v>0.18366013876734591</v>
      </c>
      <c r="AC419">
        <f t="shared" si="94"/>
        <v>2.1830349032886924E-4</v>
      </c>
      <c r="AD419">
        <f t="shared" si="95"/>
        <v>8.9189796185460682E-4</v>
      </c>
      <c r="AE419">
        <f t="shared" si="96"/>
        <v>2.3857655644455557E-2</v>
      </c>
      <c r="AF419">
        <f t="shared" si="97"/>
        <v>5.0087079634954366E-2</v>
      </c>
      <c r="AG419">
        <f t="shared" si="90"/>
        <v>0.84124273364370739</v>
      </c>
      <c r="AH419">
        <v>0.40009415520643993</v>
      </c>
      <c r="AI419">
        <v>0.62080388692579502</v>
      </c>
      <c r="AJ419">
        <v>2.712416734556956E-2</v>
      </c>
      <c r="AK419">
        <v>1.3708327747414628E-2</v>
      </c>
      <c r="AL419">
        <v>0.40448644340087281</v>
      </c>
    </row>
    <row r="420" spans="1:38" x14ac:dyDescent="0.25">
      <c r="A420">
        <v>14</v>
      </c>
      <c r="B420" s="5" t="s">
        <v>20</v>
      </c>
      <c r="C420" s="6" t="s">
        <v>5</v>
      </c>
      <c r="D420" s="6" t="s">
        <v>51</v>
      </c>
      <c r="E420" s="28">
        <v>32074.7</v>
      </c>
      <c r="F420" s="11">
        <v>16</v>
      </c>
      <c r="G420" s="11">
        <v>14</v>
      </c>
      <c r="H420" s="11">
        <f t="shared" si="86"/>
        <v>2</v>
      </c>
      <c r="I420" s="18">
        <v>1</v>
      </c>
      <c r="J420" s="19">
        <v>0.36950146627565977</v>
      </c>
      <c r="K420" s="19">
        <v>-1.2</v>
      </c>
      <c r="L420" s="6">
        <v>9119478</v>
      </c>
      <c r="M420" s="7">
        <v>3496006</v>
      </c>
      <c r="N420" s="7">
        <v>1736769.375</v>
      </c>
      <c r="O420" s="7">
        <v>5110878.5</v>
      </c>
      <c r="P420" s="7">
        <v>5820.69873046875</v>
      </c>
      <c r="Q420" s="7">
        <v>65463.38671875</v>
      </c>
      <c r="R420" s="7">
        <v>629196.125</v>
      </c>
      <c r="S420" s="7">
        <v>1353340.625</v>
      </c>
      <c r="T420" s="31">
        <f t="shared" si="87"/>
        <v>2151.6952710449218</v>
      </c>
      <c r="U420" s="37">
        <v>2733.2222222222226</v>
      </c>
      <c r="V420">
        <f t="shared" si="88"/>
        <v>0.78723758849564185</v>
      </c>
      <c r="W420">
        <f t="shared" si="98"/>
        <v>-6.4196863744844304E-2</v>
      </c>
      <c r="X420" s="28">
        <v>2889.8999999999996</v>
      </c>
      <c r="Y420">
        <f t="shared" si="89"/>
        <v>0.33365300215455906</v>
      </c>
      <c r="Z420">
        <f t="shared" si="91"/>
        <v>0.12790785804300986</v>
      </c>
      <c r="AA420">
        <f t="shared" si="92"/>
        <v>6.3542926033578584E-2</v>
      </c>
      <c r="AB420">
        <f t="shared" si="93"/>
        <v>0.18699096101467538</v>
      </c>
      <c r="AC420">
        <f t="shared" si="94"/>
        <v>2.1296104953135795E-4</v>
      </c>
      <c r="AD420">
        <f t="shared" si="95"/>
        <v>2.3950993148857671E-3</v>
      </c>
      <c r="AE420">
        <f t="shared" si="96"/>
        <v>2.3020306211634617E-2</v>
      </c>
      <c r="AF420">
        <f t="shared" si="97"/>
        <v>4.9514474673767218E-2</v>
      </c>
      <c r="AG420">
        <f t="shared" si="90"/>
        <v>0.78723758849564196</v>
      </c>
      <c r="AH420">
        <v>0.40009415520643993</v>
      </c>
      <c r="AI420">
        <v>0.62080388692579502</v>
      </c>
      <c r="AJ420">
        <v>2.712416734556956E-2</v>
      </c>
      <c r="AK420">
        <v>1.3708327747414628E-2</v>
      </c>
      <c r="AL420">
        <v>0.40448644340087281</v>
      </c>
    </row>
    <row r="421" spans="1:38" x14ac:dyDescent="0.25">
      <c r="A421">
        <v>14</v>
      </c>
      <c r="B421" s="5" t="s">
        <v>20</v>
      </c>
      <c r="C421" s="6" t="s">
        <v>5</v>
      </c>
      <c r="D421" s="6" t="s">
        <v>52</v>
      </c>
      <c r="E421" s="28">
        <v>32074.7</v>
      </c>
      <c r="F421" s="11">
        <v>17</v>
      </c>
      <c r="G421" s="11">
        <v>14</v>
      </c>
      <c r="H421" s="11">
        <f t="shared" si="86"/>
        <v>3</v>
      </c>
      <c r="I421" s="18">
        <v>1</v>
      </c>
      <c r="J421" s="19">
        <v>0.36950146627565977</v>
      </c>
      <c r="K421" s="19">
        <v>-1.2</v>
      </c>
      <c r="L421" s="6">
        <v>8974690</v>
      </c>
      <c r="M421" s="7">
        <v>3597792.5</v>
      </c>
      <c r="N421" s="7">
        <v>1736769.375</v>
      </c>
      <c r="O421" s="7">
        <v>5256451.5</v>
      </c>
      <c r="P421" s="7">
        <v>5820.69873046875</v>
      </c>
      <c r="Q421" s="7">
        <v>90334.5625</v>
      </c>
      <c r="R421" s="7">
        <v>659797.5625</v>
      </c>
      <c r="S421" s="7">
        <v>1389401.75</v>
      </c>
      <c r="T421" s="31">
        <f t="shared" si="87"/>
        <v>2171.1057948730468</v>
      </c>
      <c r="U421" s="37">
        <v>2800.1111111111113</v>
      </c>
      <c r="V421">
        <f t="shared" si="88"/>
        <v>0.77536415832139283</v>
      </c>
      <c r="W421">
        <f t="shared" si="98"/>
        <v>-1.5082397420756229E-2</v>
      </c>
      <c r="X421" s="28">
        <v>3005.3999999999996</v>
      </c>
      <c r="Y421">
        <f t="shared" si="89"/>
        <v>0.3205119241299948</v>
      </c>
      <c r="Z421">
        <f t="shared" si="91"/>
        <v>0.1284874905757708</v>
      </c>
      <c r="AA421">
        <f t="shared" si="92"/>
        <v>6.2025016368398078E-2</v>
      </c>
      <c r="AB421">
        <f t="shared" si="93"/>
        <v>0.18772296139042099</v>
      </c>
      <c r="AC421">
        <f t="shared" si="94"/>
        <v>2.0787384855449682E-4</v>
      </c>
      <c r="AD421">
        <f t="shared" si="95"/>
        <v>3.226106354906551E-3</v>
      </c>
      <c r="AE421">
        <f t="shared" si="96"/>
        <v>2.3563263610571008E-2</v>
      </c>
      <c r="AF421">
        <f t="shared" si="97"/>
        <v>4.9619522042776081E-2</v>
      </c>
      <c r="AG421">
        <f t="shared" si="90"/>
        <v>0.77536415832139272</v>
      </c>
      <c r="AH421">
        <v>0.40009415520643993</v>
      </c>
      <c r="AI421">
        <v>0.62080388692579502</v>
      </c>
      <c r="AJ421">
        <v>2.712416734556956E-2</v>
      </c>
      <c r="AK421">
        <v>1.3708327747414628E-2</v>
      </c>
      <c r="AL421">
        <v>0.40448644340087281</v>
      </c>
    </row>
    <row r="422" spans="1:38" x14ac:dyDescent="0.25">
      <c r="A422">
        <v>14</v>
      </c>
      <c r="B422" s="5" t="s">
        <v>20</v>
      </c>
      <c r="C422" s="6" t="s">
        <v>5</v>
      </c>
      <c r="D422" s="6" t="s">
        <v>53</v>
      </c>
      <c r="E422" s="28">
        <v>32074.7</v>
      </c>
      <c r="F422" s="11">
        <v>18</v>
      </c>
      <c r="G422" s="11">
        <v>14</v>
      </c>
      <c r="H422" s="11">
        <f t="shared" si="86"/>
        <v>4</v>
      </c>
      <c r="I422" s="18">
        <v>1</v>
      </c>
      <c r="J422" s="19">
        <v>0.36950146627565977</v>
      </c>
      <c r="K422" s="19">
        <v>-1.2</v>
      </c>
      <c r="L422" s="6">
        <v>9585653</v>
      </c>
      <c r="M422" s="7">
        <v>3584570.5</v>
      </c>
      <c r="N422" s="7">
        <v>1736769.375</v>
      </c>
      <c r="O422" s="7">
        <v>5237926</v>
      </c>
      <c r="P422" s="7">
        <v>5820.69873046875</v>
      </c>
      <c r="Q422" s="7">
        <v>59721.65234375</v>
      </c>
      <c r="R422" s="7">
        <v>653865.625</v>
      </c>
      <c r="S422" s="7">
        <v>1376016.5</v>
      </c>
      <c r="T422" s="31">
        <f t="shared" si="87"/>
        <v>2224.0343351074221</v>
      </c>
      <c r="U422" s="37">
        <v>2867</v>
      </c>
      <c r="V422">
        <f t="shared" si="88"/>
        <v>0.77573572902247023</v>
      </c>
      <c r="W422">
        <f t="shared" si="98"/>
        <v>4.7922088877802875E-4</v>
      </c>
      <c r="X422" s="28">
        <v>3120.8999999999996</v>
      </c>
      <c r="Y422">
        <f t="shared" si="89"/>
        <v>0.33434436693407743</v>
      </c>
      <c r="Z422">
        <f t="shared" si="91"/>
        <v>0.12502861876525986</v>
      </c>
      <c r="AA422">
        <f t="shared" si="92"/>
        <v>6.0577934251831188E-2</v>
      </c>
      <c r="AB422">
        <f t="shared" si="93"/>
        <v>0.18269710498779212</v>
      </c>
      <c r="AC422">
        <f t="shared" si="94"/>
        <v>2.0302402268813219E-4</v>
      </c>
      <c r="AD422">
        <f t="shared" si="95"/>
        <v>2.0830712362661318E-3</v>
      </c>
      <c r="AE422">
        <f t="shared" si="96"/>
        <v>2.2806614056505057E-2</v>
      </c>
      <c r="AF422">
        <f t="shared" si="97"/>
        <v>4.7994994768050227E-2</v>
      </c>
      <c r="AG422">
        <f t="shared" si="90"/>
        <v>0.77573572902247023</v>
      </c>
      <c r="AH422">
        <v>0.40009415520643993</v>
      </c>
      <c r="AI422">
        <v>0.62080388692579502</v>
      </c>
      <c r="AJ422">
        <v>2.712416734556956E-2</v>
      </c>
      <c r="AK422">
        <v>1.3708327747414628E-2</v>
      </c>
      <c r="AL422">
        <v>0.40448644340087281</v>
      </c>
    </row>
    <row r="423" spans="1:38" x14ac:dyDescent="0.25">
      <c r="A423">
        <v>14</v>
      </c>
      <c r="B423" s="5" t="s">
        <v>20</v>
      </c>
      <c r="C423" s="6" t="s">
        <v>5</v>
      </c>
      <c r="D423" s="6" t="s">
        <v>54</v>
      </c>
      <c r="E423" s="28">
        <v>32074.7</v>
      </c>
      <c r="F423" s="11">
        <v>19</v>
      </c>
      <c r="G423" s="11">
        <v>14</v>
      </c>
      <c r="H423" s="11">
        <f t="shared" si="86"/>
        <v>5</v>
      </c>
      <c r="I423" s="18">
        <v>1</v>
      </c>
      <c r="J423" s="19">
        <v>0.36950146627565977</v>
      </c>
      <c r="K423" s="19">
        <v>-1.2</v>
      </c>
      <c r="L423" s="6">
        <v>10692408</v>
      </c>
      <c r="M423" s="7">
        <v>3616822.5</v>
      </c>
      <c r="N423" s="7">
        <v>1737603</v>
      </c>
      <c r="O423" s="7">
        <v>5286218.5</v>
      </c>
      <c r="P423" s="7">
        <v>5823.4931640625</v>
      </c>
      <c r="Q423" s="7">
        <v>27631.05078125</v>
      </c>
      <c r="R423" s="7">
        <v>653237.9375</v>
      </c>
      <c r="S423" s="7">
        <v>1338120.25</v>
      </c>
      <c r="T423" s="31">
        <f t="shared" si="87"/>
        <v>2335.7864731445311</v>
      </c>
      <c r="U423" s="37">
        <v>2933.8888888888887</v>
      </c>
      <c r="V423">
        <f t="shared" si="88"/>
        <v>0.79614005901536755</v>
      </c>
      <c r="W423">
        <f t="shared" si="98"/>
        <v>2.6303197377036479E-2</v>
      </c>
      <c r="X423" s="28">
        <v>3236.3999999999996</v>
      </c>
      <c r="Y423">
        <f t="shared" si="89"/>
        <v>0.36444488543836395</v>
      </c>
      <c r="Z423">
        <f t="shared" si="91"/>
        <v>0.12327741904942248</v>
      </c>
      <c r="AA423">
        <f t="shared" si="92"/>
        <v>5.9225249005870104E-2</v>
      </c>
      <c r="AB423">
        <f t="shared" si="93"/>
        <v>0.18017786972164365</v>
      </c>
      <c r="AC423">
        <f t="shared" si="94"/>
        <v>1.9849058313411286E-4</v>
      </c>
      <c r="AD423">
        <f t="shared" si="95"/>
        <v>9.4178927108975574E-4</v>
      </c>
      <c r="AE423">
        <f t="shared" si="96"/>
        <v>2.2265258237076313E-2</v>
      </c>
      <c r="AF423">
        <f t="shared" si="97"/>
        <v>4.5609097708767282E-2</v>
      </c>
      <c r="AG423">
        <f t="shared" si="90"/>
        <v>0.79614005901536777</v>
      </c>
      <c r="AH423">
        <v>0.40009415520643993</v>
      </c>
      <c r="AI423">
        <v>0.62080388692579502</v>
      </c>
      <c r="AJ423">
        <v>2.712416734556956E-2</v>
      </c>
      <c r="AK423">
        <v>1.3708327747414628E-2</v>
      </c>
      <c r="AL423">
        <v>0.40448644340087281</v>
      </c>
    </row>
    <row r="424" spans="1:38" x14ac:dyDescent="0.25">
      <c r="A424">
        <v>14</v>
      </c>
      <c r="B424" s="5" t="s">
        <v>20</v>
      </c>
      <c r="C424" s="6" t="s">
        <v>5</v>
      </c>
      <c r="D424" s="6" t="s">
        <v>55</v>
      </c>
      <c r="E424" s="28">
        <v>32200.1</v>
      </c>
      <c r="F424" s="11">
        <v>20</v>
      </c>
      <c r="G424" s="11">
        <v>14</v>
      </c>
      <c r="H424" s="18">
        <f t="shared" si="86"/>
        <v>6</v>
      </c>
      <c r="I424" s="18">
        <v>1</v>
      </c>
      <c r="J424" s="19">
        <v>0.36950146627565977</v>
      </c>
      <c r="K424" s="19">
        <v>-1.2</v>
      </c>
      <c r="L424" s="14">
        <v>715588</v>
      </c>
      <c r="M424" s="16">
        <v>3352016.25</v>
      </c>
      <c r="N424" s="16">
        <v>3800235</v>
      </c>
      <c r="O424" s="16">
        <v>8964033</v>
      </c>
      <c r="P424" s="16">
        <v>5962.99169921875</v>
      </c>
      <c r="Q424" s="16">
        <v>16588.33203125</v>
      </c>
      <c r="R424" s="16">
        <v>4830967</v>
      </c>
      <c r="S424" s="16">
        <v>1664343.5</v>
      </c>
      <c r="T424" s="31">
        <f t="shared" si="87"/>
        <v>2334.9734073730469</v>
      </c>
      <c r="U424" s="37">
        <v>2353.1111111111109</v>
      </c>
      <c r="V424">
        <f t="shared" si="88"/>
        <v>0.99229203259785748</v>
      </c>
      <c r="W424">
        <f t="shared" si="98"/>
        <v>0.2463787261566544</v>
      </c>
      <c r="X424" s="28">
        <v>2231.2874999999999</v>
      </c>
      <c r="Y424">
        <f t="shared" si="89"/>
        <v>3.0410293701010487E-2</v>
      </c>
      <c r="Z424">
        <f t="shared" si="91"/>
        <v>0.14245040254037211</v>
      </c>
      <c r="AA424">
        <f t="shared" si="92"/>
        <v>0.1614983237321749</v>
      </c>
      <c r="AB424">
        <f t="shared" si="93"/>
        <v>0.38094388988573052</v>
      </c>
      <c r="AC424">
        <f t="shared" si="94"/>
        <v>2.5340884546684654E-4</v>
      </c>
      <c r="AD424">
        <f t="shared" si="95"/>
        <v>7.0495319804159985E-4</v>
      </c>
      <c r="AE424">
        <f t="shared" si="96"/>
        <v>0.20530127018604213</v>
      </c>
      <c r="AF424">
        <f t="shared" si="97"/>
        <v>7.0729490509018791E-2</v>
      </c>
      <c r="AG424">
        <f t="shared" si="90"/>
        <v>0.99229203259785748</v>
      </c>
      <c r="AH424">
        <v>0.40731861081176773</v>
      </c>
      <c r="AI424">
        <v>0.6312292358803987</v>
      </c>
      <c r="AJ424">
        <v>2.7046293190204629E-2</v>
      </c>
      <c r="AK424">
        <v>1.5033239027207991E-2</v>
      </c>
      <c r="AL424">
        <v>0.40833297743991631</v>
      </c>
    </row>
    <row r="425" spans="1:38" x14ac:dyDescent="0.25">
      <c r="A425">
        <v>14</v>
      </c>
      <c r="B425" s="5" t="s">
        <v>20</v>
      </c>
      <c r="C425" s="6" t="s">
        <v>5</v>
      </c>
      <c r="D425" s="6" t="s">
        <v>56</v>
      </c>
      <c r="E425" s="28">
        <v>32200.1</v>
      </c>
      <c r="F425" s="11">
        <v>21</v>
      </c>
      <c r="G425" s="11">
        <v>14</v>
      </c>
      <c r="H425" s="11">
        <f t="shared" si="86"/>
        <v>7</v>
      </c>
      <c r="I425" s="18">
        <v>1</v>
      </c>
      <c r="J425" s="19">
        <v>0.36950146627565977</v>
      </c>
      <c r="K425" s="19">
        <v>-1.2</v>
      </c>
      <c r="L425" s="6">
        <v>693406.875</v>
      </c>
      <c r="M425" s="7">
        <v>3286531.5</v>
      </c>
      <c r="N425" s="7">
        <v>3305804.5</v>
      </c>
      <c r="O425" s="7">
        <v>8919615</v>
      </c>
      <c r="P425" s="7">
        <v>5962.99169921875</v>
      </c>
      <c r="Q425" s="7">
        <v>23541.6640625</v>
      </c>
      <c r="R425" s="7">
        <v>4731556.5</v>
      </c>
      <c r="S425" s="7">
        <v>1680756.125</v>
      </c>
      <c r="T425" s="31">
        <f t="shared" si="87"/>
        <v>2264.717515576172</v>
      </c>
      <c r="U425" s="37">
        <v>2435.6666666666665</v>
      </c>
      <c r="V425">
        <f t="shared" si="88"/>
        <v>0.92981422563685734</v>
      </c>
      <c r="W425">
        <f t="shared" si="98"/>
        <v>-6.2963124673520665E-2</v>
      </c>
      <c r="X425" s="28">
        <v>2313.4791666666665</v>
      </c>
      <c r="Y425">
        <f t="shared" si="89"/>
        <v>2.8468874024907626E-2</v>
      </c>
      <c r="Z425">
        <f t="shared" si="91"/>
        <v>0.13493355002052826</v>
      </c>
      <c r="AA425">
        <f t="shared" si="92"/>
        <v>0.13572483235253868</v>
      </c>
      <c r="AB425">
        <f t="shared" si="93"/>
        <v>0.36620836184480637</v>
      </c>
      <c r="AC425">
        <f t="shared" si="94"/>
        <v>2.4481969478111742E-4</v>
      </c>
      <c r="AD425">
        <f t="shared" si="95"/>
        <v>9.6653882834952794E-4</v>
      </c>
      <c r="AE425">
        <f t="shared" si="96"/>
        <v>0.19426124948679352</v>
      </c>
      <c r="AF425">
        <f t="shared" si="97"/>
        <v>6.9005999384152181E-2</v>
      </c>
      <c r="AG425">
        <f t="shared" si="90"/>
        <v>0.92981422563685723</v>
      </c>
      <c r="AH425">
        <v>0.40731861081176773</v>
      </c>
      <c r="AI425">
        <v>0.6312292358803987</v>
      </c>
      <c r="AJ425">
        <v>2.7046293190204629E-2</v>
      </c>
      <c r="AK425">
        <v>1.5033239027207991E-2</v>
      </c>
      <c r="AL425">
        <v>0.40833297743991631</v>
      </c>
    </row>
    <row r="426" spans="1:38" x14ac:dyDescent="0.25">
      <c r="A426">
        <v>14</v>
      </c>
      <c r="B426" s="5" t="s">
        <v>20</v>
      </c>
      <c r="C426" s="6" t="s">
        <v>5</v>
      </c>
      <c r="D426" s="6" t="s">
        <v>57</v>
      </c>
      <c r="E426" s="28">
        <v>32200.1</v>
      </c>
      <c r="F426" s="11">
        <v>22</v>
      </c>
      <c r="G426" s="11">
        <v>14</v>
      </c>
      <c r="H426" s="11">
        <f t="shared" si="86"/>
        <v>8</v>
      </c>
      <c r="I426" s="18">
        <v>1</v>
      </c>
      <c r="J426" s="19">
        <v>0.36950146627565977</v>
      </c>
      <c r="K426" s="19">
        <v>-1.2</v>
      </c>
      <c r="L426" s="6">
        <v>686205.375</v>
      </c>
      <c r="M426" s="7">
        <v>3411526.5</v>
      </c>
      <c r="N426" s="7">
        <v>2143248</v>
      </c>
      <c r="O426" s="7">
        <v>10146513</v>
      </c>
      <c r="P426" s="7">
        <v>5962.99169921875</v>
      </c>
      <c r="Q426" s="7">
        <v>68211.640625</v>
      </c>
      <c r="R426" s="7">
        <v>4913953</v>
      </c>
      <c r="S426" s="7">
        <v>1707050.5</v>
      </c>
      <c r="T426" s="31">
        <f t="shared" si="87"/>
        <v>2308.267100732422</v>
      </c>
      <c r="U426" s="37">
        <v>2518.2222222222222</v>
      </c>
      <c r="V426">
        <f t="shared" si="88"/>
        <v>0.9166256577211348</v>
      </c>
      <c r="W426">
        <f t="shared" si="98"/>
        <v>-1.4184089199849891E-2</v>
      </c>
      <c r="X426" s="28">
        <v>2395.6708333333331</v>
      </c>
      <c r="Y426">
        <f t="shared" si="89"/>
        <v>2.7249595724496999E-2</v>
      </c>
      <c r="Z426">
        <f t="shared" si="91"/>
        <v>0.1354736079244617</v>
      </c>
      <c r="AA426">
        <f t="shared" si="92"/>
        <v>8.510956583127427E-2</v>
      </c>
      <c r="AB426">
        <f t="shared" si="93"/>
        <v>0.40292365425344162</v>
      </c>
      <c r="AC426">
        <f t="shared" si="94"/>
        <v>2.3679370496368138E-4</v>
      </c>
      <c r="AD426">
        <f t="shared" si="95"/>
        <v>2.7087220509398164E-3</v>
      </c>
      <c r="AE426">
        <f t="shared" si="96"/>
        <v>0.19513579685845392</v>
      </c>
      <c r="AF426">
        <f t="shared" si="97"/>
        <v>6.7787921373102716E-2</v>
      </c>
      <c r="AG426">
        <f t="shared" si="90"/>
        <v>0.9166256577211348</v>
      </c>
      <c r="AH426">
        <v>0.40731861081176773</v>
      </c>
      <c r="AI426">
        <v>0.6312292358803987</v>
      </c>
      <c r="AJ426">
        <v>2.7046293190204629E-2</v>
      </c>
      <c r="AK426">
        <v>1.5033239027207991E-2</v>
      </c>
      <c r="AL426">
        <v>0.40833297743991631</v>
      </c>
    </row>
    <row r="427" spans="1:38" x14ac:dyDescent="0.25">
      <c r="A427">
        <v>14</v>
      </c>
      <c r="B427" s="5" t="s">
        <v>20</v>
      </c>
      <c r="C427" s="6" t="s">
        <v>5</v>
      </c>
      <c r="D427" s="6" t="s">
        <v>58</v>
      </c>
      <c r="E427" s="28">
        <v>32200.1</v>
      </c>
      <c r="F427" s="11">
        <v>23</v>
      </c>
      <c r="G427" s="11">
        <v>14</v>
      </c>
      <c r="H427" s="11">
        <f t="shared" si="86"/>
        <v>9</v>
      </c>
      <c r="I427" s="18">
        <v>1</v>
      </c>
      <c r="J427" s="19">
        <v>0.36950146627565977</v>
      </c>
      <c r="K427" s="19">
        <v>-1.2</v>
      </c>
      <c r="L427" s="6">
        <v>715335.25</v>
      </c>
      <c r="M427" s="7">
        <v>3465625</v>
      </c>
      <c r="N427" s="7">
        <v>1399022.875</v>
      </c>
      <c r="O427" s="7">
        <v>9177720</v>
      </c>
      <c r="P427" s="7">
        <v>5962.99169921875</v>
      </c>
      <c r="Q427" s="7">
        <v>93972.53125</v>
      </c>
      <c r="R427" s="7">
        <v>4995426.5</v>
      </c>
      <c r="S427" s="7">
        <v>1750623.125</v>
      </c>
      <c r="T427" s="31">
        <f t="shared" si="87"/>
        <v>2160.3688272949221</v>
      </c>
      <c r="U427" s="37">
        <v>2600.7777777777778</v>
      </c>
      <c r="V427">
        <f t="shared" si="88"/>
        <v>0.83066259860957403</v>
      </c>
      <c r="W427">
        <f t="shared" si="98"/>
        <v>-9.3782078198942728E-2</v>
      </c>
      <c r="X427" s="28">
        <v>2477.8624999999997</v>
      </c>
      <c r="Y427">
        <f t="shared" si="89"/>
        <v>2.7504666339129319E-2</v>
      </c>
      <c r="Z427">
        <f t="shared" si="91"/>
        <v>0.13325340710044004</v>
      </c>
      <c r="AA427">
        <f t="shared" si="92"/>
        <v>5.3792480347759214E-2</v>
      </c>
      <c r="AB427">
        <f t="shared" si="93"/>
        <v>0.3528836672790191</v>
      </c>
      <c r="AC427">
        <f t="shared" si="94"/>
        <v>2.2927724737458344E-4</v>
      </c>
      <c r="AD427">
        <f t="shared" si="95"/>
        <v>3.6132472390737812E-3</v>
      </c>
      <c r="AE427">
        <f t="shared" si="96"/>
        <v>0.19207433032853419</v>
      </c>
      <c r="AF427">
        <f t="shared" si="97"/>
        <v>6.7311522728243686E-2</v>
      </c>
      <c r="AG427">
        <f t="shared" si="90"/>
        <v>0.83066259860957381</v>
      </c>
      <c r="AH427">
        <v>0.40731861081176773</v>
      </c>
      <c r="AI427">
        <v>0.6312292358803987</v>
      </c>
      <c r="AJ427">
        <v>2.7046293190204629E-2</v>
      </c>
      <c r="AK427">
        <v>1.5033239027207991E-2</v>
      </c>
      <c r="AL427">
        <v>0.40833297743991631</v>
      </c>
    </row>
    <row r="428" spans="1:38" x14ac:dyDescent="0.25">
      <c r="A428">
        <v>14</v>
      </c>
      <c r="B428" s="5" t="s">
        <v>20</v>
      </c>
      <c r="C428" s="6" t="s">
        <v>5</v>
      </c>
      <c r="D428" s="6" t="s">
        <v>59</v>
      </c>
      <c r="E428" s="28">
        <v>32200.1</v>
      </c>
      <c r="F428" s="11">
        <v>24</v>
      </c>
      <c r="G428" s="11">
        <v>14</v>
      </c>
      <c r="H428" s="11">
        <f t="shared" si="86"/>
        <v>10</v>
      </c>
      <c r="I428" s="18">
        <v>1</v>
      </c>
      <c r="J428" s="19">
        <v>0.36950146627565977</v>
      </c>
      <c r="K428" s="19">
        <v>-1.2</v>
      </c>
      <c r="L428" s="6">
        <v>708929</v>
      </c>
      <c r="M428" s="7">
        <v>3428217.5</v>
      </c>
      <c r="N428" s="7">
        <v>893844.125</v>
      </c>
      <c r="O428" s="7">
        <v>9117696</v>
      </c>
      <c r="P428" s="7">
        <v>5962.99169921875</v>
      </c>
      <c r="Q428" s="7">
        <v>61742.2734375</v>
      </c>
      <c r="R428" s="7">
        <v>4944452</v>
      </c>
      <c r="S428" s="7">
        <v>1740921.875</v>
      </c>
      <c r="T428" s="31">
        <f t="shared" si="87"/>
        <v>2090.176576513672</v>
      </c>
      <c r="U428" s="37">
        <v>2683.3333333333335</v>
      </c>
      <c r="V428">
        <f t="shared" si="88"/>
        <v>0.77894779248956714</v>
      </c>
      <c r="W428">
        <f t="shared" si="98"/>
        <v>-6.2257294606222854E-2</v>
      </c>
      <c r="X428" s="28">
        <v>2560.0541666666663</v>
      </c>
      <c r="Y428">
        <f t="shared" si="89"/>
        <v>2.6419714285714286E-2</v>
      </c>
      <c r="Z428">
        <f t="shared" si="91"/>
        <v>0.12775965838509318</v>
      </c>
      <c r="AA428">
        <f t="shared" si="92"/>
        <v>3.3310961180124221E-2</v>
      </c>
      <c r="AB428">
        <f t="shared" si="93"/>
        <v>0.33978991304347822</v>
      </c>
      <c r="AC428">
        <f t="shared" si="94"/>
        <v>2.2222329313858693E-4</v>
      </c>
      <c r="AD428">
        <f t="shared" si="95"/>
        <v>2.3009542895962732E-3</v>
      </c>
      <c r="AE428">
        <f t="shared" si="96"/>
        <v>0.18426529192546581</v>
      </c>
      <c r="AF428">
        <f t="shared" si="97"/>
        <v>6.4879076086956519E-2</v>
      </c>
      <c r="AG428">
        <f t="shared" si="90"/>
        <v>0.77894779248956714</v>
      </c>
      <c r="AH428">
        <v>0.40731861081176773</v>
      </c>
      <c r="AI428">
        <v>0.6312292358803987</v>
      </c>
      <c r="AJ428">
        <v>2.7046293190204629E-2</v>
      </c>
      <c r="AK428">
        <v>1.5033239027207991E-2</v>
      </c>
      <c r="AL428">
        <v>0.40833297743991631</v>
      </c>
    </row>
    <row r="429" spans="1:38" x14ac:dyDescent="0.25">
      <c r="A429">
        <v>14</v>
      </c>
      <c r="B429" s="5" t="s">
        <v>20</v>
      </c>
      <c r="C429" s="6" t="s">
        <v>5</v>
      </c>
      <c r="D429" s="6" t="s">
        <v>60</v>
      </c>
      <c r="E429" s="28">
        <v>32200.1</v>
      </c>
      <c r="F429" s="11">
        <v>25</v>
      </c>
      <c r="G429" s="11">
        <v>14</v>
      </c>
      <c r="H429" s="11">
        <f t="shared" si="86"/>
        <v>11</v>
      </c>
      <c r="I429" s="18">
        <v>1</v>
      </c>
      <c r="J429" s="19">
        <v>0.36950146627565977</v>
      </c>
      <c r="K429" s="19">
        <v>-1.2</v>
      </c>
      <c r="L429" s="6">
        <v>707601.25</v>
      </c>
      <c r="M429" s="7">
        <v>3446447</v>
      </c>
      <c r="N429" s="7">
        <v>497224.96875</v>
      </c>
      <c r="O429" s="7">
        <v>9551071</v>
      </c>
      <c r="P429" s="7">
        <v>5962.99169921875</v>
      </c>
      <c r="Q429" s="7">
        <v>30223.19921875</v>
      </c>
      <c r="R429" s="7">
        <v>4972242</v>
      </c>
      <c r="S429" s="7">
        <v>1703308.25</v>
      </c>
      <c r="T429" s="31">
        <f t="shared" si="87"/>
        <v>2091.408065966797</v>
      </c>
      <c r="U429" s="37">
        <v>2701.5555555555557</v>
      </c>
      <c r="V429">
        <f t="shared" si="88"/>
        <v>0.77414956789097522</v>
      </c>
      <c r="W429">
        <f t="shared" si="98"/>
        <v>-6.1598795771106588E-3</v>
      </c>
      <c r="X429" s="28">
        <v>2642.2458333333329</v>
      </c>
      <c r="Y429">
        <f t="shared" si="89"/>
        <v>2.6192363453154559E-2</v>
      </c>
      <c r="Z429">
        <f t="shared" si="91"/>
        <v>0.12757268651805542</v>
      </c>
      <c r="AA429">
        <f t="shared" si="92"/>
        <v>1.8405135801390145E-2</v>
      </c>
      <c r="AB429">
        <f t="shared" si="93"/>
        <v>0.35353968495516985</v>
      </c>
      <c r="AC429">
        <f t="shared" si="94"/>
        <v>2.2072437810713476E-4</v>
      </c>
      <c r="AD429">
        <f t="shared" si="95"/>
        <v>1.118733211190055E-3</v>
      </c>
      <c r="AE429">
        <f t="shared" si="96"/>
        <v>0.18405107345562227</v>
      </c>
      <c r="AF429">
        <f t="shared" si="97"/>
        <v>6.304916611828576E-2</v>
      </c>
      <c r="AG429">
        <f t="shared" si="90"/>
        <v>0.77414956789097511</v>
      </c>
      <c r="AH429">
        <v>0.40731861081176773</v>
      </c>
      <c r="AI429">
        <v>0.6312292358803987</v>
      </c>
      <c r="AJ429">
        <v>2.7046293190204629E-2</v>
      </c>
      <c r="AK429">
        <v>1.5033239027207991E-2</v>
      </c>
      <c r="AL429">
        <v>0.40833297743991631</v>
      </c>
    </row>
    <row r="430" spans="1:38" x14ac:dyDescent="0.25">
      <c r="A430">
        <v>14</v>
      </c>
      <c r="B430" s="5" t="s">
        <v>20</v>
      </c>
      <c r="C430" s="6" t="s">
        <v>5</v>
      </c>
      <c r="D430" s="6" t="s">
        <v>61</v>
      </c>
      <c r="E430" s="28">
        <v>32200.1</v>
      </c>
      <c r="F430" s="11">
        <v>26</v>
      </c>
      <c r="G430" s="11">
        <v>14</v>
      </c>
      <c r="H430" s="11">
        <f t="shared" si="86"/>
        <v>12</v>
      </c>
      <c r="I430" s="18">
        <v>1</v>
      </c>
      <c r="J430" s="19">
        <v>0.36950146627565977</v>
      </c>
      <c r="K430" s="19">
        <v>-1.2</v>
      </c>
      <c r="L430" s="6">
        <v>714172.1875</v>
      </c>
      <c r="M430" s="7">
        <v>3309603.5</v>
      </c>
      <c r="N430" s="7">
        <v>370177.875</v>
      </c>
      <c r="O430" s="7">
        <v>10743155</v>
      </c>
      <c r="P430" s="7">
        <v>5962.99169921875</v>
      </c>
      <c r="Q430" s="7">
        <v>18169.0078125</v>
      </c>
      <c r="R430" s="7">
        <v>4773698.5</v>
      </c>
      <c r="S430" s="7">
        <v>1678460.25</v>
      </c>
      <c r="T430" s="31">
        <f t="shared" si="87"/>
        <v>2161.339931201172</v>
      </c>
      <c r="U430" s="37">
        <v>2719.7777777777778</v>
      </c>
      <c r="V430">
        <f t="shared" si="88"/>
        <v>0.79467519326785474</v>
      </c>
      <c r="W430">
        <f t="shared" si="98"/>
        <v>2.651377230991386E-2</v>
      </c>
      <c r="X430" s="28">
        <v>2724.4374999999995</v>
      </c>
      <c r="Y430">
        <f t="shared" si="89"/>
        <v>2.6258475723098293E-2</v>
      </c>
      <c r="Z430">
        <f t="shared" si="91"/>
        <v>0.1216865409755699</v>
      </c>
      <c r="AA430">
        <f t="shared" si="92"/>
        <v>1.361059267505515E-2</v>
      </c>
      <c r="AB430">
        <f t="shared" si="93"/>
        <v>0.39500120516382059</v>
      </c>
      <c r="AC430">
        <f t="shared" si="94"/>
        <v>2.1924554821868108E-4</v>
      </c>
      <c r="AD430">
        <f t="shared" si="95"/>
        <v>6.6803280624438272E-4</v>
      </c>
      <c r="AE430">
        <f t="shared" si="96"/>
        <v>0.17551796102622763</v>
      </c>
      <c r="AF430">
        <f t="shared" si="97"/>
        <v>6.1713139349620062E-2</v>
      </c>
      <c r="AG430">
        <f t="shared" si="90"/>
        <v>0.79467519326785474</v>
      </c>
      <c r="AH430">
        <v>0.40731861081176773</v>
      </c>
      <c r="AI430">
        <v>0.6312292358803987</v>
      </c>
      <c r="AJ430">
        <v>2.7046293190204629E-2</v>
      </c>
      <c r="AK430">
        <v>1.5033239027207991E-2</v>
      </c>
      <c r="AL430">
        <v>0.40833297743991631</v>
      </c>
    </row>
    <row r="431" spans="1:38" x14ac:dyDescent="0.25">
      <c r="A431">
        <v>14</v>
      </c>
      <c r="B431" s="5" t="s">
        <v>20</v>
      </c>
      <c r="C431" s="6" t="s">
        <v>5</v>
      </c>
      <c r="D431" s="6" t="s">
        <v>62</v>
      </c>
      <c r="E431" s="28">
        <v>32200.1</v>
      </c>
      <c r="F431" s="11">
        <v>27</v>
      </c>
      <c r="G431" s="11">
        <v>14</v>
      </c>
      <c r="H431" s="11">
        <f t="shared" si="86"/>
        <v>13</v>
      </c>
      <c r="I431" s="18">
        <v>1</v>
      </c>
      <c r="J431" s="19">
        <v>0.36950146627565977</v>
      </c>
      <c r="K431" s="19">
        <v>-1.2</v>
      </c>
      <c r="L431" s="6">
        <v>692199.125</v>
      </c>
      <c r="M431" s="7">
        <v>3215298.5</v>
      </c>
      <c r="N431" s="7">
        <v>411452.03125</v>
      </c>
      <c r="O431" s="7">
        <v>11432233</v>
      </c>
      <c r="P431" s="7">
        <v>5962.99169921875</v>
      </c>
      <c r="Q431" s="7">
        <v>25413.33203125</v>
      </c>
      <c r="R431" s="7">
        <v>4638574</v>
      </c>
      <c r="S431" s="7">
        <v>1690964.375</v>
      </c>
      <c r="T431" s="31">
        <f t="shared" si="87"/>
        <v>2211.2097354980469</v>
      </c>
      <c r="U431" s="37">
        <v>2738</v>
      </c>
      <c r="V431">
        <f t="shared" si="88"/>
        <v>0.80760034167204053</v>
      </c>
      <c r="W431">
        <f t="shared" si="98"/>
        <v>1.6264693441650213E-2</v>
      </c>
      <c r="X431" s="28">
        <v>2806.6291666666662</v>
      </c>
      <c r="Y431">
        <f t="shared" si="89"/>
        <v>2.5281195215485754E-2</v>
      </c>
      <c r="Z431">
        <f t="shared" si="91"/>
        <v>0.11743237764791818</v>
      </c>
      <c r="AA431">
        <f t="shared" si="92"/>
        <v>1.5027466444485027E-2</v>
      </c>
      <c r="AB431">
        <f t="shared" si="93"/>
        <v>0.41753955441928409</v>
      </c>
      <c r="AC431">
        <f t="shared" si="94"/>
        <v>2.1778640245503103E-4</v>
      </c>
      <c r="AD431">
        <f t="shared" si="95"/>
        <v>9.2817136710189911E-4</v>
      </c>
      <c r="AE431">
        <f t="shared" si="96"/>
        <v>0.16941468224981737</v>
      </c>
      <c r="AF431">
        <f t="shared" si="97"/>
        <v>6.1759107925493058E-2</v>
      </c>
      <c r="AG431">
        <f t="shared" si="90"/>
        <v>0.80760034167204042</v>
      </c>
      <c r="AH431">
        <v>0.40731861081176773</v>
      </c>
      <c r="AI431">
        <v>0.6312292358803987</v>
      </c>
      <c r="AJ431">
        <v>2.7046293190204629E-2</v>
      </c>
      <c r="AK431">
        <v>1.5033239027207991E-2</v>
      </c>
      <c r="AL431">
        <v>0.40833297743991631</v>
      </c>
    </row>
    <row r="432" spans="1:38" x14ac:dyDescent="0.25">
      <c r="A432">
        <v>14</v>
      </c>
      <c r="B432" s="5" t="s">
        <v>20</v>
      </c>
      <c r="C432" s="6" t="s">
        <v>5</v>
      </c>
      <c r="D432" s="6" t="s">
        <v>63</v>
      </c>
      <c r="E432" s="28">
        <v>32200.1</v>
      </c>
      <c r="F432" s="11">
        <v>28</v>
      </c>
      <c r="G432" s="11">
        <v>14</v>
      </c>
      <c r="H432" s="11">
        <f t="shared" si="86"/>
        <v>14</v>
      </c>
      <c r="I432" s="18">
        <v>1</v>
      </c>
      <c r="J432" s="19">
        <v>0.36950146627565977</v>
      </c>
      <c r="K432" s="19">
        <v>-1.2</v>
      </c>
      <c r="L432" s="6">
        <v>685503.375</v>
      </c>
      <c r="M432" s="7">
        <v>3355614</v>
      </c>
      <c r="N432" s="7">
        <v>738636</v>
      </c>
      <c r="O432" s="7">
        <v>9980846</v>
      </c>
      <c r="P432" s="7">
        <v>5962.99169921875</v>
      </c>
      <c r="Q432" s="7">
        <v>70046.765625</v>
      </c>
      <c r="R432" s="7">
        <v>4841134</v>
      </c>
      <c r="S432" s="7">
        <v>1712471</v>
      </c>
      <c r="T432" s="31">
        <f t="shared" si="87"/>
        <v>2139.0214132324218</v>
      </c>
      <c r="U432" s="37">
        <v>2837.1111111111113</v>
      </c>
      <c r="V432">
        <f t="shared" si="88"/>
        <v>0.75394347611387935</v>
      </c>
      <c r="W432">
        <f t="shared" si="98"/>
        <v>-6.6439874761656262E-2</v>
      </c>
      <c r="X432" s="28">
        <v>2888.8208333333328</v>
      </c>
      <c r="Y432">
        <f t="shared" si="89"/>
        <v>2.4162020737056471E-2</v>
      </c>
      <c r="Z432">
        <f t="shared" si="91"/>
        <v>0.11827573431503093</v>
      </c>
      <c r="AA432">
        <f t="shared" si="92"/>
        <v>2.60347928252526E-2</v>
      </c>
      <c r="AB432">
        <f t="shared" si="93"/>
        <v>0.35179609148586194</v>
      </c>
      <c r="AC432">
        <f t="shared" si="94"/>
        <v>2.1017829283687925E-4</v>
      </c>
      <c r="AD432">
        <f t="shared" si="95"/>
        <v>2.4689468576212107E-3</v>
      </c>
      <c r="AE432">
        <f t="shared" si="96"/>
        <v>0.17063603822354506</v>
      </c>
      <c r="AF432">
        <f t="shared" si="97"/>
        <v>6.0359673376674229E-2</v>
      </c>
      <c r="AG432">
        <f t="shared" si="90"/>
        <v>0.75394347611387924</v>
      </c>
      <c r="AH432">
        <v>0.40731861081176773</v>
      </c>
      <c r="AI432">
        <v>0.6312292358803987</v>
      </c>
      <c r="AJ432">
        <v>2.7046293190204629E-2</v>
      </c>
      <c r="AK432">
        <v>1.5033239027207991E-2</v>
      </c>
      <c r="AL432">
        <v>0.40833297743991631</v>
      </c>
    </row>
    <row r="433" spans="1:38" x14ac:dyDescent="0.25">
      <c r="A433">
        <v>14</v>
      </c>
      <c r="B433" s="5" t="s">
        <v>20</v>
      </c>
      <c r="C433" s="6" t="s">
        <v>5</v>
      </c>
      <c r="D433" s="6" t="s">
        <v>64</v>
      </c>
      <c r="E433" s="28">
        <v>32200.1</v>
      </c>
      <c r="F433" s="11">
        <v>29</v>
      </c>
      <c r="G433" s="11">
        <v>14</v>
      </c>
      <c r="H433" s="11">
        <f t="shared" si="86"/>
        <v>15</v>
      </c>
      <c r="I433" s="18">
        <v>1</v>
      </c>
      <c r="J433" s="19">
        <v>0.36950146627565977</v>
      </c>
      <c r="K433" s="19">
        <v>-1.2</v>
      </c>
      <c r="L433" s="6">
        <v>715186.875</v>
      </c>
      <c r="M433" s="7">
        <v>3453045.5</v>
      </c>
      <c r="N433" s="7">
        <v>1682138.125</v>
      </c>
      <c r="O433" s="7">
        <v>9822381</v>
      </c>
      <c r="P433" s="7">
        <v>5962.99169921875</v>
      </c>
      <c r="Q433" s="7">
        <v>96655.390625</v>
      </c>
      <c r="R433" s="7">
        <v>4978873</v>
      </c>
      <c r="S433" s="7">
        <v>1755915.5</v>
      </c>
      <c r="T433" s="31">
        <f t="shared" si="87"/>
        <v>2251.0158382324221</v>
      </c>
      <c r="U433" s="37">
        <v>2936.2222222222226</v>
      </c>
      <c r="V433">
        <f t="shared" si="88"/>
        <v>0.76663674199999232</v>
      </c>
      <c r="W433">
        <f t="shared" si="98"/>
        <v>1.6835832245063045E-2</v>
      </c>
      <c r="X433" s="28">
        <v>2971.0124999999994</v>
      </c>
      <c r="Y433">
        <f t="shared" si="89"/>
        <v>2.4357382407477483E-2</v>
      </c>
      <c r="Z433">
        <f t="shared" si="91"/>
        <v>0.11760164042987965</v>
      </c>
      <c r="AA433">
        <f t="shared" si="92"/>
        <v>5.7289196719140227E-2</v>
      </c>
      <c r="AB433">
        <f t="shared" si="93"/>
        <v>0.33452444183758417</v>
      </c>
      <c r="AC433">
        <f t="shared" si="94"/>
        <v>2.0308380115404808E-4</v>
      </c>
      <c r="AD433">
        <f t="shared" si="95"/>
        <v>3.2918281829448269E-3</v>
      </c>
      <c r="AE433">
        <f t="shared" si="96"/>
        <v>0.1695673087111178</v>
      </c>
      <c r="AF433">
        <f t="shared" si="97"/>
        <v>5.9801859910694012E-2</v>
      </c>
      <c r="AG433">
        <f t="shared" si="90"/>
        <v>0.76663674199999221</v>
      </c>
      <c r="AH433">
        <v>0.40731861081176773</v>
      </c>
      <c r="AI433">
        <v>0.6312292358803987</v>
      </c>
      <c r="AJ433">
        <v>2.7046293190204629E-2</v>
      </c>
      <c r="AK433">
        <v>1.5033239027207991E-2</v>
      </c>
      <c r="AL433">
        <v>0.40833297743991631</v>
      </c>
    </row>
    <row r="434" spans="1:38" x14ac:dyDescent="0.25">
      <c r="A434">
        <v>14</v>
      </c>
      <c r="B434" s="5" t="s">
        <v>20</v>
      </c>
      <c r="C434" s="6" t="s">
        <v>5</v>
      </c>
      <c r="D434" s="6" t="s">
        <v>65</v>
      </c>
      <c r="E434" s="28">
        <v>32200.1</v>
      </c>
      <c r="F434" s="11">
        <v>30</v>
      </c>
      <c r="G434" s="11">
        <v>14</v>
      </c>
      <c r="H434" s="11">
        <f t="shared" si="86"/>
        <v>16</v>
      </c>
      <c r="I434" s="18">
        <v>1</v>
      </c>
      <c r="J434" s="19">
        <v>0.36950146627565977</v>
      </c>
      <c r="K434" s="19">
        <v>-1.2</v>
      </c>
      <c r="L434" s="6">
        <v>709465</v>
      </c>
      <c r="M434" s="7">
        <v>3440173.75</v>
      </c>
      <c r="N434" s="7">
        <v>2485265</v>
      </c>
      <c r="O434" s="7">
        <v>10491051</v>
      </c>
      <c r="P434" s="7">
        <v>5962.99169921875</v>
      </c>
      <c r="Q434" s="7">
        <v>63891.37890625</v>
      </c>
      <c r="R434" s="7">
        <v>4961249</v>
      </c>
      <c r="S434" s="7">
        <v>1739788.75</v>
      </c>
      <c r="T434" s="31">
        <f t="shared" si="87"/>
        <v>2389.6846870605468</v>
      </c>
      <c r="U434" s="37">
        <v>3035.3333333333335</v>
      </c>
      <c r="V434">
        <f t="shared" si="88"/>
        <v>0.78728904691210633</v>
      </c>
      <c r="W434">
        <f t="shared" si="98"/>
        <v>2.6938840497308453E-2</v>
      </c>
      <c r="X434" s="28">
        <v>3053.204166666666</v>
      </c>
      <c r="Y434">
        <f t="shared" si="89"/>
        <v>2.3373544915440369E-2</v>
      </c>
      <c r="Z434">
        <f t="shared" si="91"/>
        <v>0.11333759334504721</v>
      </c>
      <c r="AA434">
        <f t="shared" si="92"/>
        <v>8.1877827805842296E-2</v>
      </c>
      <c r="AB434">
        <f t="shared" si="93"/>
        <v>0.34563093564682629</v>
      </c>
      <c r="AC434">
        <f t="shared" si="94"/>
        <v>1.964526147337607E-4</v>
      </c>
      <c r="AD434">
        <f t="shared" si="95"/>
        <v>2.1049213344909948E-3</v>
      </c>
      <c r="AE434">
        <f t="shared" si="96"/>
        <v>0.16344989018229739</v>
      </c>
      <c r="AF434">
        <f t="shared" si="97"/>
        <v>5.7317881067428064E-2</v>
      </c>
      <c r="AG434">
        <f t="shared" si="90"/>
        <v>0.78728904691210644</v>
      </c>
      <c r="AH434">
        <v>0.40731861081176773</v>
      </c>
      <c r="AI434">
        <v>0.6312292358803987</v>
      </c>
      <c r="AJ434">
        <v>2.7046293190204629E-2</v>
      </c>
      <c r="AK434">
        <v>1.5033239027207991E-2</v>
      </c>
      <c r="AL434">
        <v>0.40833297743991631</v>
      </c>
    </row>
    <row r="435" spans="1:38" x14ac:dyDescent="0.25">
      <c r="A435">
        <v>14</v>
      </c>
      <c r="B435" s="5" t="s">
        <v>20</v>
      </c>
      <c r="C435" s="6" t="s">
        <v>5</v>
      </c>
      <c r="D435" s="6" t="s">
        <v>66</v>
      </c>
      <c r="E435" s="28">
        <v>32200.1</v>
      </c>
      <c r="F435" s="11">
        <v>31</v>
      </c>
      <c r="G435" s="11">
        <v>14</v>
      </c>
      <c r="H435" s="11">
        <f t="shared" si="86"/>
        <v>17</v>
      </c>
      <c r="I435" s="18">
        <v>1</v>
      </c>
      <c r="J435" s="19">
        <v>0.36950146627565977</v>
      </c>
      <c r="K435" s="19">
        <v>-1.2</v>
      </c>
      <c r="L435" s="6">
        <v>708916.5</v>
      </c>
      <c r="M435" s="7">
        <v>3471033.5</v>
      </c>
      <c r="N435" s="7">
        <v>3769924</v>
      </c>
      <c r="O435" s="7">
        <v>11702344</v>
      </c>
      <c r="P435" s="7">
        <v>5965.853515625</v>
      </c>
      <c r="Q435" s="7">
        <v>29603.73828125</v>
      </c>
      <c r="R435" s="7">
        <v>5006928</v>
      </c>
      <c r="S435" s="7">
        <v>1694171.75</v>
      </c>
      <c r="T435" s="31">
        <f t="shared" si="87"/>
        <v>2638.8887341796876</v>
      </c>
      <c r="U435" s="37">
        <v>3134.4444444444443</v>
      </c>
      <c r="V435">
        <f t="shared" si="88"/>
        <v>0.84189998609064831</v>
      </c>
      <c r="W435">
        <f t="shared" si="98"/>
        <v>6.9365805853309176E-2</v>
      </c>
      <c r="X435" s="28">
        <v>3135.3958333333326</v>
      </c>
      <c r="Y435">
        <f t="shared" si="89"/>
        <v>2.2616974477135766E-2</v>
      </c>
      <c r="Z435">
        <f t="shared" si="91"/>
        <v>0.11073839595887983</v>
      </c>
      <c r="AA435">
        <f t="shared" si="92"/>
        <v>0.12027407302375046</v>
      </c>
      <c r="AB435">
        <f t="shared" si="93"/>
        <v>0.373346671393123</v>
      </c>
      <c r="AC435">
        <f t="shared" si="94"/>
        <v>1.9033208663816025E-4</v>
      </c>
      <c r="AD435">
        <f t="shared" si="95"/>
        <v>9.4446524116004974E-4</v>
      </c>
      <c r="AE435">
        <f t="shared" si="96"/>
        <v>0.15973892945763915</v>
      </c>
      <c r="AF435">
        <f t="shared" si="97"/>
        <v>5.4050144452321876E-2</v>
      </c>
      <c r="AG435">
        <f t="shared" si="90"/>
        <v>0.84189998609064831</v>
      </c>
      <c r="AH435">
        <v>0.40731861081176773</v>
      </c>
      <c r="AI435">
        <v>0.6312292358803987</v>
      </c>
      <c r="AJ435">
        <v>2.7046293190204629E-2</v>
      </c>
      <c r="AK435">
        <v>1.5033239027207991E-2</v>
      </c>
      <c r="AL435">
        <v>0.40833297743991631</v>
      </c>
    </row>
    <row r="436" spans="1:38" x14ac:dyDescent="0.25">
      <c r="A436">
        <v>15</v>
      </c>
      <c r="B436" s="5" t="s">
        <v>14</v>
      </c>
      <c r="C436" s="6" t="s">
        <v>5</v>
      </c>
      <c r="D436" s="6" t="s">
        <v>36</v>
      </c>
      <c r="E436" s="28">
        <v>83095.899999999994</v>
      </c>
      <c r="F436" s="11">
        <v>1</v>
      </c>
      <c r="G436" s="11">
        <v>19</v>
      </c>
      <c r="H436" s="18">
        <f t="shared" si="86"/>
        <v>-18</v>
      </c>
      <c r="I436" s="18">
        <v>1</v>
      </c>
      <c r="J436" s="19">
        <v>-2.932551319648094E-2</v>
      </c>
      <c r="K436" s="19">
        <v>1.9</v>
      </c>
      <c r="L436" s="14">
        <v>30080934</v>
      </c>
      <c r="M436" s="16">
        <v>21931348</v>
      </c>
      <c r="N436" s="16">
        <v>3668766.5</v>
      </c>
      <c r="O436" s="16">
        <v>28471866</v>
      </c>
      <c r="P436" s="16">
        <v>39034.58984375</v>
      </c>
      <c r="Q436" s="16">
        <v>40935.65234375</v>
      </c>
      <c r="R436" s="16">
        <v>3584398.5</v>
      </c>
      <c r="S436" s="16">
        <v>3713548.75</v>
      </c>
      <c r="T436" s="31">
        <f t="shared" si="87"/>
        <v>9153.0831992187505</v>
      </c>
      <c r="U436" s="37"/>
      <c r="X436" s="28">
        <v>6486.382083333333</v>
      </c>
      <c r="Y436" t="e">
        <f t="shared" si="89"/>
        <v>#DIV/0!</v>
      </c>
      <c r="Z436" t="e">
        <f t="shared" si="91"/>
        <v>#DIV/0!</v>
      </c>
      <c r="AA436" t="e">
        <f t="shared" si="92"/>
        <v>#DIV/0!</v>
      </c>
      <c r="AB436" t="e">
        <f t="shared" si="93"/>
        <v>#DIV/0!</v>
      </c>
      <c r="AC436" t="e">
        <f t="shared" si="94"/>
        <v>#DIV/0!</v>
      </c>
      <c r="AD436" t="e">
        <f t="shared" si="95"/>
        <v>#DIV/0!</v>
      </c>
      <c r="AE436" t="e">
        <f t="shared" si="96"/>
        <v>#DIV/0!</v>
      </c>
      <c r="AF436" t="e">
        <f t="shared" si="97"/>
        <v>#DIV/0!</v>
      </c>
      <c r="AG436" t="e">
        <f t="shared" si="90"/>
        <v>#DIV/0!</v>
      </c>
      <c r="AH436">
        <v>0.41017667538350272</v>
      </c>
      <c r="AI436">
        <v>0.63942969518190762</v>
      </c>
      <c r="AJ436">
        <v>6.4407445171341532E-2</v>
      </c>
      <c r="AK436">
        <v>1.8837754931350405E-2</v>
      </c>
      <c r="AL436">
        <v>0.62190390979035548</v>
      </c>
    </row>
    <row r="437" spans="1:38" x14ac:dyDescent="0.25">
      <c r="A437">
        <v>15</v>
      </c>
      <c r="B437" s="5" t="s">
        <v>14</v>
      </c>
      <c r="C437" s="6" t="s">
        <v>5</v>
      </c>
      <c r="D437" s="6" t="s">
        <v>37</v>
      </c>
      <c r="E437" s="28">
        <v>83095.899999999994</v>
      </c>
      <c r="F437" s="11">
        <v>2</v>
      </c>
      <c r="G437" s="11">
        <v>19</v>
      </c>
      <c r="H437" s="11">
        <f t="shared" si="86"/>
        <v>-17</v>
      </c>
      <c r="I437" s="18">
        <v>1</v>
      </c>
      <c r="J437" s="19">
        <v>-2.932551319648094E-2</v>
      </c>
      <c r="K437" s="19">
        <v>1.9</v>
      </c>
      <c r="L437" s="6">
        <v>32673826</v>
      </c>
      <c r="M437" s="7">
        <v>21053440</v>
      </c>
      <c r="N437" s="7">
        <v>3668766.5</v>
      </c>
      <c r="O437" s="7">
        <v>27327576</v>
      </c>
      <c r="P437" s="7">
        <v>39034.58984375</v>
      </c>
      <c r="Q437" s="7">
        <v>24077.951171875</v>
      </c>
      <c r="R437" s="7">
        <v>3614609.75</v>
      </c>
      <c r="S437" s="7">
        <v>3642443.25</v>
      </c>
      <c r="T437" s="31">
        <f t="shared" si="87"/>
        <v>9204.3774041015622</v>
      </c>
      <c r="U437" s="37">
        <v>7167.8333333333339</v>
      </c>
      <c r="V437">
        <f t="shared" si="88"/>
        <v>1.2841226875766589</v>
      </c>
      <c r="W437" t="e">
        <f>(V437-V436)/V436</f>
        <v>#DIV/0!</v>
      </c>
      <c r="X437" s="28">
        <v>7326.117916666667</v>
      </c>
      <c r="Y437">
        <f t="shared" si="89"/>
        <v>0.45583964470900085</v>
      </c>
      <c r="Z437">
        <f t="shared" si="91"/>
        <v>0.29372111516729832</v>
      </c>
      <c r="AA437">
        <f t="shared" si="92"/>
        <v>5.118375845792545E-2</v>
      </c>
      <c r="AB437">
        <f t="shared" si="93"/>
        <v>0.38125294951984556</v>
      </c>
      <c r="AC437">
        <f t="shared" si="94"/>
        <v>5.4458004292905801E-4</v>
      </c>
      <c r="AD437">
        <f t="shared" si="95"/>
        <v>3.3591672758213773E-4</v>
      </c>
      <c r="AE437">
        <f t="shared" si="96"/>
        <v>5.0428205873462459E-2</v>
      </c>
      <c r="AF437">
        <f t="shared" si="97"/>
        <v>5.0816517078615106E-2</v>
      </c>
      <c r="AG437">
        <f t="shared" si="90"/>
        <v>1.2841226875766587</v>
      </c>
      <c r="AH437">
        <v>0.41017667538350272</v>
      </c>
      <c r="AI437">
        <v>0.63942969518190762</v>
      </c>
      <c r="AJ437">
        <v>6.4407445171341532E-2</v>
      </c>
      <c r="AK437">
        <v>1.8837754931350405E-2</v>
      </c>
      <c r="AL437">
        <v>0.62190390979035548</v>
      </c>
    </row>
    <row r="438" spans="1:38" x14ac:dyDescent="0.25">
      <c r="A438">
        <v>15</v>
      </c>
      <c r="B438" s="5" t="s">
        <v>14</v>
      </c>
      <c r="C438" s="6" t="s">
        <v>5</v>
      </c>
      <c r="D438" s="6" t="s">
        <v>38</v>
      </c>
      <c r="E438" s="28">
        <v>83095.899999999994</v>
      </c>
      <c r="F438" s="11">
        <v>3</v>
      </c>
      <c r="G438" s="11">
        <v>19</v>
      </c>
      <c r="H438" s="11">
        <f t="shared" si="86"/>
        <v>-16</v>
      </c>
      <c r="I438" s="18">
        <v>1</v>
      </c>
      <c r="J438" s="19">
        <v>-2.932551319648094E-2</v>
      </c>
      <c r="K438" s="19">
        <v>1.9</v>
      </c>
      <c r="L438" s="6">
        <v>32661116</v>
      </c>
      <c r="M438" s="7">
        <v>20446930</v>
      </c>
      <c r="N438" s="7">
        <v>3668766.5</v>
      </c>
      <c r="O438" s="7">
        <v>26543928</v>
      </c>
      <c r="P438" s="7">
        <v>39034.58984375</v>
      </c>
      <c r="Q438" s="7">
        <v>33808.02734375</v>
      </c>
      <c r="R438" s="7">
        <v>3513443.5</v>
      </c>
      <c r="S438" s="7">
        <v>3678823.5</v>
      </c>
      <c r="T438" s="31">
        <f t="shared" si="87"/>
        <v>9058.5850117187492</v>
      </c>
      <c r="U438" s="37">
        <v>7318</v>
      </c>
      <c r="V438">
        <f t="shared" si="88"/>
        <v>1.2378498239571945</v>
      </c>
      <c r="W438">
        <f t="shared" ref="W438:W466" si="99">(V438-V437)/V437</f>
        <v>-3.6034612632527066E-2</v>
      </c>
      <c r="X438" s="28">
        <v>8165.8537500000002</v>
      </c>
      <c r="Y438">
        <f t="shared" si="89"/>
        <v>0.44631205247335337</v>
      </c>
      <c r="Z438">
        <f t="shared" si="91"/>
        <v>0.27940598524186933</v>
      </c>
      <c r="AA438">
        <f t="shared" si="92"/>
        <v>5.0133458595244602E-2</v>
      </c>
      <c r="AB438">
        <f t="shared" si="93"/>
        <v>0.36272107133096476</v>
      </c>
      <c r="AC438">
        <f t="shared" si="94"/>
        <v>5.334051632105766E-4</v>
      </c>
      <c r="AD438">
        <f t="shared" si="95"/>
        <v>4.6198452232508886E-4</v>
      </c>
      <c r="AE438">
        <f t="shared" si="96"/>
        <v>4.8010979775895052E-2</v>
      </c>
      <c r="AF438">
        <f t="shared" si="97"/>
        <v>5.0270886854331787E-2</v>
      </c>
      <c r="AG438">
        <f t="shared" si="90"/>
        <v>1.2378498239571945</v>
      </c>
      <c r="AH438">
        <v>0.41017667538350272</v>
      </c>
      <c r="AI438">
        <v>0.63942969518190762</v>
      </c>
      <c r="AJ438">
        <v>6.4407445171341532E-2</v>
      </c>
      <c r="AK438">
        <v>1.8837754931350405E-2</v>
      </c>
      <c r="AL438">
        <v>0.62190390979035548</v>
      </c>
    </row>
    <row r="439" spans="1:38" x14ac:dyDescent="0.25">
      <c r="A439">
        <v>15</v>
      </c>
      <c r="B439" s="5" t="s">
        <v>14</v>
      </c>
      <c r="C439" s="6" t="s">
        <v>5</v>
      </c>
      <c r="D439" s="6" t="s">
        <v>39</v>
      </c>
      <c r="E439" s="28">
        <v>83095.899999999994</v>
      </c>
      <c r="F439" s="11">
        <v>4</v>
      </c>
      <c r="G439" s="11">
        <v>19</v>
      </c>
      <c r="H439" s="11">
        <f t="shared" si="86"/>
        <v>-15</v>
      </c>
      <c r="I439" s="18">
        <v>1</v>
      </c>
      <c r="J439" s="19">
        <v>-2.932551319648094E-2</v>
      </c>
      <c r="K439" s="19">
        <v>1.9</v>
      </c>
      <c r="L439" s="6">
        <v>31042676</v>
      </c>
      <c r="M439" s="7">
        <v>21341990</v>
      </c>
      <c r="N439" s="7">
        <v>3668766.5</v>
      </c>
      <c r="O439" s="7">
        <v>27710112</v>
      </c>
      <c r="P439" s="7">
        <v>39034.58984375</v>
      </c>
      <c r="Q439" s="7">
        <v>94635.03125</v>
      </c>
      <c r="R439" s="7">
        <v>3482780.25</v>
      </c>
      <c r="S439" s="7">
        <v>3740415.5</v>
      </c>
      <c r="T439" s="31">
        <f t="shared" si="87"/>
        <v>9112.0409871093743</v>
      </c>
      <c r="U439" s="37">
        <v>7483.7777777777774</v>
      </c>
      <c r="V439">
        <f t="shared" si="88"/>
        <v>1.2175723622054277</v>
      </c>
      <c r="W439">
        <f t="shared" si="99"/>
        <v>-1.6381196942730193E-2</v>
      </c>
      <c r="X439" s="28">
        <v>9005.5895833333343</v>
      </c>
      <c r="Y439">
        <f t="shared" si="89"/>
        <v>0.41479954271461239</v>
      </c>
      <c r="Z439">
        <f t="shared" si="91"/>
        <v>0.28517669329215789</v>
      </c>
      <c r="AA439">
        <f t="shared" si="92"/>
        <v>4.9022921430056127E-2</v>
      </c>
      <c r="AB439">
        <f t="shared" si="93"/>
        <v>0.37026903821599311</v>
      </c>
      <c r="AC439">
        <f t="shared" si="94"/>
        <v>5.2158937641973754E-4</v>
      </c>
      <c r="AD439">
        <f t="shared" si="95"/>
        <v>1.2645355602488345E-3</v>
      </c>
      <c r="AE439">
        <f t="shared" si="96"/>
        <v>4.6537729385040243E-2</v>
      </c>
      <c r="AF439">
        <f t="shared" si="97"/>
        <v>4.998031223089943E-2</v>
      </c>
      <c r="AG439">
        <f t="shared" si="90"/>
        <v>1.2175723622054277</v>
      </c>
      <c r="AH439">
        <v>0.41017667538350272</v>
      </c>
      <c r="AI439">
        <v>0.63942969518190762</v>
      </c>
      <c r="AJ439">
        <v>6.4407445171341532E-2</v>
      </c>
      <c r="AK439">
        <v>1.8837754931350405E-2</v>
      </c>
      <c r="AL439">
        <v>0.62190390979035548</v>
      </c>
    </row>
    <row r="440" spans="1:38" x14ac:dyDescent="0.25">
      <c r="A440">
        <v>15</v>
      </c>
      <c r="B440" s="5" t="s">
        <v>14</v>
      </c>
      <c r="C440" s="6" t="s">
        <v>5</v>
      </c>
      <c r="D440" s="6" t="s">
        <v>40</v>
      </c>
      <c r="E440" s="28">
        <v>83095.899999999994</v>
      </c>
      <c r="F440" s="11">
        <v>5</v>
      </c>
      <c r="G440" s="11">
        <v>19</v>
      </c>
      <c r="H440" s="11">
        <f t="shared" si="86"/>
        <v>-14</v>
      </c>
      <c r="I440" s="18">
        <v>1</v>
      </c>
      <c r="J440" s="19">
        <v>-2.932551319648094E-2</v>
      </c>
      <c r="K440" s="19">
        <v>1.9</v>
      </c>
      <c r="L440" s="6">
        <v>35177744</v>
      </c>
      <c r="M440" s="7">
        <v>21969066</v>
      </c>
      <c r="N440" s="7">
        <v>3668766.5</v>
      </c>
      <c r="O440" s="7">
        <v>28514934</v>
      </c>
      <c r="P440" s="7">
        <v>39034.58984375</v>
      </c>
      <c r="Q440" s="7">
        <v>130521.421875</v>
      </c>
      <c r="R440" s="7">
        <v>3619658</v>
      </c>
      <c r="S440" s="7">
        <v>3868137</v>
      </c>
      <c r="T440" s="31">
        <f t="shared" si="87"/>
        <v>9698.7861511718747</v>
      </c>
      <c r="U440" s="37">
        <v>7649.5555555555547</v>
      </c>
      <c r="V440">
        <f t="shared" si="88"/>
        <v>1.267888844094746</v>
      </c>
      <c r="W440">
        <f t="shared" si="99"/>
        <v>4.1325249694546616E-2</v>
      </c>
      <c r="X440" s="28">
        <v>9845.3254166666684</v>
      </c>
      <c r="Y440">
        <f t="shared" si="89"/>
        <v>0.45986650785811817</v>
      </c>
      <c r="Z440">
        <f t="shared" si="91"/>
        <v>0.28719401853411963</v>
      </c>
      <c r="AA440">
        <f t="shared" si="92"/>
        <v>4.7960518403393083E-2</v>
      </c>
      <c r="AB440">
        <f t="shared" si="93"/>
        <v>0.37276589199082016</v>
      </c>
      <c r="AC440">
        <f t="shared" si="94"/>
        <v>5.1028572261823497E-4</v>
      </c>
      <c r="AD440">
        <f t="shared" si="95"/>
        <v>1.7062615066597917E-3</v>
      </c>
      <c r="AE440">
        <f t="shared" si="96"/>
        <v>4.7318539929698172E-2</v>
      </c>
      <c r="AF440">
        <f t="shared" si="97"/>
        <v>5.0566820149318771E-2</v>
      </c>
      <c r="AG440">
        <f t="shared" si="90"/>
        <v>1.2678888440947462</v>
      </c>
      <c r="AH440">
        <v>0.41017667538350272</v>
      </c>
      <c r="AI440">
        <v>0.63942969518190762</v>
      </c>
      <c r="AJ440">
        <v>6.4407445171341532E-2</v>
      </c>
      <c r="AK440">
        <v>1.8837754931350405E-2</v>
      </c>
      <c r="AL440">
        <v>0.62190390979035548</v>
      </c>
    </row>
    <row r="441" spans="1:38" x14ac:dyDescent="0.25">
      <c r="A441">
        <v>15</v>
      </c>
      <c r="B441" s="5" t="s">
        <v>14</v>
      </c>
      <c r="C441" s="6" t="s">
        <v>5</v>
      </c>
      <c r="D441" s="6" t="s">
        <v>41</v>
      </c>
      <c r="E441" s="28">
        <v>83095.899999999994</v>
      </c>
      <c r="F441" s="11">
        <v>6</v>
      </c>
      <c r="G441" s="11">
        <v>19</v>
      </c>
      <c r="H441" s="11">
        <f t="shared" si="86"/>
        <v>-13</v>
      </c>
      <c r="I441" s="18">
        <v>1</v>
      </c>
      <c r="J441" s="19">
        <v>-2.932551319648094E-2</v>
      </c>
      <c r="K441" s="19">
        <v>1.9</v>
      </c>
      <c r="L441" s="6">
        <v>37164780</v>
      </c>
      <c r="M441" s="7">
        <v>21896232</v>
      </c>
      <c r="N441" s="7">
        <v>3668766.5</v>
      </c>
      <c r="O441" s="7">
        <v>28423386</v>
      </c>
      <c r="P441" s="7">
        <v>39034.58984375</v>
      </c>
      <c r="Q441" s="7">
        <v>86131.2265625</v>
      </c>
      <c r="R441" s="7">
        <v>3593498.75</v>
      </c>
      <c r="S441" s="7">
        <v>3819316.5</v>
      </c>
      <c r="T441" s="31">
        <f t="shared" si="87"/>
        <v>9869.1145566406249</v>
      </c>
      <c r="U441" s="37">
        <v>7815.333333333333</v>
      </c>
      <c r="V441">
        <f t="shared" si="88"/>
        <v>1.26278869188441</v>
      </c>
      <c r="W441">
        <f t="shared" si="99"/>
        <v>-4.0225546853655215E-3</v>
      </c>
      <c r="X441" s="28">
        <v>10685.061250000002</v>
      </c>
      <c r="Y441">
        <f t="shared" si="89"/>
        <v>0.47553672268190739</v>
      </c>
      <c r="Z441">
        <f t="shared" si="91"/>
        <v>0.28017016122153032</v>
      </c>
      <c r="AA441">
        <f t="shared" si="92"/>
        <v>4.6943186471039837E-2</v>
      </c>
      <c r="AB441">
        <f t="shared" si="93"/>
        <v>0.36368744348716198</v>
      </c>
      <c r="AC441">
        <f t="shared" si="94"/>
        <v>4.9946161192207625E-4</v>
      </c>
      <c r="AD441">
        <f t="shared" si="95"/>
        <v>1.1020800123155336E-3</v>
      </c>
      <c r="AE441">
        <f t="shared" si="96"/>
        <v>4.5980108547300183E-2</v>
      </c>
      <c r="AF441">
        <f t="shared" si="97"/>
        <v>4.8869527851232622E-2</v>
      </c>
      <c r="AG441">
        <f t="shared" si="90"/>
        <v>1.2627886918844098</v>
      </c>
      <c r="AH441">
        <v>0.41017667538350272</v>
      </c>
      <c r="AI441">
        <v>0.63942969518190762</v>
      </c>
      <c r="AJ441">
        <v>6.4407445171341532E-2</v>
      </c>
      <c r="AK441">
        <v>1.8837754931350405E-2</v>
      </c>
      <c r="AL441">
        <v>0.62190390979035548</v>
      </c>
    </row>
    <row r="442" spans="1:38" x14ac:dyDescent="0.25">
      <c r="A442">
        <v>15</v>
      </c>
      <c r="B442" s="5" t="s">
        <v>14</v>
      </c>
      <c r="C442" s="6" t="s">
        <v>5</v>
      </c>
      <c r="D442" s="6" t="s">
        <v>42</v>
      </c>
      <c r="E442" s="28">
        <v>83095.899999999994</v>
      </c>
      <c r="F442" s="11">
        <v>7</v>
      </c>
      <c r="G442" s="11">
        <v>19</v>
      </c>
      <c r="H442" s="11">
        <f t="shared" si="86"/>
        <v>-12</v>
      </c>
      <c r="I442" s="18">
        <v>1</v>
      </c>
      <c r="J442" s="19">
        <v>-2.932551319648094E-2</v>
      </c>
      <c r="K442" s="19">
        <v>1.9</v>
      </c>
      <c r="L442" s="6">
        <v>45392552</v>
      </c>
      <c r="M442" s="7">
        <v>22097418</v>
      </c>
      <c r="N442" s="7">
        <v>3670527.75</v>
      </c>
      <c r="O442" s="7">
        <v>28690056</v>
      </c>
      <c r="P442" s="7">
        <v>39053.328125</v>
      </c>
      <c r="Q442" s="7">
        <v>40609.4765625</v>
      </c>
      <c r="R442" s="7">
        <v>3591281.5</v>
      </c>
      <c r="S442" s="7">
        <v>3685672.25</v>
      </c>
      <c r="T442" s="31">
        <f t="shared" si="87"/>
        <v>10720.71703046875</v>
      </c>
      <c r="U442" s="37">
        <v>7981.1111111111113</v>
      </c>
      <c r="V442">
        <f t="shared" si="88"/>
        <v>1.3432612177950543</v>
      </c>
      <c r="W442">
        <f t="shared" si="99"/>
        <v>6.3726042549967915E-2</v>
      </c>
      <c r="X442" s="28">
        <v>11524.797083333335</v>
      </c>
      <c r="Y442">
        <f t="shared" si="89"/>
        <v>0.56874978142837251</v>
      </c>
      <c r="Z442">
        <f t="shared" si="91"/>
        <v>0.27687144925518586</v>
      </c>
      <c r="AA442">
        <f t="shared" si="92"/>
        <v>4.5990184811360156E-2</v>
      </c>
      <c r="AB442">
        <f t="shared" si="93"/>
        <v>0.35947445913963527</v>
      </c>
      <c r="AC442">
        <f t="shared" si="94"/>
        <v>4.8932194504385353E-4</v>
      </c>
      <c r="AD442">
        <f t="shared" si="95"/>
        <v>5.0881983720242239E-4</v>
      </c>
      <c r="AE442">
        <f t="shared" si="96"/>
        <v>4.4997262285952945E-2</v>
      </c>
      <c r="AF442">
        <f t="shared" si="97"/>
        <v>4.6179939092301267E-2</v>
      </c>
      <c r="AG442">
        <f t="shared" si="90"/>
        <v>1.3432612177950545</v>
      </c>
      <c r="AH442">
        <v>0.41017667538350272</v>
      </c>
      <c r="AI442">
        <v>0.63942969518190762</v>
      </c>
      <c r="AJ442">
        <v>6.4407445171341532E-2</v>
      </c>
      <c r="AK442">
        <v>1.8837754931350405E-2</v>
      </c>
      <c r="AL442">
        <v>0.62190390979035548</v>
      </c>
    </row>
    <row r="443" spans="1:38" x14ac:dyDescent="0.25">
      <c r="A443">
        <v>15</v>
      </c>
      <c r="B443" s="5" t="s">
        <v>14</v>
      </c>
      <c r="C443" s="6" t="s">
        <v>5</v>
      </c>
      <c r="D443" s="6" t="s">
        <v>43</v>
      </c>
      <c r="E443" s="28">
        <v>87435.1</v>
      </c>
      <c r="F443" s="11">
        <v>8</v>
      </c>
      <c r="G443" s="11">
        <v>19</v>
      </c>
      <c r="H443" s="18">
        <f t="shared" si="86"/>
        <v>-11</v>
      </c>
      <c r="I443" s="18">
        <v>1</v>
      </c>
      <c r="J443" s="19">
        <v>-2.932551319648094E-2</v>
      </c>
      <c r="K443" s="19">
        <v>1.9</v>
      </c>
      <c r="L443" s="14">
        <v>31359668</v>
      </c>
      <c r="M443" s="16">
        <v>19858278</v>
      </c>
      <c r="N443" s="16">
        <v>3625520.5</v>
      </c>
      <c r="O443" s="16">
        <v>27785300</v>
      </c>
      <c r="P443" s="16">
        <v>39924.25390625</v>
      </c>
      <c r="Q443" s="16">
        <v>20758.75390625</v>
      </c>
      <c r="R443" s="16">
        <v>3776417.25</v>
      </c>
      <c r="S443" s="16">
        <v>3376229.75</v>
      </c>
      <c r="T443" s="31">
        <f t="shared" si="87"/>
        <v>8984.2096507812494</v>
      </c>
      <c r="U443" s="37">
        <v>6623.1111111111113</v>
      </c>
      <c r="V443">
        <f t="shared" si="88"/>
        <v>1.3564938742623682</v>
      </c>
      <c r="W443">
        <f t="shared" si="99"/>
        <v>9.851141603741979E-3</v>
      </c>
      <c r="X443" s="28">
        <v>5143.0375000000022</v>
      </c>
      <c r="Y443">
        <f t="shared" si="89"/>
        <v>0.47348847805663674</v>
      </c>
      <c r="Z443">
        <f t="shared" si="91"/>
        <v>0.29983307945242249</v>
      </c>
      <c r="AA443">
        <f t="shared" si="92"/>
        <v>5.4740445074486652E-2</v>
      </c>
      <c r="AB443">
        <f t="shared" si="93"/>
        <v>0.41952036639377266</v>
      </c>
      <c r="AC443">
        <f t="shared" si="94"/>
        <v>6.0280211574998321E-4</v>
      </c>
      <c r="AD443">
        <f t="shared" si="95"/>
        <v>3.1342904502122194E-4</v>
      </c>
      <c r="AE443">
        <f t="shared" si="96"/>
        <v>5.7018781455509329E-2</v>
      </c>
      <c r="AF443">
        <f t="shared" si="97"/>
        <v>5.0976492668769295E-2</v>
      </c>
      <c r="AG443">
        <f t="shared" si="90"/>
        <v>1.3564938742623684</v>
      </c>
      <c r="AH443">
        <v>0.41215941881464074</v>
      </c>
      <c r="AI443">
        <v>0.64538030109219724</v>
      </c>
      <c r="AJ443">
        <v>6.4363113596494007E-2</v>
      </c>
      <c r="AK443">
        <v>1.9771264629422278E-2</v>
      </c>
      <c r="AL443">
        <v>0.58572979800686487</v>
      </c>
    </row>
    <row r="444" spans="1:38" x14ac:dyDescent="0.25">
      <c r="A444">
        <v>15</v>
      </c>
      <c r="B444" s="5" t="s">
        <v>14</v>
      </c>
      <c r="C444" s="6" t="s">
        <v>5</v>
      </c>
      <c r="D444" s="6" t="s">
        <v>44</v>
      </c>
      <c r="E444" s="28">
        <v>87435.1</v>
      </c>
      <c r="F444" s="11">
        <v>9</v>
      </c>
      <c r="G444" s="11">
        <v>19</v>
      </c>
      <c r="H444" s="11">
        <f t="shared" si="86"/>
        <v>-10</v>
      </c>
      <c r="I444" s="18">
        <v>1</v>
      </c>
      <c r="J444" s="19">
        <v>-2.932551319648094E-2</v>
      </c>
      <c r="K444" s="19">
        <v>1.9</v>
      </c>
      <c r="L444" s="6">
        <v>31204276</v>
      </c>
      <c r="M444" s="7">
        <v>19465450</v>
      </c>
      <c r="N444" s="7">
        <v>3625520.5</v>
      </c>
      <c r="O444" s="7">
        <v>27223998</v>
      </c>
      <c r="P444" s="7">
        <v>39924.25390625</v>
      </c>
      <c r="Q444" s="7">
        <v>29316.298828125</v>
      </c>
      <c r="R444" s="7">
        <v>3668056.75</v>
      </c>
      <c r="S444" s="7">
        <v>3419468.5</v>
      </c>
      <c r="T444" s="31">
        <f t="shared" si="87"/>
        <v>8867.6010302734376</v>
      </c>
      <c r="U444" s="37">
        <v>6832.333333333333</v>
      </c>
      <c r="V444">
        <f t="shared" si="88"/>
        <v>1.2978876465248725</v>
      </c>
      <c r="W444">
        <f t="shared" si="99"/>
        <v>-4.32041963841263E-2</v>
      </c>
      <c r="X444" s="28">
        <v>5534.8625000000011</v>
      </c>
      <c r="Y444">
        <f t="shared" si="89"/>
        <v>0.45671477777235697</v>
      </c>
      <c r="Z444">
        <f t="shared" si="91"/>
        <v>0.28490193686881005</v>
      </c>
      <c r="AA444">
        <f t="shared" si="92"/>
        <v>5.3064163048250963E-2</v>
      </c>
      <c r="AB444">
        <f t="shared" si="93"/>
        <v>0.39845828169976094</v>
      </c>
      <c r="AC444">
        <f t="shared" si="94"/>
        <v>5.8434288783114601E-4</v>
      </c>
      <c r="AD444">
        <f t="shared" si="95"/>
        <v>4.2908179969934623E-4</v>
      </c>
      <c r="AE444">
        <f t="shared" si="96"/>
        <v>5.3686735863784953E-2</v>
      </c>
      <c r="AF444">
        <f t="shared" si="97"/>
        <v>5.0048326584378203E-2</v>
      </c>
      <c r="AG444">
        <f t="shared" si="90"/>
        <v>1.2978876465248725</v>
      </c>
      <c r="AH444">
        <v>0.41215941881464074</v>
      </c>
      <c r="AI444">
        <v>0.64538030109219724</v>
      </c>
      <c r="AJ444">
        <v>6.4363113596494007E-2</v>
      </c>
      <c r="AK444">
        <v>1.9771264629422278E-2</v>
      </c>
      <c r="AL444">
        <v>0.58572979800686487</v>
      </c>
    </row>
    <row r="445" spans="1:38" x14ac:dyDescent="0.25">
      <c r="A445">
        <v>15</v>
      </c>
      <c r="B445" s="5" t="s">
        <v>14</v>
      </c>
      <c r="C445" s="6" t="s">
        <v>5</v>
      </c>
      <c r="D445" s="6" t="s">
        <v>45</v>
      </c>
      <c r="E445" s="28">
        <v>87435.1</v>
      </c>
      <c r="F445" s="11">
        <v>10</v>
      </c>
      <c r="G445" s="11">
        <v>19</v>
      </c>
      <c r="H445" s="11">
        <f t="shared" si="86"/>
        <v>-9</v>
      </c>
      <c r="I445" s="18">
        <v>1</v>
      </c>
      <c r="J445" s="19">
        <v>-2.932551319648094E-2</v>
      </c>
      <c r="K445" s="19">
        <v>1.9</v>
      </c>
      <c r="L445" s="6">
        <v>35496440</v>
      </c>
      <c r="M445" s="7">
        <v>20205060</v>
      </c>
      <c r="N445" s="7">
        <v>3625520.5</v>
      </c>
      <c r="O445" s="7">
        <v>28266742</v>
      </c>
      <c r="P445" s="7">
        <v>39924.25390625</v>
      </c>
      <c r="Q445" s="7">
        <v>83639.78125</v>
      </c>
      <c r="R445" s="7">
        <v>3632766.75</v>
      </c>
      <c r="S445" s="7">
        <v>3496519.25</v>
      </c>
      <c r="T445" s="31">
        <f t="shared" si="87"/>
        <v>9484.6612535156255</v>
      </c>
      <c r="U445" s="37">
        <v>7041.5555555555547</v>
      </c>
      <c r="V445">
        <f t="shared" si="88"/>
        <v>1.3469553962451579</v>
      </c>
      <c r="W445">
        <f t="shared" si="99"/>
        <v>3.7805853111912681E-2</v>
      </c>
      <c r="X445" s="28">
        <v>5926.6875000000009</v>
      </c>
      <c r="Y445">
        <f t="shared" si="89"/>
        <v>0.50409940985262103</v>
      </c>
      <c r="Z445">
        <f t="shared" si="91"/>
        <v>0.28694029097106072</v>
      </c>
      <c r="AA445">
        <f t="shared" si="92"/>
        <v>5.148749408274688E-2</v>
      </c>
      <c r="AB445">
        <f t="shared" si="93"/>
        <v>0.40142752232776852</v>
      </c>
      <c r="AC445">
        <f t="shared" si="94"/>
        <v>5.6698059954594959E-4</v>
      </c>
      <c r="AD445">
        <f t="shared" si="95"/>
        <v>1.1878026181872693E-3</v>
      </c>
      <c r="AE445">
        <f t="shared" si="96"/>
        <v>5.1590401031968949E-2</v>
      </c>
      <c r="AF445">
        <f t="shared" si="97"/>
        <v>4.9655494761258565E-2</v>
      </c>
      <c r="AG445">
        <f t="shared" si="90"/>
        <v>1.3469553962451579</v>
      </c>
      <c r="AH445">
        <v>0.41215941881464074</v>
      </c>
      <c r="AI445">
        <v>0.64538030109219724</v>
      </c>
      <c r="AJ445">
        <v>6.4363113596494007E-2</v>
      </c>
      <c r="AK445">
        <v>1.9771264629422278E-2</v>
      </c>
      <c r="AL445">
        <v>0.58572979800686487</v>
      </c>
    </row>
    <row r="446" spans="1:38" x14ac:dyDescent="0.25">
      <c r="A446">
        <v>15</v>
      </c>
      <c r="B446" s="5" t="s">
        <v>14</v>
      </c>
      <c r="C446" s="6" t="s">
        <v>5</v>
      </c>
      <c r="D446" s="6" t="s">
        <v>46</v>
      </c>
      <c r="E446" s="28">
        <v>87435.1</v>
      </c>
      <c r="F446" s="11">
        <v>11</v>
      </c>
      <c r="G446" s="11">
        <v>19</v>
      </c>
      <c r="H446" s="11">
        <f t="shared" si="86"/>
        <v>-8</v>
      </c>
      <c r="I446" s="18">
        <v>1</v>
      </c>
      <c r="J446" s="19">
        <v>-2.932551319648094E-2</v>
      </c>
      <c r="K446" s="19">
        <v>1.9</v>
      </c>
      <c r="L446" s="6">
        <v>32107226</v>
      </c>
      <c r="M446" s="7">
        <v>20525664</v>
      </c>
      <c r="N446" s="7">
        <v>3625520.5</v>
      </c>
      <c r="O446" s="7">
        <v>28720004</v>
      </c>
      <c r="P446" s="7">
        <v>39924.25390625</v>
      </c>
      <c r="Q446" s="7">
        <v>115289.859375</v>
      </c>
      <c r="R446" s="7">
        <v>3774837.75</v>
      </c>
      <c r="S446" s="7">
        <v>3618645.25</v>
      </c>
      <c r="T446" s="31">
        <f t="shared" si="87"/>
        <v>9252.7111613281249</v>
      </c>
      <c r="U446" s="37">
        <v>7250.7777777777774</v>
      </c>
      <c r="V446">
        <f t="shared" si="88"/>
        <v>1.2760991227294103</v>
      </c>
      <c r="W446">
        <f t="shared" si="99"/>
        <v>-5.2604766062239496E-2</v>
      </c>
      <c r="X446" s="28">
        <v>6318.5125000000007</v>
      </c>
      <c r="Y446">
        <f t="shared" si="89"/>
        <v>0.4428107850498797</v>
      </c>
      <c r="Z446">
        <f t="shared" si="91"/>
        <v>0.28308223792083609</v>
      </c>
      <c r="AA446">
        <f t="shared" si="92"/>
        <v>5.0001815130943809E-2</v>
      </c>
      <c r="AB446">
        <f t="shared" si="93"/>
        <v>0.39609549320379422</v>
      </c>
      <c r="AC446">
        <f t="shared" si="94"/>
        <v>5.5062029384778642E-4</v>
      </c>
      <c r="AD446">
        <f t="shared" si="95"/>
        <v>1.5900343784957937E-3</v>
      </c>
      <c r="AE446">
        <f t="shared" si="96"/>
        <v>5.2061142482798778E-2</v>
      </c>
      <c r="AF446">
        <f t="shared" si="97"/>
        <v>4.9906994268814078E-2</v>
      </c>
      <c r="AG446">
        <f t="shared" si="90"/>
        <v>1.2760991227294105</v>
      </c>
      <c r="AH446">
        <v>0.41215941881464074</v>
      </c>
      <c r="AI446">
        <v>0.64538030109219724</v>
      </c>
      <c r="AJ446">
        <v>6.4363113596494007E-2</v>
      </c>
      <c r="AK446">
        <v>1.9771264629422278E-2</v>
      </c>
      <c r="AL446">
        <v>0.58572979800686487</v>
      </c>
    </row>
    <row r="447" spans="1:38" x14ac:dyDescent="0.25">
      <c r="A447">
        <v>15</v>
      </c>
      <c r="B447" s="5" t="s">
        <v>14</v>
      </c>
      <c r="C447" s="6" t="s">
        <v>5</v>
      </c>
      <c r="D447" s="6" t="s">
        <v>47</v>
      </c>
      <c r="E447" s="28">
        <v>87435.1</v>
      </c>
      <c r="F447" s="11">
        <v>12</v>
      </c>
      <c r="G447" s="11">
        <v>19</v>
      </c>
      <c r="H447" s="11">
        <f t="shared" si="86"/>
        <v>-7</v>
      </c>
      <c r="I447" s="18">
        <v>1</v>
      </c>
      <c r="J447" s="19">
        <v>-2.932551319648094E-2</v>
      </c>
      <c r="K447" s="19">
        <v>1.9</v>
      </c>
      <c r="L447" s="6">
        <v>31897238</v>
      </c>
      <c r="M447" s="7">
        <v>20306958</v>
      </c>
      <c r="N447" s="7">
        <v>3625520.5</v>
      </c>
      <c r="O447" s="7">
        <v>28418024</v>
      </c>
      <c r="P447" s="7">
        <v>39924.25390625</v>
      </c>
      <c r="Q447" s="7">
        <v>75899.8046875</v>
      </c>
      <c r="R447" s="7">
        <v>3743400.5</v>
      </c>
      <c r="S447" s="7">
        <v>3591970</v>
      </c>
      <c r="T447" s="31">
        <f t="shared" si="87"/>
        <v>9169.8935058593743</v>
      </c>
      <c r="U447" s="37">
        <v>7460</v>
      </c>
      <c r="V447">
        <f t="shared" si="88"/>
        <v>1.2292082447532673</v>
      </c>
      <c r="W447">
        <f t="shared" si="99"/>
        <v>-3.6745482495003604E-2</v>
      </c>
      <c r="X447" s="28">
        <v>6710.3374999999996</v>
      </c>
      <c r="Y447">
        <f t="shared" si="89"/>
        <v>0.42757691689008043</v>
      </c>
      <c r="Z447">
        <f t="shared" si="91"/>
        <v>0.27221123324396779</v>
      </c>
      <c r="AA447">
        <f t="shared" si="92"/>
        <v>4.8599470509383375E-2</v>
      </c>
      <c r="AB447">
        <f t="shared" si="93"/>
        <v>0.38093865951742628</v>
      </c>
      <c r="AC447">
        <f t="shared" si="94"/>
        <v>5.3517766630361934E-4</v>
      </c>
      <c r="AD447">
        <f t="shared" si="95"/>
        <v>1.0174236553284182E-3</v>
      </c>
      <c r="AE447">
        <f t="shared" si="96"/>
        <v>5.017963136729222E-2</v>
      </c>
      <c r="AF447">
        <f t="shared" si="97"/>
        <v>4.8149731903485253E-2</v>
      </c>
      <c r="AG447">
        <f t="shared" si="90"/>
        <v>1.2292082447532673</v>
      </c>
      <c r="AH447">
        <v>0.41215941881464074</v>
      </c>
      <c r="AI447">
        <v>0.64538030109219724</v>
      </c>
      <c r="AJ447">
        <v>6.4363113596494007E-2</v>
      </c>
      <c r="AK447">
        <v>1.9771264629422278E-2</v>
      </c>
      <c r="AL447">
        <v>0.58572979800686487</v>
      </c>
    </row>
    <row r="448" spans="1:38" x14ac:dyDescent="0.25">
      <c r="A448">
        <v>15</v>
      </c>
      <c r="B448" s="5" t="s">
        <v>14</v>
      </c>
      <c r="C448" s="6" t="s">
        <v>5</v>
      </c>
      <c r="D448" s="6" t="s">
        <v>48</v>
      </c>
      <c r="E448" s="28">
        <v>87435.1</v>
      </c>
      <c r="F448" s="11">
        <v>13</v>
      </c>
      <c r="G448" s="11">
        <v>19</v>
      </c>
      <c r="H448" s="11">
        <f t="shared" si="86"/>
        <v>-6</v>
      </c>
      <c r="I448" s="18">
        <v>1</v>
      </c>
      <c r="J448" s="19">
        <v>-2.932551319648094E-2</v>
      </c>
      <c r="K448" s="19">
        <v>1.9</v>
      </c>
      <c r="L448" s="6">
        <v>33413354</v>
      </c>
      <c r="M448" s="7">
        <v>20414814</v>
      </c>
      <c r="N448" s="7">
        <v>3625520.5</v>
      </c>
      <c r="O448" s="7">
        <v>28572722</v>
      </c>
      <c r="P448" s="7">
        <v>39924.25390625</v>
      </c>
      <c r="Q448" s="7">
        <v>36539.5625</v>
      </c>
      <c r="R448" s="7">
        <v>3736747.75</v>
      </c>
      <c r="S448" s="7">
        <v>3486406.25</v>
      </c>
      <c r="T448" s="31">
        <f t="shared" si="87"/>
        <v>9332.6028316406246</v>
      </c>
      <c r="U448" s="37">
        <v>7564.7777777777774</v>
      </c>
      <c r="V448">
        <f t="shared" si="88"/>
        <v>1.2336916041414983</v>
      </c>
      <c r="W448">
        <f t="shared" si="99"/>
        <v>3.6473554480029456E-3</v>
      </c>
      <c r="X448" s="28">
        <v>7102.1624999999995</v>
      </c>
      <c r="Y448">
        <f t="shared" si="89"/>
        <v>0.44169643817105597</v>
      </c>
      <c r="Z448">
        <f t="shared" si="91"/>
        <v>0.26986667156265148</v>
      </c>
      <c r="AA448">
        <f t="shared" si="92"/>
        <v>4.7926331830266004E-2</v>
      </c>
      <c r="AB448">
        <f t="shared" si="93"/>
        <v>0.37770735425877244</v>
      </c>
      <c r="AC448">
        <f t="shared" si="94"/>
        <v>5.2776505905475666E-4</v>
      </c>
      <c r="AD448">
        <f t="shared" si="95"/>
        <v>4.830222852988265E-4</v>
      </c>
      <c r="AE448">
        <f t="shared" si="96"/>
        <v>4.9396662529559515E-2</v>
      </c>
      <c r="AF448">
        <f t="shared" si="97"/>
        <v>4.6087358444839389E-2</v>
      </c>
      <c r="AG448">
        <f t="shared" si="90"/>
        <v>1.233691604141498</v>
      </c>
      <c r="AH448">
        <v>0.41215941881464074</v>
      </c>
      <c r="AI448">
        <v>0.64538030109219724</v>
      </c>
      <c r="AJ448">
        <v>6.4363113596494007E-2</v>
      </c>
      <c r="AK448">
        <v>1.9771264629422278E-2</v>
      </c>
      <c r="AL448">
        <v>0.58572979800686487</v>
      </c>
    </row>
    <row r="449" spans="1:38" x14ac:dyDescent="0.25">
      <c r="A449">
        <v>15</v>
      </c>
      <c r="B449" s="5" t="s">
        <v>14</v>
      </c>
      <c r="C449" s="6" t="s">
        <v>5</v>
      </c>
      <c r="D449" s="6" t="s">
        <v>49</v>
      </c>
      <c r="E449" s="28">
        <v>87435.1</v>
      </c>
      <c r="F449" s="11">
        <v>14</v>
      </c>
      <c r="G449" s="11">
        <v>19</v>
      </c>
      <c r="H449" s="11">
        <f t="shared" si="86"/>
        <v>-5</v>
      </c>
      <c r="I449" s="18">
        <v>1</v>
      </c>
      <c r="J449" s="19">
        <v>-2.932551319648094E-2</v>
      </c>
      <c r="K449" s="19">
        <v>1.9</v>
      </c>
      <c r="L449" s="6">
        <v>37583724</v>
      </c>
      <c r="M449" s="7">
        <v>19598876</v>
      </c>
      <c r="N449" s="7">
        <v>3625520.5</v>
      </c>
      <c r="O449" s="7">
        <v>27424730</v>
      </c>
      <c r="P449" s="7">
        <v>39924.25390625</v>
      </c>
      <c r="Q449" s="7">
        <v>21493.146484375</v>
      </c>
      <c r="R449" s="7">
        <v>3768787</v>
      </c>
      <c r="S449" s="7">
        <v>3419001.75</v>
      </c>
      <c r="T449" s="31">
        <f t="shared" si="87"/>
        <v>9548.2056650390623</v>
      </c>
      <c r="U449" s="37">
        <v>7669.5555555555547</v>
      </c>
      <c r="V449">
        <f t="shared" si="88"/>
        <v>1.2449490189979366</v>
      </c>
      <c r="W449">
        <f t="shared" si="99"/>
        <v>9.1249829525039197E-3</v>
      </c>
      <c r="X449" s="28">
        <v>7493.9874999999993</v>
      </c>
      <c r="Y449">
        <f t="shared" si="89"/>
        <v>0.49003783501868864</v>
      </c>
      <c r="Z449">
        <f t="shared" si="91"/>
        <v>0.25554122214817609</v>
      </c>
      <c r="AA449">
        <f t="shared" si="92"/>
        <v>4.7271585344652742E-2</v>
      </c>
      <c r="AB449">
        <f t="shared" si="93"/>
        <v>0.35757912960333793</v>
      </c>
      <c r="AC449">
        <f t="shared" si="94"/>
        <v>5.2055498675318004E-4</v>
      </c>
      <c r="AD449">
        <f t="shared" si="95"/>
        <v>2.8023979132410254E-4</v>
      </c>
      <c r="AE449">
        <f t="shared" si="96"/>
        <v>4.913957494277519E-2</v>
      </c>
      <c r="AF449">
        <f t="shared" si="97"/>
        <v>4.4578877162228733E-2</v>
      </c>
      <c r="AG449">
        <f t="shared" si="90"/>
        <v>1.2449490189979366</v>
      </c>
      <c r="AH449">
        <v>0.41215941881464074</v>
      </c>
      <c r="AI449">
        <v>0.64538030109219724</v>
      </c>
      <c r="AJ449">
        <v>6.4363113596494007E-2</v>
      </c>
      <c r="AK449">
        <v>1.9771264629422278E-2</v>
      </c>
      <c r="AL449">
        <v>0.58572979800686487</v>
      </c>
    </row>
    <row r="450" spans="1:38" x14ac:dyDescent="0.25">
      <c r="A450">
        <v>15</v>
      </c>
      <c r="B450" s="5" t="s">
        <v>14</v>
      </c>
      <c r="C450" s="6" t="s">
        <v>5</v>
      </c>
      <c r="D450" s="6" t="s">
        <v>50</v>
      </c>
      <c r="E450" s="28">
        <v>87435.1</v>
      </c>
      <c r="F450" s="11">
        <v>15</v>
      </c>
      <c r="G450" s="11">
        <v>19</v>
      </c>
      <c r="H450" s="11">
        <f t="shared" ref="H450:H513" si="100">F450-G450</f>
        <v>-4</v>
      </c>
      <c r="I450" s="18">
        <v>1</v>
      </c>
      <c r="J450" s="19">
        <v>-2.932551319648094E-2</v>
      </c>
      <c r="K450" s="19">
        <v>1.9</v>
      </c>
      <c r="L450" s="6">
        <v>39994392</v>
      </c>
      <c r="M450" s="7">
        <v>19035518</v>
      </c>
      <c r="N450" s="7">
        <v>3625520.5</v>
      </c>
      <c r="O450" s="7">
        <v>26638748</v>
      </c>
      <c r="P450" s="7">
        <v>39924.25390625</v>
      </c>
      <c r="Q450" s="7">
        <v>30178.453125</v>
      </c>
      <c r="R450" s="7">
        <v>3661550</v>
      </c>
      <c r="S450" s="7">
        <v>3454230.25</v>
      </c>
      <c r="T450" s="31">
        <f t="shared" ref="T450:T513" si="101">SUM(L450:S450)/10000</f>
        <v>9648.0061457031243</v>
      </c>
      <c r="U450" s="37">
        <v>7774.333333333333</v>
      </c>
      <c r="V450">
        <f t="shared" si="88"/>
        <v>1.241007522064459</v>
      </c>
      <c r="W450">
        <f t="shared" si="99"/>
        <v>-3.1659906336166249E-3</v>
      </c>
      <c r="X450" s="28">
        <v>7885.8124999999982</v>
      </c>
      <c r="Y450">
        <f t="shared" si="89"/>
        <v>0.51444143549286114</v>
      </c>
      <c r="Z450">
        <f t="shared" si="91"/>
        <v>0.24485080821506666</v>
      </c>
      <c r="AA450">
        <f t="shared" si="92"/>
        <v>4.6634487415855595E-2</v>
      </c>
      <c r="AB450">
        <f t="shared" si="93"/>
        <v>0.34264993354199719</v>
      </c>
      <c r="AC450">
        <f t="shared" si="94"/>
        <v>5.1353926046713541E-4</v>
      </c>
      <c r="AD450">
        <f t="shared" si="95"/>
        <v>3.8818059158341551E-4</v>
      </c>
      <c r="AE450">
        <f t="shared" si="96"/>
        <v>4.7097929082879561E-2</v>
      </c>
      <c r="AF450">
        <f t="shared" si="97"/>
        <v>4.4431208463748234E-2</v>
      </c>
      <c r="AG450">
        <f t="shared" si="90"/>
        <v>1.241007522064459</v>
      </c>
      <c r="AH450">
        <v>0.41215941881464074</v>
      </c>
      <c r="AI450">
        <v>0.64538030109219724</v>
      </c>
      <c r="AJ450">
        <v>6.4363113596494007E-2</v>
      </c>
      <c r="AK450">
        <v>1.9771264629422278E-2</v>
      </c>
      <c r="AL450">
        <v>0.58572979800686487</v>
      </c>
    </row>
    <row r="451" spans="1:38" x14ac:dyDescent="0.25">
      <c r="A451">
        <v>15</v>
      </c>
      <c r="B451" s="5" t="s">
        <v>14</v>
      </c>
      <c r="C451" s="6" t="s">
        <v>5</v>
      </c>
      <c r="D451" s="6" t="s">
        <v>51</v>
      </c>
      <c r="E451" s="28">
        <v>87435.1</v>
      </c>
      <c r="F451" s="11">
        <v>16</v>
      </c>
      <c r="G451" s="11">
        <v>19</v>
      </c>
      <c r="H451" s="11">
        <f t="shared" si="100"/>
        <v>-3</v>
      </c>
      <c r="I451" s="18">
        <v>1</v>
      </c>
      <c r="J451" s="19">
        <v>-2.932551319648094E-2</v>
      </c>
      <c r="K451" s="19">
        <v>1.9</v>
      </c>
      <c r="L451" s="6">
        <v>34916872</v>
      </c>
      <c r="M451" s="7">
        <v>19867708</v>
      </c>
      <c r="N451" s="7">
        <v>3625520.5</v>
      </c>
      <c r="O451" s="7">
        <v>27808738</v>
      </c>
      <c r="P451" s="7">
        <v>39924.25390625</v>
      </c>
      <c r="Q451" s="7">
        <v>84472.5703125</v>
      </c>
      <c r="R451" s="7">
        <v>3629019</v>
      </c>
      <c r="S451" s="7">
        <v>3512228.75</v>
      </c>
      <c r="T451" s="31">
        <f t="shared" si="101"/>
        <v>9348.4483074218751</v>
      </c>
      <c r="U451" s="37">
        <v>7773.8888888888878</v>
      </c>
      <c r="V451">
        <f t="shared" ref="V451:V514" si="102">T451/U451</f>
        <v>1.2025446261244463</v>
      </c>
      <c r="W451">
        <f t="shared" si="99"/>
        <v>-3.0993281874736957E-2</v>
      </c>
      <c r="X451" s="28">
        <v>8277.6374999999971</v>
      </c>
      <c r="Y451">
        <f t="shared" si="89"/>
        <v>0.44915578932323313</v>
      </c>
      <c r="Z451">
        <f t="shared" si="91"/>
        <v>0.25556974487243622</v>
      </c>
      <c r="AA451">
        <f t="shared" si="92"/>
        <v>4.6637153576788395E-2</v>
      </c>
      <c r="AB451">
        <f t="shared" si="93"/>
        <v>0.35771977703137287</v>
      </c>
      <c r="AC451">
        <f t="shared" si="94"/>
        <v>5.1356862024762393E-4</v>
      </c>
      <c r="AD451">
        <f t="shared" si="95"/>
        <v>1.0866192136246696E-3</v>
      </c>
      <c r="AE451">
        <f t="shared" si="96"/>
        <v>4.6682156792682061E-2</v>
      </c>
      <c r="AF451">
        <f t="shared" si="97"/>
        <v>4.517981669406132E-2</v>
      </c>
      <c r="AG451">
        <f t="shared" si="90"/>
        <v>1.2025446261244463</v>
      </c>
      <c r="AH451">
        <v>0.41215941881464074</v>
      </c>
      <c r="AI451">
        <v>0.64538030109219724</v>
      </c>
      <c r="AJ451">
        <v>6.4363113596494007E-2</v>
      </c>
      <c r="AK451">
        <v>1.9771264629422278E-2</v>
      </c>
      <c r="AL451">
        <v>0.58572979800686487</v>
      </c>
    </row>
    <row r="452" spans="1:38" s="20" customFormat="1" x14ac:dyDescent="0.25">
      <c r="A452">
        <v>15</v>
      </c>
      <c r="B452" s="5" t="s">
        <v>14</v>
      </c>
      <c r="C452" s="6" t="s">
        <v>5</v>
      </c>
      <c r="D452" s="6" t="s">
        <v>52</v>
      </c>
      <c r="E452" s="28">
        <v>87435.1</v>
      </c>
      <c r="F452" s="11">
        <v>17</v>
      </c>
      <c r="G452" s="11">
        <v>19</v>
      </c>
      <c r="H452" s="11">
        <f t="shared" si="100"/>
        <v>-2</v>
      </c>
      <c r="I452" s="18">
        <v>1</v>
      </c>
      <c r="J452" s="19">
        <v>-2.932551319648094E-2</v>
      </c>
      <c r="K452" s="19">
        <v>1.9</v>
      </c>
      <c r="L452" s="6">
        <v>34362500</v>
      </c>
      <c r="M452" s="7">
        <v>20449680</v>
      </c>
      <c r="N452" s="7">
        <v>3625520.5</v>
      </c>
      <c r="O452" s="7">
        <v>28615682</v>
      </c>
      <c r="P452" s="7">
        <v>39924.25390625</v>
      </c>
      <c r="Q452" s="7">
        <v>116505.3828125</v>
      </c>
      <c r="R452" s="7">
        <v>3774063</v>
      </c>
      <c r="S452" s="7">
        <v>3633883.5</v>
      </c>
      <c r="T452" s="31">
        <f t="shared" si="101"/>
        <v>9461.7758636718754</v>
      </c>
      <c r="U452" s="37">
        <v>7773.4444444444443</v>
      </c>
      <c r="V452">
        <f t="shared" si="102"/>
        <v>1.2171921895491329</v>
      </c>
      <c r="W452">
        <f t="shared" si="99"/>
        <v>1.2180473893840114E-2</v>
      </c>
      <c r="X452" s="28">
        <v>8669.4624999999978</v>
      </c>
      <c r="Y452">
        <f t="shared" ref="Y452:Y515" si="103">L452/$U452/10000</f>
        <v>0.442049856348537</v>
      </c>
      <c r="Z452">
        <f t="shared" si="91"/>
        <v>0.26307102528551624</v>
      </c>
      <c r="AA452">
        <f t="shared" si="92"/>
        <v>4.6639820042595162E-2</v>
      </c>
      <c r="AB452">
        <f t="shared" si="93"/>
        <v>0.3681210074184188</v>
      </c>
      <c r="AC452">
        <f t="shared" si="94"/>
        <v>5.1359798338538611E-4</v>
      </c>
      <c r="AD452">
        <f t="shared" si="95"/>
        <v>1.4987613746408714E-3</v>
      </c>
      <c r="AE452">
        <f t="shared" si="96"/>
        <v>4.8550716827947003E-2</v>
      </c>
      <c r="AF452">
        <f t="shared" si="97"/>
        <v>4.6747404268092228E-2</v>
      </c>
      <c r="AG452">
        <f t="shared" ref="AG452:AG515" si="104">SUM(Y452:AF452)</f>
        <v>1.2171921895491329</v>
      </c>
      <c r="AH452" s="20">
        <v>0.41215941881464074</v>
      </c>
      <c r="AI452" s="20">
        <v>0.64538030109219724</v>
      </c>
      <c r="AJ452" s="20">
        <v>6.4363113596494007E-2</v>
      </c>
      <c r="AK452" s="20">
        <v>1.9771264629422278E-2</v>
      </c>
      <c r="AL452" s="20">
        <v>0.58572979800686487</v>
      </c>
    </row>
    <row r="453" spans="1:38" x14ac:dyDescent="0.25">
      <c r="A453">
        <v>15</v>
      </c>
      <c r="B453" s="5" t="s">
        <v>14</v>
      </c>
      <c r="C453" s="6" t="s">
        <v>5</v>
      </c>
      <c r="D453" s="6" t="s">
        <v>53</v>
      </c>
      <c r="E453" s="28">
        <v>87435.1</v>
      </c>
      <c r="F453" s="11">
        <v>18</v>
      </c>
      <c r="G453" s="11">
        <v>19</v>
      </c>
      <c r="H453" s="11">
        <f t="shared" si="100"/>
        <v>-1</v>
      </c>
      <c r="I453" s="18">
        <v>1</v>
      </c>
      <c r="J453" s="19">
        <v>-2.932551319648094E-2</v>
      </c>
      <c r="K453" s="19">
        <v>1.9</v>
      </c>
      <c r="L453" s="6">
        <v>36701772</v>
      </c>
      <c r="M453" s="7">
        <v>20380672</v>
      </c>
      <c r="N453" s="7">
        <v>3625520.5</v>
      </c>
      <c r="O453" s="7">
        <v>28523372</v>
      </c>
      <c r="P453" s="7">
        <v>39924.25390625</v>
      </c>
      <c r="Q453" s="7">
        <v>76882.28125</v>
      </c>
      <c r="R453" s="7">
        <v>3746293.75</v>
      </c>
      <c r="S453" s="7">
        <v>3587613.75</v>
      </c>
      <c r="T453" s="31">
        <f t="shared" si="101"/>
        <v>9668.205053515625</v>
      </c>
      <c r="U453" s="37">
        <v>7773</v>
      </c>
      <c r="V453">
        <f t="shared" si="102"/>
        <v>1.2438189956922199</v>
      </c>
      <c r="W453">
        <f t="shared" si="99"/>
        <v>2.187559727354969E-2</v>
      </c>
      <c r="X453" s="28">
        <v>9061.2874999999985</v>
      </c>
      <c r="Y453">
        <f t="shared" si="103"/>
        <v>0.47216997298340413</v>
      </c>
      <c r="Z453">
        <f t="shared" si="91"/>
        <v>0.26219827608388008</v>
      </c>
      <c r="AA453">
        <f t="shared" si="92"/>
        <v>4.6642486813328186E-2</v>
      </c>
      <c r="AB453">
        <f t="shared" si="93"/>
        <v>0.3669544834684163</v>
      </c>
      <c r="AC453">
        <f t="shared" si="94"/>
        <v>5.1362734988099831E-4</v>
      </c>
      <c r="AD453">
        <f t="shared" si="95"/>
        <v>9.8909405956516144E-4</v>
      </c>
      <c r="AE453">
        <f t="shared" si="96"/>
        <v>4.8196240190402674E-2</v>
      </c>
      <c r="AF453">
        <f t="shared" si="97"/>
        <v>4.6154814743342334E-2</v>
      </c>
      <c r="AG453">
        <f t="shared" si="104"/>
        <v>1.2438189956922199</v>
      </c>
      <c r="AH453">
        <v>0.41215941881464074</v>
      </c>
      <c r="AI453">
        <v>0.64538030109219724</v>
      </c>
      <c r="AJ453">
        <v>6.4363113596494007E-2</v>
      </c>
      <c r="AK453">
        <v>1.9771264629422278E-2</v>
      </c>
      <c r="AL453">
        <v>0.58572979800686487</v>
      </c>
    </row>
    <row r="454" spans="1:38" x14ac:dyDescent="0.25">
      <c r="A454">
        <v>15</v>
      </c>
      <c r="B454" s="21" t="s">
        <v>14</v>
      </c>
      <c r="C454" s="22" t="s">
        <v>5</v>
      </c>
      <c r="D454" s="22" t="s">
        <v>54</v>
      </c>
      <c r="E454" s="28">
        <v>87435.1</v>
      </c>
      <c r="F454" s="22">
        <v>19</v>
      </c>
      <c r="G454" s="22">
        <v>19</v>
      </c>
      <c r="H454" s="22">
        <f t="shared" si="100"/>
        <v>0</v>
      </c>
      <c r="I454" s="18">
        <v>1</v>
      </c>
      <c r="J454" s="19">
        <v>-2.932551319648094E-2</v>
      </c>
      <c r="K454" s="19">
        <v>1.9</v>
      </c>
      <c r="L454" s="22">
        <v>40939340</v>
      </c>
      <c r="M454" s="23">
        <v>20567306</v>
      </c>
      <c r="N454" s="23">
        <v>3627260.75</v>
      </c>
      <c r="O454" s="23">
        <v>28790760</v>
      </c>
      <c r="P454" s="23">
        <v>39943.41796875</v>
      </c>
      <c r="Q454" s="23">
        <v>36247.51171875</v>
      </c>
      <c r="R454" s="23">
        <v>3743878</v>
      </c>
      <c r="S454" s="23">
        <v>3460107.25</v>
      </c>
      <c r="T454" s="32">
        <f t="shared" si="101"/>
        <v>10120.484292968749</v>
      </c>
      <c r="U454" s="37">
        <v>7772.5555555555557</v>
      </c>
      <c r="V454">
        <f t="shared" si="102"/>
        <v>1.3020793766774654</v>
      </c>
      <c r="W454">
        <f t="shared" si="99"/>
        <v>4.6839918980994523E-2</v>
      </c>
      <c r="X454" s="28">
        <v>9453.1124999999956</v>
      </c>
      <c r="Y454">
        <f t="shared" si="103"/>
        <v>0.52671659542835902</v>
      </c>
      <c r="Z454">
        <f t="shared" si="91"/>
        <v>0.26461446113819281</v>
      </c>
      <c r="AA454">
        <f t="shared" si="92"/>
        <v>4.6667543564965046E-2</v>
      </c>
      <c r="AB454">
        <f t="shared" si="93"/>
        <v>0.37041562191757321</v>
      </c>
      <c r="AC454">
        <f t="shared" si="94"/>
        <v>5.139032803721784E-4</v>
      </c>
      <c r="AD454">
        <f t="shared" si="95"/>
        <v>4.6635255881627663E-4</v>
      </c>
      <c r="AE454">
        <f t="shared" si="96"/>
        <v>4.8167915600474606E-2</v>
      </c>
      <c r="AF454">
        <f t="shared" si="97"/>
        <v>4.4516983188712417E-2</v>
      </c>
      <c r="AG454">
        <f t="shared" si="104"/>
        <v>1.3020793766774656</v>
      </c>
      <c r="AH454">
        <v>0.41215941881464074</v>
      </c>
      <c r="AI454">
        <v>0.64538030109219724</v>
      </c>
      <c r="AJ454">
        <v>6.4363113596494007E-2</v>
      </c>
      <c r="AK454">
        <v>1.9771264629422278E-2</v>
      </c>
      <c r="AL454">
        <v>0.58572979800686487</v>
      </c>
    </row>
    <row r="455" spans="1:38" x14ac:dyDescent="0.25">
      <c r="A455">
        <v>15</v>
      </c>
      <c r="B455" s="5" t="s">
        <v>14</v>
      </c>
      <c r="C455" s="6" t="s">
        <v>5</v>
      </c>
      <c r="D455" s="6" t="s">
        <v>55</v>
      </c>
      <c r="E455" s="28">
        <v>92068.7</v>
      </c>
      <c r="F455" s="11">
        <v>20</v>
      </c>
      <c r="G455" s="11">
        <v>19</v>
      </c>
      <c r="H455" s="18">
        <f t="shared" si="100"/>
        <v>1</v>
      </c>
      <c r="I455" s="18">
        <v>1</v>
      </c>
      <c r="J455" s="19">
        <v>-2.932551319648094E-2</v>
      </c>
      <c r="K455" s="19">
        <v>1.9</v>
      </c>
      <c r="L455" s="14">
        <v>3937748.25</v>
      </c>
      <c r="M455" s="16">
        <v>19418672</v>
      </c>
      <c r="N455" s="16">
        <v>7696531.5</v>
      </c>
      <c r="O455" s="16">
        <v>34846464</v>
      </c>
      <c r="P455" s="16">
        <v>41631.8125</v>
      </c>
      <c r="Q455" s="16">
        <v>23695.857421875</v>
      </c>
      <c r="R455" s="16">
        <v>26258600</v>
      </c>
      <c r="S455" s="16">
        <v>4175964</v>
      </c>
      <c r="T455" s="31">
        <f t="shared" si="101"/>
        <v>9639.9307419921879</v>
      </c>
      <c r="U455" s="37">
        <v>6664.1111111111104</v>
      </c>
      <c r="V455">
        <f t="shared" si="102"/>
        <v>1.446544119878115</v>
      </c>
      <c r="W455">
        <f t="shared" si="99"/>
        <v>0.11094925992091385</v>
      </c>
      <c r="X455" s="28">
        <v>5613.6499999999978</v>
      </c>
      <c r="Y455">
        <f t="shared" si="103"/>
        <v>5.9088874485219343E-2</v>
      </c>
      <c r="Z455">
        <f t="shared" si="91"/>
        <v>0.29139178018240325</v>
      </c>
      <c r="AA455">
        <f t="shared" si="92"/>
        <v>0.11549224452706872</v>
      </c>
      <c r="AB455">
        <f t="shared" si="93"/>
        <v>0.52289740400486862</v>
      </c>
      <c r="AC455">
        <f t="shared" si="94"/>
        <v>6.2471666222051788E-4</v>
      </c>
      <c r="AD455">
        <f t="shared" si="95"/>
        <v>3.5557416475794892E-4</v>
      </c>
      <c r="AE455">
        <f t="shared" si="96"/>
        <v>0.39403004485052606</v>
      </c>
      <c r="AF455">
        <f t="shared" si="97"/>
        <v>6.2663481001050417E-2</v>
      </c>
      <c r="AG455">
        <f t="shared" si="104"/>
        <v>1.446544119878115</v>
      </c>
      <c r="AH455">
        <v>0.41334242799127174</v>
      </c>
      <c r="AI455">
        <v>0.65533932628667391</v>
      </c>
      <c r="AJ455">
        <v>6.4109790311650969E-2</v>
      </c>
      <c r="AK455">
        <v>2.0303751437785046E-2</v>
      </c>
      <c r="AL455">
        <v>0.59330267514668078</v>
      </c>
    </row>
    <row r="456" spans="1:38" x14ac:dyDescent="0.25">
      <c r="A456">
        <v>15</v>
      </c>
      <c r="B456" s="5" t="s">
        <v>14</v>
      </c>
      <c r="C456" s="6" t="s">
        <v>5</v>
      </c>
      <c r="D456" s="6" t="s">
        <v>56</v>
      </c>
      <c r="E456" s="28">
        <v>92068.7</v>
      </c>
      <c r="F456" s="11">
        <v>21</v>
      </c>
      <c r="G456" s="11">
        <v>19</v>
      </c>
      <c r="H456" s="11">
        <f t="shared" si="100"/>
        <v>2</v>
      </c>
      <c r="I456" s="18">
        <v>1</v>
      </c>
      <c r="J456" s="19">
        <v>-2.932551319648094E-2</v>
      </c>
      <c r="K456" s="19">
        <v>1.9</v>
      </c>
      <c r="L456" s="6">
        <v>3825800.25</v>
      </c>
      <c r="M456" s="7">
        <v>19034028</v>
      </c>
      <c r="N456" s="7">
        <v>6695172.5</v>
      </c>
      <c r="O456" s="7">
        <v>34673796</v>
      </c>
      <c r="P456" s="7">
        <v>41631.8125</v>
      </c>
      <c r="Q456" s="7">
        <v>33463.8671875</v>
      </c>
      <c r="R456" s="7">
        <v>25728768</v>
      </c>
      <c r="S456" s="7">
        <v>4229818</v>
      </c>
      <c r="T456" s="31">
        <f t="shared" si="101"/>
        <v>9426.2478429687508</v>
      </c>
      <c r="U456" s="37">
        <v>7037</v>
      </c>
      <c r="V456">
        <f t="shared" si="102"/>
        <v>1.3395264804559828</v>
      </c>
      <c r="W456">
        <f t="shared" si="99"/>
        <v>-7.3981593752667232E-2</v>
      </c>
      <c r="X456" s="28">
        <v>5987.9666666666653</v>
      </c>
      <c r="Y456">
        <f t="shared" si="103"/>
        <v>5.4366921273269864E-2</v>
      </c>
      <c r="Z456">
        <f t="shared" si="91"/>
        <v>0.2704849793946284</v>
      </c>
      <c r="AA456">
        <f t="shared" si="92"/>
        <v>9.5142425749609211E-2</v>
      </c>
      <c r="AB456">
        <f t="shared" si="93"/>
        <v>0.49273548387096772</v>
      </c>
      <c r="AC456">
        <f t="shared" si="94"/>
        <v>5.9161308085832031E-4</v>
      </c>
      <c r="AD456">
        <f t="shared" si="95"/>
        <v>4.7554166814693763E-4</v>
      </c>
      <c r="AE456">
        <f t="shared" si="96"/>
        <v>0.36562125905925824</v>
      </c>
      <c r="AF456">
        <f t="shared" si="97"/>
        <v>6.0108256359244001E-2</v>
      </c>
      <c r="AG456">
        <f t="shared" si="104"/>
        <v>1.3395264804559828</v>
      </c>
      <c r="AH456">
        <v>0.41334242799127174</v>
      </c>
      <c r="AI456">
        <v>0.65533932628667391</v>
      </c>
      <c r="AJ456">
        <v>6.4109790311650969E-2</v>
      </c>
      <c r="AK456">
        <v>2.0303751437785046E-2</v>
      </c>
      <c r="AL456">
        <v>0.59330267514668078</v>
      </c>
    </row>
    <row r="457" spans="1:38" x14ac:dyDescent="0.25">
      <c r="A457">
        <v>15</v>
      </c>
      <c r="B457" s="5" t="s">
        <v>14</v>
      </c>
      <c r="C457" s="6" t="s">
        <v>5</v>
      </c>
      <c r="D457" s="6" t="s">
        <v>57</v>
      </c>
      <c r="E457" s="28">
        <v>92068.7</v>
      </c>
      <c r="F457" s="11">
        <v>22</v>
      </c>
      <c r="G457" s="11">
        <v>19</v>
      </c>
      <c r="H457" s="11">
        <f t="shared" si="100"/>
        <v>3</v>
      </c>
      <c r="I457" s="18">
        <v>1</v>
      </c>
      <c r="J457" s="19">
        <v>-2.932551319648094E-2</v>
      </c>
      <c r="K457" s="19">
        <v>1.9</v>
      </c>
      <c r="L457" s="6">
        <v>3789283.5</v>
      </c>
      <c r="M457" s="7">
        <v>19757892</v>
      </c>
      <c r="N457" s="7">
        <v>4340673</v>
      </c>
      <c r="O457" s="7">
        <v>39443192</v>
      </c>
      <c r="P457" s="7">
        <v>41631.8125</v>
      </c>
      <c r="Q457" s="7">
        <v>95469.9453125</v>
      </c>
      <c r="R457" s="7">
        <v>26713780</v>
      </c>
      <c r="S457" s="7">
        <v>4321400</v>
      </c>
      <c r="T457" s="31">
        <f t="shared" si="101"/>
        <v>9850.3322257812506</v>
      </c>
      <c r="U457" s="37">
        <v>7409.8888888888896</v>
      </c>
      <c r="V457">
        <f t="shared" si="102"/>
        <v>1.3293495183918074</v>
      </c>
      <c r="W457">
        <f t="shared" si="99"/>
        <v>-7.5974325350485795E-3</v>
      </c>
      <c r="X457" s="28">
        <v>6362.2833333333319</v>
      </c>
      <c r="Y457">
        <f t="shared" si="103"/>
        <v>5.1138195954355287E-2</v>
      </c>
      <c r="Z457">
        <f t="shared" si="91"/>
        <v>0.26664221685735273</v>
      </c>
      <c r="AA457">
        <f t="shared" si="92"/>
        <v>5.8579461380437542E-2</v>
      </c>
      <c r="AB457">
        <f t="shared" si="93"/>
        <v>0.53230476990208275</v>
      </c>
      <c r="AC457">
        <f t="shared" si="94"/>
        <v>5.6184125193060321E-4</v>
      </c>
      <c r="AD457">
        <f t="shared" si="95"/>
        <v>1.288412643483183E-3</v>
      </c>
      <c r="AE457">
        <f t="shared" si="96"/>
        <v>0.36051525738877471</v>
      </c>
      <c r="AF457">
        <f t="shared" si="97"/>
        <v>5.831936301339051E-2</v>
      </c>
      <c r="AG457">
        <f t="shared" si="104"/>
        <v>1.3293495183918074</v>
      </c>
      <c r="AH457">
        <v>0.41334242799127174</v>
      </c>
      <c r="AI457">
        <v>0.65533932628667391</v>
      </c>
      <c r="AJ457">
        <v>6.4109790311650969E-2</v>
      </c>
      <c r="AK457">
        <v>2.0303751437785046E-2</v>
      </c>
      <c r="AL457">
        <v>0.59330267514668078</v>
      </c>
    </row>
    <row r="458" spans="1:38" x14ac:dyDescent="0.25">
      <c r="A458">
        <v>15</v>
      </c>
      <c r="B458" s="5" t="s">
        <v>14</v>
      </c>
      <c r="C458" s="6" t="s">
        <v>5</v>
      </c>
      <c r="D458" s="6" t="s">
        <v>58</v>
      </c>
      <c r="E458" s="28">
        <v>92068.7</v>
      </c>
      <c r="F458" s="11">
        <v>23</v>
      </c>
      <c r="G458" s="11">
        <v>19</v>
      </c>
      <c r="H458" s="11">
        <f t="shared" si="100"/>
        <v>4</v>
      </c>
      <c r="I458" s="18">
        <v>1</v>
      </c>
      <c r="J458" s="19">
        <v>-2.932551319648094E-2</v>
      </c>
      <c r="K458" s="19">
        <v>1.9</v>
      </c>
      <c r="L458" s="6">
        <v>3935960.5</v>
      </c>
      <c r="M458" s="7">
        <v>20072312</v>
      </c>
      <c r="N458" s="7">
        <v>2833410</v>
      </c>
      <c r="O458" s="7">
        <v>35677144</v>
      </c>
      <c r="P458" s="7">
        <v>41631.8125</v>
      </c>
      <c r="Q458" s="7">
        <v>131596.8125</v>
      </c>
      <c r="R458" s="7">
        <v>27140996</v>
      </c>
      <c r="S458" s="7">
        <v>4467771</v>
      </c>
      <c r="T458" s="31">
        <f t="shared" si="101"/>
        <v>9430.0822124999995</v>
      </c>
      <c r="U458" s="37">
        <v>7782.7777777777783</v>
      </c>
      <c r="V458">
        <f t="shared" si="102"/>
        <v>1.2116602171818116</v>
      </c>
      <c r="W458">
        <f t="shared" si="99"/>
        <v>-8.8531495729107776E-2</v>
      </c>
      <c r="X458" s="28">
        <v>6736.5999999999985</v>
      </c>
      <c r="Y458">
        <f t="shared" si="103"/>
        <v>5.0572695410093509E-2</v>
      </c>
      <c r="Z458">
        <f t="shared" si="91"/>
        <v>0.25790678563780423</v>
      </c>
      <c r="AA458">
        <f t="shared" si="92"/>
        <v>3.6406153187236778E-2</v>
      </c>
      <c r="AB458">
        <f t="shared" si="93"/>
        <v>0.45841144407166823</v>
      </c>
      <c r="AC458">
        <f t="shared" si="94"/>
        <v>5.3492228210436142E-4</v>
      </c>
      <c r="AD458">
        <f t="shared" si="95"/>
        <v>1.6908720286958382E-3</v>
      </c>
      <c r="AE458">
        <f t="shared" si="96"/>
        <v>0.34873147833535584</v>
      </c>
      <c r="AF458">
        <f t="shared" si="97"/>
        <v>5.7405866228852881E-2</v>
      </c>
      <c r="AG458">
        <f t="shared" si="104"/>
        <v>1.2116602171818116</v>
      </c>
      <c r="AH458">
        <v>0.41334242799127174</v>
      </c>
      <c r="AI458">
        <v>0.65533932628667391</v>
      </c>
      <c r="AJ458">
        <v>6.4109790311650969E-2</v>
      </c>
      <c r="AK458">
        <v>2.0303751437785046E-2</v>
      </c>
      <c r="AL458">
        <v>0.59330267514668078</v>
      </c>
    </row>
    <row r="459" spans="1:38" x14ac:dyDescent="0.25">
      <c r="A459">
        <v>15</v>
      </c>
      <c r="B459" s="5" t="s">
        <v>14</v>
      </c>
      <c r="C459" s="6" t="s">
        <v>5</v>
      </c>
      <c r="D459" s="6" t="s">
        <v>59</v>
      </c>
      <c r="E459" s="28">
        <v>92068.7</v>
      </c>
      <c r="F459" s="11">
        <v>24</v>
      </c>
      <c r="G459" s="11">
        <v>19</v>
      </c>
      <c r="H459" s="11">
        <f t="shared" si="100"/>
        <v>5</v>
      </c>
      <c r="I459" s="18">
        <v>1</v>
      </c>
      <c r="J459" s="19">
        <v>-2.932551319648094E-2</v>
      </c>
      <c r="K459" s="19">
        <v>1.9</v>
      </c>
      <c r="L459" s="6">
        <v>3903405.75</v>
      </c>
      <c r="M459" s="7">
        <v>19859066</v>
      </c>
      <c r="N459" s="7">
        <v>1810282.75</v>
      </c>
      <c r="O459" s="7">
        <v>35443804</v>
      </c>
      <c r="P459" s="7">
        <v>41631.8125</v>
      </c>
      <c r="Q459" s="7">
        <v>86635.65625</v>
      </c>
      <c r="R459" s="7">
        <v>26854924</v>
      </c>
      <c r="S459" s="7">
        <v>4436370</v>
      </c>
      <c r="T459" s="31">
        <f t="shared" si="101"/>
        <v>9243.6119968750008</v>
      </c>
      <c r="U459" s="37">
        <v>8155.666666666667</v>
      </c>
      <c r="V459">
        <f t="shared" si="102"/>
        <v>1.1333974737656844</v>
      </c>
      <c r="W459">
        <f t="shared" si="99"/>
        <v>-6.459132874574168E-2</v>
      </c>
      <c r="X459" s="28">
        <v>7110.9166666666661</v>
      </c>
      <c r="Y459">
        <f t="shared" si="103"/>
        <v>4.7861271304205665E-2</v>
      </c>
      <c r="Z459">
        <f t="shared" si="91"/>
        <v>0.24350021661830221</v>
      </c>
      <c r="AA459">
        <f t="shared" si="92"/>
        <v>2.2196625045980297E-2</v>
      </c>
      <c r="AB459">
        <f t="shared" si="93"/>
        <v>0.43459113091102297</v>
      </c>
      <c r="AC459">
        <f t="shared" si="94"/>
        <v>5.104648608329587E-4</v>
      </c>
      <c r="AD459">
        <f t="shared" si="95"/>
        <v>1.0622755905914088E-3</v>
      </c>
      <c r="AE459">
        <f t="shared" si="96"/>
        <v>0.32927932316998404</v>
      </c>
      <c r="AF459">
        <f t="shared" si="97"/>
        <v>5.4396166264764782E-2</v>
      </c>
      <c r="AG459">
        <f t="shared" si="104"/>
        <v>1.1333974737656842</v>
      </c>
      <c r="AH459">
        <v>0.41334242799127174</v>
      </c>
      <c r="AI459">
        <v>0.65533932628667391</v>
      </c>
      <c r="AJ459">
        <v>6.4109790311650969E-2</v>
      </c>
      <c r="AK459">
        <v>2.0303751437785046E-2</v>
      </c>
      <c r="AL459">
        <v>0.59330267514668078</v>
      </c>
    </row>
    <row r="460" spans="1:38" x14ac:dyDescent="0.25">
      <c r="A460">
        <v>15</v>
      </c>
      <c r="B460" s="5" t="s">
        <v>14</v>
      </c>
      <c r="C460" s="6" t="s">
        <v>5</v>
      </c>
      <c r="D460" s="6" t="s">
        <v>60</v>
      </c>
      <c r="E460" s="28">
        <v>92068.7</v>
      </c>
      <c r="F460" s="11">
        <v>25</v>
      </c>
      <c r="G460" s="11">
        <v>19</v>
      </c>
      <c r="H460" s="11">
        <f t="shared" si="100"/>
        <v>6</v>
      </c>
      <c r="I460" s="18">
        <v>1</v>
      </c>
      <c r="J460" s="19">
        <v>-2.932551319648094E-2</v>
      </c>
      <c r="K460" s="19">
        <v>1.9</v>
      </c>
      <c r="L460" s="6">
        <v>3896460.5</v>
      </c>
      <c r="M460" s="7">
        <v>19964976</v>
      </c>
      <c r="N460" s="7">
        <v>1007018.6875</v>
      </c>
      <c r="O460" s="7">
        <v>37128492</v>
      </c>
      <c r="P460" s="7">
        <v>41631.8125</v>
      </c>
      <c r="Q460" s="7">
        <v>41706.609375</v>
      </c>
      <c r="R460" s="7">
        <v>27000716</v>
      </c>
      <c r="S460" s="7">
        <v>4308680</v>
      </c>
      <c r="T460" s="31">
        <f t="shared" si="101"/>
        <v>9338.9681609375002</v>
      </c>
      <c r="U460" s="37">
        <v>8185.4444444444453</v>
      </c>
      <c r="V460">
        <f t="shared" si="102"/>
        <v>1.1409237732076924</v>
      </c>
      <c r="W460">
        <f t="shared" si="99"/>
        <v>6.640476634381459E-3</v>
      </c>
      <c r="X460" s="28">
        <v>7485.2333333333327</v>
      </c>
      <c r="Y460">
        <f t="shared" si="103"/>
        <v>4.7602308297927207E-2</v>
      </c>
      <c r="Z460">
        <f t="shared" si="91"/>
        <v>0.2439082707787536</v>
      </c>
      <c r="AA460">
        <f t="shared" si="92"/>
        <v>1.2302553567307821E-2</v>
      </c>
      <c r="AB460">
        <f t="shared" si="93"/>
        <v>0.45359164370359306</v>
      </c>
      <c r="AC460">
        <f t="shared" si="94"/>
        <v>5.0860784386919859E-4</v>
      </c>
      <c r="AD460">
        <f t="shared" si="95"/>
        <v>5.0952162290108453E-4</v>
      </c>
      <c r="AE460">
        <f t="shared" si="96"/>
        <v>0.32986255276982174</v>
      </c>
      <c r="AF460">
        <f t="shared" si="97"/>
        <v>5.2638314623518707E-2</v>
      </c>
      <c r="AG460">
        <f t="shared" si="104"/>
        <v>1.1409237732076924</v>
      </c>
      <c r="AH460">
        <v>0.41334242799127174</v>
      </c>
      <c r="AI460">
        <v>0.65533932628667391</v>
      </c>
      <c r="AJ460">
        <v>6.4109790311650969E-2</v>
      </c>
      <c r="AK460">
        <v>2.0303751437785046E-2</v>
      </c>
      <c r="AL460">
        <v>0.59330267514668078</v>
      </c>
    </row>
    <row r="461" spans="1:38" x14ac:dyDescent="0.25">
      <c r="A461">
        <v>15</v>
      </c>
      <c r="B461" s="5" t="s">
        <v>14</v>
      </c>
      <c r="C461" s="6" t="s">
        <v>5</v>
      </c>
      <c r="D461" s="6" t="s">
        <v>61</v>
      </c>
      <c r="E461" s="28">
        <v>92068.7</v>
      </c>
      <c r="F461" s="11">
        <v>26</v>
      </c>
      <c r="G461" s="11">
        <v>19</v>
      </c>
      <c r="H461" s="11">
        <f t="shared" si="100"/>
        <v>7</v>
      </c>
      <c r="I461" s="18">
        <v>1</v>
      </c>
      <c r="J461" s="19">
        <v>-2.932551319648094E-2</v>
      </c>
      <c r="K461" s="19">
        <v>1.9</v>
      </c>
      <c r="L461" s="6">
        <v>3929520</v>
      </c>
      <c r="M461" s="7">
        <v>19167442</v>
      </c>
      <c r="N461" s="7">
        <v>749713</v>
      </c>
      <c r="O461" s="7">
        <v>41762552</v>
      </c>
      <c r="P461" s="7">
        <v>41631.8125</v>
      </c>
      <c r="Q461" s="7">
        <v>24531.3984375</v>
      </c>
      <c r="R461" s="7">
        <v>25915338</v>
      </c>
      <c r="S461" s="7">
        <v>4226568</v>
      </c>
      <c r="T461" s="31">
        <f t="shared" si="101"/>
        <v>9581.7296210937493</v>
      </c>
      <c r="U461" s="37">
        <v>8215.2222222222226</v>
      </c>
      <c r="V461">
        <f t="shared" si="102"/>
        <v>1.1663384582799374</v>
      </c>
      <c r="W461">
        <f t="shared" si="99"/>
        <v>2.227553292258248E-2</v>
      </c>
      <c r="X461" s="28">
        <v>7859.5499999999993</v>
      </c>
      <c r="Y461">
        <f t="shared" si="103"/>
        <v>4.7832181451776513E-2</v>
      </c>
      <c r="Z461">
        <f t="shared" si="91"/>
        <v>0.23331617187605661</v>
      </c>
      <c r="AA461">
        <f t="shared" si="92"/>
        <v>9.125900428743389E-3</v>
      </c>
      <c r="AB461">
        <f t="shared" si="93"/>
        <v>0.50835571905811705</v>
      </c>
      <c r="AC461">
        <f t="shared" si="94"/>
        <v>5.0676428919215009E-4</v>
      </c>
      <c r="AD461">
        <f t="shared" si="95"/>
        <v>2.9860906709428296E-4</v>
      </c>
      <c r="AE461">
        <f t="shared" si="96"/>
        <v>0.31545510637434571</v>
      </c>
      <c r="AF461">
        <f t="shared" si="97"/>
        <v>5.1448005734611897E-2</v>
      </c>
      <c r="AG461">
        <f t="shared" si="104"/>
        <v>1.1663384582799374</v>
      </c>
      <c r="AH461">
        <v>0.41334242799127174</v>
      </c>
      <c r="AI461">
        <v>0.65533932628667391</v>
      </c>
      <c r="AJ461">
        <v>6.4109790311650969E-2</v>
      </c>
      <c r="AK461">
        <v>2.0303751437785046E-2</v>
      </c>
      <c r="AL461">
        <v>0.59330267514668078</v>
      </c>
    </row>
    <row r="462" spans="1:38" x14ac:dyDescent="0.25">
      <c r="A462">
        <v>15</v>
      </c>
      <c r="B462" s="5" t="s">
        <v>14</v>
      </c>
      <c r="C462" s="6" t="s">
        <v>5</v>
      </c>
      <c r="D462" s="6" t="s">
        <v>62</v>
      </c>
      <c r="E462" s="28">
        <v>92068.7</v>
      </c>
      <c r="F462" s="11">
        <v>27</v>
      </c>
      <c r="G462" s="11">
        <v>19</v>
      </c>
      <c r="H462" s="11">
        <f t="shared" si="100"/>
        <v>8</v>
      </c>
      <c r="I462" s="18">
        <v>1</v>
      </c>
      <c r="J462" s="19">
        <v>-2.932551319648094E-2</v>
      </c>
      <c r="K462" s="19">
        <v>1.9</v>
      </c>
      <c r="L462" s="6">
        <v>3818787.5</v>
      </c>
      <c r="M462" s="7">
        <v>18617428</v>
      </c>
      <c r="N462" s="7">
        <v>833304.75</v>
      </c>
      <c r="O462" s="7">
        <v>44441260</v>
      </c>
      <c r="P462" s="7">
        <v>41631.8125</v>
      </c>
      <c r="Q462" s="7">
        <v>34444.7265625</v>
      </c>
      <c r="R462" s="7">
        <v>25172002</v>
      </c>
      <c r="S462" s="7">
        <v>4268707</v>
      </c>
      <c r="T462" s="31">
        <f t="shared" si="101"/>
        <v>9722.7565789062501</v>
      </c>
      <c r="U462" s="37">
        <v>8245</v>
      </c>
      <c r="V462">
        <f t="shared" si="102"/>
        <v>1.1792306341911765</v>
      </c>
      <c r="W462">
        <f t="shared" si="99"/>
        <v>1.1053546095231933E-2</v>
      </c>
      <c r="X462" s="28">
        <v>8233.8666666666668</v>
      </c>
      <c r="Y462">
        <f t="shared" si="103"/>
        <v>4.631640388114009E-2</v>
      </c>
      <c r="Z462">
        <f t="shared" si="91"/>
        <v>0.22580264402668285</v>
      </c>
      <c r="AA462">
        <f t="shared" si="92"/>
        <v>1.0106788963007884E-2</v>
      </c>
      <c r="AB462">
        <f t="shared" si="93"/>
        <v>0.53900861127956345</v>
      </c>
      <c r="AC462">
        <f t="shared" si="94"/>
        <v>5.0493405093996358E-4</v>
      </c>
      <c r="AD462">
        <f t="shared" si="95"/>
        <v>4.1776502804730136E-4</v>
      </c>
      <c r="AE462">
        <f t="shared" si="96"/>
        <v>0.30530020618556702</v>
      </c>
      <c r="AF462">
        <f t="shared" si="97"/>
        <v>5.177328077622801E-2</v>
      </c>
      <c r="AG462">
        <f t="shared" si="104"/>
        <v>1.1792306341911767</v>
      </c>
      <c r="AH462">
        <v>0.41334242799127174</v>
      </c>
      <c r="AI462">
        <v>0.65533932628667391</v>
      </c>
      <c r="AJ462">
        <v>6.4109790311650969E-2</v>
      </c>
      <c r="AK462">
        <v>2.0303751437785046E-2</v>
      </c>
      <c r="AL462">
        <v>0.59330267514668078</v>
      </c>
    </row>
    <row r="463" spans="1:38" x14ac:dyDescent="0.25">
      <c r="A463">
        <v>15</v>
      </c>
      <c r="B463" s="5" t="s">
        <v>14</v>
      </c>
      <c r="C463" s="6" t="s">
        <v>5</v>
      </c>
      <c r="D463" s="6" t="s">
        <v>63</v>
      </c>
      <c r="E463" s="28">
        <v>92068.7</v>
      </c>
      <c r="F463" s="11">
        <v>28</v>
      </c>
      <c r="G463" s="11">
        <v>19</v>
      </c>
      <c r="H463" s="11">
        <f t="shared" si="100"/>
        <v>9</v>
      </c>
      <c r="I463" s="18">
        <v>1</v>
      </c>
      <c r="J463" s="19">
        <v>-2.932551319648094E-2</v>
      </c>
      <c r="K463" s="19">
        <v>1.9</v>
      </c>
      <c r="L463" s="6">
        <v>3785246.5</v>
      </c>
      <c r="M463" s="7">
        <v>19431002</v>
      </c>
      <c r="N463" s="7">
        <v>1495943</v>
      </c>
      <c r="O463" s="7">
        <v>38799184</v>
      </c>
      <c r="P463" s="7">
        <v>41631.8125</v>
      </c>
      <c r="Q463" s="7">
        <v>96417.3203125</v>
      </c>
      <c r="R463" s="7">
        <v>26278168</v>
      </c>
      <c r="S463" s="7">
        <v>4339863</v>
      </c>
      <c r="T463" s="31">
        <f t="shared" si="101"/>
        <v>9426.7455632812507</v>
      </c>
      <c r="U463" s="37">
        <v>8151.4444444444443</v>
      </c>
      <c r="V463">
        <f t="shared" si="102"/>
        <v>1.1564509367055771</v>
      </c>
      <c r="W463">
        <f t="shared" si="99"/>
        <v>-1.9317423432799276E-2</v>
      </c>
      <c r="X463" s="28">
        <v>8608.1833333333343</v>
      </c>
      <c r="Y463">
        <f t="shared" si="103"/>
        <v>4.643651227457983E-2</v>
      </c>
      <c r="Z463">
        <f t="shared" si="91"/>
        <v>0.23837495467742598</v>
      </c>
      <c r="AA463">
        <f t="shared" si="92"/>
        <v>1.8351876286411405E-2</v>
      </c>
      <c r="AB463">
        <f t="shared" si="93"/>
        <v>0.47597924839496747</v>
      </c>
      <c r="AC463">
        <f t="shared" si="94"/>
        <v>5.1072926747815662E-4</v>
      </c>
      <c r="AD463">
        <f t="shared" si="95"/>
        <v>1.1828249700973244E-3</v>
      </c>
      <c r="AE463">
        <f t="shared" si="96"/>
        <v>0.32237437400324415</v>
      </c>
      <c r="AF463">
        <f t="shared" si="97"/>
        <v>5.3240416831372761E-2</v>
      </c>
      <c r="AG463">
        <f t="shared" si="104"/>
        <v>1.1564509367055771</v>
      </c>
      <c r="AH463">
        <v>0.41334242799127174</v>
      </c>
      <c r="AI463">
        <v>0.65533932628667391</v>
      </c>
      <c r="AJ463">
        <v>6.4109790311650969E-2</v>
      </c>
      <c r="AK463">
        <v>2.0303751437785046E-2</v>
      </c>
      <c r="AL463">
        <v>0.59330267514668078</v>
      </c>
    </row>
    <row r="464" spans="1:38" x14ac:dyDescent="0.25">
      <c r="A464">
        <v>15</v>
      </c>
      <c r="B464" s="5" t="s">
        <v>14</v>
      </c>
      <c r="C464" s="6" t="s">
        <v>5</v>
      </c>
      <c r="D464" s="6" t="s">
        <v>64</v>
      </c>
      <c r="E464" s="28">
        <v>92068.7</v>
      </c>
      <c r="F464" s="11">
        <v>29</v>
      </c>
      <c r="G464" s="11">
        <v>19</v>
      </c>
      <c r="H464" s="11">
        <f t="shared" si="100"/>
        <v>10</v>
      </c>
      <c r="I464" s="18">
        <v>1</v>
      </c>
      <c r="J464" s="19">
        <v>-2.932551319648094E-2</v>
      </c>
      <c r="K464" s="19">
        <v>1.9</v>
      </c>
      <c r="L464" s="6">
        <v>3935125.5</v>
      </c>
      <c r="M464" s="7">
        <v>19998666</v>
      </c>
      <c r="N464" s="7">
        <v>3406797</v>
      </c>
      <c r="O464" s="7">
        <v>38183176</v>
      </c>
      <c r="P464" s="7">
        <v>41631.8125</v>
      </c>
      <c r="Q464" s="7">
        <v>132979.5625</v>
      </c>
      <c r="R464" s="7">
        <v>27041792</v>
      </c>
      <c r="S464" s="7">
        <v>4486307.5</v>
      </c>
      <c r="T464" s="31">
        <f t="shared" si="101"/>
        <v>9722.6475375000009</v>
      </c>
      <c r="U464" s="37">
        <v>8057.8888888888878</v>
      </c>
      <c r="V464">
        <f t="shared" si="102"/>
        <v>1.2065998515947107</v>
      </c>
      <c r="W464">
        <f t="shared" si="99"/>
        <v>4.3364498481876491E-2</v>
      </c>
      <c r="X464" s="28">
        <v>8982.5</v>
      </c>
      <c r="Y464">
        <f t="shared" si="103"/>
        <v>4.8835688283393783E-2</v>
      </c>
      <c r="Z464">
        <f t="shared" si="91"/>
        <v>0.24818741330097491</v>
      </c>
      <c r="AA464">
        <f t="shared" si="92"/>
        <v>4.2279026764661276E-2</v>
      </c>
      <c r="AB464">
        <f t="shared" si="93"/>
        <v>0.47386079066753084</v>
      </c>
      <c r="AC464">
        <f t="shared" si="94"/>
        <v>5.1665905392920685E-4</v>
      </c>
      <c r="AD464">
        <f t="shared" si="95"/>
        <v>1.6503027571324171E-3</v>
      </c>
      <c r="AE464">
        <f t="shared" si="96"/>
        <v>0.33559400449524968</v>
      </c>
      <c r="AF464">
        <f t="shared" si="97"/>
        <v>5.567596627183851E-2</v>
      </c>
      <c r="AG464">
        <f t="shared" si="104"/>
        <v>1.2065998515947105</v>
      </c>
      <c r="AH464">
        <v>0.41334242799127174</v>
      </c>
      <c r="AI464">
        <v>0.65533932628667391</v>
      </c>
      <c r="AJ464">
        <v>6.4109790311650969E-2</v>
      </c>
      <c r="AK464">
        <v>2.0303751437785046E-2</v>
      </c>
      <c r="AL464">
        <v>0.59330267514668078</v>
      </c>
    </row>
    <row r="465" spans="1:38" x14ac:dyDescent="0.25">
      <c r="A465">
        <v>15</v>
      </c>
      <c r="B465" s="5" t="s">
        <v>14</v>
      </c>
      <c r="C465" s="6" t="s">
        <v>5</v>
      </c>
      <c r="D465" s="6" t="s">
        <v>65</v>
      </c>
      <c r="E465" s="28">
        <v>92068.7</v>
      </c>
      <c r="F465" s="11">
        <v>30</v>
      </c>
      <c r="G465" s="11">
        <v>19</v>
      </c>
      <c r="H465" s="11">
        <f t="shared" si="100"/>
        <v>11</v>
      </c>
      <c r="I465" s="18">
        <v>1</v>
      </c>
      <c r="J465" s="19">
        <v>-2.932551319648094E-2</v>
      </c>
      <c r="K465" s="19">
        <v>1.9</v>
      </c>
      <c r="L465" s="6">
        <v>3906528.5</v>
      </c>
      <c r="M465" s="7">
        <v>19930438</v>
      </c>
      <c r="N465" s="7">
        <v>5033352</v>
      </c>
      <c r="O465" s="7">
        <v>40782536</v>
      </c>
      <c r="P465" s="7">
        <v>41631.8125</v>
      </c>
      <c r="Q465" s="7">
        <v>87753.3515625</v>
      </c>
      <c r="R465" s="7">
        <v>26955224</v>
      </c>
      <c r="S465" s="7">
        <v>4430317.5</v>
      </c>
      <c r="T465" s="31">
        <f t="shared" si="101"/>
        <v>10116.778116406251</v>
      </c>
      <c r="U465" s="37">
        <v>7964.333333333333</v>
      </c>
      <c r="V465">
        <f t="shared" si="102"/>
        <v>1.2702605093215065</v>
      </c>
      <c r="W465">
        <f t="shared" si="99"/>
        <v>5.2760372581397395E-2</v>
      </c>
      <c r="X465" s="28">
        <v>9356.8166666666657</v>
      </c>
      <c r="Y465">
        <f t="shared" si="103"/>
        <v>4.9050288787510984E-2</v>
      </c>
      <c r="Z465">
        <f t="shared" si="91"/>
        <v>0.25024615577784287</v>
      </c>
      <c r="AA465">
        <f t="shared" si="92"/>
        <v>6.3198660695601219E-2</v>
      </c>
      <c r="AB465">
        <f t="shared" si="93"/>
        <v>0.51206465491985098</v>
      </c>
      <c r="AC465">
        <f t="shared" si="94"/>
        <v>5.2272815259699502E-4</v>
      </c>
      <c r="AD465">
        <f t="shared" si="95"/>
        <v>1.1018292164546102E-3</v>
      </c>
      <c r="AE465">
        <f t="shared" si="96"/>
        <v>0.33844921943665507</v>
      </c>
      <c r="AF465">
        <f t="shared" si="97"/>
        <v>5.5626972334993516E-2</v>
      </c>
      <c r="AG465">
        <f t="shared" si="104"/>
        <v>1.2702605093215062</v>
      </c>
      <c r="AH465">
        <v>0.41334242799127174</v>
      </c>
      <c r="AI465">
        <v>0.65533932628667391</v>
      </c>
      <c r="AJ465">
        <v>6.4109790311650969E-2</v>
      </c>
      <c r="AK465">
        <v>2.0303751437785046E-2</v>
      </c>
      <c r="AL465">
        <v>0.59330267514668078</v>
      </c>
    </row>
    <row r="466" spans="1:38" x14ac:dyDescent="0.25">
      <c r="A466">
        <v>15</v>
      </c>
      <c r="B466" s="5" t="s">
        <v>14</v>
      </c>
      <c r="C466" s="6" t="s">
        <v>5</v>
      </c>
      <c r="D466" s="6" t="s">
        <v>66</v>
      </c>
      <c r="E466" s="28">
        <v>92068.7</v>
      </c>
      <c r="F466" s="11">
        <v>31</v>
      </c>
      <c r="G466" s="11">
        <v>19</v>
      </c>
      <c r="H466" s="11">
        <f t="shared" si="100"/>
        <v>12</v>
      </c>
      <c r="I466" s="18">
        <v>1</v>
      </c>
      <c r="J466" s="19">
        <v>-2.932551319648094E-2</v>
      </c>
      <c r="K466" s="19">
        <v>1.9</v>
      </c>
      <c r="L466" s="6">
        <v>3904124.5</v>
      </c>
      <c r="M466" s="7">
        <v>20112592</v>
      </c>
      <c r="N466" s="7">
        <v>7635143.5</v>
      </c>
      <c r="O466" s="7">
        <v>45491272</v>
      </c>
      <c r="P466" s="7">
        <v>41651.796875</v>
      </c>
      <c r="Q466" s="7">
        <v>41374.3125</v>
      </c>
      <c r="R466" s="7">
        <v>27208154</v>
      </c>
      <c r="S466" s="7">
        <v>4275391</v>
      </c>
      <c r="T466" s="31">
        <f t="shared" si="101"/>
        <v>10870.9703109375</v>
      </c>
      <c r="U466" s="37">
        <v>7870.7777777777783</v>
      </c>
      <c r="V466">
        <f t="shared" si="102"/>
        <v>1.3811812018921961</v>
      </c>
      <c r="W466">
        <f t="shared" si="99"/>
        <v>8.7321216204648028E-2</v>
      </c>
      <c r="X466" s="28">
        <v>9731.133333333335</v>
      </c>
      <c r="Y466">
        <f t="shared" si="103"/>
        <v>4.9602778914973812E-2</v>
      </c>
      <c r="Z466">
        <f t="shared" ref="Z466:Z529" si="105">M466/$U466/10000</f>
        <v>0.25553500007058455</v>
      </c>
      <c r="AA466">
        <f t="shared" ref="AA466:AA529" si="106">N466/$U466/10000</f>
        <v>9.7006213560709792E-2</v>
      </c>
      <c r="AB466">
        <f t="shared" ref="AB466:AB529" si="107">O466/$U466/10000</f>
        <v>0.57797683131696709</v>
      </c>
      <c r="AC466">
        <f t="shared" ref="AC466:AC529" si="108">P466/$U466/10000</f>
        <v>5.2919543723619006E-4</v>
      </c>
      <c r="AD466">
        <f t="shared" ref="AD466:AD529" si="109">Q466/$U466/10000</f>
        <v>5.2566993590919995E-4</v>
      </c>
      <c r="AE466">
        <f t="shared" ref="AE466:AE529" si="110">R466/$U466/10000</f>
        <v>0.34568570944562865</v>
      </c>
      <c r="AF466">
        <f t="shared" ref="AF466:AF529" si="111">S466/$U466/10000</f>
        <v>5.4319803210186764E-2</v>
      </c>
      <c r="AG466">
        <f t="shared" si="104"/>
        <v>1.3811812018921961</v>
      </c>
      <c r="AH466">
        <v>0.41334242799127174</v>
      </c>
      <c r="AI466">
        <v>0.65533932628667391</v>
      </c>
      <c r="AJ466">
        <v>6.4109790311650969E-2</v>
      </c>
      <c r="AK466">
        <v>2.0303751437785046E-2</v>
      </c>
      <c r="AL466">
        <v>0.59330267514668078</v>
      </c>
    </row>
    <row r="467" spans="1:38" x14ac:dyDescent="0.25">
      <c r="A467">
        <v>16</v>
      </c>
      <c r="B467" s="5" t="s">
        <v>22</v>
      </c>
      <c r="C467" s="6" t="s">
        <v>5</v>
      </c>
      <c r="D467" s="6" t="s">
        <v>36</v>
      </c>
      <c r="E467" s="28">
        <v>58887.405299999999</v>
      </c>
      <c r="F467" s="11">
        <v>1</v>
      </c>
      <c r="G467" s="11">
        <v>21</v>
      </c>
      <c r="H467" s="18">
        <f t="shared" si="100"/>
        <v>-20</v>
      </c>
      <c r="I467" s="18">
        <v>1</v>
      </c>
      <c r="J467" s="19">
        <v>0.9296187683284457</v>
      </c>
      <c r="K467" s="19">
        <v>1.1000000000000001</v>
      </c>
      <c r="L467" s="14">
        <v>23105984</v>
      </c>
      <c r="M467" s="16">
        <v>10421274</v>
      </c>
      <c r="N467" s="16">
        <v>3609195.25</v>
      </c>
      <c r="O467" s="16">
        <v>15236926</v>
      </c>
      <c r="P467" s="16">
        <v>17581.62890625</v>
      </c>
      <c r="Q467" s="16">
        <v>44999.09375</v>
      </c>
      <c r="R467" s="16">
        <v>1526113.125</v>
      </c>
      <c r="S467" s="16">
        <v>3593224.25</v>
      </c>
      <c r="T467" s="31">
        <f t="shared" si="101"/>
        <v>5755.5297347656251</v>
      </c>
      <c r="U467" s="37"/>
      <c r="X467" s="28">
        <v>4680.4524999999994</v>
      </c>
      <c r="Y467" t="e">
        <f t="shared" si="103"/>
        <v>#DIV/0!</v>
      </c>
      <c r="Z467" t="e">
        <f t="shared" si="105"/>
        <v>#DIV/0!</v>
      </c>
      <c r="AA467" t="e">
        <f t="shared" si="106"/>
        <v>#DIV/0!</v>
      </c>
      <c r="AB467" t="e">
        <f t="shared" si="107"/>
        <v>#DIV/0!</v>
      </c>
      <c r="AC467" t="e">
        <f t="shared" si="108"/>
        <v>#DIV/0!</v>
      </c>
      <c r="AD467" t="e">
        <f t="shared" si="109"/>
        <v>#DIV/0!</v>
      </c>
      <c r="AE467" t="e">
        <f t="shared" si="110"/>
        <v>#DIV/0!</v>
      </c>
      <c r="AF467" t="e">
        <f t="shared" si="111"/>
        <v>#DIV/0!</v>
      </c>
      <c r="AG467" t="e">
        <f t="shared" si="104"/>
        <v>#DIV/0!</v>
      </c>
      <c r="AH467">
        <v>0.38329078832753394</v>
      </c>
      <c r="AI467">
        <v>0.56450470504907413</v>
      </c>
      <c r="AJ467">
        <v>5.9656895885648056E-2</v>
      </c>
      <c r="AK467">
        <v>1.2974135914254658E-2</v>
      </c>
      <c r="AL467">
        <v>0.44499089867532543</v>
      </c>
    </row>
    <row r="468" spans="1:38" x14ac:dyDescent="0.25">
      <c r="A468">
        <v>16</v>
      </c>
      <c r="B468" s="5" t="s">
        <v>22</v>
      </c>
      <c r="C468" s="6" t="s">
        <v>5</v>
      </c>
      <c r="D468" s="6" t="s">
        <v>37</v>
      </c>
      <c r="E468" s="28">
        <v>58887.405299999999</v>
      </c>
      <c r="F468" s="11">
        <v>2</v>
      </c>
      <c r="G468" s="11">
        <v>21</v>
      </c>
      <c r="H468" s="11">
        <f t="shared" si="100"/>
        <v>-19</v>
      </c>
      <c r="I468" s="18">
        <v>1</v>
      </c>
      <c r="J468" s="19">
        <v>0.9296187683284457</v>
      </c>
      <c r="K468" s="19">
        <v>1.1000000000000001</v>
      </c>
      <c r="L468" s="6">
        <v>25097654</v>
      </c>
      <c r="M468" s="7">
        <v>10006120</v>
      </c>
      <c r="N468" s="7">
        <v>3609195.25</v>
      </c>
      <c r="O468" s="7">
        <v>14625927</v>
      </c>
      <c r="P468" s="7">
        <v>17581.62890625</v>
      </c>
      <c r="Q468" s="7">
        <v>26513.013671875</v>
      </c>
      <c r="R468" s="7">
        <v>1541116.25</v>
      </c>
      <c r="S468" s="7">
        <v>3520345</v>
      </c>
      <c r="T468" s="31">
        <f t="shared" si="101"/>
        <v>5844.4452142578129</v>
      </c>
      <c r="U468" s="37">
        <v>5026.666666666667</v>
      </c>
      <c r="V468">
        <f t="shared" si="102"/>
        <v>1.1626880399717134</v>
      </c>
      <c r="W468" t="e">
        <f>(V468-V467)/V467</f>
        <v>#DIV/0!</v>
      </c>
      <c r="X468" s="28">
        <v>4998.1191666666673</v>
      </c>
      <c r="Y468">
        <f t="shared" si="103"/>
        <v>0.49929019893899201</v>
      </c>
      <c r="Z468">
        <f t="shared" si="105"/>
        <v>0.19906074270557028</v>
      </c>
      <c r="AA468">
        <f t="shared" si="106"/>
        <v>7.1800966511936334E-2</v>
      </c>
      <c r="AB468">
        <f t="shared" si="107"/>
        <v>0.29096671750663128</v>
      </c>
      <c r="AC468">
        <f t="shared" si="108"/>
        <v>3.4976715330736069E-4</v>
      </c>
      <c r="AD468">
        <f t="shared" si="109"/>
        <v>5.2744722158902513E-4</v>
      </c>
      <c r="AE468">
        <f t="shared" si="110"/>
        <v>3.0658811339522543E-2</v>
      </c>
      <c r="AF468">
        <f t="shared" si="111"/>
        <v>7.0033388594164456E-2</v>
      </c>
      <c r="AG468">
        <f t="shared" si="104"/>
        <v>1.1626880399717132</v>
      </c>
      <c r="AH468">
        <v>0.38329078832753394</v>
      </c>
      <c r="AI468">
        <v>0.56450470504907413</v>
      </c>
      <c r="AJ468">
        <v>5.9656895885648056E-2</v>
      </c>
      <c r="AK468">
        <v>1.2974135914254658E-2</v>
      </c>
      <c r="AL468">
        <v>0.44499089867532543</v>
      </c>
    </row>
    <row r="469" spans="1:38" x14ac:dyDescent="0.25">
      <c r="A469">
        <v>16</v>
      </c>
      <c r="B469" s="5" t="s">
        <v>22</v>
      </c>
      <c r="C469" s="6" t="s">
        <v>5</v>
      </c>
      <c r="D469" s="6" t="s">
        <v>38</v>
      </c>
      <c r="E469" s="28">
        <v>58887.405299999999</v>
      </c>
      <c r="F469" s="11">
        <v>3</v>
      </c>
      <c r="G469" s="11">
        <v>21</v>
      </c>
      <c r="H469" s="11">
        <f t="shared" si="100"/>
        <v>-18</v>
      </c>
      <c r="I469" s="18">
        <v>1</v>
      </c>
      <c r="J469" s="19">
        <v>0.9296187683284457</v>
      </c>
      <c r="K469" s="19">
        <v>1.1000000000000001</v>
      </c>
      <c r="L469" s="6">
        <v>25087892</v>
      </c>
      <c r="M469" s="7">
        <v>9720095</v>
      </c>
      <c r="N469" s="7">
        <v>3609195.25</v>
      </c>
      <c r="O469" s="7">
        <v>14208262</v>
      </c>
      <c r="P469" s="7">
        <v>17581.62890625</v>
      </c>
      <c r="Q469" s="7">
        <v>37215.8828125</v>
      </c>
      <c r="R469" s="7">
        <v>1490943.375</v>
      </c>
      <c r="S469" s="7">
        <v>3556993.25</v>
      </c>
      <c r="T469" s="31">
        <f t="shared" si="101"/>
        <v>5772.8178386718746</v>
      </c>
      <c r="U469" s="37">
        <v>4962.666666666667</v>
      </c>
      <c r="V469">
        <f t="shared" si="102"/>
        <v>1.163249161473376</v>
      </c>
      <c r="W469">
        <f t="shared" ref="W469:W497" si="112">(V469-V468)/V468</f>
        <v>4.8260709869879964E-4</v>
      </c>
      <c r="X469" s="28">
        <v>5315.7858333333334</v>
      </c>
      <c r="Y469">
        <f t="shared" si="103"/>
        <v>0.50553248253627081</v>
      </c>
      <c r="Z469">
        <f t="shared" si="105"/>
        <v>0.19586435384202042</v>
      </c>
      <c r="AA469">
        <f t="shared" si="106"/>
        <v>7.2726932764642663E-2</v>
      </c>
      <c r="AB469">
        <f t="shared" si="107"/>
        <v>0.28630296883396023</v>
      </c>
      <c r="AC469">
        <f t="shared" si="108"/>
        <v>3.5427785275893336E-4</v>
      </c>
      <c r="AD469">
        <f t="shared" si="109"/>
        <v>7.4991703679137562E-4</v>
      </c>
      <c r="AE469">
        <f t="shared" si="110"/>
        <v>3.0043189985222995E-2</v>
      </c>
      <c r="AF469">
        <f t="shared" si="111"/>
        <v>7.167503862170875E-2</v>
      </c>
      <c r="AG469">
        <f t="shared" si="104"/>
        <v>1.163249161473376</v>
      </c>
      <c r="AH469">
        <v>0.38329078832753394</v>
      </c>
      <c r="AI469">
        <v>0.56450470504907413</v>
      </c>
      <c r="AJ469">
        <v>5.9656895885648056E-2</v>
      </c>
      <c r="AK469">
        <v>1.2974135914254658E-2</v>
      </c>
      <c r="AL469">
        <v>0.44499089867532543</v>
      </c>
    </row>
    <row r="470" spans="1:38" x14ac:dyDescent="0.25">
      <c r="A470">
        <v>16</v>
      </c>
      <c r="B470" s="5" t="s">
        <v>22</v>
      </c>
      <c r="C470" s="6" t="s">
        <v>5</v>
      </c>
      <c r="D470" s="6" t="s">
        <v>39</v>
      </c>
      <c r="E470" s="28">
        <v>58887.405299999999</v>
      </c>
      <c r="F470" s="11">
        <v>4</v>
      </c>
      <c r="G470" s="11">
        <v>21</v>
      </c>
      <c r="H470" s="11">
        <f t="shared" si="100"/>
        <v>-17</v>
      </c>
      <c r="I470" s="18">
        <v>1</v>
      </c>
      <c r="J470" s="19">
        <v>0.9296187683284457</v>
      </c>
      <c r="K470" s="19">
        <v>1.1000000000000001</v>
      </c>
      <c r="L470" s="6">
        <v>23844724</v>
      </c>
      <c r="M470" s="7">
        <v>10144554</v>
      </c>
      <c r="N470" s="7">
        <v>3609195.25</v>
      </c>
      <c r="O470" s="7">
        <v>14830990</v>
      </c>
      <c r="P470" s="7">
        <v>17581.62890625</v>
      </c>
      <c r="Q470" s="7">
        <v>104049.171875</v>
      </c>
      <c r="R470" s="7">
        <v>1475673.125</v>
      </c>
      <c r="S470" s="7">
        <v>3620063.5</v>
      </c>
      <c r="T470" s="31">
        <f t="shared" si="101"/>
        <v>5764.6830675781248</v>
      </c>
      <c r="U470" s="37">
        <v>4932.8888888888896</v>
      </c>
      <c r="V470">
        <f t="shared" si="102"/>
        <v>1.1686221192946011</v>
      </c>
      <c r="W470">
        <f t="shared" si="112"/>
        <v>4.6189225826904923E-3</v>
      </c>
      <c r="X470" s="28">
        <v>5633.4524999999994</v>
      </c>
      <c r="Y470">
        <f t="shared" si="103"/>
        <v>0.48338254797729513</v>
      </c>
      <c r="Z470">
        <f t="shared" si="105"/>
        <v>0.20565137850256779</v>
      </c>
      <c r="AA470">
        <f t="shared" si="106"/>
        <v>7.3165954703126396E-2</v>
      </c>
      <c r="AB470">
        <f t="shared" si="107"/>
        <v>0.30065526173529145</v>
      </c>
      <c r="AC470">
        <f t="shared" si="108"/>
        <v>3.5641647931401472E-4</v>
      </c>
      <c r="AD470">
        <f t="shared" si="109"/>
        <v>2.109294861868186E-3</v>
      </c>
      <c r="AE470">
        <f t="shared" si="110"/>
        <v>2.991498811829894E-2</v>
      </c>
      <c r="AF470">
        <f t="shared" si="111"/>
        <v>7.3386276916839341E-2</v>
      </c>
      <c r="AG470">
        <f t="shared" si="104"/>
        <v>1.1686221192946011</v>
      </c>
      <c r="AH470">
        <v>0.38329078832753394</v>
      </c>
      <c r="AI470">
        <v>0.56450470504907413</v>
      </c>
      <c r="AJ470">
        <v>5.9656895885648056E-2</v>
      </c>
      <c r="AK470">
        <v>1.2974135914254658E-2</v>
      </c>
      <c r="AL470">
        <v>0.44499089867532543</v>
      </c>
    </row>
    <row r="471" spans="1:38" x14ac:dyDescent="0.25">
      <c r="A471">
        <v>16</v>
      </c>
      <c r="B471" s="5" t="s">
        <v>22</v>
      </c>
      <c r="C471" s="6" t="s">
        <v>5</v>
      </c>
      <c r="D471" s="6" t="s">
        <v>40</v>
      </c>
      <c r="E471" s="28">
        <v>58887.405299999999</v>
      </c>
      <c r="F471" s="11">
        <v>5</v>
      </c>
      <c r="G471" s="11">
        <v>21</v>
      </c>
      <c r="H471" s="11">
        <f t="shared" si="100"/>
        <v>-16</v>
      </c>
      <c r="I471" s="18">
        <v>1</v>
      </c>
      <c r="J471" s="19">
        <v>0.9296187683284457</v>
      </c>
      <c r="K471" s="19">
        <v>1.1000000000000001</v>
      </c>
      <c r="L471" s="6">
        <v>27020984</v>
      </c>
      <c r="M471" s="7">
        <v>10439738</v>
      </c>
      <c r="N471" s="7">
        <v>3609195.25</v>
      </c>
      <c r="O471" s="7">
        <v>15259036</v>
      </c>
      <c r="P471" s="7">
        <v>17581.62890625</v>
      </c>
      <c r="Q471" s="7">
        <v>143510.8125</v>
      </c>
      <c r="R471" s="7">
        <v>1543454.875</v>
      </c>
      <c r="S471" s="7">
        <v>3747596</v>
      </c>
      <c r="T471" s="31">
        <f t="shared" si="101"/>
        <v>6178.109656640625</v>
      </c>
      <c r="U471" s="37">
        <v>4903.1111111111104</v>
      </c>
      <c r="V471">
        <f t="shared" si="102"/>
        <v>1.260038680877575</v>
      </c>
      <c r="W471">
        <f t="shared" si="112"/>
        <v>7.8225938114327612E-2</v>
      </c>
      <c r="X471" s="28">
        <v>5951.1191666666673</v>
      </c>
      <c r="Y471">
        <f t="shared" si="103"/>
        <v>0.55109874909354617</v>
      </c>
      <c r="Z471">
        <f t="shared" si="105"/>
        <v>0.21292068981145762</v>
      </c>
      <c r="AA471">
        <f t="shared" si="106"/>
        <v>7.3610309214104441E-2</v>
      </c>
      <c r="AB471">
        <f t="shared" si="107"/>
        <v>0.31121130348078324</v>
      </c>
      <c r="AC471">
        <f t="shared" si="108"/>
        <v>3.5858108266010246E-4</v>
      </c>
      <c r="AD471">
        <f t="shared" si="109"/>
        <v>2.9269337212200872E-3</v>
      </c>
      <c r="AE471">
        <f t="shared" si="110"/>
        <v>3.1479092356327058E-2</v>
      </c>
      <c r="AF471">
        <f t="shared" si="111"/>
        <v>7.6433022117476448E-2</v>
      </c>
      <c r="AG471">
        <f t="shared" si="104"/>
        <v>1.2600386808775752</v>
      </c>
      <c r="AH471">
        <v>0.38329078832753394</v>
      </c>
      <c r="AI471">
        <v>0.56450470504907413</v>
      </c>
      <c r="AJ471">
        <v>5.9656895885648056E-2</v>
      </c>
      <c r="AK471">
        <v>1.2974135914254658E-2</v>
      </c>
      <c r="AL471">
        <v>0.44499089867532543</v>
      </c>
    </row>
    <row r="472" spans="1:38" x14ac:dyDescent="0.25">
      <c r="A472">
        <v>16</v>
      </c>
      <c r="B472" s="5" t="s">
        <v>22</v>
      </c>
      <c r="C472" s="6" t="s">
        <v>5</v>
      </c>
      <c r="D472" s="6" t="s">
        <v>41</v>
      </c>
      <c r="E472" s="28">
        <v>58887.405299999999</v>
      </c>
      <c r="F472" s="11">
        <v>6</v>
      </c>
      <c r="G472" s="11">
        <v>21</v>
      </c>
      <c r="H472" s="11">
        <f t="shared" si="100"/>
        <v>-15</v>
      </c>
      <c r="I472" s="18">
        <v>1</v>
      </c>
      <c r="J472" s="19">
        <v>0.9296187683284457</v>
      </c>
      <c r="K472" s="19">
        <v>1.1000000000000001</v>
      </c>
      <c r="L472" s="6">
        <v>28547280</v>
      </c>
      <c r="M472" s="7">
        <v>10402439</v>
      </c>
      <c r="N472" s="7">
        <v>3609195.25</v>
      </c>
      <c r="O472" s="7">
        <v>15208491</v>
      </c>
      <c r="P472" s="7">
        <v>17581.62890625</v>
      </c>
      <c r="Q472" s="7">
        <v>94715.375</v>
      </c>
      <c r="R472" s="7">
        <v>1530393.625</v>
      </c>
      <c r="S472" s="7">
        <v>3700148.25</v>
      </c>
      <c r="T472" s="31">
        <f t="shared" si="101"/>
        <v>6311.0244128906252</v>
      </c>
      <c r="U472" s="37">
        <v>4873.333333333333</v>
      </c>
      <c r="V472">
        <f t="shared" si="102"/>
        <v>1.2950118494303609</v>
      </c>
      <c r="W472">
        <f t="shared" si="112"/>
        <v>2.7755630905257785E-2</v>
      </c>
      <c r="X472" s="28">
        <v>6268.7858333333334</v>
      </c>
      <c r="Y472">
        <f t="shared" si="103"/>
        <v>0.58578549931600554</v>
      </c>
      <c r="Z472">
        <f t="shared" si="105"/>
        <v>0.21345634062927496</v>
      </c>
      <c r="AA472">
        <f t="shared" si="106"/>
        <v>7.4060094049247613E-2</v>
      </c>
      <c r="AB472">
        <f t="shared" si="107"/>
        <v>0.31207573871409033</v>
      </c>
      <c r="AC472">
        <f t="shared" si="108"/>
        <v>3.6077213897913818E-4</v>
      </c>
      <c r="AD472">
        <f t="shared" si="109"/>
        <v>1.9435439466484268E-3</v>
      </c>
      <c r="AE472">
        <f t="shared" si="110"/>
        <v>3.1403425957592337E-2</v>
      </c>
      <c r="AF472">
        <f t="shared" si="111"/>
        <v>7.5926434678522572E-2</v>
      </c>
      <c r="AG472">
        <f t="shared" si="104"/>
        <v>1.2950118494303611</v>
      </c>
      <c r="AH472">
        <v>0.38329078832753394</v>
      </c>
      <c r="AI472">
        <v>0.56450470504907413</v>
      </c>
      <c r="AJ472">
        <v>5.9656895885648056E-2</v>
      </c>
      <c r="AK472">
        <v>1.2974135914254658E-2</v>
      </c>
      <c r="AL472">
        <v>0.44499089867532543</v>
      </c>
    </row>
    <row r="473" spans="1:38" x14ac:dyDescent="0.25">
      <c r="A473">
        <v>16</v>
      </c>
      <c r="B473" s="5" t="s">
        <v>22</v>
      </c>
      <c r="C473" s="6" t="s">
        <v>5</v>
      </c>
      <c r="D473" s="6" t="s">
        <v>42</v>
      </c>
      <c r="E473" s="28">
        <v>58887.405299999999</v>
      </c>
      <c r="F473" s="11">
        <v>7</v>
      </c>
      <c r="G473" s="11">
        <v>21</v>
      </c>
      <c r="H473" s="11">
        <f t="shared" si="100"/>
        <v>-14</v>
      </c>
      <c r="I473" s="18">
        <v>1</v>
      </c>
      <c r="J473" s="19">
        <v>0.9296187683284457</v>
      </c>
      <c r="K473" s="19">
        <v>1.1000000000000001</v>
      </c>
      <c r="L473" s="6">
        <v>34867256</v>
      </c>
      <c r="M473" s="7">
        <v>10496719</v>
      </c>
      <c r="N473" s="7">
        <v>3610927.75</v>
      </c>
      <c r="O473" s="7">
        <v>15349951</v>
      </c>
      <c r="P473" s="7">
        <v>17590.068359375</v>
      </c>
      <c r="Q473" s="7">
        <v>44597.08984375</v>
      </c>
      <c r="R473" s="7">
        <v>1529097.25</v>
      </c>
      <c r="S473" s="7">
        <v>3565420.25</v>
      </c>
      <c r="T473" s="31">
        <f t="shared" si="101"/>
        <v>6948.1558408203127</v>
      </c>
      <c r="U473" s="37">
        <v>4843.5555555555557</v>
      </c>
      <c r="V473">
        <f t="shared" si="102"/>
        <v>1.4345155663282898</v>
      </c>
      <c r="W473">
        <f t="shared" si="112"/>
        <v>0.10772389222484158</v>
      </c>
      <c r="X473" s="28">
        <v>6586.4524999999994</v>
      </c>
      <c r="Y473">
        <f t="shared" si="103"/>
        <v>0.71986902183886947</v>
      </c>
      <c r="Z473">
        <f t="shared" si="105"/>
        <v>0.21671515645072489</v>
      </c>
      <c r="AA473">
        <f t="shared" si="106"/>
        <v>7.4551178541934299E-2</v>
      </c>
      <c r="AB473">
        <f t="shared" si="107"/>
        <v>0.31691493622683059</v>
      </c>
      <c r="AC473">
        <f t="shared" si="108"/>
        <v>3.631643770287553E-4</v>
      </c>
      <c r="AD473">
        <f t="shared" si="109"/>
        <v>9.2075107495354655E-4</v>
      </c>
      <c r="AE473">
        <f t="shared" si="110"/>
        <v>3.1569726670031197E-2</v>
      </c>
      <c r="AF473">
        <f t="shared" si="111"/>
        <v>7.361163114791705E-2</v>
      </c>
      <c r="AG473">
        <f t="shared" si="104"/>
        <v>1.43451556632829</v>
      </c>
      <c r="AH473">
        <v>0.38329078832753394</v>
      </c>
      <c r="AI473">
        <v>0.56450470504907413</v>
      </c>
      <c r="AJ473">
        <v>5.9656895885648056E-2</v>
      </c>
      <c r="AK473">
        <v>1.2974135914254658E-2</v>
      </c>
      <c r="AL473">
        <v>0.44499089867532543</v>
      </c>
    </row>
    <row r="474" spans="1:38" x14ac:dyDescent="0.25">
      <c r="A474">
        <v>16</v>
      </c>
      <c r="B474" s="5" t="s">
        <v>22</v>
      </c>
      <c r="C474" s="6" t="s">
        <v>5</v>
      </c>
      <c r="D474" s="6" t="s">
        <v>43</v>
      </c>
      <c r="E474" s="28">
        <v>61345.1</v>
      </c>
      <c r="F474" s="11">
        <v>8</v>
      </c>
      <c r="G474" s="11">
        <v>21</v>
      </c>
      <c r="H474" s="18">
        <f t="shared" si="100"/>
        <v>-13</v>
      </c>
      <c r="I474" s="18">
        <v>1</v>
      </c>
      <c r="J474" s="19">
        <v>0.9296187683284457</v>
      </c>
      <c r="K474" s="19">
        <v>1.1000000000000001</v>
      </c>
      <c r="L474" s="14">
        <v>24113596</v>
      </c>
      <c r="M474" s="16">
        <v>9485815</v>
      </c>
      <c r="N474" s="16">
        <v>3586947.5</v>
      </c>
      <c r="O474" s="16">
        <v>14938389</v>
      </c>
      <c r="P474" s="16">
        <v>17982.34375</v>
      </c>
      <c r="Q474" s="16">
        <v>22841.6796875</v>
      </c>
      <c r="R474" s="16">
        <v>1631283.5</v>
      </c>
      <c r="S474" s="16">
        <v>3278836.5</v>
      </c>
      <c r="T474" s="31">
        <f t="shared" si="101"/>
        <v>5707.5691523437499</v>
      </c>
      <c r="U474" s="37">
        <v>4254.1111111111104</v>
      </c>
      <c r="V474">
        <f t="shared" si="102"/>
        <v>1.3416596330632788</v>
      </c>
      <c r="W474">
        <f t="shared" si="112"/>
        <v>-6.4729819211847311E-2</v>
      </c>
      <c r="X474" s="28">
        <v>4783.5233333333344</v>
      </c>
      <c r="Y474">
        <f t="shared" si="103"/>
        <v>0.56683042285893404</v>
      </c>
      <c r="Z474">
        <f t="shared" si="105"/>
        <v>0.22297995403139453</v>
      </c>
      <c r="AA474">
        <f t="shared" si="106"/>
        <v>8.4317202967064561E-2</v>
      </c>
      <c r="AB474">
        <f t="shared" si="107"/>
        <v>0.35115182960273728</v>
      </c>
      <c r="AC474">
        <f t="shared" si="108"/>
        <v>4.2270507940031868E-4</v>
      </c>
      <c r="AD474">
        <f t="shared" si="109"/>
        <v>5.3693190165722061E-4</v>
      </c>
      <c r="AE474">
        <f t="shared" si="110"/>
        <v>3.8346048267035818E-2</v>
      </c>
      <c r="AF474">
        <f t="shared" si="111"/>
        <v>7.7074538355055261E-2</v>
      </c>
      <c r="AG474">
        <f t="shared" si="104"/>
        <v>1.3416596330632793</v>
      </c>
      <c r="AH474">
        <v>0.36062374990015506</v>
      </c>
      <c r="AI474">
        <v>0.57060372771474877</v>
      </c>
      <c r="AJ474">
        <v>5.9590496426501834E-2</v>
      </c>
      <c r="AK474">
        <v>1.3783364930532348E-2</v>
      </c>
      <c r="AL474">
        <v>0.39921572310799075</v>
      </c>
    </row>
    <row r="475" spans="1:38" x14ac:dyDescent="0.25">
      <c r="A475">
        <v>16</v>
      </c>
      <c r="B475" s="5" t="s">
        <v>22</v>
      </c>
      <c r="C475" s="6" t="s">
        <v>5</v>
      </c>
      <c r="D475" s="6" t="s">
        <v>44</v>
      </c>
      <c r="E475" s="28">
        <v>61345.1</v>
      </c>
      <c r="F475" s="11">
        <v>9</v>
      </c>
      <c r="G475" s="11">
        <v>21</v>
      </c>
      <c r="H475" s="11">
        <f t="shared" si="100"/>
        <v>-12</v>
      </c>
      <c r="I475" s="18">
        <v>1</v>
      </c>
      <c r="J475" s="19">
        <v>0.9296187683284457</v>
      </c>
      <c r="K475" s="19">
        <v>1.1000000000000001</v>
      </c>
      <c r="L475" s="6">
        <v>23994110</v>
      </c>
      <c r="M475" s="7">
        <v>9298296</v>
      </c>
      <c r="N475" s="7">
        <v>3586947.5</v>
      </c>
      <c r="O475" s="7">
        <v>14634831</v>
      </c>
      <c r="P475" s="7">
        <v>17982.34375</v>
      </c>
      <c r="Q475" s="7">
        <v>32271.095703125</v>
      </c>
      <c r="R475" s="7">
        <v>1577870.5</v>
      </c>
      <c r="S475" s="7">
        <v>3325000.25</v>
      </c>
      <c r="T475" s="31">
        <f t="shared" si="101"/>
        <v>5646.7308689453121</v>
      </c>
      <c r="U475" s="37">
        <v>4494</v>
      </c>
      <c r="V475">
        <f t="shared" si="102"/>
        <v>1.2565044212161354</v>
      </c>
      <c r="W475">
        <f t="shared" si="112"/>
        <v>-6.3470055853672061E-2</v>
      </c>
      <c r="X475" s="28">
        <v>4795.9150000000009</v>
      </c>
      <c r="Y475">
        <f t="shared" si="103"/>
        <v>0.53391433021806856</v>
      </c>
      <c r="Z475">
        <f t="shared" si="105"/>
        <v>0.20690467289719627</v>
      </c>
      <c r="AA475">
        <f t="shared" si="106"/>
        <v>7.9816366266132616E-2</v>
      </c>
      <c r="AB475">
        <f t="shared" si="107"/>
        <v>0.32565267022696931</v>
      </c>
      <c r="AC475">
        <f t="shared" si="108"/>
        <v>4.001411604361371E-4</v>
      </c>
      <c r="AD475">
        <f t="shared" si="109"/>
        <v>7.1809291729250111E-4</v>
      </c>
      <c r="AE475">
        <f t="shared" si="110"/>
        <v>3.5110603026257237E-2</v>
      </c>
      <c r="AF475">
        <f t="shared" si="111"/>
        <v>7.3987544503782823E-2</v>
      </c>
      <c r="AG475">
        <f t="shared" si="104"/>
        <v>1.2565044212161354</v>
      </c>
      <c r="AH475">
        <v>0.36062374990015506</v>
      </c>
      <c r="AI475">
        <v>0.57060372771474877</v>
      </c>
      <c r="AJ475">
        <v>5.9590496426501834E-2</v>
      </c>
      <c r="AK475">
        <v>1.3783364930532348E-2</v>
      </c>
      <c r="AL475">
        <v>0.39921572310799075</v>
      </c>
    </row>
    <row r="476" spans="1:38" x14ac:dyDescent="0.25">
      <c r="A476">
        <v>16</v>
      </c>
      <c r="B476" s="5" t="s">
        <v>22</v>
      </c>
      <c r="C476" s="6" t="s">
        <v>5</v>
      </c>
      <c r="D476" s="6" t="s">
        <v>45</v>
      </c>
      <c r="E476" s="28">
        <v>61345.1</v>
      </c>
      <c r="F476" s="11">
        <v>10</v>
      </c>
      <c r="G476" s="11">
        <v>21</v>
      </c>
      <c r="H476" s="11">
        <f t="shared" si="100"/>
        <v>-11</v>
      </c>
      <c r="I476" s="18">
        <v>1</v>
      </c>
      <c r="J476" s="19">
        <v>0.9296187683284457</v>
      </c>
      <c r="K476" s="19">
        <v>1.1000000000000001</v>
      </c>
      <c r="L476" s="6">
        <v>27294510</v>
      </c>
      <c r="M476" s="7">
        <v>9652433</v>
      </c>
      <c r="N476" s="7">
        <v>3586947.5</v>
      </c>
      <c r="O476" s="7">
        <v>15196751</v>
      </c>
      <c r="P476" s="7">
        <v>17982.34375</v>
      </c>
      <c r="Q476" s="7">
        <v>92190.1328125</v>
      </c>
      <c r="R476" s="7">
        <v>1560532.875</v>
      </c>
      <c r="S476" s="7">
        <v>3398946</v>
      </c>
      <c r="T476" s="31">
        <f t="shared" si="101"/>
        <v>6080.0292851562499</v>
      </c>
      <c r="U476" s="37">
        <v>4733.8888888888896</v>
      </c>
      <c r="V476">
        <f t="shared" si="102"/>
        <v>1.2843624824881175</v>
      </c>
      <c r="W476">
        <f t="shared" si="112"/>
        <v>2.2171080977987374E-2</v>
      </c>
      <c r="X476" s="28">
        <v>4808.3066666666673</v>
      </c>
      <c r="Y476">
        <f t="shared" si="103"/>
        <v>0.57657690411923479</v>
      </c>
      <c r="Z476">
        <f t="shared" si="105"/>
        <v>0.20390070883699093</v>
      </c>
      <c r="AA476">
        <f t="shared" si="106"/>
        <v>7.5771687595352646E-2</v>
      </c>
      <c r="AB476">
        <f t="shared" si="107"/>
        <v>0.32102044126276258</v>
      </c>
      <c r="AC476">
        <f t="shared" si="108"/>
        <v>3.7986408578805298E-4</v>
      </c>
      <c r="AD476">
        <f t="shared" si="109"/>
        <v>1.94745028825842E-3</v>
      </c>
      <c r="AE476">
        <f t="shared" si="110"/>
        <v>3.2965135254078154E-2</v>
      </c>
      <c r="AF476">
        <f t="shared" si="111"/>
        <v>7.1800291045651915E-2</v>
      </c>
      <c r="AG476">
        <f t="shared" si="104"/>
        <v>1.2843624824881175</v>
      </c>
      <c r="AH476">
        <v>0.36062374990015506</v>
      </c>
      <c r="AI476">
        <v>0.57060372771474877</v>
      </c>
      <c r="AJ476">
        <v>5.9590496426501834E-2</v>
      </c>
      <c r="AK476">
        <v>1.3783364930532348E-2</v>
      </c>
      <c r="AL476">
        <v>0.39921572310799075</v>
      </c>
    </row>
    <row r="477" spans="1:38" x14ac:dyDescent="0.25">
      <c r="A477">
        <v>16</v>
      </c>
      <c r="B477" s="5" t="s">
        <v>22</v>
      </c>
      <c r="C477" s="6" t="s">
        <v>5</v>
      </c>
      <c r="D477" s="6" t="s">
        <v>46</v>
      </c>
      <c r="E477" s="28">
        <v>61345.1</v>
      </c>
      <c r="F477" s="11">
        <v>11</v>
      </c>
      <c r="G477" s="11">
        <v>21</v>
      </c>
      <c r="H477" s="11">
        <f t="shared" si="100"/>
        <v>-10</v>
      </c>
      <c r="I477" s="18">
        <v>1</v>
      </c>
      <c r="J477" s="19">
        <v>0.9296187683284457</v>
      </c>
      <c r="K477" s="19">
        <v>1.1000000000000001</v>
      </c>
      <c r="L477" s="6">
        <v>24688422</v>
      </c>
      <c r="M477" s="7">
        <v>9807121</v>
      </c>
      <c r="N477" s="7">
        <v>3586947.5</v>
      </c>
      <c r="O477" s="7">
        <v>15443187</v>
      </c>
      <c r="P477" s="7">
        <v>17982.34375</v>
      </c>
      <c r="Q477" s="7">
        <v>127069.890625</v>
      </c>
      <c r="R477" s="7">
        <v>1630674.5</v>
      </c>
      <c r="S477" s="7">
        <v>3521344.5</v>
      </c>
      <c r="T477" s="31">
        <f t="shared" si="101"/>
        <v>5882.2748734375</v>
      </c>
      <c r="U477" s="37">
        <v>4973.7777777777783</v>
      </c>
      <c r="V477">
        <f t="shared" si="102"/>
        <v>1.1826573554851554</v>
      </c>
      <c r="W477">
        <f t="shared" si="112"/>
        <v>-7.9187245337418236E-2</v>
      </c>
      <c r="X477" s="28">
        <v>4820.6983333333337</v>
      </c>
      <c r="Y477">
        <f t="shared" si="103"/>
        <v>0.49637163345545521</v>
      </c>
      <c r="Z477">
        <f t="shared" si="105"/>
        <v>0.19717650120632649</v>
      </c>
      <c r="AA477">
        <f t="shared" si="106"/>
        <v>7.2117164462514524E-2</v>
      </c>
      <c r="AB477">
        <f t="shared" si="107"/>
        <v>0.31049209856134391</v>
      </c>
      <c r="AC477">
        <f t="shared" si="108"/>
        <v>3.615429670047359E-4</v>
      </c>
      <c r="AD477">
        <f t="shared" si="109"/>
        <v>2.5547962997609685E-3</v>
      </c>
      <c r="AE477">
        <f t="shared" si="110"/>
        <v>3.2785431373425072E-2</v>
      </c>
      <c r="AF477">
        <f t="shared" si="111"/>
        <v>7.0798187159324441E-2</v>
      </c>
      <c r="AG477">
        <f t="shared" si="104"/>
        <v>1.1826573554851552</v>
      </c>
      <c r="AH477">
        <v>0.36062374990015506</v>
      </c>
      <c r="AI477">
        <v>0.57060372771474877</v>
      </c>
      <c r="AJ477">
        <v>5.9590496426501834E-2</v>
      </c>
      <c r="AK477">
        <v>1.3783364930532348E-2</v>
      </c>
      <c r="AL477">
        <v>0.39921572310799075</v>
      </c>
    </row>
    <row r="478" spans="1:38" x14ac:dyDescent="0.25">
      <c r="A478">
        <v>16</v>
      </c>
      <c r="B478" s="5" t="s">
        <v>22</v>
      </c>
      <c r="C478" s="6" t="s">
        <v>5</v>
      </c>
      <c r="D478" s="6" t="s">
        <v>47</v>
      </c>
      <c r="E478" s="28">
        <v>61345.1</v>
      </c>
      <c r="F478" s="11">
        <v>12</v>
      </c>
      <c r="G478" s="11">
        <v>21</v>
      </c>
      <c r="H478" s="11">
        <f t="shared" si="100"/>
        <v>-9</v>
      </c>
      <c r="I478" s="18">
        <v>1</v>
      </c>
      <c r="J478" s="19">
        <v>0.9296187683284457</v>
      </c>
      <c r="K478" s="19">
        <v>1.1000000000000001</v>
      </c>
      <c r="L478" s="6">
        <v>24526954</v>
      </c>
      <c r="M478" s="7">
        <v>9702760</v>
      </c>
      <c r="N478" s="7">
        <v>3586947.5</v>
      </c>
      <c r="O478" s="7">
        <v>15282778</v>
      </c>
      <c r="P478" s="7">
        <v>17982.34375</v>
      </c>
      <c r="Q478" s="7">
        <v>83640.8671875</v>
      </c>
      <c r="R478" s="7">
        <v>1615261.875</v>
      </c>
      <c r="S478" s="7">
        <v>3494184</v>
      </c>
      <c r="T478" s="31">
        <f t="shared" si="101"/>
        <v>5831.0508585937496</v>
      </c>
      <c r="U478" s="37">
        <v>5213.666666666667</v>
      </c>
      <c r="V478">
        <f t="shared" si="102"/>
        <v>1.1184165063475</v>
      </c>
      <c r="W478">
        <f t="shared" si="112"/>
        <v>-5.4319071233698273E-2</v>
      </c>
      <c r="X478" s="28">
        <v>4833.09</v>
      </c>
      <c r="Y478">
        <f t="shared" si="103"/>
        <v>0.4704357905504763</v>
      </c>
      <c r="Z478">
        <f t="shared" si="105"/>
        <v>0.18610242311872641</v>
      </c>
      <c r="AA478">
        <f t="shared" si="106"/>
        <v>6.879894188351128E-2</v>
      </c>
      <c r="AB478">
        <f t="shared" si="107"/>
        <v>0.29312917332651361</v>
      </c>
      <c r="AC478">
        <f t="shared" si="108"/>
        <v>3.4490781439805635E-4</v>
      </c>
      <c r="AD478">
        <f t="shared" si="109"/>
        <v>1.6042618858289109E-3</v>
      </c>
      <c r="AE478">
        <f t="shared" si="110"/>
        <v>3.0981303145578926E-2</v>
      </c>
      <c r="AF478">
        <f t="shared" si="111"/>
        <v>6.7019704622466592E-2</v>
      </c>
      <c r="AG478">
        <f t="shared" si="104"/>
        <v>1.1184165063475002</v>
      </c>
      <c r="AH478">
        <v>0.36062374990015506</v>
      </c>
      <c r="AI478">
        <v>0.57060372771474877</v>
      </c>
      <c r="AJ478">
        <v>5.9590496426501834E-2</v>
      </c>
      <c r="AK478">
        <v>1.3783364930532348E-2</v>
      </c>
      <c r="AL478">
        <v>0.39921572310799075</v>
      </c>
    </row>
    <row r="479" spans="1:38" x14ac:dyDescent="0.25">
      <c r="A479">
        <v>16</v>
      </c>
      <c r="B479" s="5" t="s">
        <v>22</v>
      </c>
      <c r="C479" s="6" t="s">
        <v>5</v>
      </c>
      <c r="D479" s="6" t="s">
        <v>48</v>
      </c>
      <c r="E479" s="28">
        <v>61345.1</v>
      </c>
      <c r="F479" s="11">
        <v>13</v>
      </c>
      <c r="G479" s="11">
        <v>21</v>
      </c>
      <c r="H479" s="11">
        <f t="shared" si="100"/>
        <v>-8</v>
      </c>
      <c r="I479" s="18">
        <v>1</v>
      </c>
      <c r="J479" s="19">
        <v>0.9296187683284457</v>
      </c>
      <c r="K479" s="19">
        <v>1.1000000000000001</v>
      </c>
      <c r="L479" s="6">
        <v>25692750</v>
      </c>
      <c r="M479" s="7">
        <v>9754835</v>
      </c>
      <c r="N479" s="7">
        <v>3586947.5</v>
      </c>
      <c r="O479" s="7">
        <v>15366765</v>
      </c>
      <c r="P479" s="7">
        <v>17982.34375</v>
      </c>
      <c r="Q479" s="7">
        <v>40323.62109375</v>
      </c>
      <c r="R479" s="7">
        <v>1612062.75</v>
      </c>
      <c r="S479" s="7">
        <v>3388647.75</v>
      </c>
      <c r="T479" s="31">
        <f t="shared" si="101"/>
        <v>5946.0313964843754</v>
      </c>
      <c r="U479" s="37">
        <v>5199</v>
      </c>
      <c r="V479">
        <f t="shared" si="102"/>
        <v>1.1436875161539479</v>
      </c>
      <c r="W479">
        <f t="shared" si="112"/>
        <v>2.2595347675060187E-2</v>
      </c>
      <c r="X479" s="28">
        <v>4845.4816666666666</v>
      </c>
      <c r="Y479">
        <f t="shared" si="103"/>
        <v>0.4941863819965378</v>
      </c>
      <c r="Z479">
        <f t="shared" si="105"/>
        <v>0.18762906328140028</v>
      </c>
      <c r="AA479">
        <f t="shared" si="106"/>
        <v>6.8993027505289475E-2</v>
      </c>
      <c r="AB479">
        <f t="shared" si="107"/>
        <v>0.2955715522215811</v>
      </c>
      <c r="AC479">
        <f t="shared" si="108"/>
        <v>3.4588081842662049E-4</v>
      </c>
      <c r="AD479">
        <f t="shared" si="109"/>
        <v>7.7560340630409696E-4</v>
      </c>
      <c r="AE479">
        <f t="shared" si="110"/>
        <v>3.1007169648009234E-2</v>
      </c>
      <c r="AF479">
        <f t="shared" si="111"/>
        <v>6.517883727639931E-2</v>
      </c>
      <c r="AG479">
        <f t="shared" si="104"/>
        <v>1.1436875161539479</v>
      </c>
      <c r="AH479">
        <v>0.36062374990015506</v>
      </c>
      <c r="AI479">
        <v>0.57060372771474877</v>
      </c>
      <c r="AJ479">
        <v>5.9590496426501834E-2</v>
      </c>
      <c r="AK479">
        <v>1.3783364930532348E-2</v>
      </c>
      <c r="AL479">
        <v>0.39921572310799075</v>
      </c>
    </row>
    <row r="480" spans="1:38" x14ac:dyDescent="0.25">
      <c r="A480">
        <v>16</v>
      </c>
      <c r="B480" s="5" t="s">
        <v>22</v>
      </c>
      <c r="C480" s="6" t="s">
        <v>5</v>
      </c>
      <c r="D480" s="6" t="s">
        <v>49</v>
      </c>
      <c r="E480" s="28">
        <v>61345.1</v>
      </c>
      <c r="F480" s="11">
        <v>14</v>
      </c>
      <c r="G480" s="11">
        <v>21</v>
      </c>
      <c r="H480" s="11">
        <f t="shared" si="100"/>
        <v>-7</v>
      </c>
      <c r="I480" s="18">
        <v>1</v>
      </c>
      <c r="J480" s="19">
        <v>0.9296187683284457</v>
      </c>
      <c r="K480" s="19">
        <v>1.1000000000000001</v>
      </c>
      <c r="L480" s="6">
        <v>28899500</v>
      </c>
      <c r="M480" s="7">
        <v>9366907</v>
      </c>
      <c r="N480" s="7">
        <v>3586947.5</v>
      </c>
      <c r="O480" s="7">
        <v>14750823</v>
      </c>
      <c r="P480" s="7">
        <v>17982.34375</v>
      </c>
      <c r="Q480" s="7">
        <v>23763.9375</v>
      </c>
      <c r="R480" s="7">
        <v>1627891.5</v>
      </c>
      <c r="S480" s="7">
        <v>3318908</v>
      </c>
      <c r="T480" s="31">
        <f t="shared" si="101"/>
        <v>6159.2723281250001</v>
      </c>
      <c r="U480" s="37">
        <v>5184.333333333333</v>
      </c>
      <c r="V480">
        <f t="shared" si="102"/>
        <v>1.1880548437198613</v>
      </c>
      <c r="W480">
        <f t="shared" si="112"/>
        <v>3.8793225369036198E-2</v>
      </c>
      <c r="X480" s="28">
        <v>4857.873333333333</v>
      </c>
      <c r="Y480">
        <f t="shared" si="103"/>
        <v>0.55743907927730985</v>
      </c>
      <c r="Z480">
        <f t="shared" si="105"/>
        <v>0.18067717482157783</v>
      </c>
      <c r="AA480">
        <f t="shared" si="106"/>
        <v>6.9188211277567024E-2</v>
      </c>
      <c r="AB480">
        <f t="shared" si="107"/>
        <v>0.28452690156239957</v>
      </c>
      <c r="AC480">
        <f t="shared" si="108"/>
        <v>3.4685932778242141E-4</v>
      </c>
      <c r="AD480">
        <f t="shared" si="109"/>
        <v>4.5837981418375879E-4</v>
      </c>
      <c r="AE480">
        <f t="shared" si="110"/>
        <v>3.1400208962901049E-2</v>
      </c>
      <c r="AF480">
        <f t="shared" si="111"/>
        <v>6.4018028676139663E-2</v>
      </c>
      <c r="AG480">
        <f t="shared" si="104"/>
        <v>1.1880548437198613</v>
      </c>
      <c r="AH480">
        <v>0.36062374990015506</v>
      </c>
      <c r="AI480">
        <v>0.57060372771474877</v>
      </c>
      <c r="AJ480">
        <v>5.9590496426501834E-2</v>
      </c>
      <c r="AK480">
        <v>1.3783364930532348E-2</v>
      </c>
      <c r="AL480">
        <v>0.39921572310799075</v>
      </c>
    </row>
    <row r="481" spans="1:38" x14ac:dyDescent="0.25">
      <c r="A481">
        <v>16</v>
      </c>
      <c r="B481" s="5" t="s">
        <v>22</v>
      </c>
      <c r="C481" s="6" t="s">
        <v>5</v>
      </c>
      <c r="D481" s="6" t="s">
        <v>50</v>
      </c>
      <c r="E481" s="28">
        <v>61345.1</v>
      </c>
      <c r="F481" s="11">
        <v>15</v>
      </c>
      <c r="G481" s="11">
        <v>21</v>
      </c>
      <c r="H481" s="11">
        <f t="shared" si="100"/>
        <v>-6</v>
      </c>
      <c r="I481" s="18">
        <v>1</v>
      </c>
      <c r="J481" s="19">
        <v>0.9296187683284457</v>
      </c>
      <c r="K481" s="19">
        <v>1.1000000000000001</v>
      </c>
      <c r="L481" s="6">
        <v>30753150</v>
      </c>
      <c r="M481" s="7">
        <v>9099846</v>
      </c>
      <c r="N481" s="7">
        <v>3586947.5</v>
      </c>
      <c r="O481" s="7">
        <v>14329946</v>
      </c>
      <c r="P481" s="7">
        <v>17982.34375</v>
      </c>
      <c r="Q481" s="7">
        <v>33355.640625</v>
      </c>
      <c r="R481" s="7">
        <v>1574976.25</v>
      </c>
      <c r="S481" s="7">
        <v>3353977.5</v>
      </c>
      <c r="T481" s="31">
        <f t="shared" si="101"/>
        <v>6275.0181234375004</v>
      </c>
      <c r="U481" s="37">
        <v>5169.666666666667</v>
      </c>
      <c r="V481">
        <f t="shared" si="102"/>
        <v>1.2138148410801792</v>
      </c>
      <c r="W481">
        <f t="shared" si="112"/>
        <v>2.168249849448203E-2</v>
      </c>
      <c r="X481" s="28">
        <v>4870.2649999999994</v>
      </c>
      <c r="Y481">
        <f t="shared" si="103"/>
        <v>0.59487684570249533</v>
      </c>
      <c r="Z481">
        <f t="shared" si="105"/>
        <v>0.17602384421948544</v>
      </c>
      <c r="AA481">
        <f t="shared" si="106"/>
        <v>6.9384502546908242E-2</v>
      </c>
      <c r="AB481">
        <f t="shared" si="107"/>
        <v>0.277192842865433</v>
      </c>
      <c r="AC481">
        <f t="shared" si="108"/>
        <v>3.4784338932232896E-4</v>
      </c>
      <c r="AD481">
        <f t="shared" si="109"/>
        <v>6.4521840141208329E-4</v>
      </c>
      <c r="AE481">
        <f t="shared" si="110"/>
        <v>3.0465721516538782E-2</v>
      </c>
      <c r="AF481">
        <f t="shared" si="111"/>
        <v>6.4878022438584051E-2</v>
      </c>
      <c r="AG481">
        <f t="shared" si="104"/>
        <v>1.213814841080179</v>
      </c>
      <c r="AH481">
        <v>0.36062374990015506</v>
      </c>
      <c r="AI481">
        <v>0.57060372771474877</v>
      </c>
      <c r="AJ481">
        <v>5.9590496426501834E-2</v>
      </c>
      <c r="AK481">
        <v>1.3783364930532348E-2</v>
      </c>
      <c r="AL481">
        <v>0.39921572310799075</v>
      </c>
    </row>
    <row r="482" spans="1:38" x14ac:dyDescent="0.25">
      <c r="A482">
        <v>16</v>
      </c>
      <c r="B482" s="5" t="s">
        <v>22</v>
      </c>
      <c r="C482" s="6" t="s">
        <v>5</v>
      </c>
      <c r="D482" s="6" t="s">
        <v>51</v>
      </c>
      <c r="E482" s="28">
        <v>61345.1</v>
      </c>
      <c r="F482" s="11">
        <v>16</v>
      </c>
      <c r="G482" s="11">
        <v>21</v>
      </c>
      <c r="H482" s="11">
        <f t="shared" si="100"/>
        <v>-5</v>
      </c>
      <c r="I482" s="18">
        <v>1</v>
      </c>
      <c r="J482" s="19">
        <v>0.9296187683284457</v>
      </c>
      <c r="K482" s="19">
        <v>1.1000000000000001</v>
      </c>
      <c r="L482" s="6">
        <v>26848860</v>
      </c>
      <c r="M482" s="7">
        <v>9496676</v>
      </c>
      <c r="N482" s="7">
        <v>3586947.5</v>
      </c>
      <c r="O482" s="7">
        <v>14957743</v>
      </c>
      <c r="P482" s="7">
        <v>17982.34375</v>
      </c>
      <c r="Q482" s="7">
        <v>93240.8671875</v>
      </c>
      <c r="R482" s="7">
        <v>1558862.125</v>
      </c>
      <c r="S482" s="7">
        <v>3414330.75</v>
      </c>
      <c r="T482" s="31">
        <f t="shared" si="101"/>
        <v>5997.4642585937499</v>
      </c>
      <c r="U482" s="37">
        <v>5021.4444444444443</v>
      </c>
      <c r="V482">
        <f t="shared" si="102"/>
        <v>1.1943703300808477</v>
      </c>
      <c r="W482">
        <f t="shared" si="112"/>
        <v>-1.6019338651377647E-2</v>
      </c>
      <c r="X482" s="28">
        <v>4882.6566666666658</v>
      </c>
      <c r="Y482">
        <f t="shared" si="103"/>
        <v>0.53468399973447212</v>
      </c>
      <c r="Z482">
        <f t="shared" si="105"/>
        <v>0.18912239506118206</v>
      </c>
      <c r="AA482">
        <f t="shared" si="106"/>
        <v>7.1432583585953585E-2</v>
      </c>
      <c r="AB482">
        <f t="shared" si="107"/>
        <v>0.2978772973690616</v>
      </c>
      <c r="AC482">
        <f t="shared" si="108"/>
        <v>3.58110976810568E-4</v>
      </c>
      <c r="AD482">
        <f t="shared" si="109"/>
        <v>1.8568535053824708E-3</v>
      </c>
      <c r="AE482">
        <f t="shared" si="110"/>
        <v>3.1044097813820726E-2</v>
      </c>
      <c r="AF482">
        <f t="shared" si="111"/>
        <v>6.7994992034164578E-2</v>
      </c>
      <c r="AG482">
        <f t="shared" si="104"/>
        <v>1.1943703300808475</v>
      </c>
      <c r="AH482">
        <v>0.36062374990015506</v>
      </c>
      <c r="AI482">
        <v>0.57060372771474877</v>
      </c>
      <c r="AJ482">
        <v>5.9590496426501834E-2</v>
      </c>
      <c r="AK482">
        <v>1.3783364930532348E-2</v>
      </c>
      <c r="AL482">
        <v>0.39921572310799075</v>
      </c>
    </row>
    <row r="483" spans="1:38" x14ac:dyDescent="0.25">
      <c r="A483">
        <v>16</v>
      </c>
      <c r="B483" s="5" t="s">
        <v>22</v>
      </c>
      <c r="C483" s="6" t="s">
        <v>5</v>
      </c>
      <c r="D483" s="6" t="s">
        <v>52</v>
      </c>
      <c r="E483" s="28">
        <v>61345.1</v>
      </c>
      <c r="F483" s="11">
        <v>17</v>
      </c>
      <c r="G483" s="11">
        <v>21</v>
      </c>
      <c r="H483" s="11">
        <f t="shared" si="100"/>
        <v>-4</v>
      </c>
      <c r="I483" s="18">
        <v>1</v>
      </c>
      <c r="J483" s="19">
        <v>0.9296187683284457</v>
      </c>
      <c r="K483" s="19">
        <v>1.1000000000000001</v>
      </c>
      <c r="L483" s="6">
        <v>26422584</v>
      </c>
      <c r="M483" s="7">
        <v>9772030</v>
      </c>
      <c r="N483" s="7">
        <v>3586947.5</v>
      </c>
      <c r="O483" s="7">
        <v>15388873</v>
      </c>
      <c r="P483" s="7">
        <v>17982.34375</v>
      </c>
      <c r="Q483" s="7">
        <v>128604.015625</v>
      </c>
      <c r="R483" s="7">
        <v>1630332.5</v>
      </c>
      <c r="S483" s="7">
        <v>3536368.5</v>
      </c>
      <c r="T483" s="31">
        <f t="shared" si="101"/>
        <v>6048.3721859375</v>
      </c>
      <c r="U483" s="37">
        <v>4873.2222222222226</v>
      </c>
      <c r="V483">
        <f t="shared" si="102"/>
        <v>1.2411443414906289</v>
      </c>
      <c r="W483">
        <f t="shared" si="112"/>
        <v>3.916206743566298E-2</v>
      </c>
      <c r="X483" s="28">
        <v>4895.0483333333323</v>
      </c>
      <c r="Y483">
        <f t="shared" si="103"/>
        <v>0.54219944823183375</v>
      </c>
      <c r="Z483">
        <f t="shared" si="105"/>
        <v>0.20052502337034586</v>
      </c>
      <c r="AA483">
        <f t="shared" si="106"/>
        <v>7.3605252057730441E-2</v>
      </c>
      <c r="AB483">
        <f t="shared" si="107"/>
        <v>0.315784347568344</v>
      </c>
      <c r="AC483">
        <f t="shared" si="108"/>
        <v>3.6900315499669394E-4</v>
      </c>
      <c r="AD483">
        <f t="shared" si="109"/>
        <v>2.6389934577281744E-3</v>
      </c>
      <c r="AE483">
        <f t="shared" si="110"/>
        <v>3.3454918032786884E-2</v>
      </c>
      <c r="AF483">
        <f t="shared" si="111"/>
        <v>7.2567355616863116E-2</v>
      </c>
      <c r="AG483">
        <f t="shared" si="104"/>
        <v>1.2411443414906291</v>
      </c>
      <c r="AH483">
        <v>0.36062374990015506</v>
      </c>
      <c r="AI483">
        <v>0.57060372771474877</v>
      </c>
      <c r="AJ483">
        <v>5.9590496426501834E-2</v>
      </c>
      <c r="AK483">
        <v>1.3783364930532348E-2</v>
      </c>
      <c r="AL483">
        <v>0.39921572310799075</v>
      </c>
    </row>
    <row r="484" spans="1:38" x14ac:dyDescent="0.25">
      <c r="A484">
        <v>16</v>
      </c>
      <c r="B484" s="5" t="s">
        <v>22</v>
      </c>
      <c r="C484" s="6" t="s">
        <v>5</v>
      </c>
      <c r="D484" s="6" t="s">
        <v>53</v>
      </c>
      <c r="E484" s="28">
        <v>61345.1</v>
      </c>
      <c r="F484" s="11">
        <v>18</v>
      </c>
      <c r="G484" s="11">
        <v>21</v>
      </c>
      <c r="H484" s="11">
        <f t="shared" si="100"/>
        <v>-3</v>
      </c>
      <c r="I484" s="18">
        <v>1</v>
      </c>
      <c r="J484" s="19">
        <v>0.9296187683284457</v>
      </c>
      <c r="K484" s="19">
        <v>1.1000000000000001</v>
      </c>
      <c r="L484" s="6">
        <v>28221336</v>
      </c>
      <c r="M484" s="7">
        <v>9736421</v>
      </c>
      <c r="N484" s="7">
        <v>3586947.5</v>
      </c>
      <c r="O484" s="7">
        <v>15337563</v>
      </c>
      <c r="P484" s="7">
        <v>17982.34375</v>
      </c>
      <c r="Q484" s="7">
        <v>84878.6328125</v>
      </c>
      <c r="R484" s="7">
        <v>1616543.5</v>
      </c>
      <c r="S484" s="7">
        <v>3490965.25</v>
      </c>
      <c r="T484" s="31">
        <f t="shared" si="101"/>
        <v>6209.2637226562501</v>
      </c>
      <c r="U484" s="37">
        <v>4725</v>
      </c>
      <c r="V484">
        <f t="shared" si="102"/>
        <v>1.3141298883928572</v>
      </c>
      <c r="W484">
        <f t="shared" si="112"/>
        <v>5.8805043428366885E-2</v>
      </c>
      <c r="X484" s="28">
        <v>4907.4399999999987</v>
      </c>
      <c r="Y484">
        <f t="shared" si="103"/>
        <v>0.59727695238095235</v>
      </c>
      <c r="Z484">
        <f t="shared" si="105"/>
        <v>0.20606182010582011</v>
      </c>
      <c r="AA484">
        <f t="shared" si="106"/>
        <v>7.5914232804232804E-2</v>
      </c>
      <c r="AB484">
        <f t="shared" si="107"/>
        <v>0.32460450793650791</v>
      </c>
      <c r="AC484">
        <f t="shared" si="108"/>
        <v>3.8057870370370372E-4</v>
      </c>
      <c r="AD484">
        <f t="shared" si="109"/>
        <v>1.796373181216931E-3</v>
      </c>
      <c r="AE484">
        <f t="shared" si="110"/>
        <v>3.4212560846560845E-2</v>
      </c>
      <c r="AF484">
        <f t="shared" si="111"/>
        <v>7.3882862433862426E-2</v>
      </c>
      <c r="AG484">
        <f t="shared" si="104"/>
        <v>1.3141298883928569</v>
      </c>
      <c r="AH484">
        <v>0.36062374990015506</v>
      </c>
      <c r="AI484">
        <v>0.57060372771474877</v>
      </c>
      <c r="AJ484">
        <v>5.9590496426501834E-2</v>
      </c>
      <c r="AK484">
        <v>1.3783364930532348E-2</v>
      </c>
      <c r="AL484">
        <v>0.39921572310799075</v>
      </c>
    </row>
    <row r="485" spans="1:38" x14ac:dyDescent="0.25">
      <c r="A485">
        <v>16</v>
      </c>
      <c r="B485" s="5" t="s">
        <v>22</v>
      </c>
      <c r="C485" s="6" t="s">
        <v>5</v>
      </c>
      <c r="D485" s="6" t="s">
        <v>54</v>
      </c>
      <c r="E485" s="28">
        <v>61345.1</v>
      </c>
      <c r="F485" s="11">
        <v>19</v>
      </c>
      <c r="G485" s="11">
        <v>21</v>
      </c>
      <c r="H485" s="11">
        <f t="shared" si="100"/>
        <v>-2</v>
      </c>
      <c r="I485" s="18">
        <v>1</v>
      </c>
      <c r="J485" s="19">
        <v>0.9296187683284457</v>
      </c>
      <c r="K485" s="19">
        <v>1.1000000000000001</v>
      </c>
      <c r="L485" s="6">
        <v>31479756</v>
      </c>
      <c r="M485" s="7">
        <v>9824312</v>
      </c>
      <c r="N485" s="7">
        <v>3588669.25</v>
      </c>
      <c r="O485" s="7">
        <v>15480051</v>
      </c>
      <c r="P485" s="7">
        <v>17990.974609375</v>
      </c>
      <c r="Q485" s="7">
        <v>39957.91015625</v>
      </c>
      <c r="R485" s="7">
        <v>1615165.375</v>
      </c>
      <c r="S485" s="7">
        <v>3362018.25</v>
      </c>
      <c r="T485" s="31">
        <f t="shared" si="101"/>
        <v>6540.792075976562</v>
      </c>
      <c r="U485" s="37">
        <v>4576.7777777777774</v>
      </c>
      <c r="V485">
        <f t="shared" si="102"/>
        <v>1.4291259907210085</v>
      </c>
      <c r="W485">
        <f t="shared" si="112"/>
        <v>8.7507409536806358E-2</v>
      </c>
      <c r="X485" s="28">
        <v>4919.8316666666651</v>
      </c>
      <c r="Y485">
        <f t="shared" si="103"/>
        <v>0.68781482362652036</v>
      </c>
      <c r="Z485">
        <f t="shared" si="105"/>
        <v>0.21465564807846377</v>
      </c>
      <c r="AA485">
        <f t="shared" si="106"/>
        <v>7.8410388798523953E-2</v>
      </c>
      <c r="AB485">
        <f t="shared" si="107"/>
        <v>0.33823033915175649</v>
      </c>
      <c r="AC485">
        <f t="shared" si="108"/>
        <v>3.930925966458086E-4</v>
      </c>
      <c r="AD485">
        <f t="shared" si="109"/>
        <v>8.7305768591743342E-4</v>
      </c>
      <c r="AE485">
        <f t="shared" si="110"/>
        <v>3.5290447852686271E-2</v>
      </c>
      <c r="AF485">
        <f t="shared" si="111"/>
        <v>7.3458192930494534E-2</v>
      </c>
      <c r="AG485">
        <f t="shared" si="104"/>
        <v>1.4291259907210085</v>
      </c>
      <c r="AH485">
        <v>0.36062374990015506</v>
      </c>
      <c r="AI485">
        <v>0.57060372771474877</v>
      </c>
      <c r="AJ485">
        <v>5.9590496426501834E-2</v>
      </c>
      <c r="AK485">
        <v>1.3783364930532348E-2</v>
      </c>
      <c r="AL485">
        <v>0.39921572310799075</v>
      </c>
    </row>
    <row r="486" spans="1:38" x14ac:dyDescent="0.25">
      <c r="A486">
        <v>16</v>
      </c>
      <c r="B486" s="5" t="s">
        <v>22</v>
      </c>
      <c r="C486" s="6" t="s">
        <v>5</v>
      </c>
      <c r="D486" s="6" t="s">
        <v>55</v>
      </c>
      <c r="E486" s="29">
        <v>59132.4</v>
      </c>
      <c r="F486" s="11">
        <v>20</v>
      </c>
      <c r="G486" s="11">
        <v>21</v>
      </c>
      <c r="H486" s="18">
        <f t="shared" si="100"/>
        <v>-1</v>
      </c>
      <c r="I486" s="18">
        <v>1</v>
      </c>
      <c r="J486" s="19">
        <v>0.9296187683284457</v>
      </c>
      <c r="K486" s="19">
        <v>1.1000000000000001</v>
      </c>
      <c r="L486" s="14">
        <v>1665745</v>
      </c>
      <c r="M486" s="16">
        <v>9274250</v>
      </c>
      <c r="N486" s="16">
        <v>7640110.5</v>
      </c>
      <c r="O486" s="16">
        <v>25181544</v>
      </c>
      <c r="P486" s="16">
        <v>18198.1171875</v>
      </c>
      <c r="Q486" s="16">
        <v>25885.09375</v>
      </c>
      <c r="R486" s="16">
        <v>14213563</v>
      </c>
      <c r="S486" s="16">
        <v>4016345.5</v>
      </c>
      <c r="T486" s="31">
        <f t="shared" si="101"/>
        <v>6203.5641210937501</v>
      </c>
      <c r="U486" s="37">
        <v>4401.333333333333</v>
      </c>
      <c r="V486">
        <f t="shared" si="102"/>
        <v>1.4094738233324184</v>
      </c>
      <c r="W486">
        <f t="shared" si="112"/>
        <v>-1.3751179053622407E-2</v>
      </c>
      <c r="X486" s="29">
        <v>4509.5799999999981</v>
      </c>
      <c r="Y486">
        <f t="shared" si="103"/>
        <v>3.7846372311420781E-2</v>
      </c>
      <c r="Z486">
        <f t="shared" si="105"/>
        <v>0.21071455619509244</v>
      </c>
      <c r="AA486">
        <f t="shared" si="106"/>
        <v>0.17358627309906088</v>
      </c>
      <c r="AB486">
        <f t="shared" si="107"/>
        <v>0.57213444410784609</v>
      </c>
      <c r="AC486">
        <f t="shared" si="108"/>
        <v>4.1346827902529544E-4</v>
      </c>
      <c r="AD486">
        <f t="shared" si="109"/>
        <v>5.8811936723720095E-4</v>
      </c>
      <c r="AE486">
        <f t="shared" si="110"/>
        <v>0.32293766282944564</v>
      </c>
      <c r="AF486">
        <f t="shared" si="111"/>
        <v>9.1252927143289919E-2</v>
      </c>
      <c r="AG486">
        <f t="shared" si="104"/>
        <v>1.4094738233324184</v>
      </c>
      <c r="AH486">
        <v>0.39060995166946577</v>
      </c>
      <c r="AI486">
        <v>0.58084564442180331</v>
      </c>
      <c r="AJ486">
        <v>5.9246426501835037E-2</v>
      </c>
      <c r="AK486">
        <v>1.5460954647698156E-2</v>
      </c>
      <c r="AL486">
        <v>0.40878386325677174</v>
      </c>
    </row>
    <row r="487" spans="1:38" x14ac:dyDescent="0.25">
      <c r="A487">
        <v>16</v>
      </c>
      <c r="B487" s="21" t="s">
        <v>22</v>
      </c>
      <c r="C487" s="22" t="s">
        <v>5</v>
      </c>
      <c r="D487" s="22" t="s">
        <v>56</v>
      </c>
      <c r="E487" s="29">
        <v>59132.4</v>
      </c>
      <c r="F487" s="22">
        <v>21</v>
      </c>
      <c r="G487" s="22">
        <v>21</v>
      </c>
      <c r="H487" s="22">
        <f t="shared" si="100"/>
        <v>0</v>
      </c>
      <c r="I487" s="18">
        <v>1</v>
      </c>
      <c r="J487" s="19">
        <v>0.9296187683284457</v>
      </c>
      <c r="K487" s="19">
        <v>1.1000000000000001</v>
      </c>
      <c r="L487" s="22">
        <v>1612888</v>
      </c>
      <c r="M487" s="23">
        <v>9090669</v>
      </c>
      <c r="N487" s="23">
        <v>6646092</v>
      </c>
      <c r="O487" s="23">
        <v>25056768</v>
      </c>
      <c r="P487" s="23">
        <v>18198.1171875</v>
      </c>
      <c r="Q487" s="23">
        <v>36568.9375</v>
      </c>
      <c r="R487" s="23">
        <v>13924628</v>
      </c>
      <c r="S487" s="23">
        <v>4071865</v>
      </c>
      <c r="T487" s="32">
        <f t="shared" si="101"/>
        <v>6045.7677054687501</v>
      </c>
      <c r="U487" s="37">
        <v>4570</v>
      </c>
      <c r="V487">
        <f t="shared" si="102"/>
        <v>1.3229250996649344</v>
      </c>
      <c r="W487">
        <f t="shared" si="112"/>
        <v>-6.1404988325967552E-2</v>
      </c>
      <c r="X487" s="29">
        <v>4585.6016666666656</v>
      </c>
      <c r="Y487">
        <f t="shared" si="103"/>
        <v>3.5292954048140049E-2</v>
      </c>
      <c r="Z487">
        <f t="shared" si="105"/>
        <v>0.19892054704595186</v>
      </c>
      <c r="AA487">
        <f t="shared" si="106"/>
        <v>0.14542870897155361</v>
      </c>
      <c r="AB487">
        <f t="shared" si="107"/>
        <v>0.54828814004376358</v>
      </c>
      <c r="AC487">
        <f t="shared" si="108"/>
        <v>3.9820825355579869E-4</v>
      </c>
      <c r="AD487">
        <f t="shared" si="109"/>
        <v>8.0019556892778993E-4</v>
      </c>
      <c r="AE487">
        <f t="shared" si="110"/>
        <v>0.30469645514223193</v>
      </c>
      <c r="AF487">
        <f t="shared" si="111"/>
        <v>8.9099890590809624E-2</v>
      </c>
      <c r="AG487">
        <f t="shared" si="104"/>
        <v>1.3229250996649342</v>
      </c>
      <c r="AH487">
        <v>0.39060995166946577</v>
      </c>
      <c r="AI487">
        <v>0.58084564442180331</v>
      </c>
      <c r="AJ487">
        <v>5.9246426501835037E-2</v>
      </c>
      <c r="AK487">
        <v>1.5460954647698156E-2</v>
      </c>
      <c r="AL487">
        <v>0.40878386325677174</v>
      </c>
    </row>
    <row r="488" spans="1:38" x14ac:dyDescent="0.25">
      <c r="A488">
        <v>16</v>
      </c>
      <c r="B488" s="5" t="s">
        <v>22</v>
      </c>
      <c r="C488" s="6" t="s">
        <v>5</v>
      </c>
      <c r="D488" s="6" t="s">
        <v>57</v>
      </c>
      <c r="E488" s="29">
        <v>59132.4</v>
      </c>
      <c r="F488" s="11">
        <v>22</v>
      </c>
      <c r="G488" s="11">
        <v>21</v>
      </c>
      <c r="H488" s="11">
        <f t="shared" si="100"/>
        <v>1</v>
      </c>
      <c r="I488" s="18">
        <v>1</v>
      </c>
      <c r="J488" s="19">
        <v>0.9296187683284457</v>
      </c>
      <c r="K488" s="19">
        <v>1.1000000000000001</v>
      </c>
      <c r="L488" s="6">
        <v>1595697</v>
      </c>
      <c r="M488" s="7">
        <v>9437243</v>
      </c>
      <c r="N488" s="7">
        <v>4308853</v>
      </c>
      <c r="O488" s="7">
        <v>28503336</v>
      </c>
      <c r="P488" s="7">
        <v>18198.1171875</v>
      </c>
      <c r="Q488" s="7">
        <v>104450.3125</v>
      </c>
      <c r="R488" s="7">
        <v>14459343</v>
      </c>
      <c r="S488" s="7">
        <v>4160797.5</v>
      </c>
      <c r="T488" s="31">
        <f t="shared" si="101"/>
        <v>6258.7917929687501</v>
      </c>
      <c r="U488" s="37">
        <v>4738.666666666667</v>
      </c>
      <c r="V488">
        <f t="shared" si="102"/>
        <v>1.3207917402156899</v>
      </c>
      <c r="W488">
        <f t="shared" si="112"/>
        <v>-1.612607886708674E-3</v>
      </c>
      <c r="X488" s="29">
        <v>4661.6233333333321</v>
      </c>
      <c r="Y488">
        <f t="shared" si="103"/>
        <v>3.3673965953854808E-2</v>
      </c>
      <c r="Z488">
        <f t="shared" si="105"/>
        <v>0.19915397439504781</v>
      </c>
      <c r="AA488">
        <f t="shared" si="106"/>
        <v>9.0929649690489583E-2</v>
      </c>
      <c r="AB488">
        <f t="shared" si="107"/>
        <v>0.601505402363534</v>
      </c>
      <c r="AC488">
        <f t="shared" si="108"/>
        <v>3.8403454953925151E-4</v>
      </c>
      <c r="AD488">
        <f t="shared" si="109"/>
        <v>2.204213122537985E-3</v>
      </c>
      <c r="AE488">
        <f t="shared" si="110"/>
        <v>0.3051352630838492</v>
      </c>
      <c r="AF488">
        <f t="shared" si="111"/>
        <v>8.7805237056837362E-2</v>
      </c>
      <c r="AG488">
        <f t="shared" si="104"/>
        <v>1.3207917402156901</v>
      </c>
      <c r="AH488">
        <v>0.39060995166946577</v>
      </c>
      <c r="AI488">
        <v>0.58084564442180331</v>
      </c>
      <c r="AJ488">
        <v>5.9246426501835037E-2</v>
      </c>
      <c r="AK488">
        <v>1.5460954647698156E-2</v>
      </c>
      <c r="AL488">
        <v>0.40878386325677174</v>
      </c>
    </row>
    <row r="489" spans="1:38" x14ac:dyDescent="0.25">
      <c r="A489">
        <v>16</v>
      </c>
      <c r="B489" s="5" t="s">
        <v>22</v>
      </c>
      <c r="C489" s="6" t="s">
        <v>5</v>
      </c>
      <c r="D489" s="6" t="s">
        <v>58</v>
      </c>
      <c r="E489" s="29">
        <v>59132.4</v>
      </c>
      <c r="F489" s="11">
        <v>23</v>
      </c>
      <c r="G489" s="11">
        <v>21</v>
      </c>
      <c r="H489" s="11">
        <f t="shared" si="100"/>
        <v>2</v>
      </c>
      <c r="I489" s="18">
        <v>1</v>
      </c>
      <c r="J489" s="19">
        <v>0.9296187683284457</v>
      </c>
      <c r="K489" s="19">
        <v>1.1000000000000001</v>
      </c>
      <c r="L489" s="6">
        <v>1665049.5</v>
      </c>
      <c r="M489" s="7">
        <v>9588907</v>
      </c>
      <c r="N489" s="7">
        <v>2812639.5</v>
      </c>
      <c r="O489" s="7">
        <v>25781828</v>
      </c>
      <c r="P489" s="7">
        <v>18198.1171875</v>
      </c>
      <c r="Q489" s="7">
        <v>143969.515625</v>
      </c>
      <c r="R489" s="7">
        <v>14693920</v>
      </c>
      <c r="S489" s="7">
        <v>4307999.5</v>
      </c>
      <c r="T489" s="31">
        <f t="shared" si="101"/>
        <v>5901.2511132812497</v>
      </c>
      <c r="U489" s="37">
        <v>4907.333333333333</v>
      </c>
      <c r="V489">
        <f t="shared" si="102"/>
        <v>1.202537246287444</v>
      </c>
      <c r="W489">
        <f t="shared" si="112"/>
        <v>-8.9533035623719573E-2</v>
      </c>
      <c r="X489" s="29">
        <v>4737.6449999999986</v>
      </c>
      <c r="Y489">
        <f t="shared" si="103"/>
        <v>3.392982271430512E-2</v>
      </c>
      <c r="Z489">
        <f t="shared" si="105"/>
        <v>0.19539954489879094</v>
      </c>
      <c r="AA489">
        <f t="shared" si="106"/>
        <v>5.7315028528732513E-2</v>
      </c>
      <c r="AB489">
        <f t="shared" si="107"/>
        <v>0.52537348186387722</v>
      </c>
      <c r="AC489">
        <f t="shared" si="108"/>
        <v>3.708351552947969E-4</v>
      </c>
      <c r="AD489">
        <f t="shared" si="109"/>
        <v>2.9337627148145634E-3</v>
      </c>
      <c r="AE489">
        <f t="shared" si="110"/>
        <v>0.29942779513653039</v>
      </c>
      <c r="AF489">
        <f t="shared" si="111"/>
        <v>8.7786975275098489E-2</v>
      </c>
      <c r="AG489">
        <f t="shared" si="104"/>
        <v>1.2025372462874442</v>
      </c>
      <c r="AH489">
        <v>0.39060995166946577</v>
      </c>
      <c r="AI489">
        <v>0.58084564442180331</v>
      </c>
      <c r="AJ489">
        <v>5.9246426501835037E-2</v>
      </c>
      <c r="AK489">
        <v>1.5460954647698156E-2</v>
      </c>
      <c r="AL489">
        <v>0.40878386325677174</v>
      </c>
    </row>
    <row r="490" spans="1:38" x14ac:dyDescent="0.25">
      <c r="A490">
        <v>16</v>
      </c>
      <c r="B490" s="5" t="s">
        <v>22</v>
      </c>
      <c r="C490" s="6" t="s">
        <v>5</v>
      </c>
      <c r="D490" s="6" t="s">
        <v>59</v>
      </c>
      <c r="E490" s="29">
        <v>59132.4</v>
      </c>
      <c r="F490" s="11">
        <v>24</v>
      </c>
      <c r="G490" s="11">
        <v>21</v>
      </c>
      <c r="H490" s="11">
        <f t="shared" si="100"/>
        <v>3</v>
      </c>
      <c r="I490" s="18">
        <v>1</v>
      </c>
      <c r="J490" s="19">
        <v>0.9296187683284457</v>
      </c>
      <c r="K490" s="19">
        <v>1.1000000000000001</v>
      </c>
      <c r="L490" s="6">
        <v>1649751.875</v>
      </c>
      <c r="M490" s="7">
        <v>9487182</v>
      </c>
      <c r="N490" s="7">
        <v>1797012.125</v>
      </c>
      <c r="O490" s="7">
        <v>25613208</v>
      </c>
      <c r="P490" s="7">
        <v>18198.1171875</v>
      </c>
      <c r="Q490" s="7">
        <v>94766.7421875</v>
      </c>
      <c r="R490" s="7">
        <v>14541362</v>
      </c>
      <c r="S490" s="7">
        <v>4275337</v>
      </c>
      <c r="T490" s="31">
        <f t="shared" si="101"/>
        <v>5747.6817859374996</v>
      </c>
      <c r="U490" s="37">
        <v>5076</v>
      </c>
      <c r="V490">
        <f t="shared" si="102"/>
        <v>1.1323250169301615</v>
      </c>
      <c r="W490">
        <f t="shared" si="112"/>
        <v>-5.8386739848637938E-2</v>
      </c>
      <c r="X490" s="29">
        <v>4813.6666666666661</v>
      </c>
      <c r="Y490">
        <f t="shared" si="103"/>
        <v>3.2501021966115054E-2</v>
      </c>
      <c r="Z490">
        <f t="shared" si="105"/>
        <v>0.18690271867612293</v>
      </c>
      <c r="AA490">
        <f t="shared" si="106"/>
        <v>3.5402130122143424E-2</v>
      </c>
      <c r="AB490">
        <f t="shared" si="107"/>
        <v>0.50459432624113476</v>
      </c>
      <c r="AC490">
        <f t="shared" si="108"/>
        <v>3.5851294695626477E-4</v>
      </c>
      <c r="AD490">
        <f t="shared" si="109"/>
        <v>1.8669570958924351E-3</v>
      </c>
      <c r="AE490">
        <f t="shared" si="110"/>
        <v>0.28647285263987393</v>
      </c>
      <c r="AF490">
        <f t="shared" si="111"/>
        <v>8.4226497241922771E-2</v>
      </c>
      <c r="AG490">
        <f t="shared" si="104"/>
        <v>1.1323250169301615</v>
      </c>
      <c r="AH490">
        <v>0.39060995166946577</v>
      </c>
      <c r="AI490">
        <v>0.58084564442180331</v>
      </c>
      <c r="AJ490">
        <v>5.9246426501835037E-2</v>
      </c>
      <c r="AK490">
        <v>1.5460954647698156E-2</v>
      </c>
      <c r="AL490">
        <v>0.40878386325677174</v>
      </c>
    </row>
    <row r="491" spans="1:38" x14ac:dyDescent="0.25">
      <c r="A491">
        <v>16</v>
      </c>
      <c r="B491" s="5" t="s">
        <v>22</v>
      </c>
      <c r="C491" s="6" t="s">
        <v>5</v>
      </c>
      <c r="D491" s="6" t="s">
        <v>60</v>
      </c>
      <c r="E491" s="29">
        <v>59132.4</v>
      </c>
      <c r="F491" s="11">
        <v>25</v>
      </c>
      <c r="G491" s="11">
        <v>21</v>
      </c>
      <c r="H491" s="11">
        <f t="shared" si="100"/>
        <v>4</v>
      </c>
      <c r="I491" s="18">
        <v>1</v>
      </c>
      <c r="J491" s="19">
        <v>0.9296187683284457</v>
      </c>
      <c r="K491" s="19">
        <v>1.1000000000000001</v>
      </c>
      <c r="L491" s="6">
        <v>1646542.75</v>
      </c>
      <c r="M491" s="7">
        <v>9538318</v>
      </c>
      <c r="N491" s="7">
        <v>999636.625</v>
      </c>
      <c r="O491" s="7">
        <v>26830636</v>
      </c>
      <c r="P491" s="7">
        <v>18198.1171875</v>
      </c>
      <c r="Q491" s="7">
        <v>45679.046875</v>
      </c>
      <c r="R491" s="7">
        <v>14621290</v>
      </c>
      <c r="S491" s="7">
        <v>4148417</v>
      </c>
      <c r="T491" s="31">
        <f t="shared" si="101"/>
        <v>5784.87175390625</v>
      </c>
      <c r="U491" s="37">
        <v>5141.666666666667</v>
      </c>
      <c r="V491">
        <f t="shared" si="102"/>
        <v>1.1250966134015397</v>
      </c>
      <c r="W491">
        <f t="shared" si="112"/>
        <v>-6.3836826181044182E-3</v>
      </c>
      <c r="X491" s="29">
        <v>4889.6883333333326</v>
      </c>
      <c r="Y491">
        <f t="shared" si="103"/>
        <v>3.2023521880064826E-2</v>
      </c>
      <c r="Z491">
        <f t="shared" si="105"/>
        <v>0.18551023662884927</v>
      </c>
      <c r="AA491">
        <f t="shared" si="106"/>
        <v>1.9441879254457048E-2</v>
      </c>
      <c r="AB491">
        <f t="shared" si="107"/>
        <v>0.52182760453808752</v>
      </c>
      <c r="AC491">
        <f t="shared" si="108"/>
        <v>3.5393420786061585E-4</v>
      </c>
      <c r="AD491">
        <f t="shared" si="109"/>
        <v>8.8840933954619124E-4</v>
      </c>
      <c r="AE491">
        <f t="shared" si="110"/>
        <v>0.28436868719611019</v>
      </c>
      <c r="AF491">
        <f t="shared" si="111"/>
        <v>8.0682340356564006E-2</v>
      </c>
      <c r="AG491">
        <f t="shared" si="104"/>
        <v>1.1250966134015397</v>
      </c>
      <c r="AH491">
        <v>0.39060995166946577</v>
      </c>
      <c r="AI491">
        <v>0.58084564442180331</v>
      </c>
      <c r="AJ491">
        <v>5.9246426501835037E-2</v>
      </c>
      <c r="AK491">
        <v>1.5460954647698156E-2</v>
      </c>
      <c r="AL491">
        <v>0.40878386325677174</v>
      </c>
    </row>
    <row r="492" spans="1:38" x14ac:dyDescent="0.25">
      <c r="A492">
        <v>16</v>
      </c>
      <c r="B492" s="5" t="s">
        <v>22</v>
      </c>
      <c r="C492" s="6" t="s">
        <v>5</v>
      </c>
      <c r="D492" s="6" t="s">
        <v>61</v>
      </c>
      <c r="E492" s="29">
        <v>59132.4</v>
      </c>
      <c r="F492" s="11">
        <v>26</v>
      </c>
      <c r="G492" s="11">
        <v>21</v>
      </c>
      <c r="H492" s="11">
        <f t="shared" si="100"/>
        <v>5</v>
      </c>
      <c r="I492" s="18">
        <v>1</v>
      </c>
      <c r="J492" s="19">
        <v>0.9296187683284457</v>
      </c>
      <c r="K492" s="19">
        <v>1.1000000000000001</v>
      </c>
      <c r="L492" s="6">
        <v>1662184</v>
      </c>
      <c r="M492" s="7">
        <v>9159164</v>
      </c>
      <c r="N492" s="7">
        <v>744217.125</v>
      </c>
      <c r="O492" s="7">
        <v>30179408</v>
      </c>
      <c r="P492" s="7">
        <v>18198.1171875</v>
      </c>
      <c r="Q492" s="7">
        <v>26913.4765625</v>
      </c>
      <c r="R492" s="7">
        <v>14035282</v>
      </c>
      <c r="S492" s="7">
        <v>4064546.5</v>
      </c>
      <c r="T492" s="31">
        <f t="shared" si="101"/>
        <v>5988.9913218749998</v>
      </c>
      <c r="U492" s="37">
        <v>5207.333333333333</v>
      </c>
      <c r="V492">
        <f t="shared" si="102"/>
        <v>1.1501071543736399</v>
      </c>
      <c r="W492">
        <f t="shared" si="112"/>
        <v>2.2229682921615999E-2</v>
      </c>
      <c r="X492" s="29">
        <v>4965.7099999999991</v>
      </c>
      <c r="Y492">
        <f t="shared" si="103"/>
        <v>3.1920061451798744E-2</v>
      </c>
      <c r="Z492">
        <f t="shared" si="105"/>
        <v>0.17588971962616826</v>
      </c>
      <c r="AA492">
        <f t="shared" si="106"/>
        <v>1.4291712808859302E-2</v>
      </c>
      <c r="AB492">
        <f t="shared" si="107"/>
        <v>0.57955590833440029</v>
      </c>
      <c r="AC492">
        <f t="shared" si="108"/>
        <v>3.494709484220971E-4</v>
      </c>
      <c r="AD492">
        <f t="shared" si="109"/>
        <v>5.1683798289271538E-4</v>
      </c>
      <c r="AE492">
        <f t="shared" si="110"/>
        <v>0.2695291639994879</v>
      </c>
      <c r="AF492">
        <f t="shared" si="111"/>
        <v>7.8054279221610554E-2</v>
      </c>
      <c r="AG492">
        <f t="shared" si="104"/>
        <v>1.1501071543736399</v>
      </c>
      <c r="AH492">
        <v>0.39060995166946577</v>
      </c>
      <c r="AI492">
        <v>0.58084564442180331</v>
      </c>
      <c r="AJ492">
        <v>5.9246426501835037E-2</v>
      </c>
      <c r="AK492">
        <v>1.5460954647698156E-2</v>
      </c>
      <c r="AL492">
        <v>0.40878386325677174</v>
      </c>
    </row>
    <row r="493" spans="1:38" x14ac:dyDescent="0.25">
      <c r="A493">
        <v>16</v>
      </c>
      <c r="B493" s="5" t="s">
        <v>22</v>
      </c>
      <c r="C493" s="6" t="s">
        <v>5</v>
      </c>
      <c r="D493" s="6" t="s">
        <v>62</v>
      </c>
      <c r="E493" s="29">
        <v>59132.4</v>
      </c>
      <c r="F493" s="11">
        <v>27</v>
      </c>
      <c r="G493" s="11">
        <v>21</v>
      </c>
      <c r="H493" s="11">
        <f t="shared" si="100"/>
        <v>6</v>
      </c>
      <c r="I493" s="18">
        <v>1</v>
      </c>
      <c r="J493" s="19">
        <v>0.9296187683284457</v>
      </c>
      <c r="K493" s="19">
        <v>1.1000000000000001</v>
      </c>
      <c r="L493" s="6">
        <v>1609851.25</v>
      </c>
      <c r="M493" s="7">
        <v>8898463</v>
      </c>
      <c r="N493" s="7">
        <v>827196</v>
      </c>
      <c r="O493" s="7">
        <v>32115156</v>
      </c>
      <c r="P493" s="7">
        <v>18198.1171875</v>
      </c>
      <c r="Q493" s="7">
        <v>37778.046875</v>
      </c>
      <c r="R493" s="7">
        <v>13634924</v>
      </c>
      <c r="S493" s="7">
        <v>4106721.5</v>
      </c>
      <c r="T493" s="31">
        <f t="shared" si="101"/>
        <v>6124.8287914062503</v>
      </c>
      <c r="U493" s="37">
        <v>5273</v>
      </c>
      <c r="V493">
        <f t="shared" si="102"/>
        <v>1.1615453805056419</v>
      </c>
      <c r="W493">
        <f t="shared" si="112"/>
        <v>9.945356907401769E-3</v>
      </c>
      <c r="X493" s="29">
        <v>5041.7316666666666</v>
      </c>
      <c r="Y493">
        <f t="shared" si="103"/>
        <v>3.0530082495732979E-2</v>
      </c>
      <c r="Z493">
        <f t="shared" si="105"/>
        <v>0.16875522472975535</v>
      </c>
      <c r="AA493">
        <f t="shared" si="106"/>
        <v>1.5687388583349136E-2</v>
      </c>
      <c r="AB493">
        <f t="shared" si="107"/>
        <v>0.60904904229091594</v>
      </c>
      <c r="AC493">
        <f t="shared" si="108"/>
        <v>3.4511885430494975E-4</v>
      </c>
      <c r="AD493">
        <f t="shared" si="109"/>
        <v>7.1644314194955431E-4</v>
      </c>
      <c r="AE493">
        <f t="shared" si="110"/>
        <v>0.25858001137872177</v>
      </c>
      <c r="AF493">
        <f t="shared" si="111"/>
        <v>7.7882069030912188E-2</v>
      </c>
      <c r="AG493">
        <f t="shared" si="104"/>
        <v>1.1615453805056417</v>
      </c>
      <c r="AH493">
        <v>0.39060995166946577</v>
      </c>
      <c r="AI493">
        <v>0.58084564442180331</v>
      </c>
      <c r="AJ493">
        <v>5.9246426501835037E-2</v>
      </c>
      <c r="AK493">
        <v>1.5460954647698156E-2</v>
      </c>
      <c r="AL493">
        <v>0.40878386325677174</v>
      </c>
    </row>
    <row r="494" spans="1:38" x14ac:dyDescent="0.25">
      <c r="A494">
        <v>16</v>
      </c>
      <c r="B494" s="5" t="s">
        <v>22</v>
      </c>
      <c r="C494" s="6" t="s">
        <v>5</v>
      </c>
      <c r="D494" s="6" t="s">
        <v>63</v>
      </c>
      <c r="E494" s="29">
        <v>59132.4</v>
      </c>
      <c r="F494" s="11">
        <v>28</v>
      </c>
      <c r="G494" s="11">
        <v>21</v>
      </c>
      <c r="H494" s="11">
        <f t="shared" si="100"/>
        <v>7</v>
      </c>
      <c r="I494" s="18">
        <v>1</v>
      </c>
      <c r="J494" s="19">
        <v>0.9296187683284457</v>
      </c>
      <c r="K494" s="19">
        <v>1.1000000000000001</v>
      </c>
      <c r="L494" s="6">
        <v>1593945.75</v>
      </c>
      <c r="M494" s="7">
        <v>9286381</v>
      </c>
      <c r="N494" s="7">
        <v>1484976.875</v>
      </c>
      <c r="O494" s="7">
        <v>28037950</v>
      </c>
      <c r="P494" s="7">
        <v>18198.1171875</v>
      </c>
      <c r="Q494" s="7">
        <v>105621.328125</v>
      </c>
      <c r="R494" s="7">
        <v>14232235</v>
      </c>
      <c r="S494" s="7">
        <v>4179303.25</v>
      </c>
      <c r="T494" s="31">
        <f t="shared" si="101"/>
        <v>5893.8611320312502</v>
      </c>
      <c r="U494" s="37">
        <v>5278.7777777777774</v>
      </c>
      <c r="V494">
        <f t="shared" si="102"/>
        <v>1.1165200317472743</v>
      </c>
      <c r="W494">
        <f t="shared" si="112"/>
        <v>-3.8763314386190621E-2</v>
      </c>
      <c r="X494" s="29">
        <v>5117.7533333333331</v>
      </c>
      <c r="Y494">
        <f t="shared" si="103"/>
        <v>3.0195356143046581E-2</v>
      </c>
      <c r="Z494">
        <f t="shared" si="105"/>
        <v>0.17591915005577891</v>
      </c>
      <c r="AA494">
        <f t="shared" si="106"/>
        <v>2.8131073849165425E-2</v>
      </c>
      <c r="AB494">
        <f t="shared" si="107"/>
        <v>0.53114473047212118</v>
      </c>
      <c r="AC494">
        <f t="shared" si="108"/>
        <v>3.4474111155254799E-4</v>
      </c>
      <c r="AD494">
        <f t="shared" si="109"/>
        <v>2.0008671054431793E-3</v>
      </c>
      <c r="AE494">
        <f t="shared" si="110"/>
        <v>0.26961231556126208</v>
      </c>
      <c r="AF494">
        <f t="shared" si="111"/>
        <v>7.9171797448904416E-2</v>
      </c>
      <c r="AG494">
        <f t="shared" si="104"/>
        <v>1.1165200317472743</v>
      </c>
      <c r="AH494">
        <v>0.39060995166946577</v>
      </c>
      <c r="AI494">
        <v>0.58084564442180331</v>
      </c>
      <c r="AJ494">
        <v>5.9246426501835037E-2</v>
      </c>
      <c r="AK494">
        <v>1.5460954647698156E-2</v>
      </c>
      <c r="AL494">
        <v>0.40878386325677174</v>
      </c>
    </row>
    <row r="495" spans="1:38" x14ac:dyDescent="0.25">
      <c r="A495">
        <v>16</v>
      </c>
      <c r="B495" s="5" t="s">
        <v>22</v>
      </c>
      <c r="C495" s="6" t="s">
        <v>5</v>
      </c>
      <c r="D495" s="6" t="s">
        <v>64</v>
      </c>
      <c r="E495" s="29">
        <v>59132.4</v>
      </c>
      <c r="F495" s="11">
        <v>29</v>
      </c>
      <c r="G495" s="11">
        <v>21</v>
      </c>
      <c r="H495" s="11">
        <f t="shared" si="100"/>
        <v>8</v>
      </c>
      <c r="I495" s="18">
        <v>1</v>
      </c>
      <c r="J495" s="19">
        <v>0.9296187683284457</v>
      </c>
      <c r="K495" s="19">
        <v>1.1000000000000001</v>
      </c>
      <c r="L495" s="6">
        <v>1664690.375</v>
      </c>
      <c r="M495" s="7">
        <v>9554912</v>
      </c>
      <c r="N495" s="7">
        <v>3381822.75</v>
      </c>
      <c r="O495" s="7">
        <v>27592796</v>
      </c>
      <c r="P495" s="7">
        <v>18198.1171875</v>
      </c>
      <c r="Q495" s="7">
        <v>145679.1875</v>
      </c>
      <c r="R495" s="7">
        <v>14642326</v>
      </c>
      <c r="S495" s="7">
        <v>4326072</v>
      </c>
      <c r="T495" s="31">
        <f t="shared" si="101"/>
        <v>6132.6496429687504</v>
      </c>
      <c r="U495" s="37">
        <v>5284.5555555555557</v>
      </c>
      <c r="V495">
        <f t="shared" si="102"/>
        <v>1.1604854142410537</v>
      </c>
      <c r="W495">
        <f t="shared" si="112"/>
        <v>3.9377155128132058E-2</v>
      </c>
      <c r="X495" s="29">
        <v>5193.7749999999996</v>
      </c>
      <c r="Y495">
        <f t="shared" si="103"/>
        <v>3.1501047864847247E-2</v>
      </c>
      <c r="Z495">
        <f t="shared" si="105"/>
        <v>0.18080824204705537</v>
      </c>
      <c r="AA495">
        <f t="shared" si="106"/>
        <v>6.399445922079014E-2</v>
      </c>
      <c r="AB495">
        <f t="shared" si="107"/>
        <v>0.52214033346649569</v>
      </c>
      <c r="AC495">
        <f t="shared" si="108"/>
        <v>3.4436419479720777E-4</v>
      </c>
      <c r="AD495">
        <f t="shared" si="109"/>
        <v>2.7566970574630476E-3</v>
      </c>
      <c r="AE495">
        <f t="shared" si="110"/>
        <v>0.2770777191396312</v>
      </c>
      <c r="AF495">
        <f t="shared" si="111"/>
        <v>8.1862551249973714E-2</v>
      </c>
      <c r="AG495">
        <f t="shared" si="104"/>
        <v>1.1604854142410537</v>
      </c>
      <c r="AH495">
        <v>0.39060995166946577</v>
      </c>
      <c r="AI495">
        <v>0.58084564442180331</v>
      </c>
      <c r="AJ495">
        <v>5.9246426501835037E-2</v>
      </c>
      <c r="AK495">
        <v>1.5460954647698156E-2</v>
      </c>
      <c r="AL495">
        <v>0.40878386325677174</v>
      </c>
    </row>
    <row r="496" spans="1:38" x14ac:dyDescent="0.25">
      <c r="A496">
        <v>16</v>
      </c>
      <c r="B496" s="5" t="s">
        <v>22</v>
      </c>
      <c r="C496" s="6" t="s">
        <v>5</v>
      </c>
      <c r="D496" s="6" t="s">
        <v>65</v>
      </c>
      <c r="E496" s="29">
        <v>59132.4</v>
      </c>
      <c r="F496" s="11">
        <v>30</v>
      </c>
      <c r="G496" s="11">
        <v>21</v>
      </c>
      <c r="H496" s="11">
        <f t="shared" si="100"/>
        <v>9</v>
      </c>
      <c r="I496" s="18">
        <v>1</v>
      </c>
      <c r="J496" s="19">
        <v>0.9296187683284457</v>
      </c>
      <c r="K496" s="19">
        <v>1.1000000000000001</v>
      </c>
      <c r="L496" s="6">
        <v>1651099.25</v>
      </c>
      <c r="M496" s="7">
        <v>9519748</v>
      </c>
      <c r="N496" s="7">
        <v>4996454</v>
      </c>
      <c r="O496" s="7">
        <v>29471208</v>
      </c>
      <c r="P496" s="7">
        <v>18198.1171875</v>
      </c>
      <c r="Q496" s="7">
        <v>96146.4375</v>
      </c>
      <c r="R496" s="7">
        <v>14593446</v>
      </c>
      <c r="S496" s="7">
        <v>4271465.5</v>
      </c>
      <c r="T496" s="31">
        <f t="shared" si="101"/>
        <v>6461.77653046875</v>
      </c>
      <c r="U496" s="37">
        <v>5290.333333333333</v>
      </c>
      <c r="V496">
        <f t="shared" si="102"/>
        <v>1.2214308859811134</v>
      </c>
      <c r="W496">
        <f t="shared" si="112"/>
        <v>5.2517223389591208E-2</v>
      </c>
      <c r="X496" s="29">
        <v>5269.7966666666671</v>
      </c>
      <c r="Y496">
        <f t="shared" si="103"/>
        <v>3.1209739461911665E-2</v>
      </c>
      <c r="Z496">
        <f t="shared" si="105"/>
        <v>0.17994609035347489</v>
      </c>
      <c r="AA496">
        <f t="shared" si="106"/>
        <v>9.4444975111839205E-2</v>
      </c>
      <c r="AB496">
        <f t="shared" si="107"/>
        <v>0.55707657992565052</v>
      </c>
      <c r="AC496">
        <f t="shared" si="108"/>
        <v>3.4398810133261926E-4</v>
      </c>
      <c r="AD496">
        <f t="shared" si="109"/>
        <v>1.8173984783567516E-3</v>
      </c>
      <c r="AE496">
        <f t="shared" si="110"/>
        <v>0.27585116249763725</v>
      </c>
      <c r="AF496">
        <f t="shared" si="111"/>
        <v>8.0740952050910475E-2</v>
      </c>
      <c r="AG496">
        <f t="shared" si="104"/>
        <v>1.2214308859811132</v>
      </c>
      <c r="AH496">
        <v>0.39060995166946577</v>
      </c>
      <c r="AI496">
        <v>0.58084564442180331</v>
      </c>
      <c r="AJ496">
        <v>5.9246426501835037E-2</v>
      </c>
      <c r="AK496">
        <v>1.5460954647698156E-2</v>
      </c>
      <c r="AL496">
        <v>0.40878386325677174</v>
      </c>
    </row>
    <row r="497" spans="1:38" x14ac:dyDescent="0.25">
      <c r="A497">
        <v>16</v>
      </c>
      <c r="B497" s="5" t="s">
        <v>22</v>
      </c>
      <c r="C497" s="6" t="s">
        <v>5</v>
      </c>
      <c r="D497" s="6" t="s">
        <v>66</v>
      </c>
      <c r="E497" s="29">
        <v>59132.4</v>
      </c>
      <c r="F497" s="11">
        <v>31</v>
      </c>
      <c r="G497" s="11">
        <v>21</v>
      </c>
      <c r="H497" s="11">
        <f t="shared" si="100"/>
        <v>10</v>
      </c>
      <c r="I497" s="18">
        <v>1</v>
      </c>
      <c r="J497" s="19">
        <v>0.9296187683284457</v>
      </c>
      <c r="K497" s="19">
        <v>1.1000000000000001</v>
      </c>
      <c r="L497" s="6">
        <v>1649804.25</v>
      </c>
      <c r="M497" s="7">
        <v>9605519</v>
      </c>
      <c r="N497" s="7">
        <v>7579173</v>
      </c>
      <c r="O497" s="7">
        <v>32873938</v>
      </c>
      <c r="P497" s="7">
        <v>18206.853515625</v>
      </c>
      <c r="Q497" s="7">
        <v>45271.1171875</v>
      </c>
      <c r="R497" s="7">
        <v>14728927</v>
      </c>
      <c r="S497" s="7">
        <v>4116419.5</v>
      </c>
      <c r="T497" s="31">
        <f t="shared" si="101"/>
        <v>7061.7258720703121</v>
      </c>
      <c r="U497" s="37">
        <v>5296.1111111111104</v>
      </c>
      <c r="V497">
        <f t="shared" si="102"/>
        <v>1.3333794786244166</v>
      </c>
      <c r="W497">
        <f t="shared" si="112"/>
        <v>9.1653644858817079E-2</v>
      </c>
      <c r="X497" s="29">
        <v>5345.8183333333336</v>
      </c>
      <c r="Y497">
        <f t="shared" si="103"/>
        <v>3.115123937899927E-2</v>
      </c>
      <c r="Z497">
        <f t="shared" si="105"/>
        <v>0.18136928773733349</v>
      </c>
      <c r="AA497">
        <f t="shared" si="106"/>
        <v>0.14310827021923844</v>
      </c>
      <c r="AB497">
        <f t="shared" si="107"/>
        <v>0.62071843491031153</v>
      </c>
      <c r="AC497">
        <f t="shared" si="108"/>
        <v>3.4377778588193648E-4</v>
      </c>
      <c r="AD497">
        <f t="shared" si="109"/>
        <v>8.5479923358334218E-4</v>
      </c>
      <c r="AE497">
        <f t="shared" si="110"/>
        <v>0.27810834574635485</v>
      </c>
      <c r="AF497">
        <f t="shared" si="111"/>
        <v>7.772532361271374E-2</v>
      </c>
      <c r="AG497">
        <f t="shared" si="104"/>
        <v>1.3333794786244166</v>
      </c>
      <c r="AH497">
        <v>0.39060995166946577</v>
      </c>
      <c r="AI497">
        <v>0.58084564442180331</v>
      </c>
      <c r="AJ497">
        <v>5.9246426501835037E-2</v>
      </c>
      <c r="AK497">
        <v>1.5460954647698156E-2</v>
      </c>
      <c r="AL497">
        <v>0.40878386325677174</v>
      </c>
    </row>
    <row r="498" spans="1:38" x14ac:dyDescent="0.25">
      <c r="A498">
        <v>17</v>
      </c>
      <c r="B498" s="5" t="s">
        <v>25</v>
      </c>
      <c r="C498" s="6" t="s">
        <v>5</v>
      </c>
      <c r="D498" s="6" t="s">
        <v>36</v>
      </c>
      <c r="E498" s="28">
        <v>50012.936900000001</v>
      </c>
      <c r="F498" s="11">
        <v>1</v>
      </c>
      <c r="G498" s="11"/>
      <c r="H498" s="18">
        <f t="shared" si="100"/>
        <v>1</v>
      </c>
      <c r="I498" s="18">
        <v>0</v>
      </c>
      <c r="J498" s="19">
        <v>0</v>
      </c>
      <c r="K498" s="19">
        <v>0</v>
      </c>
      <c r="L498" s="14">
        <v>12672364</v>
      </c>
      <c r="M498" s="16">
        <v>8194184.5</v>
      </c>
      <c r="N498" s="16">
        <v>2076647.625</v>
      </c>
      <c r="O498" s="16">
        <v>11875039</v>
      </c>
      <c r="P498" s="16">
        <v>10083.892578125</v>
      </c>
      <c r="Q498" s="16">
        <v>29251.21484375</v>
      </c>
      <c r="R498" s="16">
        <v>6522815</v>
      </c>
      <c r="S498" s="16">
        <v>2730375.75</v>
      </c>
      <c r="T498" s="31">
        <f t="shared" si="101"/>
        <v>4411.0760982421871</v>
      </c>
      <c r="U498" s="37"/>
      <c r="X498" s="28">
        <v>3878.9870833333334</v>
      </c>
      <c r="Y498" t="e">
        <f t="shared" si="103"/>
        <v>#DIV/0!</v>
      </c>
      <c r="Z498" t="e">
        <f t="shared" si="105"/>
        <v>#DIV/0!</v>
      </c>
      <c r="AA498" t="e">
        <f t="shared" si="106"/>
        <v>#DIV/0!</v>
      </c>
      <c r="AB498" t="e">
        <f t="shared" si="107"/>
        <v>#DIV/0!</v>
      </c>
      <c r="AC498" t="e">
        <f t="shared" si="108"/>
        <v>#DIV/0!</v>
      </c>
      <c r="AD498" t="e">
        <f t="shared" si="109"/>
        <v>#DIV/0!</v>
      </c>
      <c r="AE498" t="e">
        <f t="shared" si="110"/>
        <v>#DIV/0!</v>
      </c>
      <c r="AF498" t="e">
        <f t="shared" si="111"/>
        <v>#DIV/0!</v>
      </c>
      <c r="AG498" t="e">
        <f t="shared" si="104"/>
        <v>#DIV/0!</v>
      </c>
      <c r="AH498">
        <v>0.38472645664606031</v>
      </c>
      <c r="AI498">
        <v>0.64082332761578042</v>
      </c>
      <c r="AJ498">
        <v>3.1354706163915738E-2</v>
      </c>
      <c r="AK498">
        <v>1.446813854276972E-2</v>
      </c>
      <c r="AL498">
        <v>0.41384630316108434</v>
      </c>
    </row>
    <row r="499" spans="1:38" x14ac:dyDescent="0.25">
      <c r="A499">
        <v>17</v>
      </c>
      <c r="B499" s="5" t="s">
        <v>25</v>
      </c>
      <c r="C499" s="6" t="s">
        <v>5</v>
      </c>
      <c r="D499" s="6" t="s">
        <v>37</v>
      </c>
      <c r="E499" s="28">
        <v>50012.936900000001</v>
      </c>
      <c r="F499" s="11">
        <v>2</v>
      </c>
      <c r="G499" s="11"/>
      <c r="H499" s="11">
        <f t="shared" si="100"/>
        <v>2</v>
      </c>
      <c r="I499" s="18">
        <v>0</v>
      </c>
      <c r="J499" s="19">
        <v>0</v>
      </c>
      <c r="K499" s="19">
        <v>0</v>
      </c>
      <c r="L499" s="6">
        <v>13764686</v>
      </c>
      <c r="M499" s="7">
        <v>7866840</v>
      </c>
      <c r="N499" s="7">
        <v>2076647.625</v>
      </c>
      <c r="O499" s="7">
        <v>11400858</v>
      </c>
      <c r="P499" s="7">
        <v>10083.892578125</v>
      </c>
      <c r="Q499" s="7">
        <v>17368.779296875</v>
      </c>
      <c r="R499" s="7">
        <v>6618121</v>
      </c>
      <c r="S499" s="7">
        <v>2681917.25</v>
      </c>
      <c r="T499" s="31">
        <f t="shared" si="101"/>
        <v>4443.6522546875003</v>
      </c>
      <c r="U499" s="37">
        <v>4126</v>
      </c>
      <c r="V499">
        <f t="shared" si="102"/>
        <v>1.0769879434531024</v>
      </c>
      <c r="W499" t="e">
        <f>(V499-V498)/V498</f>
        <v>#DIV/0!</v>
      </c>
      <c r="X499" s="28">
        <v>4469.5462499999994</v>
      </c>
      <c r="Y499">
        <f t="shared" si="103"/>
        <v>0.33360848279205041</v>
      </c>
      <c r="Z499">
        <f t="shared" si="105"/>
        <v>0.19066505089675231</v>
      </c>
      <c r="AA499">
        <f t="shared" si="106"/>
        <v>5.0330771328162868E-2</v>
      </c>
      <c r="AB499">
        <f t="shared" si="107"/>
        <v>0.2763174503150751</v>
      </c>
      <c r="AC499">
        <f t="shared" si="108"/>
        <v>2.4439875371122153E-4</v>
      </c>
      <c r="AD499">
        <f t="shared" si="109"/>
        <v>4.2095926555683471E-4</v>
      </c>
      <c r="AE499">
        <f t="shared" si="110"/>
        <v>0.16040041202132815</v>
      </c>
      <c r="AF499">
        <f t="shared" si="111"/>
        <v>6.5000418080465347E-2</v>
      </c>
      <c r="AG499">
        <f t="shared" si="104"/>
        <v>1.0769879434531022</v>
      </c>
      <c r="AH499">
        <v>0.38472645664606031</v>
      </c>
      <c r="AI499">
        <v>0.64082332761578042</v>
      </c>
      <c r="AJ499">
        <v>3.1354706163915738E-2</v>
      </c>
      <c r="AK499">
        <v>1.446813854276972E-2</v>
      </c>
      <c r="AL499">
        <v>0.41384630316108434</v>
      </c>
    </row>
    <row r="500" spans="1:38" x14ac:dyDescent="0.25">
      <c r="A500">
        <v>17</v>
      </c>
      <c r="B500" s="5" t="s">
        <v>25</v>
      </c>
      <c r="C500" s="6" t="s">
        <v>5</v>
      </c>
      <c r="D500" s="6" t="s">
        <v>38</v>
      </c>
      <c r="E500" s="28">
        <v>50012.936900000001</v>
      </c>
      <c r="F500" s="11">
        <v>3</v>
      </c>
      <c r="G500" s="11"/>
      <c r="H500" s="11">
        <f t="shared" si="100"/>
        <v>3</v>
      </c>
      <c r="I500" s="18">
        <v>0</v>
      </c>
      <c r="J500" s="19">
        <v>0</v>
      </c>
      <c r="K500" s="19">
        <v>0</v>
      </c>
      <c r="L500" s="6">
        <v>13759332</v>
      </c>
      <c r="M500" s="7">
        <v>7641415.5</v>
      </c>
      <c r="N500" s="7">
        <v>2076647.625</v>
      </c>
      <c r="O500" s="7">
        <v>11078023</v>
      </c>
      <c r="P500" s="7">
        <v>10083.892578125</v>
      </c>
      <c r="Q500" s="7">
        <v>24346.796875</v>
      </c>
      <c r="R500" s="7">
        <v>6289294.5</v>
      </c>
      <c r="S500" s="7">
        <v>2706282.5</v>
      </c>
      <c r="T500" s="31">
        <f t="shared" si="101"/>
        <v>4358.5425814453129</v>
      </c>
      <c r="U500" s="37">
        <v>3985</v>
      </c>
      <c r="V500">
        <f t="shared" si="102"/>
        <v>1.0937371597102417</v>
      </c>
      <c r="W500">
        <f t="shared" ref="W500:W528" si="113">(V500-V499)/V499</f>
        <v>1.5551906926122945E-2</v>
      </c>
      <c r="X500" s="28">
        <v>5060.1054166666663</v>
      </c>
      <c r="Y500">
        <f t="shared" si="103"/>
        <v>0.34527809284818067</v>
      </c>
      <c r="Z500">
        <f t="shared" si="105"/>
        <v>0.19175446675031366</v>
      </c>
      <c r="AA500">
        <f t="shared" si="106"/>
        <v>5.2111609159347552E-2</v>
      </c>
      <c r="AB500">
        <f t="shared" si="107"/>
        <v>0.27799304893350063</v>
      </c>
      <c r="AC500">
        <f t="shared" si="108"/>
        <v>2.5304623784504389E-4</v>
      </c>
      <c r="AD500">
        <f t="shared" si="109"/>
        <v>6.1096102572145549E-4</v>
      </c>
      <c r="AE500">
        <f t="shared" si="110"/>
        <v>0.15782420326223337</v>
      </c>
      <c r="AF500">
        <f t="shared" si="111"/>
        <v>6.791173149309912E-2</v>
      </c>
      <c r="AG500">
        <f t="shared" si="104"/>
        <v>1.0937371597102414</v>
      </c>
      <c r="AH500">
        <v>0.38472645664606031</v>
      </c>
      <c r="AI500">
        <v>0.64082332761578042</v>
      </c>
      <c r="AJ500">
        <v>3.1354706163915738E-2</v>
      </c>
      <c r="AK500">
        <v>1.446813854276972E-2</v>
      </c>
      <c r="AL500">
        <v>0.41384630316108434</v>
      </c>
    </row>
    <row r="501" spans="1:38" x14ac:dyDescent="0.25">
      <c r="A501">
        <v>17</v>
      </c>
      <c r="B501" s="5" t="s">
        <v>25</v>
      </c>
      <c r="C501" s="6" t="s">
        <v>5</v>
      </c>
      <c r="D501" s="6" t="s">
        <v>39</v>
      </c>
      <c r="E501" s="28">
        <v>50012.936900000001</v>
      </c>
      <c r="F501" s="11">
        <v>4</v>
      </c>
      <c r="G501" s="11"/>
      <c r="H501" s="11">
        <f t="shared" si="100"/>
        <v>4</v>
      </c>
      <c r="I501" s="18">
        <v>0</v>
      </c>
      <c r="J501" s="19">
        <v>0</v>
      </c>
      <c r="K501" s="19">
        <v>0</v>
      </c>
      <c r="L501" s="6">
        <v>13077523</v>
      </c>
      <c r="M501" s="7">
        <v>7975599</v>
      </c>
      <c r="N501" s="7">
        <v>2076647.625</v>
      </c>
      <c r="O501" s="7">
        <v>11561443</v>
      </c>
      <c r="P501" s="7">
        <v>10083.892578125</v>
      </c>
      <c r="Q501" s="7">
        <v>67696.6796875</v>
      </c>
      <c r="R501" s="7">
        <v>6197420</v>
      </c>
      <c r="S501" s="7">
        <v>2748217.75</v>
      </c>
      <c r="T501" s="31">
        <f t="shared" si="101"/>
        <v>4371.4630947265623</v>
      </c>
      <c r="U501" s="37">
        <v>4376.1111111111104</v>
      </c>
      <c r="V501">
        <f t="shared" si="102"/>
        <v>0.99893786600327705</v>
      </c>
      <c r="W501">
        <f t="shared" si="113"/>
        <v>-8.6674657494565974E-2</v>
      </c>
      <c r="X501" s="28">
        <v>5650.6645833333332</v>
      </c>
      <c r="Y501">
        <f t="shared" si="103"/>
        <v>0.29883891583090011</v>
      </c>
      <c r="Z501">
        <f t="shared" si="105"/>
        <v>0.18225311920782025</v>
      </c>
      <c r="AA501">
        <f t="shared" si="106"/>
        <v>4.7454179573441675E-2</v>
      </c>
      <c r="AB501">
        <f t="shared" si="107"/>
        <v>0.26419445728069069</v>
      </c>
      <c r="AC501">
        <f t="shared" si="108"/>
        <v>2.3043045119493466E-4</v>
      </c>
      <c r="AD501">
        <f t="shared" si="109"/>
        <v>1.546959799892091E-3</v>
      </c>
      <c r="AE501">
        <f t="shared" si="110"/>
        <v>0.14161934746730992</v>
      </c>
      <c r="AF501">
        <f t="shared" si="111"/>
        <v>6.2800456392027429E-2</v>
      </c>
      <c r="AG501">
        <f t="shared" si="104"/>
        <v>0.99893786600327705</v>
      </c>
      <c r="AH501">
        <v>0.38472645664606031</v>
      </c>
      <c r="AI501">
        <v>0.64082332761578042</v>
      </c>
      <c r="AJ501">
        <v>3.1354706163915738E-2</v>
      </c>
      <c r="AK501">
        <v>1.446813854276972E-2</v>
      </c>
      <c r="AL501">
        <v>0.41384630316108434</v>
      </c>
    </row>
    <row r="502" spans="1:38" x14ac:dyDescent="0.25">
      <c r="A502">
        <v>17</v>
      </c>
      <c r="B502" s="5" t="s">
        <v>25</v>
      </c>
      <c r="C502" s="6" t="s">
        <v>5</v>
      </c>
      <c r="D502" s="6" t="s">
        <v>40</v>
      </c>
      <c r="E502" s="28">
        <v>50012.936900000001</v>
      </c>
      <c r="F502" s="11">
        <v>5</v>
      </c>
      <c r="G502" s="11"/>
      <c r="H502" s="11">
        <f t="shared" si="100"/>
        <v>5</v>
      </c>
      <c r="I502" s="18">
        <v>0</v>
      </c>
      <c r="J502" s="19">
        <v>0</v>
      </c>
      <c r="K502" s="19">
        <v>0</v>
      </c>
      <c r="L502" s="6">
        <v>14819527</v>
      </c>
      <c r="M502" s="7">
        <v>8208229.5</v>
      </c>
      <c r="N502" s="7">
        <v>2076647.625</v>
      </c>
      <c r="O502" s="7">
        <v>11890799</v>
      </c>
      <c r="P502" s="7">
        <v>10083.892578125</v>
      </c>
      <c r="Q502" s="7">
        <v>93387.1484375</v>
      </c>
      <c r="R502" s="7">
        <v>6656912.5</v>
      </c>
      <c r="S502" s="7">
        <v>2833027.5</v>
      </c>
      <c r="T502" s="31">
        <f t="shared" si="101"/>
        <v>4658.8614166015623</v>
      </c>
      <c r="U502" s="37">
        <v>4767.2222222222217</v>
      </c>
      <c r="V502">
        <f t="shared" si="102"/>
        <v>0.97726961308504989</v>
      </c>
      <c r="W502">
        <f t="shared" si="113"/>
        <v>-2.1691291976868636E-2</v>
      </c>
      <c r="X502" s="28">
        <v>6241.2237499999992</v>
      </c>
      <c r="Y502">
        <f t="shared" si="103"/>
        <v>0.31086293672066195</v>
      </c>
      <c r="Z502">
        <f t="shared" si="105"/>
        <v>0.17218055121780682</v>
      </c>
      <c r="AA502">
        <f t="shared" si="106"/>
        <v>4.3560957056287153E-2</v>
      </c>
      <c r="AB502">
        <f t="shared" si="107"/>
        <v>0.24942825078662162</v>
      </c>
      <c r="AC502">
        <f t="shared" si="108"/>
        <v>2.1152554062026571E-4</v>
      </c>
      <c r="AD502">
        <f t="shared" si="109"/>
        <v>1.958942631249272E-3</v>
      </c>
      <c r="AE502">
        <f t="shared" si="110"/>
        <v>0.13963923202423961</v>
      </c>
      <c r="AF502">
        <f t="shared" si="111"/>
        <v>5.9427217107563227E-2</v>
      </c>
      <c r="AG502">
        <f t="shared" si="104"/>
        <v>0.97726961308504989</v>
      </c>
      <c r="AH502">
        <v>0.38472645664606031</v>
      </c>
      <c r="AI502">
        <v>0.64082332761578042</v>
      </c>
      <c r="AJ502">
        <v>3.1354706163915738E-2</v>
      </c>
      <c r="AK502">
        <v>1.446813854276972E-2</v>
      </c>
      <c r="AL502">
        <v>0.41384630316108434</v>
      </c>
    </row>
    <row r="503" spans="1:38" x14ac:dyDescent="0.25">
      <c r="A503">
        <v>17</v>
      </c>
      <c r="B503" s="5" t="s">
        <v>25</v>
      </c>
      <c r="C503" s="6" t="s">
        <v>5</v>
      </c>
      <c r="D503" s="6" t="s">
        <v>41</v>
      </c>
      <c r="E503" s="28">
        <v>50012.936900000001</v>
      </c>
      <c r="F503" s="11">
        <v>6</v>
      </c>
      <c r="G503" s="11"/>
      <c r="H503" s="11">
        <f t="shared" si="100"/>
        <v>6</v>
      </c>
      <c r="I503" s="18">
        <v>0</v>
      </c>
      <c r="J503" s="19">
        <v>0</v>
      </c>
      <c r="K503" s="19">
        <v>0</v>
      </c>
      <c r="L503" s="6">
        <v>15656617</v>
      </c>
      <c r="M503" s="7">
        <v>8179814</v>
      </c>
      <c r="N503" s="7">
        <v>2076647.625</v>
      </c>
      <c r="O503" s="7">
        <v>11848878</v>
      </c>
      <c r="P503" s="7">
        <v>10083.892578125</v>
      </c>
      <c r="Q503" s="7">
        <v>61671.4765625</v>
      </c>
      <c r="R503" s="7">
        <v>6585059</v>
      </c>
      <c r="S503" s="7">
        <v>2801463.25</v>
      </c>
      <c r="T503" s="31">
        <f t="shared" si="101"/>
        <v>4722.0234244140629</v>
      </c>
      <c r="U503" s="37">
        <v>5158.333333333333</v>
      </c>
      <c r="V503">
        <f t="shared" si="102"/>
        <v>0.9154164958476374</v>
      </c>
      <c r="W503">
        <f t="shared" si="113"/>
        <v>-6.3291763510536503E-2</v>
      </c>
      <c r="X503" s="28">
        <v>6831.7829166666661</v>
      </c>
      <c r="Y503">
        <f t="shared" si="103"/>
        <v>0.3035208465266559</v>
      </c>
      <c r="Z503">
        <f t="shared" si="105"/>
        <v>0.15857474636510502</v>
      </c>
      <c r="AA503">
        <f t="shared" si="106"/>
        <v>4.0258112277867533E-2</v>
      </c>
      <c r="AB503">
        <f t="shared" si="107"/>
        <v>0.22970361227786754</v>
      </c>
      <c r="AC503">
        <f t="shared" si="108"/>
        <v>1.9548741670032311E-4</v>
      </c>
      <c r="AD503">
        <f t="shared" si="109"/>
        <v>1.1955698202746365E-3</v>
      </c>
      <c r="AE503">
        <f t="shared" si="110"/>
        <v>0.12765865589660744</v>
      </c>
      <c r="AF503">
        <f t="shared" si="111"/>
        <v>5.4309465266558971E-2</v>
      </c>
      <c r="AG503">
        <f t="shared" si="104"/>
        <v>0.9154164958476374</v>
      </c>
      <c r="AH503">
        <v>0.38472645664606031</v>
      </c>
      <c r="AI503">
        <v>0.64082332761578042</v>
      </c>
      <c r="AJ503">
        <v>3.1354706163915738E-2</v>
      </c>
      <c r="AK503">
        <v>1.446813854276972E-2</v>
      </c>
      <c r="AL503">
        <v>0.41384630316108434</v>
      </c>
    </row>
    <row r="504" spans="1:38" x14ac:dyDescent="0.25">
      <c r="A504">
        <v>17</v>
      </c>
      <c r="B504" s="5" t="s">
        <v>25</v>
      </c>
      <c r="C504" s="6" t="s">
        <v>5</v>
      </c>
      <c r="D504" s="6" t="s">
        <v>42</v>
      </c>
      <c r="E504" s="28">
        <v>50012.936900000001</v>
      </c>
      <c r="F504" s="11">
        <v>7</v>
      </c>
      <c r="G504" s="11"/>
      <c r="H504" s="11">
        <f t="shared" si="100"/>
        <v>7</v>
      </c>
      <c r="I504" s="18">
        <v>0</v>
      </c>
      <c r="J504" s="19">
        <v>0</v>
      </c>
      <c r="K504" s="19">
        <v>0</v>
      </c>
      <c r="L504" s="6">
        <v>19122776</v>
      </c>
      <c r="M504" s="7">
        <v>8254427.5</v>
      </c>
      <c r="N504" s="7">
        <v>2077644.5</v>
      </c>
      <c r="O504" s="7">
        <v>11957715</v>
      </c>
      <c r="P504" s="7">
        <v>10088.7333984375</v>
      </c>
      <c r="Q504" s="7">
        <v>28860.21875</v>
      </c>
      <c r="R504" s="7">
        <v>6587004</v>
      </c>
      <c r="S504" s="7">
        <v>2712017.25</v>
      </c>
      <c r="T504" s="31">
        <f t="shared" si="101"/>
        <v>5075.0533202148436</v>
      </c>
      <c r="U504" s="37">
        <v>5549.4444444444443</v>
      </c>
      <c r="V504">
        <f t="shared" si="102"/>
        <v>0.91451556475990781</v>
      </c>
      <c r="W504">
        <f t="shared" si="113"/>
        <v>-9.8417615568023001E-4</v>
      </c>
      <c r="X504" s="28">
        <v>7422.342083333333</v>
      </c>
      <c r="Y504">
        <f t="shared" si="103"/>
        <v>0.34458901591750929</v>
      </c>
      <c r="Z504">
        <f t="shared" si="105"/>
        <v>0.1487433126439083</v>
      </c>
      <c r="AA504">
        <f t="shared" si="106"/>
        <v>3.7438783662028234E-2</v>
      </c>
      <c r="AB504">
        <f t="shared" si="107"/>
        <v>0.21547589348283114</v>
      </c>
      <c r="AC504">
        <f t="shared" si="108"/>
        <v>1.8179717806774955E-4</v>
      </c>
      <c r="AD504">
        <f t="shared" si="109"/>
        <v>5.2005599909900888E-4</v>
      </c>
      <c r="AE504">
        <f t="shared" si="110"/>
        <v>0.11869663830213235</v>
      </c>
      <c r="AF504">
        <f t="shared" si="111"/>
        <v>4.8870067574331766E-2</v>
      </c>
      <c r="AG504">
        <f t="shared" si="104"/>
        <v>0.91451556475990792</v>
      </c>
      <c r="AH504">
        <v>0.38472645664606031</v>
      </c>
      <c r="AI504">
        <v>0.64082332761578042</v>
      </c>
      <c r="AJ504">
        <v>3.1354706163915738E-2</v>
      </c>
      <c r="AK504">
        <v>1.446813854276972E-2</v>
      </c>
      <c r="AL504">
        <v>0.41384630316108434</v>
      </c>
    </row>
    <row r="505" spans="1:38" x14ac:dyDescent="0.25">
      <c r="A505">
        <v>17</v>
      </c>
      <c r="B505" s="5" t="s">
        <v>25</v>
      </c>
      <c r="C505" s="6" t="s">
        <v>5</v>
      </c>
      <c r="D505" s="6" t="s">
        <v>43</v>
      </c>
      <c r="E505" s="28">
        <v>53734.9</v>
      </c>
      <c r="F505" s="11">
        <v>8</v>
      </c>
      <c r="G505" s="11"/>
      <c r="H505" s="18">
        <f t="shared" si="100"/>
        <v>8</v>
      </c>
      <c r="I505" s="18">
        <v>0</v>
      </c>
      <c r="J505" s="19">
        <v>0</v>
      </c>
      <c r="K505" s="19">
        <v>0</v>
      </c>
      <c r="L505" s="14">
        <v>13432709</v>
      </c>
      <c r="M505" s="16">
        <v>7446693</v>
      </c>
      <c r="N505" s="16">
        <v>2056816.25</v>
      </c>
      <c r="O505" s="16">
        <v>11652794</v>
      </c>
      <c r="P505" s="16">
        <v>10313.7216796875</v>
      </c>
      <c r="Q505" s="16">
        <v>14914.63671875</v>
      </c>
      <c r="R505" s="16">
        <v>6877804</v>
      </c>
      <c r="S505" s="16">
        <v>2482463</v>
      </c>
      <c r="T505" s="31">
        <f t="shared" si="101"/>
        <v>4397.4507608398435</v>
      </c>
      <c r="U505" s="37">
        <v>3450.9999999999995</v>
      </c>
      <c r="V505">
        <f t="shared" si="102"/>
        <v>1.2742540599362051</v>
      </c>
      <c r="W505">
        <f t="shared" si="113"/>
        <v>0.39336508752668542</v>
      </c>
      <c r="X505" s="28">
        <v>3180.3291666666664</v>
      </c>
      <c r="Y505">
        <f t="shared" si="103"/>
        <v>0.38924106056215596</v>
      </c>
      <c r="Z505">
        <f t="shared" si="105"/>
        <v>0.21578362793393221</v>
      </c>
      <c r="AA505">
        <f t="shared" si="106"/>
        <v>5.9600586786438724E-2</v>
      </c>
      <c r="AB505">
        <f t="shared" si="107"/>
        <v>0.33766427122573173</v>
      </c>
      <c r="AC505">
        <f t="shared" si="108"/>
        <v>2.9886182786692268E-4</v>
      </c>
      <c r="AD505">
        <f t="shared" si="109"/>
        <v>4.3218304024195895E-4</v>
      </c>
      <c r="AE505">
        <f t="shared" si="110"/>
        <v>0.19929886989278472</v>
      </c>
      <c r="AF505">
        <f t="shared" si="111"/>
        <v>7.193459866705304E-2</v>
      </c>
      <c r="AG505">
        <f t="shared" si="104"/>
        <v>1.2742540599362053</v>
      </c>
      <c r="AH505">
        <v>0.37123917602898676</v>
      </c>
      <c r="AI505">
        <v>0.64664613278576322</v>
      </c>
      <c r="AJ505">
        <v>3.1430000484034916E-2</v>
      </c>
      <c r="AK505">
        <v>1.4760574598631431E-2</v>
      </c>
      <c r="AL505">
        <v>0.38047071674317906</v>
      </c>
    </row>
    <row r="506" spans="1:38" x14ac:dyDescent="0.25">
      <c r="A506">
        <v>17</v>
      </c>
      <c r="B506" s="5" t="s">
        <v>25</v>
      </c>
      <c r="C506" s="6" t="s">
        <v>5</v>
      </c>
      <c r="D506" s="6" t="s">
        <v>44</v>
      </c>
      <c r="E506" s="28">
        <v>53734.9</v>
      </c>
      <c r="F506" s="11">
        <v>9</v>
      </c>
      <c r="G506" s="11"/>
      <c r="H506" s="11">
        <f t="shared" si="100"/>
        <v>9</v>
      </c>
      <c r="I506" s="18">
        <v>0</v>
      </c>
      <c r="J506" s="19">
        <v>0</v>
      </c>
      <c r="K506" s="19">
        <v>0</v>
      </c>
      <c r="L506" s="6">
        <v>13366148</v>
      </c>
      <c r="M506" s="7">
        <v>7299189</v>
      </c>
      <c r="N506" s="7">
        <v>2056816.25</v>
      </c>
      <c r="O506" s="7">
        <v>11413274</v>
      </c>
      <c r="P506" s="7">
        <v>10313.7216796875</v>
      </c>
      <c r="Q506" s="7">
        <v>21111.03125</v>
      </c>
      <c r="R506" s="7">
        <v>6527394</v>
      </c>
      <c r="S506" s="7">
        <v>2513174.25</v>
      </c>
      <c r="T506" s="31">
        <f t="shared" si="101"/>
        <v>4320.7420252929687</v>
      </c>
      <c r="U506" s="37">
        <v>3716.6666666666665</v>
      </c>
      <c r="V506">
        <f t="shared" si="102"/>
        <v>1.1625314866259109</v>
      </c>
      <c r="W506">
        <f t="shared" si="113"/>
        <v>-8.7676843121761425E-2</v>
      </c>
      <c r="X506" s="28">
        <v>3401.2041666666664</v>
      </c>
      <c r="Y506">
        <f t="shared" si="103"/>
        <v>0.3596273004484305</v>
      </c>
      <c r="Z506">
        <f t="shared" si="105"/>
        <v>0.19639073542600896</v>
      </c>
      <c r="AA506">
        <f t="shared" si="106"/>
        <v>5.5340347533632289E-2</v>
      </c>
      <c r="AB506">
        <f t="shared" si="107"/>
        <v>0.30708360538116597</v>
      </c>
      <c r="AC506">
        <f t="shared" si="108"/>
        <v>2.7749923801849777E-4</v>
      </c>
      <c r="AD506">
        <f t="shared" si="109"/>
        <v>5.6800980941704041E-4</v>
      </c>
      <c r="AE506">
        <f t="shared" si="110"/>
        <v>0.17562495067264575</v>
      </c>
      <c r="AF506">
        <f t="shared" si="111"/>
        <v>6.7619038116591937E-2</v>
      </c>
      <c r="AG506">
        <f t="shared" si="104"/>
        <v>1.1625314866259109</v>
      </c>
      <c r="AH506">
        <v>0.37123917602898676</v>
      </c>
      <c r="AI506">
        <v>0.64664613278576322</v>
      </c>
      <c r="AJ506">
        <v>3.1430000484034916E-2</v>
      </c>
      <c r="AK506">
        <v>1.4760574598631431E-2</v>
      </c>
      <c r="AL506">
        <v>0.38047071674317906</v>
      </c>
    </row>
    <row r="507" spans="1:38" x14ac:dyDescent="0.25">
      <c r="A507">
        <v>17</v>
      </c>
      <c r="B507" s="5" t="s">
        <v>25</v>
      </c>
      <c r="C507" s="6" t="s">
        <v>5</v>
      </c>
      <c r="D507" s="6" t="s">
        <v>45</v>
      </c>
      <c r="E507" s="28">
        <v>53734.9</v>
      </c>
      <c r="F507" s="11">
        <v>10</v>
      </c>
      <c r="G507" s="11"/>
      <c r="H507" s="11">
        <f t="shared" si="100"/>
        <v>10</v>
      </c>
      <c r="I507" s="18">
        <v>0</v>
      </c>
      <c r="J507" s="19">
        <v>0</v>
      </c>
      <c r="K507" s="19">
        <v>0</v>
      </c>
      <c r="L507" s="6">
        <v>15204668</v>
      </c>
      <c r="M507" s="7">
        <v>7577349</v>
      </c>
      <c r="N507" s="7">
        <v>2056816.25</v>
      </c>
      <c r="O507" s="7">
        <v>11853368</v>
      </c>
      <c r="P507" s="7">
        <v>10313.7216796875</v>
      </c>
      <c r="Q507" s="7">
        <v>60667.20703125</v>
      </c>
      <c r="R507" s="7">
        <v>6404794</v>
      </c>
      <c r="S507" s="7">
        <v>2562366.25</v>
      </c>
      <c r="T507" s="31">
        <f t="shared" si="101"/>
        <v>4573.0342428710937</v>
      </c>
      <c r="U507" s="37">
        <v>3982.3333333333335</v>
      </c>
      <c r="V507">
        <f t="shared" si="102"/>
        <v>1.148330353110679</v>
      </c>
      <c r="W507">
        <f t="shared" si="113"/>
        <v>-1.2215697964834262E-2</v>
      </c>
      <c r="X507" s="28">
        <v>3622.0791666666664</v>
      </c>
      <c r="Y507">
        <f t="shared" si="103"/>
        <v>0.38180299656817612</v>
      </c>
      <c r="Z507">
        <f t="shared" si="105"/>
        <v>0.19027410228509248</v>
      </c>
      <c r="AA507">
        <f t="shared" si="106"/>
        <v>5.1648520549091824E-2</v>
      </c>
      <c r="AB507">
        <f t="shared" si="107"/>
        <v>0.29764881560224321</v>
      </c>
      <c r="AC507">
        <f t="shared" si="108"/>
        <v>2.5898690080407218E-4</v>
      </c>
      <c r="AD507">
        <f t="shared" si="109"/>
        <v>1.5234085636038335E-3</v>
      </c>
      <c r="AE507">
        <f t="shared" si="110"/>
        <v>0.16083018330961749</v>
      </c>
      <c r="AF507">
        <f t="shared" si="111"/>
        <v>6.4343339332049873E-2</v>
      </c>
      <c r="AG507">
        <f t="shared" si="104"/>
        <v>1.1483303531106788</v>
      </c>
      <c r="AH507">
        <v>0.37123917602898676</v>
      </c>
      <c r="AI507">
        <v>0.64664613278576322</v>
      </c>
      <c r="AJ507">
        <v>3.1430000484034916E-2</v>
      </c>
      <c r="AK507">
        <v>1.4760574598631431E-2</v>
      </c>
      <c r="AL507">
        <v>0.38047071674317906</v>
      </c>
    </row>
    <row r="508" spans="1:38" x14ac:dyDescent="0.25">
      <c r="A508">
        <v>17</v>
      </c>
      <c r="B508" s="5" t="s">
        <v>25</v>
      </c>
      <c r="C508" s="6" t="s">
        <v>5</v>
      </c>
      <c r="D508" s="6" t="s">
        <v>46</v>
      </c>
      <c r="E508" s="28">
        <v>53734.9</v>
      </c>
      <c r="F508" s="11">
        <v>11</v>
      </c>
      <c r="G508" s="11"/>
      <c r="H508" s="11">
        <f t="shared" si="100"/>
        <v>11</v>
      </c>
      <c r="I508" s="18">
        <v>0</v>
      </c>
      <c r="J508" s="19">
        <v>0</v>
      </c>
      <c r="K508" s="19">
        <v>0</v>
      </c>
      <c r="L508" s="6">
        <v>13752921</v>
      </c>
      <c r="M508" s="7">
        <v>7698414</v>
      </c>
      <c r="N508" s="7">
        <v>2056816.25</v>
      </c>
      <c r="O508" s="7">
        <v>12049948</v>
      </c>
      <c r="P508" s="7">
        <v>10313.7216796875</v>
      </c>
      <c r="Q508" s="7">
        <v>83602.9375</v>
      </c>
      <c r="R508" s="7">
        <v>6848635.5</v>
      </c>
      <c r="S508" s="7">
        <v>2643776.5</v>
      </c>
      <c r="T508" s="31">
        <f t="shared" si="101"/>
        <v>4514.4427909179685</v>
      </c>
      <c r="U508" s="37">
        <v>4248</v>
      </c>
      <c r="V508">
        <f t="shared" si="102"/>
        <v>1.0627219375983918</v>
      </c>
      <c r="W508">
        <f t="shared" si="113"/>
        <v>-7.455033761006577E-2</v>
      </c>
      <c r="X508" s="28">
        <v>3842.9541666666664</v>
      </c>
      <c r="Y508">
        <f t="shared" si="103"/>
        <v>0.32375049435028247</v>
      </c>
      <c r="Z508">
        <f t="shared" si="105"/>
        <v>0.18122443502824859</v>
      </c>
      <c r="AA508">
        <f t="shared" si="106"/>
        <v>4.8418461629001881E-2</v>
      </c>
      <c r="AB508">
        <f t="shared" si="107"/>
        <v>0.28366167608286252</v>
      </c>
      <c r="AC508">
        <f t="shared" si="108"/>
        <v>2.427900583730579E-4</v>
      </c>
      <c r="AD508">
        <f t="shared" si="109"/>
        <v>1.9680540842749528E-3</v>
      </c>
      <c r="AE508">
        <f t="shared" si="110"/>
        <v>0.16122023305084746</v>
      </c>
      <c r="AF508">
        <f t="shared" si="111"/>
        <v>6.2235793314500937E-2</v>
      </c>
      <c r="AG508">
        <f t="shared" si="104"/>
        <v>1.0627219375983918</v>
      </c>
      <c r="AH508">
        <v>0.37123917602898676</v>
      </c>
      <c r="AI508">
        <v>0.64664613278576322</v>
      </c>
      <c r="AJ508">
        <v>3.1430000484034916E-2</v>
      </c>
      <c r="AK508">
        <v>1.4760574598631431E-2</v>
      </c>
      <c r="AL508">
        <v>0.38047071674317906</v>
      </c>
    </row>
    <row r="509" spans="1:38" x14ac:dyDescent="0.25">
      <c r="A509">
        <v>17</v>
      </c>
      <c r="B509" s="5" t="s">
        <v>25</v>
      </c>
      <c r="C509" s="6" t="s">
        <v>5</v>
      </c>
      <c r="D509" s="6" t="s">
        <v>47</v>
      </c>
      <c r="E509" s="28">
        <v>53734.9</v>
      </c>
      <c r="F509" s="11">
        <v>12</v>
      </c>
      <c r="G509" s="11"/>
      <c r="H509" s="11">
        <f t="shared" si="100"/>
        <v>12</v>
      </c>
      <c r="I509" s="18">
        <v>0</v>
      </c>
      <c r="J509" s="19">
        <v>0</v>
      </c>
      <c r="K509" s="19">
        <v>0</v>
      </c>
      <c r="L509" s="6">
        <v>13662973</v>
      </c>
      <c r="M509" s="7">
        <v>7616739</v>
      </c>
      <c r="N509" s="7">
        <v>2056816.25</v>
      </c>
      <c r="O509" s="7">
        <v>11927328</v>
      </c>
      <c r="P509" s="7">
        <v>10313.7216796875</v>
      </c>
      <c r="Q509" s="7">
        <v>54987.5</v>
      </c>
      <c r="R509" s="7">
        <v>6733436.5</v>
      </c>
      <c r="S509" s="7">
        <v>2625721</v>
      </c>
      <c r="T509" s="31">
        <f t="shared" si="101"/>
        <v>4468.8314971679683</v>
      </c>
      <c r="U509" s="37">
        <v>4513.666666666667</v>
      </c>
      <c r="V509">
        <f t="shared" si="102"/>
        <v>0.99006679650719331</v>
      </c>
      <c r="W509">
        <f t="shared" si="113"/>
        <v>-6.8367028590177917E-2</v>
      </c>
      <c r="X509" s="28">
        <v>4063.8291666666664</v>
      </c>
      <c r="Y509">
        <f t="shared" si="103"/>
        <v>0.3027023041134333</v>
      </c>
      <c r="Z509">
        <f t="shared" si="105"/>
        <v>0.16874837161214087</v>
      </c>
      <c r="AA509">
        <f t="shared" si="106"/>
        <v>4.5568634148142675E-2</v>
      </c>
      <c r="AB509">
        <f t="shared" si="107"/>
        <v>0.26424919872978364</v>
      </c>
      <c r="AC509">
        <f t="shared" si="108"/>
        <v>2.2849985258889668E-4</v>
      </c>
      <c r="AD509">
        <f t="shared" si="109"/>
        <v>1.218244590502917E-3</v>
      </c>
      <c r="AE509">
        <f t="shared" si="110"/>
        <v>0.14917886049774756</v>
      </c>
      <c r="AF509">
        <f t="shared" si="111"/>
        <v>5.817268296285355E-2</v>
      </c>
      <c r="AG509">
        <f t="shared" si="104"/>
        <v>0.99006679650719343</v>
      </c>
      <c r="AH509">
        <v>0.37123917602898676</v>
      </c>
      <c r="AI509">
        <v>0.64664613278576322</v>
      </c>
      <c r="AJ509">
        <v>3.1430000484034916E-2</v>
      </c>
      <c r="AK509">
        <v>1.4760574598631431E-2</v>
      </c>
      <c r="AL509">
        <v>0.38047071674317906</v>
      </c>
    </row>
    <row r="510" spans="1:38" x14ac:dyDescent="0.25">
      <c r="A510">
        <v>17</v>
      </c>
      <c r="B510" s="5" t="s">
        <v>25</v>
      </c>
      <c r="C510" s="6" t="s">
        <v>5</v>
      </c>
      <c r="D510" s="6" t="s">
        <v>48</v>
      </c>
      <c r="E510" s="28">
        <v>53734.9</v>
      </c>
      <c r="F510" s="11">
        <v>13</v>
      </c>
      <c r="G510" s="11"/>
      <c r="H510" s="11">
        <f t="shared" si="100"/>
        <v>13</v>
      </c>
      <c r="I510" s="18">
        <v>0</v>
      </c>
      <c r="J510" s="19">
        <v>0</v>
      </c>
      <c r="K510" s="19">
        <v>0</v>
      </c>
      <c r="L510" s="6">
        <v>14312392</v>
      </c>
      <c r="M510" s="7">
        <v>7657609</v>
      </c>
      <c r="N510" s="7">
        <v>2056816.25</v>
      </c>
      <c r="O510" s="7">
        <v>11994303</v>
      </c>
      <c r="P510" s="7">
        <v>10313.7216796875</v>
      </c>
      <c r="Q510" s="7">
        <v>26680.490234375</v>
      </c>
      <c r="R510" s="7">
        <v>6700648.5</v>
      </c>
      <c r="S510" s="7">
        <v>2555538.75</v>
      </c>
      <c r="T510" s="31">
        <f t="shared" si="101"/>
        <v>4531.4301711914059</v>
      </c>
      <c r="U510" s="37">
        <v>4475.1111111111113</v>
      </c>
      <c r="V510">
        <f t="shared" si="102"/>
        <v>1.0125849523468728</v>
      </c>
      <c r="W510">
        <f t="shared" si="113"/>
        <v>2.2744077388637006E-2</v>
      </c>
      <c r="X510" s="28">
        <v>4284.7041666666664</v>
      </c>
      <c r="Y510">
        <f t="shared" si="103"/>
        <v>0.31982204786969903</v>
      </c>
      <c r="Z510">
        <f t="shared" si="105"/>
        <v>0.17111550551196741</v>
      </c>
      <c r="AA510">
        <f t="shared" si="106"/>
        <v>4.5961233116496178E-2</v>
      </c>
      <c r="AB510">
        <f t="shared" si="107"/>
        <v>0.26802246250869</v>
      </c>
      <c r="AC510">
        <f t="shared" si="108"/>
        <v>2.3046850510772545E-4</v>
      </c>
      <c r="AD510">
        <f t="shared" si="109"/>
        <v>5.9619726911653344E-4</v>
      </c>
      <c r="AE510">
        <f t="shared" si="110"/>
        <v>0.14973144428443738</v>
      </c>
      <c r="AF510">
        <f t="shared" si="111"/>
        <v>5.710559328135862E-2</v>
      </c>
      <c r="AG510">
        <f t="shared" si="104"/>
        <v>1.0125849523468728</v>
      </c>
      <c r="AH510">
        <v>0.37123917602898676</v>
      </c>
      <c r="AI510">
        <v>0.64664613278576322</v>
      </c>
      <c r="AJ510">
        <v>3.1430000484034916E-2</v>
      </c>
      <c r="AK510">
        <v>1.4760574598631431E-2</v>
      </c>
      <c r="AL510">
        <v>0.38047071674317906</v>
      </c>
    </row>
    <row r="511" spans="1:38" x14ac:dyDescent="0.25">
      <c r="A511">
        <v>17</v>
      </c>
      <c r="B511" s="5" t="s">
        <v>25</v>
      </c>
      <c r="C511" s="6" t="s">
        <v>5</v>
      </c>
      <c r="D511" s="6" t="s">
        <v>49</v>
      </c>
      <c r="E511" s="28">
        <v>53734.9</v>
      </c>
      <c r="F511" s="11">
        <v>14</v>
      </c>
      <c r="G511" s="11"/>
      <c r="H511" s="11">
        <f t="shared" si="100"/>
        <v>14</v>
      </c>
      <c r="I511" s="18">
        <v>0</v>
      </c>
      <c r="J511" s="19">
        <v>0</v>
      </c>
      <c r="K511" s="19">
        <v>0</v>
      </c>
      <c r="L511" s="6">
        <v>16098742</v>
      </c>
      <c r="M511" s="7">
        <v>7352173.5</v>
      </c>
      <c r="N511" s="7">
        <v>2056816.25</v>
      </c>
      <c r="O511" s="7">
        <v>11515544</v>
      </c>
      <c r="P511" s="7">
        <v>10313.7216796875</v>
      </c>
      <c r="Q511" s="7">
        <v>15857.25</v>
      </c>
      <c r="R511" s="7">
        <v>6798838</v>
      </c>
      <c r="S511" s="7">
        <v>2509159.5</v>
      </c>
      <c r="T511" s="31">
        <f t="shared" si="101"/>
        <v>4635.7444221679689</v>
      </c>
      <c r="U511" s="37">
        <v>4436.5555555555557</v>
      </c>
      <c r="V511">
        <f t="shared" si="102"/>
        <v>1.0448971874955977</v>
      </c>
      <c r="W511">
        <f t="shared" si="113"/>
        <v>3.1910641249244934E-2</v>
      </c>
      <c r="X511" s="28">
        <v>4505.5791666666664</v>
      </c>
      <c r="Y511">
        <f t="shared" si="103"/>
        <v>0.36286578176262863</v>
      </c>
      <c r="Z511">
        <f t="shared" si="105"/>
        <v>0.16571805329459791</v>
      </c>
      <c r="AA511">
        <f t="shared" si="106"/>
        <v>4.6360655789025519E-2</v>
      </c>
      <c r="AB511">
        <f t="shared" si="107"/>
        <v>0.25956045981617371</v>
      </c>
      <c r="AC511">
        <f t="shared" si="108"/>
        <v>2.3247137448267549E-4</v>
      </c>
      <c r="AD511">
        <f t="shared" si="109"/>
        <v>3.5742255002629668E-4</v>
      </c>
      <c r="AE511">
        <f t="shared" si="110"/>
        <v>0.15324586641288285</v>
      </c>
      <c r="AF511">
        <f t="shared" si="111"/>
        <v>5.6556476495780009E-2</v>
      </c>
      <c r="AG511">
        <f t="shared" si="104"/>
        <v>1.0448971874955975</v>
      </c>
      <c r="AH511">
        <v>0.37123917602898676</v>
      </c>
      <c r="AI511">
        <v>0.64664613278576322</v>
      </c>
      <c r="AJ511">
        <v>3.1430000484034916E-2</v>
      </c>
      <c r="AK511">
        <v>1.4760574598631431E-2</v>
      </c>
      <c r="AL511">
        <v>0.38047071674317906</v>
      </c>
    </row>
    <row r="512" spans="1:38" x14ac:dyDescent="0.25">
      <c r="A512">
        <v>17</v>
      </c>
      <c r="B512" s="5" t="s">
        <v>25</v>
      </c>
      <c r="C512" s="6" t="s">
        <v>5</v>
      </c>
      <c r="D512" s="6" t="s">
        <v>50</v>
      </c>
      <c r="E512" s="28">
        <v>53734.9</v>
      </c>
      <c r="F512" s="11">
        <v>15</v>
      </c>
      <c r="G512" s="11"/>
      <c r="H512" s="11">
        <f t="shared" si="100"/>
        <v>15</v>
      </c>
      <c r="I512" s="18">
        <v>0</v>
      </c>
      <c r="J512" s="19">
        <v>0</v>
      </c>
      <c r="K512" s="19">
        <v>0</v>
      </c>
      <c r="L512" s="6">
        <v>17131336</v>
      </c>
      <c r="M512" s="7">
        <v>7142035.5</v>
      </c>
      <c r="N512" s="7">
        <v>2056816.25</v>
      </c>
      <c r="O512" s="7">
        <v>11189710</v>
      </c>
      <c r="P512" s="7">
        <v>10313.7216796875</v>
      </c>
      <c r="Q512" s="7">
        <v>22224.3125</v>
      </c>
      <c r="R512" s="7">
        <v>6460177.5</v>
      </c>
      <c r="S512" s="7">
        <v>2532479.25</v>
      </c>
      <c r="T512" s="31">
        <f t="shared" si="101"/>
        <v>4654.5092534179685</v>
      </c>
      <c r="U512" s="37">
        <v>4398</v>
      </c>
      <c r="V512">
        <f t="shared" si="102"/>
        <v>1.0583240685352362</v>
      </c>
      <c r="W512">
        <f t="shared" si="113"/>
        <v>1.2849954235038159E-2</v>
      </c>
      <c r="X512" s="28">
        <v>4726.4541666666664</v>
      </c>
      <c r="Y512">
        <f t="shared" si="103"/>
        <v>0.38952560254661212</v>
      </c>
      <c r="Z512">
        <f t="shared" si="105"/>
        <v>0.16239280354706684</v>
      </c>
      <c r="AA512">
        <f t="shared" si="106"/>
        <v>4.6767081628012734E-2</v>
      </c>
      <c r="AB512">
        <f t="shared" si="107"/>
        <v>0.25442723965438835</v>
      </c>
      <c r="AC512">
        <f t="shared" si="108"/>
        <v>2.3450936061135744E-4</v>
      </c>
      <c r="AD512">
        <f t="shared" si="109"/>
        <v>5.0532770577535241E-4</v>
      </c>
      <c r="AE512">
        <f t="shared" si="110"/>
        <v>0.14688898362892222</v>
      </c>
      <c r="AF512">
        <f t="shared" si="111"/>
        <v>5.7582520463847209E-2</v>
      </c>
      <c r="AG512">
        <f t="shared" si="104"/>
        <v>1.058324068535236</v>
      </c>
      <c r="AH512">
        <v>0.37123917602898676</v>
      </c>
      <c r="AI512">
        <v>0.64664613278576322</v>
      </c>
      <c r="AJ512">
        <v>3.1430000484034916E-2</v>
      </c>
      <c r="AK512">
        <v>1.4760574598631431E-2</v>
      </c>
      <c r="AL512">
        <v>0.38047071674317906</v>
      </c>
    </row>
    <row r="513" spans="1:38" x14ac:dyDescent="0.25">
      <c r="A513">
        <v>17</v>
      </c>
      <c r="B513" s="5" t="s">
        <v>25</v>
      </c>
      <c r="C513" s="6" t="s">
        <v>5</v>
      </c>
      <c r="D513" s="6" t="s">
        <v>51</v>
      </c>
      <c r="E513" s="28">
        <v>53734.9</v>
      </c>
      <c r="F513" s="11">
        <v>16</v>
      </c>
      <c r="G513" s="11"/>
      <c r="H513" s="11">
        <f t="shared" si="100"/>
        <v>16</v>
      </c>
      <c r="I513" s="18">
        <v>0</v>
      </c>
      <c r="J513" s="19">
        <v>0</v>
      </c>
      <c r="K513" s="19">
        <v>0</v>
      </c>
      <c r="L513" s="6">
        <v>14956414</v>
      </c>
      <c r="M513" s="7">
        <v>7453988.5</v>
      </c>
      <c r="N513" s="7">
        <v>2056816.25</v>
      </c>
      <c r="O513" s="7">
        <v>11677824</v>
      </c>
      <c r="P513" s="7">
        <v>10313.7216796875</v>
      </c>
      <c r="Q513" s="7">
        <v>61753.9296875</v>
      </c>
      <c r="R513" s="7">
        <v>6365478</v>
      </c>
      <c r="S513" s="7">
        <v>2572615.25</v>
      </c>
      <c r="T513" s="31">
        <f t="shared" si="101"/>
        <v>4515.5203651367192</v>
      </c>
      <c r="U513" s="37">
        <v>4660.8888888888896</v>
      </c>
      <c r="V513">
        <f t="shared" si="102"/>
        <v>0.96881098708473512</v>
      </c>
      <c r="W513">
        <f t="shared" si="113"/>
        <v>-8.4580029984946709E-2</v>
      </c>
      <c r="X513" s="28">
        <v>4947.3291666666664</v>
      </c>
      <c r="Y513">
        <f t="shared" si="103"/>
        <v>0.32089188042338129</v>
      </c>
      <c r="Z513">
        <f t="shared" si="105"/>
        <v>0.15992632902641363</v>
      </c>
      <c r="AA513">
        <f t="shared" si="106"/>
        <v>4.4129270167826827E-2</v>
      </c>
      <c r="AB513">
        <f t="shared" si="107"/>
        <v>0.25054928959664347</v>
      </c>
      <c r="AC513">
        <f t="shared" si="108"/>
        <v>2.2128229025743181E-4</v>
      </c>
      <c r="AD513">
        <f t="shared" si="109"/>
        <v>1.3249388938388002E-3</v>
      </c>
      <c r="AE513">
        <f t="shared" si="110"/>
        <v>0.13657218937732427</v>
      </c>
      <c r="AF513">
        <f t="shared" si="111"/>
        <v>5.5195807309049293E-2</v>
      </c>
      <c r="AG513">
        <f t="shared" si="104"/>
        <v>0.96881098708473501</v>
      </c>
      <c r="AH513">
        <v>0.37123917602898676</v>
      </c>
      <c r="AI513">
        <v>0.64664613278576322</v>
      </c>
      <c r="AJ513">
        <v>3.1430000484034916E-2</v>
      </c>
      <c r="AK513">
        <v>1.4760574598631431E-2</v>
      </c>
      <c r="AL513">
        <v>0.38047071674317906</v>
      </c>
    </row>
    <row r="514" spans="1:38" x14ac:dyDescent="0.25">
      <c r="A514">
        <v>17</v>
      </c>
      <c r="B514" s="5" t="s">
        <v>25</v>
      </c>
      <c r="C514" s="6" t="s">
        <v>5</v>
      </c>
      <c r="D514" s="6" t="s">
        <v>52</v>
      </c>
      <c r="E514" s="28">
        <v>53734.9</v>
      </c>
      <c r="F514" s="11">
        <v>17</v>
      </c>
      <c r="G514" s="11"/>
      <c r="H514" s="11">
        <f t="shared" ref="H514:H577" si="114">F514-G514</f>
        <v>17</v>
      </c>
      <c r="I514" s="18">
        <v>0</v>
      </c>
      <c r="J514" s="19">
        <v>0</v>
      </c>
      <c r="K514" s="19">
        <v>0</v>
      </c>
      <c r="L514" s="6">
        <v>14718953</v>
      </c>
      <c r="M514" s="7">
        <v>7670624.5</v>
      </c>
      <c r="N514" s="7">
        <v>2056816.25</v>
      </c>
      <c r="O514" s="7">
        <v>12010090</v>
      </c>
      <c r="P514" s="7">
        <v>10313.7216796875</v>
      </c>
      <c r="Q514" s="7">
        <v>85190.9140625</v>
      </c>
      <c r="R514" s="7">
        <v>6838559</v>
      </c>
      <c r="S514" s="7">
        <v>2653786</v>
      </c>
      <c r="T514" s="31">
        <f t="shared" ref="T514:T577" si="115">SUM(L514:S514)/10000</f>
        <v>4604.4333385742184</v>
      </c>
      <c r="U514" s="37">
        <v>4923.7777777777783</v>
      </c>
      <c r="V514">
        <f t="shared" si="102"/>
        <v>0.93514239398763288</v>
      </c>
      <c r="W514">
        <f t="shared" si="113"/>
        <v>-3.4752488922957979E-2</v>
      </c>
      <c r="X514" s="28">
        <v>5168.2041666666664</v>
      </c>
      <c r="Y514">
        <f t="shared" si="103"/>
        <v>0.29893617592634375</v>
      </c>
      <c r="Z514">
        <f t="shared" si="105"/>
        <v>0.15578738209143836</v>
      </c>
      <c r="AA514">
        <f t="shared" si="106"/>
        <v>4.1773133208466845E-2</v>
      </c>
      <c r="AB514">
        <f t="shared" si="107"/>
        <v>0.2439202283702667</v>
      </c>
      <c r="AC514">
        <f t="shared" si="108"/>
        <v>2.0946765157103285E-4</v>
      </c>
      <c r="AD514">
        <f t="shared" si="109"/>
        <v>1.7301941295358122E-3</v>
      </c>
      <c r="AE514">
        <f t="shared" si="110"/>
        <v>0.13888845737238795</v>
      </c>
      <c r="AF514">
        <f t="shared" si="111"/>
        <v>5.3897355237622409E-2</v>
      </c>
      <c r="AG514">
        <f t="shared" si="104"/>
        <v>0.93514239398763288</v>
      </c>
      <c r="AH514">
        <v>0.37123917602898676</v>
      </c>
      <c r="AI514">
        <v>0.64664613278576322</v>
      </c>
      <c r="AJ514">
        <v>3.1430000484034916E-2</v>
      </c>
      <c r="AK514">
        <v>1.4760574598631431E-2</v>
      </c>
      <c r="AL514">
        <v>0.38047071674317906</v>
      </c>
    </row>
    <row r="515" spans="1:38" x14ac:dyDescent="0.25">
      <c r="A515">
        <v>17</v>
      </c>
      <c r="B515" s="5" t="s">
        <v>25</v>
      </c>
      <c r="C515" s="6" t="s">
        <v>5</v>
      </c>
      <c r="D515" s="6" t="s">
        <v>53</v>
      </c>
      <c r="E515" s="28">
        <v>53734.9</v>
      </c>
      <c r="F515" s="11">
        <v>18</v>
      </c>
      <c r="G515" s="11"/>
      <c r="H515" s="11">
        <f t="shared" si="114"/>
        <v>18</v>
      </c>
      <c r="I515" s="18">
        <v>0</v>
      </c>
      <c r="J515" s="19">
        <v>0</v>
      </c>
      <c r="K515" s="19">
        <v>0</v>
      </c>
      <c r="L515" s="6">
        <v>15720964</v>
      </c>
      <c r="M515" s="7">
        <v>7643558.5</v>
      </c>
      <c r="N515" s="7">
        <v>2056816.25</v>
      </c>
      <c r="O515" s="7">
        <v>11967514</v>
      </c>
      <c r="P515" s="7">
        <v>10313.7216796875</v>
      </c>
      <c r="Q515" s="7">
        <v>56262.92578125</v>
      </c>
      <c r="R515" s="7">
        <v>6764428</v>
      </c>
      <c r="S515" s="7">
        <v>2623576.25</v>
      </c>
      <c r="T515" s="31">
        <f t="shared" si="115"/>
        <v>4684.3433647460934</v>
      </c>
      <c r="U515" s="37">
        <v>5186.666666666667</v>
      </c>
      <c r="V515">
        <f t="shared" ref="V515:V578" si="116">T515/U515</f>
        <v>0.90315103433407962</v>
      </c>
      <c r="W515">
        <f t="shared" si="113"/>
        <v>-3.42101479509829E-2</v>
      </c>
      <c r="X515" s="28">
        <v>5389.0791666666664</v>
      </c>
      <c r="Y515">
        <f t="shared" si="103"/>
        <v>0.3031034190231362</v>
      </c>
      <c r="Z515">
        <f t="shared" si="105"/>
        <v>0.14736937982005141</v>
      </c>
      <c r="AA515">
        <f t="shared" si="106"/>
        <v>3.9655840295629817E-2</v>
      </c>
      <c r="AB515">
        <f t="shared" si="107"/>
        <v>0.23073613110539845</v>
      </c>
      <c r="AC515">
        <f t="shared" si="108"/>
        <v>1.9885067505824228E-4</v>
      </c>
      <c r="AD515">
        <f t="shared" si="109"/>
        <v>1.0847607798441516E-3</v>
      </c>
      <c r="AE515">
        <f t="shared" si="110"/>
        <v>0.13041956298200513</v>
      </c>
      <c r="AF515">
        <f t="shared" si="111"/>
        <v>5.0583089652956298E-2</v>
      </c>
      <c r="AG515">
        <f t="shared" si="104"/>
        <v>0.90315103433407951</v>
      </c>
      <c r="AH515">
        <v>0.37123917602898676</v>
      </c>
      <c r="AI515">
        <v>0.64664613278576322</v>
      </c>
      <c r="AJ515">
        <v>3.1430000484034916E-2</v>
      </c>
      <c r="AK515">
        <v>1.4760574598631431E-2</v>
      </c>
      <c r="AL515">
        <v>0.38047071674317906</v>
      </c>
    </row>
    <row r="516" spans="1:38" x14ac:dyDescent="0.25">
      <c r="A516">
        <v>17</v>
      </c>
      <c r="B516" s="5" t="s">
        <v>25</v>
      </c>
      <c r="C516" s="6" t="s">
        <v>5</v>
      </c>
      <c r="D516" s="6" t="s">
        <v>54</v>
      </c>
      <c r="E516" s="28">
        <v>53734.9</v>
      </c>
      <c r="F516" s="11">
        <v>19</v>
      </c>
      <c r="G516" s="11"/>
      <c r="H516" s="11">
        <f t="shared" si="114"/>
        <v>19</v>
      </c>
      <c r="I516" s="18">
        <v>0</v>
      </c>
      <c r="J516" s="19">
        <v>0</v>
      </c>
      <c r="K516" s="19">
        <v>0</v>
      </c>
      <c r="L516" s="6">
        <v>17536098</v>
      </c>
      <c r="M516" s="7">
        <v>7713023</v>
      </c>
      <c r="N516" s="7">
        <v>2057803.5</v>
      </c>
      <c r="O516" s="7">
        <v>12077321</v>
      </c>
      <c r="P516" s="7">
        <v>10318.671875</v>
      </c>
      <c r="Q516" s="7">
        <v>26309.451171875</v>
      </c>
      <c r="R516" s="7">
        <v>6766309</v>
      </c>
      <c r="S516" s="7">
        <v>2537940.75</v>
      </c>
      <c r="T516" s="31">
        <f t="shared" si="115"/>
        <v>4872.5123373046872</v>
      </c>
      <c r="U516" s="37">
        <v>5449.5555555555557</v>
      </c>
      <c r="V516">
        <f t="shared" si="116"/>
        <v>0.89411187529548142</v>
      </c>
      <c r="W516">
        <f t="shared" si="113"/>
        <v>-1.0008468899405118E-2</v>
      </c>
      <c r="X516" s="28">
        <v>5609.9541666666664</v>
      </c>
      <c r="Y516">
        <f t="shared" ref="Y516:Y579" si="117">L516/$U516/10000</f>
        <v>0.32178950780899562</v>
      </c>
      <c r="Z516">
        <f t="shared" si="105"/>
        <v>0.14153489988989926</v>
      </c>
      <c r="AA516">
        <f t="shared" si="106"/>
        <v>3.7760941768951596E-2</v>
      </c>
      <c r="AB516">
        <f t="shared" si="107"/>
        <v>0.22162029319414428</v>
      </c>
      <c r="AC516">
        <f t="shared" si="108"/>
        <v>1.8934887019328791E-4</v>
      </c>
      <c r="AD516">
        <f t="shared" si="109"/>
        <v>4.8278159390546625E-4</v>
      </c>
      <c r="AE516">
        <f t="shared" si="110"/>
        <v>0.124162584104718</v>
      </c>
      <c r="AF516">
        <f t="shared" si="111"/>
        <v>4.6571518064673981E-2</v>
      </c>
      <c r="AG516">
        <f t="shared" ref="AG516:AG579" si="118">SUM(Y516:AF516)</f>
        <v>0.89411187529548142</v>
      </c>
      <c r="AH516">
        <v>0.37123917602898676</v>
      </c>
      <c r="AI516">
        <v>0.64664613278576322</v>
      </c>
      <c r="AJ516">
        <v>3.1430000484034916E-2</v>
      </c>
      <c r="AK516">
        <v>1.4760574598631431E-2</v>
      </c>
      <c r="AL516">
        <v>0.38047071674317906</v>
      </c>
    </row>
    <row r="517" spans="1:38" x14ac:dyDescent="0.25">
      <c r="A517">
        <v>17</v>
      </c>
      <c r="B517" s="5" t="s">
        <v>25</v>
      </c>
      <c r="C517" s="6" t="s">
        <v>5</v>
      </c>
      <c r="D517" s="6" t="s">
        <v>55</v>
      </c>
      <c r="E517" s="29">
        <v>55803.6</v>
      </c>
      <c r="F517" s="11">
        <v>20</v>
      </c>
      <c r="G517" s="11"/>
      <c r="H517" s="18">
        <f t="shared" si="114"/>
        <v>20</v>
      </c>
      <c r="I517" s="18">
        <v>0</v>
      </c>
      <c r="J517" s="19">
        <v>0</v>
      </c>
      <c r="K517" s="19">
        <v>0</v>
      </c>
      <c r="L517" s="14">
        <v>6232082</v>
      </c>
      <c r="M517" s="16">
        <v>7214998.5</v>
      </c>
      <c r="N517" s="16">
        <v>4325046</v>
      </c>
      <c r="O517" s="16">
        <v>13124574</v>
      </c>
      <c r="P517" s="16">
        <v>10806.185546875</v>
      </c>
      <c r="Q517" s="16">
        <v>16500.87890625</v>
      </c>
      <c r="R517" s="16">
        <v>11072629</v>
      </c>
      <c r="S517" s="16">
        <v>3096169.5</v>
      </c>
      <c r="T517" s="31">
        <f t="shared" si="115"/>
        <v>4509.2806064453125</v>
      </c>
      <c r="U517" s="37">
        <v>3731.2222222222226</v>
      </c>
      <c r="V517">
        <f t="shared" si="116"/>
        <v>1.2085264124953934</v>
      </c>
      <c r="W517">
        <f t="shared" si="113"/>
        <v>0.35165010765124433</v>
      </c>
      <c r="X517" s="29">
        <v>3246.9179166666659</v>
      </c>
      <c r="Y517">
        <f t="shared" si="117"/>
        <v>0.1670252166403621</v>
      </c>
      <c r="Z517">
        <f t="shared" si="105"/>
        <v>0.19336823352490989</v>
      </c>
      <c r="AA517">
        <f t="shared" si="106"/>
        <v>0.11591499359757004</v>
      </c>
      <c r="AB517">
        <f t="shared" si="107"/>
        <v>0.35174999553318842</v>
      </c>
      <c r="AC517">
        <f t="shared" si="108"/>
        <v>2.8961516905951277E-4</v>
      </c>
      <c r="AD517">
        <f t="shared" si="109"/>
        <v>4.4223790285057019E-4</v>
      </c>
      <c r="AE517">
        <f t="shared" si="110"/>
        <v>0.29675608528632258</v>
      </c>
      <c r="AF517">
        <f t="shared" si="111"/>
        <v>8.2980034841130396E-2</v>
      </c>
      <c r="AG517">
        <f t="shared" si="118"/>
        <v>1.2085264124953938</v>
      </c>
      <c r="AH517">
        <v>0.37184498571150298</v>
      </c>
      <c r="AI517">
        <v>0.65467625899280579</v>
      </c>
      <c r="AJ517">
        <v>3.139773148969812E-2</v>
      </c>
      <c r="AK517">
        <v>1.6049611826327428E-2</v>
      </c>
      <c r="AL517">
        <v>0.39711390493888099</v>
      </c>
    </row>
    <row r="518" spans="1:38" x14ac:dyDescent="0.25">
      <c r="A518">
        <v>17</v>
      </c>
      <c r="B518" s="5" t="s">
        <v>25</v>
      </c>
      <c r="C518" s="6" t="s">
        <v>5</v>
      </c>
      <c r="D518" s="6" t="s">
        <v>56</v>
      </c>
      <c r="E518" s="29">
        <v>55803.6</v>
      </c>
      <c r="F518" s="11">
        <v>21</v>
      </c>
      <c r="G518" s="11"/>
      <c r="H518" s="11">
        <f t="shared" si="114"/>
        <v>21</v>
      </c>
      <c r="I518" s="18">
        <v>0</v>
      </c>
      <c r="J518" s="19">
        <v>0</v>
      </c>
      <c r="K518" s="19">
        <v>0</v>
      </c>
      <c r="L518" s="6">
        <v>5915765</v>
      </c>
      <c r="M518" s="7">
        <v>7071807</v>
      </c>
      <c r="N518" s="7">
        <v>3762335</v>
      </c>
      <c r="O518" s="7">
        <v>13059541</v>
      </c>
      <c r="P518" s="7">
        <v>10806.185546875</v>
      </c>
      <c r="Q518" s="7">
        <v>23349.48828125</v>
      </c>
      <c r="R518" s="7">
        <v>10844920</v>
      </c>
      <c r="S518" s="7">
        <v>3133020</v>
      </c>
      <c r="T518" s="31">
        <f t="shared" si="115"/>
        <v>4382.1543673828128</v>
      </c>
      <c r="U518" s="37">
        <v>4004.6666666666665</v>
      </c>
      <c r="V518">
        <f t="shared" si="116"/>
        <v>1.0942619529006525</v>
      </c>
      <c r="W518">
        <f t="shared" si="113"/>
        <v>-9.4548582814011448E-2</v>
      </c>
      <c r="X518" s="29">
        <v>3502.0787499999992</v>
      </c>
      <c r="Y518">
        <f t="shared" si="117"/>
        <v>0.14772178291992674</v>
      </c>
      <c r="Z518">
        <f t="shared" si="105"/>
        <v>0.17658915431996006</v>
      </c>
      <c r="AA518">
        <f t="shared" si="106"/>
        <v>9.394876810387881E-2</v>
      </c>
      <c r="AB518">
        <f t="shared" si="107"/>
        <v>0.32610806559014488</v>
      </c>
      <c r="AC518">
        <f t="shared" si="108"/>
        <v>2.6983982554207591E-4</v>
      </c>
      <c r="AD518">
        <f t="shared" si="109"/>
        <v>5.8305697389503914E-4</v>
      </c>
      <c r="AE518">
        <f t="shared" si="110"/>
        <v>0.27080705843182956</v>
      </c>
      <c r="AF518">
        <f t="shared" si="111"/>
        <v>7.8234226735475282E-2</v>
      </c>
      <c r="AG518">
        <f t="shared" si="118"/>
        <v>1.0942619529006523</v>
      </c>
      <c r="AH518">
        <v>0.37184498571150298</v>
      </c>
      <c r="AI518">
        <v>0.65467625899280579</v>
      </c>
      <c r="AJ518">
        <v>3.139773148969812E-2</v>
      </c>
      <c r="AK518">
        <v>1.6049611826327428E-2</v>
      </c>
      <c r="AL518">
        <v>0.39711390493888099</v>
      </c>
    </row>
    <row r="519" spans="1:38" x14ac:dyDescent="0.25">
      <c r="A519">
        <v>17</v>
      </c>
      <c r="B519" s="5" t="s">
        <v>25</v>
      </c>
      <c r="C519" s="6" t="s">
        <v>5</v>
      </c>
      <c r="D519" s="6" t="s">
        <v>57</v>
      </c>
      <c r="E519" s="29">
        <v>55803.6</v>
      </c>
      <c r="F519" s="11">
        <v>22</v>
      </c>
      <c r="G519" s="11"/>
      <c r="H519" s="11">
        <f t="shared" si="114"/>
        <v>22</v>
      </c>
      <c r="I519" s="18">
        <v>0</v>
      </c>
      <c r="J519" s="19">
        <v>0</v>
      </c>
      <c r="K519" s="19">
        <v>0</v>
      </c>
      <c r="L519" s="6">
        <v>5803604.5</v>
      </c>
      <c r="M519" s="7">
        <v>7341550</v>
      </c>
      <c r="N519" s="7">
        <v>2439230</v>
      </c>
      <c r="O519" s="7">
        <v>14855886</v>
      </c>
      <c r="P519" s="7">
        <v>10806.185546875</v>
      </c>
      <c r="Q519" s="7">
        <v>67038.125</v>
      </c>
      <c r="R519" s="7">
        <v>11263156</v>
      </c>
      <c r="S519" s="7">
        <v>3192046</v>
      </c>
      <c r="T519" s="31">
        <f t="shared" si="115"/>
        <v>4497.3316810546876</v>
      </c>
      <c r="U519" s="37">
        <v>4278.1111111111104</v>
      </c>
      <c r="V519">
        <f t="shared" si="116"/>
        <v>1.0512423740875307</v>
      </c>
      <c r="W519">
        <f t="shared" si="113"/>
        <v>-3.9313784692126201E-2</v>
      </c>
      <c r="X519" s="29">
        <v>3757.2395833333326</v>
      </c>
      <c r="Y519">
        <f t="shared" si="117"/>
        <v>0.1356581058618809</v>
      </c>
      <c r="Z519">
        <f t="shared" si="105"/>
        <v>0.17160727735501133</v>
      </c>
      <c r="AA519">
        <f t="shared" si="106"/>
        <v>5.7016518193387537E-2</v>
      </c>
      <c r="AB519">
        <f t="shared" si="107"/>
        <v>0.3472533932420851</v>
      </c>
      <c r="AC519">
        <f t="shared" si="108"/>
        <v>2.5259244713885936E-4</v>
      </c>
      <c r="AD519">
        <f t="shared" si="109"/>
        <v>1.5670028958782434E-3</v>
      </c>
      <c r="AE519">
        <f t="shared" si="110"/>
        <v>0.26327404098381951</v>
      </c>
      <c r="AF519">
        <f t="shared" si="111"/>
        <v>7.4613443108329236E-2</v>
      </c>
      <c r="AG519">
        <f t="shared" si="118"/>
        <v>1.0512423740875305</v>
      </c>
      <c r="AH519">
        <v>0.37184498571150298</v>
      </c>
      <c r="AI519">
        <v>0.65467625899280579</v>
      </c>
      <c r="AJ519">
        <v>3.139773148969812E-2</v>
      </c>
      <c r="AK519">
        <v>1.6049611826327428E-2</v>
      </c>
      <c r="AL519">
        <v>0.39711390493888099</v>
      </c>
    </row>
    <row r="520" spans="1:38" x14ac:dyDescent="0.25">
      <c r="A520">
        <v>17</v>
      </c>
      <c r="B520" s="5" t="s">
        <v>25</v>
      </c>
      <c r="C520" s="6" t="s">
        <v>5</v>
      </c>
      <c r="D520" s="6" t="s">
        <v>58</v>
      </c>
      <c r="E520" s="29">
        <v>55803.6</v>
      </c>
      <c r="F520" s="11">
        <v>23</v>
      </c>
      <c r="G520" s="11"/>
      <c r="H520" s="11">
        <f t="shared" si="114"/>
        <v>23</v>
      </c>
      <c r="I520" s="18">
        <v>0</v>
      </c>
      <c r="J520" s="19">
        <v>0</v>
      </c>
      <c r="K520" s="19">
        <v>0</v>
      </c>
      <c r="L520" s="6">
        <v>6201301.5</v>
      </c>
      <c r="M520" s="7">
        <v>7459286.5</v>
      </c>
      <c r="N520" s="7">
        <v>1592227.75</v>
      </c>
      <c r="O520" s="7">
        <v>13437442</v>
      </c>
      <c r="P520" s="7">
        <v>10806.185546875</v>
      </c>
      <c r="Q520" s="7">
        <v>92385.4296875</v>
      </c>
      <c r="R520" s="7">
        <v>11450052</v>
      </c>
      <c r="S520" s="7">
        <v>3289729.25</v>
      </c>
      <c r="T520" s="31">
        <f t="shared" si="115"/>
        <v>4353.3230615234379</v>
      </c>
      <c r="U520" s="37">
        <v>4551.5555555555557</v>
      </c>
      <c r="V520">
        <f t="shared" si="116"/>
        <v>0.95644730870303052</v>
      </c>
      <c r="W520">
        <f t="shared" si="113"/>
        <v>-9.0174319187600785E-2</v>
      </c>
      <c r="X520" s="29">
        <v>4012.4004166666659</v>
      </c>
      <c r="Y520">
        <f t="shared" si="117"/>
        <v>0.13624576091202031</v>
      </c>
      <c r="Z520">
        <f t="shared" si="105"/>
        <v>0.16388433380529246</v>
      </c>
      <c r="AA520">
        <f t="shared" si="106"/>
        <v>3.4982056805975978E-2</v>
      </c>
      <c r="AB520">
        <f t="shared" si="107"/>
        <v>0.2952274631383654</v>
      </c>
      <c r="AC520">
        <f t="shared" si="108"/>
        <v>2.3741741510075918E-4</v>
      </c>
      <c r="AD520">
        <f t="shared" si="109"/>
        <v>2.0297550707633529E-3</v>
      </c>
      <c r="AE520">
        <f t="shared" si="110"/>
        <v>0.25156348989356508</v>
      </c>
      <c r="AF520">
        <f t="shared" si="111"/>
        <v>7.2277031661947072E-2</v>
      </c>
      <c r="AG520">
        <f t="shared" si="118"/>
        <v>0.95644730870303041</v>
      </c>
      <c r="AH520">
        <v>0.37184498571150298</v>
      </c>
      <c r="AI520">
        <v>0.65467625899280579</v>
      </c>
      <c r="AJ520">
        <v>3.139773148969812E-2</v>
      </c>
      <c r="AK520">
        <v>1.6049611826327428E-2</v>
      </c>
      <c r="AL520">
        <v>0.39711390493888099</v>
      </c>
    </row>
    <row r="521" spans="1:38" x14ac:dyDescent="0.25">
      <c r="A521">
        <v>17</v>
      </c>
      <c r="B521" s="5" t="s">
        <v>25</v>
      </c>
      <c r="C521" s="6" t="s">
        <v>5</v>
      </c>
      <c r="D521" s="6" t="s">
        <v>59</v>
      </c>
      <c r="E521" s="29">
        <v>55803.6</v>
      </c>
      <c r="F521" s="11">
        <v>24</v>
      </c>
      <c r="G521" s="11"/>
      <c r="H521" s="11">
        <f t="shared" si="114"/>
        <v>24</v>
      </c>
      <c r="I521" s="18">
        <v>0</v>
      </c>
      <c r="J521" s="19">
        <v>0</v>
      </c>
      <c r="K521" s="19">
        <v>0</v>
      </c>
      <c r="L521" s="6">
        <v>6095023.5</v>
      </c>
      <c r="M521" s="7">
        <v>7380428</v>
      </c>
      <c r="N521" s="7">
        <v>1017283.75</v>
      </c>
      <c r="O521" s="7">
        <v>13349558</v>
      </c>
      <c r="P521" s="7">
        <v>10806.185546875</v>
      </c>
      <c r="Q521" s="7">
        <v>60771.1796875</v>
      </c>
      <c r="R521" s="7">
        <v>11333578</v>
      </c>
      <c r="S521" s="7">
        <v>3268066.25</v>
      </c>
      <c r="T521" s="31">
        <f t="shared" si="115"/>
        <v>4251.5514865234372</v>
      </c>
      <c r="U521" s="37">
        <v>4825</v>
      </c>
      <c r="V521">
        <f t="shared" si="116"/>
        <v>0.88115056715511653</v>
      </c>
      <c r="W521">
        <f t="shared" si="113"/>
        <v>-7.8725446621851547E-2</v>
      </c>
      <c r="X521" s="29">
        <v>4267.5612499999988</v>
      </c>
      <c r="Y521">
        <f t="shared" si="117"/>
        <v>0.12632173056994819</v>
      </c>
      <c r="Z521">
        <f t="shared" si="105"/>
        <v>0.15296223834196893</v>
      </c>
      <c r="AA521">
        <f t="shared" si="106"/>
        <v>2.1083601036269432E-2</v>
      </c>
      <c r="AB521">
        <f t="shared" si="107"/>
        <v>0.27667477720207251</v>
      </c>
      <c r="AC521">
        <f t="shared" si="108"/>
        <v>2.2396239475388601E-4</v>
      </c>
      <c r="AD521">
        <f t="shared" si="109"/>
        <v>1.2595063147668394E-3</v>
      </c>
      <c r="AE521">
        <f t="shared" si="110"/>
        <v>0.23489280829015544</v>
      </c>
      <c r="AF521">
        <f t="shared" si="111"/>
        <v>6.7731943005181344E-2</v>
      </c>
      <c r="AG521">
        <f t="shared" si="118"/>
        <v>0.88115056715511653</v>
      </c>
      <c r="AH521">
        <v>0.37184498571150298</v>
      </c>
      <c r="AI521">
        <v>0.65467625899280579</v>
      </c>
      <c r="AJ521">
        <v>3.139773148969812E-2</v>
      </c>
      <c r="AK521">
        <v>1.6049611826327428E-2</v>
      </c>
      <c r="AL521">
        <v>0.39711390493888099</v>
      </c>
    </row>
    <row r="522" spans="1:38" x14ac:dyDescent="0.25">
      <c r="A522">
        <v>17</v>
      </c>
      <c r="B522" s="5" t="s">
        <v>25</v>
      </c>
      <c r="C522" s="6" t="s">
        <v>5</v>
      </c>
      <c r="D522" s="6" t="s">
        <v>60</v>
      </c>
      <c r="E522" s="29">
        <v>55803.6</v>
      </c>
      <c r="F522" s="11">
        <v>25</v>
      </c>
      <c r="G522" s="11"/>
      <c r="H522" s="11">
        <f t="shared" si="114"/>
        <v>25</v>
      </c>
      <c r="I522" s="18">
        <v>0</v>
      </c>
      <c r="J522" s="19">
        <v>0</v>
      </c>
      <c r="K522" s="19">
        <v>0</v>
      </c>
      <c r="L522" s="6">
        <v>6063429</v>
      </c>
      <c r="M522" s="7">
        <v>7420212.5</v>
      </c>
      <c r="N522" s="7">
        <v>565891.625</v>
      </c>
      <c r="O522" s="7">
        <v>13984080</v>
      </c>
      <c r="P522" s="7">
        <v>10806.185546875</v>
      </c>
      <c r="Q522" s="7">
        <v>29457.50390625</v>
      </c>
      <c r="R522" s="7">
        <v>11397243</v>
      </c>
      <c r="S522" s="7">
        <v>3183857.5</v>
      </c>
      <c r="T522" s="31">
        <f t="shared" si="115"/>
        <v>4265.4977314453126</v>
      </c>
      <c r="U522" s="37">
        <v>4780.1111111111104</v>
      </c>
      <c r="V522">
        <f t="shared" si="116"/>
        <v>0.89234279963291929</v>
      </c>
      <c r="W522">
        <f t="shared" si="113"/>
        <v>1.2701838817329503E-2</v>
      </c>
      <c r="X522" s="29">
        <v>4522.7220833333322</v>
      </c>
      <c r="Y522">
        <f t="shared" si="117"/>
        <v>0.12684703051997862</v>
      </c>
      <c r="Z522">
        <f t="shared" si="105"/>
        <v>0.15523096278561635</v>
      </c>
      <c r="AA522">
        <f t="shared" si="106"/>
        <v>1.1838461739615537E-2</v>
      </c>
      <c r="AB522">
        <f t="shared" si="107"/>
        <v>0.29254717463564311</v>
      </c>
      <c r="AC522">
        <f t="shared" si="108"/>
        <v>2.2606557244572422E-4</v>
      </c>
      <c r="AD522">
        <f t="shared" si="109"/>
        <v>6.1625144733095478E-4</v>
      </c>
      <c r="AE522">
        <f t="shared" si="110"/>
        <v>0.23843050370749175</v>
      </c>
      <c r="AF522">
        <f t="shared" si="111"/>
        <v>6.6606349224797204E-2</v>
      </c>
      <c r="AG522">
        <f t="shared" si="118"/>
        <v>0.89234279963291929</v>
      </c>
      <c r="AH522">
        <v>0.37184498571150298</v>
      </c>
      <c r="AI522">
        <v>0.65467625899280579</v>
      </c>
      <c r="AJ522">
        <v>3.139773148969812E-2</v>
      </c>
      <c r="AK522">
        <v>1.6049611826327428E-2</v>
      </c>
      <c r="AL522">
        <v>0.39711390493888099</v>
      </c>
    </row>
    <row r="523" spans="1:38" x14ac:dyDescent="0.25">
      <c r="A523">
        <v>17</v>
      </c>
      <c r="B523" s="5" t="s">
        <v>25</v>
      </c>
      <c r="C523" s="6" t="s">
        <v>5</v>
      </c>
      <c r="D523" s="6" t="s">
        <v>61</v>
      </c>
      <c r="E523" s="29">
        <v>55803.6</v>
      </c>
      <c r="F523" s="11">
        <v>26</v>
      </c>
      <c r="G523" s="11"/>
      <c r="H523" s="11">
        <f t="shared" si="114"/>
        <v>26</v>
      </c>
      <c r="I523" s="18">
        <v>0</v>
      </c>
      <c r="J523" s="19">
        <v>0</v>
      </c>
      <c r="K523" s="19">
        <v>0</v>
      </c>
      <c r="L523" s="6">
        <v>6150957</v>
      </c>
      <c r="M523" s="7">
        <v>7124433.5</v>
      </c>
      <c r="N523" s="7">
        <v>421299.3125</v>
      </c>
      <c r="O523" s="7">
        <v>15729454</v>
      </c>
      <c r="P523" s="7">
        <v>10806.185546875</v>
      </c>
      <c r="Q523" s="7">
        <v>17484.97265625</v>
      </c>
      <c r="R523" s="7">
        <v>10942348</v>
      </c>
      <c r="S523" s="7">
        <v>3128209</v>
      </c>
      <c r="T523" s="31">
        <f t="shared" si="115"/>
        <v>4352.4991970703122</v>
      </c>
      <c r="U523" s="37">
        <v>4735.2222222222217</v>
      </c>
      <c r="V523">
        <f t="shared" si="116"/>
        <v>0.91917527685273048</v>
      </c>
      <c r="W523">
        <f t="shared" si="113"/>
        <v>3.0069696568234983E-2</v>
      </c>
      <c r="X523" s="29">
        <v>4777.8829166666656</v>
      </c>
      <c r="Y523">
        <f t="shared" si="117"/>
        <v>0.12989795856113759</v>
      </c>
      <c r="Z523">
        <f t="shared" si="105"/>
        <v>0.15045615951380906</v>
      </c>
      <c r="AA523">
        <f t="shared" si="106"/>
        <v>8.8971391991458822E-3</v>
      </c>
      <c r="AB523">
        <f t="shared" si="107"/>
        <v>0.33217984841729831</v>
      </c>
      <c r="AC523">
        <f t="shared" si="108"/>
        <v>2.2820862548249529E-4</v>
      </c>
      <c r="AD523">
        <f t="shared" si="109"/>
        <v>3.6925347609228717E-4</v>
      </c>
      <c r="AE523">
        <f t="shared" si="110"/>
        <v>0.2310841495177981</v>
      </c>
      <c r="AF523">
        <f t="shared" si="111"/>
        <v>6.6062559541966825E-2</v>
      </c>
      <c r="AG523">
        <f t="shared" si="118"/>
        <v>0.91917527685273048</v>
      </c>
      <c r="AH523">
        <v>0.37184498571150298</v>
      </c>
      <c r="AI523">
        <v>0.65467625899280579</v>
      </c>
      <c r="AJ523">
        <v>3.139773148969812E-2</v>
      </c>
      <c r="AK523">
        <v>1.6049611826327428E-2</v>
      </c>
      <c r="AL523">
        <v>0.39711390493888099</v>
      </c>
    </row>
    <row r="524" spans="1:38" x14ac:dyDescent="0.25">
      <c r="A524">
        <v>17</v>
      </c>
      <c r="B524" s="5" t="s">
        <v>25</v>
      </c>
      <c r="C524" s="6" t="s">
        <v>5</v>
      </c>
      <c r="D524" s="6" t="s">
        <v>62</v>
      </c>
      <c r="E524" s="29">
        <v>55803.6</v>
      </c>
      <c r="F524" s="11">
        <v>27</v>
      </c>
      <c r="G524" s="11"/>
      <c r="H524" s="11">
        <f t="shared" si="114"/>
        <v>27</v>
      </c>
      <c r="I524" s="18">
        <v>0</v>
      </c>
      <c r="J524" s="19">
        <v>0</v>
      </c>
      <c r="K524" s="19">
        <v>0</v>
      </c>
      <c r="L524" s="6">
        <v>5846875</v>
      </c>
      <c r="M524" s="7">
        <v>6921174</v>
      </c>
      <c r="N524" s="7">
        <v>468273.46875</v>
      </c>
      <c r="O524" s="7">
        <v>16738360</v>
      </c>
      <c r="P524" s="7">
        <v>10806.185546875</v>
      </c>
      <c r="Q524" s="7">
        <v>24511.228515625</v>
      </c>
      <c r="R524" s="7">
        <v>10632858</v>
      </c>
      <c r="S524" s="7">
        <v>3156189.5</v>
      </c>
      <c r="T524" s="31">
        <f t="shared" si="115"/>
        <v>4379.9047382812496</v>
      </c>
      <c r="U524" s="37">
        <v>4690.333333333333</v>
      </c>
      <c r="V524">
        <f t="shared" si="116"/>
        <v>0.93381523806721267</v>
      </c>
      <c r="W524">
        <f t="shared" si="113"/>
        <v>1.5927279141590523E-2</v>
      </c>
      <c r="X524" s="29">
        <v>5033.0437499999989</v>
      </c>
      <c r="Y524">
        <f t="shared" si="117"/>
        <v>0.12465798450714236</v>
      </c>
      <c r="Z524">
        <f t="shared" si="105"/>
        <v>0.14756251865539052</v>
      </c>
      <c r="AA524">
        <f t="shared" si="106"/>
        <v>9.9837993479496845E-3</v>
      </c>
      <c r="AB524">
        <f t="shared" si="107"/>
        <v>0.35686930566413194</v>
      </c>
      <c r="AC524">
        <f t="shared" si="108"/>
        <v>2.3039269874653546E-4</v>
      </c>
      <c r="AD524">
        <f t="shared" si="109"/>
        <v>5.2259033151073138E-4</v>
      </c>
      <c r="AE524">
        <f t="shared" si="110"/>
        <v>0.22669727808968801</v>
      </c>
      <c r="AF524">
        <f t="shared" si="111"/>
        <v>6.7291368772652987E-2</v>
      </c>
      <c r="AG524">
        <f t="shared" si="118"/>
        <v>0.93381523806721267</v>
      </c>
      <c r="AH524">
        <v>0.37184498571150298</v>
      </c>
      <c r="AI524">
        <v>0.65467625899280579</v>
      </c>
      <c r="AJ524">
        <v>3.139773148969812E-2</v>
      </c>
      <c r="AK524">
        <v>1.6049611826327428E-2</v>
      </c>
      <c r="AL524">
        <v>0.39711390493888099</v>
      </c>
    </row>
    <row r="525" spans="1:38" x14ac:dyDescent="0.25">
      <c r="A525">
        <v>17</v>
      </c>
      <c r="B525" s="5" t="s">
        <v>25</v>
      </c>
      <c r="C525" s="6" t="s">
        <v>5</v>
      </c>
      <c r="D525" s="6" t="s">
        <v>63</v>
      </c>
      <c r="E525" s="29">
        <v>55803.6</v>
      </c>
      <c r="F525" s="11">
        <v>28</v>
      </c>
      <c r="G525" s="11"/>
      <c r="H525" s="11">
        <f t="shared" si="114"/>
        <v>28</v>
      </c>
      <c r="I525" s="18">
        <v>0</v>
      </c>
      <c r="J525" s="19">
        <v>0</v>
      </c>
      <c r="K525" s="19">
        <v>0</v>
      </c>
      <c r="L525" s="6">
        <v>5763270</v>
      </c>
      <c r="M525" s="7">
        <v>7223311</v>
      </c>
      <c r="N525" s="7">
        <v>840641.4375</v>
      </c>
      <c r="O525" s="7">
        <v>14613328</v>
      </c>
      <c r="P525" s="7">
        <v>10806.185546875</v>
      </c>
      <c r="Q525" s="7">
        <v>68171.265625</v>
      </c>
      <c r="R525" s="7">
        <v>11096659</v>
      </c>
      <c r="S525" s="7">
        <v>3204346.75</v>
      </c>
      <c r="T525" s="31">
        <f t="shared" si="115"/>
        <v>4282.0533638671877</v>
      </c>
      <c r="U525" s="37">
        <v>4930.666666666667</v>
      </c>
      <c r="V525">
        <f t="shared" si="116"/>
        <v>0.86845322414829385</v>
      </c>
      <c r="W525">
        <f t="shared" si="113"/>
        <v>-6.9994589137572311E-2</v>
      </c>
      <c r="X525" s="29">
        <v>5288.2045833333323</v>
      </c>
      <c r="Y525">
        <f t="shared" si="117"/>
        <v>0.11688622228231475</v>
      </c>
      <c r="Z525">
        <f t="shared" si="105"/>
        <v>0.14649765413737154</v>
      </c>
      <c r="AA525">
        <f t="shared" si="106"/>
        <v>1.704924494659275E-2</v>
      </c>
      <c r="AB525">
        <f t="shared" si="107"/>
        <v>0.29637631151974037</v>
      </c>
      <c r="AC525">
        <f t="shared" si="108"/>
        <v>2.1916276798691859E-4</v>
      </c>
      <c r="AD525">
        <f t="shared" si="109"/>
        <v>1.3825973287925905E-3</v>
      </c>
      <c r="AE525">
        <f t="shared" si="110"/>
        <v>0.22505392779881017</v>
      </c>
      <c r="AF525">
        <f t="shared" si="111"/>
        <v>6.4988103366684688E-2</v>
      </c>
      <c r="AG525">
        <f t="shared" si="118"/>
        <v>0.86845322414829385</v>
      </c>
      <c r="AH525">
        <v>0.37184498571150298</v>
      </c>
      <c r="AI525">
        <v>0.65467625899280579</v>
      </c>
      <c r="AJ525">
        <v>3.139773148969812E-2</v>
      </c>
      <c r="AK525">
        <v>1.6049611826327428E-2</v>
      </c>
      <c r="AL525">
        <v>0.39711390493888099</v>
      </c>
    </row>
    <row r="526" spans="1:38" x14ac:dyDescent="0.25">
      <c r="A526">
        <v>17</v>
      </c>
      <c r="B526" s="5" t="s">
        <v>25</v>
      </c>
      <c r="C526" s="6" t="s">
        <v>5</v>
      </c>
      <c r="D526" s="6" t="s">
        <v>64</v>
      </c>
      <c r="E526" s="29">
        <v>55803.6</v>
      </c>
      <c r="F526" s="11">
        <v>29</v>
      </c>
      <c r="G526" s="11"/>
      <c r="H526" s="11">
        <f t="shared" si="114"/>
        <v>29</v>
      </c>
      <c r="I526" s="18">
        <v>0</v>
      </c>
      <c r="J526" s="19">
        <v>0</v>
      </c>
      <c r="K526" s="19">
        <v>0</v>
      </c>
      <c r="L526" s="6">
        <v>6191024</v>
      </c>
      <c r="M526" s="7">
        <v>7432642</v>
      </c>
      <c r="N526" s="7">
        <v>1914440.875</v>
      </c>
      <c r="O526" s="7">
        <v>14381314</v>
      </c>
      <c r="P526" s="7">
        <v>10806.185546875</v>
      </c>
      <c r="Q526" s="7">
        <v>94041.078125</v>
      </c>
      <c r="R526" s="7">
        <v>11412260</v>
      </c>
      <c r="S526" s="7">
        <v>3301742.5</v>
      </c>
      <c r="T526" s="31">
        <f t="shared" si="115"/>
        <v>4473.8270638671875</v>
      </c>
      <c r="U526" s="37">
        <v>5171</v>
      </c>
      <c r="V526">
        <f t="shared" si="116"/>
        <v>0.86517638055834223</v>
      </c>
      <c r="W526">
        <f t="shared" si="113"/>
        <v>-3.7731952612246565E-3</v>
      </c>
      <c r="X526" s="29">
        <v>5543.3654166666656</v>
      </c>
      <c r="Y526">
        <f t="shared" si="117"/>
        <v>0.11972585573390061</v>
      </c>
      <c r="Z526">
        <f t="shared" si="105"/>
        <v>0.14373703345581126</v>
      </c>
      <c r="AA526">
        <f t="shared" si="106"/>
        <v>3.7022643105782245E-2</v>
      </c>
      <c r="AB526">
        <f t="shared" si="107"/>
        <v>0.27811475536646685</v>
      </c>
      <c r="AC526">
        <f t="shared" si="108"/>
        <v>2.0897670753964416E-4</v>
      </c>
      <c r="AD526">
        <f t="shared" si="109"/>
        <v>1.8186246011409786E-3</v>
      </c>
      <c r="AE526">
        <f t="shared" si="110"/>
        <v>0.22069735060916651</v>
      </c>
      <c r="AF526">
        <f t="shared" si="111"/>
        <v>6.3851140978534129E-2</v>
      </c>
      <c r="AG526">
        <f t="shared" si="118"/>
        <v>0.86517638055834223</v>
      </c>
      <c r="AH526">
        <v>0.37184498571150298</v>
      </c>
      <c r="AI526">
        <v>0.65467625899280579</v>
      </c>
      <c r="AJ526">
        <v>3.139773148969812E-2</v>
      </c>
      <c r="AK526">
        <v>1.6049611826327428E-2</v>
      </c>
      <c r="AL526">
        <v>0.39711390493888099</v>
      </c>
    </row>
    <row r="527" spans="1:38" x14ac:dyDescent="0.25">
      <c r="A527">
        <v>17</v>
      </c>
      <c r="B527" s="5" t="s">
        <v>25</v>
      </c>
      <c r="C527" s="6" t="s">
        <v>5</v>
      </c>
      <c r="D527" s="6" t="s">
        <v>65</v>
      </c>
      <c r="E527" s="29">
        <v>55803.6</v>
      </c>
      <c r="F527" s="11">
        <v>30</v>
      </c>
      <c r="G527" s="11"/>
      <c r="H527" s="11">
        <f t="shared" si="114"/>
        <v>30</v>
      </c>
      <c r="I527" s="18">
        <v>0</v>
      </c>
      <c r="J527" s="19">
        <v>0</v>
      </c>
      <c r="K527" s="19">
        <v>0</v>
      </c>
      <c r="L527" s="6">
        <v>6126862</v>
      </c>
      <c r="M527" s="7">
        <v>7406123.5</v>
      </c>
      <c r="N527" s="7">
        <v>2828479.5</v>
      </c>
      <c r="O527" s="7">
        <v>15360340</v>
      </c>
      <c r="P527" s="7">
        <v>10806.185546875</v>
      </c>
      <c r="Q527" s="7">
        <v>62101.5859375</v>
      </c>
      <c r="R527" s="7">
        <v>11371746</v>
      </c>
      <c r="S527" s="7">
        <v>3265492.5</v>
      </c>
      <c r="T527" s="31">
        <f t="shared" si="115"/>
        <v>4643.1951271484377</v>
      </c>
      <c r="U527" s="37">
        <v>5411.333333333333</v>
      </c>
      <c r="V527">
        <f t="shared" si="116"/>
        <v>0.85805010357553979</v>
      </c>
      <c r="W527">
        <f t="shared" si="113"/>
        <v>-8.2367909514629717E-3</v>
      </c>
      <c r="X527" s="29">
        <v>5798.526249999999</v>
      </c>
      <c r="Y527">
        <f t="shared" si="117"/>
        <v>0.11322277935197733</v>
      </c>
      <c r="Z527">
        <f t="shared" si="105"/>
        <v>0.13686319145004314</v>
      </c>
      <c r="AA527">
        <f t="shared" si="106"/>
        <v>5.2269548478501918E-2</v>
      </c>
      <c r="AB527">
        <f t="shared" si="107"/>
        <v>0.28385499568806211</v>
      </c>
      <c r="AC527">
        <f t="shared" si="108"/>
        <v>1.9969543329201059E-4</v>
      </c>
      <c r="AD527">
        <f t="shared" si="109"/>
        <v>1.1476207823857337E-3</v>
      </c>
      <c r="AE527">
        <f t="shared" si="110"/>
        <v>0.21014683996550451</v>
      </c>
      <c r="AF527">
        <f t="shared" si="111"/>
        <v>6.0345432425773074E-2</v>
      </c>
      <c r="AG527">
        <f t="shared" si="118"/>
        <v>0.85805010357553979</v>
      </c>
      <c r="AH527">
        <v>0.37184498571150298</v>
      </c>
      <c r="AI527">
        <v>0.65467625899280579</v>
      </c>
      <c r="AJ527">
        <v>3.139773148969812E-2</v>
      </c>
      <c r="AK527">
        <v>1.6049611826327428E-2</v>
      </c>
      <c r="AL527">
        <v>0.39711390493888099</v>
      </c>
    </row>
    <row r="528" spans="1:38" x14ac:dyDescent="0.25">
      <c r="A528">
        <v>17</v>
      </c>
      <c r="B528" s="5" t="s">
        <v>25</v>
      </c>
      <c r="C528" s="6" t="s">
        <v>5</v>
      </c>
      <c r="D528" s="6" t="s">
        <v>66</v>
      </c>
      <c r="E528" s="29">
        <v>55803.6</v>
      </c>
      <c r="F528" s="11">
        <v>31</v>
      </c>
      <c r="G528" s="11"/>
      <c r="H528" s="11">
        <f t="shared" si="114"/>
        <v>31</v>
      </c>
      <c r="I528" s="18">
        <v>0</v>
      </c>
      <c r="J528" s="19">
        <v>0</v>
      </c>
      <c r="K528" s="19">
        <v>0</v>
      </c>
      <c r="L528" s="6">
        <v>6130719</v>
      </c>
      <c r="M528" s="7">
        <v>7473288.5</v>
      </c>
      <c r="N528" s="7">
        <v>4290549</v>
      </c>
      <c r="O528" s="7">
        <v>17133838</v>
      </c>
      <c r="P528" s="7">
        <v>10811.373046875</v>
      </c>
      <c r="Q528" s="7">
        <v>29069.8359375</v>
      </c>
      <c r="R528" s="7">
        <v>11475989</v>
      </c>
      <c r="S528" s="7">
        <v>3162793.5</v>
      </c>
      <c r="T528" s="31">
        <f t="shared" si="115"/>
        <v>4970.7058208984372</v>
      </c>
      <c r="U528" s="37">
        <v>5651.6666666666661</v>
      </c>
      <c r="V528">
        <f t="shared" si="116"/>
        <v>0.87951149883192647</v>
      </c>
      <c r="W528">
        <f t="shared" si="113"/>
        <v>2.5011820599934578E-2</v>
      </c>
      <c r="X528" s="29">
        <v>6053.6870833333323</v>
      </c>
      <c r="Y528">
        <f t="shared" si="117"/>
        <v>0.10847630197581837</v>
      </c>
      <c r="Z528">
        <f t="shared" si="105"/>
        <v>0.13223158655263936</v>
      </c>
      <c r="AA528">
        <f t="shared" si="106"/>
        <v>7.5916526098496029E-2</v>
      </c>
      <c r="AB528">
        <f t="shared" si="107"/>
        <v>0.3031643409023887</v>
      </c>
      <c r="AC528">
        <f t="shared" si="108"/>
        <v>1.9129530604910058E-4</v>
      </c>
      <c r="AD528">
        <f t="shared" si="109"/>
        <v>5.1435864236213508E-4</v>
      </c>
      <c r="AE528">
        <f t="shared" si="110"/>
        <v>0.20305495134178711</v>
      </c>
      <c r="AF528">
        <f t="shared" si="111"/>
        <v>5.5962138012385733E-2</v>
      </c>
      <c r="AG528">
        <f t="shared" si="118"/>
        <v>0.87951149883192647</v>
      </c>
      <c r="AH528">
        <v>0.37184498571150298</v>
      </c>
      <c r="AI528">
        <v>0.65467625899280579</v>
      </c>
      <c r="AJ528">
        <v>3.139773148969812E-2</v>
      </c>
      <c r="AK528">
        <v>1.6049611826327428E-2</v>
      </c>
      <c r="AL528">
        <v>0.39711390493888099</v>
      </c>
    </row>
    <row r="529" spans="1:38" x14ac:dyDescent="0.25">
      <c r="A529">
        <v>18</v>
      </c>
      <c r="B529" s="5" t="s">
        <v>26</v>
      </c>
      <c r="C529" s="6" t="s">
        <v>5</v>
      </c>
      <c r="D529" s="6" t="s">
        <v>36</v>
      </c>
      <c r="E529" s="28">
        <v>46063.086300000003</v>
      </c>
      <c r="F529" s="11">
        <v>1</v>
      </c>
      <c r="G529" s="11">
        <v>17</v>
      </c>
      <c r="H529" s="18">
        <f t="shared" si="114"/>
        <v>-16</v>
      </c>
      <c r="I529" s="18">
        <v>1</v>
      </c>
      <c r="J529" s="19">
        <v>-0.23460410557184749</v>
      </c>
      <c r="K529" s="19">
        <v>2.2000000000000002</v>
      </c>
      <c r="L529" s="14">
        <v>7180870</v>
      </c>
      <c r="M529" s="16">
        <v>3520677.5</v>
      </c>
      <c r="N529" s="16">
        <v>2476705</v>
      </c>
      <c r="O529" s="16">
        <v>5939170</v>
      </c>
      <c r="P529" s="16">
        <v>5509.8076171875</v>
      </c>
      <c r="Q529" s="16">
        <v>40262.7265625</v>
      </c>
      <c r="R529" s="16">
        <v>923987.625</v>
      </c>
      <c r="S529" s="16">
        <v>2031124.125</v>
      </c>
      <c r="T529" s="31">
        <f t="shared" si="115"/>
        <v>2211.8306784179686</v>
      </c>
      <c r="U529" s="37"/>
      <c r="X529" s="28">
        <v>3635.6674999999996</v>
      </c>
      <c r="Y529" t="e">
        <f t="shared" si="117"/>
        <v>#DIV/0!</v>
      </c>
      <c r="Z529" t="e">
        <f t="shared" si="105"/>
        <v>#DIV/0!</v>
      </c>
      <c r="AA529" t="e">
        <f t="shared" si="106"/>
        <v>#DIV/0!</v>
      </c>
      <c r="AB529" t="e">
        <f t="shared" si="107"/>
        <v>#DIV/0!</v>
      </c>
      <c r="AC529" t="e">
        <f t="shared" si="108"/>
        <v>#DIV/0!</v>
      </c>
      <c r="AD529" t="e">
        <f t="shared" si="109"/>
        <v>#DIV/0!</v>
      </c>
      <c r="AE529" t="e">
        <f t="shared" si="110"/>
        <v>#DIV/0!</v>
      </c>
      <c r="AF529" t="e">
        <f t="shared" si="111"/>
        <v>#DIV/0!</v>
      </c>
      <c r="AG529" t="e">
        <f t="shared" si="118"/>
        <v>#DIV/0!</v>
      </c>
      <c r="AH529">
        <v>0.37613415408511175</v>
      </c>
      <c r="AI529">
        <v>0.5971005738447599</v>
      </c>
      <c r="AJ529">
        <v>3.1260031345002735E-2</v>
      </c>
      <c r="AK529">
        <v>1.6631862116455707E-2</v>
      </c>
      <c r="AL529">
        <v>0.39044982283346347</v>
      </c>
    </row>
    <row r="530" spans="1:38" x14ac:dyDescent="0.25">
      <c r="A530">
        <v>18</v>
      </c>
      <c r="B530" s="5" t="s">
        <v>26</v>
      </c>
      <c r="C530" s="6" t="s">
        <v>5</v>
      </c>
      <c r="D530" s="6" t="s">
        <v>37</v>
      </c>
      <c r="E530" s="28">
        <v>46063.086300000003</v>
      </c>
      <c r="F530" s="11">
        <v>2</v>
      </c>
      <c r="G530" s="11">
        <v>17</v>
      </c>
      <c r="H530" s="11">
        <f t="shared" si="114"/>
        <v>-15</v>
      </c>
      <c r="I530" s="18">
        <v>1</v>
      </c>
      <c r="J530" s="19">
        <v>-0.23460410557184749</v>
      </c>
      <c r="K530" s="19">
        <v>2.2000000000000002</v>
      </c>
      <c r="L530" s="6">
        <v>7799840.5</v>
      </c>
      <c r="M530" s="7">
        <v>3381224.75</v>
      </c>
      <c r="N530" s="7">
        <v>2476705</v>
      </c>
      <c r="O530" s="7">
        <v>5701941.5</v>
      </c>
      <c r="P530" s="7">
        <v>5509.8076171875</v>
      </c>
      <c r="Q530" s="7">
        <v>24155.92578125</v>
      </c>
      <c r="R530" s="7">
        <v>934336.0625</v>
      </c>
      <c r="S530" s="7">
        <v>2004000</v>
      </c>
      <c r="T530" s="31">
        <f t="shared" si="115"/>
        <v>2232.7713545898437</v>
      </c>
      <c r="U530" s="37">
        <v>3785</v>
      </c>
      <c r="V530">
        <f t="shared" si="116"/>
        <v>0.58989996158252145</v>
      </c>
      <c r="W530" t="e">
        <f>(V530-V529)/V529</f>
        <v>#DIV/0!</v>
      </c>
      <c r="X530" s="28">
        <v>3983.2408333333324</v>
      </c>
      <c r="Y530">
        <f t="shared" si="117"/>
        <v>0.20607240422721271</v>
      </c>
      <c r="Z530">
        <f t="shared" ref="Z530:Z593" si="119">M530/$U530/10000</f>
        <v>8.9332225891677677E-2</v>
      </c>
      <c r="AA530">
        <f t="shared" ref="AA530:AA593" si="120">N530/$U530/10000</f>
        <v>6.5434742404227211E-2</v>
      </c>
      <c r="AB530">
        <f t="shared" ref="AB530:AB593" si="121">O530/$U530/10000</f>
        <v>0.1506457463672391</v>
      </c>
      <c r="AC530">
        <f t="shared" ref="AC530:AC593" si="122">P530/$U530/10000</f>
        <v>1.4556955395475562E-4</v>
      </c>
      <c r="AD530">
        <f t="shared" ref="AD530:AD593" si="123">Q530/$U530/10000</f>
        <v>6.3820147374504625E-4</v>
      </c>
      <c r="AE530">
        <f t="shared" ref="AE530:AE593" si="124">R530/$U530/10000</f>
        <v>2.468523282694848E-2</v>
      </c>
      <c r="AF530">
        <f t="shared" ref="AF530:AF593" si="125">S530/$U530/10000</f>
        <v>5.294583883751651E-2</v>
      </c>
      <c r="AG530">
        <f t="shared" si="118"/>
        <v>0.58989996158252134</v>
      </c>
      <c r="AH530">
        <v>0.37613415408511175</v>
      </c>
      <c r="AI530">
        <v>0.5971005738447599</v>
      </c>
      <c r="AJ530">
        <v>3.1260031345002735E-2</v>
      </c>
      <c r="AK530">
        <v>1.6631862116455707E-2</v>
      </c>
      <c r="AL530">
        <v>0.39044982283346347</v>
      </c>
    </row>
    <row r="531" spans="1:38" x14ac:dyDescent="0.25">
      <c r="A531">
        <v>18</v>
      </c>
      <c r="B531" s="5" t="s">
        <v>26</v>
      </c>
      <c r="C531" s="6" t="s">
        <v>5</v>
      </c>
      <c r="D531" s="6" t="s">
        <v>38</v>
      </c>
      <c r="E531" s="28">
        <v>46063.086300000003</v>
      </c>
      <c r="F531" s="11">
        <v>3</v>
      </c>
      <c r="G531" s="11">
        <v>17</v>
      </c>
      <c r="H531" s="11">
        <f t="shared" si="114"/>
        <v>-14</v>
      </c>
      <c r="I531" s="18">
        <v>1</v>
      </c>
      <c r="J531" s="19">
        <v>-0.23460410557184749</v>
      </c>
      <c r="K531" s="19">
        <v>2.2000000000000002</v>
      </c>
      <c r="L531" s="6">
        <v>7796806.5</v>
      </c>
      <c r="M531" s="7">
        <v>3285071.5</v>
      </c>
      <c r="N531" s="7">
        <v>2476705</v>
      </c>
      <c r="O531" s="7">
        <v>5540275.5</v>
      </c>
      <c r="P531" s="7">
        <v>5509.8076171875</v>
      </c>
      <c r="Q531" s="7">
        <v>33799.1875</v>
      </c>
      <c r="R531" s="7">
        <v>899545.8125</v>
      </c>
      <c r="S531" s="7">
        <v>2017643.375</v>
      </c>
      <c r="T531" s="31">
        <f t="shared" si="115"/>
        <v>2205.5356682617189</v>
      </c>
      <c r="U531" s="37">
        <v>3820</v>
      </c>
      <c r="V531">
        <f t="shared" si="116"/>
        <v>0.57736535818369605</v>
      </c>
      <c r="W531">
        <f t="shared" ref="W531:W559" si="126">(V531-V530)/V530</f>
        <v>-2.1248693363530455E-2</v>
      </c>
      <c r="X531" s="28">
        <v>4330.8141666666661</v>
      </c>
      <c r="Y531">
        <f t="shared" si="117"/>
        <v>0.20410488219895287</v>
      </c>
      <c r="Z531">
        <f t="shared" si="119"/>
        <v>8.5996636125654446E-2</v>
      </c>
      <c r="AA531">
        <f t="shared" si="120"/>
        <v>6.4835209424083773E-2</v>
      </c>
      <c r="AB531">
        <f t="shared" si="121"/>
        <v>0.14503339005235602</v>
      </c>
      <c r="AC531">
        <f t="shared" si="122"/>
        <v>1.4423580149705497E-4</v>
      </c>
      <c r="AD531">
        <f t="shared" si="123"/>
        <v>8.8479548429319372E-4</v>
      </c>
      <c r="AE531">
        <f t="shared" si="124"/>
        <v>2.354831969895288E-2</v>
      </c>
      <c r="AF531">
        <f t="shared" si="125"/>
        <v>5.2817889397905764E-2</v>
      </c>
      <c r="AG531">
        <f t="shared" si="118"/>
        <v>0.57736535818369594</v>
      </c>
      <c r="AH531">
        <v>0.37613415408511175</v>
      </c>
      <c r="AI531">
        <v>0.5971005738447599</v>
      </c>
      <c r="AJ531">
        <v>3.1260031345002735E-2</v>
      </c>
      <c r="AK531">
        <v>1.6631862116455707E-2</v>
      </c>
      <c r="AL531">
        <v>0.39044982283346347</v>
      </c>
    </row>
    <row r="532" spans="1:38" x14ac:dyDescent="0.25">
      <c r="A532">
        <v>18</v>
      </c>
      <c r="B532" s="5" t="s">
        <v>26</v>
      </c>
      <c r="C532" s="6" t="s">
        <v>5</v>
      </c>
      <c r="D532" s="6" t="s">
        <v>39</v>
      </c>
      <c r="E532" s="28">
        <v>46063.086300000003</v>
      </c>
      <c r="F532" s="11">
        <v>4</v>
      </c>
      <c r="G532" s="11">
        <v>17</v>
      </c>
      <c r="H532" s="11">
        <f t="shared" si="114"/>
        <v>-13</v>
      </c>
      <c r="I532" s="18">
        <v>1</v>
      </c>
      <c r="J532" s="19">
        <v>-0.23460410557184749</v>
      </c>
      <c r="K532" s="19">
        <v>2.2000000000000002</v>
      </c>
      <c r="L532" s="6">
        <v>7410455.5</v>
      </c>
      <c r="M532" s="7">
        <v>3428443</v>
      </c>
      <c r="N532" s="7">
        <v>2476705</v>
      </c>
      <c r="O532" s="7">
        <v>5782234.5</v>
      </c>
      <c r="P532" s="7">
        <v>5509.8076171875</v>
      </c>
      <c r="Q532" s="7">
        <v>93293.015625</v>
      </c>
      <c r="R532" s="7">
        <v>889088.5625</v>
      </c>
      <c r="S532" s="7">
        <v>2041118.125</v>
      </c>
      <c r="T532" s="31">
        <f t="shared" si="115"/>
        <v>2212.6847510742186</v>
      </c>
      <c r="U532" s="37">
        <v>3981.6666666666665</v>
      </c>
      <c r="V532">
        <f t="shared" si="116"/>
        <v>0.55571822965447104</v>
      </c>
      <c r="W532">
        <f t="shared" si="126"/>
        <v>-3.7492946576018343E-2</v>
      </c>
      <c r="X532" s="28">
        <v>4678.3874999999989</v>
      </c>
      <c r="Y532">
        <f t="shared" si="117"/>
        <v>0.18611441188781919</v>
      </c>
      <c r="Z532">
        <f t="shared" si="119"/>
        <v>8.610572624529092E-2</v>
      </c>
      <c r="AA532">
        <f t="shared" si="120"/>
        <v>6.2202720803683553E-2</v>
      </c>
      <c r="AB532">
        <f t="shared" si="121"/>
        <v>0.14522146086228546</v>
      </c>
      <c r="AC532">
        <f t="shared" si="122"/>
        <v>1.3837942948147761E-4</v>
      </c>
      <c r="AD532">
        <f t="shared" si="123"/>
        <v>2.3430644359564673E-3</v>
      </c>
      <c r="AE532">
        <f t="shared" si="124"/>
        <v>2.2329557869401422E-2</v>
      </c>
      <c r="AF532">
        <f t="shared" si="125"/>
        <v>5.1262908120552536E-2</v>
      </c>
      <c r="AG532">
        <f t="shared" si="118"/>
        <v>0.55571822965447093</v>
      </c>
      <c r="AH532">
        <v>0.37613415408511175</v>
      </c>
      <c r="AI532">
        <v>0.5971005738447599</v>
      </c>
      <c r="AJ532">
        <v>3.1260031345002735E-2</v>
      </c>
      <c r="AK532">
        <v>1.6631862116455707E-2</v>
      </c>
      <c r="AL532">
        <v>0.39044982283346347</v>
      </c>
    </row>
    <row r="533" spans="1:38" x14ac:dyDescent="0.25">
      <c r="A533">
        <v>18</v>
      </c>
      <c r="B533" s="5" t="s">
        <v>26</v>
      </c>
      <c r="C533" s="6" t="s">
        <v>5</v>
      </c>
      <c r="D533" s="6" t="s">
        <v>40</v>
      </c>
      <c r="E533" s="28">
        <v>46063.086300000003</v>
      </c>
      <c r="F533" s="11">
        <v>5</v>
      </c>
      <c r="G533" s="11">
        <v>17</v>
      </c>
      <c r="H533" s="11">
        <f t="shared" si="114"/>
        <v>-12</v>
      </c>
      <c r="I533" s="18">
        <v>1</v>
      </c>
      <c r="J533" s="19">
        <v>-0.23460410557184749</v>
      </c>
      <c r="K533" s="19">
        <v>2.2000000000000002</v>
      </c>
      <c r="L533" s="6">
        <v>8397572</v>
      </c>
      <c r="M533" s="7">
        <v>3527962</v>
      </c>
      <c r="N533" s="7">
        <v>2476705</v>
      </c>
      <c r="O533" s="7">
        <v>5947137</v>
      </c>
      <c r="P533" s="7">
        <v>5509.8076171875</v>
      </c>
      <c r="Q533" s="7">
        <v>128726.4765625</v>
      </c>
      <c r="R533" s="7">
        <v>936362.8125</v>
      </c>
      <c r="S533" s="7">
        <v>2088567.625</v>
      </c>
      <c r="T533" s="31">
        <f t="shared" si="115"/>
        <v>2350.8542721679687</v>
      </c>
      <c r="U533" s="37">
        <v>4143.333333333333</v>
      </c>
      <c r="V533">
        <f t="shared" si="116"/>
        <v>0.56738236657312202</v>
      </c>
      <c r="W533">
        <f t="shared" si="126"/>
        <v>2.0989300505587862E-2</v>
      </c>
      <c r="X533" s="28">
        <v>5025.9608333333317</v>
      </c>
      <c r="Y533">
        <f t="shared" si="117"/>
        <v>0.20267671761866454</v>
      </c>
      <c r="Z533">
        <f t="shared" si="119"/>
        <v>8.5147916331456158E-2</v>
      </c>
      <c r="AA533">
        <f t="shared" si="120"/>
        <v>5.9775663716814163E-2</v>
      </c>
      <c r="AB533">
        <f t="shared" si="121"/>
        <v>0.14353508447304911</v>
      </c>
      <c r="AC533">
        <f t="shared" si="122"/>
        <v>1.329800712112832E-4</v>
      </c>
      <c r="AD533">
        <f t="shared" si="123"/>
        <v>3.1068337062550287E-3</v>
      </c>
      <c r="AE533">
        <f t="shared" si="124"/>
        <v>2.2599263374899439E-2</v>
      </c>
      <c r="AF533">
        <f t="shared" si="125"/>
        <v>5.0407907280772324E-2</v>
      </c>
      <c r="AG533">
        <f t="shared" si="118"/>
        <v>0.56738236657312213</v>
      </c>
      <c r="AH533">
        <v>0.37613415408511175</v>
      </c>
      <c r="AI533">
        <v>0.5971005738447599</v>
      </c>
      <c r="AJ533">
        <v>3.1260031345002735E-2</v>
      </c>
      <c r="AK533">
        <v>1.6631862116455707E-2</v>
      </c>
      <c r="AL533">
        <v>0.39044982283346347</v>
      </c>
    </row>
    <row r="534" spans="1:38" x14ac:dyDescent="0.25">
      <c r="A534">
        <v>18</v>
      </c>
      <c r="B534" s="5" t="s">
        <v>26</v>
      </c>
      <c r="C534" s="6" t="s">
        <v>5</v>
      </c>
      <c r="D534" s="6" t="s">
        <v>41</v>
      </c>
      <c r="E534" s="28">
        <v>46063.086300000003</v>
      </c>
      <c r="F534" s="11">
        <v>6</v>
      </c>
      <c r="G534" s="11">
        <v>17</v>
      </c>
      <c r="H534" s="11">
        <f t="shared" si="114"/>
        <v>-11</v>
      </c>
      <c r="I534" s="18">
        <v>1</v>
      </c>
      <c r="J534" s="19">
        <v>-0.23460410557184749</v>
      </c>
      <c r="K534" s="19">
        <v>2.2000000000000002</v>
      </c>
      <c r="L534" s="6">
        <v>8871914</v>
      </c>
      <c r="M534" s="7">
        <v>3514374.75</v>
      </c>
      <c r="N534" s="7">
        <v>2476705</v>
      </c>
      <c r="O534" s="7">
        <v>5926314</v>
      </c>
      <c r="P534" s="7">
        <v>5509.8076171875</v>
      </c>
      <c r="Q534" s="7">
        <v>85077.7265625</v>
      </c>
      <c r="R534" s="7">
        <v>927560.3125</v>
      </c>
      <c r="S534" s="7">
        <v>2070929.5</v>
      </c>
      <c r="T534" s="31">
        <f t="shared" si="115"/>
        <v>2387.8385096679685</v>
      </c>
      <c r="U534" s="37">
        <v>4305</v>
      </c>
      <c r="V534">
        <f t="shared" si="116"/>
        <v>0.55466632048036435</v>
      </c>
      <c r="W534">
        <f t="shared" si="126"/>
        <v>-2.2411775271692157E-2</v>
      </c>
      <c r="X534" s="28">
        <v>5373.5341666666654</v>
      </c>
      <c r="Y534">
        <f t="shared" si="117"/>
        <v>0.20608394889663181</v>
      </c>
      <c r="Z534">
        <f t="shared" si="119"/>
        <v>8.1634721254355391E-2</v>
      </c>
      <c r="AA534">
        <f t="shared" si="120"/>
        <v>5.7530894308943085E-2</v>
      </c>
      <c r="AB534">
        <f t="shared" si="121"/>
        <v>0.13766118466898955</v>
      </c>
      <c r="AC534">
        <f t="shared" si="122"/>
        <v>1.2798623965592335E-4</v>
      </c>
      <c r="AD534">
        <f t="shared" si="123"/>
        <v>1.9762538109756099E-3</v>
      </c>
      <c r="AE534">
        <f t="shared" si="124"/>
        <v>2.1546116434378631E-2</v>
      </c>
      <c r="AF534">
        <f t="shared" si="125"/>
        <v>4.8105214866434383E-2</v>
      </c>
      <c r="AG534">
        <f t="shared" si="118"/>
        <v>0.55466632048036435</v>
      </c>
      <c r="AH534">
        <v>0.37613415408511175</v>
      </c>
      <c r="AI534">
        <v>0.5971005738447599</v>
      </c>
      <c r="AJ534">
        <v>3.1260031345002735E-2</v>
      </c>
      <c r="AK534">
        <v>1.6631862116455707E-2</v>
      </c>
      <c r="AL534">
        <v>0.39044982283346347</v>
      </c>
    </row>
    <row r="535" spans="1:38" x14ac:dyDescent="0.25">
      <c r="A535">
        <v>18</v>
      </c>
      <c r="B535" s="5" t="s">
        <v>26</v>
      </c>
      <c r="C535" s="6" t="s">
        <v>5</v>
      </c>
      <c r="D535" s="6" t="s">
        <v>42</v>
      </c>
      <c r="E535" s="28">
        <v>46063.086300000003</v>
      </c>
      <c r="F535" s="11">
        <v>7</v>
      </c>
      <c r="G535" s="11">
        <v>17</v>
      </c>
      <c r="H535" s="11">
        <f t="shared" si="114"/>
        <v>-10</v>
      </c>
      <c r="I535" s="18">
        <v>1</v>
      </c>
      <c r="J535" s="19">
        <v>-0.23460410557184749</v>
      </c>
      <c r="K535" s="19">
        <v>2.2000000000000002</v>
      </c>
      <c r="L535" s="6">
        <v>10836033</v>
      </c>
      <c r="M535" s="7">
        <v>3545691.5</v>
      </c>
      <c r="N535" s="7">
        <v>2477894</v>
      </c>
      <c r="O535" s="7">
        <v>5980823</v>
      </c>
      <c r="P535" s="7">
        <v>5512.4521484375</v>
      </c>
      <c r="Q535" s="7">
        <v>39484.29296875</v>
      </c>
      <c r="R535" s="7">
        <v>926823.9375</v>
      </c>
      <c r="S535" s="7">
        <v>2021156.25</v>
      </c>
      <c r="T535" s="31">
        <f t="shared" si="115"/>
        <v>2583.3418432617186</v>
      </c>
      <c r="U535" s="37">
        <v>4466.666666666667</v>
      </c>
      <c r="V535">
        <f t="shared" si="116"/>
        <v>0.57836011416307131</v>
      </c>
      <c r="W535">
        <f t="shared" si="126"/>
        <v>4.2717202771906437E-2</v>
      </c>
      <c r="X535" s="28">
        <v>5721.1074999999983</v>
      </c>
      <c r="Y535">
        <f t="shared" si="117"/>
        <v>0.24259775373134326</v>
      </c>
      <c r="Z535">
        <f t="shared" si="119"/>
        <v>7.9381152985074616E-2</v>
      </c>
      <c r="AA535">
        <f t="shared" si="120"/>
        <v>5.5475238805970148E-2</v>
      </c>
      <c r="AB535">
        <f t="shared" si="121"/>
        <v>0.1338990223880597</v>
      </c>
      <c r="AC535">
        <f t="shared" si="122"/>
        <v>1.2341310780083955E-4</v>
      </c>
      <c r="AD535">
        <f t="shared" si="123"/>
        <v>8.8397670825559693E-4</v>
      </c>
      <c r="AE535">
        <f t="shared" si="124"/>
        <v>2.0749789645522387E-2</v>
      </c>
      <c r="AF535">
        <f t="shared" si="125"/>
        <v>4.5249766791044775E-2</v>
      </c>
      <c r="AG535">
        <f t="shared" si="118"/>
        <v>0.57836011416307131</v>
      </c>
      <c r="AH535">
        <v>0.37613415408511175</v>
      </c>
      <c r="AI535">
        <v>0.5971005738447599</v>
      </c>
      <c r="AJ535">
        <v>3.1260031345002735E-2</v>
      </c>
      <c r="AK535">
        <v>1.6631862116455707E-2</v>
      </c>
      <c r="AL535">
        <v>0.39044982283346347</v>
      </c>
    </row>
    <row r="536" spans="1:38" x14ac:dyDescent="0.25">
      <c r="A536">
        <v>18</v>
      </c>
      <c r="B536" s="5" t="s">
        <v>26</v>
      </c>
      <c r="C536" s="6" t="s">
        <v>5</v>
      </c>
      <c r="D536" s="6" t="s">
        <v>43</v>
      </c>
      <c r="E536" s="28">
        <v>48670.400000000001</v>
      </c>
      <c r="F536" s="11">
        <v>8</v>
      </c>
      <c r="G536" s="11">
        <v>17</v>
      </c>
      <c r="H536" s="18">
        <f t="shared" si="114"/>
        <v>-9</v>
      </c>
      <c r="I536" s="18">
        <v>1</v>
      </c>
      <c r="J536" s="19">
        <v>-0.23460410557184749</v>
      </c>
      <c r="K536" s="19">
        <v>2.2000000000000002</v>
      </c>
      <c r="L536" s="14">
        <v>7557396.5</v>
      </c>
      <c r="M536" s="16">
        <v>3212186</v>
      </c>
      <c r="N536" s="16">
        <v>2454797.5</v>
      </c>
      <c r="O536" s="16">
        <v>5837496.5</v>
      </c>
      <c r="P536" s="16">
        <v>5635.38525390625</v>
      </c>
      <c r="Q536" s="16">
        <v>20652.640625</v>
      </c>
      <c r="R536" s="16">
        <v>960100.1875</v>
      </c>
      <c r="S536" s="16">
        <v>1878875.375</v>
      </c>
      <c r="T536" s="31">
        <f t="shared" si="115"/>
        <v>2192.7140088378906</v>
      </c>
      <c r="U536" s="37">
        <v>3561.5555555555552</v>
      </c>
      <c r="V536">
        <f t="shared" si="116"/>
        <v>0.61566188555378476</v>
      </c>
      <c r="W536">
        <f t="shared" si="126"/>
        <v>6.4495753557784308E-2</v>
      </c>
      <c r="X536" s="28">
        <v>3117.5079166666656</v>
      </c>
      <c r="Y536">
        <f t="shared" si="117"/>
        <v>0.21219369969426594</v>
      </c>
      <c r="Z536">
        <f t="shared" si="119"/>
        <v>9.0190534722655522E-2</v>
      </c>
      <c r="AA536">
        <f t="shared" si="120"/>
        <v>6.8924868971111261E-2</v>
      </c>
      <c r="AB536">
        <f t="shared" si="121"/>
        <v>0.1639030027453672</v>
      </c>
      <c r="AC536">
        <f t="shared" si="122"/>
        <v>1.5822820017831241E-4</v>
      </c>
      <c r="AD536">
        <f t="shared" si="123"/>
        <v>5.7987697518250463E-4</v>
      </c>
      <c r="AE536">
        <f t="shared" si="124"/>
        <v>2.6957327283646349E-2</v>
      </c>
      <c r="AF536">
        <f t="shared" si="125"/>
        <v>5.2754346961377679E-2</v>
      </c>
      <c r="AG536">
        <f t="shared" si="118"/>
        <v>0.61566188555378476</v>
      </c>
      <c r="AH536">
        <v>0.3599682764061935</v>
      </c>
      <c r="AI536">
        <v>0.60311932162325865</v>
      </c>
      <c r="AJ536">
        <v>3.117505995203837E-2</v>
      </c>
      <c r="AK536">
        <v>1.7646729839902692E-2</v>
      </c>
      <c r="AL536">
        <v>0.34496158085148265</v>
      </c>
    </row>
    <row r="537" spans="1:38" x14ac:dyDescent="0.25">
      <c r="A537">
        <v>18</v>
      </c>
      <c r="B537" s="5" t="s">
        <v>26</v>
      </c>
      <c r="C537" s="6" t="s">
        <v>5</v>
      </c>
      <c r="D537" s="6" t="s">
        <v>44</v>
      </c>
      <c r="E537" s="28">
        <v>48670.400000000001</v>
      </c>
      <c r="F537" s="11">
        <v>9</v>
      </c>
      <c r="G537" s="11">
        <v>17</v>
      </c>
      <c r="H537" s="11">
        <f t="shared" si="114"/>
        <v>-8</v>
      </c>
      <c r="I537" s="18">
        <v>1</v>
      </c>
      <c r="J537" s="19">
        <v>-0.23460410557184749</v>
      </c>
      <c r="K537" s="19">
        <v>2.2000000000000002</v>
      </c>
      <c r="L537" s="6">
        <v>7519949</v>
      </c>
      <c r="M537" s="7">
        <v>3149955</v>
      </c>
      <c r="N537" s="7">
        <v>2454797.5</v>
      </c>
      <c r="O537" s="7">
        <v>5717558.5</v>
      </c>
      <c r="P537" s="7">
        <v>5635.38525390625</v>
      </c>
      <c r="Q537" s="7">
        <v>29305.576171875</v>
      </c>
      <c r="R537" s="7">
        <v>923686.1875</v>
      </c>
      <c r="S537" s="7">
        <v>1896043</v>
      </c>
      <c r="T537" s="31">
        <f t="shared" si="115"/>
        <v>2169.693014892578</v>
      </c>
      <c r="U537" s="37">
        <v>3651</v>
      </c>
      <c r="V537">
        <f t="shared" si="116"/>
        <v>0.59427362774379022</v>
      </c>
      <c r="W537">
        <f t="shared" si="126"/>
        <v>-3.4740266227063749E-2</v>
      </c>
      <c r="X537" s="28">
        <v>3271.2737499999994</v>
      </c>
      <c r="Y537">
        <f t="shared" si="117"/>
        <v>0.20596956998082719</v>
      </c>
      <c r="Z537">
        <f t="shared" si="119"/>
        <v>8.6276499589153663E-2</v>
      </c>
      <c r="AA537">
        <f t="shared" si="120"/>
        <v>6.7236305121884415E-2</v>
      </c>
      <c r="AB537">
        <f t="shared" si="121"/>
        <v>0.15660253355245138</v>
      </c>
      <c r="AC537">
        <f t="shared" si="122"/>
        <v>1.5435182837321966E-4</v>
      </c>
      <c r="AD537">
        <f t="shared" si="123"/>
        <v>8.02672587561627E-4</v>
      </c>
      <c r="AE537">
        <f t="shared" si="124"/>
        <v>2.5299539509723364E-2</v>
      </c>
      <c r="AF537">
        <f t="shared" si="125"/>
        <v>5.1932155573815399E-2</v>
      </c>
      <c r="AG537">
        <f t="shared" si="118"/>
        <v>0.59427362774379022</v>
      </c>
      <c r="AH537">
        <v>0.3599682764061935</v>
      </c>
      <c r="AI537">
        <v>0.60311932162325865</v>
      </c>
      <c r="AJ537">
        <v>3.117505995203837E-2</v>
      </c>
      <c r="AK537">
        <v>1.7646729839902692E-2</v>
      </c>
      <c r="AL537">
        <v>0.34496158085148265</v>
      </c>
    </row>
    <row r="538" spans="1:38" x14ac:dyDescent="0.25">
      <c r="A538">
        <v>18</v>
      </c>
      <c r="B538" s="5" t="s">
        <v>26</v>
      </c>
      <c r="C538" s="6" t="s">
        <v>5</v>
      </c>
      <c r="D538" s="6" t="s">
        <v>45</v>
      </c>
      <c r="E538" s="28">
        <v>48670.400000000001</v>
      </c>
      <c r="F538" s="11">
        <v>10</v>
      </c>
      <c r="G538" s="11">
        <v>17</v>
      </c>
      <c r="H538" s="11">
        <f t="shared" si="114"/>
        <v>-7</v>
      </c>
      <c r="I538" s="18">
        <v>1</v>
      </c>
      <c r="J538" s="19">
        <v>-0.23460410557184749</v>
      </c>
      <c r="K538" s="19">
        <v>2.2000000000000002</v>
      </c>
      <c r="L538" s="6">
        <v>8554321</v>
      </c>
      <c r="M538" s="7">
        <v>3269682</v>
      </c>
      <c r="N538" s="7">
        <v>2454797.5</v>
      </c>
      <c r="O538" s="7">
        <v>5937965.5</v>
      </c>
      <c r="P538" s="7">
        <v>5635.38525390625</v>
      </c>
      <c r="Q538" s="7">
        <v>84875.9765625</v>
      </c>
      <c r="R538" s="7">
        <v>911705.25</v>
      </c>
      <c r="S538" s="7">
        <v>1923544</v>
      </c>
      <c r="T538" s="31">
        <f t="shared" si="115"/>
        <v>2314.2526611816406</v>
      </c>
      <c r="U538" s="37">
        <v>3740.4444444444448</v>
      </c>
      <c r="V538">
        <f t="shared" si="116"/>
        <v>0.61871060927503452</v>
      </c>
      <c r="W538">
        <f t="shared" si="126"/>
        <v>4.1120757156970521E-2</v>
      </c>
      <c r="X538" s="28">
        <v>3425.0395833333328</v>
      </c>
      <c r="Y538">
        <f t="shared" si="117"/>
        <v>0.22869798300855509</v>
      </c>
      <c r="Z538">
        <f t="shared" si="119"/>
        <v>8.7414264496197713E-2</v>
      </c>
      <c r="AA538">
        <f t="shared" si="120"/>
        <v>6.5628497801806074E-2</v>
      </c>
      <c r="AB538">
        <f t="shared" si="121"/>
        <v>0.15875026586264257</v>
      </c>
      <c r="AC538">
        <f t="shared" si="122"/>
        <v>1.5066084626056396E-4</v>
      </c>
      <c r="AD538">
        <f t="shared" si="123"/>
        <v>2.2691414836694987E-3</v>
      </c>
      <c r="AE538">
        <f t="shared" si="124"/>
        <v>2.437424919795627E-2</v>
      </c>
      <c r="AF538">
        <f t="shared" si="125"/>
        <v>5.1425546577946762E-2</v>
      </c>
      <c r="AG538">
        <f t="shared" si="118"/>
        <v>0.61871060927503452</v>
      </c>
      <c r="AH538">
        <v>0.3599682764061935</v>
      </c>
      <c r="AI538">
        <v>0.60311932162325865</v>
      </c>
      <c r="AJ538">
        <v>3.117505995203837E-2</v>
      </c>
      <c r="AK538">
        <v>1.7646729839902692E-2</v>
      </c>
      <c r="AL538">
        <v>0.34496158085148265</v>
      </c>
    </row>
    <row r="539" spans="1:38" x14ac:dyDescent="0.25">
      <c r="A539">
        <v>18</v>
      </c>
      <c r="B539" s="5" t="s">
        <v>26</v>
      </c>
      <c r="C539" s="6" t="s">
        <v>5</v>
      </c>
      <c r="D539" s="6" t="s">
        <v>46</v>
      </c>
      <c r="E539" s="28">
        <v>48670.400000000001</v>
      </c>
      <c r="F539" s="11">
        <v>11</v>
      </c>
      <c r="G539" s="11">
        <v>17</v>
      </c>
      <c r="H539" s="11">
        <f t="shared" si="114"/>
        <v>-6</v>
      </c>
      <c r="I539" s="18">
        <v>1</v>
      </c>
      <c r="J539" s="19">
        <v>-0.23460410557184749</v>
      </c>
      <c r="K539" s="19">
        <v>2.2000000000000002</v>
      </c>
      <c r="L539" s="6">
        <v>7737551.5</v>
      </c>
      <c r="M539" s="7">
        <v>3321460.25</v>
      </c>
      <c r="N539" s="7">
        <v>2454797.5</v>
      </c>
      <c r="O539" s="7">
        <v>6036168.5</v>
      </c>
      <c r="P539" s="7">
        <v>5635.38525390625</v>
      </c>
      <c r="Q539" s="7">
        <v>116932.1015625</v>
      </c>
      <c r="R539" s="7">
        <v>959238.0625</v>
      </c>
      <c r="S539" s="7">
        <v>1969084.375</v>
      </c>
      <c r="T539" s="31">
        <f t="shared" si="115"/>
        <v>2260.0867674316405</v>
      </c>
      <c r="U539" s="37">
        <v>3829.8888888888891</v>
      </c>
      <c r="V539">
        <f t="shared" si="116"/>
        <v>0.59011810342292392</v>
      </c>
      <c r="W539">
        <f t="shared" si="126"/>
        <v>-4.6213052473131927E-2</v>
      </c>
      <c r="X539" s="28">
        <v>3578.8054166666661</v>
      </c>
      <c r="Y539">
        <f t="shared" si="117"/>
        <v>0.202030704401056</v>
      </c>
      <c r="Z539">
        <f t="shared" si="119"/>
        <v>8.6724715686558929E-2</v>
      </c>
      <c r="AA539">
        <f t="shared" si="120"/>
        <v>6.409578896979895E-2</v>
      </c>
      <c r="AB539">
        <f t="shared" si="121"/>
        <v>0.15760688299631551</v>
      </c>
      <c r="AC539">
        <f t="shared" si="122"/>
        <v>1.4714226489064448E-4</v>
      </c>
      <c r="AD539">
        <f t="shared" si="123"/>
        <v>3.053146056057617E-3</v>
      </c>
      <c r="AE539">
        <f t="shared" si="124"/>
        <v>2.504610682787432E-2</v>
      </c>
      <c r="AF539">
        <f t="shared" si="125"/>
        <v>5.1413616220371924E-2</v>
      </c>
      <c r="AG539">
        <f t="shared" si="118"/>
        <v>0.59011810342292392</v>
      </c>
      <c r="AH539">
        <v>0.3599682764061935</v>
      </c>
      <c r="AI539">
        <v>0.60311932162325865</v>
      </c>
      <c r="AJ539">
        <v>3.117505995203837E-2</v>
      </c>
      <c r="AK539">
        <v>1.7646729839902692E-2</v>
      </c>
      <c r="AL539">
        <v>0.34496158085148265</v>
      </c>
    </row>
    <row r="540" spans="1:38" x14ac:dyDescent="0.25">
      <c r="A540">
        <v>18</v>
      </c>
      <c r="B540" s="5" t="s">
        <v>26</v>
      </c>
      <c r="C540" s="6" t="s">
        <v>5</v>
      </c>
      <c r="D540" s="6" t="s">
        <v>47</v>
      </c>
      <c r="E540" s="28">
        <v>48670.400000000001</v>
      </c>
      <c r="F540" s="11">
        <v>12</v>
      </c>
      <c r="G540" s="11">
        <v>17</v>
      </c>
      <c r="H540" s="11">
        <f t="shared" si="114"/>
        <v>-5</v>
      </c>
      <c r="I540" s="18">
        <v>1</v>
      </c>
      <c r="J540" s="19">
        <v>-0.23460410557184749</v>
      </c>
      <c r="K540" s="19">
        <v>2.2000000000000002</v>
      </c>
      <c r="L540" s="6">
        <v>7686946.5</v>
      </c>
      <c r="M540" s="7">
        <v>3285189.75</v>
      </c>
      <c r="N540" s="7">
        <v>2454797.5</v>
      </c>
      <c r="O540" s="7">
        <v>5974683</v>
      </c>
      <c r="P540" s="7">
        <v>5635.38525390625</v>
      </c>
      <c r="Q540" s="7">
        <v>76831.515625</v>
      </c>
      <c r="R540" s="7">
        <v>948458.625</v>
      </c>
      <c r="S540" s="7">
        <v>1958966</v>
      </c>
      <c r="T540" s="31">
        <f t="shared" si="115"/>
        <v>2239.1508275878905</v>
      </c>
      <c r="U540" s="37">
        <v>3919.3333333333335</v>
      </c>
      <c r="V540">
        <f t="shared" si="116"/>
        <v>0.5713091072260309</v>
      </c>
      <c r="W540">
        <f t="shared" si="126"/>
        <v>-3.1873274328974542E-2</v>
      </c>
      <c r="X540" s="28">
        <v>3732.57125</v>
      </c>
      <c r="Y540">
        <f t="shared" si="117"/>
        <v>0.1961289292396666</v>
      </c>
      <c r="Z540">
        <f t="shared" si="119"/>
        <v>8.3820116091171959E-2</v>
      </c>
      <c r="AA540">
        <f t="shared" si="120"/>
        <v>6.2633037081136239E-2</v>
      </c>
      <c r="AB540">
        <f t="shared" si="121"/>
        <v>0.15244130804558598</v>
      </c>
      <c r="AC540">
        <f t="shared" si="122"/>
        <v>1.4378428101478779E-4</v>
      </c>
      <c r="AD540">
        <f t="shared" si="123"/>
        <v>1.9603210314254123E-3</v>
      </c>
      <c r="AE540">
        <f t="shared" si="124"/>
        <v>2.4199488646028236E-2</v>
      </c>
      <c r="AF540">
        <f t="shared" si="125"/>
        <v>4.9982122810001701E-2</v>
      </c>
      <c r="AG540">
        <f t="shared" si="118"/>
        <v>0.5713091072260309</v>
      </c>
      <c r="AH540">
        <v>0.3599682764061935</v>
      </c>
      <c r="AI540">
        <v>0.60311932162325865</v>
      </c>
      <c r="AJ540">
        <v>3.117505995203837E-2</v>
      </c>
      <c r="AK540">
        <v>1.7646729839902692E-2</v>
      </c>
      <c r="AL540">
        <v>0.34496158085148265</v>
      </c>
    </row>
    <row r="541" spans="1:38" x14ac:dyDescent="0.25">
      <c r="A541">
        <v>18</v>
      </c>
      <c r="B541" s="5" t="s">
        <v>26</v>
      </c>
      <c r="C541" s="6" t="s">
        <v>5</v>
      </c>
      <c r="D541" s="6" t="s">
        <v>48</v>
      </c>
      <c r="E541" s="28">
        <v>48670.400000000001</v>
      </c>
      <c r="F541" s="11">
        <v>13</v>
      </c>
      <c r="G541" s="11">
        <v>17</v>
      </c>
      <c r="H541" s="11">
        <f t="shared" si="114"/>
        <v>-4</v>
      </c>
      <c r="I541" s="18">
        <v>1</v>
      </c>
      <c r="J541" s="19">
        <v>-0.23460410557184749</v>
      </c>
      <c r="K541" s="19">
        <v>2.2000000000000002</v>
      </c>
      <c r="L541" s="6">
        <v>8052316.5</v>
      </c>
      <c r="M541" s="7">
        <v>3302603.5</v>
      </c>
      <c r="N541" s="7">
        <v>2454797.5</v>
      </c>
      <c r="O541" s="7">
        <v>6008125.5</v>
      </c>
      <c r="P541" s="7">
        <v>5635.38525390625</v>
      </c>
      <c r="Q541" s="7">
        <v>37592.27734375</v>
      </c>
      <c r="R541" s="7">
        <v>946069.25</v>
      </c>
      <c r="S541" s="7">
        <v>1919682.25</v>
      </c>
      <c r="T541" s="31">
        <f t="shared" si="115"/>
        <v>2272.6822162597655</v>
      </c>
      <c r="U541" s="37">
        <v>3978</v>
      </c>
      <c r="V541">
        <f t="shared" si="116"/>
        <v>0.57131277432372185</v>
      </c>
      <c r="W541">
        <f t="shared" si="126"/>
        <v>6.4187628808454764E-6</v>
      </c>
      <c r="X541" s="28">
        <v>3886.3370833333333</v>
      </c>
      <c r="Y541">
        <f t="shared" si="117"/>
        <v>0.20242122926093514</v>
      </c>
      <c r="Z541">
        <f t="shared" si="119"/>
        <v>8.3021706887883365E-2</v>
      </c>
      <c r="AA541">
        <f t="shared" si="120"/>
        <v>6.1709338863750636E-2</v>
      </c>
      <c r="AB541">
        <f t="shared" si="121"/>
        <v>0.15103382352941175</v>
      </c>
      <c r="AC541">
        <f t="shared" si="122"/>
        <v>1.4166378214947839E-4</v>
      </c>
      <c r="AD541">
        <f t="shared" si="123"/>
        <v>9.4500445811337346E-4</v>
      </c>
      <c r="AE541">
        <f t="shared" si="124"/>
        <v>2.3782535193564602E-2</v>
      </c>
      <c r="AF541">
        <f t="shared" si="125"/>
        <v>4.825747234791352E-2</v>
      </c>
      <c r="AG541">
        <f t="shared" si="118"/>
        <v>0.57131277432372185</v>
      </c>
      <c r="AH541">
        <v>0.3599682764061935</v>
      </c>
      <c r="AI541">
        <v>0.60311932162325865</v>
      </c>
      <c r="AJ541">
        <v>3.117505995203837E-2</v>
      </c>
      <c r="AK541">
        <v>1.7646729839902692E-2</v>
      </c>
      <c r="AL541">
        <v>0.34496158085148265</v>
      </c>
    </row>
    <row r="542" spans="1:38" x14ac:dyDescent="0.25">
      <c r="A542">
        <v>18</v>
      </c>
      <c r="B542" s="5" t="s">
        <v>26</v>
      </c>
      <c r="C542" s="6" t="s">
        <v>5</v>
      </c>
      <c r="D542" s="6" t="s">
        <v>49</v>
      </c>
      <c r="E542" s="28">
        <v>48670.400000000001</v>
      </c>
      <c r="F542" s="11">
        <v>14</v>
      </c>
      <c r="G542" s="11">
        <v>17</v>
      </c>
      <c r="H542" s="11">
        <f t="shared" si="114"/>
        <v>-3</v>
      </c>
      <c r="I542" s="18">
        <v>1</v>
      </c>
      <c r="J542" s="19">
        <v>-0.23460410557184749</v>
      </c>
      <c r="K542" s="19">
        <v>2.2000000000000002</v>
      </c>
      <c r="L542" s="6">
        <v>9057338</v>
      </c>
      <c r="M542" s="7">
        <v>3172039.75</v>
      </c>
      <c r="N542" s="7">
        <v>2454797.5</v>
      </c>
      <c r="O542" s="7">
        <v>5768246</v>
      </c>
      <c r="P542" s="7">
        <v>5635.38525390625</v>
      </c>
      <c r="Q542" s="7">
        <v>22585.759765625</v>
      </c>
      <c r="R542" s="7">
        <v>956756.1875</v>
      </c>
      <c r="S542" s="7">
        <v>1893726</v>
      </c>
      <c r="T542" s="31">
        <f t="shared" si="115"/>
        <v>2333.1124582519533</v>
      </c>
      <c r="U542" s="37">
        <v>4036.6666666666665</v>
      </c>
      <c r="V542">
        <f t="shared" si="116"/>
        <v>0.57797996488487702</v>
      </c>
      <c r="W542">
        <f t="shared" si="126"/>
        <v>1.1669948337926277E-2</v>
      </c>
      <c r="X542" s="28">
        <v>4040.1029166666667</v>
      </c>
      <c r="Y542">
        <f t="shared" si="117"/>
        <v>0.22437666391412059</v>
      </c>
      <c r="Z542">
        <f t="shared" si="119"/>
        <v>7.8580670933113134E-2</v>
      </c>
      <c r="AA542">
        <f t="shared" si="120"/>
        <v>6.0812489677952115E-2</v>
      </c>
      <c r="AB542">
        <f t="shared" si="121"/>
        <v>0.14289626754748141</v>
      </c>
      <c r="AC542">
        <f t="shared" si="122"/>
        <v>1.3960491958479564E-4</v>
      </c>
      <c r="AD542">
        <f t="shared" si="123"/>
        <v>5.5951510567196533E-4</v>
      </c>
      <c r="AE542">
        <f t="shared" si="124"/>
        <v>2.370163965730801E-2</v>
      </c>
      <c r="AF542">
        <f t="shared" si="125"/>
        <v>4.6913113129644919E-2</v>
      </c>
      <c r="AG542">
        <f t="shared" si="118"/>
        <v>0.57797996488487702</v>
      </c>
      <c r="AH542">
        <v>0.3599682764061935</v>
      </c>
      <c r="AI542">
        <v>0.60311932162325865</v>
      </c>
      <c r="AJ542">
        <v>3.117505995203837E-2</v>
      </c>
      <c r="AK542">
        <v>1.7646729839902692E-2</v>
      </c>
      <c r="AL542">
        <v>0.34496158085148265</v>
      </c>
    </row>
    <row r="543" spans="1:38" x14ac:dyDescent="0.25">
      <c r="A543">
        <v>18</v>
      </c>
      <c r="B543" s="5" t="s">
        <v>26</v>
      </c>
      <c r="C543" s="6" t="s">
        <v>5</v>
      </c>
      <c r="D543" s="6" t="s">
        <v>50</v>
      </c>
      <c r="E543" s="28">
        <v>48670.400000000001</v>
      </c>
      <c r="F543" s="11">
        <v>15</v>
      </c>
      <c r="G543" s="11">
        <v>17</v>
      </c>
      <c r="H543" s="11">
        <f t="shared" si="114"/>
        <v>-2</v>
      </c>
      <c r="I543" s="18">
        <v>1</v>
      </c>
      <c r="J543" s="19">
        <v>-0.23460410557184749</v>
      </c>
      <c r="K543" s="19">
        <v>2.2000000000000002</v>
      </c>
      <c r="L543" s="6">
        <v>9638287</v>
      </c>
      <c r="M543" s="7">
        <v>3082074.75</v>
      </c>
      <c r="N543" s="7">
        <v>2454797.5</v>
      </c>
      <c r="O543" s="7">
        <v>5604841</v>
      </c>
      <c r="P543" s="7">
        <v>5635.38525390625</v>
      </c>
      <c r="Q543" s="7">
        <v>31594.365234375</v>
      </c>
      <c r="R543" s="7">
        <v>920834.5</v>
      </c>
      <c r="S543" s="7">
        <v>1906781.875</v>
      </c>
      <c r="T543" s="31">
        <f t="shared" si="115"/>
        <v>2364.4846375488282</v>
      </c>
      <c r="U543" s="37">
        <v>4095.3333333333335</v>
      </c>
      <c r="V543">
        <f t="shared" si="116"/>
        <v>0.57736072868683741</v>
      </c>
      <c r="W543">
        <f t="shared" si="126"/>
        <v>-1.071380040245769E-3</v>
      </c>
      <c r="X543" s="28">
        <v>4193.8687500000005</v>
      </c>
      <c r="Y543">
        <f t="shared" si="117"/>
        <v>0.23534804655705679</v>
      </c>
      <c r="Z543">
        <f t="shared" si="119"/>
        <v>7.525821463454338E-2</v>
      </c>
      <c r="AA543">
        <f t="shared" si="120"/>
        <v>5.9941335666612403E-2</v>
      </c>
      <c r="AB543">
        <f t="shared" si="121"/>
        <v>0.13685921373921536</v>
      </c>
      <c r="AC543">
        <f t="shared" si="122"/>
        <v>1.3760504445481644E-4</v>
      </c>
      <c r="AD543">
        <f t="shared" si="123"/>
        <v>7.7147237264467688E-4</v>
      </c>
      <c r="AE543">
        <f t="shared" si="124"/>
        <v>2.2484970698355852E-2</v>
      </c>
      <c r="AF543">
        <f t="shared" si="125"/>
        <v>4.6559869973954088E-2</v>
      </c>
      <c r="AG543">
        <f t="shared" si="118"/>
        <v>0.57736072868683741</v>
      </c>
      <c r="AH543">
        <v>0.3599682764061935</v>
      </c>
      <c r="AI543">
        <v>0.60311932162325865</v>
      </c>
      <c r="AJ543">
        <v>3.117505995203837E-2</v>
      </c>
      <c r="AK543">
        <v>1.7646729839902692E-2</v>
      </c>
      <c r="AL543">
        <v>0.34496158085148265</v>
      </c>
    </row>
    <row r="544" spans="1:38" x14ac:dyDescent="0.25">
      <c r="A544">
        <v>18</v>
      </c>
      <c r="B544" s="5" t="s">
        <v>26</v>
      </c>
      <c r="C544" s="6" t="s">
        <v>5</v>
      </c>
      <c r="D544" s="6" t="s">
        <v>51</v>
      </c>
      <c r="E544" s="28">
        <v>48670.400000000001</v>
      </c>
      <c r="F544" s="11">
        <v>16</v>
      </c>
      <c r="G544" s="11">
        <v>17</v>
      </c>
      <c r="H544" s="11">
        <f t="shared" si="114"/>
        <v>-1</v>
      </c>
      <c r="I544" s="18">
        <v>1</v>
      </c>
      <c r="J544" s="19">
        <v>-0.23460410557184749</v>
      </c>
      <c r="K544" s="19">
        <v>2.2000000000000002</v>
      </c>
      <c r="L544" s="6">
        <v>8414651</v>
      </c>
      <c r="M544" s="7">
        <v>3216417.5</v>
      </c>
      <c r="N544" s="7">
        <v>2454797.5</v>
      </c>
      <c r="O544" s="7">
        <v>5849517</v>
      </c>
      <c r="P544" s="7">
        <v>5635.38525390625</v>
      </c>
      <c r="Q544" s="7">
        <v>87119.7265625</v>
      </c>
      <c r="R544" s="7">
        <v>910034.75</v>
      </c>
      <c r="S544" s="7">
        <v>1929245.875</v>
      </c>
      <c r="T544" s="31">
        <f t="shared" si="115"/>
        <v>2286.7418736816408</v>
      </c>
      <c r="U544" s="37">
        <v>4170.333333333333</v>
      </c>
      <c r="V544">
        <f t="shared" si="116"/>
        <v>0.54833551443089468</v>
      </c>
      <c r="W544">
        <f t="shared" si="126"/>
        <v>-5.0272235040922077E-2</v>
      </c>
      <c r="X544" s="28">
        <v>4347.6345833333344</v>
      </c>
      <c r="Y544">
        <f t="shared" si="117"/>
        <v>0.20177406282471427</v>
      </c>
      <c r="Z544">
        <f t="shared" si="119"/>
        <v>7.7126148988889781E-2</v>
      </c>
      <c r="AA544">
        <f t="shared" si="120"/>
        <v>5.8863340260570704E-2</v>
      </c>
      <c r="AB544">
        <f t="shared" si="121"/>
        <v>0.14026497482215652</v>
      </c>
      <c r="AC544">
        <f t="shared" si="122"/>
        <v>1.3513033140211613E-4</v>
      </c>
      <c r="AD544">
        <f t="shared" si="123"/>
        <v>2.089035086623771E-3</v>
      </c>
      <c r="AE544">
        <f t="shared" si="124"/>
        <v>2.182163096475102E-2</v>
      </c>
      <c r="AF544">
        <f t="shared" si="125"/>
        <v>4.6261191151786431E-2</v>
      </c>
      <c r="AG544">
        <f t="shared" si="118"/>
        <v>0.54833551443089457</v>
      </c>
      <c r="AH544">
        <v>0.3599682764061935</v>
      </c>
      <c r="AI544">
        <v>0.60311932162325865</v>
      </c>
      <c r="AJ544">
        <v>3.117505995203837E-2</v>
      </c>
      <c r="AK544">
        <v>1.7646729839902692E-2</v>
      </c>
      <c r="AL544">
        <v>0.34496158085148265</v>
      </c>
    </row>
    <row r="545" spans="1:38" x14ac:dyDescent="0.25">
      <c r="A545">
        <v>18</v>
      </c>
      <c r="B545" s="21" t="s">
        <v>26</v>
      </c>
      <c r="C545" s="22" t="s">
        <v>5</v>
      </c>
      <c r="D545" s="22" t="s">
        <v>52</v>
      </c>
      <c r="E545" s="28">
        <v>48670.400000000001</v>
      </c>
      <c r="F545" s="22">
        <v>17</v>
      </c>
      <c r="G545" s="22">
        <v>17</v>
      </c>
      <c r="H545" s="22">
        <f t="shared" si="114"/>
        <v>0</v>
      </c>
      <c r="I545" s="18">
        <v>1</v>
      </c>
      <c r="J545" s="19">
        <v>-0.23460410557184749</v>
      </c>
      <c r="K545" s="19">
        <v>2.2000000000000002</v>
      </c>
      <c r="L545" s="22">
        <v>8281052.5</v>
      </c>
      <c r="M545" s="23">
        <v>3309470</v>
      </c>
      <c r="N545" s="23">
        <v>2454797.5</v>
      </c>
      <c r="O545" s="23">
        <v>6016111.5</v>
      </c>
      <c r="P545" s="23">
        <v>5635.38525390625</v>
      </c>
      <c r="Q545" s="23">
        <v>120212.2890625</v>
      </c>
      <c r="R545" s="23">
        <v>958841.0625</v>
      </c>
      <c r="S545" s="23">
        <v>1974652.125</v>
      </c>
      <c r="T545" s="32">
        <f t="shared" si="115"/>
        <v>2312.0772361816407</v>
      </c>
      <c r="U545" s="37">
        <v>4245.333333333333</v>
      </c>
      <c r="V545">
        <f t="shared" si="116"/>
        <v>0.54461618314580107</v>
      </c>
      <c r="W545">
        <f t="shared" si="126"/>
        <v>-6.782948007578571E-3</v>
      </c>
      <c r="X545" s="28">
        <v>4501.4004166666673</v>
      </c>
      <c r="Y545">
        <f t="shared" si="117"/>
        <v>0.19506248037060303</v>
      </c>
      <c r="Z545">
        <f t="shared" si="119"/>
        <v>7.7955480527638205E-2</v>
      </c>
      <c r="AA545">
        <f t="shared" si="120"/>
        <v>5.7823433574120613E-2</v>
      </c>
      <c r="AB545">
        <f t="shared" si="121"/>
        <v>0.14171116912688445</v>
      </c>
      <c r="AC545">
        <f t="shared" si="122"/>
        <v>1.3274305717429923E-4</v>
      </c>
      <c r="AD545">
        <f t="shared" si="123"/>
        <v>2.8316336933691903E-3</v>
      </c>
      <c r="AE545">
        <f t="shared" si="124"/>
        <v>2.2585766233511308E-2</v>
      </c>
      <c r="AF545">
        <f t="shared" si="125"/>
        <v>4.6513476562500003E-2</v>
      </c>
      <c r="AG545">
        <f t="shared" si="118"/>
        <v>0.54461618314580118</v>
      </c>
      <c r="AH545">
        <v>0.3599682764061935</v>
      </c>
      <c r="AI545">
        <v>0.60311932162325865</v>
      </c>
      <c r="AJ545">
        <v>3.117505995203837E-2</v>
      </c>
      <c r="AK545">
        <v>1.7646729839902692E-2</v>
      </c>
      <c r="AL545">
        <v>0.34496158085148265</v>
      </c>
    </row>
    <row r="546" spans="1:38" s="20" customFormat="1" x14ac:dyDescent="0.25">
      <c r="A546">
        <v>18</v>
      </c>
      <c r="B546" s="5" t="s">
        <v>26</v>
      </c>
      <c r="C546" s="6" t="s">
        <v>5</v>
      </c>
      <c r="D546" s="6" t="s">
        <v>53</v>
      </c>
      <c r="E546" s="28">
        <v>48670.400000000001</v>
      </c>
      <c r="F546" s="11">
        <v>18</v>
      </c>
      <c r="G546" s="11">
        <v>17</v>
      </c>
      <c r="H546" s="11">
        <f t="shared" si="114"/>
        <v>1</v>
      </c>
      <c r="I546" s="18">
        <v>1</v>
      </c>
      <c r="J546" s="19">
        <v>-0.23460410557184749</v>
      </c>
      <c r="K546" s="19">
        <v>2.2000000000000002</v>
      </c>
      <c r="L546" s="6">
        <v>8844796</v>
      </c>
      <c r="M546" s="7">
        <v>3296457.5</v>
      </c>
      <c r="N546" s="7">
        <v>2454797.5</v>
      </c>
      <c r="O546" s="7">
        <v>5994915.5</v>
      </c>
      <c r="P546" s="7">
        <v>5635.38525390625</v>
      </c>
      <c r="Q546" s="7">
        <v>79459.359375</v>
      </c>
      <c r="R546" s="7">
        <v>949747.8125</v>
      </c>
      <c r="S546" s="7">
        <v>1957773.5</v>
      </c>
      <c r="T546" s="31">
        <f t="shared" si="115"/>
        <v>2358.3582557128907</v>
      </c>
      <c r="U546" s="37">
        <v>4320.333333333333</v>
      </c>
      <c r="V546">
        <f t="shared" si="116"/>
        <v>0.5458741429780628</v>
      </c>
      <c r="W546">
        <f t="shared" si="126"/>
        <v>2.3098098646197628E-3</v>
      </c>
      <c r="X546" s="28">
        <v>4655.1662500000011</v>
      </c>
      <c r="Y546">
        <f t="shared" si="117"/>
        <v>0.20472485147750946</v>
      </c>
      <c r="Z546">
        <f t="shared" si="119"/>
        <v>7.6300999151300064E-2</v>
      </c>
      <c r="AA546">
        <f t="shared" si="120"/>
        <v>5.6819631972841601E-2</v>
      </c>
      <c r="AB546">
        <f t="shared" si="121"/>
        <v>0.13876048530206003</v>
      </c>
      <c r="AC546">
        <f t="shared" si="122"/>
        <v>1.3043866801727298E-4</v>
      </c>
      <c r="AD546">
        <f t="shared" si="123"/>
        <v>1.8391951093665614E-3</v>
      </c>
      <c r="AE546">
        <f t="shared" si="124"/>
        <v>2.1983206832034564E-2</v>
      </c>
      <c r="AF546">
        <f t="shared" si="125"/>
        <v>4.5315334464933264E-2</v>
      </c>
      <c r="AG546">
        <f t="shared" si="118"/>
        <v>0.54587414297806292</v>
      </c>
      <c r="AH546" s="20">
        <v>0.3599682764061935</v>
      </c>
      <c r="AI546" s="20">
        <v>0.60311932162325865</v>
      </c>
      <c r="AJ546" s="20">
        <v>3.117505995203837E-2</v>
      </c>
      <c r="AK546" s="20">
        <v>1.7646729839902692E-2</v>
      </c>
      <c r="AL546" s="20">
        <v>0.34496158085148265</v>
      </c>
    </row>
    <row r="547" spans="1:38" x14ac:dyDescent="0.25">
      <c r="A547">
        <v>18</v>
      </c>
      <c r="B547" s="5" t="s">
        <v>26</v>
      </c>
      <c r="C547" s="6" t="s">
        <v>5</v>
      </c>
      <c r="D547" s="6" t="s">
        <v>54</v>
      </c>
      <c r="E547" s="28">
        <v>48670.400000000001</v>
      </c>
      <c r="F547" s="11">
        <v>19</v>
      </c>
      <c r="G547" s="11">
        <v>17</v>
      </c>
      <c r="H547" s="11">
        <f t="shared" si="114"/>
        <v>2</v>
      </c>
      <c r="I547" s="18">
        <v>1</v>
      </c>
      <c r="J547" s="19">
        <v>-0.23460410557184749</v>
      </c>
      <c r="K547" s="19">
        <v>2.2000000000000002</v>
      </c>
      <c r="L547" s="6">
        <v>9866011</v>
      </c>
      <c r="M547" s="7">
        <v>3325695.5</v>
      </c>
      <c r="N547" s="7">
        <v>2455975.75</v>
      </c>
      <c r="O547" s="7">
        <v>6049986.5</v>
      </c>
      <c r="P547" s="7">
        <v>5638.09033203125</v>
      </c>
      <c r="Q547" s="7">
        <v>36834.57421875</v>
      </c>
      <c r="R547" s="7">
        <v>948979.5625</v>
      </c>
      <c r="S547" s="7">
        <v>1910132.125</v>
      </c>
      <c r="T547" s="31">
        <f t="shared" si="115"/>
        <v>2459.9253102050779</v>
      </c>
      <c r="U547" s="37">
        <v>4395.333333333333</v>
      </c>
      <c r="V547">
        <f t="shared" si="116"/>
        <v>0.55966752090211092</v>
      </c>
      <c r="W547">
        <f t="shared" si="126"/>
        <v>2.5268421487775854E-2</v>
      </c>
      <c r="X547" s="28">
        <v>4808.932083333335</v>
      </c>
      <c r="Y547">
        <f t="shared" si="117"/>
        <v>0.22446559229485818</v>
      </c>
      <c r="Z547">
        <f t="shared" si="119"/>
        <v>7.5664238586379495E-2</v>
      </c>
      <c r="AA547">
        <f t="shared" si="120"/>
        <v>5.5876894054300019E-2</v>
      </c>
      <c r="AB547">
        <f t="shared" si="121"/>
        <v>0.1376456810253299</v>
      </c>
      <c r="AC547">
        <f t="shared" si="122"/>
        <v>1.282744653124052E-4</v>
      </c>
      <c r="AD547">
        <f t="shared" si="123"/>
        <v>8.3803824250151685E-4</v>
      </c>
      <c r="AE547">
        <f t="shared" si="124"/>
        <v>2.1590616468223873E-2</v>
      </c>
      <c r="AF547">
        <f t="shared" si="125"/>
        <v>4.3458185765205527E-2</v>
      </c>
      <c r="AG547">
        <f t="shared" si="118"/>
        <v>0.55966752090211092</v>
      </c>
      <c r="AH547">
        <v>0.3599682764061935</v>
      </c>
      <c r="AI547">
        <v>0.60311932162325865</v>
      </c>
      <c r="AJ547">
        <v>3.117505995203837E-2</v>
      </c>
      <c r="AK547">
        <v>1.7646729839902692E-2</v>
      </c>
      <c r="AL547">
        <v>0.34496158085148265</v>
      </c>
    </row>
    <row r="548" spans="1:38" x14ac:dyDescent="0.25">
      <c r="A548">
        <v>18</v>
      </c>
      <c r="B548" s="5" t="s">
        <v>26</v>
      </c>
      <c r="C548" s="6" t="s">
        <v>5</v>
      </c>
      <c r="D548" s="6" t="s">
        <v>55</v>
      </c>
      <c r="E548" s="29">
        <v>50012.9</v>
      </c>
      <c r="F548" s="11">
        <v>20</v>
      </c>
      <c r="G548" s="11">
        <v>17</v>
      </c>
      <c r="H548" s="18">
        <f t="shared" si="114"/>
        <v>3</v>
      </c>
      <c r="I548" s="18">
        <v>1</v>
      </c>
      <c r="J548" s="19">
        <v>-0.23460410557184749</v>
      </c>
      <c r="K548" s="19">
        <v>2.2000000000000002</v>
      </c>
      <c r="L548" s="14">
        <v>936763.125</v>
      </c>
      <c r="M548" s="16">
        <v>3284252</v>
      </c>
      <c r="N548" s="16">
        <v>5252089</v>
      </c>
      <c r="O548" s="16">
        <v>9534673</v>
      </c>
      <c r="P548" s="16">
        <v>5880.89794921875</v>
      </c>
      <c r="Q548" s="16">
        <v>22335.953125</v>
      </c>
      <c r="R548" s="16">
        <v>5750345</v>
      </c>
      <c r="S548" s="16">
        <v>2393506.5</v>
      </c>
      <c r="T548" s="31">
        <f t="shared" si="115"/>
        <v>2717.984547607422</v>
      </c>
      <c r="U548" s="37">
        <v>3767.8888888888891</v>
      </c>
      <c r="V548">
        <f t="shared" si="116"/>
        <v>0.72135475003588201</v>
      </c>
      <c r="W548">
        <f t="shared" si="126"/>
        <v>0.28889871771217385</v>
      </c>
      <c r="X548" s="29">
        <v>3042.8912500000001</v>
      </c>
      <c r="Y548">
        <f t="shared" si="117"/>
        <v>2.4861750243283888E-2</v>
      </c>
      <c r="Z548">
        <f t="shared" si="119"/>
        <v>8.7164247589277807E-2</v>
      </c>
      <c r="AA548">
        <f t="shared" si="120"/>
        <v>0.13939076110996432</v>
      </c>
      <c r="AB548">
        <f t="shared" si="121"/>
        <v>0.25305080062516588</v>
      </c>
      <c r="AC548">
        <f t="shared" si="122"/>
        <v>1.5607938882064446E-4</v>
      </c>
      <c r="AD548">
        <f t="shared" si="123"/>
        <v>5.9279755278523192E-4</v>
      </c>
      <c r="AE548">
        <f t="shared" si="124"/>
        <v>0.1526145056176462</v>
      </c>
      <c r="AF548">
        <f t="shared" si="125"/>
        <v>6.3523807908938107E-2</v>
      </c>
      <c r="AG548">
        <f t="shared" si="118"/>
        <v>0.72135475003588212</v>
      </c>
      <c r="AH548">
        <v>0.37268821912768418</v>
      </c>
      <c r="AI548">
        <v>0.61160170523751523</v>
      </c>
      <c r="AJ548">
        <v>3.1005117166109632E-2</v>
      </c>
      <c r="AK548">
        <v>1.8834827449345521E-2</v>
      </c>
      <c r="AL548">
        <v>0.35074291940816937</v>
      </c>
    </row>
    <row r="549" spans="1:38" x14ac:dyDescent="0.25">
      <c r="A549">
        <v>18</v>
      </c>
      <c r="B549" s="5" t="s">
        <v>26</v>
      </c>
      <c r="C549" s="6" t="s">
        <v>5</v>
      </c>
      <c r="D549" s="6" t="s">
        <v>56</v>
      </c>
      <c r="E549" s="29">
        <v>50012.9</v>
      </c>
      <c r="F549" s="11">
        <v>21</v>
      </c>
      <c r="G549" s="11">
        <v>17</v>
      </c>
      <c r="H549" s="11">
        <f t="shared" si="114"/>
        <v>4</v>
      </c>
      <c r="I549" s="18">
        <v>1</v>
      </c>
      <c r="J549" s="19">
        <v>-0.23460410557184749</v>
      </c>
      <c r="K549" s="19">
        <v>2.2000000000000002</v>
      </c>
      <c r="L549" s="6">
        <v>902526.625</v>
      </c>
      <c r="M549" s="7">
        <v>3220519</v>
      </c>
      <c r="N549" s="7">
        <v>4568765</v>
      </c>
      <c r="O549" s="7">
        <v>9487429</v>
      </c>
      <c r="P549" s="7">
        <v>5880.89794921875</v>
      </c>
      <c r="Q549" s="7">
        <v>31680.931640625</v>
      </c>
      <c r="R549" s="7">
        <v>5632246</v>
      </c>
      <c r="S549" s="7">
        <v>2414213.5</v>
      </c>
      <c r="T549" s="31">
        <f t="shared" si="115"/>
        <v>2626.3260954589846</v>
      </c>
      <c r="U549" s="37">
        <v>3856.3333333333335</v>
      </c>
      <c r="V549">
        <f t="shared" si="116"/>
        <v>0.68104229288416918</v>
      </c>
      <c r="W549">
        <f t="shared" si="126"/>
        <v>-5.5884371940030327E-2</v>
      </c>
      <c r="X549" s="29">
        <v>3247.4087500000001</v>
      </c>
      <c r="Y549">
        <f t="shared" si="117"/>
        <v>2.3403750324142103E-2</v>
      </c>
      <c r="Z549">
        <f t="shared" si="119"/>
        <v>8.351246434436857E-2</v>
      </c>
      <c r="AA549">
        <f t="shared" si="120"/>
        <v>0.11847432794537124</v>
      </c>
      <c r="AB549">
        <f t="shared" si="121"/>
        <v>0.24602201573169677</v>
      </c>
      <c r="AC549">
        <f t="shared" si="122"/>
        <v>1.5249973072570014E-4</v>
      </c>
      <c r="AD549">
        <f t="shared" si="123"/>
        <v>8.2152990683615683E-4</v>
      </c>
      <c r="AE549">
        <f t="shared" si="124"/>
        <v>0.14605184544904484</v>
      </c>
      <c r="AF549">
        <f t="shared" si="125"/>
        <v>6.2603859451983754E-2</v>
      </c>
      <c r="AG549">
        <f t="shared" si="118"/>
        <v>0.68104229288416918</v>
      </c>
      <c r="AH549">
        <v>0.37268821912768418</v>
      </c>
      <c r="AI549">
        <v>0.61160170523751523</v>
      </c>
      <c r="AJ549">
        <v>3.1005117166109632E-2</v>
      </c>
      <c r="AK549">
        <v>1.8834827449345521E-2</v>
      </c>
      <c r="AL549">
        <v>0.35074291940816937</v>
      </c>
    </row>
    <row r="550" spans="1:38" x14ac:dyDescent="0.25">
      <c r="A550">
        <v>18</v>
      </c>
      <c r="B550" s="5" t="s">
        <v>26</v>
      </c>
      <c r="C550" s="6" t="s">
        <v>5</v>
      </c>
      <c r="D550" s="6" t="s">
        <v>57</v>
      </c>
      <c r="E550" s="29">
        <v>50012.9</v>
      </c>
      <c r="F550" s="11">
        <v>22</v>
      </c>
      <c r="G550" s="11">
        <v>17</v>
      </c>
      <c r="H550" s="11">
        <f t="shared" si="114"/>
        <v>5</v>
      </c>
      <c r="I550" s="18">
        <v>1</v>
      </c>
      <c r="J550" s="19">
        <v>-0.23460410557184749</v>
      </c>
      <c r="K550" s="19">
        <v>2.2000000000000002</v>
      </c>
      <c r="L550" s="6">
        <v>891209.875</v>
      </c>
      <c r="M550" s="7">
        <v>3343015.5</v>
      </c>
      <c r="N550" s="7">
        <v>2962061.75</v>
      </c>
      <c r="O550" s="7">
        <v>10792430</v>
      </c>
      <c r="P550" s="7">
        <v>5880.89794921875</v>
      </c>
      <c r="Q550" s="7">
        <v>91635.734375</v>
      </c>
      <c r="R550" s="7">
        <v>5849334</v>
      </c>
      <c r="S550" s="7">
        <v>2447385</v>
      </c>
      <c r="T550" s="31">
        <f t="shared" si="115"/>
        <v>2638.2952757324219</v>
      </c>
      <c r="U550" s="37">
        <v>3944.7777777777778</v>
      </c>
      <c r="V550">
        <f t="shared" si="116"/>
        <v>0.66880707212325152</v>
      </c>
      <c r="W550">
        <f t="shared" si="126"/>
        <v>-1.7965434582780902E-2</v>
      </c>
      <c r="X550" s="29">
        <v>3451.92625</v>
      </c>
      <c r="Y550">
        <f t="shared" si="117"/>
        <v>2.2592143973748695E-2</v>
      </c>
      <c r="Z550">
        <f t="shared" si="119"/>
        <v>8.4745344055431923E-2</v>
      </c>
      <c r="AA550">
        <f t="shared" si="120"/>
        <v>7.5088177759625938E-2</v>
      </c>
      <c r="AB550">
        <f t="shared" si="121"/>
        <v>0.2735877813142551</v>
      </c>
      <c r="AC550">
        <f t="shared" si="122"/>
        <v>1.4908058908534138E-4</v>
      </c>
      <c r="AD550">
        <f t="shared" si="123"/>
        <v>2.3229631562825676E-3</v>
      </c>
      <c r="AE550">
        <f t="shared" si="124"/>
        <v>0.14828044390614878</v>
      </c>
      <c r="AF550">
        <f t="shared" si="125"/>
        <v>6.2041137368673074E-2</v>
      </c>
      <c r="AG550">
        <f t="shared" si="118"/>
        <v>0.66880707212325141</v>
      </c>
      <c r="AH550">
        <v>0.37268821912768418</v>
      </c>
      <c r="AI550">
        <v>0.61160170523751523</v>
      </c>
      <c r="AJ550">
        <v>3.1005117166109632E-2</v>
      </c>
      <c r="AK550">
        <v>1.8834827449345521E-2</v>
      </c>
      <c r="AL550">
        <v>0.35074291940816937</v>
      </c>
    </row>
    <row r="551" spans="1:38" x14ac:dyDescent="0.25">
      <c r="A551">
        <v>18</v>
      </c>
      <c r="B551" s="5" t="s">
        <v>26</v>
      </c>
      <c r="C551" s="6" t="s">
        <v>5</v>
      </c>
      <c r="D551" s="6" t="s">
        <v>58</v>
      </c>
      <c r="E551" s="29">
        <v>50012.9</v>
      </c>
      <c r="F551" s="11">
        <v>23</v>
      </c>
      <c r="G551" s="11">
        <v>17</v>
      </c>
      <c r="H551" s="11">
        <f t="shared" si="114"/>
        <v>6</v>
      </c>
      <c r="I551" s="18">
        <v>1</v>
      </c>
      <c r="J551" s="19">
        <v>-0.23460410557184749</v>
      </c>
      <c r="K551" s="19">
        <v>2.2000000000000002</v>
      </c>
      <c r="L551" s="6">
        <v>935797.875</v>
      </c>
      <c r="M551" s="7">
        <v>3396024.5</v>
      </c>
      <c r="N551" s="7">
        <v>1933510.25</v>
      </c>
      <c r="O551" s="7">
        <v>9761964</v>
      </c>
      <c r="P551" s="7">
        <v>5880.89794921875</v>
      </c>
      <c r="Q551" s="7">
        <v>126250.640625</v>
      </c>
      <c r="R551" s="7">
        <v>5945980.5</v>
      </c>
      <c r="S551" s="7">
        <v>2502314</v>
      </c>
      <c r="T551" s="31">
        <f t="shared" si="115"/>
        <v>2460.7722663574218</v>
      </c>
      <c r="U551" s="37">
        <v>4033.2222222222226</v>
      </c>
      <c r="V551">
        <f t="shared" si="116"/>
        <v>0.61012563423832045</v>
      </c>
      <c r="W551">
        <f t="shared" si="126"/>
        <v>-8.7740456599294053E-2</v>
      </c>
      <c r="X551" s="29">
        <v>3656.4437499999999</v>
      </c>
      <c r="Y551">
        <f t="shared" si="117"/>
        <v>2.3202239386759964E-2</v>
      </c>
      <c r="Z551">
        <f t="shared" si="119"/>
        <v>8.4201274139783455E-2</v>
      </c>
      <c r="AA551">
        <f t="shared" si="120"/>
        <v>4.79395913110554E-2</v>
      </c>
      <c r="AB551">
        <f t="shared" si="121"/>
        <v>0.24203883302570317</v>
      </c>
      <c r="AC551">
        <f t="shared" si="122"/>
        <v>1.4581140401379858E-4</v>
      </c>
      <c r="AD551">
        <f t="shared" si="123"/>
        <v>3.1302674057825282E-3</v>
      </c>
      <c r="AE551">
        <f t="shared" si="124"/>
        <v>0.14742506542879966</v>
      </c>
      <c r="AF551">
        <f t="shared" si="125"/>
        <v>6.2042552136422492E-2</v>
      </c>
      <c r="AG551">
        <f t="shared" si="118"/>
        <v>0.61012563423832056</v>
      </c>
      <c r="AH551">
        <v>0.37268821912768418</v>
      </c>
      <c r="AI551">
        <v>0.61160170523751523</v>
      </c>
      <c r="AJ551">
        <v>3.1005117166109632E-2</v>
      </c>
      <c r="AK551">
        <v>1.8834827449345521E-2</v>
      </c>
      <c r="AL551">
        <v>0.35074291940816937</v>
      </c>
    </row>
    <row r="552" spans="1:38" x14ac:dyDescent="0.25">
      <c r="A552">
        <v>18</v>
      </c>
      <c r="B552" s="5" t="s">
        <v>26</v>
      </c>
      <c r="C552" s="6" t="s">
        <v>5</v>
      </c>
      <c r="D552" s="6" t="s">
        <v>59</v>
      </c>
      <c r="E552" s="29">
        <v>50012.9</v>
      </c>
      <c r="F552" s="11">
        <v>24</v>
      </c>
      <c r="G552" s="11">
        <v>17</v>
      </c>
      <c r="H552" s="11">
        <f t="shared" si="114"/>
        <v>7</v>
      </c>
      <c r="I552" s="18">
        <v>1</v>
      </c>
      <c r="J552" s="19">
        <v>-0.23460410557184749</v>
      </c>
      <c r="K552" s="19">
        <v>2.2000000000000002</v>
      </c>
      <c r="L552" s="6">
        <v>925586.125</v>
      </c>
      <c r="M552" s="7">
        <v>3359058</v>
      </c>
      <c r="N552" s="7">
        <v>1235331.25</v>
      </c>
      <c r="O552" s="7">
        <v>9698118</v>
      </c>
      <c r="P552" s="7">
        <v>5880.89794921875</v>
      </c>
      <c r="Q552" s="7">
        <v>82968.3046875</v>
      </c>
      <c r="R552" s="7">
        <v>5885375</v>
      </c>
      <c r="S552" s="7">
        <v>2490110</v>
      </c>
      <c r="T552" s="31">
        <f t="shared" si="115"/>
        <v>2368.2427577636718</v>
      </c>
      <c r="U552" s="37">
        <v>4121.666666666667</v>
      </c>
      <c r="V552">
        <f t="shared" si="116"/>
        <v>0.5745837665419341</v>
      </c>
      <c r="W552">
        <f t="shared" si="126"/>
        <v>-5.8253359147508586E-2</v>
      </c>
      <c r="X552" s="29">
        <v>3860.9612499999998</v>
      </c>
      <c r="Y552">
        <f t="shared" si="117"/>
        <v>2.2456598261221188E-2</v>
      </c>
      <c r="Z552">
        <f t="shared" si="119"/>
        <v>8.1497565709664363E-2</v>
      </c>
      <c r="AA552">
        <f t="shared" si="120"/>
        <v>2.997164375252729E-2</v>
      </c>
      <c r="AB552">
        <f t="shared" si="121"/>
        <v>0.2352960291144359</v>
      </c>
      <c r="AC552">
        <f t="shared" si="122"/>
        <v>1.4268252201905579E-4</v>
      </c>
      <c r="AD552">
        <f t="shared" si="123"/>
        <v>2.0129794910028307E-3</v>
      </c>
      <c r="AE552">
        <f t="shared" si="124"/>
        <v>0.14279114435907805</v>
      </c>
      <c r="AF552">
        <f t="shared" si="125"/>
        <v>6.0415123331985433E-2</v>
      </c>
      <c r="AG552">
        <f t="shared" si="118"/>
        <v>0.57458376654193399</v>
      </c>
      <c r="AH552">
        <v>0.37268821912768418</v>
      </c>
      <c r="AI552">
        <v>0.61160170523751523</v>
      </c>
      <c r="AJ552">
        <v>3.1005117166109632E-2</v>
      </c>
      <c r="AK552">
        <v>1.8834827449345521E-2</v>
      </c>
      <c r="AL552">
        <v>0.35074291940816937</v>
      </c>
    </row>
    <row r="553" spans="1:38" x14ac:dyDescent="0.25">
      <c r="A553">
        <v>18</v>
      </c>
      <c r="B553" s="5" t="s">
        <v>26</v>
      </c>
      <c r="C553" s="6" t="s">
        <v>5</v>
      </c>
      <c r="D553" s="6" t="s">
        <v>60</v>
      </c>
      <c r="E553" s="29">
        <v>50012.9</v>
      </c>
      <c r="F553" s="11">
        <v>25</v>
      </c>
      <c r="G553" s="11">
        <v>17</v>
      </c>
      <c r="H553" s="11">
        <f t="shared" si="114"/>
        <v>8</v>
      </c>
      <c r="I553" s="18">
        <v>1</v>
      </c>
      <c r="J553" s="19">
        <v>-0.23460410557184749</v>
      </c>
      <c r="K553" s="19">
        <v>2.2000000000000002</v>
      </c>
      <c r="L553" s="6">
        <v>923269.75</v>
      </c>
      <c r="M553" s="7">
        <v>3376920</v>
      </c>
      <c r="N553" s="7">
        <v>687186.4375</v>
      </c>
      <c r="O553" s="7">
        <v>10159081</v>
      </c>
      <c r="P553" s="7">
        <v>5880.89794921875</v>
      </c>
      <c r="Q553" s="7">
        <v>40538.453125</v>
      </c>
      <c r="R553" s="7">
        <v>5918283</v>
      </c>
      <c r="S553" s="7">
        <v>2442727.75</v>
      </c>
      <c r="T553" s="31">
        <f t="shared" si="115"/>
        <v>2355.3887288574219</v>
      </c>
      <c r="U553" s="37">
        <v>4183.333333333333</v>
      </c>
      <c r="V553">
        <f t="shared" si="116"/>
        <v>0.5630411304041647</v>
      </c>
      <c r="W553">
        <f t="shared" si="126"/>
        <v>-2.0088691692836055E-2</v>
      </c>
      <c r="X553" s="29">
        <v>4065.4787499999998</v>
      </c>
      <c r="Y553">
        <f t="shared" si="117"/>
        <v>2.2070193227091636E-2</v>
      </c>
      <c r="Z553">
        <f t="shared" si="119"/>
        <v>8.0723187250996017E-2</v>
      </c>
      <c r="AA553">
        <f t="shared" si="120"/>
        <v>1.6426767430278887E-2</v>
      </c>
      <c r="AB553">
        <f t="shared" si="121"/>
        <v>0.24284655776892433</v>
      </c>
      <c r="AC553">
        <f t="shared" si="122"/>
        <v>1.4057923384586655E-4</v>
      </c>
      <c r="AD553">
        <f t="shared" si="123"/>
        <v>9.6904668824701211E-4</v>
      </c>
      <c r="AE553">
        <f t="shared" si="124"/>
        <v>0.14147290039840638</v>
      </c>
      <c r="AF553">
        <f t="shared" si="125"/>
        <v>5.8391898406374501E-2</v>
      </c>
      <c r="AG553">
        <f t="shared" si="118"/>
        <v>0.56304113040416459</v>
      </c>
      <c r="AH553">
        <v>0.37268821912768418</v>
      </c>
      <c r="AI553">
        <v>0.61160170523751523</v>
      </c>
      <c r="AJ553">
        <v>3.1005117166109632E-2</v>
      </c>
      <c r="AK553">
        <v>1.8834827449345521E-2</v>
      </c>
      <c r="AL553">
        <v>0.35074291940816937</v>
      </c>
    </row>
    <row r="554" spans="1:38" x14ac:dyDescent="0.25">
      <c r="A554">
        <v>18</v>
      </c>
      <c r="B554" s="5" t="s">
        <v>26</v>
      </c>
      <c r="C554" s="6" t="s">
        <v>5</v>
      </c>
      <c r="D554" s="6" t="s">
        <v>61</v>
      </c>
      <c r="E554" s="29">
        <v>50012.9</v>
      </c>
      <c r="F554" s="11">
        <v>26</v>
      </c>
      <c r="G554" s="11">
        <v>17</v>
      </c>
      <c r="H554" s="11">
        <f t="shared" si="114"/>
        <v>9</v>
      </c>
      <c r="I554" s="18">
        <v>1</v>
      </c>
      <c r="J554" s="19">
        <v>-0.23460410557184749</v>
      </c>
      <c r="K554" s="19">
        <v>2.2000000000000002</v>
      </c>
      <c r="L554" s="6">
        <v>933279.375</v>
      </c>
      <c r="M554" s="7">
        <v>3243344.25</v>
      </c>
      <c r="N554" s="7">
        <v>511601.875</v>
      </c>
      <c r="O554" s="7">
        <v>11427051</v>
      </c>
      <c r="P554" s="7">
        <v>5880.89794921875</v>
      </c>
      <c r="Q554" s="7">
        <v>24312.3359375</v>
      </c>
      <c r="R554" s="7">
        <v>5681959.5</v>
      </c>
      <c r="S554" s="7">
        <v>2411420.5</v>
      </c>
      <c r="T554" s="31">
        <f t="shared" si="115"/>
        <v>2423.8849733886718</v>
      </c>
      <c r="U554" s="37">
        <v>4245</v>
      </c>
      <c r="V554">
        <f t="shared" si="116"/>
        <v>0.57099763801853287</v>
      </c>
      <c r="W554">
        <f t="shared" si="126"/>
        <v>1.4131307971509636E-2</v>
      </c>
      <c r="X554" s="29">
        <v>4269.9962500000001</v>
      </c>
      <c r="Y554">
        <f t="shared" si="117"/>
        <v>2.1985379858657245E-2</v>
      </c>
      <c r="Z554">
        <f t="shared" si="119"/>
        <v>7.6403869257950535E-2</v>
      </c>
      <c r="AA554">
        <f t="shared" si="120"/>
        <v>1.2051869846878682E-2</v>
      </c>
      <c r="AB554">
        <f t="shared" si="121"/>
        <v>0.26918848056537104</v>
      </c>
      <c r="AC554">
        <f t="shared" si="122"/>
        <v>1.3853705416298588E-4</v>
      </c>
      <c r="AD554">
        <f t="shared" si="123"/>
        <v>5.7272876177856297E-4</v>
      </c>
      <c r="AE554">
        <f t="shared" si="124"/>
        <v>0.13385063604240283</v>
      </c>
      <c r="AF554">
        <f t="shared" si="125"/>
        <v>5.6806136631330981E-2</v>
      </c>
      <c r="AG554">
        <f t="shared" si="118"/>
        <v>0.57099763801853276</v>
      </c>
      <c r="AH554">
        <v>0.37268821912768418</v>
      </c>
      <c r="AI554">
        <v>0.61160170523751523</v>
      </c>
      <c r="AJ554">
        <v>3.1005117166109632E-2</v>
      </c>
      <c r="AK554">
        <v>1.8834827449345521E-2</v>
      </c>
      <c r="AL554">
        <v>0.35074291940816937</v>
      </c>
    </row>
    <row r="555" spans="1:38" x14ac:dyDescent="0.25">
      <c r="A555">
        <v>18</v>
      </c>
      <c r="B555" s="5" t="s">
        <v>26</v>
      </c>
      <c r="C555" s="6" t="s">
        <v>5</v>
      </c>
      <c r="D555" s="6" t="s">
        <v>62</v>
      </c>
      <c r="E555" s="29">
        <v>50012.9</v>
      </c>
      <c r="F555" s="11">
        <v>27</v>
      </c>
      <c r="G555" s="11">
        <v>17</v>
      </c>
      <c r="H555" s="11">
        <f t="shared" si="114"/>
        <v>10</v>
      </c>
      <c r="I555" s="18">
        <v>1</v>
      </c>
      <c r="J555" s="19">
        <v>-0.23460410557184749</v>
      </c>
      <c r="K555" s="19">
        <v>2.2000000000000002</v>
      </c>
      <c r="L555" s="6">
        <v>899561.625</v>
      </c>
      <c r="M555" s="7">
        <v>3151376</v>
      </c>
      <c r="N555" s="7">
        <v>568644.625</v>
      </c>
      <c r="O555" s="7">
        <v>12159998</v>
      </c>
      <c r="P555" s="7">
        <v>5880.89794921875</v>
      </c>
      <c r="Q555" s="7">
        <v>34020.24609375</v>
      </c>
      <c r="R555" s="7">
        <v>5520942</v>
      </c>
      <c r="S555" s="7">
        <v>2427168</v>
      </c>
      <c r="T555" s="31">
        <f t="shared" si="115"/>
        <v>2476.759139404297</v>
      </c>
      <c r="U555" s="37">
        <v>4306.666666666667</v>
      </c>
      <c r="V555">
        <f t="shared" si="116"/>
        <v>0.57509887137870674</v>
      </c>
      <c r="W555">
        <f t="shared" si="126"/>
        <v>7.182575000495464E-3</v>
      </c>
      <c r="X555" s="29">
        <v>4474.5137500000001</v>
      </c>
      <c r="Y555">
        <f t="shared" si="117"/>
        <v>2.0887653831269351E-2</v>
      </c>
      <c r="Z555">
        <f t="shared" si="119"/>
        <v>7.3174365325077401E-2</v>
      </c>
      <c r="AA555">
        <f t="shared" si="120"/>
        <v>1.3203822561919503E-2</v>
      </c>
      <c r="AB555">
        <f t="shared" si="121"/>
        <v>0.28235289473684205</v>
      </c>
      <c r="AC555">
        <f t="shared" si="122"/>
        <v>1.3655335795399571E-4</v>
      </c>
      <c r="AD555">
        <f t="shared" si="123"/>
        <v>7.8994379474651706E-4</v>
      </c>
      <c r="AE555">
        <f t="shared" si="124"/>
        <v>0.12819524767801857</v>
      </c>
      <c r="AF555">
        <f t="shared" si="125"/>
        <v>5.6358390092879254E-2</v>
      </c>
      <c r="AG555">
        <f t="shared" si="118"/>
        <v>0.57509887137870663</v>
      </c>
      <c r="AH555">
        <v>0.37268821912768418</v>
      </c>
      <c r="AI555">
        <v>0.61160170523751523</v>
      </c>
      <c r="AJ555">
        <v>3.1005117166109632E-2</v>
      </c>
      <c r="AK555">
        <v>1.8834827449345521E-2</v>
      </c>
      <c r="AL555">
        <v>0.35074291940816937</v>
      </c>
    </row>
    <row r="556" spans="1:38" x14ac:dyDescent="0.25">
      <c r="A556">
        <v>18</v>
      </c>
      <c r="B556" s="5" t="s">
        <v>26</v>
      </c>
      <c r="C556" s="6" t="s">
        <v>5</v>
      </c>
      <c r="D556" s="6" t="s">
        <v>63</v>
      </c>
      <c r="E556" s="29">
        <v>50012.9</v>
      </c>
      <c r="F556" s="11">
        <v>28</v>
      </c>
      <c r="G556" s="11">
        <v>17</v>
      </c>
      <c r="H556" s="11">
        <f t="shared" si="114"/>
        <v>11</v>
      </c>
      <c r="I556" s="18">
        <v>1</v>
      </c>
      <c r="J556" s="19">
        <v>-0.23460410557184749</v>
      </c>
      <c r="K556" s="19">
        <v>2.2000000000000002</v>
      </c>
      <c r="L556" s="6">
        <v>889474.3125</v>
      </c>
      <c r="M556" s="7">
        <v>3288760</v>
      </c>
      <c r="N556" s="7">
        <v>1020827</v>
      </c>
      <c r="O556" s="7">
        <v>10616215</v>
      </c>
      <c r="P556" s="7">
        <v>5880.89794921875</v>
      </c>
      <c r="Q556" s="7">
        <v>93927.84375</v>
      </c>
      <c r="R556" s="7">
        <v>5761996</v>
      </c>
      <c r="S556" s="7">
        <v>2454263</v>
      </c>
      <c r="T556" s="31">
        <f t="shared" si="115"/>
        <v>2413.1344054199217</v>
      </c>
      <c r="U556" s="37">
        <v>4405.8888888888896</v>
      </c>
      <c r="V556">
        <f t="shared" si="116"/>
        <v>0.5477065959392553</v>
      </c>
      <c r="W556">
        <f t="shared" si="126"/>
        <v>-4.7630549810996639E-2</v>
      </c>
      <c r="X556" s="29">
        <v>4679.03125</v>
      </c>
      <c r="Y556">
        <f t="shared" si="117"/>
        <v>2.0188305582175367E-2</v>
      </c>
      <c r="Z556">
        <f t="shared" si="119"/>
        <v>7.4644642271707057E-2</v>
      </c>
      <c r="AA556">
        <f t="shared" si="120"/>
        <v>2.3169603813078452E-2</v>
      </c>
      <c r="AB556">
        <f t="shared" si="121"/>
        <v>0.24095512319370538</v>
      </c>
      <c r="AC556">
        <f t="shared" si="122"/>
        <v>1.3347812660572652E-4</v>
      </c>
      <c r="AD556">
        <f t="shared" si="123"/>
        <v>2.1318704606208857E-3</v>
      </c>
      <c r="AE556">
        <f t="shared" si="124"/>
        <v>0.13077942148135069</v>
      </c>
      <c r="AF556">
        <f t="shared" si="125"/>
        <v>5.5704151010011846E-2</v>
      </c>
      <c r="AG556">
        <f t="shared" si="118"/>
        <v>0.54770659593925541</v>
      </c>
      <c r="AH556">
        <v>0.37268821912768418</v>
      </c>
      <c r="AI556">
        <v>0.61160170523751523</v>
      </c>
      <c r="AJ556">
        <v>3.1005117166109632E-2</v>
      </c>
      <c r="AK556">
        <v>1.8834827449345521E-2</v>
      </c>
      <c r="AL556">
        <v>0.35074291940816937</v>
      </c>
    </row>
    <row r="557" spans="1:38" x14ac:dyDescent="0.25">
      <c r="A557">
        <v>18</v>
      </c>
      <c r="B557" s="5" t="s">
        <v>26</v>
      </c>
      <c r="C557" s="6" t="s">
        <v>5</v>
      </c>
      <c r="D557" s="6" t="s">
        <v>64</v>
      </c>
      <c r="E557" s="29">
        <v>50012.9</v>
      </c>
      <c r="F557" s="11">
        <v>29</v>
      </c>
      <c r="G557" s="11">
        <v>17</v>
      </c>
      <c r="H557" s="11">
        <f t="shared" si="114"/>
        <v>12</v>
      </c>
      <c r="I557" s="18">
        <v>1</v>
      </c>
      <c r="J557" s="19">
        <v>-0.23460410557184749</v>
      </c>
      <c r="K557" s="19">
        <v>2.2000000000000002</v>
      </c>
      <c r="L557" s="6">
        <v>935386.9375</v>
      </c>
      <c r="M557" s="7">
        <v>3383808.5</v>
      </c>
      <c r="N557" s="7">
        <v>2324787.5</v>
      </c>
      <c r="O557" s="7">
        <v>10447663</v>
      </c>
      <c r="P557" s="7">
        <v>5880.89794921875</v>
      </c>
      <c r="Q557" s="7">
        <v>129601.359375</v>
      </c>
      <c r="R557" s="7">
        <v>5926178.5</v>
      </c>
      <c r="S557" s="7">
        <v>2509030.5</v>
      </c>
      <c r="T557" s="31">
        <f t="shared" si="115"/>
        <v>2566.2337194824217</v>
      </c>
      <c r="U557" s="37">
        <v>4505.1111111111104</v>
      </c>
      <c r="V557">
        <f t="shared" si="116"/>
        <v>0.56962717593207224</v>
      </c>
      <c r="W557">
        <f t="shared" si="126"/>
        <v>4.0022486775470732E-2</v>
      </c>
      <c r="X557" s="29">
        <v>4883.5487499999999</v>
      </c>
      <c r="Y557">
        <f t="shared" si="117"/>
        <v>2.0762793956247229E-2</v>
      </c>
      <c r="Z557">
        <f t="shared" si="119"/>
        <v>7.5110433828244463E-2</v>
      </c>
      <c r="AA557">
        <f t="shared" si="120"/>
        <v>5.1603333251122194E-2</v>
      </c>
      <c r="AB557">
        <f t="shared" si="121"/>
        <v>0.23190688847235241</v>
      </c>
      <c r="AC557">
        <f t="shared" si="122"/>
        <v>1.3053835530747485E-4</v>
      </c>
      <c r="AD557">
        <f t="shared" si="123"/>
        <v>2.8767627740714252E-3</v>
      </c>
      <c r="AE557">
        <f t="shared" si="124"/>
        <v>0.13154344818231148</v>
      </c>
      <c r="AF557">
        <f t="shared" si="125"/>
        <v>5.569297711241554E-2</v>
      </c>
      <c r="AG557">
        <f t="shared" si="118"/>
        <v>0.56962717593207224</v>
      </c>
      <c r="AH557">
        <v>0.37268821912768418</v>
      </c>
      <c r="AI557">
        <v>0.61160170523751523</v>
      </c>
      <c r="AJ557">
        <v>3.1005117166109632E-2</v>
      </c>
      <c r="AK557">
        <v>1.8834827449345521E-2</v>
      </c>
      <c r="AL557">
        <v>0.35074291940816937</v>
      </c>
    </row>
    <row r="558" spans="1:38" x14ac:dyDescent="0.25">
      <c r="A558">
        <v>18</v>
      </c>
      <c r="B558" s="5" t="s">
        <v>26</v>
      </c>
      <c r="C558" s="6" t="s">
        <v>5</v>
      </c>
      <c r="D558" s="6" t="s">
        <v>65</v>
      </c>
      <c r="E558" s="29">
        <v>50012.9</v>
      </c>
      <c r="F558" s="11">
        <v>30</v>
      </c>
      <c r="G558" s="11">
        <v>17</v>
      </c>
      <c r="H558" s="11">
        <f t="shared" si="114"/>
        <v>13</v>
      </c>
      <c r="I558" s="18">
        <v>1</v>
      </c>
      <c r="J558" s="19">
        <v>-0.23460410557184749</v>
      </c>
      <c r="K558" s="19">
        <v>2.2000000000000002</v>
      </c>
      <c r="L558" s="6">
        <v>926930.75</v>
      </c>
      <c r="M558" s="7">
        <v>3370542</v>
      </c>
      <c r="N558" s="7">
        <v>3434744</v>
      </c>
      <c r="O558" s="7">
        <v>11158902</v>
      </c>
      <c r="P558" s="7">
        <v>5880.89794921875</v>
      </c>
      <c r="Q558" s="7">
        <v>85653.4609375</v>
      </c>
      <c r="R558" s="7">
        <v>5905349</v>
      </c>
      <c r="S558" s="7">
        <v>2488671.5</v>
      </c>
      <c r="T558" s="31">
        <f t="shared" si="115"/>
        <v>2737.6673608886717</v>
      </c>
      <c r="U558" s="37">
        <v>4604.333333333333</v>
      </c>
      <c r="V558">
        <f t="shared" si="116"/>
        <v>0.59458496218533374</v>
      </c>
      <c r="W558">
        <f t="shared" si="126"/>
        <v>4.3814247823453049E-2</v>
      </c>
      <c r="X558" s="29">
        <v>5088.0662499999999</v>
      </c>
      <c r="Y558">
        <f t="shared" si="117"/>
        <v>2.0131703829725622E-2</v>
      </c>
      <c r="Z558">
        <f t="shared" si="119"/>
        <v>7.3203692174038951E-2</v>
      </c>
      <c r="AA558">
        <f t="shared" si="120"/>
        <v>7.4598074277854198E-2</v>
      </c>
      <c r="AB558">
        <f t="shared" si="121"/>
        <v>0.24235651922102369</v>
      </c>
      <c r="AC558">
        <f t="shared" si="122"/>
        <v>1.2772528666948709E-4</v>
      </c>
      <c r="AD558">
        <f t="shared" si="123"/>
        <v>1.8602793224679651E-3</v>
      </c>
      <c r="AE558">
        <f t="shared" si="124"/>
        <v>0.12825633099254327</v>
      </c>
      <c r="AF558">
        <f t="shared" si="125"/>
        <v>5.4050637081010641E-2</v>
      </c>
      <c r="AG558">
        <f t="shared" si="118"/>
        <v>0.59458496218533385</v>
      </c>
      <c r="AH558">
        <v>0.37268821912768418</v>
      </c>
      <c r="AI558">
        <v>0.61160170523751523</v>
      </c>
      <c r="AJ558">
        <v>3.1005117166109632E-2</v>
      </c>
      <c r="AK558">
        <v>1.8834827449345521E-2</v>
      </c>
      <c r="AL558">
        <v>0.35074291940816937</v>
      </c>
    </row>
    <row r="559" spans="1:38" x14ac:dyDescent="0.25">
      <c r="A559">
        <v>18</v>
      </c>
      <c r="B559" s="5" t="s">
        <v>26</v>
      </c>
      <c r="C559" s="6" t="s">
        <v>5</v>
      </c>
      <c r="D559" s="6" t="s">
        <v>66</v>
      </c>
      <c r="E559" s="29">
        <v>50012.9</v>
      </c>
      <c r="F559" s="11">
        <v>31</v>
      </c>
      <c r="G559" s="11">
        <v>17</v>
      </c>
      <c r="H559" s="11">
        <f t="shared" si="114"/>
        <v>14</v>
      </c>
      <c r="I559" s="18">
        <v>1</v>
      </c>
      <c r="J559" s="19">
        <v>-0.23460410557184749</v>
      </c>
      <c r="K559" s="19">
        <v>2.2000000000000002</v>
      </c>
      <c r="L559" s="6">
        <v>926297.6875</v>
      </c>
      <c r="M559" s="7">
        <v>3400457.25</v>
      </c>
      <c r="N559" s="7">
        <v>5210198</v>
      </c>
      <c r="O559" s="7">
        <v>12447301</v>
      </c>
      <c r="P559" s="7">
        <v>5883.720703125</v>
      </c>
      <c r="Q559" s="7">
        <v>39763.3984375</v>
      </c>
      <c r="R559" s="7">
        <v>5959614</v>
      </c>
      <c r="S559" s="7">
        <v>2431268.5</v>
      </c>
      <c r="T559" s="31">
        <f t="shared" si="115"/>
        <v>3042.0783556640627</v>
      </c>
      <c r="U559" s="37">
        <v>4703.5555555555557</v>
      </c>
      <c r="V559">
        <f t="shared" si="116"/>
        <v>0.64676143817860166</v>
      </c>
      <c r="W559">
        <f t="shared" si="126"/>
        <v>8.7752767580092886E-2</v>
      </c>
      <c r="X559" s="29">
        <v>5292.5837499999998</v>
      </c>
      <c r="Y559">
        <f t="shared" si="117"/>
        <v>1.9693563232306529E-2</v>
      </c>
      <c r="Z559">
        <f t="shared" si="119"/>
        <v>7.2295462652367012E-2</v>
      </c>
      <c r="AA559">
        <f t="shared" si="120"/>
        <v>0.1107714778418218</v>
      </c>
      <c r="AB559">
        <f t="shared" si="121"/>
        <v>0.26463599404705662</v>
      </c>
      <c r="AC559">
        <f t="shared" si="122"/>
        <v>1.2509091544960079E-4</v>
      </c>
      <c r="AD559">
        <f t="shared" si="123"/>
        <v>8.4539021529221386E-4</v>
      </c>
      <c r="AE559">
        <f t="shared" si="124"/>
        <v>0.12670444580931683</v>
      </c>
      <c r="AF559">
        <f t="shared" si="125"/>
        <v>5.1690013464991025E-2</v>
      </c>
      <c r="AG559">
        <f t="shared" si="118"/>
        <v>0.64676143817860166</v>
      </c>
      <c r="AH559">
        <v>0.37268821912768418</v>
      </c>
      <c r="AI559">
        <v>0.61160170523751523</v>
      </c>
      <c r="AJ559">
        <v>3.1005117166109632E-2</v>
      </c>
      <c r="AK559">
        <v>1.8834827449345521E-2</v>
      </c>
      <c r="AL559">
        <v>0.35074291940816937</v>
      </c>
    </row>
    <row r="560" spans="1:38" x14ac:dyDescent="0.25">
      <c r="A560">
        <v>19</v>
      </c>
      <c r="B560" s="5" t="s">
        <v>16</v>
      </c>
      <c r="C560" s="6" t="s">
        <v>5</v>
      </c>
      <c r="D560" s="6" t="s">
        <v>36</v>
      </c>
      <c r="E560" s="28">
        <v>124369.6716</v>
      </c>
      <c r="F560" s="11">
        <v>1</v>
      </c>
      <c r="G560" s="11">
        <v>13</v>
      </c>
      <c r="H560" s="18">
        <f t="shared" si="114"/>
        <v>-12</v>
      </c>
      <c r="I560" s="18">
        <v>1</v>
      </c>
      <c r="J560" s="19">
        <v>7.6246334310850442E-2</v>
      </c>
      <c r="K560" s="19">
        <v>-2.6</v>
      </c>
      <c r="L560" s="14">
        <v>20904730</v>
      </c>
      <c r="M560" s="16">
        <v>7159895.5</v>
      </c>
      <c r="N560" s="16">
        <v>3283958</v>
      </c>
      <c r="O560" s="16">
        <v>9750325</v>
      </c>
      <c r="P560" s="16">
        <v>22221.154296875</v>
      </c>
      <c r="Q560" s="16">
        <v>29290.533203125</v>
      </c>
      <c r="R560" s="16">
        <v>2316346.75</v>
      </c>
      <c r="S560" s="16">
        <v>5285649</v>
      </c>
      <c r="T560" s="31">
        <f t="shared" si="115"/>
        <v>4875.24159375</v>
      </c>
      <c r="U560" s="37"/>
      <c r="X560" s="28">
        <v>9827.9637500000008</v>
      </c>
      <c r="Y560" t="e">
        <f t="shared" si="117"/>
        <v>#DIV/0!</v>
      </c>
      <c r="Z560" t="e">
        <f t="shared" si="119"/>
        <v>#DIV/0!</v>
      </c>
      <c r="AA560" t="e">
        <f t="shared" si="120"/>
        <v>#DIV/0!</v>
      </c>
      <c r="AB560" t="e">
        <f t="shared" si="121"/>
        <v>#DIV/0!</v>
      </c>
      <c r="AC560" t="e">
        <f t="shared" si="122"/>
        <v>#DIV/0!</v>
      </c>
      <c r="AD560" t="e">
        <f t="shared" si="123"/>
        <v>#DIV/0!</v>
      </c>
      <c r="AE560" t="e">
        <f t="shared" si="124"/>
        <v>#DIV/0!</v>
      </c>
      <c r="AF560" t="e">
        <f t="shared" si="125"/>
        <v>#DIV/0!</v>
      </c>
      <c r="AG560" t="e">
        <f t="shared" si="118"/>
        <v>#DIV/0!</v>
      </c>
      <c r="AH560">
        <v>0.40184394922853522</v>
      </c>
      <c r="AI560">
        <v>0.7462945443077893</v>
      </c>
      <c r="AJ560">
        <v>7.0601594157723643E-2</v>
      </c>
      <c r="AK560">
        <v>2.3335149660393573E-2</v>
      </c>
      <c r="AL560">
        <v>0.77300554995037551</v>
      </c>
    </row>
    <row r="561" spans="1:38" x14ac:dyDescent="0.25">
      <c r="A561">
        <v>19</v>
      </c>
      <c r="B561" s="5" t="s">
        <v>16</v>
      </c>
      <c r="C561" s="6" t="s">
        <v>5</v>
      </c>
      <c r="D561" s="6" t="s">
        <v>37</v>
      </c>
      <c r="E561" s="28">
        <v>124369.6716</v>
      </c>
      <c r="F561" s="11">
        <v>2</v>
      </c>
      <c r="G561" s="11">
        <v>13</v>
      </c>
      <c r="H561" s="11">
        <f t="shared" si="114"/>
        <v>-11</v>
      </c>
      <c r="I561" s="18">
        <v>1</v>
      </c>
      <c r="J561" s="19">
        <v>7.6246334310850442E-2</v>
      </c>
      <c r="K561" s="19">
        <v>-2.6</v>
      </c>
      <c r="L561" s="6">
        <v>22715202</v>
      </c>
      <c r="M561" s="7">
        <v>6876120.5</v>
      </c>
      <c r="N561" s="7">
        <v>3283958</v>
      </c>
      <c r="O561" s="7">
        <v>9354652</v>
      </c>
      <c r="P561" s="7">
        <v>22221.154296875</v>
      </c>
      <c r="Q561" s="7">
        <v>17634.255859375</v>
      </c>
      <c r="R561" s="7">
        <v>2334967.75</v>
      </c>
      <c r="S561" s="7">
        <v>5188090</v>
      </c>
      <c r="T561" s="31">
        <f t="shared" si="115"/>
        <v>4979.2845660156254</v>
      </c>
      <c r="U561" s="37">
        <v>10433.5</v>
      </c>
      <c r="V561">
        <f t="shared" si="116"/>
        <v>0.47724009833858488</v>
      </c>
      <c r="W561" t="e">
        <f>(V561-V560)/V560</f>
        <v>#DIV/0!</v>
      </c>
      <c r="X561" s="28">
        <v>10958.619583333333</v>
      </c>
      <c r="Y561">
        <f t="shared" si="117"/>
        <v>0.21771411319307998</v>
      </c>
      <c r="Z561">
        <f t="shared" si="119"/>
        <v>6.5904255523074703E-2</v>
      </c>
      <c r="AA561">
        <f t="shared" si="120"/>
        <v>3.1475132985096084E-2</v>
      </c>
      <c r="AB561">
        <f t="shared" si="121"/>
        <v>8.9659769013274548E-2</v>
      </c>
      <c r="AC561">
        <f t="shared" si="122"/>
        <v>2.1297890733574544E-4</v>
      </c>
      <c r="AD561">
        <f t="shared" si="123"/>
        <v>1.6901572683543394E-4</v>
      </c>
      <c r="AE561">
        <f t="shared" si="124"/>
        <v>2.2379525087458666E-2</v>
      </c>
      <c r="AF561">
        <f t="shared" si="125"/>
        <v>4.9725307902429669E-2</v>
      </c>
      <c r="AG561">
        <f t="shared" si="118"/>
        <v>0.47724009833858483</v>
      </c>
      <c r="AH561">
        <v>0.40184394922853522</v>
      </c>
      <c r="AI561">
        <v>0.7462945443077893</v>
      </c>
      <c r="AJ561">
        <v>7.0601594157723643E-2</v>
      </c>
      <c r="AK561">
        <v>2.3335149660393573E-2</v>
      </c>
      <c r="AL561">
        <v>0.77300554995037551</v>
      </c>
    </row>
    <row r="562" spans="1:38" x14ac:dyDescent="0.25">
      <c r="A562">
        <v>19</v>
      </c>
      <c r="B562" s="5" t="s">
        <v>16</v>
      </c>
      <c r="C562" s="6" t="s">
        <v>5</v>
      </c>
      <c r="D562" s="6" t="s">
        <v>38</v>
      </c>
      <c r="E562" s="28">
        <v>124369.6716</v>
      </c>
      <c r="F562" s="11">
        <v>3</v>
      </c>
      <c r="G562" s="11">
        <v>13</v>
      </c>
      <c r="H562" s="11">
        <f t="shared" si="114"/>
        <v>-10</v>
      </c>
      <c r="I562" s="18">
        <v>1</v>
      </c>
      <c r="J562" s="19">
        <v>7.6246334310850442E-2</v>
      </c>
      <c r="K562" s="19">
        <v>-2.6</v>
      </c>
      <c r="L562" s="6">
        <v>22700190</v>
      </c>
      <c r="M562" s="7">
        <v>6679669</v>
      </c>
      <c r="N562" s="7">
        <v>3283958</v>
      </c>
      <c r="O562" s="7">
        <v>9081508</v>
      </c>
      <c r="P562" s="7">
        <v>22221.154296875</v>
      </c>
      <c r="Q562" s="7">
        <v>24659.02734375</v>
      </c>
      <c r="R562" s="7">
        <v>2272569.25</v>
      </c>
      <c r="S562" s="7">
        <v>5238916</v>
      </c>
      <c r="T562" s="31">
        <f t="shared" si="115"/>
        <v>4930.3690431640625</v>
      </c>
      <c r="U562" s="37">
        <v>10604.333333333334</v>
      </c>
      <c r="V562">
        <f t="shared" si="116"/>
        <v>0.46493908557797714</v>
      </c>
      <c r="W562">
        <f t="shared" ref="W562:W590" si="127">(V562-V561)/V561</f>
        <v>-2.5775312685231686E-2</v>
      </c>
      <c r="X562" s="28">
        <v>12089.275416666667</v>
      </c>
      <c r="Y562">
        <f t="shared" si="117"/>
        <v>0.21406522490805646</v>
      </c>
      <c r="Z562">
        <f t="shared" si="119"/>
        <v>6.2989994656272585E-2</v>
      </c>
      <c r="AA562">
        <f t="shared" si="120"/>
        <v>3.0968075943796559E-2</v>
      </c>
      <c r="AB562">
        <f t="shared" si="121"/>
        <v>8.563959387671706E-2</v>
      </c>
      <c r="AC562">
        <f t="shared" si="122"/>
        <v>2.0954786688028476E-4</v>
      </c>
      <c r="AD562">
        <f t="shared" si="123"/>
        <v>2.3253727102520982E-4</v>
      </c>
      <c r="AE562">
        <f t="shared" si="124"/>
        <v>2.1430571621664098E-2</v>
      </c>
      <c r="AF562">
        <f t="shared" si="125"/>
        <v>4.9403539433564889E-2</v>
      </c>
      <c r="AG562">
        <f t="shared" si="118"/>
        <v>0.4649390855779772</v>
      </c>
      <c r="AH562">
        <v>0.40184394922853522</v>
      </c>
      <c r="AI562">
        <v>0.7462945443077893</v>
      </c>
      <c r="AJ562">
        <v>7.0601594157723643E-2</v>
      </c>
      <c r="AK562">
        <v>2.3335149660393573E-2</v>
      </c>
      <c r="AL562">
        <v>0.77300554995037551</v>
      </c>
    </row>
    <row r="563" spans="1:38" x14ac:dyDescent="0.25">
      <c r="A563">
        <v>19</v>
      </c>
      <c r="B563" s="5" t="s">
        <v>16</v>
      </c>
      <c r="C563" s="6" t="s">
        <v>5</v>
      </c>
      <c r="D563" s="6" t="s">
        <v>39</v>
      </c>
      <c r="E563" s="28">
        <v>124369.6716</v>
      </c>
      <c r="F563" s="11">
        <v>4</v>
      </c>
      <c r="G563" s="11">
        <v>13</v>
      </c>
      <c r="H563" s="11">
        <f t="shared" si="114"/>
        <v>-9</v>
      </c>
      <c r="I563" s="18">
        <v>1</v>
      </c>
      <c r="J563" s="19">
        <v>7.6246334310850442E-2</v>
      </c>
      <c r="K563" s="19">
        <v>-2.6</v>
      </c>
      <c r="L563" s="6">
        <v>21565178</v>
      </c>
      <c r="M563" s="7">
        <v>6970788</v>
      </c>
      <c r="N563" s="7">
        <v>3283958</v>
      </c>
      <c r="O563" s="7">
        <v>9484551</v>
      </c>
      <c r="P563" s="7">
        <v>22221.154296875</v>
      </c>
      <c r="Q563" s="7">
        <v>67896.8671875</v>
      </c>
      <c r="R563" s="7">
        <v>2253687.25</v>
      </c>
      <c r="S563" s="7">
        <v>5323514.5</v>
      </c>
      <c r="T563" s="31">
        <f t="shared" si="115"/>
        <v>4897.1794771484374</v>
      </c>
      <c r="U563" s="37">
        <v>11181.888888888891</v>
      </c>
      <c r="V563">
        <f t="shared" si="116"/>
        <v>0.43795637086097489</v>
      </c>
      <c r="W563">
        <f t="shared" si="127"/>
        <v>-5.8034945983212793E-2</v>
      </c>
      <c r="X563" s="28">
        <v>13219.93125</v>
      </c>
      <c r="Y563">
        <f t="shared" si="117"/>
        <v>0.19285809592893269</v>
      </c>
      <c r="Z563">
        <f t="shared" si="119"/>
        <v>6.2339986287349575E-2</v>
      </c>
      <c r="AA563">
        <f t="shared" si="120"/>
        <v>2.9368544372348138E-2</v>
      </c>
      <c r="AB563">
        <f t="shared" si="121"/>
        <v>8.4820651450261825E-2</v>
      </c>
      <c r="AC563">
        <f t="shared" si="122"/>
        <v>1.9872451352074779E-4</v>
      </c>
      <c r="AD563">
        <f t="shared" si="123"/>
        <v>6.0720391574420936E-4</v>
      </c>
      <c r="AE563">
        <f t="shared" si="124"/>
        <v>2.015479917922831E-2</v>
      </c>
      <c r="AF563">
        <f t="shared" si="125"/>
        <v>4.7608365213589431E-2</v>
      </c>
      <c r="AG563">
        <f t="shared" si="118"/>
        <v>0.43795637086097494</v>
      </c>
      <c r="AH563">
        <v>0.40184394922853522</v>
      </c>
      <c r="AI563">
        <v>0.7462945443077893</v>
      </c>
      <c r="AJ563">
        <v>7.0601594157723643E-2</v>
      </c>
      <c r="AK563">
        <v>2.3335149660393573E-2</v>
      </c>
      <c r="AL563">
        <v>0.77300554995037551</v>
      </c>
    </row>
    <row r="564" spans="1:38" x14ac:dyDescent="0.25">
      <c r="A564">
        <v>19</v>
      </c>
      <c r="B564" s="5" t="s">
        <v>16</v>
      </c>
      <c r="C564" s="6" t="s">
        <v>5</v>
      </c>
      <c r="D564" s="6" t="s">
        <v>40</v>
      </c>
      <c r="E564" s="28">
        <v>124369.6716</v>
      </c>
      <c r="F564" s="11">
        <v>5</v>
      </c>
      <c r="G564" s="11">
        <v>13</v>
      </c>
      <c r="H564" s="11">
        <f t="shared" si="114"/>
        <v>-8</v>
      </c>
      <c r="I564" s="18">
        <v>1</v>
      </c>
      <c r="J564" s="19">
        <v>7.6246334310850442E-2</v>
      </c>
      <c r="K564" s="19">
        <v>-2.6</v>
      </c>
      <c r="L564" s="6">
        <v>24430910</v>
      </c>
      <c r="M564" s="7">
        <v>7174171</v>
      </c>
      <c r="N564" s="7">
        <v>3283958</v>
      </c>
      <c r="O564" s="7">
        <v>9767918</v>
      </c>
      <c r="P564" s="7">
        <v>22221.154296875</v>
      </c>
      <c r="Q564" s="7">
        <v>93691.875</v>
      </c>
      <c r="R564" s="7">
        <v>2338177.25</v>
      </c>
      <c r="S564" s="7">
        <v>5503223.5</v>
      </c>
      <c r="T564" s="31">
        <f t="shared" si="115"/>
        <v>5261.4270779296876</v>
      </c>
      <c r="U564" s="37">
        <v>11759.444444444445</v>
      </c>
      <c r="V564">
        <f t="shared" si="116"/>
        <v>0.44742139841609285</v>
      </c>
      <c r="W564">
        <f t="shared" si="127"/>
        <v>2.1611804702168724E-2</v>
      </c>
      <c r="X564" s="28">
        <v>14350.587083333334</v>
      </c>
      <c r="Y564">
        <f t="shared" si="117"/>
        <v>0.20775564794255205</v>
      </c>
      <c r="Z564">
        <f t="shared" si="119"/>
        <v>6.1007737515944634E-2</v>
      </c>
      <c r="AA564">
        <f t="shared" si="120"/>
        <v>2.7926132186894694E-2</v>
      </c>
      <c r="AB564">
        <f t="shared" si="121"/>
        <v>8.3064451268483955E-2</v>
      </c>
      <c r="AC564">
        <f t="shared" si="122"/>
        <v>1.8896432056680207E-4</v>
      </c>
      <c r="AD564">
        <f t="shared" si="123"/>
        <v>7.9673725610620303E-4</v>
      </c>
      <c r="AE564">
        <f t="shared" si="124"/>
        <v>1.9883398922851608E-2</v>
      </c>
      <c r="AF564">
        <f t="shared" si="125"/>
        <v>4.6798329002692866E-2</v>
      </c>
      <c r="AG564">
        <f t="shared" si="118"/>
        <v>0.44742139841609285</v>
      </c>
      <c r="AH564">
        <v>0.40184394922853522</v>
      </c>
      <c r="AI564">
        <v>0.7462945443077893</v>
      </c>
      <c r="AJ564">
        <v>7.0601594157723643E-2</v>
      </c>
      <c r="AK564">
        <v>2.3335149660393573E-2</v>
      </c>
      <c r="AL564">
        <v>0.77300554995037551</v>
      </c>
    </row>
    <row r="565" spans="1:38" x14ac:dyDescent="0.25">
      <c r="A565">
        <v>19</v>
      </c>
      <c r="B565" s="5" t="s">
        <v>16</v>
      </c>
      <c r="C565" s="6" t="s">
        <v>5</v>
      </c>
      <c r="D565" s="6" t="s">
        <v>41</v>
      </c>
      <c r="E565" s="28">
        <v>124369.6716</v>
      </c>
      <c r="F565" s="11">
        <v>6</v>
      </c>
      <c r="G565" s="11">
        <v>13</v>
      </c>
      <c r="H565" s="11">
        <f t="shared" si="114"/>
        <v>-7</v>
      </c>
      <c r="I565" s="18">
        <v>1</v>
      </c>
      <c r="J565" s="19">
        <v>7.6246334310850442E-2</v>
      </c>
      <c r="K565" s="19">
        <v>-2.6</v>
      </c>
      <c r="L565" s="6">
        <v>25820808</v>
      </c>
      <c r="M565" s="7">
        <v>7147402</v>
      </c>
      <c r="N565" s="7">
        <v>3283958</v>
      </c>
      <c r="O565" s="7">
        <v>9741220</v>
      </c>
      <c r="P565" s="7">
        <v>22221.154296875</v>
      </c>
      <c r="Q565" s="7">
        <v>61939.5703125</v>
      </c>
      <c r="R565" s="7">
        <v>2322104.25</v>
      </c>
      <c r="S565" s="7">
        <v>5432895</v>
      </c>
      <c r="T565" s="31">
        <f t="shared" si="115"/>
        <v>5383.2547974609379</v>
      </c>
      <c r="U565" s="37">
        <v>12337</v>
      </c>
      <c r="V565">
        <f t="shared" si="116"/>
        <v>0.4363503929205591</v>
      </c>
      <c r="W565">
        <f t="shared" si="127"/>
        <v>-2.4744023273643109E-2</v>
      </c>
      <c r="X565" s="28">
        <v>15481.242916666666</v>
      </c>
      <c r="Y565">
        <f t="shared" si="117"/>
        <v>0.20929567966280296</v>
      </c>
      <c r="Z565">
        <f t="shared" si="119"/>
        <v>5.7934684283050993E-2</v>
      </c>
      <c r="AA565">
        <f t="shared" si="120"/>
        <v>2.6618772797276483E-2</v>
      </c>
      <c r="AB565">
        <f t="shared" si="121"/>
        <v>7.8959390451487393E-2</v>
      </c>
      <c r="AC565">
        <f t="shared" si="122"/>
        <v>1.8011797273952338E-4</v>
      </c>
      <c r="AD565">
        <f t="shared" si="123"/>
        <v>5.0206347015076605E-4</v>
      </c>
      <c r="AE565">
        <f t="shared" si="124"/>
        <v>1.8822276485369216E-2</v>
      </c>
      <c r="AF565">
        <f t="shared" si="125"/>
        <v>4.4037407797681768E-2</v>
      </c>
      <c r="AG565">
        <f t="shared" si="118"/>
        <v>0.43635039292055916</v>
      </c>
      <c r="AH565">
        <v>0.40184394922853522</v>
      </c>
      <c r="AI565">
        <v>0.7462945443077893</v>
      </c>
      <c r="AJ565">
        <v>7.0601594157723643E-2</v>
      </c>
      <c r="AK565">
        <v>2.3335149660393573E-2</v>
      </c>
      <c r="AL565">
        <v>0.77300554995037551</v>
      </c>
    </row>
    <row r="566" spans="1:38" x14ac:dyDescent="0.25">
      <c r="A566">
        <v>19</v>
      </c>
      <c r="B566" s="5" t="s">
        <v>16</v>
      </c>
      <c r="C566" s="6" t="s">
        <v>5</v>
      </c>
      <c r="D566" s="6" t="s">
        <v>42</v>
      </c>
      <c r="E566" s="28">
        <v>124369.6716</v>
      </c>
      <c r="F566" s="11">
        <v>7</v>
      </c>
      <c r="G566" s="11">
        <v>13</v>
      </c>
      <c r="H566" s="11">
        <f t="shared" si="114"/>
        <v>-6</v>
      </c>
      <c r="I566" s="18">
        <v>1</v>
      </c>
      <c r="J566" s="19">
        <v>7.6246334310850442E-2</v>
      </c>
      <c r="K566" s="19">
        <v>-2.6</v>
      </c>
      <c r="L566" s="6">
        <v>31545666</v>
      </c>
      <c r="M566" s="7">
        <v>7211446</v>
      </c>
      <c r="N566" s="7">
        <v>3285534.5</v>
      </c>
      <c r="O566" s="7">
        <v>9835128</v>
      </c>
      <c r="P566" s="7">
        <v>22231.822265625</v>
      </c>
      <c r="Q566" s="7">
        <v>28665.140625</v>
      </c>
      <c r="R566" s="7">
        <v>2320842.25</v>
      </c>
      <c r="S566" s="7">
        <v>5246748</v>
      </c>
      <c r="T566" s="31">
        <f t="shared" si="115"/>
        <v>5949.6261712890628</v>
      </c>
      <c r="U566" s="37">
        <v>12914.555555555555</v>
      </c>
      <c r="V566">
        <f t="shared" si="116"/>
        <v>0.46069151553029369</v>
      </c>
      <c r="W566">
        <f t="shared" si="127"/>
        <v>5.5783432316436746E-2</v>
      </c>
      <c r="X566" s="28">
        <v>16611.898749999997</v>
      </c>
      <c r="Y566">
        <f t="shared" si="117"/>
        <v>0.24426443375691512</v>
      </c>
      <c r="Z566">
        <f t="shared" si="119"/>
        <v>5.5839676162125429E-2</v>
      </c>
      <c r="AA566">
        <f t="shared" si="120"/>
        <v>2.5440554155087718E-2</v>
      </c>
      <c r="AB566">
        <f t="shared" si="121"/>
        <v>7.6155373351343453E-2</v>
      </c>
      <c r="AC566">
        <f t="shared" si="122"/>
        <v>1.7214546927293495E-4</v>
      </c>
      <c r="AD566">
        <f t="shared" si="123"/>
        <v>2.219599466794573E-4</v>
      </c>
      <c r="AE566">
        <f t="shared" si="124"/>
        <v>1.7970748122273748E-2</v>
      </c>
      <c r="AF566">
        <f t="shared" si="125"/>
        <v>4.0626624566595833E-2</v>
      </c>
      <c r="AG566">
        <f t="shared" si="118"/>
        <v>0.46069151553029369</v>
      </c>
      <c r="AH566">
        <v>0.40184394922853522</v>
      </c>
      <c r="AI566">
        <v>0.7462945443077893</v>
      </c>
      <c r="AJ566">
        <v>7.0601594157723643E-2</v>
      </c>
      <c r="AK566">
        <v>2.3335149660393573E-2</v>
      </c>
      <c r="AL566">
        <v>0.77300554995037551</v>
      </c>
    </row>
    <row r="567" spans="1:38" x14ac:dyDescent="0.25">
      <c r="A567">
        <v>19</v>
      </c>
      <c r="B567" s="5" t="s">
        <v>16</v>
      </c>
      <c r="C567" s="6" t="s">
        <v>5</v>
      </c>
      <c r="D567" s="6" t="s">
        <v>43</v>
      </c>
      <c r="E567" s="28">
        <v>129118.6</v>
      </c>
      <c r="F567" s="11">
        <v>8</v>
      </c>
      <c r="G567" s="11">
        <v>13</v>
      </c>
      <c r="H567" s="18">
        <f t="shared" si="114"/>
        <v>-5</v>
      </c>
      <c r="I567" s="18">
        <v>1</v>
      </c>
      <c r="J567" s="19">
        <v>7.6246334310850442E-2</v>
      </c>
      <c r="K567" s="19">
        <v>-2.6</v>
      </c>
      <c r="L567" s="14">
        <v>22478834</v>
      </c>
      <c r="M567" s="16">
        <v>6511119</v>
      </c>
      <c r="N567" s="16">
        <v>3248264</v>
      </c>
      <c r="O567" s="16">
        <v>9559479</v>
      </c>
      <c r="P567" s="16">
        <v>22726.298828125</v>
      </c>
      <c r="Q567" s="16">
        <v>15054.8505859375</v>
      </c>
      <c r="R567" s="16">
        <v>2411452.25</v>
      </c>
      <c r="S567" s="16">
        <v>4859985.5</v>
      </c>
      <c r="T567" s="31">
        <f t="shared" si="115"/>
        <v>4910.691489941406</v>
      </c>
      <c r="U567" s="37">
        <v>9514</v>
      </c>
      <c r="V567">
        <f t="shared" si="116"/>
        <v>0.51615424531652365</v>
      </c>
      <c r="W567">
        <f t="shared" si="127"/>
        <v>0.12039016981328125</v>
      </c>
      <c r="X567" s="28">
        <v>8595.5041666666639</v>
      </c>
      <c r="Y567">
        <f t="shared" si="117"/>
        <v>0.23627111624973723</v>
      </c>
      <c r="Z567">
        <f t="shared" si="119"/>
        <v>6.8437239857052759E-2</v>
      </c>
      <c r="AA567">
        <f t="shared" si="120"/>
        <v>3.4141938196342231E-2</v>
      </c>
      <c r="AB567">
        <f t="shared" si="121"/>
        <v>0.10047802186251839</v>
      </c>
      <c r="AC567">
        <f t="shared" si="122"/>
        <v>2.3887217603663023E-4</v>
      </c>
      <c r="AD567">
        <f t="shared" si="123"/>
        <v>1.5823891723709796E-4</v>
      </c>
      <c r="AE567">
        <f t="shared" si="124"/>
        <v>2.5346355371032164E-2</v>
      </c>
      <c r="AF567">
        <f t="shared" si="125"/>
        <v>5.1082462686567166E-2</v>
      </c>
      <c r="AG567">
        <f t="shared" si="118"/>
        <v>0.51615424531652365</v>
      </c>
      <c r="AH567">
        <v>0.39762977603536592</v>
      </c>
      <c r="AI567">
        <v>0.74780753733112115</v>
      </c>
      <c r="AJ567">
        <v>7.0451306942156122E-2</v>
      </c>
      <c r="AK567">
        <v>2.4920923863796539E-2</v>
      </c>
      <c r="AL567">
        <v>0.71552488846969842</v>
      </c>
    </row>
    <row r="568" spans="1:38" x14ac:dyDescent="0.25">
      <c r="A568">
        <v>19</v>
      </c>
      <c r="B568" s="5" t="s">
        <v>16</v>
      </c>
      <c r="C568" s="6" t="s">
        <v>5</v>
      </c>
      <c r="D568" s="6" t="s">
        <v>44</v>
      </c>
      <c r="E568" s="28">
        <v>129118.6</v>
      </c>
      <c r="F568" s="11">
        <v>9</v>
      </c>
      <c r="G568" s="11">
        <v>13</v>
      </c>
      <c r="H568" s="11">
        <f t="shared" si="114"/>
        <v>-4</v>
      </c>
      <c r="I568" s="18">
        <v>1</v>
      </c>
      <c r="J568" s="19">
        <v>7.6246334310850442E-2</v>
      </c>
      <c r="K568" s="19">
        <v>-2.6</v>
      </c>
      <c r="L568" s="6">
        <v>22355604</v>
      </c>
      <c r="M568" s="7">
        <v>6384024.5</v>
      </c>
      <c r="N568" s="7">
        <v>3248264</v>
      </c>
      <c r="O568" s="7">
        <v>9371095</v>
      </c>
      <c r="P568" s="7">
        <v>22726.298828125</v>
      </c>
      <c r="Q568" s="7">
        <v>21380.216796875</v>
      </c>
      <c r="R568" s="7">
        <v>2344819.75</v>
      </c>
      <c r="S568" s="7">
        <v>4916649.5</v>
      </c>
      <c r="T568" s="31">
        <f t="shared" si="115"/>
        <v>4866.4563265625002</v>
      </c>
      <c r="U568" s="37">
        <v>9802</v>
      </c>
      <c r="V568">
        <f t="shared" si="116"/>
        <v>0.4964758545768721</v>
      </c>
      <c r="W568">
        <f t="shared" si="127"/>
        <v>-3.8125019639398842E-2</v>
      </c>
      <c r="X568" s="28">
        <v>8995.0124999999989</v>
      </c>
      <c r="Y568">
        <f t="shared" si="117"/>
        <v>0.22807186288512549</v>
      </c>
      <c r="Z568">
        <f t="shared" si="119"/>
        <v>6.5129815343807393E-2</v>
      </c>
      <c r="AA568">
        <f t="shared" si="120"/>
        <v>3.3138788002448481E-2</v>
      </c>
      <c r="AB568">
        <f t="shared" si="121"/>
        <v>9.5603907365843704E-2</v>
      </c>
      <c r="AC568">
        <f t="shared" si="122"/>
        <v>2.318536913703836E-4</v>
      </c>
      <c r="AD568">
        <f t="shared" si="123"/>
        <v>2.1812096303688025E-4</v>
      </c>
      <c r="AE568">
        <f t="shared" si="124"/>
        <v>2.3921850132625995E-2</v>
      </c>
      <c r="AF568">
        <f t="shared" si="125"/>
        <v>5.0159656192613748E-2</v>
      </c>
      <c r="AG568">
        <f t="shared" si="118"/>
        <v>0.49647585457687204</v>
      </c>
      <c r="AH568">
        <v>0.39762977603536592</v>
      </c>
      <c r="AI568">
        <v>0.74780753733112115</v>
      </c>
      <c r="AJ568">
        <v>7.0451306942156122E-2</v>
      </c>
      <c r="AK568">
        <v>2.4920923863796539E-2</v>
      </c>
      <c r="AL568">
        <v>0.71552488846969842</v>
      </c>
    </row>
    <row r="569" spans="1:38" x14ac:dyDescent="0.25">
      <c r="A569">
        <v>19</v>
      </c>
      <c r="B569" s="5" t="s">
        <v>16</v>
      </c>
      <c r="C569" s="6" t="s">
        <v>5</v>
      </c>
      <c r="D569" s="6" t="s">
        <v>45</v>
      </c>
      <c r="E569" s="28">
        <v>129118.6</v>
      </c>
      <c r="F569" s="11">
        <v>10</v>
      </c>
      <c r="G569" s="11">
        <v>13</v>
      </c>
      <c r="H569" s="11">
        <f t="shared" si="114"/>
        <v>-3</v>
      </c>
      <c r="I569" s="18">
        <v>1</v>
      </c>
      <c r="J569" s="19">
        <v>7.6246334310850442E-2</v>
      </c>
      <c r="K569" s="19">
        <v>-2.6</v>
      </c>
      <c r="L569" s="6">
        <v>25411968</v>
      </c>
      <c r="M569" s="7">
        <v>6625976</v>
      </c>
      <c r="N569" s="7">
        <v>3248264</v>
      </c>
      <c r="O569" s="7">
        <v>9726665</v>
      </c>
      <c r="P569" s="7">
        <v>22726.298828125</v>
      </c>
      <c r="Q569" s="7">
        <v>62083.1875</v>
      </c>
      <c r="R569" s="7">
        <v>2323080.75</v>
      </c>
      <c r="S569" s="7">
        <v>5029063</v>
      </c>
      <c r="T569" s="31">
        <f t="shared" si="115"/>
        <v>5244.9826236328126</v>
      </c>
      <c r="U569" s="37">
        <v>10090</v>
      </c>
      <c r="V569">
        <f t="shared" si="116"/>
        <v>0.51981988341256813</v>
      </c>
      <c r="W569">
        <f t="shared" si="127"/>
        <v>4.7019464532854827E-2</v>
      </c>
      <c r="X569" s="28">
        <v>9394.5208333333321</v>
      </c>
      <c r="Y569">
        <f t="shared" si="117"/>
        <v>0.25185300297324081</v>
      </c>
      <c r="Z569">
        <f t="shared" si="119"/>
        <v>6.5668741328047578E-2</v>
      </c>
      <c r="AA569">
        <f t="shared" si="120"/>
        <v>3.2192903865213084E-2</v>
      </c>
      <c r="AB569">
        <f t="shared" si="121"/>
        <v>9.6399058473736379E-2</v>
      </c>
      <c r="AC569">
        <f t="shared" si="122"/>
        <v>2.2523586549182356E-4</v>
      </c>
      <c r="AD569">
        <f t="shared" si="123"/>
        <v>6.1529422695738361E-4</v>
      </c>
      <c r="AE569">
        <f t="shared" si="124"/>
        <v>2.3023595143706641E-2</v>
      </c>
      <c r="AF569">
        <f t="shared" si="125"/>
        <v>4.984205153617443E-2</v>
      </c>
      <c r="AG569">
        <f t="shared" si="118"/>
        <v>0.51981988341256813</v>
      </c>
      <c r="AH569">
        <v>0.39762977603536592</v>
      </c>
      <c r="AI569">
        <v>0.74780753733112115</v>
      </c>
      <c r="AJ569">
        <v>7.0451306942156122E-2</v>
      </c>
      <c r="AK569">
        <v>2.4920923863796539E-2</v>
      </c>
      <c r="AL569">
        <v>0.71552488846969842</v>
      </c>
    </row>
    <row r="570" spans="1:38" x14ac:dyDescent="0.25">
      <c r="A570">
        <v>19</v>
      </c>
      <c r="B570" s="5" t="s">
        <v>16</v>
      </c>
      <c r="C570" s="6" t="s">
        <v>5</v>
      </c>
      <c r="D570" s="6" t="s">
        <v>46</v>
      </c>
      <c r="E570" s="28">
        <v>129118.6</v>
      </c>
      <c r="F570" s="11">
        <v>11</v>
      </c>
      <c r="G570" s="11">
        <v>13</v>
      </c>
      <c r="H570" s="11">
        <f t="shared" si="114"/>
        <v>-2</v>
      </c>
      <c r="I570" s="18">
        <v>1</v>
      </c>
      <c r="J570" s="19">
        <v>7.6246334310850442E-2</v>
      </c>
      <c r="K570" s="19">
        <v>-2.6</v>
      </c>
      <c r="L570" s="6">
        <v>22980988</v>
      </c>
      <c r="M570" s="7">
        <v>6731591</v>
      </c>
      <c r="N570" s="7">
        <v>3248264</v>
      </c>
      <c r="O570" s="7">
        <v>9874883</v>
      </c>
      <c r="P570" s="7">
        <v>22726.298828125</v>
      </c>
      <c r="Q570" s="7">
        <v>85523.15625</v>
      </c>
      <c r="R570" s="7">
        <v>2410373.5</v>
      </c>
      <c r="S570" s="7">
        <v>5200303</v>
      </c>
      <c r="T570" s="31">
        <f t="shared" si="115"/>
        <v>5055.4651955078125</v>
      </c>
      <c r="U570" s="37">
        <v>10378</v>
      </c>
      <c r="V570">
        <f t="shared" si="116"/>
        <v>0.48713289607899524</v>
      </c>
      <c r="W570">
        <f t="shared" si="127"/>
        <v>-6.288137175320406E-2</v>
      </c>
      <c r="X570" s="28">
        <v>9794.0291666666653</v>
      </c>
      <c r="Y570">
        <f t="shared" si="117"/>
        <v>0.22143946810560802</v>
      </c>
      <c r="Z570">
        <f t="shared" si="119"/>
        <v>6.4864048949701297E-2</v>
      </c>
      <c r="AA570">
        <f t="shared" si="120"/>
        <v>3.1299518211601464E-2</v>
      </c>
      <c r="AB570">
        <f t="shared" si="121"/>
        <v>9.5152081325881668E-2</v>
      </c>
      <c r="AC570">
        <f t="shared" si="122"/>
        <v>2.1898534234076892E-4</v>
      </c>
      <c r="AD570">
        <f t="shared" si="123"/>
        <v>8.2408128974754296E-4</v>
      </c>
      <c r="AE570">
        <f t="shared" si="124"/>
        <v>2.3225799768741569E-2</v>
      </c>
      <c r="AF570">
        <f t="shared" si="125"/>
        <v>5.0108913085372901E-2</v>
      </c>
      <c r="AG570">
        <f t="shared" si="118"/>
        <v>0.48713289607899524</v>
      </c>
      <c r="AH570">
        <v>0.39762977603536592</v>
      </c>
      <c r="AI570">
        <v>0.74780753733112115</v>
      </c>
      <c r="AJ570">
        <v>7.0451306942156122E-2</v>
      </c>
      <c r="AK570">
        <v>2.4920923863796539E-2</v>
      </c>
      <c r="AL570">
        <v>0.71552488846969842</v>
      </c>
    </row>
    <row r="571" spans="1:38" x14ac:dyDescent="0.25">
      <c r="A571">
        <v>19</v>
      </c>
      <c r="B571" s="5" t="s">
        <v>16</v>
      </c>
      <c r="C571" s="6" t="s">
        <v>5</v>
      </c>
      <c r="D571" s="6" t="s">
        <v>47</v>
      </c>
      <c r="E571" s="28">
        <v>129118.6</v>
      </c>
      <c r="F571" s="11">
        <v>12</v>
      </c>
      <c r="G571" s="11">
        <v>13</v>
      </c>
      <c r="H571" s="11">
        <f t="shared" si="114"/>
        <v>-1</v>
      </c>
      <c r="I571" s="18">
        <v>1</v>
      </c>
      <c r="J571" s="19">
        <v>7.6246334310850442E-2</v>
      </c>
      <c r="K571" s="19">
        <v>-2.6</v>
      </c>
      <c r="L571" s="6">
        <v>22826066</v>
      </c>
      <c r="M571" s="7">
        <v>6658541.5</v>
      </c>
      <c r="N571" s="7">
        <v>3248264</v>
      </c>
      <c r="O571" s="7">
        <v>9766331</v>
      </c>
      <c r="P571" s="7">
        <v>22726.298828125</v>
      </c>
      <c r="Q571" s="7">
        <v>56175.2109375</v>
      </c>
      <c r="R571" s="7">
        <v>2390975</v>
      </c>
      <c r="S571" s="7">
        <v>5163352.5</v>
      </c>
      <c r="T571" s="31">
        <f t="shared" si="115"/>
        <v>5013.2431509765629</v>
      </c>
      <c r="U571" s="37">
        <v>10666</v>
      </c>
      <c r="V571">
        <f t="shared" si="116"/>
        <v>0.47002092171165977</v>
      </c>
      <c r="W571">
        <f t="shared" si="127"/>
        <v>-3.5127938402584352E-2</v>
      </c>
      <c r="X571" s="28">
        <v>10193.5375</v>
      </c>
      <c r="Y571">
        <f t="shared" si="117"/>
        <v>0.21400774423401461</v>
      </c>
      <c r="Z571">
        <f t="shared" si="119"/>
        <v>6.2427728295518466E-2</v>
      </c>
      <c r="AA571">
        <f t="shared" si="120"/>
        <v>3.0454378398649912E-2</v>
      </c>
      <c r="AB571">
        <f t="shared" si="121"/>
        <v>9.1565075942246388E-2</v>
      </c>
      <c r="AC571">
        <f t="shared" si="122"/>
        <v>2.1307236853670543E-4</v>
      </c>
      <c r="AD571">
        <f t="shared" si="123"/>
        <v>5.2667551975904743E-4</v>
      </c>
      <c r="AE571">
        <f t="shared" si="124"/>
        <v>2.2416791674479655E-2</v>
      </c>
      <c r="AF571">
        <f t="shared" si="125"/>
        <v>4.8409455278454902E-2</v>
      </c>
      <c r="AG571">
        <f t="shared" si="118"/>
        <v>0.47002092171165966</v>
      </c>
      <c r="AH571">
        <v>0.39762977603536592</v>
      </c>
      <c r="AI571">
        <v>0.74780753733112115</v>
      </c>
      <c r="AJ571">
        <v>7.0451306942156122E-2</v>
      </c>
      <c r="AK571">
        <v>2.4920923863796539E-2</v>
      </c>
      <c r="AL571">
        <v>0.71552488846969842</v>
      </c>
    </row>
    <row r="572" spans="1:38" x14ac:dyDescent="0.25">
      <c r="A572">
        <v>19</v>
      </c>
      <c r="B572" s="21" t="s">
        <v>16</v>
      </c>
      <c r="C572" s="22" t="s">
        <v>5</v>
      </c>
      <c r="D572" s="22" t="s">
        <v>48</v>
      </c>
      <c r="E572" s="28">
        <v>129118.6</v>
      </c>
      <c r="F572" s="22">
        <v>13</v>
      </c>
      <c r="G572" s="22">
        <v>13</v>
      </c>
      <c r="H572" s="22">
        <f t="shared" si="114"/>
        <v>0</v>
      </c>
      <c r="I572" s="18">
        <v>1</v>
      </c>
      <c r="J572" s="19">
        <v>7.6246334310850442E-2</v>
      </c>
      <c r="K572" s="19">
        <v>-2.6</v>
      </c>
      <c r="L572" s="22">
        <v>23910134</v>
      </c>
      <c r="M572" s="23">
        <v>6693774.5</v>
      </c>
      <c r="N572" s="23">
        <v>3248264</v>
      </c>
      <c r="O572" s="23">
        <v>9816983</v>
      </c>
      <c r="P572" s="23">
        <v>22726.298828125</v>
      </c>
      <c r="Q572" s="23">
        <v>27561.32421875</v>
      </c>
      <c r="R572" s="23">
        <v>2386834</v>
      </c>
      <c r="S572" s="23">
        <v>5014799</v>
      </c>
      <c r="T572" s="32">
        <f t="shared" si="115"/>
        <v>5112.1076123046878</v>
      </c>
      <c r="U572" s="37">
        <v>10804.777777777779</v>
      </c>
      <c r="V572">
        <f t="shared" si="116"/>
        <v>0.47313398918937283</v>
      </c>
      <c r="W572">
        <f t="shared" si="127"/>
        <v>6.6232529955822074E-3</v>
      </c>
      <c r="X572" s="28">
        <v>10593.045833333334</v>
      </c>
      <c r="Y572">
        <f t="shared" si="117"/>
        <v>0.22129223285994876</v>
      </c>
      <c r="Z572">
        <f t="shared" si="119"/>
        <v>6.1951986775397712E-2</v>
      </c>
      <c r="AA572">
        <f t="shared" si="120"/>
        <v>3.0063218946350889E-2</v>
      </c>
      <c r="AB572">
        <f t="shared" si="121"/>
        <v>9.0857796448073375E-2</v>
      </c>
      <c r="AC572">
        <f t="shared" si="122"/>
        <v>2.103356431343387E-4</v>
      </c>
      <c r="AD572">
        <f t="shared" si="123"/>
        <v>2.5508460040182839E-4</v>
      </c>
      <c r="AE572">
        <f t="shared" si="124"/>
        <v>2.209054224982775E-2</v>
      </c>
      <c r="AF572">
        <f t="shared" si="125"/>
        <v>4.6412791666238185E-2</v>
      </c>
      <c r="AG572">
        <f t="shared" si="118"/>
        <v>0.47313398918937288</v>
      </c>
      <c r="AH572">
        <v>0.39762977603536592</v>
      </c>
      <c r="AI572">
        <v>0.74780753733112115</v>
      </c>
      <c r="AJ572">
        <v>7.0451306942156122E-2</v>
      </c>
      <c r="AK572">
        <v>2.4920923863796539E-2</v>
      </c>
      <c r="AL572">
        <v>0.71552488846969842</v>
      </c>
    </row>
    <row r="573" spans="1:38" x14ac:dyDescent="0.25">
      <c r="A573">
        <v>19</v>
      </c>
      <c r="B573" s="5" t="s">
        <v>16</v>
      </c>
      <c r="C573" s="6" t="s">
        <v>5</v>
      </c>
      <c r="D573" s="6" t="s">
        <v>49</v>
      </c>
      <c r="E573" s="28">
        <v>129118.6</v>
      </c>
      <c r="F573" s="11">
        <v>14</v>
      </c>
      <c r="G573" s="11">
        <v>13</v>
      </c>
      <c r="H573" s="11">
        <f t="shared" si="114"/>
        <v>1</v>
      </c>
      <c r="I573" s="18">
        <v>1</v>
      </c>
      <c r="J573" s="19">
        <v>7.6246334310850442E-2</v>
      </c>
      <c r="K573" s="19">
        <v>-2.6</v>
      </c>
      <c r="L573" s="6">
        <v>26902180</v>
      </c>
      <c r="M573" s="7">
        <v>6429077</v>
      </c>
      <c r="N573" s="7">
        <v>3248264</v>
      </c>
      <c r="O573" s="7">
        <v>9418857</v>
      </c>
      <c r="P573" s="7">
        <v>22726.298828125</v>
      </c>
      <c r="Q573" s="7">
        <v>16617.521484375</v>
      </c>
      <c r="R573" s="7">
        <v>2406510.25</v>
      </c>
      <c r="S573" s="7">
        <v>4923194</v>
      </c>
      <c r="T573" s="31">
        <f t="shared" si="115"/>
        <v>5336.7426070312504</v>
      </c>
      <c r="U573" s="37">
        <v>10943.555555555557</v>
      </c>
      <c r="V573">
        <f t="shared" si="116"/>
        <v>0.48766075887667271</v>
      </c>
      <c r="W573">
        <f t="shared" si="127"/>
        <v>3.0703289172246531E-2</v>
      </c>
      <c r="X573" s="28">
        <v>10992.554166666669</v>
      </c>
      <c r="Y573">
        <f t="shared" si="117"/>
        <v>0.24582668643138528</v>
      </c>
      <c r="Z573">
        <f t="shared" si="119"/>
        <v>5.8747606912236516E-2</v>
      </c>
      <c r="AA573">
        <f t="shared" si="120"/>
        <v>2.9681980262356331E-2</v>
      </c>
      <c r="AB573">
        <f t="shared" si="121"/>
        <v>8.6067612597977489E-2</v>
      </c>
      <c r="AC573">
        <f t="shared" si="122"/>
        <v>2.0766832783690551E-4</v>
      </c>
      <c r="AD573">
        <f t="shared" si="123"/>
        <v>1.5184755448094766E-4</v>
      </c>
      <c r="AE573">
        <f t="shared" si="124"/>
        <v>2.1990204534378423E-2</v>
      </c>
      <c r="AF573">
        <f t="shared" si="125"/>
        <v>4.498715225602079E-2</v>
      </c>
      <c r="AG573">
        <f t="shared" si="118"/>
        <v>0.48766075887667276</v>
      </c>
      <c r="AH573">
        <v>0.39762977603536592</v>
      </c>
      <c r="AI573">
        <v>0.74780753733112115</v>
      </c>
      <c r="AJ573">
        <v>7.0451306942156122E-2</v>
      </c>
      <c r="AK573">
        <v>2.4920923863796539E-2</v>
      </c>
      <c r="AL573">
        <v>0.71552488846969842</v>
      </c>
    </row>
    <row r="574" spans="1:38" x14ac:dyDescent="0.25">
      <c r="A574">
        <v>19</v>
      </c>
      <c r="B574" s="5" t="s">
        <v>16</v>
      </c>
      <c r="C574" s="6" t="s">
        <v>5</v>
      </c>
      <c r="D574" s="6" t="s">
        <v>50</v>
      </c>
      <c r="E574" s="28">
        <v>129118.6</v>
      </c>
      <c r="F574" s="11">
        <v>15</v>
      </c>
      <c r="G574" s="11">
        <v>13</v>
      </c>
      <c r="H574" s="11">
        <f t="shared" si="114"/>
        <v>2</v>
      </c>
      <c r="I574" s="18">
        <v>1</v>
      </c>
      <c r="J574" s="19">
        <v>7.6246334310850442E-2</v>
      </c>
      <c r="K574" s="19">
        <v>-2.6</v>
      </c>
      <c r="L574" s="6">
        <v>28615562</v>
      </c>
      <c r="M574" s="7">
        <v>6245859</v>
      </c>
      <c r="N574" s="7">
        <v>3248264</v>
      </c>
      <c r="O574" s="7">
        <v>9144170</v>
      </c>
      <c r="P574" s="7">
        <v>22726.298828125</v>
      </c>
      <c r="Q574" s="7">
        <v>23231.330078125</v>
      </c>
      <c r="R574" s="7">
        <v>2340605.5</v>
      </c>
      <c r="S574" s="7">
        <v>4972993</v>
      </c>
      <c r="T574" s="31">
        <f t="shared" si="115"/>
        <v>5461.3411128906246</v>
      </c>
      <c r="U574" s="37">
        <v>11082.333333333334</v>
      </c>
      <c r="V574">
        <f t="shared" si="116"/>
        <v>0.49279704450542522</v>
      </c>
      <c r="W574">
        <f t="shared" si="127"/>
        <v>1.0532497305265969E-2</v>
      </c>
      <c r="X574" s="28">
        <v>11392.062500000002</v>
      </c>
      <c r="Y574">
        <f t="shared" si="117"/>
        <v>0.2582088188407976</v>
      </c>
      <c r="Z574">
        <f t="shared" si="119"/>
        <v>5.6358700033085685E-2</v>
      </c>
      <c r="AA574">
        <f t="shared" si="120"/>
        <v>2.9310289650193999E-2</v>
      </c>
      <c r="AB574">
        <f t="shared" si="121"/>
        <v>8.2511234096309449E-2</v>
      </c>
      <c r="AC574">
        <f t="shared" si="122"/>
        <v>2.0506781509421903E-4</v>
      </c>
      <c r="AD574">
        <f t="shared" si="123"/>
        <v>2.0962489919203233E-4</v>
      </c>
      <c r="AE574">
        <f t="shared" si="124"/>
        <v>2.1120150690287845E-2</v>
      </c>
      <c r="AF574">
        <f t="shared" si="125"/>
        <v>4.4873158480464401E-2</v>
      </c>
      <c r="AG574">
        <f t="shared" si="118"/>
        <v>0.49279704450542522</v>
      </c>
      <c r="AH574">
        <v>0.39762977603536592</v>
      </c>
      <c r="AI574">
        <v>0.74780753733112115</v>
      </c>
      <c r="AJ574">
        <v>7.0451306942156122E-2</v>
      </c>
      <c r="AK574">
        <v>2.4920923863796539E-2</v>
      </c>
      <c r="AL574">
        <v>0.71552488846969842</v>
      </c>
    </row>
    <row r="575" spans="1:38" s="20" customFormat="1" x14ac:dyDescent="0.25">
      <c r="A575">
        <v>19</v>
      </c>
      <c r="B575" s="5" t="s">
        <v>16</v>
      </c>
      <c r="C575" s="6" t="s">
        <v>5</v>
      </c>
      <c r="D575" s="6" t="s">
        <v>51</v>
      </c>
      <c r="E575" s="28">
        <v>129118.6</v>
      </c>
      <c r="F575" s="11">
        <v>16</v>
      </c>
      <c r="G575" s="11">
        <v>13</v>
      </c>
      <c r="H575" s="11">
        <f t="shared" si="114"/>
        <v>3</v>
      </c>
      <c r="I575" s="18">
        <v>1</v>
      </c>
      <c r="J575" s="19">
        <v>7.6246334310850442E-2</v>
      </c>
      <c r="K575" s="19">
        <v>-2.6</v>
      </c>
      <c r="L575" s="6">
        <v>24978536</v>
      </c>
      <c r="M575" s="7">
        <v>6517611.5</v>
      </c>
      <c r="N575" s="7">
        <v>3248264</v>
      </c>
      <c r="O575" s="7">
        <v>9549735</v>
      </c>
      <c r="P575" s="7">
        <v>22726.298828125</v>
      </c>
      <c r="Q575" s="7">
        <v>63899.44921875</v>
      </c>
      <c r="R575" s="7">
        <v>2320646.5</v>
      </c>
      <c r="S575" s="7">
        <v>5051354.5</v>
      </c>
      <c r="T575" s="31">
        <f t="shared" si="115"/>
        <v>5175.2773248046879</v>
      </c>
      <c r="U575" s="37">
        <v>11598.888888888891</v>
      </c>
      <c r="V575">
        <f t="shared" si="116"/>
        <v>0.44618733521642095</v>
      </c>
      <c r="W575">
        <f t="shared" si="127"/>
        <v>-9.4581957843887066E-2</v>
      </c>
      <c r="X575" s="28">
        <v>11791.570833333335</v>
      </c>
      <c r="Y575">
        <f t="shared" si="117"/>
        <v>0.21535283456269755</v>
      </c>
      <c r="Z575">
        <f t="shared" si="119"/>
        <v>5.6191688380113035E-2</v>
      </c>
      <c r="AA575">
        <f t="shared" si="120"/>
        <v>2.800495832934189E-2</v>
      </c>
      <c r="AB575">
        <f t="shared" si="121"/>
        <v>8.2333188044831862E-2</v>
      </c>
      <c r="AC575">
        <f t="shared" si="122"/>
        <v>1.9593513694139762E-4</v>
      </c>
      <c r="AD575">
        <f t="shared" si="123"/>
        <v>5.5091009001700345E-4</v>
      </c>
      <c r="AE575">
        <f t="shared" si="124"/>
        <v>2.0007489702078739E-2</v>
      </c>
      <c r="AF575">
        <f t="shared" si="125"/>
        <v>4.355033097039946E-2</v>
      </c>
      <c r="AG575">
        <f t="shared" si="118"/>
        <v>0.4461873352164209</v>
      </c>
      <c r="AH575" s="20">
        <v>0.39762977603536592</v>
      </c>
      <c r="AI575" s="20">
        <v>0.74780753733112115</v>
      </c>
      <c r="AJ575" s="20">
        <v>7.0451306942156122E-2</v>
      </c>
      <c r="AK575" s="20">
        <v>2.4920923863796539E-2</v>
      </c>
      <c r="AL575" s="20">
        <v>0.71552488846969842</v>
      </c>
    </row>
    <row r="576" spans="1:38" x14ac:dyDescent="0.25">
      <c r="A576">
        <v>19</v>
      </c>
      <c r="B576" s="5" t="s">
        <v>16</v>
      </c>
      <c r="C576" s="6" t="s">
        <v>5</v>
      </c>
      <c r="D576" s="6" t="s">
        <v>52</v>
      </c>
      <c r="E576" s="28">
        <v>129118.6</v>
      </c>
      <c r="F576" s="11">
        <v>17</v>
      </c>
      <c r="G576" s="11">
        <v>13</v>
      </c>
      <c r="H576" s="11">
        <f t="shared" si="114"/>
        <v>4</v>
      </c>
      <c r="I576" s="18">
        <v>1</v>
      </c>
      <c r="J576" s="19">
        <v>7.6246334310850442E-2</v>
      </c>
      <c r="K576" s="19">
        <v>-2.6</v>
      </c>
      <c r="L576" s="6">
        <v>24582328</v>
      </c>
      <c r="M576" s="7">
        <v>6707183</v>
      </c>
      <c r="N576" s="7">
        <v>3248264</v>
      </c>
      <c r="O576" s="7">
        <v>9834512</v>
      </c>
      <c r="P576" s="7">
        <v>22726.298828125</v>
      </c>
      <c r="Q576" s="7">
        <v>88178.6484375</v>
      </c>
      <c r="R576" s="7">
        <v>2409855.5</v>
      </c>
      <c r="S576" s="7">
        <v>5221786.5</v>
      </c>
      <c r="T576" s="31">
        <f t="shared" si="115"/>
        <v>5211.4833947265624</v>
      </c>
      <c r="U576" s="37">
        <v>12115.444444444445</v>
      </c>
      <c r="V576">
        <f t="shared" si="116"/>
        <v>0.4301520607538501</v>
      </c>
      <c r="W576">
        <f t="shared" si="127"/>
        <v>-3.5938434816382737E-2</v>
      </c>
      <c r="X576" s="28">
        <v>12191.07916666667</v>
      </c>
      <c r="Y576">
        <f t="shared" si="117"/>
        <v>0.20290075294160803</v>
      </c>
      <c r="Z576">
        <f t="shared" si="119"/>
        <v>5.5360602169865818E-2</v>
      </c>
      <c r="AA576">
        <f t="shared" si="120"/>
        <v>2.6810935536826268E-2</v>
      </c>
      <c r="AB576">
        <f t="shared" si="121"/>
        <v>8.1173348985225463E-2</v>
      </c>
      <c r="AC576">
        <f t="shared" si="122"/>
        <v>1.8758122273051383E-4</v>
      </c>
      <c r="AD576">
        <f t="shared" si="123"/>
        <v>7.2782017070726983E-4</v>
      </c>
      <c r="AE576">
        <f t="shared" si="124"/>
        <v>1.9890772567613423E-2</v>
      </c>
      <c r="AF576">
        <f t="shared" si="125"/>
        <v>4.3100247159273283E-2</v>
      </c>
      <c r="AG576">
        <f t="shared" si="118"/>
        <v>0.4301520607538501</v>
      </c>
      <c r="AH576">
        <v>0.39762977603536592</v>
      </c>
      <c r="AI576">
        <v>0.74780753733112115</v>
      </c>
      <c r="AJ576">
        <v>7.0451306942156122E-2</v>
      </c>
      <c r="AK576">
        <v>2.4920923863796539E-2</v>
      </c>
      <c r="AL576">
        <v>0.71552488846969842</v>
      </c>
    </row>
    <row r="577" spans="1:38" x14ac:dyDescent="0.25">
      <c r="A577">
        <v>19</v>
      </c>
      <c r="B577" s="5" t="s">
        <v>16</v>
      </c>
      <c r="C577" s="6" t="s">
        <v>5</v>
      </c>
      <c r="D577" s="6" t="s">
        <v>53</v>
      </c>
      <c r="E577" s="28">
        <v>129118.6</v>
      </c>
      <c r="F577" s="11">
        <v>18</v>
      </c>
      <c r="G577" s="11">
        <v>13</v>
      </c>
      <c r="H577" s="11">
        <f t="shared" si="114"/>
        <v>5</v>
      </c>
      <c r="I577" s="18">
        <v>1</v>
      </c>
      <c r="J577" s="19">
        <v>7.6246334310850442E-2</v>
      </c>
      <c r="K577" s="19">
        <v>-2.6</v>
      </c>
      <c r="L577" s="6">
        <v>26261480</v>
      </c>
      <c r="M577" s="7">
        <v>6681613</v>
      </c>
      <c r="N577" s="7">
        <v>3248264</v>
      </c>
      <c r="O577" s="7">
        <v>9807317</v>
      </c>
      <c r="P577" s="7">
        <v>22726.298828125</v>
      </c>
      <c r="Q577" s="7">
        <v>58301.48828125</v>
      </c>
      <c r="R577" s="7">
        <v>2392855.5</v>
      </c>
      <c r="S577" s="7">
        <v>5155719</v>
      </c>
      <c r="T577" s="31">
        <f t="shared" si="115"/>
        <v>5362.8276287109375</v>
      </c>
      <c r="U577" s="37">
        <v>12632</v>
      </c>
      <c r="V577">
        <f t="shared" si="116"/>
        <v>0.42454303583842129</v>
      </c>
      <c r="W577">
        <f t="shared" si="127"/>
        <v>-1.3039632788458291E-2</v>
      </c>
      <c r="X577" s="28">
        <v>12590.587500000003</v>
      </c>
      <c r="Y577">
        <f t="shared" si="117"/>
        <v>0.20789645345155164</v>
      </c>
      <c r="Z577">
        <f t="shared" si="119"/>
        <v>5.2894339772007595E-2</v>
      </c>
      <c r="AA577">
        <f t="shared" si="120"/>
        <v>2.5714566181127291E-2</v>
      </c>
      <c r="AB577">
        <f t="shared" si="121"/>
        <v>7.7638671627612413E-2</v>
      </c>
      <c r="AC577">
        <f t="shared" si="122"/>
        <v>1.7991053537147722E-4</v>
      </c>
      <c r="AD577">
        <f t="shared" si="123"/>
        <v>4.6153806429108612E-4</v>
      </c>
      <c r="AE577">
        <f t="shared" si="124"/>
        <v>1.8942807948068397E-2</v>
      </c>
      <c r="AF577">
        <f t="shared" si="125"/>
        <v>4.081474825839139E-2</v>
      </c>
      <c r="AG577">
        <f t="shared" si="118"/>
        <v>0.42454303583842129</v>
      </c>
      <c r="AH577">
        <v>0.39762977603536592</v>
      </c>
      <c r="AI577">
        <v>0.74780753733112115</v>
      </c>
      <c r="AJ577">
        <v>7.0451306942156122E-2</v>
      </c>
      <c r="AK577">
        <v>2.4920923863796539E-2</v>
      </c>
      <c r="AL577">
        <v>0.71552488846969842</v>
      </c>
    </row>
    <row r="578" spans="1:38" x14ac:dyDescent="0.25">
      <c r="A578">
        <v>19</v>
      </c>
      <c r="B578" s="5" t="s">
        <v>16</v>
      </c>
      <c r="C578" s="6" t="s">
        <v>5</v>
      </c>
      <c r="D578" s="6" t="s">
        <v>54</v>
      </c>
      <c r="E578" s="28">
        <v>129118.6</v>
      </c>
      <c r="F578" s="11">
        <v>19</v>
      </c>
      <c r="G578" s="11">
        <v>13</v>
      </c>
      <c r="H578" s="11">
        <f t="shared" ref="H578:H641" si="128">F578-G578</f>
        <v>6</v>
      </c>
      <c r="I578" s="18">
        <v>1</v>
      </c>
      <c r="J578" s="19">
        <v>7.6246334310850442E-2</v>
      </c>
      <c r="K578" s="19">
        <v>-2.6</v>
      </c>
      <c r="L578" s="6">
        <v>29324604</v>
      </c>
      <c r="M578" s="7">
        <v>6741194.5</v>
      </c>
      <c r="N578" s="7">
        <v>3249823.25</v>
      </c>
      <c r="O578" s="7">
        <v>9901697</v>
      </c>
      <c r="P578" s="7">
        <v>22737.20703125</v>
      </c>
      <c r="Q578" s="7">
        <v>26949.35546875</v>
      </c>
      <c r="R578" s="7">
        <v>2391472.5</v>
      </c>
      <c r="S578" s="7">
        <v>4978684</v>
      </c>
      <c r="T578" s="31">
        <f t="shared" ref="T578:T641" si="129">SUM(L578:S578)/10000</f>
        <v>5663.7161812499999</v>
      </c>
      <c r="U578" s="37">
        <v>13148.555555555555</v>
      </c>
      <c r="V578">
        <f t="shared" si="116"/>
        <v>0.4307481652505134</v>
      </c>
      <c r="W578">
        <f t="shared" si="127"/>
        <v>1.4616019786634191E-2</v>
      </c>
      <c r="X578" s="28">
        <v>12990.095833333336</v>
      </c>
      <c r="Y578">
        <f t="shared" si="117"/>
        <v>0.22302528879386838</v>
      </c>
      <c r="Z578">
        <f t="shared" si="119"/>
        <v>5.1269468129156566E-2</v>
      </c>
      <c r="AA578">
        <f t="shared" si="120"/>
        <v>2.4716199709304783E-2</v>
      </c>
      <c r="AB578">
        <f t="shared" si="121"/>
        <v>7.5306347972316362E-2</v>
      </c>
      <c r="AC578">
        <f t="shared" si="122"/>
        <v>1.7292551212321592E-4</v>
      </c>
      <c r="AD578">
        <f t="shared" si="123"/>
        <v>2.0496057802610342E-4</v>
      </c>
      <c r="AE578">
        <f t="shared" si="124"/>
        <v>1.8188100509561676E-2</v>
      </c>
      <c r="AF578">
        <f t="shared" si="125"/>
        <v>3.7864874046156322E-2</v>
      </c>
      <c r="AG578">
        <f t="shared" si="118"/>
        <v>0.4307481652505134</v>
      </c>
      <c r="AH578">
        <v>0.39762977603536592</v>
      </c>
      <c r="AI578">
        <v>0.74780753733112115</v>
      </c>
      <c r="AJ578">
        <v>7.0451306942156122E-2</v>
      </c>
      <c r="AK578">
        <v>2.4920923863796539E-2</v>
      </c>
      <c r="AL578">
        <v>0.71552488846969842</v>
      </c>
    </row>
    <row r="579" spans="1:38" x14ac:dyDescent="0.25">
      <c r="A579">
        <v>19</v>
      </c>
      <c r="B579" s="5" t="s">
        <v>16</v>
      </c>
      <c r="C579" s="6" t="s">
        <v>5</v>
      </c>
      <c r="D579" s="6" t="s">
        <v>55</v>
      </c>
      <c r="E579" s="29">
        <v>135673.20000000001</v>
      </c>
      <c r="F579" s="11">
        <v>20</v>
      </c>
      <c r="G579" s="11">
        <v>13</v>
      </c>
      <c r="H579" s="18">
        <f t="shared" si="128"/>
        <v>7</v>
      </c>
      <c r="I579" s="18">
        <v>1</v>
      </c>
      <c r="J579" s="19">
        <v>7.6246334310850442E-2</v>
      </c>
      <c r="K579" s="19">
        <v>-2.6</v>
      </c>
      <c r="L579" s="14">
        <v>2523877.5</v>
      </c>
      <c r="M579" s="16">
        <v>6517212.5</v>
      </c>
      <c r="N579" s="16">
        <v>7248261</v>
      </c>
      <c r="O579" s="16">
        <v>20466154</v>
      </c>
      <c r="P579" s="16">
        <v>23445.638671875</v>
      </c>
      <c r="Q579" s="16">
        <v>16121.8095703125</v>
      </c>
      <c r="R579" s="16">
        <v>9601472</v>
      </c>
      <c r="S579" s="16">
        <v>5978615</v>
      </c>
      <c r="T579" s="31">
        <f t="shared" si="129"/>
        <v>5237.5159448242184</v>
      </c>
      <c r="U579" s="37">
        <v>10139.444444444445</v>
      </c>
      <c r="V579">
        <f t="shared" ref="V579:V642" si="130">T579/U579</f>
        <v>0.51654861107246686</v>
      </c>
      <c r="W579">
        <f t="shared" si="127"/>
        <v>0.19918934714917208</v>
      </c>
      <c r="X579" s="29">
        <v>8482.965000000002</v>
      </c>
      <c r="Y579">
        <f t="shared" si="117"/>
        <v>2.4891674428798419E-2</v>
      </c>
      <c r="Z579">
        <f t="shared" si="119"/>
        <v>6.4275834200865703E-2</v>
      </c>
      <c r="AA579">
        <f t="shared" si="120"/>
        <v>7.1485780505177801E-2</v>
      </c>
      <c r="AB579">
        <f t="shared" si="121"/>
        <v>0.20184689715632018</v>
      </c>
      <c r="AC579">
        <f t="shared" si="122"/>
        <v>2.3123198514807405E-4</v>
      </c>
      <c r="AD579">
        <f t="shared" si="123"/>
        <v>1.5900091625972547E-4</v>
      </c>
      <c r="AE579">
        <f t="shared" si="124"/>
        <v>9.4694261136376079E-2</v>
      </c>
      <c r="AF579">
        <f t="shared" si="125"/>
        <v>5.8963930743520895E-2</v>
      </c>
      <c r="AG579">
        <f t="shared" si="118"/>
        <v>0.51654861107246686</v>
      </c>
      <c r="AH579">
        <v>0.38828239867045183</v>
      </c>
      <c r="AI579">
        <v>0.75421060916102634</v>
      </c>
      <c r="AJ579">
        <v>7.0724050407445338E-2</v>
      </c>
      <c r="AK579">
        <v>2.5256555533902211E-2</v>
      </c>
      <c r="AL579">
        <v>0.74759850877339762</v>
      </c>
    </row>
    <row r="580" spans="1:38" x14ac:dyDescent="0.25">
      <c r="A580">
        <v>19</v>
      </c>
      <c r="B580" s="5" t="s">
        <v>16</v>
      </c>
      <c r="C580" s="6" t="s">
        <v>5</v>
      </c>
      <c r="D580" s="6" t="s">
        <v>56</v>
      </c>
      <c r="E580" s="29">
        <v>135673.20000000001</v>
      </c>
      <c r="F580" s="11">
        <v>21</v>
      </c>
      <c r="G580" s="11">
        <v>13</v>
      </c>
      <c r="H580" s="11">
        <f t="shared" si="128"/>
        <v>8</v>
      </c>
      <c r="I580" s="18">
        <v>1</v>
      </c>
      <c r="J580" s="19">
        <v>7.6246334310850442E-2</v>
      </c>
      <c r="K580" s="19">
        <v>-2.6</v>
      </c>
      <c r="L580" s="6">
        <v>2456508.25</v>
      </c>
      <c r="M580" s="7">
        <v>6389933</v>
      </c>
      <c r="N580" s="7">
        <v>6402737.5</v>
      </c>
      <c r="O580" s="7">
        <v>20364742</v>
      </c>
      <c r="P580" s="7">
        <v>23445.638671875</v>
      </c>
      <c r="Q580" s="7">
        <v>22885.265625</v>
      </c>
      <c r="R580" s="7">
        <v>9411154</v>
      </c>
      <c r="S580" s="7">
        <v>6051281</v>
      </c>
      <c r="T580" s="31">
        <f t="shared" si="129"/>
        <v>5112.2686654296876</v>
      </c>
      <c r="U580" s="37">
        <v>10409</v>
      </c>
      <c r="V580">
        <f t="shared" si="130"/>
        <v>0.49113927038425281</v>
      </c>
      <c r="W580">
        <f t="shared" si="127"/>
        <v>-4.9190608867302435E-2</v>
      </c>
      <c r="X580" s="29">
        <v>8996.2616666666672</v>
      </c>
      <c r="Y580">
        <f t="shared" ref="Y580:Y643" si="131">L580/$U580/10000</f>
        <v>2.3599848688634836E-2</v>
      </c>
      <c r="Z580">
        <f t="shared" si="119"/>
        <v>6.1388538764530702E-2</v>
      </c>
      <c r="AA580">
        <f t="shared" si="120"/>
        <v>6.1511552502641939E-2</v>
      </c>
      <c r="AB580">
        <f t="shared" si="121"/>
        <v>0.1956455183014699</v>
      </c>
      <c r="AC580">
        <f t="shared" si="122"/>
        <v>2.252439107683255E-4</v>
      </c>
      <c r="AD580">
        <f t="shared" si="123"/>
        <v>2.198603672302815E-4</v>
      </c>
      <c r="AE580">
        <f t="shared" si="124"/>
        <v>9.0413622826400225E-2</v>
      </c>
      <c r="AF580">
        <f t="shared" si="125"/>
        <v>5.8135085022576617E-2</v>
      </c>
      <c r="AG580">
        <f t="shared" ref="AG580:AG643" si="132">SUM(Y580:AF580)</f>
        <v>0.49113927038425281</v>
      </c>
      <c r="AH580">
        <v>0.38828239867045183</v>
      </c>
      <c r="AI580">
        <v>0.75421060916102634</v>
      </c>
      <c r="AJ580">
        <v>7.0724050407445338E-2</v>
      </c>
      <c r="AK580">
        <v>2.5256555533902211E-2</v>
      </c>
      <c r="AL580">
        <v>0.74759850877339762</v>
      </c>
    </row>
    <row r="581" spans="1:38" x14ac:dyDescent="0.25">
      <c r="A581">
        <v>19</v>
      </c>
      <c r="B581" s="5" t="s">
        <v>16</v>
      </c>
      <c r="C581" s="6" t="s">
        <v>5</v>
      </c>
      <c r="D581" s="6" t="s">
        <v>57</v>
      </c>
      <c r="E581" s="29">
        <v>135673.20000000001</v>
      </c>
      <c r="F581" s="11">
        <v>22</v>
      </c>
      <c r="G581" s="11">
        <v>13</v>
      </c>
      <c r="H581" s="11">
        <f t="shared" si="128"/>
        <v>9</v>
      </c>
      <c r="I581" s="18">
        <v>1</v>
      </c>
      <c r="J581" s="19">
        <v>7.6246334310850442E-2</v>
      </c>
      <c r="K581" s="19">
        <v>-2.6</v>
      </c>
      <c r="L581" s="6">
        <v>2434487</v>
      </c>
      <c r="M581" s="7">
        <v>6632453</v>
      </c>
      <c r="N581" s="7">
        <v>4074173</v>
      </c>
      <c r="O581" s="7">
        <v>23165924</v>
      </c>
      <c r="P581" s="7">
        <v>23445.638671875</v>
      </c>
      <c r="Q581" s="7">
        <v>66361.171875</v>
      </c>
      <c r="R581" s="7">
        <v>9768956</v>
      </c>
      <c r="S581" s="7">
        <v>6184274.5</v>
      </c>
      <c r="T581" s="31">
        <f t="shared" si="129"/>
        <v>5235.0074310546879</v>
      </c>
      <c r="U581" s="37">
        <v>10678.555555555555</v>
      </c>
      <c r="V581">
        <f t="shared" si="130"/>
        <v>0.49023553830097905</v>
      </c>
      <c r="W581">
        <f t="shared" si="127"/>
        <v>-1.8400729442113518E-3</v>
      </c>
      <c r="X581" s="29">
        <v>9509.5583333333343</v>
      </c>
      <c r="Y581">
        <f t="shared" si="131"/>
        <v>2.2797905459539889E-2</v>
      </c>
      <c r="Z581">
        <f t="shared" si="119"/>
        <v>6.2110020081783852E-2</v>
      </c>
      <c r="AA581">
        <f t="shared" si="120"/>
        <v>3.815284734722757E-2</v>
      </c>
      <c r="AB581">
        <f t="shared" si="121"/>
        <v>0.21693874119471007</v>
      </c>
      <c r="AC581">
        <f t="shared" si="122"/>
        <v>2.195581466978212E-4</v>
      </c>
      <c r="AD581">
        <f t="shared" si="123"/>
        <v>6.2144333594327163E-4</v>
      </c>
      <c r="AE581">
        <f t="shared" si="124"/>
        <v>9.1481998189517938E-2</v>
      </c>
      <c r="AF581">
        <f t="shared" si="125"/>
        <v>5.7913024545558599E-2</v>
      </c>
      <c r="AG581">
        <f t="shared" si="132"/>
        <v>0.49023553830097899</v>
      </c>
      <c r="AH581">
        <v>0.38828239867045183</v>
      </c>
      <c r="AI581">
        <v>0.75421060916102634</v>
      </c>
      <c r="AJ581">
        <v>7.0724050407445338E-2</v>
      </c>
      <c r="AK581">
        <v>2.5256555533902211E-2</v>
      </c>
      <c r="AL581">
        <v>0.74759850877339762</v>
      </c>
    </row>
    <row r="582" spans="1:38" x14ac:dyDescent="0.25">
      <c r="A582">
        <v>19</v>
      </c>
      <c r="B582" s="5" t="s">
        <v>16</v>
      </c>
      <c r="C582" s="6" t="s">
        <v>5</v>
      </c>
      <c r="D582" s="6" t="s">
        <v>58</v>
      </c>
      <c r="E582" s="29">
        <v>135673.20000000001</v>
      </c>
      <c r="F582" s="11">
        <v>23</v>
      </c>
      <c r="G582" s="11">
        <v>13</v>
      </c>
      <c r="H582" s="11">
        <f t="shared" si="128"/>
        <v>10</v>
      </c>
      <c r="I582" s="18">
        <v>1</v>
      </c>
      <c r="J582" s="19">
        <v>7.6246334310850442E-2</v>
      </c>
      <c r="K582" s="19">
        <v>-2.6</v>
      </c>
      <c r="L582" s="6">
        <v>2522672</v>
      </c>
      <c r="M582" s="7">
        <v>6738477.5</v>
      </c>
      <c r="N582" s="7">
        <v>2662874.5</v>
      </c>
      <c r="O582" s="7">
        <v>20954034</v>
      </c>
      <c r="P582" s="7">
        <v>23445.638671875</v>
      </c>
      <c r="Q582" s="7">
        <v>91420.75</v>
      </c>
      <c r="R582" s="7">
        <v>9919420</v>
      </c>
      <c r="S582" s="7">
        <v>6388804</v>
      </c>
      <c r="T582" s="31">
        <f t="shared" si="129"/>
        <v>4930.1148388671872</v>
      </c>
      <c r="U582" s="37">
        <v>10948.111111111109</v>
      </c>
      <c r="V582">
        <f t="shared" si="130"/>
        <v>0.45031647823373583</v>
      </c>
      <c r="W582">
        <f t="shared" si="127"/>
        <v>-8.1428327708741088E-2</v>
      </c>
      <c r="X582" s="29">
        <v>10022.855000000001</v>
      </c>
      <c r="Y582">
        <f t="shared" si="131"/>
        <v>2.3042075243826947E-2</v>
      </c>
      <c r="Z582">
        <f t="shared" si="119"/>
        <v>6.1549224625252461E-2</v>
      </c>
      <c r="AA582">
        <f t="shared" si="120"/>
        <v>2.43226842783636E-2</v>
      </c>
      <c r="AB582">
        <f t="shared" si="121"/>
        <v>0.19139405681345337</v>
      </c>
      <c r="AC582">
        <f t="shared" si="122"/>
        <v>2.1415236321524264E-4</v>
      </c>
      <c r="AD582">
        <f t="shared" si="123"/>
        <v>8.3503673896055143E-4</v>
      </c>
      <c r="AE582">
        <f t="shared" si="124"/>
        <v>9.0603939796819355E-2</v>
      </c>
      <c r="AF582">
        <f t="shared" si="125"/>
        <v>5.8355308373844311E-2</v>
      </c>
      <c r="AG582">
        <f t="shared" si="132"/>
        <v>0.45031647823373588</v>
      </c>
      <c r="AH582">
        <v>0.38828239867045183</v>
      </c>
      <c r="AI582">
        <v>0.75421060916102634</v>
      </c>
      <c r="AJ582">
        <v>7.0724050407445338E-2</v>
      </c>
      <c r="AK582">
        <v>2.5256555533902211E-2</v>
      </c>
      <c r="AL582">
        <v>0.74759850877339762</v>
      </c>
    </row>
    <row r="583" spans="1:38" x14ac:dyDescent="0.25">
      <c r="A583">
        <v>19</v>
      </c>
      <c r="B583" s="5" t="s">
        <v>16</v>
      </c>
      <c r="C583" s="6" t="s">
        <v>5</v>
      </c>
      <c r="D583" s="6" t="s">
        <v>59</v>
      </c>
      <c r="E583" s="29">
        <v>135673.20000000001</v>
      </c>
      <c r="F583" s="11">
        <v>24</v>
      </c>
      <c r="G583" s="11">
        <v>13</v>
      </c>
      <c r="H583" s="11">
        <f t="shared" si="128"/>
        <v>11</v>
      </c>
      <c r="I583" s="18">
        <v>1</v>
      </c>
      <c r="J583" s="19">
        <v>7.6246334310850442E-2</v>
      </c>
      <c r="K583" s="19">
        <v>-2.6</v>
      </c>
      <c r="L583" s="6">
        <v>2503003.5</v>
      </c>
      <c r="M583" s="7">
        <v>6665563</v>
      </c>
      <c r="N583" s="7">
        <v>1697112</v>
      </c>
      <c r="O583" s="7">
        <v>20816988</v>
      </c>
      <c r="P583" s="7">
        <v>23445.638671875</v>
      </c>
      <c r="Q583" s="7">
        <v>60059.703125</v>
      </c>
      <c r="R583" s="7">
        <v>9811305</v>
      </c>
      <c r="S583" s="7">
        <v>6346826</v>
      </c>
      <c r="T583" s="31">
        <f t="shared" si="129"/>
        <v>4792.4302841796871</v>
      </c>
      <c r="U583" s="37">
        <v>11217.666666666666</v>
      </c>
      <c r="V583">
        <f t="shared" si="130"/>
        <v>0.4272216697631433</v>
      </c>
      <c r="W583">
        <f t="shared" si="127"/>
        <v>-5.1285728119869554E-2</v>
      </c>
      <c r="X583" s="29">
        <v>10536.151666666668</v>
      </c>
      <c r="Y583">
        <f t="shared" si="131"/>
        <v>2.2313049356669539E-2</v>
      </c>
      <c r="Z583">
        <f t="shared" si="119"/>
        <v>5.9420227022850859E-2</v>
      </c>
      <c r="AA583">
        <f t="shared" si="120"/>
        <v>1.5128921641458416E-2</v>
      </c>
      <c r="AB583">
        <f t="shared" si="121"/>
        <v>0.18557324458443528</v>
      </c>
      <c r="AC583">
        <f t="shared" si="122"/>
        <v>2.0900637689247618E-4</v>
      </c>
      <c r="AD583">
        <f t="shared" si="123"/>
        <v>5.354028151279232E-4</v>
      </c>
      <c r="AE583">
        <f t="shared" si="124"/>
        <v>8.7462975069087456E-2</v>
      </c>
      <c r="AF583">
        <f t="shared" si="125"/>
        <v>5.6578842896621406E-2</v>
      </c>
      <c r="AG583">
        <f t="shared" si="132"/>
        <v>0.42722166976314335</v>
      </c>
      <c r="AH583">
        <v>0.38828239867045183</v>
      </c>
      <c r="AI583">
        <v>0.75421060916102634</v>
      </c>
      <c r="AJ583">
        <v>7.0724050407445338E-2</v>
      </c>
      <c r="AK583">
        <v>2.5256555533902211E-2</v>
      </c>
      <c r="AL583">
        <v>0.74759850877339762</v>
      </c>
    </row>
    <row r="584" spans="1:38" x14ac:dyDescent="0.25">
      <c r="A584">
        <v>19</v>
      </c>
      <c r="B584" s="5" t="s">
        <v>16</v>
      </c>
      <c r="C584" s="6" t="s">
        <v>5</v>
      </c>
      <c r="D584" s="6" t="s">
        <v>60</v>
      </c>
      <c r="E584" s="29">
        <v>135673.20000000001</v>
      </c>
      <c r="F584" s="11">
        <v>25</v>
      </c>
      <c r="G584" s="11">
        <v>13</v>
      </c>
      <c r="H584" s="11">
        <f t="shared" si="128"/>
        <v>12</v>
      </c>
      <c r="I584" s="18">
        <v>1</v>
      </c>
      <c r="J584" s="19">
        <v>7.6246334310850442E-2</v>
      </c>
      <c r="K584" s="19">
        <v>-2.6</v>
      </c>
      <c r="L584" s="6">
        <v>2498764</v>
      </c>
      <c r="M584" s="7">
        <v>6701030</v>
      </c>
      <c r="N584" s="7">
        <v>944124.5625</v>
      </c>
      <c r="O584" s="7">
        <v>21806446</v>
      </c>
      <c r="P584" s="7">
        <v>23445.638671875</v>
      </c>
      <c r="Q584" s="7">
        <v>29423.7890625</v>
      </c>
      <c r="R584" s="7">
        <v>9862701</v>
      </c>
      <c r="S584" s="7">
        <v>6164943</v>
      </c>
      <c r="T584" s="31">
        <f t="shared" si="129"/>
        <v>4803.0877990234376</v>
      </c>
      <c r="U584" s="37">
        <v>11320.555555555555</v>
      </c>
      <c r="V584">
        <f t="shared" si="130"/>
        <v>0.42428021976945518</v>
      </c>
      <c r="W584">
        <f t="shared" si="127"/>
        <v>-6.8850674061521526E-3</v>
      </c>
      <c r="X584" s="29">
        <v>11049.448333333334</v>
      </c>
      <c r="Y584">
        <f t="shared" si="131"/>
        <v>2.2072803651175345E-2</v>
      </c>
      <c r="Z584">
        <f t="shared" si="119"/>
        <v>5.919347303332189E-2</v>
      </c>
      <c r="AA584">
        <f t="shared" si="120"/>
        <v>8.3399136894537953E-3</v>
      </c>
      <c r="AB584">
        <f t="shared" si="121"/>
        <v>0.19262699514158121</v>
      </c>
      <c r="AC584">
        <f t="shared" si="122"/>
        <v>2.071067851468568E-4</v>
      </c>
      <c r="AD584">
        <f t="shared" si="123"/>
        <v>2.5991470929233941E-4</v>
      </c>
      <c r="AE584">
        <f t="shared" si="124"/>
        <v>8.7122058202875802E-2</v>
      </c>
      <c r="AF584">
        <f t="shared" si="125"/>
        <v>5.4457954556607943E-2</v>
      </c>
      <c r="AG584">
        <f t="shared" si="132"/>
        <v>0.42428021976945518</v>
      </c>
      <c r="AH584">
        <v>0.38828239867045183</v>
      </c>
      <c r="AI584">
        <v>0.75421060916102634</v>
      </c>
      <c r="AJ584">
        <v>7.0724050407445338E-2</v>
      </c>
      <c r="AK584">
        <v>2.5256555533902211E-2</v>
      </c>
      <c r="AL584">
        <v>0.74759850877339762</v>
      </c>
    </row>
    <row r="585" spans="1:38" x14ac:dyDescent="0.25">
      <c r="A585">
        <v>19</v>
      </c>
      <c r="B585" s="5" t="s">
        <v>16</v>
      </c>
      <c r="C585" s="6" t="s">
        <v>5</v>
      </c>
      <c r="D585" s="6" t="s">
        <v>61</v>
      </c>
      <c r="E585" s="29">
        <v>135673.20000000001</v>
      </c>
      <c r="F585" s="11">
        <v>26</v>
      </c>
      <c r="G585" s="11">
        <v>13</v>
      </c>
      <c r="H585" s="11">
        <f t="shared" si="128"/>
        <v>13</v>
      </c>
      <c r="I585" s="18">
        <v>1</v>
      </c>
      <c r="J585" s="19">
        <v>7.6246334310850442E-2</v>
      </c>
      <c r="K585" s="19">
        <v>-2.6</v>
      </c>
      <c r="L585" s="6">
        <v>2518628.5</v>
      </c>
      <c r="M585" s="7">
        <v>6436246</v>
      </c>
      <c r="N585" s="7">
        <v>702923.6875</v>
      </c>
      <c r="O585" s="7">
        <v>24528140</v>
      </c>
      <c r="P585" s="7">
        <v>23445.638671875</v>
      </c>
      <c r="Q585" s="7">
        <v>17707.09375</v>
      </c>
      <c r="R585" s="7">
        <v>9463455</v>
      </c>
      <c r="S585" s="7">
        <v>6051760</v>
      </c>
      <c r="T585" s="31">
        <f t="shared" si="129"/>
        <v>4974.2305919921873</v>
      </c>
      <c r="U585" s="37">
        <v>11423.444444444445</v>
      </c>
      <c r="V585">
        <f t="shared" si="130"/>
        <v>0.43544052025493074</v>
      </c>
      <c r="W585">
        <f t="shared" si="127"/>
        <v>2.6304079156788947E-2</v>
      </c>
      <c r="X585" s="29">
        <v>11562.745000000001</v>
      </c>
      <c r="Y585">
        <f t="shared" si="131"/>
        <v>2.2047890303566738E-2</v>
      </c>
      <c r="Z585">
        <f t="shared" si="119"/>
        <v>5.6342428339380024E-2</v>
      </c>
      <c r="AA585">
        <f t="shared" si="120"/>
        <v>6.1533427235412547E-3</v>
      </c>
      <c r="AB585">
        <f t="shared" si="121"/>
        <v>0.21471754967853632</v>
      </c>
      <c r="AC585">
        <f t="shared" si="122"/>
        <v>2.0524141195677018E-4</v>
      </c>
      <c r="AD585">
        <f t="shared" si="123"/>
        <v>1.5500660799914405E-4</v>
      </c>
      <c r="AE585">
        <f t="shared" si="124"/>
        <v>8.2842395268988719E-2</v>
      </c>
      <c r="AF585">
        <f t="shared" si="125"/>
        <v>5.2976665920961764E-2</v>
      </c>
      <c r="AG585">
        <f t="shared" si="132"/>
        <v>0.4354405202549308</v>
      </c>
      <c r="AH585">
        <v>0.38828239867045183</v>
      </c>
      <c r="AI585">
        <v>0.75421060916102634</v>
      </c>
      <c r="AJ585">
        <v>7.0724050407445338E-2</v>
      </c>
      <c r="AK585">
        <v>2.5256555533902211E-2</v>
      </c>
      <c r="AL585">
        <v>0.74759850877339762</v>
      </c>
    </row>
    <row r="586" spans="1:38" x14ac:dyDescent="0.25">
      <c r="A586">
        <v>19</v>
      </c>
      <c r="B586" s="5" t="s">
        <v>16</v>
      </c>
      <c r="C586" s="6" t="s">
        <v>5</v>
      </c>
      <c r="D586" s="6" t="s">
        <v>62</v>
      </c>
      <c r="E586" s="29">
        <v>135673.20000000001</v>
      </c>
      <c r="F586" s="11">
        <v>27</v>
      </c>
      <c r="G586" s="11">
        <v>13</v>
      </c>
      <c r="H586" s="11">
        <f t="shared" si="128"/>
        <v>14</v>
      </c>
      <c r="I586" s="18">
        <v>1</v>
      </c>
      <c r="J586" s="19">
        <v>7.6246334310850442E-2</v>
      </c>
      <c r="K586" s="19">
        <v>-2.6</v>
      </c>
      <c r="L586" s="6">
        <v>2452035.5</v>
      </c>
      <c r="M586" s="7">
        <v>6253294</v>
      </c>
      <c r="N586" s="7">
        <v>781283.375</v>
      </c>
      <c r="O586" s="7">
        <v>26101404</v>
      </c>
      <c r="P586" s="7">
        <v>23445.638671875</v>
      </c>
      <c r="Q586" s="7">
        <v>24762.685546875</v>
      </c>
      <c r="R586" s="7">
        <v>9188527</v>
      </c>
      <c r="S586" s="7">
        <v>6110917</v>
      </c>
      <c r="T586" s="31">
        <f t="shared" si="129"/>
        <v>5093.5669199218746</v>
      </c>
      <c r="U586" s="37">
        <v>11526.333333333334</v>
      </c>
      <c r="V586">
        <f t="shared" si="130"/>
        <v>0.44190695970865623</v>
      </c>
      <c r="W586">
        <f t="shared" si="127"/>
        <v>1.4850339260893047E-2</v>
      </c>
      <c r="X586" s="29">
        <v>12076.041666666668</v>
      </c>
      <c r="Y586">
        <f t="shared" si="131"/>
        <v>2.127333497209289E-2</v>
      </c>
      <c r="Z586">
        <f t="shared" si="119"/>
        <v>5.425223979872177E-2</v>
      </c>
      <c r="AA586">
        <f t="shared" si="120"/>
        <v>6.7782472743572681E-3</v>
      </c>
      <c r="AB586">
        <f t="shared" si="121"/>
        <v>0.2264501923132537</v>
      </c>
      <c r="AC586">
        <f t="shared" si="122"/>
        <v>2.0340934097465223E-4</v>
      </c>
      <c r="AD586">
        <f t="shared" si="123"/>
        <v>2.1483575765818847E-4</v>
      </c>
      <c r="AE586">
        <f t="shared" si="124"/>
        <v>7.9717692819341213E-2</v>
      </c>
      <c r="AF586">
        <f t="shared" si="125"/>
        <v>5.3017007432256569E-2</v>
      </c>
      <c r="AG586">
        <f t="shared" si="132"/>
        <v>0.44190695970865623</v>
      </c>
      <c r="AH586">
        <v>0.38828239867045183</v>
      </c>
      <c r="AI586">
        <v>0.75421060916102634</v>
      </c>
      <c r="AJ586">
        <v>7.0724050407445338E-2</v>
      </c>
      <c r="AK586">
        <v>2.5256555533902211E-2</v>
      </c>
      <c r="AL586">
        <v>0.74759850877339762</v>
      </c>
    </row>
    <row r="587" spans="1:38" x14ac:dyDescent="0.25">
      <c r="A587">
        <v>19</v>
      </c>
      <c r="B587" s="5" t="s">
        <v>16</v>
      </c>
      <c r="C587" s="6" t="s">
        <v>5</v>
      </c>
      <c r="D587" s="6" t="s">
        <v>63</v>
      </c>
      <c r="E587" s="29">
        <v>135673.20000000001</v>
      </c>
      <c r="F587" s="11">
        <v>28</v>
      </c>
      <c r="G587" s="11">
        <v>13</v>
      </c>
      <c r="H587" s="11">
        <f t="shared" si="128"/>
        <v>15</v>
      </c>
      <c r="I587" s="18">
        <v>1</v>
      </c>
      <c r="J587" s="19">
        <v>7.6246334310850442E-2</v>
      </c>
      <c r="K587" s="19">
        <v>-2.6</v>
      </c>
      <c r="L587" s="6">
        <v>2431905.5</v>
      </c>
      <c r="M587" s="7">
        <v>6525276.5</v>
      </c>
      <c r="N587" s="7">
        <v>1402447</v>
      </c>
      <c r="O587" s="7">
        <v>22787680</v>
      </c>
      <c r="P587" s="7">
        <v>23445.638671875</v>
      </c>
      <c r="Q587" s="7">
        <v>68202.4296875</v>
      </c>
      <c r="R587" s="7">
        <v>9595354</v>
      </c>
      <c r="S587" s="7">
        <v>6209267</v>
      </c>
      <c r="T587" s="31">
        <f t="shared" si="129"/>
        <v>4904.3578068359375</v>
      </c>
      <c r="U587" s="37">
        <v>11956</v>
      </c>
      <c r="V587">
        <f t="shared" si="130"/>
        <v>0.4102005525958462</v>
      </c>
      <c r="W587">
        <f t="shared" si="127"/>
        <v>-7.1749055805126194E-2</v>
      </c>
      <c r="X587" s="29">
        <v>12589.338333333333</v>
      </c>
      <c r="Y587">
        <f t="shared" si="131"/>
        <v>2.0340460856473737E-2</v>
      </c>
      <c r="Z587">
        <f t="shared" si="119"/>
        <v>5.457742137838742E-2</v>
      </c>
      <c r="AA587">
        <f t="shared" si="120"/>
        <v>1.1730068584810974E-2</v>
      </c>
      <c r="AB587">
        <f t="shared" si="121"/>
        <v>0.19059618601538975</v>
      </c>
      <c r="AC587">
        <f t="shared" si="122"/>
        <v>1.9609935322745901E-4</v>
      </c>
      <c r="AD587">
        <f t="shared" si="123"/>
        <v>5.7044521317748407E-4</v>
      </c>
      <c r="AE587">
        <f t="shared" si="124"/>
        <v>8.0255553696888596E-2</v>
      </c>
      <c r="AF587">
        <f t="shared" si="125"/>
        <v>5.1934317497490806E-2</v>
      </c>
      <c r="AG587">
        <f t="shared" si="132"/>
        <v>0.4102005525958462</v>
      </c>
      <c r="AH587">
        <v>0.38828239867045183</v>
      </c>
      <c r="AI587">
        <v>0.75421060916102634</v>
      </c>
      <c r="AJ587">
        <v>7.0724050407445338E-2</v>
      </c>
      <c r="AK587">
        <v>2.5256555533902211E-2</v>
      </c>
      <c r="AL587">
        <v>0.74759850877339762</v>
      </c>
    </row>
    <row r="588" spans="1:38" x14ac:dyDescent="0.25">
      <c r="A588">
        <v>19</v>
      </c>
      <c r="B588" s="5" t="s">
        <v>16</v>
      </c>
      <c r="C588" s="6" t="s">
        <v>5</v>
      </c>
      <c r="D588" s="6" t="s">
        <v>64</v>
      </c>
      <c r="E588" s="29">
        <v>135673.20000000001</v>
      </c>
      <c r="F588" s="11">
        <v>29</v>
      </c>
      <c r="G588" s="11">
        <v>13</v>
      </c>
      <c r="H588" s="11">
        <f t="shared" si="128"/>
        <v>16</v>
      </c>
      <c r="I588" s="18">
        <v>1</v>
      </c>
      <c r="J588" s="19">
        <v>7.6246334310850442E-2</v>
      </c>
      <c r="K588" s="19">
        <v>-2.6</v>
      </c>
      <c r="L588" s="6">
        <v>2522123.5</v>
      </c>
      <c r="M588" s="7">
        <v>6714334</v>
      </c>
      <c r="N588" s="7">
        <v>3193700.25</v>
      </c>
      <c r="O588" s="7">
        <v>22425882</v>
      </c>
      <c r="P588" s="7">
        <v>23445.638671875</v>
      </c>
      <c r="Q588" s="7">
        <v>94112.65625</v>
      </c>
      <c r="R588" s="7">
        <v>9879837</v>
      </c>
      <c r="S588" s="7">
        <v>6415342</v>
      </c>
      <c r="T588" s="31">
        <f t="shared" si="129"/>
        <v>5126.8777044921871</v>
      </c>
      <c r="U588" s="37">
        <v>12385.666666666666</v>
      </c>
      <c r="V588">
        <f t="shared" si="130"/>
        <v>0.41393635421257263</v>
      </c>
      <c r="W588">
        <f t="shared" si="127"/>
        <v>9.1072564214879619E-3</v>
      </c>
      <c r="X588" s="29">
        <v>13102.635</v>
      </c>
      <c r="Y588">
        <f t="shared" si="131"/>
        <v>2.0363243803321045E-2</v>
      </c>
      <c r="Z588">
        <f t="shared" si="119"/>
        <v>5.421051753370832E-2</v>
      </c>
      <c r="AA588">
        <f t="shared" si="120"/>
        <v>2.578545294291789E-2</v>
      </c>
      <c r="AB588">
        <f t="shared" si="121"/>
        <v>0.18106318055817211</v>
      </c>
      <c r="AC588">
        <f t="shared" si="122"/>
        <v>1.8929654174348038E-4</v>
      </c>
      <c r="AD588">
        <f t="shared" si="123"/>
        <v>7.5985135707941982E-4</v>
      </c>
      <c r="AE588">
        <f t="shared" si="124"/>
        <v>7.976831014344539E-2</v>
      </c>
      <c r="AF588">
        <f t="shared" si="125"/>
        <v>5.1796501332185052E-2</v>
      </c>
      <c r="AG588">
        <f t="shared" si="132"/>
        <v>0.41393635421257269</v>
      </c>
      <c r="AH588">
        <v>0.38828239867045183</v>
      </c>
      <c r="AI588">
        <v>0.75421060916102634</v>
      </c>
      <c r="AJ588">
        <v>7.0724050407445338E-2</v>
      </c>
      <c r="AK588">
        <v>2.5256555533902211E-2</v>
      </c>
      <c r="AL588">
        <v>0.74759850877339762</v>
      </c>
    </row>
    <row r="589" spans="1:38" x14ac:dyDescent="0.25">
      <c r="A589">
        <v>19</v>
      </c>
      <c r="B589" s="5" t="s">
        <v>16</v>
      </c>
      <c r="C589" s="6" t="s">
        <v>5</v>
      </c>
      <c r="D589" s="6" t="s">
        <v>65</v>
      </c>
      <c r="E589" s="29">
        <v>135673.20000000001</v>
      </c>
      <c r="F589" s="11">
        <v>30</v>
      </c>
      <c r="G589" s="11">
        <v>13</v>
      </c>
      <c r="H589" s="11">
        <f t="shared" si="128"/>
        <v>17</v>
      </c>
      <c r="I589" s="18">
        <v>1</v>
      </c>
      <c r="J589" s="19">
        <v>7.6246334310850442E-2</v>
      </c>
      <c r="K589" s="19">
        <v>-2.6</v>
      </c>
      <c r="L589" s="6">
        <v>2505002</v>
      </c>
      <c r="M589" s="7">
        <v>6688302</v>
      </c>
      <c r="N589" s="7">
        <v>4719817</v>
      </c>
      <c r="O589" s="7">
        <v>23952552</v>
      </c>
      <c r="P589" s="7">
        <v>23445.638671875</v>
      </c>
      <c r="Q589" s="7">
        <v>62215.7109375</v>
      </c>
      <c r="R589" s="7">
        <v>9851580</v>
      </c>
      <c r="S589" s="7">
        <v>6334387</v>
      </c>
      <c r="T589" s="31">
        <f t="shared" si="129"/>
        <v>5413.7301349609379</v>
      </c>
      <c r="U589" s="37">
        <v>12815.333333333334</v>
      </c>
      <c r="V589">
        <f t="shared" si="130"/>
        <v>0.422441616940197</v>
      </c>
      <c r="W589">
        <f t="shared" si="127"/>
        <v>2.0547271678526151E-2</v>
      </c>
      <c r="X589" s="29">
        <v>13615.931666666667</v>
      </c>
      <c r="Y589">
        <f t="shared" si="131"/>
        <v>1.954691255267128E-2</v>
      </c>
      <c r="Z589">
        <f t="shared" si="119"/>
        <v>5.2189840295479371E-2</v>
      </c>
      <c r="AA589">
        <f t="shared" si="120"/>
        <v>3.6829451698486185E-2</v>
      </c>
      <c r="AB589">
        <f t="shared" si="121"/>
        <v>0.18690541538781669</v>
      </c>
      <c r="AC589">
        <f t="shared" si="122"/>
        <v>1.8294989339755761E-4</v>
      </c>
      <c r="AD589">
        <f t="shared" si="123"/>
        <v>4.8547867869869421E-4</v>
      </c>
      <c r="AE589">
        <f t="shared" si="124"/>
        <v>7.6873380845861719E-2</v>
      </c>
      <c r="AF589">
        <f t="shared" si="125"/>
        <v>4.9428187587785465E-2</v>
      </c>
      <c r="AG589">
        <f t="shared" si="132"/>
        <v>0.42244161694019694</v>
      </c>
      <c r="AH589">
        <v>0.38828239867045183</v>
      </c>
      <c r="AI589">
        <v>0.75421060916102634</v>
      </c>
      <c r="AJ589">
        <v>7.0724050407445338E-2</v>
      </c>
      <c r="AK589">
        <v>2.5256555533902211E-2</v>
      </c>
      <c r="AL589">
        <v>0.74759850877339762</v>
      </c>
    </row>
    <row r="590" spans="1:38" x14ac:dyDescent="0.25">
      <c r="A590">
        <v>19</v>
      </c>
      <c r="B590" s="5" t="s">
        <v>16</v>
      </c>
      <c r="C590" s="6" t="s">
        <v>5</v>
      </c>
      <c r="D590" s="6" t="s">
        <v>66</v>
      </c>
      <c r="E590" s="29">
        <v>135673.20000000001</v>
      </c>
      <c r="F590" s="11">
        <v>31</v>
      </c>
      <c r="G590" s="11">
        <v>13</v>
      </c>
      <c r="H590" s="11">
        <f t="shared" si="128"/>
        <v>18</v>
      </c>
      <c r="I590" s="18">
        <v>1</v>
      </c>
      <c r="J590" s="19">
        <v>7.6246334310850442E-2</v>
      </c>
      <c r="K590" s="19">
        <v>-2.6</v>
      </c>
      <c r="L590" s="6">
        <v>2503699</v>
      </c>
      <c r="M590" s="7">
        <v>6747730</v>
      </c>
      <c r="N590" s="7">
        <v>7270853</v>
      </c>
      <c r="O590" s="7">
        <v>26718104</v>
      </c>
      <c r="P590" s="7">
        <v>23456.89453125</v>
      </c>
      <c r="Q590" s="7">
        <v>28802.6875</v>
      </c>
      <c r="R590" s="7">
        <v>9945823</v>
      </c>
      <c r="S590" s="7">
        <v>6117073</v>
      </c>
      <c r="T590" s="31">
        <f t="shared" si="129"/>
        <v>5935.5541582031246</v>
      </c>
      <c r="U590" s="37">
        <v>13245.000000000002</v>
      </c>
      <c r="V590">
        <f t="shared" si="130"/>
        <v>0.44813545928298404</v>
      </c>
      <c r="W590">
        <f t="shared" si="127"/>
        <v>6.0822232735711725E-2</v>
      </c>
      <c r="X590" s="29">
        <v>14129.228333333333</v>
      </c>
      <c r="Y590">
        <f t="shared" si="131"/>
        <v>1.8902974707436765E-2</v>
      </c>
      <c r="Z590">
        <f t="shared" si="119"/>
        <v>5.0945488863722153E-2</v>
      </c>
      <c r="AA590">
        <f t="shared" si="120"/>
        <v>5.4895077387693461E-2</v>
      </c>
      <c r="AB590">
        <f t="shared" si="121"/>
        <v>0.20172218950547374</v>
      </c>
      <c r="AC590">
        <f t="shared" si="122"/>
        <v>1.7709999646092862E-4</v>
      </c>
      <c r="AD590">
        <f t="shared" si="123"/>
        <v>2.1746083427708567E-4</v>
      </c>
      <c r="AE590">
        <f t="shared" si="124"/>
        <v>7.5091151377878432E-2</v>
      </c>
      <c r="AF590">
        <f t="shared" si="125"/>
        <v>4.6184016610041519E-2</v>
      </c>
      <c r="AG590">
        <f t="shared" si="132"/>
        <v>0.44813545928298409</v>
      </c>
      <c r="AH590">
        <v>0.38828239867045183</v>
      </c>
      <c r="AI590">
        <v>0.75421060916102634</v>
      </c>
      <c r="AJ590">
        <v>7.0724050407445338E-2</v>
      </c>
      <c r="AK590">
        <v>2.5256555533902211E-2</v>
      </c>
      <c r="AL590">
        <v>0.74759850877339762</v>
      </c>
    </row>
    <row r="591" spans="1:38" x14ac:dyDescent="0.25">
      <c r="A591">
        <v>20</v>
      </c>
      <c r="B591" s="5" t="s">
        <v>17</v>
      </c>
      <c r="C591" s="6" t="s">
        <v>5</v>
      </c>
      <c r="D591" s="6" t="s">
        <v>36</v>
      </c>
      <c r="E591" s="28">
        <v>24740.86</v>
      </c>
      <c r="F591" s="11">
        <v>1</v>
      </c>
      <c r="G591" s="11">
        <v>19</v>
      </c>
      <c r="H591" s="18">
        <f t="shared" si="128"/>
        <v>-18</v>
      </c>
      <c r="I591" s="18">
        <v>1</v>
      </c>
      <c r="J591" s="19">
        <v>0.64662756598240467</v>
      </c>
      <c r="K591" s="19">
        <v>3.3</v>
      </c>
      <c r="L591" s="14">
        <v>6097937</v>
      </c>
      <c r="M591" s="14">
        <v>7820776</v>
      </c>
      <c r="N591" s="14">
        <v>1679651.875</v>
      </c>
      <c r="O591" s="14">
        <v>8881372</v>
      </c>
      <c r="P591" s="14">
        <v>5729.68701171875</v>
      </c>
      <c r="Q591" s="16">
        <v>45326.94921875</v>
      </c>
      <c r="R591" s="16">
        <v>464174.40625</v>
      </c>
      <c r="S591" s="16">
        <v>2466181.5</v>
      </c>
      <c r="T591" s="31">
        <f t="shared" si="129"/>
        <v>2746.1149417480469</v>
      </c>
      <c r="U591" s="37"/>
      <c r="X591" s="28">
        <v>1972.0816666666667</v>
      </c>
      <c r="Y591" t="e">
        <f t="shared" si="131"/>
        <v>#DIV/0!</v>
      </c>
      <c r="Z591" t="e">
        <f t="shared" si="119"/>
        <v>#DIV/0!</v>
      </c>
      <c r="AA591" t="e">
        <f t="shared" si="120"/>
        <v>#DIV/0!</v>
      </c>
      <c r="AB591" t="e">
        <f t="shared" si="121"/>
        <v>#DIV/0!</v>
      </c>
      <c r="AC591" t="e">
        <f t="shared" si="122"/>
        <v>#DIV/0!</v>
      </c>
      <c r="AD591" t="e">
        <f t="shared" si="123"/>
        <v>#DIV/0!</v>
      </c>
      <c r="AE591" t="e">
        <f t="shared" si="124"/>
        <v>#DIV/0!</v>
      </c>
      <c r="AF591" t="e">
        <f t="shared" si="125"/>
        <v>#DIV/0!</v>
      </c>
      <c r="AG591" t="e">
        <f t="shared" si="132"/>
        <v>#DIV/0!</v>
      </c>
      <c r="AH591">
        <v>0.34450298009042529</v>
      </c>
      <c r="AI591">
        <v>0.55072463768115942</v>
      </c>
      <c r="AJ591">
        <v>2.1198959622231763E-2</v>
      </c>
      <c r="AK591">
        <v>5.5383644707580901E-3</v>
      </c>
      <c r="AL591">
        <v>0.31002111412304056</v>
      </c>
    </row>
    <row r="592" spans="1:38" x14ac:dyDescent="0.25">
      <c r="A592">
        <v>20</v>
      </c>
      <c r="B592" s="5" t="s">
        <v>17</v>
      </c>
      <c r="C592" s="6" t="s">
        <v>5</v>
      </c>
      <c r="D592" s="6" t="s">
        <v>37</v>
      </c>
      <c r="E592" s="28">
        <v>24740.86</v>
      </c>
      <c r="F592" s="11">
        <v>2</v>
      </c>
      <c r="G592" s="11">
        <v>19</v>
      </c>
      <c r="H592" s="11">
        <f t="shared" si="128"/>
        <v>-17</v>
      </c>
      <c r="I592" s="18">
        <v>1</v>
      </c>
      <c r="J592" s="19">
        <v>0.64662756598240467</v>
      </c>
      <c r="K592" s="19">
        <v>3.3</v>
      </c>
      <c r="L592" s="6">
        <v>6623561.5</v>
      </c>
      <c r="M592" s="6">
        <v>7506888</v>
      </c>
      <c r="N592" s="6">
        <v>1679656.875</v>
      </c>
      <c r="O592" s="6">
        <v>8527703</v>
      </c>
      <c r="P592" s="6">
        <v>5729.68701171875</v>
      </c>
      <c r="Q592" s="7">
        <v>27471.591796875</v>
      </c>
      <c r="R592" s="7">
        <v>470492.71875</v>
      </c>
      <c r="S592" s="7">
        <v>2424375.25</v>
      </c>
      <c r="T592" s="31">
        <f t="shared" si="129"/>
        <v>2726.5878622558594</v>
      </c>
      <c r="U592" s="37">
        <v>2110.5</v>
      </c>
      <c r="V592">
        <f t="shared" si="130"/>
        <v>1.2919155945301395</v>
      </c>
      <c r="W592" t="e">
        <f>(V592-V591)/V591</f>
        <v>#DIV/0!</v>
      </c>
      <c r="X592" s="28">
        <v>2229.4333333333334</v>
      </c>
      <c r="Y592">
        <f t="shared" si="131"/>
        <v>0.31383849798625918</v>
      </c>
      <c r="Z592">
        <f t="shared" si="119"/>
        <v>0.35569239516702206</v>
      </c>
      <c r="AA592">
        <f t="shared" si="120"/>
        <v>7.9585732054015632E-2</v>
      </c>
      <c r="AB592">
        <f t="shared" si="121"/>
        <v>0.40406079128168682</v>
      </c>
      <c r="AC592">
        <f t="shared" si="122"/>
        <v>2.7148481458037196E-4</v>
      </c>
      <c r="AD592">
        <f t="shared" si="123"/>
        <v>1.3016627243248047E-3</v>
      </c>
      <c r="AE592">
        <f t="shared" si="124"/>
        <v>2.2292950426439233E-2</v>
      </c>
      <c r="AF592">
        <f t="shared" si="125"/>
        <v>0.11487208007581141</v>
      </c>
      <c r="AG592">
        <f t="shared" si="132"/>
        <v>1.2919155945301395</v>
      </c>
      <c r="AH592">
        <v>0.34450298009042529</v>
      </c>
      <c r="AI592">
        <v>0.55072463768115942</v>
      </c>
      <c r="AJ592">
        <v>2.1198959622231763E-2</v>
      </c>
      <c r="AK592">
        <v>5.5383644707580901E-3</v>
      </c>
      <c r="AL592">
        <v>0.31002111412304056</v>
      </c>
    </row>
    <row r="593" spans="1:38" x14ac:dyDescent="0.25">
      <c r="A593">
        <v>20</v>
      </c>
      <c r="B593" s="5" t="s">
        <v>17</v>
      </c>
      <c r="C593" s="6" t="s">
        <v>5</v>
      </c>
      <c r="D593" s="6" t="s">
        <v>38</v>
      </c>
      <c r="E593" s="28">
        <v>24740.86</v>
      </c>
      <c r="F593" s="11">
        <v>3</v>
      </c>
      <c r="G593" s="11">
        <v>19</v>
      </c>
      <c r="H593" s="11">
        <f t="shared" si="128"/>
        <v>-16</v>
      </c>
      <c r="I593" s="18">
        <v>1</v>
      </c>
      <c r="J593" s="19">
        <v>0.64662756598240467</v>
      </c>
      <c r="K593" s="19">
        <v>3.3</v>
      </c>
      <c r="L593" s="6">
        <v>6620985</v>
      </c>
      <c r="M593" s="6">
        <v>7289707</v>
      </c>
      <c r="N593" s="6">
        <v>1679666.125</v>
      </c>
      <c r="O593" s="6">
        <v>8287279.5</v>
      </c>
      <c r="P593" s="6">
        <v>5729.68701171875</v>
      </c>
      <c r="Q593" s="7">
        <v>38366.51171875</v>
      </c>
      <c r="R593" s="7">
        <v>449434.9375</v>
      </c>
      <c r="S593" s="7">
        <v>2445453</v>
      </c>
      <c r="T593" s="31">
        <f t="shared" si="129"/>
        <v>2681.6621761230467</v>
      </c>
      <c r="U593" s="37">
        <v>2117</v>
      </c>
      <c r="V593">
        <f t="shared" si="130"/>
        <v>1.2667275276915666</v>
      </c>
      <c r="W593">
        <f t="shared" ref="W593:W621" si="133">(V593-V592)/V592</f>
        <v>-1.9496681474561506E-2</v>
      </c>
      <c r="X593" s="28">
        <v>2486.7849999999999</v>
      </c>
      <c r="Y593">
        <f t="shared" si="131"/>
        <v>0.31275318847425604</v>
      </c>
      <c r="Z593">
        <f t="shared" si="119"/>
        <v>0.34434137931034486</v>
      </c>
      <c r="AA593">
        <f t="shared" si="120"/>
        <v>7.9341810344827582E-2</v>
      </c>
      <c r="AB593">
        <f t="shared" si="121"/>
        <v>0.39146336797354747</v>
      </c>
      <c r="AC593">
        <f t="shared" si="122"/>
        <v>2.7065125232492913E-4</v>
      </c>
      <c r="AD593">
        <f t="shared" si="123"/>
        <v>1.8123057023500238E-3</v>
      </c>
      <c r="AE593">
        <f t="shared" si="124"/>
        <v>2.1229803377420878E-2</v>
      </c>
      <c r="AF593">
        <f t="shared" si="125"/>
        <v>0.11551502125649504</v>
      </c>
      <c r="AG593">
        <f t="shared" si="132"/>
        <v>1.266727527691567</v>
      </c>
      <c r="AH593">
        <v>0.34450298009042529</v>
      </c>
      <c r="AI593">
        <v>0.55072463768115942</v>
      </c>
      <c r="AJ593">
        <v>2.1198959622231763E-2</v>
      </c>
      <c r="AK593">
        <v>5.5383644707580901E-3</v>
      </c>
      <c r="AL593">
        <v>0.31002111412304056</v>
      </c>
    </row>
    <row r="594" spans="1:38" x14ac:dyDescent="0.25">
      <c r="A594">
        <v>20</v>
      </c>
      <c r="B594" s="5" t="s">
        <v>17</v>
      </c>
      <c r="C594" s="6" t="s">
        <v>5</v>
      </c>
      <c r="D594" s="6" t="s">
        <v>39</v>
      </c>
      <c r="E594" s="28">
        <v>24740.86</v>
      </c>
      <c r="F594" s="11">
        <v>4</v>
      </c>
      <c r="G594" s="11">
        <v>19</v>
      </c>
      <c r="H594" s="11">
        <f t="shared" si="128"/>
        <v>-15</v>
      </c>
      <c r="I594" s="18">
        <v>1</v>
      </c>
      <c r="J594" s="19">
        <v>0.64662756598240467</v>
      </c>
      <c r="K594" s="19">
        <v>3.3</v>
      </c>
      <c r="L594" s="6">
        <v>6292899</v>
      </c>
      <c r="M594" s="6">
        <v>7609908</v>
      </c>
      <c r="N594" s="6">
        <v>1679658.75</v>
      </c>
      <c r="O594" s="6">
        <v>8648108</v>
      </c>
      <c r="P594" s="6">
        <v>5729.68701171875</v>
      </c>
      <c r="Q594" s="7">
        <v>105129.78125</v>
      </c>
      <c r="R594" s="7">
        <v>442958.84375</v>
      </c>
      <c r="S594" s="7">
        <v>2481632.5</v>
      </c>
      <c r="T594" s="31">
        <f t="shared" si="129"/>
        <v>2726.6024562011717</v>
      </c>
      <c r="U594" s="37">
        <v>2190.4444444444448</v>
      </c>
      <c r="V594">
        <f t="shared" si="130"/>
        <v>1.2447713353865548</v>
      </c>
      <c r="W594">
        <f t="shared" si="133"/>
        <v>-1.7333003211056654E-2</v>
      </c>
      <c r="X594" s="28">
        <v>2744.1366666666668</v>
      </c>
      <c r="Y594">
        <f t="shared" si="131"/>
        <v>0.28728868316932127</v>
      </c>
      <c r="Z594">
        <f t="shared" ref="Z594:Z657" si="134">M594/$U594/10000</f>
        <v>0.34741387846200666</v>
      </c>
      <c r="AA594">
        <f t="shared" ref="AA594:AA657" si="135">N594/$U594/10000</f>
        <v>7.6681184691082468E-2</v>
      </c>
      <c r="AB594">
        <f t="shared" ref="AB594:AB657" si="136">O594/$U594/10000</f>
        <v>0.39481065232829454</v>
      </c>
      <c r="AC594">
        <f t="shared" ref="AC594:AC657" si="137">P594/$U594/10000</f>
        <v>2.6157645888946301E-4</v>
      </c>
      <c r="AD594">
        <f t="shared" ref="AD594:AD657" si="138">Q594/$U594/10000</f>
        <v>4.799472614639342E-3</v>
      </c>
      <c r="AE594">
        <f t="shared" ref="AE594:AE657" si="139">R594/$U594/10000</f>
        <v>2.0222327248402148E-2</v>
      </c>
      <c r="AF594">
        <f t="shared" ref="AF594:AF657" si="140">S594/$U594/10000</f>
        <v>0.11329356041391903</v>
      </c>
      <c r="AG594">
        <f t="shared" si="132"/>
        <v>1.244771335386555</v>
      </c>
      <c r="AH594">
        <v>0.34450298009042529</v>
      </c>
      <c r="AI594">
        <v>0.55072463768115942</v>
      </c>
      <c r="AJ594">
        <v>2.1198959622231763E-2</v>
      </c>
      <c r="AK594">
        <v>5.5383644707580901E-3</v>
      </c>
      <c r="AL594">
        <v>0.31002111412304056</v>
      </c>
    </row>
    <row r="595" spans="1:38" x14ac:dyDescent="0.25">
      <c r="A595">
        <v>20</v>
      </c>
      <c r="B595" s="5" t="s">
        <v>17</v>
      </c>
      <c r="C595" s="6" t="s">
        <v>5</v>
      </c>
      <c r="D595" s="6" t="s">
        <v>40</v>
      </c>
      <c r="E595" s="28">
        <v>24740.86</v>
      </c>
      <c r="F595" s="11">
        <v>5</v>
      </c>
      <c r="G595" s="11">
        <v>19</v>
      </c>
      <c r="H595" s="11">
        <f t="shared" si="128"/>
        <v>-14</v>
      </c>
      <c r="I595" s="18">
        <v>1</v>
      </c>
      <c r="J595" s="19">
        <v>0.64662756598240467</v>
      </c>
      <c r="K595" s="19">
        <v>3.3</v>
      </c>
      <c r="L595" s="6">
        <v>7131150.5</v>
      </c>
      <c r="M595" s="6">
        <v>7834958</v>
      </c>
      <c r="N595" s="6">
        <v>1680065.5</v>
      </c>
      <c r="O595" s="6">
        <v>8892380</v>
      </c>
      <c r="P595" s="6">
        <v>5729.68701171875</v>
      </c>
      <c r="Q595" s="7">
        <v>145092.6875</v>
      </c>
      <c r="R595" s="7">
        <v>471297.40625</v>
      </c>
      <c r="S595" s="7">
        <v>2555158.25</v>
      </c>
      <c r="T595" s="31">
        <f t="shared" si="129"/>
        <v>2871.5832030761717</v>
      </c>
      <c r="U595" s="37">
        <v>2263.8888888888891</v>
      </c>
      <c r="V595">
        <f t="shared" si="130"/>
        <v>1.2684293903158548</v>
      </c>
      <c r="W595">
        <f t="shared" si="133"/>
        <v>1.9005944511047979E-2</v>
      </c>
      <c r="X595" s="28">
        <v>3001.4883333333332</v>
      </c>
      <c r="Y595">
        <f t="shared" si="131"/>
        <v>0.31499560490797546</v>
      </c>
      <c r="Z595">
        <f t="shared" si="134"/>
        <v>0.34608403435582819</v>
      </c>
      <c r="AA595">
        <f t="shared" si="135"/>
        <v>7.4211482208588947E-2</v>
      </c>
      <c r="AB595">
        <f t="shared" si="136"/>
        <v>0.39279224539877294</v>
      </c>
      <c r="AC595">
        <f t="shared" si="137"/>
        <v>2.5309046922929445E-4</v>
      </c>
      <c r="AD595">
        <f t="shared" si="138"/>
        <v>6.4090021472392638E-3</v>
      </c>
      <c r="AE595">
        <f t="shared" si="139"/>
        <v>2.0818044938650304E-2</v>
      </c>
      <c r="AF595">
        <f t="shared" si="140"/>
        <v>0.11286588588957054</v>
      </c>
      <c r="AG595">
        <f t="shared" si="132"/>
        <v>1.268429390315855</v>
      </c>
      <c r="AH595">
        <v>0.34450298009042529</v>
      </c>
      <c r="AI595">
        <v>0.55072463768115942</v>
      </c>
      <c r="AJ595">
        <v>2.1198959622231763E-2</v>
      </c>
      <c r="AK595">
        <v>5.5383644707580901E-3</v>
      </c>
      <c r="AL595">
        <v>0.31002111412304056</v>
      </c>
    </row>
    <row r="596" spans="1:38" x14ac:dyDescent="0.25">
      <c r="A596">
        <v>20</v>
      </c>
      <c r="B596" s="5" t="s">
        <v>17</v>
      </c>
      <c r="C596" s="6" t="s">
        <v>5</v>
      </c>
      <c r="D596" s="6" t="s">
        <v>41</v>
      </c>
      <c r="E596" s="28">
        <v>24740.86</v>
      </c>
      <c r="F596" s="11">
        <v>6</v>
      </c>
      <c r="G596" s="11">
        <v>19</v>
      </c>
      <c r="H596" s="11">
        <f t="shared" si="128"/>
        <v>-13</v>
      </c>
      <c r="I596" s="18">
        <v>1</v>
      </c>
      <c r="J596" s="19">
        <v>0.64662756598240467</v>
      </c>
      <c r="K596" s="19">
        <v>3.3</v>
      </c>
      <c r="L596" s="6">
        <v>7533958</v>
      </c>
      <c r="M596" s="6">
        <v>7809670.5</v>
      </c>
      <c r="N596" s="6">
        <v>1681860.375</v>
      </c>
      <c r="O596" s="6">
        <v>8859799</v>
      </c>
      <c r="P596" s="6">
        <v>5729.68701171875</v>
      </c>
      <c r="Q596" s="7">
        <v>95975.203125</v>
      </c>
      <c r="R596" s="7">
        <v>465720.375</v>
      </c>
      <c r="S596" s="7">
        <v>2527639.75</v>
      </c>
      <c r="T596" s="31">
        <f t="shared" si="129"/>
        <v>2898.0352890136719</v>
      </c>
      <c r="U596" s="37">
        <v>2337.3333333333335</v>
      </c>
      <c r="V596">
        <f t="shared" si="130"/>
        <v>1.2398895988364254</v>
      </c>
      <c r="W596">
        <f t="shared" si="133"/>
        <v>-2.2500102644517451E-2</v>
      </c>
      <c r="X596" s="28">
        <v>3258.84</v>
      </c>
      <c r="Y596">
        <f t="shared" si="131"/>
        <v>0.3223313462635482</v>
      </c>
      <c r="Z596">
        <f t="shared" si="134"/>
        <v>0.33412737450085567</v>
      </c>
      <c r="AA596">
        <f t="shared" si="135"/>
        <v>7.1956376568739308E-2</v>
      </c>
      <c r="AB596">
        <f t="shared" si="136"/>
        <v>0.37905586138049058</v>
      </c>
      <c r="AC596">
        <f t="shared" si="137"/>
        <v>2.4513777859606743E-4</v>
      </c>
      <c r="AD596">
        <f t="shared" si="138"/>
        <v>4.1061838188106098E-3</v>
      </c>
      <c r="AE596">
        <f t="shared" si="139"/>
        <v>1.9925287007986306E-2</v>
      </c>
      <c r="AF596">
        <f t="shared" si="140"/>
        <v>0.10814203151739873</v>
      </c>
      <c r="AG596">
        <f t="shared" si="132"/>
        <v>1.2398895988364254</v>
      </c>
      <c r="AH596">
        <v>0.34450298009042529</v>
      </c>
      <c r="AI596">
        <v>0.55072463768115942</v>
      </c>
      <c r="AJ596">
        <v>2.1198959622231763E-2</v>
      </c>
      <c r="AK596">
        <v>5.5383644707580901E-3</v>
      </c>
      <c r="AL596">
        <v>0.31002111412304056</v>
      </c>
    </row>
    <row r="597" spans="1:38" x14ac:dyDescent="0.25">
      <c r="A597">
        <v>20</v>
      </c>
      <c r="B597" s="5" t="s">
        <v>17</v>
      </c>
      <c r="C597" s="6" t="s">
        <v>5</v>
      </c>
      <c r="D597" s="6" t="s">
        <v>42</v>
      </c>
      <c r="E597" s="28">
        <v>24740.86</v>
      </c>
      <c r="F597" s="11">
        <v>7</v>
      </c>
      <c r="G597" s="11">
        <v>19</v>
      </c>
      <c r="H597" s="11">
        <f t="shared" si="128"/>
        <v>-12</v>
      </c>
      <c r="I597" s="18">
        <v>1</v>
      </c>
      <c r="J597" s="19">
        <v>0.64662756598240467</v>
      </c>
      <c r="K597" s="19">
        <v>3.3</v>
      </c>
      <c r="L597" s="6">
        <v>9201872</v>
      </c>
      <c r="M597" s="6">
        <v>7881943</v>
      </c>
      <c r="N597" s="6">
        <v>1687282</v>
      </c>
      <c r="O597" s="6">
        <v>8940942</v>
      </c>
      <c r="P597" s="6">
        <v>5732.4375</v>
      </c>
      <c r="Q597" s="7">
        <v>44171.28515625</v>
      </c>
      <c r="R597" s="7">
        <v>465009.3125</v>
      </c>
      <c r="S597" s="7">
        <v>2450243.75</v>
      </c>
      <c r="T597" s="31">
        <f t="shared" si="129"/>
        <v>3067.719578515625</v>
      </c>
      <c r="U597" s="37">
        <v>2410.7777777777778</v>
      </c>
      <c r="V597">
        <f t="shared" si="130"/>
        <v>1.2725020144093941</v>
      </c>
      <c r="W597">
        <f t="shared" si="133"/>
        <v>2.6302676950894593E-2</v>
      </c>
      <c r="X597" s="28">
        <v>3516.1916666666671</v>
      </c>
      <c r="Y597">
        <f t="shared" si="131"/>
        <v>0.38169723003180162</v>
      </c>
      <c r="Z597">
        <f t="shared" si="134"/>
        <v>0.32694606166751167</v>
      </c>
      <c r="AA597">
        <f t="shared" si="135"/>
        <v>6.9989113702355166E-2</v>
      </c>
      <c r="AB597">
        <f t="shared" si="136"/>
        <v>0.3708737521316311</v>
      </c>
      <c r="AC597">
        <f t="shared" si="137"/>
        <v>2.3778373738304835E-4</v>
      </c>
      <c r="AD597">
        <f t="shared" si="138"/>
        <v>1.8322420906404112E-3</v>
      </c>
      <c r="AE597">
        <f t="shared" si="139"/>
        <v>1.928876716827211E-2</v>
      </c>
      <c r="AF597">
        <f t="shared" si="140"/>
        <v>0.10163706387979905</v>
      </c>
      <c r="AG597">
        <f t="shared" si="132"/>
        <v>1.2725020144093941</v>
      </c>
      <c r="AH597">
        <v>0.34450298009042529</v>
      </c>
      <c r="AI597">
        <v>0.55072463768115942</v>
      </c>
      <c r="AJ597">
        <v>2.1198959622231763E-2</v>
      </c>
      <c r="AK597">
        <v>5.5383644707580901E-3</v>
      </c>
      <c r="AL597">
        <v>0.31002111412304056</v>
      </c>
    </row>
    <row r="598" spans="1:38" x14ac:dyDescent="0.25">
      <c r="A598">
        <v>20</v>
      </c>
      <c r="B598" s="5" t="s">
        <v>17</v>
      </c>
      <c r="C598" s="6" t="s">
        <v>5</v>
      </c>
      <c r="D598" s="6" t="s">
        <v>43</v>
      </c>
      <c r="E598" s="28">
        <v>26300.9</v>
      </c>
      <c r="F598" s="11">
        <v>8</v>
      </c>
      <c r="G598" s="11">
        <v>19</v>
      </c>
      <c r="H598" s="18">
        <f t="shared" si="128"/>
        <v>-11</v>
      </c>
      <c r="I598" s="18">
        <v>1</v>
      </c>
      <c r="J598" s="19">
        <v>0.64662756598240467</v>
      </c>
      <c r="K598" s="19">
        <v>3.3</v>
      </c>
      <c r="L598" s="14">
        <v>6479299.5</v>
      </c>
      <c r="M598" s="14">
        <v>7148402</v>
      </c>
      <c r="N598" s="14">
        <v>1671017.875</v>
      </c>
      <c r="O598" s="14">
        <v>8757044</v>
      </c>
      <c r="P598" s="14">
        <v>5860.28955078125</v>
      </c>
      <c r="Q598" s="16">
        <v>23349.431640625</v>
      </c>
      <c r="R598" s="16">
        <v>499391.9375</v>
      </c>
      <c r="S598" s="16">
        <v>2292711.75</v>
      </c>
      <c r="T598" s="31">
        <f t="shared" si="129"/>
        <v>2687.7076783691405</v>
      </c>
      <c r="U598" s="37">
        <v>1938.7777777777778</v>
      </c>
      <c r="V598">
        <f t="shared" si="130"/>
        <v>1.3862897074515597</v>
      </c>
      <c r="W598">
        <f t="shared" si="133"/>
        <v>8.9420442367612082E-2</v>
      </c>
      <c r="X598" s="28">
        <v>1734.3937499999995</v>
      </c>
      <c r="Y598">
        <f t="shared" si="131"/>
        <v>0.33419505702332514</v>
      </c>
      <c r="Z598">
        <f t="shared" si="134"/>
        <v>0.36870661929050375</v>
      </c>
      <c r="AA598">
        <f t="shared" si="135"/>
        <v>8.6189242220184537E-2</v>
      </c>
      <c r="AB598">
        <f t="shared" si="136"/>
        <v>0.45167858329990257</v>
      </c>
      <c r="AC598">
        <f t="shared" si="137"/>
        <v>3.0226721277455015E-4</v>
      </c>
      <c r="AD598">
        <f t="shared" si="138"/>
        <v>1.2043376970922403E-3</v>
      </c>
      <c r="AE598">
        <f t="shared" si="139"/>
        <v>2.5758080334116567E-2</v>
      </c>
      <c r="AF598">
        <f t="shared" si="140"/>
        <v>0.11825552037366037</v>
      </c>
      <c r="AG598">
        <f t="shared" si="132"/>
        <v>1.3862897074515599</v>
      </c>
      <c r="AH598">
        <v>0.33714815842803852</v>
      </c>
      <c r="AI598">
        <v>0.55656825837130974</v>
      </c>
      <c r="AJ598">
        <v>2.1241046101529423E-2</v>
      </c>
      <c r="AK598">
        <v>5.7250360253831619E-3</v>
      </c>
      <c r="AL598">
        <v>0.28637847596940269</v>
      </c>
    </row>
    <row r="599" spans="1:38" x14ac:dyDescent="0.25">
      <c r="A599">
        <v>20</v>
      </c>
      <c r="B599" s="5" t="s">
        <v>17</v>
      </c>
      <c r="C599" s="6" t="s">
        <v>5</v>
      </c>
      <c r="D599" s="6" t="s">
        <v>44</v>
      </c>
      <c r="E599" s="28">
        <v>26300.9</v>
      </c>
      <c r="F599" s="11">
        <v>9</v>
      </c>
      <c r="G599" s="11">
        <v>19</v>
      </c>
      <c r="H599" s="11">
        <f t="shared" si="128"/>
        <v>-10</v>
      </c>
      <c r="I599" s="18">
        <v>1</v>
      </c>
      <c r="J599" s="19">
        <v>0.64662756598240467</v>
      </c>
      <c r="K599" s="19">
        <v>3.3</v>
      </c>
      <c r="L599" s="6">
        <v>6447193.5</v>
      </c>
      <c r="M599" s="6">
        <v>7008668</v>
      </c>
      <c r="N599" s="6">
        <v>1671017.875</v>
      </c>
      <c r="O599" s="6">
        <v>8575628</v>
      </c>
      <c r="P599" s="6">
        <v>5860.28955078125</v>
      </c>
      <c r="Q599" s="7">
        <v>33215.1015625</v>
      </c>
      <c r="R599" s="7">
        <v>477292.875</v>
      </c>
      <c r="S599" s="7">
        <v>2319057.5</v>
      </c>
      <c r="T599" s="31">
        <f t="shared" si="129"/>
        <v>2653.7933141113281</v>
      </c>
      <c r="U599" s="37">
        <v>1990.6666666666667</v>
      </c>
      <c r="V599">
        <f t="shared" si="130"/>
        <v>1.3331178738000642</v>
      </c>
      <c r="W599">
        <f t="shared" si="133"/>
        <v>-3.8355499118032238E-2</v>
      </c>
      <c r="X599" s="28">
        <v>1815.8079166666664</v>
      </c>
      <c r="Y599">
        <f t="shared" si="131"/>
        <v>0.32387107334226389</v>
      </c>
      <c r="Z599">
        <f t="shared" si="134"/>
        <v>0.35207642330877426</v>
      </c>
      <c r="AA599">
        <f t="shared" si="135"/>
        <v>8.3942626004688548E-2</v>
      </c>
      <c r="AB599">
        <f t="shared" si="136"/>
        <v>0.43079176155391824</v>
      </c>
      <c r="AC599">
        <f t="shared" si="137"/>
        <v>2.9438828955699516E-4</v>
      </c>
      <c r="AD599">
        <f t="shared" si="138"/>
        <v>1.6685416056178835E-3</v>
      </c>
      <c r="AE599">
        <f t="shared" si="139"/>
        <v>2.3976534243134628E-2</v>
      </c>
      <c r="AF599">
        <f t="shared" si="140"/>
        <v>0.11649652545210984</v>
      </c>
      <c r="AG599">
        <f t="shared" si="132"/>
        <v>1.3331178738000642</v>
      </c>
      <c r="AH599">
        <v>0.33714815842803852</v>
      </c>
      <c r="AI599">
        <v>0.55656825837130974</v>
      </c>
      <c r="AJ599">
        <v>2.1241046101529423E-2</v>
      </c>
      <c r="AK599">
        <v>5.7250360253831619E-3</v>
      </c>
      <c r="AL599">
        <v>0.28637847596940269</v>
      </c>
    </row>
    <row r="600" spans="1:38" x14ac:dyDescent="0.25">
      <c r="A600">
        <v>20</v>
      </c>
      <c r="B600" s="5" t="s">
        <v>17</v>
      </c>
      <c r="C600" s="6" t="s">
        <v>5</v>
      </c>
      <c r="D600" s="6" t="s">
        <v>45</v>
      </c>
      <c r="E600" s="28">
        <v>26300.9</v>
      </c>
      <c r="F600" s="11">
        <v>10</v>
      </c>
      <c r="G600" s="11">
        <v>19</v>
      </c>
      <c r="H600" s="11">
        <f t="shared" si="128"/>
        <v>-9</v>
      </c>
      <c r="I600" s="18">
        <v>1</v>
      </c>
      <c r="J600" s="19">
        <v>0.64662756598240467</v>
      </c>
      <c r="K600" s="19">
        <v>3.3</v>
      </c>
      <c r="L600" s="6">
        <v>7334008</v>
      </c>
      <c r="M600" s="6">
        <v>7274780</v>
      </c>
      <c r="N600" s="6">
        <v>1671017.875</v>
      </c>
      <c r="O600" s="6">
        <v>8907151</v>
      </c>
      <c r="P600" s="6">
        <v>5860.28955078125</v>
      </c>
      <c r="Q600" s="7">
        <v>96947.3828125</v>
      </c>
      <c r="R600" s="7">
        <v>470182.28125</v>
      </c>
      <c r="S600" s="7">
        <v>2362047.5</v>
      </c>
      <c r="T600" s="31">
        <f t="shared" si="129"/>
        <v>2812.1994328613282</v>
      </c>
      <c r="U600" s="37">
        <v>2042.5555555555557</v>
      </c>
      <c r="V600">
        <f t="shared" si="130"/>
        <v>1.3768043788147719</v>
      </c>
      <c r="W600">
        <f t="shared" si="133"/>
        <v>3.2770174245866916E-2</v>
      </c>
      <c r="X600" s="28">
        <v>1897.2220833333331</v>
      </c>
      <c r="Y600">
        <f t="shared" si="131"/>
        <v>0.35906039275417501</v>
      </c>
      <c r="Z600">
        <f t="shared" si="134"/>
        <v>0.35616069194364358</v>
      </c>
      <c r="AA600">
        <f t="shared" si="135"/>
        <v>8.1810155442528426E-2</v>
      </c>
      <c r="AB600">
        <f t="shared" si="136"/>
        <v>0.43607876298754283</v>
      </c>
      <c r="AC600">
        <f t="shared" si="137"/>
        <v>2.8690967718561305E-4</v>
      </c>
      <c r="AD600">
        <f t="shared" si="138"/>
        <v>4.7463767900369899E-3</v>
      </c>
      <c r="AE600">
        <f t="shared" si="139"/>
        <v>2.3019314210139804E-2</v>
      </c>
      <c r="AF600">
        <f t="shared" si="140"/>
        <v>0.11564177500951967</v>
      </c>
      <c r="AG600">
        <f t="shared" si="132"/>
        <v>1.3768043788147719</v>
      </c>
      <c r="AH600">
        <v>0.33714815842803852</v>
      </c>
      <c r="AI600">
        <v>0.55656825837130974</v>
      </c>
      <c r="AJ600">
        <v>2.1241046101529423E-2</v>
      </c>
      <c r="AK600">
        <v>5.7250360253831619E-3</v>
      </c>
      <c r="AL600">
        <v>0.28637847596940269</v>
      </c>
    </row>
    <row r="601" spans="1:38" x14ac:dyDescent="0.25">
      <c r="A601">
        <v>20</v>
      </c>
      <c r="B601" s="5" t="s">
        <v>17</v>
      </c>
      <c r="C601" s="6" t="s">
        <v>5</v>
      </c>
      <c r="D601" s="6" t="s">
        <v>46</v>
      </c>
      <c r="E601" s="28">
        <v>26300.9</v>
      </c>
      <c r="F601" s="11">
        <v>11</v>
      </c>
      <c r="G601" s="11">
        <v>19</v>
      </c>
      <c r="H601" s="11">
        <f t="shared" si="128"/>
        <v>-8</v>
      </c>
      <c r="I601" s="18">
        <v>1</v>
      </c>
      <c r="J601" s="19">
        <v>0.64662756598240467</v>
      </c>
      <c r="K601" s="19">
        <v>3.3</v>
      </c>
      <c r="L601" s="6">
        <v>6633754.5</v>
      </c>
      <c r="M601" s="6">
        <v>7387926</v>
      </c>
      <c r="N601" s="6">
        <v>1671017.875</v>
      </c>
      <c r="O601" s="6">
        <v>9057040</v>
      </c>
      <c r="P601" s="6">
        <v>5860.28955078125</v>
      </c>
      <c r="Q601" s="7">
        <v>133527.34375</v>
      </c>
      <c r="R601" s="7">
        <v>499323.5625</v>
      </c>
      <c r="S601" s="7">
        <v>2432603.75</v>
      </c>
      <c r="T601" s="31">
        <f t="shared" si="129"/>
        <v>2782.1053320800779</v>
      </c>
      <c r="U601" s="37">
        <v>2094.4444444444448</v>
      </c>
      <c r="V601">
        <f t="shared" si="130"/>
        <v>1.3283261532477824</v>
      </c>
      <c r="W601">
        <f t="shared" si="133"/>
        <v>-3.5210685201860152E-2</v>
      </c>
      <c r="X601" s="28">
        <v>1978.6362499999998</v>
      </c>
      <c r="Y601">
        <f t="shared" si="131"/>
        <v>0.3167309840848806</v>
      </c>
      <c r="Z601">
        <f t="shared" si="134"/>
        <v>0.35273917241379305</v>
      </c>
      <c r="AA601">
        <f t="shared" si="135"/>
        <v>7.9783346816976103E-2</v>
      </c>
      <c r="AB601">
        <f t="shared" si="136"/>
        <v>0.4324316180371352</v>
      </c>
      <c r="AC601">
        <f t="shared" si="137"/>
        <v>2.798016231142241E-4</v>
      </c>
      <c r="AD601">
        <f t="shared" si="138"/>
        <v>6.3753108421750653E-3</v>
      </c>
      <c r="AE601">
        <f t="shared" si="139"/>
        <v>2.3840382294429703E-2</v>
      </c>
      <c r="AF601">
        <f t="shared" si="140"/>
        <v>0.1161455371352785</v>
      </c>
      <c r="AG601">
        <f t="shared" si="132"/>
        <v>1.3283261532477824</v>
      </c>
      <c r="AH601">
        <v>0.33714815842803852</v>
      </c>
      <c r="AI601">
        <v>0.55656825837130974</v>
      </c>
      <c r="AJ601">
        <v>2.1241046101529423E-2</v>
      </c>
      <c r="AK601">
        <v>5.7250360253831619E-3</v>
      </c>
      <c r="AL601">
        <v>0.28637847596940269</v>
      </c>
    </row>
    <row r="602" spans="1:38" x14ac:dyDescent="0.25">
      <c r="A602">
        <v>20</v>
      </c>
      <c r="B602" s="5" t="s">
        <v>17</v>
      </c>
      <c r="C602" s="6" t="s">
        <v>5</v>
      </c>
      <c r="D602" s="6" t="s">
        <v>47</v>
      </c>
      <c r="E602" s="28">
        <v>26300.9</v>
      </c>
      <c r="F602" s="11">
        <v>12</v>
      </c>
      <c r="G602" s="11">
        <v>19</v>
      </c>
      <c r="H602" s="11">
        <f t="shared" si="128"/>
        <v>-7</v>
      </c>
      <c r="I602" s="18">
        <v>1</v>
      </c>
      <c r="J602" s="19">
        <v>0.64662756598240467</v>
      </c>
      <c r="K602" s="19">
        <v>3.3</v>
      </c>
      <c r="L602" s="6">
        <v>6590368</v>
      </c>
      <c r="M602" s="6">
        <v>7308116.5</v>
      </c>
      <c r="N602" s="6">
        <v>1671017.875</v>
      </c>
      <c r="O602" s="6">
        <v>8966057</v>
      </c>
      <c r="P602" s="6">
        <v>5860.28955078125</v>
      </c>
      <c r="Q602" s="7">
        <v>87648.0859375</v>
      </c>
      <c r="R602" s="7">
        <v>493038.46875</v>
      </c>
      <c r="S602" s="7">
        <v>2417029.75</v>
      </c>
      <c r="T602" s="31">
        <f t="shared" si="129"/>
        <v>2753.9135969238282</v>
      </c>
      <c r="U602" s="37">
        <v>2146.3333333333335</v>
      </c>
      <c r="V602">
        <f t="shared" si="130"/>
        <v>1.2830782405298158</v>
      </c>
      <c r="W602">
        <f t="shared" si="133"/>
        <v>-3.4063857439932642E-2</v>
      </c>
      <c r="X602" s="28">
        <v>2060.0504166666665</v>
      </c>
      <c r="Y602">
        <f t="shared" si="131"/>
        <v>0.30705239944090695</v>
      </c>
      <c r="Z602">
        <f t="shared" si="134"/>
        <v>0.34049308122379246</v>
      </c>
      <c r="AA602">
        <f t="shared" si="135"/>
        <v>7.78545368069576E-2</v>
      </c>
      <c r="AB602">
        <f t="shared" si="136"/>
        <v>0.41773832893306406</v>
      </c>
      <c r="AC602">
        <f t="shared" si="137"/>
        <v>2.7303725193886859E-4</v>
      </c>
      <c r="AD602">
        <f t="shared" si="138"/>
        <v>4.0836194721618263E-3</v>
      </c>
      <c r="AE602">
        <f t="shared" si="139"/>
        <v>2.297119748796397E-2</v>
      </c>
      <c r="AF602">
        <f t="shared" si="140"/>
        <v>0.11261203991302995</v>
      </c>
      <c r="AG602">
        <f t="shared" si="132"/>
        <v>1.2830782405298158</v>
      </c>
      <c r="AH602">
        <v>0.33714815842803852</v>
      </c>
      <c r="AI602">
        <v>0.55656825837130974</v>
      </c>
      <c r="AJ602">
        <v>2.1241046101529423E-2</v>
      </c>
      <c r="AK602">
        <v>5.7250360253831619E-3</v>
      </c>
      <c r="AL602">
        <v>0.28637847596940269</v>
      </c>
    </row>
    <row r="603" spans="1:38" x14ac:dyDescent="0.25">
      <c r="A603">
        <v>20</v>
      </c>
      <c r="B603" s="5" t="s">
        <v>17</v>
      </c>
      <c r="C603" s="6" t="s">
        <v>5</v>
      </c>
      <c r="D603" s="6" t="s">
        <v>48</v>
      </c>
      <c r="E603" s="28">
        <v>26300.9</v>
      </c>
      <c r="F603" s="11">
        <v>13</v>
      </c>
      <c r="G603" s="11">
        <v>19</v>
      </c>
      <c r="H603" s="11">
        <f t="shared" si="128"/>
        <v>-6</v>
      </c>
      <c r="I603" s="18">
        <v>1</v>
      </c>
      <c r="J603" s="19">
        <v>0.64662756598240467</v>
      </c>
      <c r="K603" s="19">
        <v>3.3</v>
      </c>
      <c r="L603" s="6">
        <v>6903616.5</v>
      </c>
      <c r="M603" s="6">
        <v>7346376.5</v>
      </c>
      <c r="N603" s="6">
        <v>1671017.875</v>
      </c>
      <c r="O603" s="6">
        <v>9017185</v>
      </c>
      <c r="P603" s="6">
        <v>5860.28955078125</v>
      </c>
      <c r="Q603" s="7">
        <v>43235.390625</v>
      </c>
      <c r="R603" s="7">
        <v>491801.46875</v>
      </c>
      <c r="S603" s="7">
        <v>2356214.25</v>
      </c>
      <c r="T603" s="31">
        <f t="shared" si="129"/>
        <v>2783.5307273925782</v>
      </c>
      <c r="U603" s="37">
        <v>2168.5555555555557</v>
      </c>
      <c r="V603">
        <f t="shared" si="130"/>
        <v>1.2835874645966696</v>
      </c>
      <c r="W603">
        <f t="shared" si="133"/>
        <v>3.9687686281980665E-4</v>
      </c>
      <c r="X603" s="28">
        <v>2141.4645833333334</v>
      </c>
      <c r="Y603">
        <f t="shared" si="131"/>
        <v>0.31835091714915204</v>
      </c>
      <c r="Z603">
        <f t="shared" si="134"/>
        <v>0.3387681943946303</v>
      </c>
      <c r="AA603">
        <f t="shared" si="135"/>
        <v>7.7056724266024487E-2</v>
      </c>
      <c r="AB603">
        <f t="shared" si="136"/>
        <v>0.41581526361633442</v>
      </c>
      <c r="AC603">
        <f t="shared" si="137"/>
        <v>2.702393090999193E-4</v>
      </c>
      <c r="AD603">
        <f t="shared" si="138"/>
        <v>1.9937414337500639E-3</v>
      </c>
      <c r="AE603">
        <f t="shared" si="139"/>
        <v>2.2678758101911153E-2</v>
      </c>
      <c r="AF603">
        <f t="shared" si="140"/>
        <v>0.10865362632576728</v>
      </c>
      <c r="AG603">
        <f t="shared" si="132"/>
        <v>1.2835874645966698</v>
      </c>
      <c r="AH603">
        <v>0.33714815842803852</v>
      </c>
      <c r="AI603">
        <v>0.55656825837130974</v>
      </c>
      <c r="AJ603">
        <v>2.1241046101529423E-2</v>
      </c>
      <c r="AK603">
        <v>5.7250360253831619E-3</v>
      </c>
      <c r="AL603">
        <v>0.28637847596940269</v>
      </c>
    </row>
    <row r="604" spans="1:38" x14ac:dyDescent="0.25">
      <c r="A604">
        <v>20</v>
      </c>
      <c r="B604" s="5" t="s">
        <v>17</v>
      </c>
      <c r="C604" s="6" t="s">
        <v>5</v>
      </c>
      <c r="D604" s="6" t="s">
        <v>49</v>
      </c>
      <c r="E604" s="28">
        <v>26300.9</v>
      </c>
      <c r="F604" s="11">
        <v>14</v>
      </c>
      <c r="G604" s="11">
        <v>19</v>
      </c>
      <c r="H604" s="11">
        <f t="shared" si="128"/>
        <v>-5</v>
      </c>
      <c r="I604" s="18">
        <v>1</v>
      </c>
      <c r="J604" s="19">
        <v>0.64662756598240467</v>
      </c>
      <c r="K604" s="19">
        <v>3.3</v>
      </c>
      <c r="L604" s="6">
        <v>7765267.5</v>
      </c>
      <c r="M604" s="6">
        <v>7051844</v>
      </c>
      <c r="N604" s="6">
        <v>1671017.875</v>
      </c>
      <c r="O604" s="6">
        <v>8658251</v>
      </c>
      <c r="P604" s="6">
        <v>5860.28955078125</v>
      </c>
      <c r="Q604" s="7">
        <v>26241.05078125</v>
      </c>
      <c r="R604" s="7">
        <v>498389.75</v>
      </c>
      <c r="S604" s="7">
        <v>2316260</v>
      </c>
      <c r="T604" s="31">
        <f t="shared" si="129"/>
        <v>2799.3131465332031</v>
      </c>
      <c r="U604" s="37">
        <v>2190.7777777777778</v>
      </c>
      <c r="V604">
        <f t="shared" si="130"/>
        <v>1.27777138098082</v>
      </c>
      <c r="W604">
        <f t="shared" si="133"/>
        <v>-4.531115935817555E-3</v>
      </c>
      <c r="X604" s="28">
        <v>2222.8787499999999</v>
      </c>
      <c r="Y604">
        <f t="shared" si="131"/>
        <v>0.35445254095450629</v>
      </c>
      <c r="Z604">
        <f t="shared" si="134"/>
        <v>0.32188769082517626</v>
      </c>
      <c r="AA604">
        <f t="shared" si="135"/>
        <v>7.6275096997514835E-2</v>
      </c>
      <c r="AB604">
        <f t="shared" si="136"/>
        <v>0.39521356697266319</v>
      </c>
      <c r="AC604">
        <f t="shared" si="137"/>
        <v>2.674981283006099E-4</v>
      </c>
      <c r="AD604">
        <f t="shared" si="138"/>
        <v>1.1977960999708373E-3</v>
      </c>
      <c r="AE604">
        <f t="shared" si="139"/>
        <v>2.2749443373738399E-2</v>
      </c>
      <c r="AF604">
        <f t="shared" si="140"/>
        <v>0.10572774762894965</v>
      </c>
      <c r="AG604">
        <f t="shared" si="132"/>
        <v>1.2777713809808198</v>
      </c>
      <c r="AH604">
        <v>0.33714815842803852</v>
      </c>
      <c r="AI604">
        <v>0.55656825837130974</v>
      </c>
      <c r="AJ604">
        <v>2.1241046101529423E-2</v>
      </c>
      <c r="AK604">
        <v>5.7250360253831619E-3</v>
      </c>
      <c r="AL604">
        <v>0.28637847596940269</v>
      </c>
    </row>
    <row r="605" spans="1:38" x14ac:dyDescent="0.25">
      <c r="A605">
        <v>20</v>
      </c>
      <c r="B605" s="5" t="s">
        <v>17</v>
      </c>
      <c r="C605" s="6" t="s">
        <v>5</v>
      </c>
      <c r="D605" s="6" t="s">
        <v>50</v>
      </c>
      <c r="E605" s="28">
        <v>26300.9</v>
      </c>
      <c r="F605" s="11">
        <v>15</v>
      </c>
      <c r="G605" s="11">
        <v>19</v>
      </c>
      <c r="H605" s="11">
        <f t="shared" si="128"/>
        <v>-4</v>
      </c>
      <c r="I605" s="18">
        <v>1</v>
      </c>
      <c r="J605" s="19">
        <v>0.64662756598240467</v>
      </c>
      <c r="K605" s="19">
        <v>3.3</v>
      </c>
      <c r="L605" s="6">
        <v>8263341</v>
      </c>
      <c r="M605" s="6">
        <v>6848183</v>
      </c>
      <c r="N605" s="6">
        <v>1671017.875</v>
      </c>
      <c r="O605" s="6">
        <v>8414346</v>
      </c>
      <c r="P605" s="6">
        <v>5860.28955078125</v>
      </c>
      <c r="Q605" s="7">
        <v>36638.88671875</v>
      </c>
      <c r="R605" s="7">
        <v>476435.90625</v>
      </c>
      <c r="S605" s="7">
        <v>2336478.5</v>
      </c>
      <c r="T605" s="31">
        <f t="shared" si="129"/>
        <v>2805.2301457519529</v>
      </c>
      <c r="U605" s="37">
        <v>2213</v>
      </c>
      <c r="V605">
        <f t="shared" si="130"/>
        <v>1.2676141643705165</v>
      </c>
      <c r="W605">
        <f t="shared" si="133"/>
        <v>-7.9491658378721408E-3</v>
      </c>
      <c r="X605" s="28">
        <v>2304.2929166666668</v>
      </c>
      <c r="Y605">
        <f t="shared" si="131"/>
        <v>0.37339995481247173</v>
      </c>
      <c r="Z605">
        <f t="shared" si="134"/>
        <v>0.3094524627202892</v>
      </c>
      <c r="AA605">
        <f t="shared" si="135"/>
        <v>7.5509167419792148E-2</v>
      </c>
      <c r="AB605">
        <f t="shared" si="136"/>
        <v>0.38022349751468598</v>
      </c>
      <c r="AC605">
        <f t="shared" si="137"/>
        <v>2.6481199958342747E-4</v>
      </c>
      <c r="AD605">
        <f t="shared" si="138"/>
        <v>1.6556207283664709E-3</v>
      </c>
      <c r="AE605">
        <f t="shared" si="139"/>
        <v>2.1528960969272481E-2</v>
      </c>
      <c r="AF605">
        <f t="shared" si="140"/>
        <v>0.10557968820605514</v>
      </c>
      <c r="AG605">
        <f t="shared" si="132"/>
        <v>1.2676141643705165</v>
      </c>
      <c r="AH605">
        <v>0.33714815842803852</v>
      </c>
      <c r="AI605">
        <v>0.55656825837130974</v>
      </c>
      <c r="AJ605">
        <v>2.1241046101529423E-2</v>
      </c>
      <c r="AK605">
        <v>5.7250360253831619E-3</v>
      </c>
      <c r="AL605">
        <v>0.28637847596940269</v>
      </c>
    </row>
    <row r="606" spans="1:38" x14ac:dyDescent="0.25">
      <c r="A606">
        <v>20</v>
      </c>
      <c r="B606" s="5" t="s">
        <v>17</v>
      </c>
      <c r="C606" s="6" t="s">
        <v>5</v>
      </c>
      <c r="D606" s="6" t="s">
        <v>51</v>
      </c>
      <c r="E606" s="28">
        <v>26300.9</v>
      </c>
      <c r="F606" s="11">
        <v>16</v>
      </c>
      <c r="G606" s="11">
        <v>19</v>
      </c>
      <c r="H606" s="11">
        <f t="shared" si="128"/>
        <v>-3</v>
      </c>
      <c r="I606" s="18">
        <v>1</v>
      </c>
      <c r="J606" s="19">
        <v>0.64662756598240467</v>
      </c>
      <c r="K606" s="19">
        <v>3.3</v>
      </c>
      <c r="L606" s="6">
        <v>7214262</v>
      </c>
      <c r="M606" s="6">
        <v>7148747</v>
      </c>
      <c r="N606" s="6">
        <v>1671017.875</v>
      </c>
      <c r="O606" s="6">
        <v>8780565</v>
      </c>
      <c r="P606" s="6">
        <v>5860.28955078125</v>
      </c>
      <c r="Q606" s="7">
        <v>100294.9921875</v>
      </c>
      <c r="R606" s="7">
        <v>469683.6875</v>
      </c>
      <c r="S606" s="7">
        <v>2371014</v>
      </c>
      <c r="T606" s="31">
        <f t="shared" si="129"/>
        <v>2776.1444844238281</v>
      </c>
      <c r="U606" s="37">
        <v>2294.2222222222222</v>
      </c>
      <c r="V606">
        <f t="shared" si="130"/>
        <v>1.2100591030518431</v>
      </c>
      <c r="W606">
        <f t="shared" si="133"/>
        <v>-4.5404242818046066E-2</v>
      </c>
      <c r="X606" s="28">
        <v>2385.7070833333337</v>
      </c>
      <c r="Y606">
        <f t="shared" si="131"/>
        <v>0.31445349670670286</v>
      </c>
      <c r="Z606">
        <f t="shared" si="134"/>
        <v>0.31159784482758623</v>
      </c>
      <c r="AA606">
        <f t="shared" si="135"/>
        <v>7.2835920549205735E-2</v>
      </c>
      <c r="AB606">
        <f t="shared" si="136"/>
        <v>0.38272513076327003</v>
      </c>
      <c r="AC606">
        <f t="shared" si="137"/>
        <v>2.5543687503405297E-4</v>
      </c>
      <c r="AD606">
        <f t="shared" si="138"/>
        <v>4.3716337160378729E-3</v>
      </c>
      <c r="AE606">
        <f t="shared" si="139"/>
        <v>2.0472458288938396E-2</v>
      </c>
      <c r="AF606">
        <f t="shared" si="140"/>
        <v>0.1033471813250678</v>
      </c>
      <c r="AG606">
        <f t="shared" si="132"/>
        <v>1.2100591030518428</v>
      </c>
      <c r="AH606">
        <v>0.33714815842803852</v>
      </c>
      <c r="AI606">
        <v>0.55656825837130974</v>
      </c>
      <c r="AJ606">
        <v>2.1241046101529423E-2</v>
      </c>
      <c r="AK606">
        <v>5.7250360253831619E-3</v>
      </c>
      <c r="AL606">
        <v>0.28637847596940269</v>
      </c>
    </row>
    <row r="607" spans="1:38" x14ac:dyDescent="0.25">
      <c r="A607">
        <v>20</v>
      </c>
      <c r="B607" s="5" t="s">
        <v>17</v>
      </c>
      <c r="C607" s="6" t="s">
        <v>5</v>
      </c>
      <c r="D607" s="6" t="s">
        <v>52</v>
      </c>
      <c r="E607" s="28">
        <v>26300.9</v>
      </c>
      <c r="F607" s="11">
        <v>17</v>
      </c>
      <c r="G607" s="11">
        <v>19</v>
      </c>
      <c r="H607" s="11">
        <f t="shared" si="128"/>
        <v>-2</v>
      </c>
      <c r="I607" s="18">
        <v>1</v>
      </c>
      <c r="J607" s="19">
        <v>0.64662756598240467</v>
      </c>
      <c r="K607" s="19">
        <v>3.3</v>
      </c>
      <c r="L607" s="6">
        <v>7099722.5</v>
      </c>
      <c r="M607" s="6">
        <v>7359640.5</v>
      </c>
      <c r="N607" s="6">
        <v>1671017.875</v>
      </c>
      <c r="O607" s="6">
        <v>9028261</v>
      </c>
      <c r="P607" s="6">
        <v>5860.28955078125</v>
      </c>
      <c r="Q607" s="7">
        <v>138424.453125</v>
      </c>
      <c r="R607" s="7">
        <v>499226.71875</v>
      </c>
      <c r="S607" s="7">
        <v>2441347.5</v>
      </c>
      <c r="T607" s="31">
        <f t="shared" si="129"/>
        <v>2824.3500836425783</v>
      </c>
      <c r="U607" s="37">
        <v>2375.4444444444443</v>
      </c>
      <c r="V607">
        <f t="shared" si="130"/>
        <v>1.1889775364976476</v>
      </c>
      <c r="W607">
        <f t="shared" si="133"/>
        <v>-1.7421931293295067E-2</v>
      </c>
      <c r="X607" s="28">
        <v>2467.1212500000001</v>
      </c>
      <c r="Y607">
        <f t="shared" si="131"/>
        <v>0.29887975349642176</v>
      </c>
      <c r="Z607">
        <f t="shared" si="134"/>
        <v>0.30982162168483091</v>
      </c>
      <c r="AA607">
        <f t="shared" si="135"/>
        <v>7.0345483301370512E-2</v>
      </c>
      <c r="AB607">
        <f t="shared" si="136"/>
        <v>0.38006618176715468</v>
      </c>
      <c r="AC607">
        <f t="shared" si="137"/>
        <v>2.4670286709870079E-4</v>
      </c>
      <c r="AD607">
        <f t="shared" si="138"/>
        <v>5.8273075360166524E-3</v>
      </c>
      <c r="AE607">
        <f t="shared" si="139"/>
        <v>2.1016139523597922E-2</v>
      </c>
      <c r="AF607">
        <f t="shared" si="140"/>
        <v>0.10277434632115628</v>
      </c>
      <c r="AG607">
        <f t="shared" si="132"/>
        <v>1.1889775364976474</v>
      </c>
      <c r="AH607">
        <v>0.33714815842803852</v>
      </c>
      <c r="AI607">
        <v>0.55656825837130974</v>
      </c>
      <c r="AJ607">
        <v>2.1241046101529423E-2</v>
      </c>
      <c r="AK607">
        <v>5.7250360253831619E-3</v>
      </c>
      <c r="AL607">
        <v>0.28637847596940269</v>
      </c>
    </row>
    <row r="608" spans="1:38" x14ac:dyDescent="0.25">
      <c r="A608">
        <v>20</v>
      </c>
      <c r="B608" s="5" t="s">
        <v>17</v>
      </c>
      <c r="C608" s="6" t="s">
        <v>5</v>
      </c>
      <c r="D608" s="6" t="s">
        <v>53</v>
      </c>
      <c r="E608" s="28">
        <v>26300.9</v>
      </c>
      <c r="F608" s="11">
        <v>18</v>
      </c>
      <c r="G608" s="11">
        <v>19</v>
      </c>
      <c r="H608" s="11">
        <f t="shared" si="128"/>
        <v>-1</v>
      </c>
      <c r="I608" s="18">
        <v>1</v>
      </c>
      <c r="J608" s="19">
        <v>0.64662756598240467</v>
      </c>
      <c r="K608" s="19">
        <v>3.3</v>
      </c>
      <c r="L608" s="6">
        <v>7583045</v>
      </c>
      <c r="M608" s="6">
        <v>7335547.5</v>
      </c>
      <c r="N608" s="6">
        <v>1671017.875</v>
      </c>
      <c r="O608" s="6">
        <v>8995000</v>
      </c>
      <c r="P608" s="6">
        <v>5860.28955078125</v>
      </c>
      <c r="Q608" s="7">
        <v>91574.625</v>
      </c>
      <c r="R608" s="7">
        <v>493411.3125</v>
      </c>
      <c r="S608" s="7">
        <v>2415041.25</v>
      </c>
      <c r="T608" s="31">
        <f t="shared" si="129"/>
        <v>2859.049785205078</v>
      </c>
      <c r="U608" s="37">
        <v>2456.6666666666665</v>
      </c>
      <c r="V608">
        <f t="shared" si="130"/>
        <v>1.1637923141947402</v>
      </c>
      <c r="W608">
        <f t="shared" si="133"/>
        <v>-2.1182252422611063E-2</v>
      </c>
      <c r="X608" s="28">
        <v>2548.5354166666671</v>
      </c>
      <c r="Y608">
        <f t="shared" si="131"/>
        <v>0.30867211668928091</v>
      </c>
      <c r="Z608">
        <f t="shared" si="134"/>
        <v>0.29859759158751698</v>
      </c>
      <c r="AA608">
        <f t="shared" si="135"/>
        <v>6.8019723541383997E-2</v>
      </c>
      <c r="AB608">
        <f t="shared" si="136"/>
        <v>0.36614654002713704</v>
      </c>
      <c r="AC608">
        <f t="shared" si="137"/>
        <v>2.3854638605622455E-4</v>
      </c>
      <c r="AD608">
        <f t="shared" si="138"/>
        <v>3.7275966757123477E-3</v>
      </c>
      <c r="AE608">
        <f t="shared" si="139"/>
        <v>2.0084585312075985E-2</v>
      </c>
      <c r="AF608">
        <f t="shared" si="140"/>
        <v>9.8305613975576675E-2</v>
      </c>
      <c r="AG608">
        <f t="shared" si="132"/>
        <v>1.1637923141947402</v>
      </c>
      <c r="AH608">
        <v>0.33714815842803852</v>
      </c>
      <c r="AI608">
        <v>0.55656825837130974</v>
      </c>
      <c r="AJ608">
        <v>2.1241046101529423E-2</v>
      </c>
      <c r="AK608">
        <v>5.7250360253831619E-3</v>
      </c>
      <c r="AL608">
        <v>0.28637847596940269</v>
      </c>
    </row>
    <row r="609" spans="1:38" s="20" customFormat="1" x14ac:dyDescent="0.25">
      <c r="A609">
        <v>20</v>
      </c>
      <c r="B609" s="21" t="s">
        <v>17</v>
      </c>
      <c r="C609" s="22" t="s">
        <v>5</v>
      </c>
      <c r="D609" s="22" t="s">
        <v>54</v>
      </c>
      <c r="E609" s="28">
        <v>26300.9</v>
      </c>
      <c r="F609" s="22">
        <v>19</v>
      </c>
      <c r="G609" s="22">
        <v>19</v>
      </c>
      <c r="H609" s="22">
        <f t="shared" si="128"/>
        <v>0</v>
      </c>
      <c r="I609" s="18">
        <v>1</v>
      </c>
      <c r="J609" s="19">
        <v>0.64662756598240467</v>
      </c>
      <c r="K609" s="19">
        <v>3.3</v>
      </c>
      <c r="L609" s="22">
        <v>8458579</v>
      </c>
      <c r="M609" s="22">
        <v>7403275</v>
      </c>
      <c r="N609" s="22">
        <v>1671820</v>
      </c>
      <c r="O609" s="22">
        <v>9077280</v>
      </c>
      <c r="P609" s="22">
        <v>5863.1025390625</v>
      </c>
      <c r="Q609" s="23">
        <v>42096.9921875</v>
      </c>
      <c r="R609" s="23">
        <v>492672.75</v>
      </c>
      <c r="S609" s="23">
        <v>2340974.25</v>
      </c>
      <c r="T609" s="32">
        <f t="shared" si="129"/>
        <v>2949.2561094726561</v>
      </c>
      <c r="U609" s="37">
        <v>2537.8888888888887</v>
      </c>
      <c r="V609">
        <f t="shared" si="130"/>
        <v>1.1620903193929297</v>
      </c>
      <c r="W609">
        <f t="shared" si="133"/>
        <v>-1.4624557844653688E-3</v>
      </c>
      <c r="X609" s="28">
        <v>2629.949583333334</v>
      </c>
      <c r="Y609">
        <f t="shared" si="131"/>
        <v>0.33329193555448539</v>
      </c>
      <c r="Z609">
        <f t="shared" si="134"/>
        <v>0.29170997329363868</v>
      </c>
      <c r="AA609">
        <f t="shared" si="135"/>
        <v>6.5874436320651472E-2</v>
      </c>
      <c r="AB609">
        <f t="shared" si="136"/>
        <v>0.3576705047940108</v>
      </c>
      <c r="AC609">
        <f t="shared" si="137"/>
        <v>2.3102282234386631E-4</v>
      </c>
      <c r="AD609">
        <f t="shared" si="138"/>
        <v>1.6587405528982969E-3</v>
      </c>
      <c r="AE609">
        <f t="shared" si="139"/>
        <v>1.9412699750448754E-2</v>
      </c>
      <c r="AF609">
        <f t="shared" si="140"/>
        <v>9.2241006304452519E-2</v>
      </c>
      <c r="AG609">
        <f t="shared" si="132"/>
        <v>1.1620903193929297</v>
      </c>
      <c r="AH609" s="20">
        <v>0.33714815842803852</v>
      </c>
      <c r="AI609" s="20">
        <v>0.55656825837130974</v>
      </c>
      <c r="AJ609" s="20">
        <v>2.1241046101529423E-2</v>
      </c>
      <c r="AK609" s="20">
        <v>5.7250360253831619E-3</v>
      </c>
      <c r="AL609" s="20">
        <v>0.28637847596940269</v>
      </c>
    </row>
    <row r="610" spans="1:38" x14ac:dyDescent="0.25">
      <c r="A610">
        <v>20</v>
      </c>
      <c r="B610" s="5" t="s">
        <v>17</v>
      </c>
      <c r="C610" s="6" t="s">
        <v>5</v>
      </c>
      <c r="D610" s="6" t="s">
        <v>55</v>
      </c>
      <c r="E610" s="29">
        <v>27202.400000000001</v>
      </c>
      <c r="F610" s="11">
        <v>20</v>
      </c>
      <c r="G610" s="11">
        <v>19</v>
      </c>
      <c r="H610" s="18">
        <f t="shared" si="128"/>
        <v>1</v>
      </c>
      <c r="I610" s="18">
        <v>1</v>
      </c>
      <c r="J610" s="19">
        <v>0.64662756598240467</v>
      </c>
      <c r="K610" s="19">
        <v>3.3</v>
      </c>
      <c r="L610" s="14">
        <v>530426.25</v>
      </c>
      <c r="M610" s="14">
        <v>6971092</v>
      </c>
      <c r="N610" s="14">
        <v>3602803.5</v>
      </c>
      <c r="O610" s="14">
        <v>8106998</v>
      </c>
      <c r="P610" s="14">
        <v>5947.56640625</v>
      </c>
      <c r="Q610" s="16">
        <v>24631.046875</v>
      </c>
      <c r="R610" s="16">
        <v>7961244</v>
      </c>
      <c r="S610" s="16">
        <v>2863503.5</v>
      </c>
      <c r="T610" s="31">
        <f t="shared" si="129"/>
        <v>3006.6645863281251</v>
      </c>
      <c r="U610" s="37">
        <v>2100.2222222222222</v>
      </c>
      <c r="V610">
        <f t="shared" si="130"/>
        <v>1.4315935497277075</v>
      </c>
      <c r="W610">
        <f t="shared" si="133"/>
        <v>0.23191246483798686</v>
      </c>
      <c r="X610" s="29">
        <v>1801.0479166666673</v>
      </c>
      <c r="Y610">
        <f t="shared" si="131"/>
        <v>2.5255720294148767E-2</v>
      </c>
      <c r="Z610">
        <f t="shared" si="134"/>
        <v>0.33192163792191304</v>
      </c>
      <c r="AA610">
        <f t="shared" si="135"/>
        <v>0.17154391863294891</v>
      </c>
      <c r="AB610">
        <f t="shared" si="136"/>
        <v>0.38600667654216486</v>
      </c>
      <c r="AC610">
        <f t="shared" si="137"/>
        <v>2.8318748098746168E-4</v>
      </c>
      <c r="AD610">
        <f t="shared" si="138"/>
        <v>1.1727828900380912E-3</v>
      </c>
      <c r="AE610">
        <f t="shared" si="139"/>
        <v>0.37906674425986669</v>
      </c>
      <c r="AF610">
        <f t="shared" si="140"/>
        <v>0.13634288170563963</v>
      </c>
      <c r="AG610">
        <f t="shared" si="132"/>
        <v>1.4315935497277075</v>
      </c>
      <c r="AH610">
        <v>0.33011069983188973</v>
      </c>
      <c r="AI610">
        <v>0.56773423513029642</v>
      </c>
      <c r="AJ610">
        <v>2.1156873142934102E-2</v>
      </c>
      <c r="AK610">
        <v>5.7049987151864233E-3</v>
      </c>
      <c r="AL610">
        <v>0.29236056820025669</v>
      </c>
    </row>
    <row r="611" spans="1:38" x14ac:dyDescent="0.25">
      <c r="A611">
        <v>20</v>
      </c>
      <c r="B611" s="5" t="s">
        <v>17</v>
      </c>
      <c r="C611" s="6" t="s">
        <v>5</v>
      </c>
      <c r="D611" s="6" t="s">
        <v>56</v>
      </c>
      <c r="E611" s="29">
        <v>27202.400000000001</v>
      </c>
      <c r="F611" s="11">
        <v>21</v>
      </c>
      <c r="G611" s="11">
        <v>19</v>
      </c>
      <c r="H611" s="11">
        <f t="shared" si="128"/>
        <v>2</v>
      </c>
      <c r="I611" s="18">
        <v>1</v>
      </c>
      <c r="J611" s="19">
        <v>0.64662756598240467</v>
      </c>
      <c r="K611" s="19">
        <v>3.3</v>
      </c>
      <c r="L611" s="6">
        <v>508921.59375</v>
      </c>
      <c r="M611" s="6">
        <v>6834746</v>
      </c>
      <c r="N611" s="6">
        <v>3139190</v>
      </c>
      <c r="O611" s="6">
        <v>8066826.5</v>
      </c>
      <c r="P611" s="6">
        <v>5947.56640625</v>
      </c>
      <c r="Q611" s="7">
        <v>35023.375</v>
      </c>
      <c r="R611" s="7">
        <v>7796710</v>
      </c>
      <c r="S611" s="7">
        <v>2895464.5</v>
      </c>
      <c r="T611" s="31">
        <f t="shared" si="129"/>
        <v>2928.2829535156252</v>
      </c>
      <c r="U611" s="37">
        <v>2119.6666666666665</v>
      </c>
      <c r="V611">
        <f t="shared" si="130"/>
        <v>1.3814827583813298</v>
      </c>
      <c r="W611">
        <f t="shared" si="133"/>
        <v>-3.500350456029145E-2</v>
      </c>
      <c r="X611" s="29">
        <v>1885.742083333334</v>
      </c>
      <c r="Y611">
        <f t="shared" si="131"/>
        <v>2.4009510634533736E-2</v>
      </c>
      <c r="Z611">
        <f t="shared" si="134"/>
        <v>0.32244437804686271</v>
      </c>
      <c r="AA611">
        <f t="shared" si="135"/>
        <v>0.1480982858940085</v>
      </c>
      <c r="AB611">
        <f t="shared" si="136"/>
        <v>0.38057052209466902</v>
      </c>
      <c r="AC611">
        <f t="shared" si="137"/>
        <v>2.8058970307831419E-4</v>
      </c>
      <c r="AD611">
        <f t="shared" si="138"/>
        <v>1.6523057870734394E-3</v>
      </c>
      <c r="AE611">
        <f t="shared" si="139"/>
        <v>0.36782717408397547</v>
      </c>
      <c r="AF611">
        <f t="shared" si="140"/>
        <v>0.13659999213712851</v>
      </c>
      <c r="AG611">
        <f t="shared" si="132"/>
        <v>1.3814827583813296</v>
      </c>
      <c r="AH611">
        <v>0.33011069983188973</v>
      </c>
      <c r="AI611">
        <v>0.56773423513029642</v>
      </c>
      <c r="AJ611">
        <v>2.1156873142934102E-2</v>
      </c>
      <c r="AK611">
        <v>5.7049987151864233E-3</v>
      </c>
      <c r="AL611">
        <v>0.29236056820025669</v>
      </c>
    </row>
    <row r="612" spans="1:38" x14ac:dyDescent="0.25">
      <c r="A612">
        <v>20</v>
      </c>
      <c r="B612" s="5" t="s">
        <v>17</v>
      </c>
      <c r="C612" s="6" t="s">
        <v>5</v>
      </c>
      <c r="D612" s="6" t="s">
        <v>57</v>
      </c>
      <c r="E612" s="29">
        <v>27202.400000000001</v>
      </c>
      <c r="F612" s="11">
        <v>22</v>
      </c>
      <c r="G612" s="11">
        <v>19</v>
      </c>
      <c r="H612" s="11">
        <f t="shared" si="128"/>
        <v>3</v>
      </c>
      <c r="I612" s="18">
        <v>1</v>
      </c>
      <c r="J612" s="19">
        <v>0.64662756598240467</v>
      </c>
      <c r="K612" s="19">
        <v>3.3</v>
      </c>
      <c r="L612" s="6">
        <v>501988.9375</v>
      </c>
      <c r="M612" s="6">
        <v>7094369.5</v>
      </c>
      <c r="N612" s="6">
        <v>2029058.75</v>
      </c>
      <c r="O612" s="6">
        <v>9176423</v>
      </c>
      <c r="P612" s="6">
        <v>5947.56640625</v>
      </c>
      <c r="Q612" s="7">
        <v>102090.921875</v>
      </c>
      <c r="R612" s="7">
        <v>8097857.5</v>
      </c>
      <c r="S612" s="7">
        <v>2947310</v>
      </c>
      <c r="T612" s="31">
        <f t="shared" si="129"/>
        <v>2995.5046175781249</v>
      </c>
      <c r="U612" s="37">
        <v>2139.1111111111109</v>
      </c>
      <c r="V612">
        <f t="shared" si="130"/>
        <v>1.4003501744339875</v>
      </c>
      <c r="W612">
        <f t="shared" si="133"/>
        <v>1.365736628864221E-2</v>
      </c>
      <c r="X612" s="29">
        <v>1970.4362500000004</v>
      </c>
      <c r="Y612">
        <f t="shared" si="131"/>
        <v>2.3467174514336175E-2</v>
      </c>
      <c r="Z612">
        <f t="shared" si="134"/>
        <v>0.33165035061292336</v>
      </c>
      <c r="AA612">
        <f t="shared" si="135"/>
        <v>9.4855229326823207E-2</v>
      </c>
      <c r="AB612">
        <f t="shared" si="136"/>
        <v>0.42898299916891758</v>
      </c>
      <c r="AC612">
        <f t="shared" si="137"/>
        <v>2.7803915258804284E-4</v>
      </c>
      <c r="AD612">
        <f t="shared" si="138"/>
        <v>4.7725862085757327E-3</v>
      </c>
      <c r="AE612">
        <f t="shared" si="139"/>
        <v>0.37856179877415341</v>
      </c>
      <c r="AF612">
        <f t="shared" si="140"/>
        <v>0.13778199667567007</v>
      </c>
      <c r="AG612">
        <f t="shared" si="132"/>
        <v>1.4003501744339877</v>
      </c>
      <c r="AH612">
        <v>0.33011069983188973</v>
      </c>
      <c r="AI612">
        <v>0.56773423513029642</v>
      </c>
      <c r="AJ612">
        <v>2.1156873142934102E-2</v>
      </c>
      <c r="AK612">
        <v>5.7049987151864233E-3</v>
      </c>
      <c r="AL612">
        <v>0.29236056820025669</v>
      </c>
    </row>
    <row r="613" spans="1:38" x14ac:dyDescent="0.25">
      <c r="A613">
        <v>20</v>
      </c>
      <c r="B613" s="5" t="s">
        <v>17</v>
      </c>
      <c r="C613" s="6" t="s">
        <v>5</v>
      </c>
      <c r="D613" s="6" t="s">
        <v>58</v>
      </c>
      <c r="E613" s="29">
        <v>27202.400000000001</v>
      </c>
      <c r="F613" s="11">
        <v>23</v>
      </c>
      <c r="G613" s="11">
        <v>19</v>
      </c>
      <c r="H613" s="11">
        <f t="shared" si="128"/>
        <v>4</v>
      </c>
      <c r="I613" s="18">
        <v>1</v>
      </c>
      <c r="J613" s="19">
        <v>0.64662756598240467</v>
      </c>
      <c r="K613" s="19">
        <v>3.3</v>
      </c>
      <c r="L613" s="6">
        <v>530323.1875</v>
      </c>
      <c r="M613" s="6">
        <v>7204842.5</v>
      </c>
      <c r="N613" s="6">
        <v>1325136.25</v>
      </c>
      <c r="O613" s="6">
        <v>8300254.5</v>
      </c>
      <c r="P613" s="6">
        <v>5947.56640625</v>
      </c>
      <c r="Q613" s="7">
        <v>140618.0625</v>
      </c>
      <c r="R613" s="7">
        <v>8233505</v>
      </c>
      <c r="S613" s="7">
        <v>3032432</v>
      </c>
      <c r="T613" s="31">
        <f t="shared" si="129"/>
        <v>2877.3059066406249</v>
      </c>
      <c r="U613" s="37">
        <v>2158.5555555555552</v>
      </c>
      <c r="V613">
        <f t="shared" si="130"/>
        <v>1.3329774622826802</v>
      </c>
      <c r="W613">
        <f t="shared" si="133"/>
        <v>-4.8111331994898247E-2</v>
      </c>
      <c r="X613" s="29">
        <v>2055.1304166666669</v>
      </c>
      <c r="Y613">
        <f t="shared" si="131"/>
        <v>2.4568428926236684E-2</v>
      </c>
      <c r="Z613">
        <f t="shared" si="134"/>
        <v>0.33378073042672579</v>
      </c>
      <c r="AA613">
        <f t="shared" si="135"/>
        <v>6.1389953415349779E-2</v>
      </c>
      <c r="AB613">
        <f t="shared" si="136"/>
        <v>0.38452818500025743</v>
      </c>
      <c r="AC613">
        <f t="shared" si="137"/>
        <v>2.7553455323132758E-4</v>
      </c>
      <c r="AD613">
        <f t="shared" si="138"/>
        <v>6.5144518582385342E-3</v>
      </c>
      <c r="AE613">
        <f t="shared" si="139"/>
        <v>0.3814358624594637</v>
      </c>
      <c r="AF613">
        <f t="shared" si="140"/>
        <v>0.14048431564317704</v>
      </c>
      <c r="AG613">
        <f t="shared" si="132"/>
        <v>1.3329774622826802</v>
      </c>
      <c r="AH613">
        <v>0.33011069983188973</v>
      </c>
      <c r="AI613">
        <v>0.56773423513029642</v>
      </c>
      <c r="AJ613">
        <v>2.1156873142934102E-2</v>
      </c>
      <c r="AK613">
        <v>5.7049987151864233E-3</v>
      </c>
      <c r="AL613">
        <v>0.29236056820025669</v>
      </c>
    </row>
    <row r="614" spans="1:38" x14ac:dyDescent="0.25">
      <c r="A614">
        <v>20</v>
      </c>
      <c r="B614" s="5" t="s">
        <v>17</v>
      </c>
      <c r="C614" s="6" t="s">
        <v>5</v>
      </c>
      <c r="D614" s="6" t="s">
        <v>59</v>
      </c>
      <c r="E614" s="29">
        <v>27202.400000000001</v>
      </c>
      <c r="F614" s="11">
        <v>24</v>
      </c>
      <c r="G614" s="11">
        <v>19</v>
      </c>
      <c r="H614" s="11">
        <f t="shared" si="128"/>
        <v>5</v>
      </c>
      <c r="I614" s="18">
        <v>1</v>
      </c>
      <c r="J614" s="19">
        <v>0.64662756598240467</v>
      </c>
      <c r="K614" s="19">
        <v>3.3</v>
      </c>
      <c r="L614" s="6">
        <v>524189.21875</v>
      </c>
      <c r="M614" s="6">
        <v>7127117.5</v>
      </c>
      <c r="N614" s="6">
        <v>846061.25</v>
      </c>
      <c r="O614" s="6">
        <v>8245968.5</v>
      </c>
      <c r="P614" s="6">
        <v>5947.56640625</v>
      </c>
      <c r="Q614" s="7">
        <v>92317.96875</v>
      </c>
      <c r="R614" s="7">
        <v>8150444</v>
      </c>
      <c r="S614" s="7">
        <v>3013692.75</v>
      </c>
      <c r="T614" s="31">
        <f t="shared" si="129"/>
        <v>2800.5738753906248</v>
      </c>
      <c r="U614" s="37">
        <v>2178</v>
      </c>
      <c r="V614">
        <f t="shared" si="130"/>
        <v>1.2858465910884411</v>
      </c>
      <c r="W614">
        <f t="shared" si="133"/>
        <v>-3.5357590452826576E-2</v>
      </c>
      <c r="X614" s="29">
        <v>2139.8245833333335</v>
      </c>
      <c r="Y614">
        <f t="shared" si="131"/>
        <v>2.4067457242883377E-2</v>
      </c>
      <c r="Z614">
        <f t="shared" si="134"/>
        <v>0.32723220844811751</v>
      </c>
      <c r="AA614">
        <f t="shared" si="135"/>
        <v>3.8845787419651057E-2</v>
      </c>
      <c r="AB614">
        <f t="shared" si="136"/>
        <v>0.37860277777777779</v>
      </c>
      <c r="AC614">
        <f t="shared" si="137"/>
        <v>2.7307467429981634E-4</v>
      </c>
      <c r="AD614">
        <f t="shared" si="138"/>
        <v>4.2386578856749308E-3</v>
      </c>
      <c r="AE614">
        <f t="shared" si="139"/>
        <v>0.37421689623507803</v>
      </c>
      <c r="AF614">
        <f t="shared" si="140"/>
        <v>0.13836973140495867</v>
      </c>
      <c r="AG614">
        <f t="shared" si="132"/>
        <v>1.2858465910884411</v>
      </c>
      <c r="AH614">
        <v>0.33011069983188973</v>
      </c>
      <c r="AI614">
        <v>0.56773423513029642</v>
      </c>
      <c r="AJ614">
        <v>2.1156873142934102E-2</v>
      </c>
      <c r="AK614">
        <v>5.7049987151864233E-3</v>
      </c>
      <c r="AL614">
        <v>0.29236056820025669</v>
      </c>
    </row>
    <row r="615" spans="1:38" x14ac:dyDescent="0.25">
      <c r="A615">
        <v>20</v>
      </c>
      <c r="B615" s="5" t="s">
        <v>17</v>
      </c>
      <c r="C615" s="6" t="s">
        <v>5</v>
      </c>
      <c r="D615" s="6" t="s">
        <v>60</v>
      </c>
      <c r="E615" s="29">
        <v>27202.400000000001</v>
      </c>
      <c r="F615" s="11">
        <v>25</v>
      </c>
      <c r="G615" s="11">
        <v>19</v>
      </c>
      <c r="H615" s="11">
        <f t="shared" si="128"/>
        <v>6</v>
      </c>
      <c r="I615" s="18">
        <v>1</v>
      </c>
      <c r="J615" s="19">
        <v>0.64662756598240467</v>
      </c>
      <c r="K615" s="19">
        <v>3.3</v>
      </c>
      <c r="L615" s="6">
        <v>522968.25</v>
      </c>
      <c r="M615" s="6">
        <v>7164503.5</v>
      </c>
      <c r="N615" s="6">
        <v>470558.0625</v>
      </c>
      <c r="O615" s="6">
        <v>8637910</v>
      </c>
      <c r="P615" s="6">
        <v>5947.56640625</v>
      </c>
      <c r="Q615" s="7">
        <v>45476.00390625</v>
      </c>
      <c r="R615" s="7">
        <v>8196713.5</v>
      </c>
      <c r="S615" s="7">
        <v>2940177.75</v>
      </c>
      <c r="T615" s="31">
        <f t="shared" si="129"/>
        <v>2798.4254632812499</v>
      </c>
      <c r="U615" s="37">
        <v>2237.5555555555552</v>
      </c>
      <c r="V615">
        <f t="shared" si="130"/>
        <v>1.2506618914257253</v>
      </c>
      <c r="W615">
        <f t="shared" si="133"/>
        <v>-2.7363061742017598E-2</v>
      </c>
      <c r="X615" s="29">
        <v>2224.5187500000002</v>
      </c>
      <c r="Y615">
        <f t="shared" si="131"/>
        <v>2.3372302363690541E-2</v>
      </c>
      <c r="Z615">
        <f t="shared" si="134"/>
        <v>0.32019332356738511</v>
      </c>
      <c r="AA615">
        <f t="shared" si="135"/>
        <v>2.103000577266859E-2</v>
      </c>
      <c r="AB615">
        <f t="shared" si="136"/>
        <v>0.3860422584169233</v>
      </c>
      <c r="AC615">
        <f t="shared" si="137"/>
        <v>2.65806423955954E-4</v>
      </c>
      <c r="AD615">
        <f t="shared" si="138"/>
        <v>2.0323966389723413E-3</v>
      </c>
      <c r="AE615">
        <f t="shared" si="139"/>
        <v>0.36632446866620327</v>
      </c>
      <c r="AF615">
        <f t="shared" si="140"/>
        <v>0.13140132957592615</v>
      </c>
      <c r="AG615">
        <f t="shared" si="132"/>
        <v>1.2506618914257255</v>
      </c>
      <c r="AH615">
        <v>0.33011069983188973</v>
      </c>
      <c r="AI615">
        <v>0.56773423513029642</v>
      </c>
      <c r="AJ615">
        <v>2.1156873142934102E-2</v>
      </c>
      <c r="AK615">
        <v>5.7049987151864233E-3</v>
      </c>
      <c r="AL615">
        <v>0.29236056820025669</v>
      </c>
    </row>
    <row r="616" spans="1:38" x14ac:dyDescent="0.25">
      <c r="A616">
        <v>20</v>
      </c>
      <c r="B616" s="5" t="s">
        <v>17</v>
      </c>
      <c r="C616" s="6" t="s">
        <v>5</v>
      </c>
      <c r="D616" s="6" t="s">
        <v>61</v>
      </c>
      <c r="E616" s="29">
        <v>27202.400000000001</v>
      </c>
      <c r="F616" s="11">
        <v>26</v>
      </c>
      <c r="G616" s="11">
        <v>19</v>
      </c>
      <c r="H616" s="11">
        <f t="shared" si="128"/>
        <v>7</v>
      </c>
      <c r="I616" s="18">
        <v>1</v>
      </c>
      <c r="J616" s="19">
        <v>0.64662756598240467</v>
      </c>
      <c r="K616" s="19">
        <v>3.3</v>
      </c>
      <c r="L616" s="6">
        <v>529370.75</v>
      </c>
      <c r="M616" s="6">
        <v>6877323</v>
      </c>
      <c r="N616" s="6">
        <v>350327.96875</v>
      </c>
      <c r="O616" s="6">
        <v>9716020</v>
      </c>
      <c r="P616" s="6">
        <v>5947.56640625</v>
      </c>
      <c r="Q616" s="7">
        <v>27552.5625</v>
      </c>
      <c r="R616" s="7">
        <v>7870164.5</v>
      </c>
      <c r="S616" s="7">
        <v>2891869</v>
      </c>
      <c r="T616" s="31">
        <f t="shared" si="129"/>
        <v>2826.8575347656251</v>
      </c>
      <c r="U616" s="37">
        <v>2297.1111111111109</v>
      </c>
      <c r="V616">
        <f t="shared" si="130"/>
        <v>1.2306141923619343</v>
      </c>
      <c r="W616">
        <f t="shared" si="133"/>
        <v>-1.6029671329424691E-2</v>
      </c>
      <c r="X616" s="29">
        <v>2309.2129166666664</v>
      </c>
      <c r="Y616">
        <f t="shared" si="131"/>
        <v>2.3045065057560224E-2</v>
      </c>
      <c r="Z616">
        <f t="shared" si="134"/>
        <v>0.29939008900067721</v>
      </c>
      <c r="AA616">
        <f t="shared" si="135"/>
        <v>1.5250806417480896E-2</v>
      </c>
      <c r="AB616">
        <f t="shared" si="136"/>
        <v>0.42296691496565736</v>
      </c>
      <c r="AC616">
        <f t="shared" si="137"/>
        <v>2.5891505106051082E-4</v>
      </c>
      <c r="AD616">
        <f t="shared" si="138"/>
        <v>1.1994440480797139E-3</v>
      </c>
      <c r="AE616">
        <f t="shared" si="139"/>
        <v>0.34261139837477028</v>
      </c>
      <c r="AF616">
        <f t="shared" si="140"/>
        <v>0.12589155944664798</v>
      </c>
      <c r="AG616">
        <f t="shared" si="132"/>
        <v>1.230614192361934</v>
      </c>
      <c r="AH616">
        <v>0.33011069983188973</v>
      </c>
      <c r="AI616">
        <v>0.56773423513029642</v>
      </c>
      <c r="AJ616">
        <v>2.1156873142934102E-2</v>
      </c>
      <c r="AK616">
        <v>5.7049987151864233E-3</v>
      </c>
      <c r="AL616">
        <v>0.29236056820025669</v>
      </c>
    </row>
    <row r="617" spans="1:38" x14ac:dyDescent="0.25">
      <c r="A617">
        <v>20</v>
      </c>
      <c r="B617" s="5" t="s">
        <v>17</v>
      </c>
      <c r="C617" s="6" t="s">
        <v>5</v>
      </c>
      <c r="D617" s="6" t="s">
        <v>62</v>
      </c>
      <c r="E617" s="29">
        <v>27202.400000000001</v>
      </c>
      <c r="F617" s="11">
        <v>27</v>
      </c>
      <c r="G617" s="11">
        <v>19</v>
      </c>
      <c r="H617" s="11">
        <f t="shared" si="128"/>
        <v>8</v>
      </c>
      <c r="I617" s="18">
        <v>1</v>
      </c>
      <c r="J617" s="19">
        <v>0.64662756598240467</v>
      </c>
      <c r="K617" s="19">
        <v>3.3</v>
      </c>
      <c r="L617" s="6">
        <v>508019.65625</v>
      </c>
      <c r="M617" s="6">
        <v>6678839</v>
      </c>
      <c r="N617" s="6">
        <v>389387.78125</v>
      </c>
      <c r="O617" s="6">
        <v>10339219</v>
      </c>
      <c r="P617" s="6">
        <v>5947.56640625</v>
      </c>
      <c r="Q617" s="7">
        <v>38481.6015625</v>
      </c>
      <c r="R617" s="6">
        <v>7648074.5</v>
      </c>
      <c r="S617" s="6">
        <v>2916264.5</v>
      </c>
      <c r="T617" s="31">
        <f t="shared" si="129"/>
        <v>2852.4233605468748</v>
      </c>
      <c r="U617" s="37">
        <v>2356.6666666666665</v>
      </c>
      <c r="V617">
        <f t="shared" si="130"/>
        <v>1.2103635193268212</v>
      </c>
      <c r="W617">
        <f t="shared" si="133"/>
        <v>-1.6455744749900608E-2</v>
      </c>
      <c r="X617" s="29">
        <v>2393.907083333333</v>
      </c>
      <c r="Y617">
        <f t="shared" si="131"/>
        <v>2.1556703942715704E-2</v>
      </c>
      <c r="Z617">
        <f t="shared" si="134"/>
        <v>0.28340193776520511</v>
      </c>
      <c r="AA617">
        <f t="shared" si="135"/>
        <v>1.6522819572135784E-2</v>
      </c>
      <c r="AB617">
        <f t="shared" si="136"/>
        <v>0.43872216407355025</v>
      </c>
      <c r="AC617">
        <f t="shared" si="137"/>
        <v>2.523719832920792E-4</v>
      </c>
      <c r="AD617">
        <f t="shared" si="138"/>
        <v>1.6328826688472419E-3</v>
      </c>
      <c r="AE617">
        <f t="shared" si="139"/>
        <v>0.32452932814710045</v>
      </c>
      <c r="AF617">
        <f t="shared" si="140"/>
        <v>0.12374531117397455</v>
      </c>
      <c r="AG617">
        <f t="shared" si="132"/>
        <v>1.2103635193268212</v>
      </c>
      <c r="AH617">
        <v>0.33011069983188973</v>
      </c>
      <c r="AI617">
        <v>0.56773423513029642</v>
      </c>
      <c r="AJ617">
        <v>2.1156873142934102E-2</v>
      </c>
      <c r="AK617">
        <v>5.7049987151864233E-3</v>
      </c>
      <c r="AL617">
        <v>0.29236056820025669</v>
      </c>
    </row>
    <row r="618" spans="1:38" x14ac:dyDescent="0.25">
      <c r="A618">
        <v>20</v>
      </c>
      <c r="B618" s="5" t="s">
        <v>17</v>
      </c>
      <c r="C618" s="6" t="s">
        <v>5</v>
      </c>
      <c r="D618" s="6" t="s">
        <v>63</v>
      </c>
      <c r="E618" s="29">
        <v>27202.400000000001</v>
      </c>
      <c r="F618" s="11">
        <v>28</v>
      </c>
      <c r="G618" s="11">
        <v>19</v>
      </c>
      <c r="H618" s="11">
        <f t="shared" si="128"/>
        <v>9</v>
      </c>
      <c r="I618" s="18">
        <v>1</v>
      </c>
      <c r="J618" s="19">
        <v>0.64662756598240467</v>
      </c>
      <c r="K618" s="19">
        <v>3.3</v>
      </c>
      <c r="L618" s="6">
        <v>501465.5</v>
      </c>
      <c r="M618" s="6">
        <v>6971927</v>
      </c>
      <c r="N618" s="6">
        <v>699024.25</v>
      </c>
      <c r="O618" s="6">
        <v>9026594</v>
      </c>
      <c r="P618" s="6">
        <v>5947.56640625</v>
      </c>
      <c r="Q618" s="7">
        <v>105469.8359375</v>
      </c>
      <c r="R618" s="6">
        <v>7981223</v>
      </c>
      <c r="S618" s="6">
        <v>2958081</v>
      </c>
      <c r="T618" s="31">
        <f t="shared" si="129"/>
        <v>2824.9732152343749</v>
      </c>
      <c r="U618" s="37">
        <v>2408.7777777777778</v>
      </c>
      <c r="V618">
        <f t="shared" si="130"/>
        <v>1.1727828284104145</v>
      </c>
      <c r="W618">
        <f t="shared" si="133"/>
        <v>-3.1049094190568709E-2</v>
      </c>
      <c r="X618" s="29">
        <v>2478.6012499999997</v>
      </c>
      <c r="Y618">
        <f t="shared" si="131"/>
        <v>2.0818254993311497E-2</v>
      </c>
      <c r="Z618">
        <f t="shared" si="134"/>
        <v>0.28943836431569719</v>
      </c>
      <c r="AA618">
        <f t="shared" si="135"/>
        <v>2.9019872918492551E-2</v>
      </c>
      <c r="AB618">
        <f t="shared" si="136"/>
        <v>0.37473751556806123</v>
      </c>
      <c r="AC618">
        <f t="shared" si="137"/>
        <v>2.4691220838714886E-4</v>
      </c>
      <c r="AD618">
        <f t="shared" si="138"/>
        <v>4.3785623111651829E-3</v>
      </c>
      <c r="AE618">
        <f t="shared" si="139"/>
        <v>0.33133911619539647</v>
      </c>
      <c r="AF618">
        <f t="shared" si="140"/>
        <v>0.12280422989990314</v>
      </c>
      <c r="AG618">
        <f t="shared" si="132"/>
        <v>1.1727828284104143</v>
      </c>
      <c r="AH618">
        <v>0.33011069983188973</v>
      </c>
      <c r="AI618">
        <v>0.56773423513029642</v>
      </c>
      <c r="AJ618">
        <v>2.1156873142934102E-2</v>
      </c>
      <c r="AK618">
        <v>5.7049987151864233E-3</v>
      </c>
      <c r="AL618">
        <v>0.29236056820025669</v>
      </c>
    </row>
    <row r="619" spans="1:38" x14ac:dyDescent="0.25">
      <c r="A619">
        <v>20</v>
      </c>
      <c r="B619" s="5" t="s">
        <v>17</v>
      </c>
      <c r="C619" s="6" t="s">
        <v>5</v>
      </c>
      <c r="D619" s="6" t="s">
        <v>64</v>
      </c>
      <c r="E619" s="29">
        <v>27202.400000000001</v>
      </c>
      <c r="F619" s="11">
        <v>29</v>
      </c>
      <c r="G619" s="11">
        <v>19</v>
      </c>
      <c r="H619" s="11">
        <f t="shared" si="128"/>
        <v>10</v>
      </c>
      <c r="I619" s="18">
        <v>1</v>
      </c>
      <c r="J619" s="19">
        <v>0.64662756598240467</v>
      </c>
      <c r="K619" s="19">
        <v>3.3</v>
      </c>
      <c r="L619" s="6">
        <v>530220.75</v>
      </c>
      <c r="M619" s="6">
        <v>7177363.5</v>
      </c>
      <c r="N619" s="6">
        <v>1592422.25</v>
      </c>
      <c r="O619" s="6">
        <v>8883280</v>
      </c>
      <c r="P619" s="6">
        <v>5947.56640625</v>
      </c>
      <c r="Q619" s="7">
        <v>145560.96875</v>
      </c>
      <c r="R619" s="6">
        <v>8206987</v>
      </c>
      <c r="S619" s="6">
        <v>3043008.5</v>
      </c>
      <c r="T619" s="31">
        <f t="shared" si="129"/>
        <v>2958.4790535156249</v>
      </c>
      <c r="U619" s="37">
        <v>2460.8888888888887</v>
      </c>
      <c r="V619">
        <f t="shared" si="130"/>
        <v>1.2021993625447276</v>
      </c>
      <c r="W619">
        <f t="shared" si="133"/>
        <v>2.5082678072788779E-2</v>
      </c>
      <c r="X619" s="29">
        <v>2563.2954166666659</v>
      </c>
      <c r="Y619">
        <f t="shared" si="131"/>
        <v>2.1545903693335741E-2</v>
      </c>
      <c r="Z619">
        <f t="shared" si="134"/>
        <v>0.29165735732346038</v>
      </c>
      <c r="AA619">
        <f t="shared" si="135"/>
        <v>6.4709229953043165E-2</v>
      </c>
      <c r="AB619">
        <f t="shared" si="136"/>
        <v>0.36097850821744626</v>
      </c>
      <c r="AC619">
        <f t="shared" si="137"/>
        <v>2.4168366288716819E-4</v>
      </c>
      <c r="AD619">
        <f t="shared" si="138"/>
        <v>5.914975251715731E-3</v>
      </c>
      <c r="AE619">
        <f t="shared" si="139"/>
        <v>0.33349685298898318</v>
      </c>
      <c r="AF619">
        <f t="shared" si="140"/>
        <v>0.12365485145385589</v>
      </c>
      <c r="AG619">
        <f t="shared" si="132"/>
        <v>1.2021993625447274</v>
      </c>
      <c r="AH619">
        <v>0.33011069983188973</v>
      </c>
      <c r="AI619">
        <v>0.56773423513029642</v>
      </c>
      <c r="AJ619">
        <v>2.1156873142934102E-2</v>
      </c>
      <c r="AK619">
        <v>5.7049987151864233E-3</v>
      </c>
      <c r="AL619">
        <v>0.29236056820025669</v>
      </c>
    </row>
    <row r="620" spans="1:38" x14ac:dyDescent="0.25">
      <c r="A620">
        <v>20</v>
      </c>
      <c r="B620" s="5" t="s">
        <v>17</v>
      </c>
      <c r="C620" s="6" t="s">
        <v>5</v>
      </c>
      <c r="D620" s="6" t="s">
        <v>65</v>
      </c>
      <c r="E620" s="29">
        <v>27202.400000000001</v>
      </c>
      <c r="F620" s="11">
        <v>30</v>
      </c>
      <c r="G620" s="11">
        <v>19</v>
      </c>
      <c r="H620" s="11">
        <f t="shared" si="128"/>
        <v>11</v>
      </c>
      <c r="I620" s="18">
        <v>1</v>
      </c>
      <c r="J620" s="19">
        <v>0.64662756598240467</v>
      </c>
      <c r="K620" s="19">
        <v>3.3</v>
      </c>
      <c r="L620" s="6">
        <v>524583.1875</v>
      </c>
      <c r="M620" s="6">
        <v>7153755.5</v>
      </c>
      <c r="N620" s="6">
        <v>2352634.75</v>
      </c>
      <c r="O620" s="6">
        <v>9488021</v>
      </c>
      <c r="P620" s="6">
        <v>5947.56640625</v>
      </c>
      <c r="Q620" s="7">
        <v>96282.6484375</v>
      </c>
      <c r="R620" s="6">
        <v>8177111.5</v>
      </c>
      <c r="S620" s="6">
        <v>3011198</v>
      </c>
      <c r="T620" s="31">
        <f t="shared" si="129"/>
        <v>3080.9534152343749</v>
      </c>
      <c r="U620" s="37">
        <v>2513</v>
      </c>
      <c r="V620">
        <f t="shared" si="130"/>
        <v>1.2260061341959312</v>
      </c>
      <c r="W620">
        <f t="shared" si="133"/>
        <v>1.9802681978479147E-2</v>
      </c>
      <c r="X620" s="29">
        <v>2647.9895833333326</v>
      </c>
      <c r="Y620">
        <f t="shared" si="131"/>
        <v>2.0874778651014721E-2</v>
      </c>
      <c r="Z620">
        <f t="shared" si="134"/>
        <v>0.2846699363310784</v>
      </c>
      <c r="AA620">
        <f t="shared" si="135"/>
        <v>9.3618573418225229E-2</v>
      </c>
      <c r="AB620">
        <f t="shared" si="136"/>
        <v>0.37755754078790293</v>
      </c>
      <c r="AC620">
        <f t="shared" si="137"/>
        <v>2.3667196204735377E-4</v>
      </c>
      <c r="AD620">
        <f t="shared" si="138"/>
        <v>3.8313827472144842E-3</v>
      </c>
      <c r="AE620">
        <f t="shared" si="139"/>
        <v>0.32539241941902108</v>
      </c>
      <c r="AF620">
        <f t="shared" si="140"/>
        <v>0.11982483087942698</v>
      </c>
      <c r="AG620">
        <f t="shared" si="132"/>
        <v>1.2260061341959312</v>
      </c>
      <c r="AH620">
        <v>0.33011069983188973</v>
      </c>
      <c r="AI620">
        <v>0.56773423513029642</v>
      </c>
      <c r="AJ620">
        <v>2.1156873142934102E-2</v>
      </c>
      <c r="AK620">
        <v>5.7049987151864233E-3</v>
      </c>
      <c r="AL620">
        <v>0.29236056820025669</v>
      </c>
    </row>
    <row r="621" spans="1:38" x14ac:dyDescent="0.25">
      <c r="A621">
        <v>20</v>
      </c>
      <c r="B621" s="5" t="s">
        <v>17</v>
      </c>
      <c r="C621" s="6" t="s">
        <v>5</v>
      </c>
      <c r="D621" s="6" t="s">
        <v>66</v>
      </c>
      <c r="E621" s="29">
        <v>27202.400000000001</v>
      </c>
      <c r="F621" s="11">
        <v>31</v>
      </c>
      <c r="G621" s="11">
        <v>19</v>
      </c>
      <c r="H621" s="11">
        <f t="shared" si="128"/>
        <v>12</v>
      </c>
      <c r="I621" s="18">
        <v>1</v>
      </c>
      <c r="J621" s="19">
        <v>0.64662756598240467</v>
      </c>
      <c r="K621" s="19">
        <v>3.3</v>
      </c>
      <c r="L621" s="6">
        <v>523902.875</v>
      </c>
      <c r="M621" s="6">
        <v>7219760.5</v>
      </c>
      <c r="N621" s="6">
        <v>3577058.5</v>
      </c>
      <c r="O621" s="6">
        <v>10583503</v>
      </c>
      <c r="P621" s="6">
        <v>5950.42138671875</v>
      </c>
      <c r="Q621" s="7">
        <v>44324.859375</v>
      </c>
      <c r="R621" s="6">
        <v>8252095.5</v>
      </c>
      <c r="S621" s="6">
        <v>2921651.5</v>
      </c>
      <c r="T621" s="31">
        <f t="shared" si="129"/>
        <v>3312.8247155761719</v>
      </c>
      <c r="U621" s="37">
        <v>2565.1111111111113</v>
      </c>
      <c r="V621">
        <f t="shared" si="130"/>
        <v>1.2914936515717554</v>
      </c>
      <c r="W621">
        <f t="shared" si="133"/>
        <v>5.3415326032421405E-2</v>
      </c>
      <c r="X621" s="29">
        <v>2732.6837499999992</v>
      </c>
      <c r="Y621">
        <f t="shared" si="131"/>
        <v>2.0424178614744867E-2</v>
      </c>
      <c r="Z621">
        <f t="shared" si="134"/>
        <v>0.28145995191891188</v>
      </c>
      <c r="AA621">
        <f t="shared" si="135"/>
        <v>0.13945043099714113</v>
      </c>
      <c r="AB621">
        <f t="shared" si="136"/>
        <v>0.4125943298969072</v>
      </c>
      <c r="AC621">
        <f t="shared" si="137"/>
        <v>2.3197519050709845E-4</v>
      </c>
      <c r="AD621">
        <f t="shared" si="138"/>
        <v>1.7279898396214155E-3</v>
      </c>
      <c r="AE621">
        <f t="shared" si="139"/>
        <v>0.3217051871263969</v>
      </c>
      <c r="AF621">
        <f t="shared" si="140"/>
        <v>0.11389960798752491</v>
      </c>
      <c r="AG621">
        <f t="shared" si="132"/>
        <v>1.2914936515717554</v>
      </c>
      <c r="AH621">
        <v>0.33011069983188973</v>
      </c>
      <c r="AI621">
        <v>0.56773423513029642</v>
      </c>
      <c r="AJ621">
        <v>2.1156873142934102E-2</v>
      </c>
      <c r="AK621">
        <v>5.7049987151864233E-3</v>
      </c>
      <c r="AL621">
        <v>0.29236056820025669</v>
      </c>
    </row>
    <row r="622" spans="1:38" x14ac:dyDescent="0.25">
      <c r="A622">
        <v>21</v>
      </c>
      <c r="B622" s="5" t="s">
        <v>24</v>
      </c>
      <c r="C622" s="6" t="s">
        <v>5</v>
      </c>
      <c r="D622" s="6" t="s">
        <v>36</v>
      </c>
      <c r="E622" s="28">
        <v>6475.2</v>
      </c>
      <c r="F622" s="11">
        <v>1</v>
      </c>
      <c r="G622" s="11">
        <v>15</v>
      </c>
      <c r="H622" s="18">
        <f t="shared" si="128"/>
        <v>-14</v>
      </c>
      <c r="I622" s="18">
        <v>1</v>
      </c>
      <c r="J622" s="19">
        <v>0.63489736070381231</v>
      </c>
      <c r="K622" s="19">
        <v>0.1</v>
      </c>
      <c r="L622" s="14">
        <v>716048.875</v>
      </c>
      <c r="M622" s="14">
        <v>1275815.625</v>
      </c>
      <c r="N622" s="14">
        <v>273568.1875</v>
      </c>
      <c r="O622" s="14">
        <v>890924.0625</v>
      </c>
      <c r="P622" s="14">
        <v>756.65765380859398</v>
      </c>
      <c r="Q622" s="16">
        <v>5052.66796875</v>
      </c>
      <c r="R622" s="14">
        <v>73482.1171875</v>
      </c>
      <c r="S622" s="14">
        <v>446669.8125</v>
      </c>
      <c r="T622" s="31">
        <f t="shared" si="129"/>
        <v>368.23180053100583</v>
      </c>
      <c r="U622" s="37"/>
      <c r="X622" s="28">
        <v>502.92874999999998</v>
      </c>
      <c r="Y622" t="e">
        <f t="shared" si="131"/>
        <v>#DIV/0!</v>
      </c>
      <c r="Z622" t="e">
        <f t="shared" si="134"/>
        <v>#DIV/0!</v>
      </c>
      <c r="AA622" t="e">
        <f t="shared" si="135"/>
        <v>#DIV/0!</v>
      </c>
      <c r="AB622" t="e">
        <f t="shared" si="136"/>
        <v>#DIV/0!</v>
      </c>
      <c r="AC622" t="e">
        <f t="shared" si="137"/>
        <v>#DIV/0!</v>
      </c>
      <c r="AD622" t="e">
        <f t="shared" si="138"/>
        <v>#DIV/0!</v>
      </c>
      <c r="AE622" t="e">
        <f t="shared" si="139"/>
        <v>#DIV/0!</v>
      </c>
      <c r="AF622" t="e">
        <f t="shared" si="140"/>
        <v>#DIV/0!</v>
      </c>
      <c r="AG622" t="e">
        <f t="shared" si="132"/>
        <v>#DIV/0!</v>
      </c>
      <c r="AH622">
        <v>0.19043427230046947</v>
      </c>
      <c r="AI622">
        <v>0.6098039215686275</v>
      </c>
      <c r="AJ622">
        <v>2.899621912044802E-2</v>
      </c>
      <c r="AK622">
        <v>2.1859556461576476E-3</v>
      </c>
      <c r="AL622">
        <v>0.46726895509214406</v>
      </c>
    </row>
    <row r="623" spans="1:38" x14ac:dyDescent="0.25">
      <c r="A623">
        <v>21</v>
      </c>
      <c r="B623" s="5" t="s">
        <v>24</v>
      </c>
      <c r="C623" s="6" t="s">
        <v>5</v>
      </c>
      <c r="D623" s="6" t="s">
        <v>37</v>
      </c>
      <c r="E623" s="28">
        <v>6475.2</v>
      </c>
      <c r="F623" s="11">
        <v>2</v>
      </c>
      <c r="G623" s="11">
        <v>15</v>
      </c>
      <c r="H623" s="11">
        <f t="shared" si="128"/>
        <v>-13</v>
      </c>
      <c r="I623" s="18">
        <v>1</v>
      </c>
      <c r="J623" s="19">
        <v>0.63489736070381231</v>
      </c>
      <c r="K623" s="19">
        <v>0.1</v>
      </c>
      <c r="L623" s="6">
        <v>777770.25</v>
      </c>
      <c r="M623" s="6">
        <v>1224613.875</v>
      </c>
      <c r="N623" s="6">
        <v>273568.1875</v>
      </c>
      <c r="O623" s="6">
        <v>854898.5625</v>
      </c>
      <c r="P623" s="6">
        <v>756.65765380859398</v>
      </c>
      <c r="Q623" s="7">
        <v>3050.33740234375</v>
      </c>
      <c r="R623" s="6">
        <v>74542.578125</v>
      </c>
      <c r="S623" s="6">
        <v>438943.46875</v>
      </c>
      <c r="T623" s="31">
        <f t="shared" si="129"/>
        <v>364.81439169311523</v>
      </c>
      <c r="U623" s="37">
        <v>522</v>
      </c>
      <c r="V623">
        <f t="shared" si="130"/>
        <v>0.6988781450059679</v>
      </c>
      <c r="W623" t="e">
        <f>(V623-V622)/V622</f>
        <v>#DIV/0!</v>
      </c>
      <c r="X623" s="28">
        <v>581.07958333333329</v>
      </c>
      <c r="Y623">
        <f t="shared" si="131"/>
        <v>0.14899813218390803</v>
      </c>
      <c r="Z623">
        <f t="shared" si="134"/>
        <v>0.23460035919540229</v>
      </c>
      <c r="AA623">
        <f t="shared" si="135"/>
        <v>5.2407698754789268E-2</v>
      </c>
      <c r="AB623">
        <f t="shared" si="136"/>
        <v>0.16377367097701148</v>
      </c>
      <c r="AC623">
        <f t="shared" si="137"/>
        <v>1.4495357352655057E-4</v>
      </c>
      <c r="AD623">
        <f t="shared" si="138"/>
        <v>5.8435582420378351E-4</v>
      </c>
      <c r="AE623">
        <f t="shared" si="139"/>
        <v>1.42801873802682E-2</v>
      </c>
      <c r="AF623">
        <f t="shared" si="140"/>
        <v>8.408878711685823E-2</v>
      </c>
      <c r="AG623">
        <f t="shared" si="132"/>
        <v>0.69887814500596779</v>
      </c>
      <c r="AH623">
        <v>0.19043427230046947</v>
      </c>
      <c r="AI623">
        <v>0.6098039215686275</v>
      </c>
      <c r="AJ623">
        <v>2.899621912044802E-2</v>
      </c>
      <c r="AK623">
        <v>2.1859556461576476E-3</v>
      </c>
      <c r="AL623">
        <v>0.46726895509214406</v>
      </c>
    </row>
    <row r="624" spans="1:38" x14ac:dyDescent="0.25">
      <c r="A624">
        <v>21</v>
      </c>
      <c r="B624" s="5" t="s">
        <v>24</v>
      </c>
      <c r="C624" s="6" t="s">
        <v>5</v>
      </c>
      <c r="D624" s="6" t="s">
        <v>38</v>
      </c>
      <c r="E624" s="28">
        <v>6475.2</v>
      </c>
      <c r="F624" s="11">
        <v>3</v>
      </c>
      <c r="G624" s="11">
        <v>15</v>
      </c>
      <c r="H624" s="11">
        <f t="shared" si="128"/>
        <v>-12</v>
      </c>
      <c r="I624" s="18">
        <v>1</v>
      </c>
      <c r="J624" s="19">
        <v>0.63489736070381231</v>
      </c>
      <c r="K624" s="19">
        <v>0.1</v>
      </c>
      <c r="L624" s="6">
        <v>777467.6875</v>
      </c>
      <c r="M624" s="6">
        <v>1189223.75</v>
      </c>
      <c r="N624" s="6">
        <v>273568.1875</v>
      </c>
      <c r="O624" s="6">
        <v>829992.875</v>
      </c>
      <c r="P624" s="6">
        <v>756.65765380859398</v>
      </c>
      <c r="Q624" s="7">
        <v>4263.4189453125</v>
      </c>
      <c r="R624" s="6">
        <v>71013.9375</v>
      </c>
      <c r="S624" s="6">
        <v>443211.65625</v>
      </c>
      <c r="T624" s="31">
        <f t="shared" si="129"/>
        <v>358.94981703491209</v>
      </c>
      <c r="U624" s="37">
        <v>537.33333333333337</v>
      </c>
      <c r="V624">
        <f t="shared" si="130"/>
        <v>0.66802075130566763</v>
      </c>
      <c r="W624">
        <f t="shared" ref="W624:W652" si="141">(V624-V623)/V623</f>
        <v>-4.4152752408700341E-2</v>
      </c>
      <c r="X624" s="28">
        <v>659.23041666666666</v>
      </c>
      <c r="Y624">
        <f t="shared" si="131"/>
        <v>0.14469001628411909</v>
      </c>
      <c r="Z624">
        <f t="shared" si="134"/>
        <v>0.22131955645161289</v>
      </c>
      <c r="AA624">
        <f t="shared" si="135"/>
        <v>5.091219370347394E-2</v>
      </c>
      <c r="AB624">
        <f t="shared" si="136"/>
        <v>0.15446517524813894</v>
      </c>
      <c r="AC624">
        <f t="shared" si="137"/>
        <v>1.4081718122988719E-4</v>
      </c>
      <c r="AD624">
        <f t="shared" si="138"/>
        <v>7.9344025036833128E-4</v>
      </c>
      <c r="AE624">
        <f t="shared" si="139"/>
        <v>1.3215993331265509E-2</v>
      </c>
      <c r="AF624">
        <f t="shared" si="140"/>
        <v>8.2483558855459049E-2</v>
      </c>
      <c r="AG624">
        <f t="shared" si="132"/>
        <v>0.66802075130566774</v>
      </c>
      <c r="AH624">
        <v>0.19043427230046947</v>
      </c>
      <c r="AI624">
        <v>0.6098039215686275</v>
      </c>
      <c r="AJ624">
        <v>2.899621912044802E-2</v>
      </c>
      <c r="AK624">
        <v>2.1859556461576476E-3</v>
      </c>
      <c r="AL624">
        <v>0.46726895509214406</v>
      </c>
    </row>
    <row r="625" spans="1:38" x14ac:dyDescent="0.25">
      <c r="A625">
        <v>21</v>
      </c>
      <c r="B625" s="5" t="s">
        <v>24</v>
      </c>
      <c r="C625" s="6" t="s">
        <v>5</v>
      </c>
      <c r="D625" s="6" t="s">
        <v>39</v>
      </c>
      <c r="E625" s="28">
        <v>6475.2</v>
      </c>
      <c r="F625" s="11">
        <v>4</v>
      </c>
      <c r="G625" s="11">
        <v>15</v>
      </c>
      <c r="H625" s="11">
        <f t="shared" si="128"/>
        <v>-11</v>
      </c>
      <c r="I625" s="18">
        <v>1</v>
      </c>
      <c r="J625" s="19">
        <v>0.63489736070381231</v>
      </c>
      <c r="K625" s="19">
        <v>0.1</v>
      </c>
      <c r="L625" s="6">
        <v>738942.25</v>
      </c>
      <c r="M625" s="6">
        <v>1241442.5</v>
      </c>
      <c r="N625" s="6">
        <v>273568.1875</v>
      </c>
      <c r="O625" s="6">
        <v>866642.9375</v>
      </c>
      <c r="P625" s="6">
        <v>756.65765380859398</v>
      </c>
      <c r="Q625" s="7">
        <v>11716.1142578125</v>
      </c>
      <c r="R625" s="6">
        <v>69923.171875</v>
      </c>
      <c r="S625" s="6">
        <v>449933.40625</v>
      </c>
      <c r="T625" s="31">
        <f t="shared" si="129"/>
        <v>365.2925225036621</v>
      </c>
      <c r="U625" s="37">
        <v>576.88888888888891</v>
      </c>
      <c r="V625">
        <f t="shared" si="130"/>
        <v>0.63321122930141738</v>
      </c>
      <c r="W625">
        <f t="shared" si="141"/>
        <v>-5.2108444140715596E-2</v>
      </c>
      <c r="X625" s="28">
        <v>737.38125000000002</v>
      </c>
      <c r="Y625">
        <f t="shared" si="131"/>
        <v>0.12809091390600924</v>
      </c>
      <c r="Z625">
        <f t="shared" si="134"/>
        <v>0.21519611902927582</v>
      </c>
      <c r="AA625">
        <f t="shared" si="135"/>
        <v>4.7421295984206469E-2</v>
      </c>
      <c r="AB625">
        <f t="shared" si="136"/>
        <v>0.15022701150808937</v>
      </c>
      <c r="AC625">
        <f t="shared" si="137"/>
        <v>1.3116176587591187E-4</v>
      </c>
      <c r="AD625">
        <f t="shared" si="138"/>
        <v>2.0309134884497785E-3</v>
      </c>
      <c r="AE625">
        <f t="shared" si="139"/>
        <v>1.2120734724094761E-2</v>
      </c>
      <c r="AF625">
        <f t="shared" si="140"/>
        <v>7.7993078895416026E-2</v>
      </c>
      <c r="AG625">
        <f t="shared" si="132"/>
        <v>0.63321122930141749</v>
      </c>
      <c r="AH625">
        <v>0.19043427230046947</v>
      </c>
      <c r="AI625">
        <v>0.6098039215686275</v>
      </c>
      <c r="AJ625">
        <v>2.899621912044802E-2</v>
      </c>
      <c r="AK625">
        <v>2.1859556461576476E-3</v>
      </c>
      <c r="AL625">
        <v>0.46726895509214406</v>
      </c>
    </row>
    <row r="626" spans="1:38" x14ac:dyDescent="0.25">
      <c r="A626">
        <v>21</v>
      </c>
      <c r="B626" s="5" t="s">
        <v>24</v>
      </c>
      <c r="C626" s="6" t="s">
        <v>5</v>
      </c>
      <c r="D626" s="6" t="s">
        <v>40</v>
      </c>
      <c r="E626" s="28">
        <v>6475.2</v>
      </c>
      <c r="F626" s="11">
        <v>5</v>
      </c>
      <c r="G626" s="11">
        <v>15</v>
      </c>
      <c r="H626" s="11">
        <f t="shared" si="128"/>
        <v>-10</v>
      </c>
      <c r="I626" s="18">
        <v>1</v>
      </c>
      <c r="J626" s="19">
        <v>0.63489736070381231</v>
      </c>
      <c r="K626" s="19">
        <v>0.1</v>
      </c>
      <c r="L626" s="6">
        <v>837373.75</v>
      </c>
      <c r="M626" s="6">
        <v>1278100.5</v>
      </c>
      <c r="N626" s="6">
        <v>273568.1875</v>
      </c>
      <c r="O626" s="6">
        <v>892371.5</v>
      </c>
      <c r="P626" s="6">
        <v>756.65765380859398</v>
      </c>
      <c r="Q626" s="7">
        <v>16168.2255859375</v>
      </c>
      <c r="R626" s="6">
        <v>74663.09375</v>
      </c>
      <c r="S626" s="6">
        <v>465460.28125</v>
      </c>
      <c r="T626" s="31">
        <f t="shared" si="129"/>
        <v>383.84621957397462</v>
      </c>
      <c r="U626" s="37">
        <v>616.44444444444446</v>
      </c>
      <c r="V626">
        <f t="shared" si="130"/>
        <v>0.62267771740551037</v>
      </c>
      <c r="W626">
        <f t="shared" si="141"/>
        <v>-1.6635068060192142E-2</v>
      </c>
      <c r="X626" s="28">
        <v>815.53208333333339</v>
      </c>
      <c r="Y626">
        <f t="shared" si="131"/>
        <v>0.1358392889329488</v>
      </c>
      <c r="Z626">
        <f t="shared" si="134"/>
        <v>0.20733425558759913</v>
      </c>
      <c r="AA626">
        <f t="shared" si="135"/>
        <v>4.4378401000360494E-2</v>
      </c>
      <c r="AB626">
        <f t="shared" si="136"/>
        <v>0.14476105803893294</v>
      </c>
      <c r="AC626">
        <f t="shared" si="137"/>
        <v>1.2274547376130759E-4</v>
      </c>
      <c r="AD626">
        <f t="shared" si="138"/>
        <v>2.6228195795500631E-3</v>
      </c>
      <c r="AE626">
        <f t="shared" si="139"/>
        <v>1.2111893362472963E-2</v>
      </c>
      <c r="AF626">
        <f t="shared" si="140"/>
        <v>7.5507255429884637E-2</v>
      </c>
      <c r="AG626">
        <f t="shared" si="132"/>
        <v>0.62267771740551037</v>
      </c>
      <c r="AH626">
        <v>0.19043427230046947</v>
      </c>
      <c r="AI626">
        <v>0.6098039215686275</v>
      </c>
      <c r="AJ626">
        <v>2.899621912044802E-2</v>
      </c>
      <c r="AK626">
        <v>2.1859556461576476E-3</v>
      </c>
      <c r="AL626">
        <v>0.46726895509214406</v>
      </c>
    </row>
    <row r="627" spans="1:38" x14ac:dyDescent="0.25">
      <c r="A627">
        <v>21</v>
      </c>
      <c r="B627" s="5" t="s">
        <v>24</v>
      </c>
      <c r="C627" s="6" t="s">
        <v>5</v>
      </c>
      <c r="D627" s="6" t="s">
        <v>41</v>
      </c>
      <c r="E627" s="28">
        <v>6475.2</v>
      </c>
      <c r="F627" s="11">
        <v>6</v>
      </c>
      <c r="G627" s="11">
        <v>15</v>
      </c>
      <c r="H627" s="11">
        <f t="shared" si="128"/>
        <v>-9</v>
      </c>
      <c r="I627" s="18">
        <v>1</v>
      </c>
      <c r="J627" s="19">
        <v>0.63489736070381231</v>
      </c>
      <c r="K627" s="19">
        <v>0.1</v>
      </c>
      <c r="L627" s="6">
        <v>884673.3125</v>
      </c>
      <c r="M627" s="6">
        <v>1273934.875</v>
      </c>
      <c r="N627" s="6">
        <v>273568.1875</v>
      </c>
      <c r="O627" s="6">
        <v>889799.875</v>
      </c>
      <c r="P627" s="6">
        <v>756.65765380859398</v>
      </c>
      <c r="Q627" s="7">
        <v>10691.1064453125</v>
      </c>
      <c r="R627" s="6">
        <v>73721.09375</v>
      </c>
      <c r="S627" s="6">
        <v>458893.84375</v>
      </c>
      <c r="T627" s="31">
        <f t="shared" si="129"/>
        <v>386.6038951599121</v>
      </c>
      <c r="U627" s="37">
        <v>656</v>
      </c>
      <c r="V627">
        <f t="shared" si="130"/>
        <v>0.5893352060364514</v>
      </c>
      <c r="W627">
        <f t="shared" si="141"/>
        <v>-5.3546980142450018E-2</v>
      </c>
      <c r="X627" s="28">
        <v>893.68291666666676</v>
      </c>
      <c r="Y627">
        <f t="shared" si="131"/>
        <v>0.13485873666158535</v>
      </c>
      <c r="Z627">
        <f t="shared" si="134"/>
        <v>0.19419738948170731</v>
      </c>
      <c r="AA627">
        <f t="shared" si="135"/>
        <v>4.1702467606707316E-2</v>
      </c>
      <c r="AB627">
        <f t="shared" si="136"/>
        <v>0.13564022484756097</v>
      </c>
      <c r="AC627">
        <f t="shared" si="137"/>
        <v>1.1534415454399299E-4</v>
      </c>
      <c r="AD627">
        <f t="shared" si="138"/>
        <v>1.6297418361756861E-3</v>
      </c>
      <c r="AE627">
        <f t="shared" si="139"/>
        <v>1.1237971608231707E-2</v>
      </c>
      <c r="AF627">
        <f t="shared" si="140"/>
        <v>6.9953329839939016E-2</v>
      </c>
      <c r="AG627">
        <f t="shared" si="132"/>
        <v>0.5893352060364514</v>
      </c>
      <c r="AH627">
        <v>0.19043427230046947</v>
      </c>
      <c r="AI627">
        <v>0.6098039215686275</v>
      </c>
      <c r="AJ627">
        <v>2.899621912044802E-2</v>
      </c>
      <c r="AK627">
        <v>2.1859556461576476E-3</v>
      </c>
      <c r="AL627">
        <v>0.46726895509214406</v>
      </c>
    </row>
    <row r="628" spans="1:38" x14ac:dyDescent="0.25">
      <c r="A628">
        <v>21</v>
      </c>
      <c r="B628" s="5" t="s">
        <v>24</v>
      </c>
      <c r="C628" s="6" t="s">
        <v>5</v>
      </c>
      <c r="D628" s="6" t="s">
        <v>42</v>
      </c>
      <c r="E628" s="28">
        <v>6475.2</v>
      </c>
      <c r="F628" s="11">
        <v>7</v>
      </c>
      <c r="G628" s="11">
        <v>15</v>
      </c>
      <c r="H628" s="11">
        <f t="shared" si="128"/>
        <v>-8</v>
      </c>
      <c r="I628" s="18">
        <v>1</v>
      </c>
      <c r="J628" s="19">
        <v>0.63489736070381231</v>
      </c>
      <c r="K628" s="19">
        <v>0.1</v>
      </c>
      <c r="L628" s="6">
        <v>1080527.875</v>
      </c>
      <c r="M628" s="6">
        <v>1285667.875</v>
      </c>
      <c r="N628" s="6">
        <v>273699.5</v>
      </c>
      <c r="O628" s="6">
        <v>898390.125</v>
      </c>
      <c r="P628" s="6">
        <v>757.02087402343795</v>
      </c>
      <c r="Q628" s="7">
        <v>4936.67529296875</v>
      </c>
      <c r="R628" s="6">
        <v>73593.46875</v>
      </c>
      <c r="S628" s="6">
        <v>443254.5625</v>
      </c>
      <c r="T628" s="31">
        <f t="shared" si="129"/>
        <v>406.0827102416992</v>
      </c>
      <c r="U628" s="37">
        <v>695.55555555555554</v>
      </c>
      <c r="V628">
        <f t="shared" si="130"/>
        <v>0.58382498277560591</v>
      </c>
      <c r="W628">
        <f t="shared" si="141"/>
        <v>-9.3498966367617214E-3</v>
      </c>
      <c r="X628" s="28">
        <v>971.83375000000012</v>
      </c>
      <c r="Y628">
        <f t="shared" si="131"/>
        <v>0.15534745806709266</v>
      </c>
      <c r="Z628">
        <f t="shared" si="134"/>
        <v>0.18484042931309905</v>
      </c>
      <c r="AA628">
        <f t="shared" si="135"/>
        <v>3.9349768370607031E-2</v>
      </c>
      <c r="AB628">
        <f t="shared" si="136"/>
        <v>0.1291615195686901</v>
      </c>
      <c r="AC628">
        <f t="shared" si="137"/>
        <v>1.0883686687237926E-4</v>
      </c>
      <c r="AD628">
        <f t="shared" si="138"/>
        <v>7.0974564914886185E-4</v>
      </c>
      <c r="AE628">
        <f t="shared" si="139"/>
        <v>1.0580530650958467E-2</v>
      </c>
      <c r="AF628">
        <f t="shared" si="140"/>
        <v>6.3726694289137381E-2</v>
      </c>
      <c r="AG628">
        <f t="shared" si="132"/>
        <v>0.58382498277560579</v>
      </c>
      <c r="AH628">
        <v>0.19043427230046947</v>
      </c>
      <c r="AI628">
        <v>0.6098039215686275</v>
      </c>
      <c r="AJ628">
        <v>2.899621912044802E-2</v>
      </c>
      <c r="AK628">
        <v>2.1859556461576476E-3</v>
      </c>
      <c r="AL628">
        <v>0.46726895509214406</v>
      </c>
    </row>
    <row r="629" spans="1:38" x14ac:dyDescent="0.25">
      <c r="A629">
        <v>21</v>
      </c>
      <c r="B629" s="5" t="s">
        <v>24</v>
      </c>
      <c r="C629" s="6" t="s">
        <v>5</v>
      </c>
      <c r="D629" s="6" t="s">
        <v>43</v>
      </c>
      <c r="E629" s="28">
        <v>6818.2</v>
      </c>
      <c r="F629" s="11">
        <v>8</v>
      </c>
      <c r="G629" s="11">
        <v>15</v>
      </c>
      <c r="H629" s="18">
        <f t="shared" si="128"/>
        <v>-7</v>
      </c>
      <c r="I629" s="18">
        <v>1</v>
      </c>
      <c r="J629" s="19">
        <v>0.63489736070381231</v>
      </c>
      <c r="K629" s="19">
        <v>0.1</v>
      </c>
      <c r="L629" s="14">
        <v>804987.375</v>
      </c>
      <c r="M629" s="14">
        <v>1145394.375</v>
      </c>
      <c r="N629" s="14">
        <v>266596.625</v>
      </c>
      <c r="O629" s="14">
        <v>870219.1875</v>
      </c>
      <c r="P629" s="14">
        <v>773.90313720703102</v>
      </c>
      <c r="Q629" s="14">
        <v>2601.15551757812</v>
      </c>
      <c r="R629" s="14">
        <v>78399.3125</v>
      </c>
      <c r="S629" s="14">
        <v>400988.71875</v>
      </c>
      <c r="T629" s="31">
        <f t="shared" si="129"/>
        <v>356.99606524047852</v>
      </c>
      <c r="U629" s="37">
        <v>554.66666666666663</v>
      </c>
      <c r="V629">
        <f t="shared" si="130"/>
        <v>0.64362271377490121</v>
      </c>
      <c r="W629">
        <f t="shared" si="141"/>
        <v>0.10242407016398382</v>
      </c>
      <c r="X629" s="28">
        <v>397.41541666666683</v>
      </c>
      <c r="Y629">
        <f t="shared" si="131"/>
        <v>0.14512993539663463</v>
      </c>
      <c r="Z629">
        <f t="shared" si="134"/>
        <v>0.20650138972355772</v>
      </c>
      <c r="AA629">
        <f t="shared" si="135"/>
        <v>4.8064295372596155E-2</v>
      </c>
      <c r="AB629">
        <f t="shared" si="136"/>
        <v>0.15689047851562499</v>
      </c>
      <c r="AC629">
        <f t="shared" si="137"/>
        <v>1.3952580598684453E-4</v>
      </c>
      <c r="AD629">
        <f t="shared" si="138"/>
        <v>4.6895832648643994E-4</v>
      </c>
      <c r="AE629">
        <f t="shared" si="139"/>
        <v>1.4134491436298077E-2</v>
      </c>
      <c r="AF629">
        <f t="shared" si="140"/>
        <v>7.229363919771635E-2</v>
      </c>
      <c r="AG629">
        <f t="shared" si="132"/>
        <v>0.64362271377490121</v>
      </c>
      <c r="AH629">
        <v>0.18793816549822537</v>
      </c>
      <c r="AI629">
        <v>0.6144109055501461</v>
      </c>
      <c r="AJ629">
        <v>2.9195212781078547E-2</v>
      </c>
      <c r="AK629">
        <v>2.1907541579889119E-3</v>
      </c>
      <c r="AL629">
        <v>0.39689229844996354</v>
      </c>
    </row>
    <row r="630" spans="1:38" x14ac:dyDescent="0.25">
      <c r="A630">
        <v>21</v>
      </c>
      <c r="B630" s="5" t="s">
        <v>24</v>
      </c>
      <c r="C630" s="6" t="s">
        <v>5</v>
      </c>
      <c r="D630" s="6" t="s">
        <v>44</v>
      </c>
      <c r="E630" s="28">
        <v>6818.2</v>
      </c>
      <c r="F630" s="11">
        <v>9</v>
      </c>
      <c r="G630" s="11">
        <v>15</v>
      </c>
      <c r="H630" s="11">
        <f t="shared" si="128"/>
        <v>-6</v>
      </c>
      <c r="I630" s="18">
        <v>1</v>
      </c>
      <c r="J630" s="19">
        <v>0.63489736070381231</v>
      </c>
      <c r="K630" s="19">
        <v>0.1</v>
      </c>
      <c r="L630" s="6">
        <v>800998.5</v>
      </c>
      <c r="M630" s="6">
        <v>1122990.5</v>
      </c>
      <c r="N630" s="6">
        <v>266596.625</v>
      </c>
      <c r="O630" s="6">
        <v>853060.1875</v>
      </c>
      <c r="P630" s="6">
        <v>773.90313720703102</v>
      </c>
      <c r="Q630" s="6">
        <v>3696.47631835938</v>
      </c>
      <c r="R630" s="6">
        <v>74730.9453125</v>
      </c>
      <c r="S630" s="6">
        <v>404775.6875</v>
      </c>
      <c r="T630" s="31">
        <f t="shared" si="129"/>
        <v>352.76228247680666</v>
      </c>
      <c r="U630" s="37">
        <v>547</v>
      </c>
      <c r="V630">
        <f t="shared" si="130"/>
        <v>0.6449036242720414</v>
      </c>
      <c r="W630">
        <f t="shared" si="141"/>
        <v>1.9901573852599743E-3</v>
      </c>
      <c r="X630" s="28">
        <v>429.5462500000001</v>
      </c>
      <c r="Y630">
        <f t="shared" si="131"/>
        <v>0.14643482632541133</v>
      </c>
      <c r="Z630">
        <f t="shared" si="134"/>
        <v>0.20529990859232175</v>
      </c>
      <c r="AA630">
        <f t="shared" si="135"/>
        <v>4.8737957038391226E-2</v>
      </c>
      <c r="AB630">
        <f t="shared" si="136"/>
        <v>0.15595250228519197</v>
      </c>
      <c r="AC630">
        <f t="shared" si="137"/>
        <v>1.4148137791719032E-4</v>
      </c>
      <c r="AD630">
        <f t="shared" si="138"/>
        <v>6.7577263589751004E-4</v>
      </c>
      <c r="AE630">
        <f t="shared" si="139"/>
        <v>1.3661964408135285E-2</v>
      </c>
      <c r="AF630">
        <f t="shared" si="140"/>
        <v>7.3999211608775137E-2</v>
      </c>
      <c r="AG630">
        <f t="shared" si="132"/>
        <v>0.64490362427204129</v>
      </c>
      <c r="AH630">
        <v>0.18793816549822537</v>
      </c>
      <c r="AI630">
        <v>0.6144109055501461</v>
      </c>
      <c r="AJ630">
        <v>2.9195212781078547E-2</v>
      </c>
      <c r="AK630">
        <v>2.1907541579889119E-3</v>
      </c>
      <c r="AL630">
        <v>0.39689229844996354</v>
      </c>
    </row>
    <row r="631" spans="1:38" x14ac:dyDescent="0.25">
      <c r="A631">
        <v>21</v>
      </c>
      <c r="B631" s="5" t="s">
        <v>24</v>
      </c>
      <c r="C631" s="6" t="s">
        <v>5</v>
      </c>
      <c r="D631" s="6" t="s">
        <v>45</v>
      </c>
      <c r="E631" s="28">
        <v>6818.2</v>
      </c>
      <c r="F631" s="11">
        <v>10</v>
      </c>
      <c r="G631" s="11">
        <v>15</v>
      </c>
      <c r="H631" s="11">
        <f t="shared" si="128"/>
        <v>-5</v>
      </c>
      <c r="I631" s="18">
        <v>1</v>
      </c>
      <c r="J631" s="19">
        <v>0.63489736070381231</v>
      </c>
      <c r="K631" s="19">
        <v>0.1</v>
      </c>
      <c r="L631" s="6">
        <v>911176.25</v>
      </c>
      <c r="M631" s="6">
        <v>1165659.75</v>
      </c>
      <c r="N631" s="6">
        <v>266596.625</v>
      </c>
      <c r="O631" s="6">
        <v>885486.4375</v>
      </c>
      <c r="P631" s="6">
        <v>773.90313720703102</v>
      </c>
      <c r="Q631" s="6">
        <v>10755.7392578125</v>
      </c>
      <c r="R631" s="6">
        <v>73555.6640625</v>
      </c>
      <c r="S631" s="6">
        <v>415604.5</v>
      </c>
      <c r="T631" s="31">
        <f t="shared" si="129"/>
        <v>372.96088689575197</v>
      </c>
      <c r="U631" s="37">
        <v>539.33333333333337</v>
      </c>
      <c r="V631">
        <f t="shared" si="130"/>
        <v>0.69152203997976258</v>
      </c>
      <c r="W631">
        <f t="shared" si="141"/>
        <v>7.228741466656112E-2</v>
      </c>
      <c r="X631" s="28">
        <v>461.67708333333343</v>
      </c>
      <c r="Y631">
        <f t="shared" si="131"/>
        <v>0.16894491656365884</v>
      </c>
      <c r="Z631">
        <f t="shared" si="134"/>
        <v>0.21612974351050679</v>
      </c>
      <c r="AA631">
        <f t="shared" si="135"/>
        <v>4.9430771013597032E-2</v>
      </c>
      <c r="AB631">
        <f t="shared" si="136"/>
        <v>0.16418166331891224</v>
      </c>
      <c r="AC631">
        <f t="shared" si="137"/>
        <v>1.4349254707176099E-4</v>
      </c>
      <c r="AD631">
        <f t="shared" si="138"/>
        <v>1.9942656225857541E-3</v>
      </c>
      <c r="AE631">
        <f t="shared" si="139"/>
        <v>1.3638256624690976E-2</v>
      </c>
      <c r="AF631">
        <f t="shared" si="140"/>
        <v>7.7058930778739182E-2</v>
      </c>
      <c r="AG631">
        <f t="shared" si="132"/>
        <v>0.69152203997976258</v>
      </c>
      <c r="AH631">
        <v>0.18793816549822537</v>
      </c>
      <c r="AI631">
        <v>0.6144109055501461</v>
      </c>
      <c r="AJ631">
        <v>2.9195212781078547E-2</v>
      </c>
      <c r="AK631">
        <v>2.1907541579889119E-3</v>
      </c>
      <c r="AL631">
        <v>0.39689229844996354</v>
      </c>
    </row>
    <row r="632" spans="1:38" x14ac:dyDescent="0.25">
      <c r="A632">
        <v>21</v>
      </c>
      <c r="B632" s="5" t="s">
        <v>24</v>
      </c>
      <c r="C632" s="6" t="s">
        <v>5</v>
      </c>
      <c r="D632" s="6" t="s">
        <v>46</v>
      </c>
      <c r="E632" s="28">
        <v>6818.2</v>
      </c>
      <c r="F632" s="11">
        <v>11</v>
      </c>
      <c r="G632" s="11">
        <v>15</v>
      </c>
      <c r="H632" s="11">
        <f t="shared" si="128"/>
        <v>-4</v>
      </c>
      <c r="I632" s="18">
        <v>1</v>
      </c>
      <c r="J632" s="19">
        <v>0.63489736070381231</v>
      </c>
      <c r="K632" s="19">
        <v>0.1</v>
      </c>
      <c r="L632" s="6">
        <v>824176.8125</v>
      </c>
      <c r="M632" s="6">
        <v>1183857.625</v>
      </c>
      <c r="N632" s="6">
        <v>266596.625</v>
      </c>
      <c r="O632" s="6">
        <v>899172.8125</v>
      </c>
      <c r="P632" s="6">
        <v>773.90313720703102</v>
      </c>
      <c r="Q632" s="6">
        <v>14815.59375</v>
      </c>
      <c r="R632" s="6">
        <v>78402.9453125</v>
      </c>
      <c r="S632" s="6">
        <v>430228.8125</v>
      </c>
      <c r="T632" s="31">
        <f t="shared" si="129"/>
        <v>369.80251296997068</v>
      </c>
      <c r="U632" s="37">
        <v>531.66666666666663</v>
      </c>
      <c r="V632">
        <f t="shared" si="130"/>
        <v>0.69555331593097935</v>
      </c>
      <c r="W632">
        <f t="shared" si="141"/>
        <v>5.8295697290208538E-3</v>
      </c>
      <c r="X632" s="28">
        <v>493.80791666666676</v>
      </c>
      <c r="Y632">
        <f t="shared" si="131"/>
        <v>0.15501758228840126</v>
      </c>
      <c r="Z632">
        <f t="shared" si="134"/>
        <v>0.2226691457680251</v>
      </c>
      <c r="AA632">
        <f t="shared" si="135"/>
        <v>5.0143565830721007E-2</v>
      </c>
      <c r="AB632">
        <f t="shared" si="136"/>
        <v>0.16912341300940439</v>
      </c>
      <c r="AC632">
        <f t="shared" si="137"/>
        <v>1.4556171859693375E-4</v>
      </c>
      <c r="AD632">
        <f t="shared" si="138"/>
        <v>2.7866320532915364E-3</v>
      </c>
      <c r="AE632">
        <f t="shared" si="139"/>
        <v>1.4746635481974923E-2</v>
      </c>
      <c r="AF632">
        <f t="shared" si="140"/>
        <v>8.0920779780564278E-2</v>
      </c>
      <c r="AG632">
        <f t="shared" si="132"/>
        <v>0.69555331593097947</v>
      </c>
      <c r="AH632">
        <v>0.18793816549822537</v>
      </c>
      <c r="AI632">
        <v>0.6144109055501461</v>
      </c>
      <c r="AJ632">
        <v>2.9195212781078547E-2</v>
      </c>
      <c r="AK632">
        <v>2.1907541579889119E-3</v>
      </c>
      <c r="AL632">
        <v>0.39689229844996354</v>
      </c>
    </row>
    <row r="633" spans="1:38" x14ac:dyDescent="0.25">
      <c r="A633">
        <v>21</v>
      </c>
      <c r="B633" s="5" t="s">
        <v>24</v>
      </c>
      <c r="C633" s="6" t="s">
        <v>5</v>
      </c>
      <c r="D633" s="6" t="s">
        <v>47</v>
      </c>
      <c r="E633" s="28">
        <v>6818.2</v>
      </c>
      <c r="F633" s="11">
        <v>12</v>
      </c>
      <c r="G633" s="11">
        <v>15</v>
      </c>
      <c r="H633" s="11">
        <f t="shared" si="128"/>
        <v>-3</v>
      </c>
      <c r="I633" s="18">
        <v>1</v>
      </c>
      <c r="J633" s="19">
        <v>0.63489736070381231</v>
      </c>
      <c r="K633" s="19">
        <v>0.1</v>
      </c>
      <c r="L633" s="6">
        <v>818786.5</v>
      </c>
      <c r="M633" s="6">
        <v>1171094.625</v>
      </c>
      <c r="N633" s="6">
        <v>266596.625</v>
      </c>
      <c r="O633" s="6">
        <v>889422.25</v>
      </c>
      <c r="P633" s="6">
        <v>773.90313720703102</v>
      </c>
      <c r="Q633" s="6">
        <v>9728.9501953125</v>
      </c>
      <c r="R633" s="6">
        <v>77366.796875</v>
      </c>
      <c r="S633" s="6">
        <v>427237.96875</v>
      </c>
      <c r="T633" s="31">
        <f t="shared" si="129"/>
        <v>366.10076189575193</v>
      </c>
      <c r="U633" s="37">
        <v>524</v>
      </c>
      <c r="V633">
        <f t="shared" si="130"/>
        <v>0.69866557613693114</v>
      </c>
      <c r="W633">
        <f t="shared" si="141"/>
        <v>4.4745099112727437E-3</v>
      </c>
      <c r="X633" s="28">
        <v>525.93875000000003</v>
      </c>
      <c r="Y633">
        <f t="shared" si="131"/>
        <v>0.15625696564885494</v>
      </c>
      <c r="Z633">
        <f t="shared" si="134"/>
        <v>0.22349134064885498</v>
      </c>
      <c r="AA633">
        <f t="shared" si="135"/>
        <v>5.0877218511450384E-2</v>
      </c>
      <c r="AB633">
        <f t="shared" si="136"/>
        <v>0.16973707061068705</v>
      </c>
      <c r="AC633">
        <f t="shared" si="137"/>
        <v>1.4769143839828835E-4</v>
      </c>
      <c r="AD633">
        <f t="shared" si="138"/>
        <v>1.8566698846016222E-3</v>
      </c>
      <c r="AE633">
        <f t="shared" si="139"/>
        <v>1.4764655892175571E-2</v>
      </c>
      <c r="AF633">
        <f t="shared" si="140"/>
        <v>8.1533963501908391E-2</v>
      </c>
      <c r="AG633">
        <f t="shared" si="132"/>
        <v>0.69866557613693137</v>
      </c>
      <c r="AH633">
        <v>0.18793816549822537</v>
      </c>
      <c r="AI633">
        <v>0.6144109055501461</v>
      </c>
      <c r="AJ633">
        <v>2.9195212781078547E-2</v>
      </c>
      <c r="AK633">
        <v>2.1907541579889119E-3</v>
      </c>
      <c r="AL633">
        <v>0.39689229844996354</v>
      </c>
    </row>
    <row r="634" spans="1:38" x14ac:dyDescent="0.25">
      <c r="A634">
        <v>21</v>
      </c>
      <c r="B634" s="5" t="s">
        <v>24</v>
      </c>
      <c r="C634" s="6" t="s">
        <v>5</v>
      </c>
      <c r="D634" s="6" t="s">
        <v>48</v>
      </c>
      <c r="E634" s="28">
        <v>6818.2</v>
      </c>
      <c r="F634" s="11">
        <v>13</v>
      </c>
      <c r="G634" s="11">
        <v>15</v>
      </c>
      <c r="H634" s="11">
        <f t="shared" si="128"/>
        <v>-2</v>
      </c>
      <c r="I634" s="18">
        <v>1</v>
      </c>
      <c r="J634" s="19">
        <v>0.63489736070381231</v>
      </c>
      <c r="K634" s="19">
        <v>0.1</v>
      </c>
      <c r="L634" s="6">
        <v>857704.5</v>
      </c>
      <c r="M634" s="6">
        <v>1177258.125</v>
      </c>
      <c r="N634" s="6">
        <v>266596.625</v>
      </c>
      <c r="O634" s="6">
        <v>894113</v>
      </c>
      <c r="P634" s="6">
        <v>773.90313720703102</v>
      </c>
      <c r="Q634" s="6">
        <v>4783.68212890625</v>
      </c>
      <c r="R634" s="6">
        <v>77168.546875</v>
      </c>
      <c r="S634" s="6">
        <v>414460.78125</v>
      </c>
      <c r="T634" s="31">
        <f t="shared" si="129"/>
        <v>369.28591633911134</v>
      </c>
      <c r="U634" s="37">
        <v>534.8888888888888</v>
      </c>
      <c r="V634">
        <f t="shared" si="130"/>
        <v>0.69039743395346964</v>
      </c>
      <c r="W634">
        <f t="shared" si="141"/>
        <v>-1.1834191444178199E-2</v>
      </c>
      <c r="X634" s="28">
        <v>558.06958333333341</v>
      </c>
      <c r="Y634">
        <f t="shared" si="131"/>
        <v>0.16035190070627339</v>
      </c>
      <c r="Z634">
        <f t="shared" si="134"/>
        <v>0.2200939577274616</v>
      </c>
      <c r="AA634">
        <f t="shared" si="135"/>
        <v>4.9841496157041969E-2</v>
      </c>
      <c r="AB634">
        <f t="shared" si="136"/>
        <v>0.16715864146240136</v>
      </c>
      <c r="AC634">
        <f t="shared" si="137"/>
        <v>1.4468484077406068E-4</v>
      </c>
      <c r="AD634">
        <f t="shared" si="138"/>
        <v>8.9433193103772874E-4</v>
      </c>
      <c r="AE634">
        <f t="shared" si="139"/>
        <v>1.4427023719879519E-2</v>
      </c>
      <c r="AF634">
        <f t="shared" si="140"/>
        <v>7.7485397408599929E-2</v>
      </c>
      <c r="AG634">
        <f t="shared" si="132"/>
        <v>0.69039743395346953</v>
      </c>
      <c r="AH634">
        <v>0.18793816549822537</v>
      </c>
      <c r="AI634">
        <v>0.6144109055501461</v>
      </c>
      <c r="AJ634">
        <v>2.9195212781078547E-2</v>
      </c>
      <c r="AK634">
        <v>2.1907541579889119E-3</v>
      </c>
      <c r="AL634">
        <v>0.39689229844996354</v>
      </c>
    </row>
    <row r="635" spans="1:38" x14ac:dyDescent="0.25">
      <c r="A635">
        <v>21</v>
      </c>
      <c r="B635" s="5" t="s">
        <v>24</v>
      </c>
      <c r="C635" s="6" t="s">
        <v>5</v>
      </c>
      <c r="D635" s="6" t="s">
        <v>49</v>
      </c>
      <c r="E635" s="28">
        <v>6818.2</v>
      </c>
      <c r="F635" s="11">
        <v>14</v>
      </c>
      <c r="G635" s="11">
        <v>15</v>
      </c>
      <c r="H635" s="11">
        <f t="shared" si="128"/>
        <v>-1</v>
      </c>
      <c r="I635" s="18">
        <v>1</v>
      </c>
      <c r="J635" s="19">
        <v>0.63489736070381231</v>
      </c>
      <c r="K635" s="19">
        <v>0.1</v>
      </c>
      <c r="L635" s="6">
        <v>964755.8125</v>
      </c>
      <c r="M635" s="6">
        <v>1130075.25</v>
      </c>
      <c r="N635" s="6">
        <v>266596.625</v>
      </c>
      <c r="O635" s="6">
        <v>857963.125</v>
      </c>
      <c r="P635" s="6">
        <v>773.90313720703102</v>
      </c>
      <c r="Q635" s="6">
        <v>2892.17993164062</v>
      </c>
      <c r="R635" s="6">
        <v>78265.3203125</v>
      </c>
      <c r="S635" s="6">
        <v>407457.21875</v>
      </c>
      <c r="T635" s="31">
        <f t="shared" si="129"/>
        <v>370.87794346313478</v>
      </c>
      <c r="U635" s="37">
        <v>545.77777777777771</v>
      </c>
      <c r="V635">
        <f t="shared" si="130"/>
        <v>0.67954020585672092</v>
      </c>
      <c r="W635">
        <f t="shared" si="141"/>
        <v>-1.5726055113757065E-2</v>
      </c>
      <c r="X635" s="28">
        <v>590.20041666666668</v>
      </c>
      <c r="Y635">
        <f t="shared" si="131"/>
        <v>0.17676714805578178</v>
      </c>
      <c r="Z635">
        <f t="shared" si="134"/>
        <v>0.20705776160423456</v>
      </c>
      <c r="AA635">
        <f t="shared" si="135"/>
        <v>4.8847101486156355E-2</v>
      </c>
      <c r="AB635">
        <f t="shared" si="136"/>
        <v>0.15720008397801305</v>
      </c>
      <c r="AC635">
        <f t="shared" si="137"/>
        <v>1.4179821325047395E-4</v>
      </c>
      <c r="AD635">
        <f t="shared" si="138"/>
        <v>5.2991896141623741E-4</v>
      </c>
      <c r="AE635">
        <f t="shared" si="139"/>
        <v>1.4340144194065556E-2</v>
      </c>
      <c r="AF635">
        <f t="shared" si="140"/>
        <v>7.465624936380294E-2</v>
      </c>
      <c r="AG635">
        <f t="shared" si="132"/>
        <v>0.67954020585672104</v>
      </c>
      <c r="AH635">
        <v>0.18793816549822537</v>
      </c>
      <c r="AI635">
        <v>0.6144109055501461</v>
      </c>
      <c r="AJ635">
        <v>2.9195212781078547E-2</v>
      </c>
      <c r="AK635">
        <v>2.1907541579889119E-3</v>
      </c>
      <c r="AL635">
        <v>0.39689229844996354</v>
      </c>
    </row>
    <row r="636" spans="1:38" x14ac:dyDescent="0.25">
      <c r="A636">
        <v>21</v>
      </c>
      <c r="B636" s="21" t="s">
        <v>24</v>
      </c>
      <c r="C636" s="22" t="s">
        <v>5</v>
      </c>
      <c r="D636" s="22" t="s">
        <v>50</v>
      </c>
      <c r="E636" s="28">
        <v>6818.2</v>
      </c>
      <c r="F636" s="22">
        <v>15</v>
      </c>
      <c r="G636" s="22">
        <v>15</v>
      </c>
      <c r="H636" s="22">
        <f t="shared" si="128"/>
        <v>0</v>
      </c>
      <c r="I636" s="18">
        <v>1</v>
      </c>
      <c r="J636" s="19">
        <v>0.63489736070381231</v>
      </c>
      <c r="K636" s="19">
        <v>0.1</v>
      </c>
      <c r="L636" s="22">
        <v>1026636.4375</v>
      </c>
      <c r="M636" s="22">
        <v>1097494.375</v>
      </c>
      <c r="N636" s="22">
        <v>266596.625</v>
      </c>
      <c r="O636" s="22">
        <v>832973.5</v>
      </c>
      <c r="P636" s="22">
        <v>773.90313720703102</v>
      </c>
      <c r="Q636" s="22">
        <v>4041.33447265625</v>
      </c>
      <c r="R636" s="22">
        <v>74616.140625</v>
      </c>
      <c r="S636" s="22">
        <v>411795.40625</v>
      </c>
      <c r="T636" s="32">
        <f t="shared" si="129"/>
        <v>371.49277219848631</v>
      </c>
      <c r="U636" s="37">
        <v>556.66666666666663</v>
      </c>
      <c r="V636">
        <f t="shared" si="130"/>
        <v>0.66735228538650238</v>
      </c>
      <c r="W636">
        <f t="shared" si="141"/>
        <v>-1.7935539891790211E-2</v>
      </c>
      <c r="X636" s="28">
        <v>622.33124999999995</v>
      </c>
      <c r="Y636">
        <f t="shared" si="131"/>
        <v>0.18442570733532934</v>
      </c>
      <c r="Z636">
        <f t="shared" si="134"/>
        <v>0.1971546781437126</v>
      </c>
      <c r="AA636">
        <f t="shared" si="135"/>
        <v>4.7891609281437125E-2</v>
      </c>
      <c r="AB636">
        <f t="shared" si="136"/>
        <v>0.14963595808383234</v>
      </c>
      <c r="AC636">
        <f t="shared" si="137"/>
        <v>1.3902451566593372E-4</v>
      </c>
      <c r="AD636">
        <f t="shared" si="138"/>
        <v>7.2598822862088329E-4</v>
      </c>
      <c r="AE636">
        <f t="shared" si="139"/>
        <v>1.3404097118263474E-2</v>
      </c>
      <c r="AF636">
        <f t="shared" si="140"/>
        <v>7.3975222679640726E-2</v>
      </c>
      <c r="AG636">
        <f t="shared" si="132"/>
        <v>0.66735228538650249</v>
      </c>
      <c r="AH636">
        <v>0.18793816549822537</v>
      </c>
      <c r="AI636">
        <v>0.6144109055501461</v>
      </c>
      <c r="AJ636">
        <v>2.9195212781078547E-2</v>
      </c>
      <c r="AK636">
        <v>2.1907541579889119E-3</v>
      </c>
      <c r="AL636">
        <v>0.39689229844996354</v>
      </c>
    </row>
    <row r="637" spans="1:38" x14ac:dyDescent="0.25">
      <c r="A637">
        <v>21</v>
      </c>
      <c r="B637" s="5" t="s">
        <v>24</v>
      </c>
      <c r="C637" s="6" t="s">
        <v>5</v>
      </c>
      <c r="D637" s="6" t="s">
        <v>51</v>
      </c>
      <c r="E637" s="28">
        <v>6818.2</v>
      </c>
      <c r="F637" s="11">
        <v>16</v>
      </c>
      <c r="G637" s="11">
        <v>15</v>
      </c>
      <c r="H637" s="11">
        <f t="shared" si="128"/>
        <v>1</v>
      </c>
      <c r="I637" s="18">
        <v>1</v>
      </c>
      <c r="J637" s="19">
        <v>0.63489736070381231</v>
      </c>
      <c r="K637" s="19">
        <v>0.1</v>
      </c>
      <c r="L637" s="6">
        <v>896299</v>
      </c>
      <c r="M637" s="6">
        <v>1145635.375</v>
      </c>
      <c r="N637" s="6">
        <v>266596.625</v>
      </c>
      <c r="O637" s="6">
        <v>869750.3125</v>
      </c>
      <c r="P637" s="6">
        <v>773.90313720703102</v>
      </c>
      <c r="Q637" s="6">
        <v>11094.298828125</v>
      </c>
      <c r="R637" s="6">
        <v>73488.203125</v>
      </c>
      <c r="S637" s="6">
        <v>417652.875</v>
      </c>
      <c r="T637" s="31">
        <f t="shared" si="129"/>
        <v>368.12905925903323</v>
      </c>
      <c r="U637" s="37">
        <v>596.66666666666663</v>
      </c>
      <c r="V637">
        <f t="shared" si="130"/>
        <v>0.61697607697044676</v>
      </c>
      <c r="W637">
        <f t="shared" si="141"/>
        <v>-7.5486680002721254E-2</v>
      </c>
      <c r="X637" s="28">
        <v>654.46208333333334</v>
      </c>
      <c r="Y637">
        <f t="shared" si="131"/>
        <v>0.15021770949720673</v>
      </c>
      <c r="Z637">
        <f t="shared" si="134"/>
        <v>0.19200592877094974</v>
      </c>
      <c r="AA637">
        <f t="shared" si="135"/>
        <v>4.4680998603351958E-2</v>
      </c>
      <c r="AB637">
        <f t="shared" si="136"/>
        <v>0.14576820879888269</v>
      </c>
      <c r="AC637">
        <f t="shared" si="137"/>
        <v>1.2970443640341302E-4</v>
      </c>
      <c r="AD637">
        <f t="shared" si="138"/>
        <v>1.8593796918645253E-3</v>
      </c>
      <c r="AE637">
        <f t="shared" si="139"/>
        <v>1.2316458624301677E-2</v>
      </c>
      <c r="AF637">
        <f t="shared" si="140"/>
        <v>6.9997688547486045E-2</v>
      </c>
      <c r="AG637">
        <f t="shared" si="132"/>
        <v>0.61697607697044665</v>
      </c>
      <c r="AH637">
        <v>0.18793816549822537</v>
      </c>
      <c r="AI637">
        <v>0.6144109055501461</v>
      </c>
      <c r="AJ637">
        <v>2.9195212781078547E-2</v>
      </c>
      <c r="AK637">
        <v>2.1907541579889119E-3</v>
      </c>
      <c r="AL637">
        <v>0.39689229844996354</v>
      </c>
    </row>
    <row r="638" spans="1:38" x14ac:dyDescent="0.25">
      <c r="A638">
        <v>21</v>
      </c>
      <c r="B638" s="5" t="s">
        <v>24</v>
      </c>
      <c r="C638" s="6" t="s">
        <v>5</v>
      </c>
      <c r="D638" s="6" t="s">
        <v>52</v>
      </c>
      <c r="E638" s="28">
        <v>6818.2</v>
      </c>
      <c r="F638" s="11">
        <v>17</v>
      </c>
      <c r="G638" s="11">
        <v>15</v>
      </c>
      <c r="H638" s="11">
        <f t="shared" si="128"/>
        <v>2</v>
      </c>
      <c r="I638" s="18">
        <v>1</v>
      </c>
      <c r="J638" s="19">
        <v>0.63489736070381231</v>
      </c>
      <c r="K638" s="19">
        <v>0.1</v>
      </c>
      <c r="L638" s="6">
        <v>882068.625</v>
      </c>
      <c r="M638" s="6">
        <v>1179351.75</v>
      </c>
      <c r="N638" s="6">
        <v>266596.625</v>
      </c>
      <c r="O638" s="6">
        <v>895561.8125</v>
      </c>
      <c r="P638" s="6">
        <v>773.90313720703102</v>
      </c>
      <c r="Q638" s="6">
        <v>15310.6201171875</v>
      </c>
      <c r="R638" s="6">
        <v>78390.1484375</v>
      </c>
      <c r="S638" s="6">
        <v>432165.90625</v>
      </c>
      <c r="T638" s="31">
        <f t="shared" si="129"/>
        <v>375.02193904418948</v>
      </c>
      <c r="U638" s="37">
        <v>636.66666666666663</v>
      </c>
      <c r="V638">
        <f t="shared" si="130"/>
        <v>0.58903969483380547</v>
      </c>
      <c r="W638">
        <f t="shared" si="141"/>
        <v>-4.5279522463525679E-2</v>
      </c>
      <c r="X638" s="28">
        <v>686.5929166666665</v>
      </c>
      <c r="Y638">
        <f t="shared" si="131"/>
        <v>0.13854481020942411</v>
      </c>
      <c r="Z638">
        <f t="shared" si="134"/>
        <v>0.18523849476439791</v>
      </c>
      <c r="AA638">
        <f t="shared" si="135"/>
        <v>4.1873815445026177E-2</v>
      </c>
      <c r="AB638">
        <f t="shared" si="136"/>
        <v>0.14066415903141363</v>
      </c>
      <c r="AC638">
        <f t="shared" si="137"/>
        <v>1.2155546657702059E-4</v>
      </c>
      <c r="AD638">
        <f t="shared" si="138"/>
        <v>2.4048094424901833E-3</v>
      </c>
      <c r="AE638">
        <f t="shared" si="139"/>
        <v>1.2312588759816756E-2</v>
      </c>
      <c r="AF638">
        <f t="shared" si="140"/>
        <v>6.7879461714659695E-2</v>
      </c>
      <c r="AG638">
        <f t="shared" si="132"/>
        <v>0.58903969483380547</v>
      </c>
      <c r="AH638">
        <v>0.18793816549822537</v>
      </c>
      <c r="AI638">
        <v>0.6144109055501461</v>
      </c>
      <c r="AJ638">
        <v>2.9195212781078547E-2</v>
      </c>
      <c r="AK638">
        <v>2.1907541579889119E-3</v>
      </c>
      <c r="AL638">
        <v>0.39689229844996354</v>
      </c>
    </row>
    <row r="639" spans="1:38" x14ac:dyDescent="0.25">
      <c r="A639">
        <v>21</v>
      </c>
      <c r="B639" s="5" t="s">
        <v>24</v>
      </c>
      <c r="C639" s="6" t="s">
        <v>5</v>
      </c>
      <c r="D639" s="6" t="s">
        <v>53</v>
      </c>
      <c r="E639" s="28">
        <v>6818.2</v>
      </c>
      <c r="F639" s="11">
        <v>18</v>
      </c>
      <c r="G639" s="11">
        <v>15</v>
      </c>
      <c r="H639" s="11">
        <f t="shared" si="128"/>
        <v>3</v>
      </c>
      <c r="I639" s="18">
        <v>1</v>
      </c>
      <c r="J639" s="19">
        <v>0.63489736070381231</v>
      </c>
      <c r="K639" s="19">
        <v>0.1</v>
      </c>
      <c r="L639" s="6">
        <v>942116.5625</v>
      </c>
      <c r="M639" s="6">
        <v>1175434.375</v>
      </c>
      <c r="N639" s="6">
        <v>266596.625</v>
      </c>
      <c r="O639" s="6">
        <v>892975.4375</v>
      </c>
      <c r="P639" s="6">
        <v>773.90313720703102</v>
      </c>
      <c r="Q639" s="6">
        <v>10125.1875</v>
      </c>
      <c r="R639" s="6">
        <v>77416.0546875</v>
      </c>
      <c r="S639" s="6">
        <v>426155.71875</v>
      </c>
      <c r="T639" s="31">
        <f t="shared" si="129"/>
        <v>379.15938640747072</v>
      </c>
      <c r="U639" s="37">
        <v>676.66666666666663</v>
      </c>
      <c r="V639">
        <f t="shared" si="130"/>
        <v>0.56033406858246904</v>
      </c>
      <c r="W639">
        <f t="shared" si="141"/>
        <v>-4.8732923270027803E-2</v>
      </c>
      <c r="X639" s="28">
        <v>718.72374999999988</v>
      </c>
      <c r="Y639">
        <f t="shared" si="131"/>
        <v>0.13922904864532021</v>
      </c>
      <c r="Z639">
        <f t="shared" si="134"/>
        <v>0.17370951354679803</v>
      </c>
      <c r="AA639">
        <f t="shared" si="135"/>
        <v>3.9398516009852225E-2</v>
      </c>
      <c r="AB639">
        <f t="shared" si="136"/>
        <v>0.13196681342364533</v>
      </c>
      <c r="AC639">
        <f t="shared" si="137"/>
        <v>1.1436992175473366E-4</v>
      </c>
      <c r="AD639">
        <f t="shared" si="138"/>
        <v>1.4963331280788178E-3</v>
      </c>
      <c r="AE639">
        <f t="shared" si="139"/>
        <v>1.1440796259236455E-2</v>
      </c>
      <c r="AF639">
        <f t="shared" si="140"/>
        <v>6.2978677647783254E-2</v>
      </c>
      <c r="AG639">
        <f t="shared" si="132"/>
        <v>0.56033406858246915</v>
      </c>
      <c r="AH639">
        <v>0.18793816549822537</v>
      </c>
      <c r="AI639">
        <v>0.6144109055501461</v>
      </c>
      <c r="AJ639">
        <v>2.9195212781078547E-2</v>
      </c>
      <c r="AK639">
        <v>2.1907541579889119E-3</v>
      </c>
      <c r="AL639">
        <v>0.39689229844996354</v>
      </c>
    </row>
    <row r="640" spans="1:38" s="20" customFormat="1" x14ac:dyDescent="0.25">
      <c r="A640">
        <v>21</v>
      </c>
      <c r="B640" s="5" t="s">
        <v>24</v>
      </c>
      <c r="C640" s="6" t="s">
        <v>5</v>
      </c>
      <c r="D640" s="6" t="s">
        <v>54</v>
      </c>
      <c r="E640" s="28">
        <v>6818.2</v>
      </c>
      <c r="F640" s="11">
        <v>19</v>
      </c>
      <c r="G640" s="11">
        <v>15</v>
      </c>
      <c r="H640" s="11">
        <f t="shared" si="128"/>
        <v>4</v>
      </c>
      <c r="I640" s="18">
        <v>1</v>
      </c>
      <c r="J640" s="19">
        <v>0.63489736070381231</v>
      </c>
      <c r="K640" s="19">
        <v>0.1</v>
      </c>
      <c r="L640" s="6">
        <v>1050892.875</v>
      </c>
      <c r="M640" s="6">
        <v>1186221.875</v>
      </c>
      <c r="N640" s="6">
        <v>266724.59375</v>
      </c>
      <c r="O640" s="6">
        <v>901594.125</v>
      </c>
      <c r="P640" s="6">
        <v>774.27459716796898</v>
      </c>
      <c r="Q640" s="6">
        <v>4669.77783203125</v>
      </c>
      <c r="R640" s="6">
        <v>77284.703125</v>
      </c>
      <c r="S640" s="6">
        <v>411435.9375</v>
      </c>
      <c r="T640" s="31">
        <f t="shared" si="129"/>
        <v>389.95981618041992</v>
      </c>
      <c r="U640" s="37">
        <v>716.66666666666663</v>
      </c>
      <c r="V640">
        <f t="shared" si="130"/>
        <v>0.54412997606570224</v>
      </c>
      <c r="W640">
        <f t="shared" si="141"/>
        <v>-2.8918628056580336E-2</v>
      </c>
      <c r="X640" s="28">
        <v>750.85458333333327</v>
      </c>
      <c r="Y640">
        <f t="shared" si="131"/>
        <v>0.14663621511627908</v>
      </c>
      <c r="Z640">
        <f t="shared" si="134"/>
        <v>0.16551933139534886</v>
      </c>
      <c r="AA640">
        <f t="shared" si="135"/>
        <v>3.7217385174418603E-2</v>
      </c>
      <c r="AB640">
        <f t="shared" si="136"/>
        <v>0.12580383139534884</v>
      </c>
      <c r="AC640">
        <f t="shared" si="137"/>
        <v>1.0803831588390265E-4</v>
      </c>
      <c r="AD640">
        <f t="shared" si="138"/>
        <v>6.5159690679505826E-4</v>
      </c>
      <c r="AE640">
        <f t="shared" si="139"/>
        <v>1.0783912063953488E-2</v>
      </c>
      <c r="AF640">
        <f t="shared" si="140"/>
        <v>5.7409665697674424E-2</v>
      </c>
      <c r="AG640">
        <f t="shared" si="132"/>
        <v>0.54412997606570224</v>
      </c>
      <c r="AH640" s="20">
        <v>0.18793816549822537</v>
      </c>
      <c r="AI640" s="20">
        <v>0.6144109055501461</v>
      </c>
      <c r="AJ640" s="20">
        <v>2.9195212781078547E-2</v>
      </c>
      <c r="AK640" s="20">
        <v>2.1907541579889119E-3</v>
      </c>
      <c r="AL640" s="20">
        <v>0.39689229844996354</v>
      </c>
    </row>
    <row r="641" spans="1:38" x14ac:dyDescent="0.25">
      <c r="A641">
        <v>21</v>
      </c>
      <c r="B641" s="5" t="s">
        <v>24</v>
      </c>
      <c r="C641" s="6" t="s">
        <v>5</v>
      </c>
      <c r="D641" s="6" t="s">
        <v>55</v>
      </c>
      <c r="E641" s="28">
        <v>7551.2</v>
      </c>
      <c r="F641" s="11">
        <v>20</v>
      </c>
      <c r="G641" s="11">
        <v>15</v>
      </c>
      <c r="H641" s="18">
        <f t="shared" si="128"/>
        <v>5</v>
      </c>
      <c r="I641" s="18">
        <v>1</v>
      </c>
      <c r="J641" s="19">
        <v>0.63489736070381231</v>
      </c>
      <c r="K641" s="19">
        <v>0.1</v>
      </c>
      <c r="L641" s="14">
        <v>76513.828125</v>
      </c>
      <c r="M641" s="14">
        <v>1107724</v>
      </c>
      <c r="N641" s="14">
        <v>590358.4375</v>
      </c>
      <c r="O641" s="14">
        <v>1161855.25</v>
      </c>
      <c r="P641" s="14">
        <v>766.440185546875</v>
      </c>
      <c r="Q641" s="14">
        <v>2803.7255859375</v>
      </c>
      <c r="R641" s="14">
        <v>806471.625</v>
      </c>
      <c r="S641" s="14">
        <v>481417.5625</v>
      </c>
      <c r="T641" s="31">
        <f t="shared" si="129"/>
        <v>422.79108688964845</v>
      </c>
      <c r="U641" s="37">
        <v>620.77777777777783</v>
      </c>
      <c r="V641">
        <f t="shared" si="130"/>
        <v>0.68106672310843663</v>
      </c>
      <c r="W641">
        <f t="shared" si="141"/>
        <v>0.25166183277173404</v>
      </c>
      <c r="X641" s="28">
        <v>326.0499999999999</v>
      </c>
      <c r="Y641">
        <f t="shared" si="131"/>
        <v>1.2325477951047072E-2</v>
      </c>
      <c r="Z641">
        <f t="shared" si="134"/>
        <v>0.17844131018435652</v>
      </c>
      <c r="AA641">
        <f t="shared" si="135"/>
        <v>9.5099801995704308E-2</v>
      </c>
      <c r="AB641">
        <f t="shared" si="136"/>
        <v>0.18716121800608554</v>
      </c>
      <c r="AC641">
        <f t="shared" si="137"/>
        <v>1.234645009830298E-4</v>
      </c>
      <c r="AD641">
        <f t="shared" si="138"/>
        <v>4.5164722164735098E-4</v>
      </c>
      <c r="AE641">
        <f t="shared" si="139"/>
        <v>0.12991309513155538</v>
      </c>
      <c r="AF641">
        <f t="shared" si="140"/>
        <v>7.7550708117057443E-2</v>
      </c>
      <c r="AG641">
        <f t="shared" si="132"/>
        <v>0.68106672310843674</v>
      </c>
      <c r="AH641">
        <v>0.1858512554296006</v>
      </c>
      <c r="AI641">
        <v>0.62416107382550334</v>
      </c>
      <c r="AJ641">
        <v>2.965005543394832E-2</v>
      </c>
      <c r="AK641">
        <v>2.5273334039622843E-3</v>
      </c>
      <c r="AL641">
        <v>0.40050067586795673</v>
      </c>
    </row>
    <row r="642" spans="1:38" x14ac:dyDescent="0.25">
      <c r="A642">
        <v>21</v>
      </c>
      <c r="B642" s="5" t="s">
        <v>24</v>
      </c>
      <c r="C642" s="6" t="s">
        <v>5</v>
      </c>
      <c r="D642" s="6" t="s">
        <v>56</v>
      </c>
      <c r="E642" s="28">
        <v>7551.2</v>
      </c>
      <c r="F642" s="11">
        <v>21</v>
      </c>
      <c r="G642" s="11">
        <v>15</v>
      </c>
      <c r="H642" s="11">
        <f t="shared" ref="H642:H705" si="142">F642-G642</f>
        <v>6</v>
      </c>
      <c r="I642" s="18">
        <v>1</v>
      </c>
      <c r="J642" s="19">
        <v>0.63489736070381231</v>
      </c>
      <c r="K642" s="19">
        <v>0.1</v>
      </c>
      <c r="L642" s="6">
        <v>73144.609375</v>
      </c>
      <c r="M642" s="6">
        <v>1086029.75</v>
      </c>
      <c r="N642" s="6">
        <v>513549.71875</v>
      </c>
      <c r="O642" s="6">
        <v>1156098</v>
      </c>
      <c r="P642" s="6">
        <v>766.440185546875</v>
      </c>
      <c r="Q642" s="6">
        <v>3982.38818359375</v>
      </c>
      <c r="R642" s="6">
        <v>790565.3125</v>
      </c>
      <c r="S642" s="6">
        <v>487308.84375</v>
      </c>
      <c r="T642" s="31">
        <f t="shared" ref="T642:T705" si="143">SUM(L642:S642)/10000</f>
        <v>411.14450627441408</v>
      </c>
      <c r="U642" s="37">
        <v>609.33333333333337</v>
      </c>
      <c r="V642">
        <f t="shared" si="130"/>
        <v>0.67474481336063574</v>
      </c>
      <c r="W642">
        <f t="shared" si="141"/>
        <v>-9.2823647570787898E-3</v>
      </c>
      <c r="X642" s="28">
        <v>381.17999999999989</v>
      </c>
      <c r="Y642">
        <f t="shared" si="131"/>
        <v>1.2004038737691465E-2</v>
      </c>
      <c r="Z642">
        <f t="shared" si="134"/>
        <v>0.17823245350109407</v>
      </c>
      <c r="AA642">
        <f t="shared" si="135"/>
        <v>8.4280588416301969E-2</v>
      </c>
      <c r="AB642">
        <f t="shared" si="136"/>
        <v>0.18973161925601748</v>
      </c>
      <c r="AC642">
        <f t="shared" si="137"/>
        <v>1.257834002538635E-4</v>
      </c>
      <c r="AD642">
        <f t="shared" si="138"/>
        <v>6.535648003709655E-4</v>
      </c>
      <c r="AE642">
        <f t="shared" si="139"/>
        <v>0.12974266616520788</v>
      </c>
      <c r="AF642">
        <f t="shared" si="140"/>
        <v>7.9974099083698028E-2</v>
      </c>
      <c r="AG642">
        <f t="shared" si="132"/>
        <v>0.67474481336063574</v>
      </c>
      <c r="AH642">
        <v>0.1858512554296006</v>
      </c>
      <c r="AI642">
        <v>0.62416107382550334</v>
      </c>
      <c r="AJ642">
        <v>2.965005543394832E-2</v>
      </c>
      <c r="AK642">
        <v>2.5273334039622843E-3</v>
      </c>
      <c r="AL642">
        <v>0.40050067586795673</v>
      </c>
    </row>
    <row r="643" spans="1:38" x14ac:dyDescent="0.25">
      <c r="A643">
        <v>21</v>
      </c>
      <c r="B643" s="5" t="s">
        <v>24</v>
      </c>
      <c r="C643" s="6" t="s">
        <v>5</v>
      </c>
      <c r="D643" s="6" t="s">
        <v>57</v>
      </c>
      <c r="E643" s="28">
        <v>7551.2</v>
      </c>
      <c r="F643" s="11">
        <v>22</v>
      </c>
      <c r="G643" s="11">
        <v>15</v>
      </c>
      <c r="H643" s="11">
        <f t="shared" si="142"/>
        <v>7</v>
      </c>
      <c r="I643" s="18">
        <v>1</v>
      </c>
      <c r="J643" s="19">
        <v>0.63489736070381231</v>
      </c>
      <c r="K643" s="19">
        <v>0.1</v>
      </c>
      <c r="L643" s="6">
        <v>72062.828125</v>
      </c>
      <c r="M643" s="6">
        <v>1127326.125</v>
      </c>
      <c r="N643" s="6">
        <v>332949.0625</v>
      </c>
      <c r="O643" s="6">
        <v>1315120</v>
      </c>
      <c r="P643" s="6">
        <v>766.440185546875</v>
      </c>
      <c r="Q643" s="6">
        <v>11569.94921875</v>
      </c>
      <c r="R643" s="6">
        <v>820619.5625</v>
      </c>
      <c r="S643" s="6">
        <v>499063.375</v>
      </c>
      <c r="T643" s="31">
        <f t="shared" si="143"/>
        <v>417.94773425292971</v>
      </c>
      <c r="U643" s="37">
        <v>597.88888888888891</v>
      </c>
      <c r="V643">
        <f t="shared" ref="V643:V706" si="144">T643/U643</f>
        <v>0.69903913924481831</v>
      </c>
      <c r="W643">
        <f t="shared" si="141"/>
        <v>3.6005205824676423E-2</v>
      </c>
      <c r="X643" s="28">
        <v>436.30999999999995</v>
      </c>
      <c r="Y643">
        <f t="shared" si="131"/>
        <v>1.2052879634361642E-2</v>
      </c>
      <c r="Z643">
        <f t="shared" si="134"/>
        <v>0.18855110806541533</v>
      </c>
      <c r="AA643">
        <f t="shared" si="135"/>
        <v>5.5687447732763427E-2</v>
      </c>
      <c r="AB643">
        <f t="shared" si="136"/>
        <v>0.2199606021185653</v>
      </c>
      <c r="AC643">
        <f t="shared" si="137"/>
        <v>1.2819107359081722E-4</v>
      </c>
      <c r="AD643">
        <f t="shared" si="138"/>
        <v>1.935133673457536E-3</v>
      </c>
      <c r="AE643">
        <f t="shared" si="139"/>
        <v>0.13725285379111687</v>
      </c>
      <c r="AF643">
        <f t="shared" si="140"/>
        <v>8.3470923155547286E-2</v>
      </c>
      <c r="AG643">
        <f t="shared" si="132"/>
        <v>0.6990391392448182</v>
      </c>
      <c r="AH643">
        <v>0.1858512554296006</v>
      </c>
      <c r="AI643">
        <v>0.62416107382550334</v>
      </c>
      <c r="AJ643">
        <v>2.965005543394832E-2</v>
      </c>
      <c r="AK643">
        <v>2.5273334039622843E-3</v>
      </c>
      <c r="AL643">
        <v>0.40050067586795673</v>
      </c>
    </row>
    <row r="644" spans="1:38" x14ac:dyDescent="0.25">
      <c r="A644">
        <v>21</v>
      </c>
      <c r="B644" s="5" t="s">
        <v>24</v>
      </c>
      <c r="C644" s="6" t="s">
        <v>5</v>
      </c>
      <c r="D644" s="6" t="s">
        <v>58</v>
      </c>
      <c r="E644" s="28">
        <v>7551.2</v>
      </c>
      <c r="F644" s="11">
        <v>23</v>
      </c>
      <c r="G644" s="11">
        <v>15</v>
      </c>
      <c r="H644" s="11">
        <f t="shared" si="142"/>
        <v>8</v>
      </c>
      <c r="I644" s="18">
        <v>1</v>
      </c>
      <c r="J644" s="19">
        <v>0.63489736070381231</v>
      </c>
      <c r="K644" s="19">
        <v>0.1</v>
      </c>
      <c r="L644" s="6">
        <v>76510.578125</v>
      </c>
      <c r="M644" s="6">
        <v>1144979.75</v>
      </c>
      <c r="N644" s="6">
        <v>217335.25</v>
      </c>
      <c r="O644" s="6">
        <v>1189551.75</v>
      </c>
      <c r="P644" s="6">
        <v>766.440185546875</v>
      </c>
      <c r="Q644" s="6">
        <v>15937.98046875</v>
      </c>
      <c r="R644" s="6">
        <v>833306.4375</v>
      </c>
      <c r="S644" s="6">
        <v>515923.75</v>
      </c>
      <c r="T644" s="31">
        <f t="shared" si="143"/>
        <v>399.4311936279297</v>
      </c>
      <c r="U644" s="37">
        <v>586.44444444444446</v>
      </c>
      <c r="V644">
        <f t="shared" si="144"/>
        <v>0.6811066204341355</v>
      </c>
      <c r="W644">
        <f t="shared" si="141"/>
        <v>-2.5653096949700922E-2</v>
      </c>
      <c r="X644" s="28">
        <v>491.43999999999994</v>
      </c>
      <c r="Y644">
        <f t="shared" ref="Y644:Y707" si="145">L644/$U644/10000</f>
        <v>1.3046517679518758E-2</v>
      </c>
      <c r="Z644">
        <f t="shared" si="134"/>
        <v>0.1952409577491474</v>
      </c>
      <c r="AA644">
        <f t="shared" si="135"/>
        <v>3.7059819060250097E-2</v>
      </c>
      <c r="AB644">
        <f t="shared" si="136"/>
        <v>0.20284133668056081</v>
      </c>
      <c r="AC644">
        <f t="shared" si="137"/>
        <v>1.3069271826301391E-4</v>
      </c>
      <c r="AD644">
        <f t="shared" si="138"/>
        <v>2.7177306596959075E-3</v>
      </c>
      <c r="AE644">
        <f t="shared" si="139"/>
        <v>0.14209469377605152</v>
      </c>
      <c r="AF644">
        <f t="shared" si="140"/>
        <v>8.7974872110647973E-2</v>
      </c>
      <c r="AG644">
        <f t="shared" ref="AG644:AG707" si="146">SUM(Y644:AF644)</f>
        <v>0.68110662043413539</v>
      </c>
      <c r="AH644">
        <v>0.1858512554296006</v>
      </c>
      <c r="AI644">
        <v>0.62416107382550334</v>
      </c>
      <c r="AJ644">
        <v>2.965005543394832E-2</v>
      </c>
      <c r="AK644">
        <v>2.5273334039622843E-3</v>
      </c>
      <c r="AL644">
        <v>0.40050067586795673</v>
      </c>
    </row>
    <row r="645" spans="1:38" x14ac:dyDescent="0.25">
      <c r="A645">
        <v>21</v>
      </c>
      <c r="B645" s="5" t="s">
        <v>24</v>
      </c>
      <c r="C645" s="6" t="s">
        <v>5</v>
      </c>
      <c r="D645" s="6" t="s">
        <v>59</v>
      </c>
      <c r="E645" s="28">
        <v>7551.2</v>
      </c>
      <c r="F645" s="11">
        <v>24</v>
      </c>
      <c r="G645" s="11">
        <v>15</v>
      </c>
      <c r="H645" s="11">
        <f t="shared" si="142"/>
        <v>9</v>
      </c>
      <c r="I645" s="18">
        <v>1</v>
      </c>
      <c r="J645" s="19">
        <v>0.63489736070381231</v>
      </c>
      <c r="K645" s="19">
        <v>0.1</v>
      </c>
      <c r="L645" s="6">
        <v>75555.734375</v>
      </c>
      <c r="M645" s="6">
        <v>1132665.875</v>
      </c>
      <c r="N645" s="6">
        <v>138856.796875</v>
      </c>
      <c r="O645" s="6">
        <v>1181771.875</v>
      </c>
      <c r="P645" s="6">
        <v>766.440185546875</v>
      </c>
      <c r="Q645" s="6">
        <v>10468.0390625</v>
      </c>
      <c r="R645" s="6">
        <v>824273.5625</v>
      </c>
      <c r="S645" s="6">
        <v>512776.90625</v>
      </c>
      <c r="T645" s="31">
        <f t="shared" si="143"/>
        <v>387.71352292480469</v>
      </c>
      <c r="U645" s="37">
        <v>575</v>
      </c>
      <c r="V645">
        <f t="shared" si="144"/>
        <v>0.67428438769531251</v>
      </c>
      <c r="W645">
        <f t="shared" si="141"/>
        <v>-1.0016394693791867E-2</v>
      </c>
      <c r="X645" s="28">
        <v>546.56999999999994</v>
      </c>
      <c r="Y645">
        <f t="shared" si="145"/>
        <v>1.3140127717391302E-2</v>
      </c>
      <c r="Z645">
        <f t="shared" si="134"/>
        <v>0.19698536956521739</v>
      </c>
      <c r="AA645">
        <f t="shared" si="135"/>
        <v>2.4149008152173915E-2</v>
      </c>
      <c r="AB645">
        <f t="shared" si="136"/>
        <v>0.20552554347826085</v>
      </c>
      <c r="AC645">
        <f t="shared" si="137"/>
        <v>1.332939453125E-4</v>
      </c>
      <c r="AD645">
        <f t="shared" si="138"/>
        <v>1.8205285326086957E-3</v>
      </c>
      <c r="AE645">
        <f t="shared" si="139"/>
        <v>0.14335192391304347</v>
      </c>
      <c r="AF645">
        <f t="shared" si="140"/>
        <v>8.9178592391304351E-2</v>
      </c>
      <c r="AG645">
        <f t="shared" si="146"/>
        <v>0.67428438769531251</v>
      </c>
      <c r="AH645">
        <v>0.1858512554296006</v>
      </c>
      <c r="AI645">
        <v>0.62416107382550334</v>
      </c>
      <c r="AJ645">
        <v>2.965005543394832E-2</v>
      </c>
      <c r="AK645">
        <v>2.5273334039622843E-3</v>
      </c>
      <c r="AL645">
        <v>0.40050067586795673</v>
      </c>
    </row>
    <row r="646" spans="1:38" x14ac:dyDescent="0.25">
      <c r="A646">
        <v>21</v>
      </c>
      <c r="B646" s="5" t="s">
        <v>24</v>
      </c>
      <c r="C646" s="6" t="s">
        <v>5</v>
      </c>
      <c r="D646" s="6" t="s">
        <v>60</v>
      </c>
      <c r="E646" s="28">
        <v>7551.2</v>
      </c>
      <c r="F646" s="11">
        <v>25</v>
      </c>
      <c r="G646" s="11">
        <v>15</v>
      </c>
      <c r="H646" s="11">
        <f t="shared" si="142"/>
        <v>10</v>
      </c>
      <c r="I646" s="18">
        <v>1</v>
      </c>
      <c r="J646" s="19">
        <v>0.63489736070381231</v>
      </c>
      <c r="K646" s="19">
        <v>0.1</v>
      </c>
      <c r="L646" s="6">
        <v>75370.546875</v>
      </c>
      <c r="M646" s="6">
        <v>1138649.875</v>
      </c>
      <c r="N646" s="6">
        <v>77242.84375</v>
      </c>
      <c r="O646" s="6">
        <v>1237943</v>
      </c>
      <c r="P646" s="6">
        <v>766.440185546875</v>
      </c>
      <c r="Q646" s="6">
        <v>5138.77685546875</v>
      </c>
      <c r="R646" s="6">
        <v>828620.625</v>
      </c>
      <c r="S646" s="6">
        <v>497341.96875</v>
      </c>
      <c r="T646" s="31">
        <f t="shared" si="143"/>
        <v>386.10740764160158</v>
      </c>
      <c r="U646" s="37">
        <v>589.77777777777783</v>
      </c>
      <c r="V646">
        <f t="shared" si="144"/>
        <v>0.65466591348425285</v>
      </c>
      <c r="W646">
        <f t="shared" si="141"/>
        <v>-2.9095252046566183E-2</v>
      </c>
      <c r="X646" s="28">
        <v>601.70000000000005</v>
      </c>
      <c r="Y646">
        <f t="shared" si="145"/>
        <v>1.2779482326205726E-2</v>
      </c>
      <c r="Z646">
        <f t="shared" si="134"/>
        <v>0.19306422145817634</v>
      </c>
      <c r="AA646">
        <f t="shared" si="135"/>
        <v>1.3096940349472492E-2</v>
      </c>
      <c r="AB646">
        <f t="shared" si="136"/>
        <v>0.20989990580256218</v>
      </c>
      <c r="AC646">
        <f t="shared" si="137"/>
        <v>1.2995406311081149E-4</v>
      </c>
      <c r="AD646">
        <f t="shared" si="138"/>
        <v>8.7130730405461079E-4</v>
      </c>
      <c r="AE646">
        <f t="shared" si="139"/>
        <v>0.14049709165410701</v>
      </c>
      <c r="AF646">
        <f t="shared" si="140"/>
        <v>8.4327010526563675E-2</v>
      </c>
      <c r="AG646">
        <f t="shared" si="146"/>
        <v>0.65466591348425285</v>
      </c>
      <c r="AH646">
        <v>0.1858512554296006</v>
      </c>
      <c r="AI646">
        <v>0.62416107382550334</v>
      </c>
      <c r="AJ646">
        <v>2.965005543394832E-2</v>
      </c>
      <c r="AK646">
        <v>2.5273334039622843E-3</v>
      </c>
      <c r="AL646">
        <v>0.40050067586795673</v>
      </c>
    </row>
    <row r="647" spans="1:38" x14ac:dyDescent="0.25">
      <c r="A647">
        <v>21</v>
      </c>
      <c r="B647" s="5" t="s">
        <v>24</v>
      </c>
      <c r="C647" s="6" t="s">
        <v>5</v>
      </c>
      <c r="D647" s="6" t="s">
        <v>61</v>
      </c>
      <c r="E647" s="28">
        <v>7551.2</v>
      </c>
      <c r="F647" s="11">
        <v>26</v>
      </c>
      <c r="G647" s="11">
        <v>15</v>
      </c>
      <c r="H647" s="11">
        <f t="shared" si="142"/>
        <v>11</v>
      </c>
      <c r="I647" s="18">
        <v>1</v>
      </c>
      <c r="J647" s="19">
        <v>0.63489736070381231</v>
      </c>
      <c r="K647" s="19">
        <v>0.1</v>
      </c>
      <c r="L647" s="6">
        <v>76376.390625</v>
      </c>
      <c r="M647" s="6">
        <v>1093044.625</v>
      </c>
      <c r="N647" s="6">
        <v>57506.3515625</v>
      </c>
      <c r="O647" s="6">
        <v>1392452.5</v>
      </c>
      <c r="P647" s="6">
        <v>766.440185546875</v>
      </c>
      <c r="Q647" s="6">
        <v>3100.4912109375</v>
      </c>
      <c r="R647" s="6">
        <v>795120.8125</v>
      </c>
      <c r="S647" s="6">
        <v>488325.28125</v>
      </c>
      <c r="T647" s="31">
        <f t="shared" si="143"/>
        <v>390.66928923339844</v>
      </c>
      <c r="U647" s="37">
        <v>604.55555555555554</v>
      </c>
      <c r="V647">
        <f t="shared" si="144"/>
        <v>0.64620907978323583</v>
      </c>
      <c r="W647">
        <f t="shared" si="141"/>
        <v>-1.2917785280752115E-2</v>
      </c>
      <c r="X647" s="28">
        <v>656.83</v>
      </c>
      <c r="Y647">
        <f t="shared" si="145"/>
        <v>1.2633477589138025E-2</v>
      </c>
      <c r="Z647">
        <f t="shared" si="134"/>
        <v>0.18080135315199411</v>
      </c>
      <c r="AA647">
        <f t="shared" si="135"/>
        <v>9.512169896388532E-3</v>
      </c>
      <c r="AB647">
        <f t="shared" si="136"/>
        <v>0.23032664032346997</v>
      </c>
      <c r="AC647">
        <f t="shared" si="137"/>
        <v>1.2677746131082294E-4</v>
      </c>
      <c r="AD647">
        <f t="shared" si="138"/>
        <v>5.1285463882443484E-4</v>
      </c>
      <c r="AE647">
        <f t="shared" si="139"/>
        <v>0.13152154590148871</v>
      </c>
      <c r="AF647">
        <f t="shared" si="140"/>
        <v>8.077426082062121E-2</v>
      </c>
      <c r="AG647">
        <f t="shared" si="146"/>
        <v>0.64620907978323583</v>
      </c>
      <c r="AH647">
        <v>0.1858512554296006</v>
      </c>
      <c r="AI647">
        <v>0.62416107382550334</v>
      </c>
      <c r="AJ647">
        <v>2.965005543394832E-2</v>
      </c>
      <c r="AK647">
        <v>2.5273334039622843E-3</v>
      </c>
      <c r="AL647">
        <v>0.40050067586795673</v>
      </c>
    </row>
    <row r="648" spans="1:38" x14ac:dyDescent="0.25">
      <c r="A648">
        <v>21</v>
      </c>
      <c r="B648" s="5" t="s">
        <v>24</v>
      </c>
      <c r="C648" s="6" t="s">
        <v>5</v>
      </c>
      <c r="D648" s="6" t="s">
        <v>62</v>
      </c>
      <c r="E648" s="28">
        <v>7551.2</v>
      </c>
      <c r="F648" s="11">
        <v>27</v>
      </c>
      <c r="G648" s="11">
        <v>15</v>
      </c>
      <c r="H648" s="11">
        <f t="shared" si="142"/>
        <v>12</v>
      </c>
      <c r="I648" s="18">
        <v>1</v>
      </c>
      <c r="J648" s="19">
        <v>0.63489736070381231</v>
      </c>
      <c r="K648" s="19">
        <v>0.1</v>
      </c>
      <c r="L648" s="6">
        <v>73026.984375</v>
      </c>
      <c r="M648" s="6">
        <v>1061582.125</v>
      </c>
      <c r="N648" s="6">
        <v>63918.203125</v>
      </c>
      <c r="O648" s="6">
        <v>1481766</v>
      </c>
      <c r="P648" s="6">
        <v>766.440185546875</v>
      </c>
      <c r="Q648" s="6">
        <v>4333.9638671875</v>
      </c>
      <c r="R648" s="6">
        <v>771967.5625</v>
      </c>
      <c r="S648" s="6">
        <v>493224.0625</v>
      </c>
      <c r="T648" s="31">
        <f t="shared" si="143"/>
        <v>395.05853415527343</v>
      </c>
      <c r="U648" s="37">
        <v>619.33333333333337</v>
      </c>
      <c r="V648">
        <f t="shared" si="144"/>
        <v>0.63787707344769662</v>
      </c>
      <c r="W648">
        <f t="shared" si="141"/>
        <v>-1.2893669550935582E-2</v>
      </c>
      <c r="X648" s="28">
        <v>711.96</v>
      </c>
      <c r="Y648">
        <f t="shared" si="145"/>
        <v>1.1791224603067816E-2</v>
      </c>
      <c r="Z648">
        <f t="shared" si="134"/>
        <v>0.17140723223896662</v>
      </c>
      <c r="AA648">
        <f t="shared" si="135"/>
        <v>1.0320484896393971E-2</v>
      </c>
      <c r="AB648">
        <f t="shared" si="136"/>
        <v>0.23925177610333689</v>
      </c>
      <c r="AC648">
        <f t="shared" si="137"/>
        <v>1.2375245191822523E-4</v>
      </c>
      <c r="AD648">
        <f t="shared" si="138"/>
        <v>6.997788806007803E-4</v>
      </c>
      <c r="AE648">
        <f t="shared" si="139"/>
        <v>0.12464492397739504</v>
      </c>
      <c r="AF648">
        <f t="shared" si="140"/>
        <v>7.9637900296017222E-2</v>
      </c>
      <c r="AG648">
        <f t="shared" si="146"/>
        <v>0.63787707344769662</v>
      </c>
      <c r="AH648">
        <v>0.1858512554296006</v>
      </c>
      <c r="AI648">
        <v>0.62416107382550334</v>
      </c>
      <c r="AJ648">
        <v>2.965005543394832E-2</v>
      </c>
      <c r="AK648">
        <v>2.5273334039622843E-3</v>
      </c>
      <c r="AL648">
        <v>0.40050067586795673</v>
      </c>
    </row>
    <row r="649" spans="1:38" x14ac:dyDescent="0.25">
      <c r="A649">
        <v>21</v>
      </c>
      <c r="B649" s="5" t="s">
        <v>24</v>
      </c>
      <c r="C649" s="6" t="s">
        <v>5</v>
      </c>
      <c r="D649" s="6" t="s">
        <v>63</v>
      </c>
      <c r="E649" s="28">
        <v>7551.2</v>
      </c>
      <c r="F649" s="11">
        <v>28</v>
      </c>
      <c r="G649" s="11">
        <v>15</v>
      </c>
      <c r="H649" s="11">
        <f t="shared" si="142"/>
        <v>13</v>
      </c>
      <c r="I649" s="18">
        <v>1</v>
      </c>
      <c r="J649" s="19">
        <v>0.63489736070381231</v>
      </c>
      <c r="K649" s="19">
        <v>0.1</v>
      </c>
      <c r="L649" s="6">
        <v>71994.03125</v>
      </c>
      <c r="M649" s="6">
        <v>1108124.875</v>
      </c>
      <c r="N649" s="6">
        <v>114745.5390625</v>
      </c>
      <c r="O649" s="6">
        <v>1293647.25</v>
      </c>
      <c r="P649" s="6">
        <v>766.440185546875</v>
      </c>
      <c r="Q649" s="6">
        <v>11914.9580078125</v>
      </c>
      <c r="R649" s="6">
        <v>806048.1875</v>
      </c>
      <c r="S649" s="6">
        <v>501184.78125</v>
      </c>
      <c r="T649" s="31">
        <f t="shared" si="143"/>
        <v>390.84260622558594</v>
      </c>
      <c r="U649" s="37">
        <v>655</v>
      </c>
      <c r="V649">
        <f t="shared" si="144"/>
        <v>0.5967062690466961</v>
      </c>
      <c r="W649">
        <f t="shared" si="141"/>
        <v>-6.4543477285481016E-2</v>
      </c>
      <c r="X649" s="28">
        <v>767.09000000000015</v>
      </c>
      <c r="Y649">
        <f t="shared" si="145"/>
        <v>1.0991455152671756E-2</v>
      </c>
      <c r="Z649">
        <f t="shared" si="134"/>
        <v>0.16917937022900761</v>
      </c>
      <c r="AA649">
        <f t="shared" si="135"/>
        <v>1.7518402910305344E-2</v>
      </c>
      <c r="AB649">
        <f t="shared" si="136"/>
        <v>0.19750339694656488</v>
      </c>
      <c r="AC649">
        <f t="shared" si="137"/>
        <v>1.1701376878578244E-4</v>
      </c>
      <c r="AD649">
        <f t="shared" si="138"/>
        <v>1.8190775584446565E-3</v>
      </c>
      <c r="AE649">
        <f t="shared" si="139"/>
        <v>0.12306079198473283</v>
      </c>
      <c r="AF649">
        <f t="shared" si="140"/>
        <v>7.6516760496183195E-2</v>
      </c>
      <c r="AG649">
        <f t="shared" si="146"/>
        <v>0.59670626904669599</v>
      </c>
      <c r="AH649">
        <v>0.1858512554296006</v>
      </c>
      <c r="AI649">
        <v>0.62416107382550334</v>
      </c>
      <c r="AJ649">
        <v>2.965005543394832E-2</v>
      </c>
      <c r="AK649">
        <v>2.5273334039622843E-3</v>
      </c>
      <c r="AL649">
        <v>0.40050067586795673</v>
      </c>
    </row>
    <row r="650" spans="1:38" x14ac:dyDescent="0.25">
      <c r="A650">
        <v>21</v>
      </c>
      <c r="B650" s="5" t="s">
        <v>24</v>
      </c>
      <c r="C650" s="6" t="s">
        <v>5</v>
      </c>
      <c r="D650" s="6" t="s">
        <v>64</v>
      </c>
      <c r="E650" s="28">
        <v>7551.2</v>
      </c>
      <c r="F650" s="11">
        <v>29</v>
      </c>
      <c r="G650" s="11">
        <v>15</v>
      </c>
      <c r="H650" s="11">
        <f t="shared" si="142"/>
        <v>14</v>
      </c>
      <c r="I650" s="18">
        <v>1</v>
      </c>
      <c r="J650" s="19">
        <v>0.63489736070381231</v>
      </c>
      <c r="K650" s="19">
        <v>0.1</v>
      </c>
      <c r="L650" s="6">
        <v>76497.375</v>
      </c>
      <c r="M650" s="6">
        <v>1140658.25</v>
      </c>
      <c r="N650" s="6">
        <v>261316.59375</v>
      </c>
      <c r="O650" s="6">
        <v>1273108.25</v>
      </c>
      <c r="P650" s="6">
        <v>766.440185546875</v>
      </c>
      <c r="Q650" s="6">
        <v>16442.4140625</v>
      </c>
      <c r="R650" s="6">
        <v>829964.125</v>
      </c>
      <c r="S650" s="6">
        <v>518257.625</v>
      </c>
      <c r="T650" s="31">
        <f t="shared" si="143"/>
        <v>411.70110729980468</v>
      </c>
      <c r="U650" s="37">
        <v>690.66666666666663</v>
      </c>
      <c r="V650">
        <f t="shared" si="144"/>
        <v>0.5960923368240415</v>
      </c>
      <c r="W650">
        <f t="shared" si="141"/>
        <v>-1.0288683972357537E-3</v>
      </c>
      <c r="X650" s="28">
        <v>822.22000000000014</v>
      </c>
      <c r="Y650">
        <f t="shared" si="145"/>
        <v>1.1075874758687258E-2</v>
      </c>
      <c r="Z650">
        <f t="shared" si="134"/>
        <v>0.16515322152509651</v>
      </c>
      <c r="AA650">
        <f t="shared" si="135"/>
        <v>3.7835414152992283E-2</v>
      </c>
      <c r="AB650">
        <f t="shared" si="136"/>
        <v>0.1843303450772201</v>
      </c>
      <c r="AC650">
        <f t="shared" si="137"/>
        <v>1.109710693359375E-4</v>
      </c>
      <c r="AD650">
        <f t="shared" si="138"/>
        <v>2.3806584067326254E-3</v>
      </c>
      <c r="AE650">
        <f t="shared" si="139"/>
        <v>0.12016855091698841</v>
      </c>
      <c r="AF650">
        <f t="shared" si="140"/>
        <v>7.5037300916988417E-2</v>
      </c>
      <c r="AG650">
        <f t="shared" si="146"/>
        <v>0.59609233682404161</v>
      </c>
      <c r="AH650">
        <v>0.1858512554296006</v>
      </c>
      <c r="AI650">
        <v>0.62416107382550334</v>
      </c>
      <c r="AJ650">
        <v>2.965005543394832E-2</v>
      </c>
      <c r="AK650">
        <v>2.5273334039622843E-3</v>
      </c>
      <c r="AL650">
        <v>0.40050067586795673</v>
      </c>
    </row>
    <row r="651" spans="1:38" x14ac:dyDescent="0.25">
      <c r="A651">
        <v>21</v>
      </c>
      <c r="B651" s="5" t="s">
        <v>24</v>
      </c>
      <c r="C651" s="6" t="s">
        <v>5</v>
      </c>
      <c r="D651" s="6" t="s">
        <v>65</v>
      </c>
      <c r="E651" s="28">
        <v>7551.2</v>
      </c>
      <c r="F651" s="11">
        <v>30</v>
      </c>
      <c r="G651" s="11">
        <v>15</v>
      </c>
      <c r="H651" s="11">
        <f t="shared" si="142"/>
        <v>15</v>
      </c>
      <c r="I651" s="18">
        <v>1</v>
      </c>
      <c r="J651" s="19">
        <v>0.63489736070381231</v>
      </c>
      <c r="K651" s="19">
        <v>0.1</v>
      </c>
      <c r="L651" s="6">
        <v>75606.5625</v>
      </c>
      <c r="M651" s="6">
        <v>1136823</v>
      </c>
      <c r="N651" s="6">
        <v>386080.65625</v>
      </c>
      <c r="O651" s="6">
        <v>1359776.625</v>
      </c>
      <c r="P651" s="6">
        <v>766.440185546875</v>
      </c>
      <c r="Q651" s="6">
        <v>10871.9072265625</v>
      </c>
      <c r="R651" s="6">
        <v>827564.9375</v>
      </c>
      <c r="S651" s="6">
        <v>511048.5625</v>
      </c>
      <c r="T651" s="31">
        <f t="shared" si="143"/>
        <v>430.85386911621094</v>
      </c>
      <c r="U651" s="37">
        <v>726.33333333333337</v>
      </c>
      <c r="V651">
        <f t="shared" si="144"/>
        <v>0.59319027413888603</v>
      </c>
      <c r="W651">
        <f t="shared" si="141"/>
        <v>-4.8684784317435722E-3</v>
      </c>
      <c r="X651" s="28">
        <v>877.35000000000014</v>
      </c>
      <c r="Y651">
        <f t="shared" si="145"/>
        <v>1.0409347751262047E-2</v>
      </c>
      <c r="Z651">
        <f t="shared" si="134"/>
        <v>0.1565153281321707</v>
      </c>
      <c r="AA651">
        <f t="shared" si="135"/>
        <v>5.3154748451124362E-2</v>
      </c>
      <c r="AB651">
        <f t="shared" si="136"/>
        <v>0.18721110027535565</v>
      </c>
      <c r="AC651">
        <f t="shared" si="137"/>
        <v>1.0552182453605439E-4</v>
      </c>
      <c r="AD651">
        <f t="shared" si="138"/>
        <v>1.4968206369751031E-3</v>
      </c>
      <c r="AE651">
        <f t="shared" si="139"/>
        <v>0.11393734798072509</v>
      </c>
      <c r="AF651">
        <f t="shared" si="140"/>
        <v>7.0360059086737037E-2</v>
      </c>
      <c r="AG651">
        <f t="shared" si="146"/>
        <v>0.59319027413888603</v>
      </c>
      <c r="AH651">
        <v>0.1858512554296006</v>
      </c>
      <c r="AI651">
        <v>0.62416107382550334</v>
      </c>
      <c r="AJ651">
        <v>2.965005543394832E-2</v>
      </c>
      <c r="AK651">
        <v>2.5273334039622843E-3</v>
      </c>
      <c r="AL651">
        <v>0.40050067586795673</v>
      </c>
    </row>
    <row r="652" spans="1:38" x14ac:dyDescent="0.25">
      <c r="A652">
        <v>21</v>
      </c>
      <c r="B652" s="5" t="s">
        <v>24</v>
      </c>
      <c r="C652" s="6" t="s">
        <v>5</v>
      </c>
      <c r="D652" s="6" t="s">
        <v>66</v>
      </c>
      <c r="E652" s="28">
        <v>7551.2</v>
      </c>
      <c r="F652" s="11">
        <v>31</v>
      </c>
      <c r="G652" s="11">
        <v>15</v>
      </c>
      <c r="H652" s="11">
        <f t="shared" si="142"/>
        <v>16</v>
      </c>
      <c r="I652" s="18">
        <v>1</v>
      </c>
      <c r="J652" s="19">
        <v>0.63489736070381231</v>
      </c>
      <c r="K652" s="19">
        <v>0.1</v>
      </c>
      <c r="L652" s="6">
        <v>75491.109375</v>
      </c>
      <c r="M652" s="6">
        <v>1147232.875</v>
      </c>
      <c r="N652" s="6">
        <v>585649.75</v>
      </c>
      <c r="O652" s="6">
        <v>1516775.75</v>
      </c>
      <c r="P652" s="6">
        <v>766.80816650390625</v>
      </c>
      <c r="Q652" s="6">
        <v>5022.576171875</v>
      </c>
      <c r="R652" s="6">
        <v>835545</v>
      </c>
      <c r="S652" s="6">
        <v>492744.125</v>
      </c>
      <c r="T652" s="31">
        <f t="shared" si="143"/>
        <v>465.92279937133787</v>
      </c>
      <c r="U652" s="37">
        <v>762.00000000000011</v>
      </c>
      <c r="V652">
        <f t="shared" si="144"/>
        <v>0.6114472432694722</v>
      </c>
      <c r="W652">
        <f t="shared" si="141"/>
        <v>3.0777593508405345E-2</v>
      </c>
      <c r="X652" s="28">
        <v>932.48000000000025</v>
      </c>
      <c r="Y652">
        <f t="shared" si="145"/>
        <v>9.9069697342519681E-3</v>
      </c>
      <c r="Z652">
        <f t="shared" si="134"/>
        <v>0.15055549540682411</v>
      </c>
      <c r="AA652">
        <f t="shared" si="135"/>
        <v>7.6856922572178465E-2</v>
      </c>
      <c r="AB652">
        <f t="shared" si="136"/>
        <v>0.19905193569553803</v>
      </c>
      <c r="AC652">
        <f t="shared" si="137"/>
        <v>1.0063099297951523E-4</v>
      </c>
      <c r="AD652">
        <f t="shared" si="138"/>
        <v>6.5913073121719157E-4</v>
      </c>
      <c r="AE652">
        <f t="shared" si="139"/>
        <v>0.10965157480314958</v>
      </c>
      <c r="AF652">
        <f t="shared" si="140"/>
        <v>6.4664583333333331E-2</v>
      </c>
      <c r="AG652">
        <f t="shared" si="146"/>
        <v>0.61144724326947231</v>
      </c>
      <c r="AH652">
        <v>0.1858512554296006</v>
      </c>
      <c r="AI652">
        <v>0.62416107382550334</v>
      </c>
      <c r="AJ652">
        <v>2.965005543394832E-2</v>
      </c>
      <c r="AK652">
        <v>2.5273334039622843E-3</v>
      </c>
      <c r="AL652">
        <v>0.40050067586795673</v>
      </c>
    </row>
    <row r="653" spans="1:38" x14ac:dyDescent="0.25">
      <c r="A653">
        <v>22</v>
      </c>
      <c r="B653" s="5" t="s">
        <v>32</v>
      </c>
      <c r="C653" s="6" t="s">
        <v>5</v>
      </c>
      <c r="D653" s="6" t="s">
        <v>36</v>
      </c>
      <c r="E653" s="28">
        <v>27894.02</v>
      </c>
      <c r="F653" s="11">
        <v>1</v>
      </c>
      <c r="G653" s="11"/>
      <c r="H653" s="18">
        <f t="shared" si="142"/>
        <v>1</v>
      </c>
      <c r="I653" s="18">
        <v>0</v>
      </c>
      <c r="J653" s="19">
        <v>0</v>
      </c>
      <c r="K653" s="19">
        <v>0</v>
      </c>
      <c r="L653" s="14">
        <v>4631768.5</v>
      </c>
      <c r="M653" s="14">
        <v>2779948.5</v>
      </c>
      <c r="N653" s="14">
        <v>1130988.625</v>
      </c>
      <c r="O653" s="14">
        <v>3272053</v>
      </c>
      <c r="P653" s="14">
        <v>3981.92138671875</v>
      </c>
      <c r="Q653" s="14">
        <v>22877.6796875</v>
      </c>
      <c r="R653" s="14">
        <v>374364.3125</v>
      </c>
      <c r="S653" s="14">
        <v>1325566.875</v>
      </c>
      <c r="T653" s="31">
        <f t="shared" si="143"/>
        <v>1354.1549413574219</v>
      </c>
      <c r="U653" s="37"/>
      <c r="X653" s="28">
        <v>2213.2795833333334</v>
      </c>
      <c r="Y653" t="e">
        <f t="shared" si="145"/>
        <v>#DIV/0!</v>
      </c>
      <c r="Z653" t="e">
        <f t="shared" si="134"/>
        <v>#DIV/0!</v>
      </c>
      <c r="AA653" t="e">
        <f t="shared" si="135"/>
        <v>#DIV/0!</v>
      </c>
      <c r="AB653" t="e">
        <f t="shared" si="136"/>
        <v>#DIV/0!</v>
      </c>
      <c r="AC653" t="e">
        <f t="shared" si="137"/>
        <v>#DIV/0!</v>
      </c>
      <c r="AD653" t="e">
        <f t="shared" si="138"/>
        <v>#DIV/0!</v>
      </c>
      <c r="AE653" t="e">
        <f t="shared" si="139"/>
        <v>#DIV/0!</v>
      </c>
      <c r="AF653" t="e">
        <f t="shared" si="140"/>
        <v>#DIV/0!</v>
      </c>
      <c r="AG653" t="e">
        <f t="shared" si="146"/>
        <v>#DIV/0!</v>
      </c>
      <c r="AH653">
        <v>0.38285983877547947</v>
      </c>
      <c r="AI653">
        <v>0.70330012453300128</v>
      </c>
      <c r="AJ653">
        <v>3.8992886104838906E-2</v>
      </c>
      <c r="AK653">
        <v>1.5219272804708681E-2</v>
      </c>
      <c r="AL653">
        <v>0.47268286226024075</v>
      </c>
    </row>
    <row r="654" spans="1:38" x14ac:dyDescent="0.25">
      <c r="A654">
        <v>22</v>
      </c>
      <c r="B654" s="5" t="s">
        <v>32</v>
      </c>
      <c r="C654" s="6" t="s">
        <v>5</v>
      </c>
      <c r="D654" s="6" t="s">
        <v>37</v>
      </c>
      <c r="E654" s="28">
        <v>27894.02</v>
      </c>
      <c r="F654" s="11">
        <v>2</v>
      </c>
      <c r="G654" s="11"/>
      <c r="H654" s="11">
        <f t="shared" si="142"/>
        <v>2</v>
      </c>
      <c r="I654" s="18">
        <v>0</v>
      </c>
      <c r="J654" s="19">
        <v>0</v>
      </c>
      <c r="K654" s="19">
        <v>0</v>
      </c>
      <c r="L654" s="6">
        <v>5031013.5</v>
      </c>
      <c r="M654" s="6">
        <v>2669135</v>
      </c>
      <c r="N654" s="6">
        <v>1130988.625</v>
      </c>
      <c r="O654" s="6">
        <v>3140682.5</v>
      </c>
      <c r="P654" s="6">
        <v>3981.92138671875</v>
      </c>
      <c r="Q654" s="6">
        <v>13725.9619140625</v>
      </c>
      <c r="R654" s="6">
        <v>379562.0625</v>
      </c>
      <c r="S654" s="6">
        <v>1302890.25</v>
      </c>
      <c r="T654" s="31">
        <f t="shared" si="143"/>
        <v>1367.1979820800782</v>
      </c>
      <c r="U654" s="37">
        <v>2333</v>
      </c>
      <c r="V654">
        <f t="shared" si="144"/>
        <v>0.5860257102786447</v>
      </c>
      <c r="W654" t="e">
        <f>(V654-V653)/V653</f>
        <v>#DIV/0!</v>
      </c>
      <c r="X654" s="28">
        <v>2466.2670833333332</v>
      </c>
      <c r="Y654">
        <f t="shared" si="145"/>
        <v>0.21564567081011574</v>
      </c>
      <c r="Z654">
        <f t="shared" si="134"/>
        <v>0.1144078439777111</v>
      </c>
      <c r="AA654">
        <f t="shared" si="135"/>
        <v>4.8477866480925849E-2</v>
      </c>
      <c r="AB654">
        <f t="shared" si="136"/>
        <v>0.13461990998714102</v>
      </c>
      <c r="AC654">
        <f t="shared" si="137"/>
        <v>1.7067815631027647E-4</v>
      </c>
      <c r="AD654">
        <f t="shared" si="138"/>
        <v>5.8833955911112307E-4</v>
      </c>
      <c r="AE654">
        <f t="shared" si="139"/>
        <v>1.6269269717102443E-2</v>
      </c>
      <c r="AF654">
        <f t="shared" si="140"/>
        <v>5.5846131590227173E-2</v>
      </c>
      <c r="AG654">
        <f t="shared" si="146"/>
        <v>0.5860257102786447</v>
      </c>
      <c r="AH654">
        <v>0.38285983877547947</v>
      </c>
      <c r="AI654">
        <v>0.70330012453300128</v>
      </c>
      <c r="AJ654">
        <v>3.8992886104838906E-2</v>
      </c>
      <c r="AK654">
        <v>1.5219272804708681E-2</v>
      </c>
      <c r="AL654">
        <v>0.47268286226024075</v>
      </c>
    </row>
    <row r="655" spans="1:38" x14ac:dyDescent="0.25">
      <c r="A655">
        <v>22</v>
      </c>
      <c r="B655" s="5" t="s">
        <v>32</v>
      </c>
      <c r="C655" s="6" t="s">
        <v>5</v>
      </c>
      <c r="D655" s="6" t="s">
        <v>38</v>
      </c>
      <c r="E655" s="28">
        <v>27894.02</v>
      </c>
      <c r="F655" s="11">
        <v>3</v>
      </c>
      <c r="G655" s="11"/>
      <c r="H655" s="11">
        <f t="shared" si="142"/>
        <v>3</v>
      </c>
      <c r="I655" s="18">
        <v>0</v>
      </c>
      <c r="J655" s="19">
        <v>0</v>
      </c>
      <c r="K655" s="19">
        <v>0</v>
      </c>
      <c r="L655" s="6">
        <v>5029056.5</v>
      </c>
      <c r="M655" s="6">
        <v>2592643.75</v>
      </c>
      <c r="N655" s="6">
        <v>1130988.625</v>
      </c>
      <c r="O655" s="6">
        <v>3050764.75</v>
      </c>
      <c r="P655" s="6">
        <v>3981.92138671875</v>
      </c>
      <c r="Q655" s="6">
        <v>19205.408203125</v>
      </c>
      <c r="R655" s="6">
        <v>361995.21875</v>
      </c>
      <c r="S655" s="6">
        <v>1314290.125</v>
      </c>
      <c r="T655" s="31">
        <f t="shared" si="143"/>
        <v>1350.2926298339844</v>
      </c>
      <c r="U655" s="37">
        <v>2361</v>
      </c>
      <c r="V655">
        <f t="shared" si="144"/>
        <v>0.57191555689707085</v>
      </c>
      <c r="W655">
        <f t="shared" ref="W655:W683" si="147">(V655-V654)/V654</f>
        <v>-2.4077703646935077E-2</v>
      </c>
      <c r="X655" s="28">
        <v>2719.2545833333329</v>
      </c>
      <c r="Y655">
        <f t="shared" si="145"/>
        <v>0.21300535789919528</v>
      </c>
      <c r="Z655">
        <f t="shared" si="134"/>
        <v>0.10981125582380348</v>
      </c>
      <c r="AA655">
        <f t="shared" si="135"/>
        <v>4.7902948962304105E-2</v>
      </c>
      <c r="AB655">
        <f t="shared" si="136"/>
        <v>0.12921494070309192</v>
      </c>
      <c r="AC655">
        <f t="shared" si="137"/>
        <v>1.6865401892074332E-4</v>
      </c>
      <c r="AD655">
        <f t="shared" si="138"/>
        <v>8.1344380360546381E-4</v>
      </c>
      <c r="AE655">
        <f t="shared" si="139"/>
        <v>1.5332283725116478E-2</v>
      </c>
      <c r="AF655">
        <f t="shared" si="140"/>
        <v>5.5666671961033455E-2</v>
      </c>
      <c r="AG655">
        <f t="shared" si="146"/>
        <v>0.57191555689707096</v>
      </c>
      <c r="AH655">
        <v>0.38285983877547947</v>
      </c>
      <c r="AI655">
        <v>0.70330012453300128</v>
      </c>
      <c r="AJ655">
        <v>3.8992886104838906E-2</v>
      </c>
      <c r="AK655">
        <v>1.5219272804708681E-2</v>
      </c>
      <c r="AL655">
        <v>0.47268286226024075</v>
      </c>
    </row>
    <row r="656" spans="1:38" x14ac:dyDescent="0.25">
      <c r="A656">
        <v>22</v>
      </c>
      <c r="B656" s="5" t="s">
        <v>32</v>
      </c>
      <c r="C656" s="6" t="s">
        <v>5</v>
      </c>
      <c r="D656" s="6" t="s">
        <v>39</v>
      </c>
      <c r="E656" s="28">
        <v>27894.02</v>
      </c>
      <c r="F656" s="11">
        <v>4</v>
      </c>
      <c r="G656" s="11"/>
      <c r="H656" s="11">
        <f t="shared" si="142"/>
        <v>4</v>
      </c>
      <c r="I656" s="18">
        <v>0</v>
      </c>
      <c r="J656" s="19">
        <v>0</v>
      </c>
      <c r="K656" s="19">
        <v>0</v>
      </c>
      <c r="L656" s="6">
        <v>4779854.5</v>
      </c>
      <c r="M656" s="6">
        <v>2706027.25</v>
      </c>
      <c r="N656" s="6">
        <v>1130988.625</v>
      </c>
      <c r="O656" s="6">
        <v>3184649.5</v>
      </c>
      <c r="P656" s="6">
        <v>3981.92138671875</v>
      </c>
      <c r="Q656" s="6">
        <v>53010.16015625</v>
      </c>
      <c r="R656" s="6">
        <v>356797.65625</v>
      </c>
      <c r="S656" s="6">
        <v>1333913.625</v>
      </c>
      <c r="T656" s="31">
        <f t="shared" si="143"/>
        <v>1354.9223237792969</v>
      </c>
      <c r="U656" s="37">
        <v>2471</v>
      </c>
      <c r="V656">
        <f t="shared" si="144"/>
        <v>0.54832955231861469</v>
      </c>
      <c r="W656">
        <f t="shared" si="147"/>
        <v>-4.1240361962563296E-2</v>
      </c>
      <c r="X656" s="28">
        <v>2972.2420833333331</v>
      </c>
      <c r="Y656">
        <f t="shared" si="145"/>
        <v>0.19343806151355727</v>
      </c>
      <c r="Z656">
        <f t="shared" si="134"/>
        <v>0.10951142250101173</v>
      </c>
      <c r="AA656">
        <f t="shared" si="135"/>
        <v>4.5770482598138401E-2</v>
      </c>
      <c r="AB656">
        <f t="shared" si="136"/>
        <v>0.12888099959530555</v>
      </c>
      <c r="AC656">
        <f t="shared" si="137"/>
        <v>1.6114615081824161E-4</v>
      </c>
      <c r="AD656">
        <f t="shared" si="138"/>
        <v>2.1452917910259003E-3</v>
      </c>
      <c r="AE656">
        <f t="shared" si="139"/>
        <v>1.4439403328611896E-2</v>
      </c>
      <c r="AF656">
        <f t="shared" si="140"/>
        <v>5.3982744840145688E-2</v>
      </c>
      <c r="AG656">
        <f t="shared" si="146"/>
        <v>0.54832955231861469</v>
      </c>
      <c r="AH656">
        <v>0.38285983877547947</v>
      </c>
      <c r="AI656">
        <v>0.70330012453300128</v>
      </c>
      <c r="AJ656">
        <v>3.8992886104838906E-2</v>
      </c>
      <c r="AK656">
        <v>1.5219272804708681E-2</v>
      </c>
      <c r="AL656">
        <v>0.47268286226024075</v>
      </c>
    </row>
    <row r="657" spans="1:38" x14ac:dyDescent="0.25">
      <c r="A657">
        <v>22</v>
      </c>
      <c r="B657" s="5" t="s">
        <v>32</v>
      </c>
      <c r="C657" s="6" t="s">
        <v>5</v>
      </c>
      <c r="D657" s="6" t="s">
        <v>40</v>
      </c>
      <c r="E657" s="28">
        <v>27894.02</v>
      </c>
      <c r="F657" s="11">
        <v>5</v>
      </c>
      <c r="G657" s="11"/>
      <c r="H657" s="11">
        <f t="shared" si="142"/>
        <v>5</v>
      </c>
      <c r="I657" s="18">
        <v>0</v>
      </c>
      <c r="J657" s="19">
        <v>0</v>
      </c>
      <c r="K657" s="19">
        <v>0</v>
      </c>
      <c r="L657" s="6">
        <v>5416559.5</v>
      </c>
      <c r="M657" s="6">
        <v>2785144</v>
      </c>
      <c r="N657" s="6">
        <v>1130988.625</v>
      </c>
      <c r="O657" s="6">
        <v>3276883.5</v>
      </c>
      <c r="P657" s="6">
        <v>3981.92138671875</v>
      </c>
      <c r="Q657" s="6">
        <v>73143.8984375</v>
      </c>
      <c r="R657" s="6">
        <v>380808.53125</v>
      </c>
      <c r="S657" s="6">
        <v>1373610</v>
      </c>
      <c r="T657" s="31">
        <f t="shared" si="143"/>
        <v>1444.1119976074219</v>
      </c>
      <c r="U657" s="37">
        <v>2581</v>
      </c>
      <c r="V657">
        <f t="shared" si="144"/>
        <v>0.5595164655588617</v>
      </c>
      <c r="W657">
        <f t="shared" si="147"/>
        <v>2.0401806163725961E-2</v>
      </c>
      <c r="X657" s="28">
        <v>3225.2295833333328</v>
      </c>
      <c r="Y657">
        <f t="shared" si="145"/>
        <v>0.2098628244866331</v>
      </c>
      <c r="Z657">
        <f t="shared" si="134"/>
        <v>0.10790949244478884</v>
      </c>
      <c r="AA657">
        <f t="shared" si="135"/>
        <v>4.3819783998450212E-2</v>
      </c>
      <c r="AB657">
        <f t="shared" si="136"/>
        <v>0.12696177838047268</v>
      </c>
      <c r="AC657">
        <f t="shared" si="137"/>
        <v>1.5427824047728594E-4</v>
      </c>
      <c r="AD657">
        <f t="shared" si="138"/>
        <v>2.8339363981983727E-3</v>
      </c>
      <c r="AE657">
        <f t="shared" si="139"/>
        <v>1.4754301869430452E-2</v>
      </c>
      <c r="AF657">
        <f t="shared" si="140"/>
        <v>5.3220069740410693E-2</v>
      </c>
      <c r="AG657">
        <f t="shared" si="146"/>
        <v>0.5595164655588617</v>
      </c>
      <c r="AH657">
        <v>0.38285983877547947</v>
      </c>
      <c r="AI657">
        <v>0.70330012453300128</v>
      </c>
      <c r="AJ657">
        <v>3.8992886104838906E-2</v>
      </c>
      <c r="AK657">
        <v>1.5219272804708681E-2</v>
      </c>
      <c r="AL657">
        <v>0.47268286226024075</v>
      </c>
    </row>
    <row r="658" spans="1:38" x14ac:dyDescent="0.25">
      <c r="A658">
        <v>22</v>
      </c>
      <c r="B658" s="5" t="s">
        <v>32</v>
      </c>
      <c r="C658" s="6" t="s">
        <v>5</v>
      </c>
      <c r="D658" s="6" t="s">
        <v>41</v>
      </c>
      <c r="E658" s="28">
        <v>27894.02</v>
      </c>
      <c r="F658" s="11">
        <v>6</v>
      </c>
      <c r="G658" s="11"/>
      <c r="H658" s="11">
        <f t="shared" si="142"/>
        <v>6</v>
      </c>
      <c r="I658" s="18">
        <v>0</v>
      </c>
      <c r="J658" s="19">
        <v>0</v>
      </c>
      <c r="K658" s="19">
        <v>0</v>
      </c>
      <c r="L658" s="6">
        <v>5722517</v>
      </c>
      <c r="M658" s="6">
        <v>2775257.75</v>
      </c>
      <c r="N658" s="6">
        <v>1130988.625</v>
      </c>
      <c r="O658" s="6">
        <v>3266199.25</v>
      </c>
      <c r="P658" s="6">
        <v>3981.92138671875</v>
      </c>
      <c r="Q658" s="6">
        <v>48342.25390625</v>
      </c>
      <c r="R658" s="6">
        <v>376486.875</v>
      </c>
      <c r="S658" s="6">
        <v>1358827.5</v>
      </c>
      <c r="T658" s="31">
        <f t="shared" si="143"/>
        <v>1468.2601175292968</v>
      </c>
      <c r="U658" s="37">
        <v>2691</v>
      </c>
      <c r="V658">
        <f t="shared" si="144"/>
        <v>0.54561877277194237</v>
      </c>
      <c r="W658">
        <f t="shared" si="147"/>
        <v>-2.4838755679938561E-2</v>
      </c>
      <c r="X658" s="28">
        <v>3478.2170833333325</v>
      </c>
      <c r="Y658">
        <f t="shared" si="145"/>
        <v>0.21265392047565962</v>
      </c>
      <c r="Z658">
        <f t="shared" ref="Z658:Z721" si="148">M658/$U658/10000</f>
        <v>0.10313109438870308</v>
      </c>
      <c r="AA658">
        <f t="shared" ref="AA658:AA721" si="149">N658/$U658/10000</f>
        <v>4.2028562801932366E-2</v>
      </c>
      <c r="AB658">
        <f t="shared" ref="AB658:AB721" si="150">O658/$U658/10000</f>
        <v>0.12137492567818654</v>
      </c>
      <c r="AC658">
        <f t="shared" ref="AC658:AC721" si="151">P658/$U658/10000</f>
        <v>1.4797180924261427E-4</v>
      </c>
      <c r="AD658">
        <f t="shared" ref="AD658:AD721" si="152">Q658/$U658/10000</f>
        <v>1.7964419883407653E-3</v>
      </c>
      <c r="AE658">
        <f t="shared" ref="AE658:AE721" si="153">R658/$U658/10000</f>
        <v>1.3990593645484949E-2</v>
      </c>
      <c r="AF658">
        <f t="shared" ref="AF658:AF721" si="154">S658/$U658/10000</f>
        <v>5.0495261984392421E-2</v>
      </c>
      <c r="AG658">
        <f t="shared" si="146"/>
        <v>0.54561877277194237</v>
      </c>
      <c r="AH658">
        <v>0.38285983877547947</v>
      </c>
      <c r="AI658">
        <v>0.70330012453300128</v>
      </c>
      <c r="AJ658">
        <v>3.8992886104838906E-2</v>
      </c>
      <c r="AK658">
        <v>1.5219272804708681E-2</v>
      </c>
      <c r="AL658">
        <v>0.47268286226024075</v>
      </c>
    </row>
    <row r="659" spans="1:38" x14ac:dyDescent="0.25">
      <c r="A659">
        <v>22</v>
      </c>
      <c r="B659" s="5" t="s">
        <v>32</v>
      </c>
      <c r="C659" s="6" t="s">
        <v>5</v>
      </c>
      <c r="D659" s="6" t="s">
        <v>42</v>
      </c>
      <c r="E659" s="28">
        <v>27894.02</v>
      </c>
      <c r="F659" s="11">
        <v>7</v>
      </c>
      <c r="G659" s="11"/>
      <c r="H659" s="11">
        <f t="shared" si="142"/>
        <v>7</v>
      </c>
      <c r="I659" s="18">
        <v>0</v>
      </c>
      <c r="J659" s="19">
        <v>0</v>
      </c>
      <c r="K659" s="19">
        <v>0</v>
      </c>
      <c r="L659" s="6">
        <v>6989403.5</v>
      </c>
      <c r="M659" s="6">
        <v>2800409.75</v>
      </c>
      <c r="N659" s="6">
        <v>1131531.5</v>
      </c>
      <c r="O659" s="6">
        <v>3296792.5</v>
      </c>
      <c r="P659" s="6">
        <v>3983.83276367188</v>
      </c>
      <c r="Q659" s="6">
        <v>22435.05078125</v>
      </c>
      <c r="R659" s="6">
        <v>376177.875</v>
      </c>
      <c r="S659" s="6">
        <v>1316972.625</v>
      </c>
      <c r="T659" s="31">
        <f t="shared" si="143"/>
        <v>1593.7706633544922</v>
      </c>
      <c r="U659" s="37">
        <v>2801</v>
      </c>
      <c r="V659">
        <f t="shared" si="144"/>
        <v>0.56900059384308899</v>
      </c>
      <c r="W659">
        <f t="shared" si="147"/>
        <v>4.2853769404521097E-2</v>
      </c>
      <c r="X659" s="28">
        <v>3731.2045833333327</v>
      </c>
      <c r="Y659">
        <f t="shared" si="145"/>
        <v>0.24953243484469831</v>
      </c>
      <c r="Z659">
        <f t="shared" si="148"/>
        <v>9.9978927168868262E-2</v>
      </c>
      <c r="AA659">
        <f t="shared" si="149"/>
        <v>4.0397411638700462E-2</v>
      </c>
      <c r="AB659">
        <f t="shared" si="150"/>
        <v>0.11770055337379508</v>
      </c>
      <c r="AC659">
        <f t="shared" si="151"/>
        <v>1.4222894550774295E-4</v>
      </c>
      <c r="AD659">
        <f t="shared" si="152"/>
        <v>8.0096575441806496E-4</v>
      </c>
      <c r="AE659">
        <f t="shared" si="153"/>
        <v>1.3430127632988217E-2</v>
      </c>
      <c r="AF659">
        <f t="shared" si="154"/>
        <v>4.7017944484112811E-2</v>
      </c>
      <c r="AG659">
        <f t="shared" si="146"/>
        <v>0.56900059384308888</v>
      </c>
      <c r="AH659">
        <v>0.38285983877547947</v>
      </c>
      <c r="AI659">
        <v>0.70330012453300128</v>
      </c>
      <c r="AJ659">
        <v>3.8992886104838906E-2</v>
      </c>
      <c r="AK659">
        <v>1.5219272804708681E-2</v>
      </c>
      <c r="AL659">
        <v>0.47268286226024075</v>
      </c>
    </row>
    <row r="660" spans="1:38" x14ac:dyDescent="0.25">
      <c r="A660">
        <v>22</v>
      </c>
      <c r="B660" s="5" t="s">
        <v>32</v>
      </c>
      <c r="C660" s="6" t="s">
        <v>5</v>
      </c>
      <c r="D660" s="6" t="s">
        <v>43</v>
      </c>
      <c r="E660" s="28">
        <v>29129</v>
      </c>
      <c r="F660" s="11">
        <v>8</v>
      </c>
      <c r="G660" s="11"/>
      <c r="H660" s="18">
        <f t="shared" si="142"/>
        <v>8</v>
      </c>
      <c r="I660" s="18">
        <v>0</v>
      </c>
      <c r="J660" s="19">
        <v>0</v>
      </c>
      <c r="K660" s="19">
        <v>0</v>
      </c>
      <c r="L660" s="14">
        <v>4942843</v>
      </c>
      <c r="M660" s="14">
        <v>2517823.75</v>
      </c>
      <c r="N660" s="14">
        <v>1099513.75</v>
      </c>
      <c r="O660" s="14">
        <v>3212831.25</v>
      </c>
      <c r="P660" s="14">
        <v>4072.67602539062</v>
      </c>
      <c r="Q660" s="14">
        <v>11735.1962890625</v>
      </c>
      <c r="R660" s="14">
        <v>404242.46875</v>
      </c>
      <c r="S660" s="14">
        <v>1204136.375</v>
      </c>
      <c r="T660" s="31">
        <f t="shared" si="143"/>
        <v>1339.7198466064453</v>
      </c>
      <c r="U660" s="37">
        <v>2093.333333333333</v>
      </c>
      <c r="V660">
        <f t="shared" si="144"/>
        <v>0.63999355729607266</v>
      </c>
      <c r="W660">
        <f t="shared" si="147"/>
        <v>0.12476781961419378</v>
      </c>
      <c r="X660" s="28">
        <v>2152.7158333333332</v>
      </c>
      <c r="Y660">
        <f t="shared" si="145"/>
        <v>0.23612307324840767</v>
      </c>
      <c r="Z660">
        <f t="shared" si="148"/>
        <v>0.12027820461783442</v>
      </c>
      <c r="AA660">
        <f t="shared" si="149"/>
        <v>5.2524542197452243E-2</v>
      </c>
      <c r="AB660">
        <f t="shared" si="150"/>
        <v>0.15347919984076436</v>
      </c>
      <c r="AC660">
        <f t="shared" si="151"/>
        <v>1.9455458720018888E-4</v>
      </c>
      <c r="AD660">
        <f t="shared" si="152"/>
        <v>5.6059854884056538E-4</v>
      </c>
      <c r="AE660">
        <f t="shared" si="153"/>
        <v>1.9310945959394907E-2</v>
      </c>
      <c r="AF660">
        <f t="shared" si="154"/>
        <v>5.7522438296178348E-2</v>
      </c>
      <c r="AG660">
        <f t="shared" si="146"/>
        <v>0.63999355729607266</v>
      </c>
      <c r="AH660">
        <v>0.35968965635620859</v>
      </c>
      <c r="AI660">
        <v>0.70961718020541553</v>
      </c>
      <c r="AJ660">
        <v>3.9005025857673535E-2</v>
      </c>
      <c r="AK660">
        <v>1.6455580349479901E-2</v>
      </c>
      <c r="AL660">
        <v>0.42990371507346553</v>
      </c>
    </row>
    <row r="661" spans="1:38" x14ac:dyDescent="0.25">
      <c r="A661">
        <v>22</v>
      </c>
      <c r="B661" s="5" t="s">
        <v>32</v>
      </c>
      <c r="C661" s="6" t="s">
        <v>5</v>
      </c>
      <c r="D661" s="6" t="s">
        <v>44</v>
      </c>
      <c r="E661" s="28">
        <v>29129</v>
      </c>
      <c r="F661" s="11">
        <v>9</v>
      </c>
      <c r="G661" s="11"/>
      <c r="H661" s="11">
        <f t="shared" si="142"/>
        <v>9</v>
      </c>
      <c r="I661" s="18">
        <v>0</v>
      </c>
      <c r="J661" s="19">
        <v>0</v>
      </c>
      <c r="K661" s="19">
        <v>0</v>
      </c>
      <c r="L661" s="6">
        <v>4918350.5</v>
      </c>
      <c r="M661" s="6">
        <v>2468522</v>
      </c>
      <c r="N661" s="6">
        <v>1099513.75</v>
      </c>
      <c r="O661" s="6">
        <v>3147745</v>
      </c>
      <c r="P661" s="6">
        <v>4072.67602539062</v>
      </c>
      <c r="Q661" s="6">
        <v>16652.04296875</v>
      </c>
      <c r="R661" s="6">
        <v>385568.09375</v>
      </c>
      <c r="S661" s="6">
        <v>1218513</v>
      </c>
      <c r="T661" s="31">
        <f t="shared" si="143"/>
        <v>1325.8937062744142</v>
      </c>
      <c r="U661" s="37">
        <v>2158.6666666666665</v>
      </c>
      <c r="V661">
        <f t="shared" si="144"/>
        <v>0.61421882625436119</v>
      </c>
      <c r="W661">
        <f t="shared" si="147"/>
        <v>-4.0273422674140455E-2</v>
      </c>
      <c r="X661" s="28">
        <v>2194.2841666666668</v>
      </c>
      <c r="Y661">
        <f t="shared" si="145"/>
        <v>0.22784205528103771</v>
      </c>
      <c r="Z661">
        <f t="shared" si="148"/>
        <v>0.11435401482396541</v>
      </c>
      <c r="AA661">
        <f t="shared" si="149"/>
        <v>5.0934855620753554E-2</v>
      </c>
      <c r="AB661">
        <f t="shared" si="150"/>
        <v>0.14581894688079061</v>
      </c>
      <c r="AC661">
        <f t="shared" si="151"/>
        <v>1.886662766549083E-4</v>
      </c>
      <c r="AD661">
        <f t="shared" si="152"/>
        <v>7.7140409058446577E-4</v>
      </c>
      <c r="AE661">
        <f t="shared" si="153"/>
        <v>1.7861400266368132E-2</v>
      </c>
      <c r="AF661">
        <f t="shared" si="154"/>
        <v>5.6447483014206309E-2</v>
      </c>
      <c r="AG661">
        <f t="shared" si="146"/>
        <v>0.61421882625436131</v>
      </c>
      <c r="AH661">
        <v>0.35968965635620859</v>
      </c>
      <c r="AI661">
        <v>0.70961718020541553</v>
      </c>
      <c r="AJ661">
        <v>3.9005025857673535E-2</v>
      </c>
      <c r="AK661">
        <v>1.6455580349479901E-2</v>
      </c>
      <c r="AL661">
        <v>0.42990371507346553</v>
      </c>
    </row>
    <row r="662" spans="1:38" x14ac:dyDescent="0.25">
      <c r="A662">
        <v>22</v>
      </c>
      <c r="B662" s="5" t="s">
        <v>32</v>
      </c>
      <c r="C662" s="6" t="s">
        <v>5</v>
      </c>
      <c r="D662" s="6" t="s">
        <v>45</v>
      </c>
      <c r="E662" s="28">
        <v>29129</v>
      </c>
      <c r="F662" s="11">
        <v>10</v>
      </c>
      <c r="G662" s="11"/>
      <c r="H662" s="11">
        <f t="shared" si="142"/>
        <v>10</v>
      </c>
      <c r="I662" s="18">
        <v>0</v>
      </c>
      <c r="J662" s="19">
        <v>0</v>
      </c>
      <c r="K662" s="19">
        <v>0</v>
      </c>
      <c r="L662" s="6">
        <v>5594871.5</v>
      </c>
      <c r="M662" s="6">
        <v>2562375.25</v>
      </c>
      <c r="N662" s="6">
        <v>1099513.75</v>
      </c>
      <c r="O662" s="6">
        <v>3268444</v>
      </c>
      <c r="P662" s="6">
        <v>4072.67602539062</v>
      </c>
      <c r="Q662" s="6">
        <v>48229.171875</v>
      </c>
      <c r="R662" s="6">
        <v>379344.625</v>
      </c>
      <c r="S662" s="6">
        <v>1241540.25</v>
      </c>
      <c r="T662" s="31">
        <f t="shared" si="143"/>
        <v>1419.8391222900391</v>
      </c>
      <c r="U662" s="37">
        <v>2224</v>
      </c>
      <c r="V662">
        <f t="shared" si="144"/>
        <v>0.63841687153329096</v>
      </c>
      <c r="W662">
        <f t="shared" si="147"/>
        <v>3.9396456514520513E-2</v>
      </c>
      <c r="X662" s="28">
        <v>2235.8525</v>
      </c>
      <c r="Y662">
        <f t="shared" si="145"/>
        <v>0.25156796312949642</v>
      </c>
      <c r="Z662">
        <f t="shared" si="148"/>
        <v>0.11521471447841727</v>
      </c>
      <c r="AA662">
        <f t="shared" si="149"/>
        <v>4.9438567895683454E-2</v>
      </c>
      <c r="AB662">
        <f t="shared" si="150"/>
        <v>0.14696241007194244</v>
      </c>
      <c r="AC662">
        <f t="shared" si="151"/>
        <v>1.831239220049739E-4</v>
      </c>
      <c r="AD662">
        <f t="shared" si="152"/>
        <v>2.168577872077338E-3</v>
      </c>
      <c r="AE662">
        <f t="shared" si="153"/>
        <v>1.7056862634892086E-2</v>
      </c>
      <c r="AF662">
        <f t="shared" si="154"/>
        <v>5.5824651528776977E-2</v>
      </c>
      <c r="AG662">
        <f t="shared" si="146"/>
        <v>0.63841687153329096</v>
      </c>
      <c r="AH662">
        <v>0.35968965635620859</v>
      </c>
      <c r="AI662">
        <v>0.70961718020541553</v>
      </c>
      <c r="AJ662">
        <v>3.9005025857673535E-2</v>
      </c>
      <c r="AK662">
        <v>1.6455580349479901E-2</v>
      </c>
      <c r="AL662">
        <v>0.42990371507346553</v>
      </c>
    </row>
    <row r="663" spans="1:38" x14ac:dyDescent="0.25">
      <c r="A663">
        <v>22</v>
      </c>
      <c r="B663" s="5" t="s">
        <v>32</v>
      </c>
      <c r="C663" s="6" t="s">
        <v>5</v>
      </c>
      <c r="D663" s="6" t="s">
        <v>46</v>
      </c>
      <c r="E663" s="28">
        <v>29129</v>
      </c>
      <c r="F663" s="11">
        <v>11</v>
      </c>
      <c r="G663" s="11"/>
      <c r="H663" s="11">
        <f t="shared" si="142"/>
        <v>11</v>
      </c>
      <c r="I663" s="18">
        <v>0</v>
      </c>
      <c r="J663" s="19">
        <v>0</v>
      </c>
      <c r="K663" s="19">
        <v>0</v>
      </c>
      <c r="L663" s="6">
        <v>5060671.5</v>
      </c>
      <c r="M663" s="6">
        <v>2602960.25</v>
      </c>
      <c r="N663" s="6">
        <v>1099513.75</v>
      </c>
      <c r="O663" s="6">
        <v>3321187</v>
      </c>
      <c r="P663" s="6">
        <v>4072.67602539062</v>
      </c>
      <c r="Q663" s="6">
        <v>66444.4140625</v>
      </c>
      <c r="R663" s="6">
        <v>403570.125</v>
      </c>
      <c r="S663" s="6">
        <v>1279638.5</v>
      </c>
      <c r="T663" s="31">
        <f t="shared" si="143"/>
        <v>1383.805821508789</v>
      </c>
      <c r="U663" s="37">
        <v>2289.3333333333335</v>
      </c>
      <c r="V663">
        <f t="shared" si="144"/>
        <v>0.6044579884284168</v>
      </c>
      <c r="W663">
        <f t="shared" si="147"/>
        <v>-5.3192333440867309E-2</v>
      </c>
      <c r="X663" s="28">
        <v>2277.4208333333331</v>
      </c>
      <c r="Y663">
        <f t="shared" si="145"/>
        <v>0.22105437536400696</v>
      </c>
      <c r="Z663">
        <f t="shared" si="148"/>
        <v>0.11369948675014559</v>
      </c>
      <c r="AA663">
        <f t="shared" si="149"/>
        <v>4.8027682731508439E-2</v>
      </c>
      <c r="AB663">
        <f t="shared" si="150"/>
        <v>0.14507223354688409</v>
      </c>
      <c r="AC663">
        <f t="shared" si="151"/>
        <v>1.7789790442882732E-4</v>
      </c>
      <c r="AD663">
        <f t="shared" si="152"/>
        <v>2.9023477313264412E-3</v>
      </c>
      <c r="AE663">
        <f t="shared" si="153"/>
        <v>1.7628281523005239E-2</v>
      </c>
      <c r="AF663">
        <f t="shared" si="154"/>
        <v>5.5895682877111233E-2</v>
      </c>
      <c r="AG663">
        <f t="shared" si="146"/>
        <v>0.60445798842841669</v>
      </c>
      <c r="AH663">
        <v>0.35968965635620859</v>
      </c>
      <c r="AI663">
        <v>0.70961718020541553</v>
      </c>
      <c r="AJ663">
        <v>3.9005025857673535E-2</v>
      </c>
      <c r="AK663">
        <v>1.6455580349479901E-2</v>
      </c>
      <c r="AL663">
        <v>0.42990371507346553</v>
      </c>
    </row>
    <row r="664" spans="1:38" x14ac:dyDescent="0.25">
      <c r="A664">
        <v>22</v>
      </c>
      <c r="B664" s="5" t="s">
        <v>32</v>
      </c>
      <c r="C664" s="6" t="s">
        <v>5</v>
      </c>
      <c r="D664" s="6" t="s">
        <v>47</v>
      </c>
      <c r="E664" s="28">
        <v>29129</v>
      </c>
      <c r="F664" s="11">
        <v>12</v>
      </c>
      <c r="G664" s="11"/>
      <c r="H664" s="11">
        <f t="shared" si="142"/>
        <v>12</v>
      </c>
      <c r="I664" s="18">
        <v>0</v>
      </c>
      <c r="J664" s="19">
        <v>0</v>
      </c>
      <c r="K664" s="19">
        <v>0</v>
      </c>
      <c r="L664" s="6">
        <v>5027573.5</v>
      </c>
      <c r="M664" s="6">
        <v>2574923.25</v>
      </c>
      <c r="N664" s="6">
        <v>1099513.75</v>
      </c>
      <c r="O664" s="6">
        <v>3286459.5</v>
      </c>
      <c r="P664" s="6">
        <v>4072.67602539062</v>
      </c>
      <c r="Q664" s="6">
        <v>43657.9296875</v>
      </c>
      <c r="R664" s="6">
        <v>397923.3125</v>
      </c>
      <c r="S664" s="6">
        <v>1271196</v>
      </c>
      <c r="T664" s="31">
        <f t="shared" si="143"/>
        <v>1370.531991821289</v>
      </c>
      <c r="U664" s="37">
        <v>2354.6666666666665</v>
      </c>
      <c r="V664">
        <f t="shared" si="144"/>
        <v>0.58204926039975469</v>
      </c>
      <c r="W664">
        <f t="shared" si="147"/>
        <v>-3.7072432588614687E-2</v>
      </c>
      <c r="X664" s="28">
        <v>2318.9891666666667</v>
      </c>
      <c r="Y664">
        <f t="shared" si="145"/>
        <v>0.21351529586636467</v>
      </c>
      <c r="Z664">
        <f t="shared" si="148"/>
        <v>0.10935404515855041</v>
      </c>
      <c r="AA664">
        <f t="shared" si="149"/>
        <v>4.6695091308040775E-2</v>
      </c>
      <c r="AB664">
        <f t="shared" si="150"/>
        <v>0.13957217582106457</v>
      </c>
      <c r="AC664">
        <f t="shared" si="151"/>
        <v>1.7296189235803879E-4</v>
      </c>
      <c r="AD664">
        <f t="shared" si="152"/>
        <v>1.8541023366718573E-3</v>
      </c>
      <c r="AE664">
        <f t="shared" si="153"/>
        <v>1.6899347926104192E-2</v>
      </c>
      <c r="AF664">
        <f t="shared" si="154"/>
        <v>5.3986240090600233E-2</v>
      </c>
      <c r="AG664">
        <f t="shared" si="146"/>
        <v>0.58204926039975469</v>
      </c>
      <c r="AH664">
        <v>0.35968965635620859</v>
      </c>
      <c r="AI664">
        <v>0.70961718020541553</v>
      </c>
      <c r="AJ664">
        <v>3.9005025857673535E-2</v>
      </c>
      <c r="AK664">
        <v>1.6455580349479901E-2</v>
      </c>
      <c r="AL664">
        <v>0.42990371507346553</v>
      </c>
    </row>
    <row r="665" spans="1:38" x14ac:dyDescent="0.25">
      <c r="A665">
        <v>22</v>
      </c>
      <c r="B665" s="5" t="s">
        <v>32</v>
      </c>
      <c r="C665" s="6" t="s">
        <v>5</v>
      </c>
      <c r="D665" s="6" t="s">
        <v>48</v>
      </c>
      <c r="E665" s="28">
        <v>29129</v>
      </c>
      <c r="F665" s="11">
        <v>13</v>
      </c>
      <c r="G665" s="11"/>
      <c r="H665" s="11">
        <f t="shared" si="142"/>
        <v>13</v>
      </c>
      <c r="I665" s="18">
        <v>0</v>
      </c>
      <c r="J665" s="19">
        <v>0</v>
      </c>
      <c r="K665" s="19">
        <v>0</v>
      </c>
      <c r="L665" s="6">
        <v>5266540.5</v>
      </c>
      <c r="M665" s="6">
        <v>2588596.75</v>
      </c>
      <c r="N665" s="6">
        <v>1099513.75</v>
      </c>
      <c r="O665" s="6">
        <v>3304466.25</v>
      </c>
      <c r="P665" s="6">
        <v>4072.67602539062</v>
      </c>
      <c r="Q665" s="6">
        <v>21361.443359375</v>
      </c>
      <c r="R665" s="6">
        <v>396589.5</v>
      </c>
      <c r="S665" s="6">
        <v>1238361.875</v>
      </c>
      <c r="T665" s="31">
        <f t="shared" si="143"/>
        <v>1391.9502744384765</v>
      </c>
      <c r="U665" s="37">
        <v>2383.5555555555552</v>
      </c>
      <c r="V665">
        <f t="shared" si="144"/>
        <v>0.58398062977560561</v>
      </c>
      <c r="W665">
        <f t="shared" si="147"/>
        <v>3.3182232282615511E-3</v>
      </c>
      <c r="X665" s="28">
        <v>2360.5574999999999</v>
      </c>
      <c r="Y665">
        <f t="shared" si="145"/>
        <v>0.22095312558269628</v>
      </c>
      <c r="Z665">
        <f t="shared" si="148"/>
        <v>0.10860232495804589</v>
      </c>
      <c r="AA665">
        <f t="shared" si="149"/>
        <v>4.6129142970352421E-2</v>
      </c>
      <c r="AB665">
        <f t="shared" si="150"/>
        <v>0.13863600713220214</v>
      </c>
      <c r="AC665">
        <f t="shared" si="151"/>
        <v>1.7086558003223749E-4</v>
      </c>
      <c r="AD665">
        <f t="shared" si="152"/>
        <v>8.9620077491317843E-4</v>
      </c>
      <c r="AE665">
        <f t="shared" si="153"/>
        <v>1.6638567499533845E-2</v>
      </c>
      <c r="AF665">
        <f t="shared" si="154"/>
        <v>5.1954395277829579E-2</v>
      </c>
      <c r="AG665">
        <f t="shared" si="146"/>
        <v>0.58398062977560561</v>
      </c>
      <c r="AH665">
        <v>0.35968965635620859</v>
      </c>
      <c r="AI665">
        <v>0.70961718020541553</v>
      </c>
      <c r="AJ665">
        <v>3.9005025857673535E-2</v>
      </c>
      <c r="AK665">
        <v>1.6455580349479901E-2</v>
      </c>
      <c r="AL665">
        <v>0.42990371507346553</v>
      </c>
    </row>
    <row r="666" spans="1:38" x14ac:dyDescent="0.25">
      <c r="A666">
        <v>22</v>
      </c>
      <c r="B666" s="5" t="s">
        <v>32</v>
      </c>
      <c r="C666" s="6" t="s">
        <v>5</v>
      </c>
      <c r="D666" s="6" t="s">
        <v>49</v>
      </c>
      <c r="E666" s="28">
        <v>29129</v>
      </c>
      <c r="F666" s="11">
        <v>14</v>
      </c>
      <c r="G666" s="11"/>
      <c r="H666" s="11">
        <f t="shared" si="142"/>
        <v>14</v>
      </c>
      <c r="I666" s="18">
        <v>0</v>
      </c>
      <c r="J666" s="19">
        <v>0</v>
      </c>
      <c r="K666" s="19">
        <v>0</v>
      </c>
      <c r="L666" s="6">
        <v>5923865</v>
      </c>
      <c r="M666" s="6">
        <v>2485594.75</v>
      </c>
      <c r="N666" s="6">
        <v>1099513.75</v>
      </c>
      <c r="O666" s="6">
        <v>3171856</v>
      </c>
      <c r="P666" s="6">
        <v>4072.67602539062</v>
      </c>
      <c r="Q666" s="6">
        <v>12834.44921875</v>
      </c>
      <c r="R666" s="6">
        <v>402020.21875</v>
      </c>
      <c r="S666" s="6">
        <v>1216662.25</v>
      </c>
      <c r="T666" s="31">
        <f t="shared" si="143"/>
        <v>1431.6419093994141</v>
      </c>
      <c r="U666" s="37">
        <v>2412.4444444444448</v>
      </c>
      <c r="V666">
        <f t="shared" si="144"/>
        <v>0.59344036406571132</v>
      </c>
      <c r="W666">
        <f t="shared" si="147"/>
        <v>1.6198712436302238E-2</v>
      </c>
      <c r="X666" s="28">
        <v>2402.125833333333</v>
      </c>
      <c r="Y666">
        <f t="shared" si="145"/>
        <v>0.24555446296978625</v>
      </c>
      <c r="Z666">
        <f t="shared" si="148"/>
        <v>0.10303220684414148</v>
      </c>
      <c r="AA666">
        <f t="shared" si="149"/>
        <v>4.5576749032792921E-2</v>
      </c>
      <c r="AB666">
        <f t="shared" si="150"/>
        <v>0.13147892409727338</v>
      </c>
      <c r="AC666">
        <f t="shared" si="151"/>
        <v>1.6881947415491697E-4</v>
      </c>
      <c r="AD666">
        <f t="shared" si="152"/>
        <v>5.3201014631885587E-4</v>
      </c>
      <c r="AE666">
        <f t="shared" si="153"/>
        <v>1.6664434270219231E-2</v>
      </c>
      <c r="AF666">
        <f t="shared" si="154"/>
        <v>5.0432757231024312E-2</v>
      </c>
      <c r="AG666">
        <f t="shared" si="146"/>
        <v>0.59344036406571143</v>
      </c>
      <c r="AH666">
        <v>0.35968965635620859</v>
      </c>
      <c r="AI666">
        <v>0.70961718020541553</v>
      </c>
      <c r="AJ666">
        <v>3.9005025857673535E-2</v>
      </c>
      <c r="AK666">
        <v>1.6455580349479901E-2</v>
      </c>
      <c r="AL666">
        <v>0.42990371507346553</v>
      </c>
    </row>
    <row r="667" spans="1:38" x14ac:dyDescent="0.25">
      <c r="A667">
        <v>22</v>
      </c>
      <c r="B667" s="5" t="s">
        <v>32</v>
      </c>
      <c r="C667" s="6" t="s">
        <v>5</v>
      </c>
      <c r="D667" s="6" t="s">
        <v>50</v>
      </c>
      <c r="E667" s="28">
        <v>29129</v>
      </c>
      <c r="F667" s="11">
        <v>15</v>
      </c>
      <c r="G667" s="11"/>
      <c r="H667" s="11">
        <f t="shared" si="142"/>
        <v>15</v>
      </c>
      <c r="I667" s="18">
        <v>0</v>
      </c>
      <c r="J667" s="19">
        <v>0</v>
      </c>
      <c r="K667" s="19">
        <v>0</v>
      </c>
      <c r="L667" s="6">
        <v>6303829</v>
      </c>
      <c r="M667" s="6">
        <v>2414550.75</v>
      </c>
      <c r="N667" s="6">
        <v>1099513.75</v>
      </c>
      <c r="O667" s="6">
        <v>3081128.5</v>
      </c>
      <c r="P667" s="6">
        <v>4072.67602539062</v>
      </c>
      <c r="Q667" s="6">
        <v>17953.548828125</v>
      </c>
      <c r="R667" s="6">
        <v>383674.84375</v>
      </c>
      <c r="S667" s="6">
        <v>1227571</v>
      </c>
      <c r="T667" s="31">
        <f t="shared" si="143"/>
        <v>1453.2294068603517</v>
      </c>
      <c r="U667" s="37">
        <v>2441.3333333333335</v>
      </c>
      <c r="V667">
        <f t="shared" si="144"/>
        <v>0.59526054349823254</v>
      </c>
      <c r="W667">
        <f t="shared" si="147"/>
        <v>3.0671648622803672E-3</v>
      </c>
      <c r="X667" s="28">
        <v>2443.6941666666667</v>
      </c>
      <c r="Y667">
        <f t="shared" si="145"/>
        <v>0.25821254778809394</v>
      </c>
      <c r="Z667">
        <f t="shared" si="148"/>
        <v>9.8902952621518297E-2</v>
      </c>
      <c r="AA667">
        <f t="shared" si="149"/>
        <v>4.5037428317859091E-2</v>
      </c>
      <c r="AB667">
        <f t="shared" si="150"/>
        <v>0.12620679273620972</v>
      </c>
      <c r="AC667">
        <f t="shared" si="151"/>
        <v>1.6682179241086646E-4</v>
      </c>
      <c r="AD667">
        <f t="shared" si="152"/>
        <v>7.3539932392647459E-4</v>
      </c>
      <c r="AE667">
        <f t="shared" si="153"/>
        <v>1.571579097829055E-2</v>
      </c>
      <c r="AF667">
        <f t="shared" si="154"/>
        <v>5.028280993992354E-2</v>
      </c>
      <c r="AG667">
        <f t="shared" si="146"/>
        <v>0.59526054349823254</v>
      </c>
      <c r="AH667">
        <v>0.35968965635620859</v>
      </c>
      <c r="AI667">
        <v>0.70961718020541553</v>
      </c>
      <c r="AJ667">
        <v>3.9005025857673535E-2</v>
      </c>
      <c r="AK667">
        <v>1.6455580349479901E-2</v>
      </c>
      <c r="AL667">
        <v>0.42990371507346553</v>
      </c>
    </row>
    <row r="668" spans="1:38" x14ac:dyDescent="0.25">
      <c r="A668">
        <v>22</v>
      </c>
      <c r="B668" s="5" t="s">
        <v>32</v>
      </c>
      <c r="C668" s="6" t="s">
        <v>5</v>
      </c>
      <c r="D668" s="6" t="s">
        <v>51</v>
      </c>
      <c r="E668" s="28">
        <v>29129</v>
      </c>
      <c r="F668" s="11">
        <v>16</v>
      </c>
      <c r="G668" s="11"/>
      <c r="H668" s="11">
        <f t="shared" si="142"/>
        <v>16</v>
      </c>
      <c r="I668" s="18">
        <v>0</v>
      </c>
      <c r="J668" s="19">
        <v>0</v>
      </c>
      <c r="K668" s="19">
        <v>0</v>
      </c>
      <c r="L668" s="6">
        <v>5503521.5</v>
      </c>
      <c r="M668" s="6">
        <v>2520006.25</v>
      </c>
      <c r="N668" s="6">
        <v>1099513.75</v>
      </c>
      <c r="O668" s="6">
        <v>3216284</v>
      </c>
      <c r="P668" s="6">
        <v>4072.67602539062</v>
      </c>
      <c r="Q668" s="6">
        <v>49505.07421875</v>
      </c>
      <c r="R668" s="6">
        <v>378241.5</v>
      </c>
      <c r="S668" s="6">
        <v>1246349</v>
      </c>
      <c r="T668" s="31">
        <f t="shared" si="143"/>
        <v>1401.7493750244141</v>
      </c>
      <c r="U668" s="37">
        <v>2506.2222222222222</v>
      </c>
      <c r="V668">
        <f t="shared" si="144"/>
        <v>0.55930769530145985</v>
      </c>
      <c r="W668">
        <f t="shared" si="147"/>
        <v>-6.0398507157025168E-2</v>
      </c>
      <c r="X668" s="28">
        <v>2485.2624999999998</v>
      </c>
      <c r="Y668">
        <f t="shared" si="145"/>
        <v>0.21959431415144531</v>
      </c>
      <c r="Z668">
        <f t="shared" si="148"/>
        <v>0.10054999224153219</v>
      </c>
      <c r="AA668">
        <f t="shared" si="149"/>
        <v>4.3871359061890408E-2</v>
      </c>
      <c r="AB668">
        <f t="shared" si="150"/>
        <v>0.12833195602057104</v>
      </c>
      <c r="AC668">
        <f t="shared" si="151"/>
        <v>1.625025901246479E-4</v>
      </c>
      <c r="AD668">
        <f t="shared" si="152"/>
        <v>1.9752866996309189E-3</v>
      </c>
      <c r="AE668">
        <f t="shared" si="153"/>
        <v>1.5092097446355738E-2</v>
      </c>
      <c r="AF668">
        <f t="shared" si="154"/>
        <v>4.9730187089909561E-2</v>
      </c>
      <c r="AG668">
        <f t="shared" si="146"/>
        <v>0.55930769530145974</v>
      </c>
      <c r="AH668">
        <v>0.35968965635620859</v>
      </c>
      <c r="AI668">
        <v>0.70961718020541553</v>
      </c>
      <c r="AJ668">
        <v>3.9005025857673535E-2</v>
      </c>
      <c r="AK668">
        <v>1.6455580349479901E-2</v>
      </c>
      <c r="AL668">
        <v>0.42990371507346553</v>
      </c>
    </row>
    <row r="669" spans="1:38" x14ac:dyDescent="0.25">
      <c r="A669">
        <v>22</v>
      </c>
      <c r="B669" s="5" t="s">
        <v>32</v>
      </c>
      <c r="C669" s="6" t="s">
        <v>5</v>
      </c>
      <c r="D669" s="6" t="s">
        <v>52</v>
      </c>
      <c r="E669" s="28">
        <v>29129</v>
      </c>
      <c r="F669" s="11">
        <v>17</v>
      </c>
      <c r="G669" s="11"/>
      <c r="H669" s="11">
        <f t="shared" si="142"/>
        <v>17</v>
      </c>
      <c r="I669" s="18">
        <v>0</v>
      </c>
      <c r="J669" s="19">
        <v>0</v>
      </c>
      <c r="K669" s="19">
        <v>0</v>
      </c>
      <c r="L669" s="6">
        <v>5416143</v>
      </c>
      <c r="M669" s="6">
        <v>2593423.75</v>
      </c>
      <c r="N669" s="6">
        <v>1099513.75</v>
      </c>
      <c r="O669" s="6">
        <v>3309300.25</v>
      </c>
      <c r="P669" s="6">
        <v>4072.67602539062</v>
      </c>
      <c r="Q669" s="6">
        <v>68309.6875</v>
      </c>
      <c r="R669" s="6">
        <v>403306.28125</v>
      </c>
      <c r="S669" s="6">
        <v>1284335</v>
      </c>
      <c r="T669" s="31">
        <f t="shared" si="143"/>
        <v>1417.8404394775391</v>
      </c>
      <c r="U669" s="37">
        <v>2571.1111111111113</v>
      </c>
      <c r="V669">
        <f t="shared" si="144"/>
        <v>0.55145047343551645</v>
      </c>
      <c r="W669">
        <f t="shared" si="147"/>
        <v>-1.4048120438801496E-2</v>
      </c>
      <c r="X669" s="28">
        <v>2526.830833333333</v>
      </c>
      <c r="Y669">
        <f t="shared" si="145"/>
        <v>0.21065378997407089</v>
      </c>
      <c r="Z669">
        <f t="shared" si="148"/>
        <v>0.10086782087294727</v>
      </c>
      <c r="AA669">
        <f t="shared" si="149"/>
        <v>4.276414757994814E-2</v>
      </c>
      <c r="AB669">
        <f t="shared" si="150"/>
        <v>0.12871089995678478</v>
      </c>
      <c r="AC669">
        <f t="shared" si="151"/>
        <v>1.5840140116039577E-4</v>
      </c>
      <c r="AD669">
        <f t="shared" si="152"/>
        <v>2.6568158491789111E-3</v>
      </c>
      <c r="AE669">
        <f t="shared" si="153"/>
        <v>1.568606971153846E-2</v>
      </c>
      <c r="AF669">
        <f t="shared" si="154"/>
        <v>4.9952528089887635E-2</v>
      </c>
      <c r="AG669">
        <f t="shared" si="146"/>
        <v>0.55145047343551645</v>
      </c>
      <c r="AH669">
        <v>0.35968965635620859</v>
      </c>
      <c r="AI669">
        <v>0.70961718020541553</v>
      </c>
      <c r="AJ669">
        <v>3.9005025857673535E-2</v>
      </c>
      <c r="AK669">
        <v>1.6455580349479901E-2</v>
      </c>
      <c r="AL669">
        <v>0.42990371507346553</v>
      </c>
    </row>
    <row r="670" spans="1:38" x14ac:dyDescent="0.25">
      <c r="A670">
        <v>22</v>
      </c>
      <c r="B670" s="5" t="s">
        <v>32</v>
      </c>
      <c r="C670" s="6" t="s">
        <v>5</v>
      </c>
      <c r="D670" s="6" t="s">
        <v>53</v>
      </c>
      <c r="E670" s="28">
        <v>29129</v>
      </c>
      <c r="F670" s="11">
        <v>18</v>
      </c>
      <c r="G670" s="11"/>
      <c r="H670" s="11">
        <f t="shared" si="142"/>
        <v>18</v>
      </c>
      <c r="I670" s="18">
        <v>0</v>
      </c>
      <c r="J670" s="19">
        <v>0</v>
      </c>
      <c r="K670" s="19">
        <v>0</v>
      </c>
      <c r="L670" s="6">
        <v>5784854</v>
      </c>
      <c r="M670" s="6">
        <v>2584022.75</v>
      </c>
      <c r="N670" s="6">
        <v>1099513.75</v>
      </c>
      <c r="O670" s="6">
        <v>3298432.5</v>
      </c>
      <c r="P670" s="6">
        <v>4072.67602539062</v>
      </c>
      <c r="Q670" s="6">
        <v>45152.2421875</v>
      </c>
      <c r="R670" s="6">
        <v>398784.3125</v>
      </c>
      <c r="S670" s="6">
        <v>1270189.625</v>
      </c>
      <c r="T670" s="31">
        <f t="shared" si="143"/>
        <v>1448.5021855712891</v>
      </c>
      <c r="U670" s="37">
        <v>2636</v>
      </c>
      <c r="V670">
        <f t="shared" si="144"/>
        <v>0.54950765765223408</v>
      </c>
      <c r="W670">
        <f t="shared" si="147"/>
        <v>-3.52310112489105E-3</v>
      </c>
      <c r="X670" s="28">
        <v>2568.3991666666666</v>
      </c>
      <c r="Y670">
        <f t="shared" si="145"/>
        <v>0.21945576631259484</v>
      </c>
      <c r="Z670">
        <f t="shared" si="148"/>
        <v>9.8028177162367225E-2</v>
      </c>
      <c r="AA670">
        <f t="shared" si="149"/>
        <v>4.1711447268588775E-2</v>
      </c>
      <c r="AB670">
        <f t="shared" si="150"/>
        <v>0.1251302162367223</v>
      </c>
      <c r="AC670">
        <f t="shared" si="151"/>
        <v>1.5450212539418133E-4</v>
      </c>
      <c r="AD670">
        <f t="shared" si="152"/>
        <v>1.7129075184939304E-3</v>
      </c>
      <c r="AE670">
        <f t="shared" si="153"/>
        <v>1.5128388182852809E-2</v>
      </c>
      <c r="AF670">
        <f t="shared" si="154"/>
        <v>4.8186252845220032E-2</v>
      </c>
      <c r="AG670">
        <f t="shared" si="146"/>
        <v>0.54950765765223419</v>
      </c>
      <c r="AH670">
        <v>0.35968965635620859</v>
      </c>
      <c r="AI670">
        <v>0.70961718020541553</v>
      </c>
      <c r="AJ670">
        <v>3.9005025857673535E-2</v>
      </c>
      <c r="AK670">
        <v>1.6455580349479901E-2</v>
      </c>
      <c r="AL670">
        <v>0.42990371507346553</v>
      </c>
    </row>
    <row r="671" spans="1:38" x14ac:dyDescent="0.25">
      <c r="A671">
        <v>22</v>
      </c>
      <c r="B671" s="5" t="s">
        <v>32</v>
      </c>
      <c r="C671" s="6" t="s">
        <v>5</v>
      </c>
      <c r="D671" s="6" t="s">
        <v>54</v>
      </c>
      <c r="E671" s="28">
        <v>29129</v>
      </c>
      <c r="F671" s="11">
        <v>19</v>
      </c>
      <c r="G671" s="11"/>
      <c r="H671" s="11">
        <f t="shared" si="142"/>
        <v>19</v>
      </c>
      <c r="I671" s="18">
        <v>0</v>
      </c>
      <c r="J671" s="19">
        <v>0</v>
      </c>
      <c r="K671" s="19">
        <v>0</v>
      </c>
      <c r="L671" s="6">
        <v>6452770</v>
      </c>
      <c r="M671" s="6">
        <v>2607340.75</v>
      </c>
      <c r="N671" s="6">
        <v>1100041.5</v>
      </c>
      <c r="O671" s="6">
        <v>3329286.5</v>
      </c>
      <c r="P671" s="6">
        <v>4074.630859375</v>
      </c>
      <c r="Q671" s="6">
        <v>20930.583984375</v>
      </c>
      <c r="R671" s="6">
        <v>398456.53125</v>
      </c>
      <c r="S671" s="6">
        <v>1230123.75</v>
      </c>
      <c r="T671" s="31">
        <f t="shared" si="143"/>
        <v>1514.3024246093751</v>
      </c>
      <c r="U671" s="37">
        <v>2700.8888888888887</v>
      </c>
      <c r="V671">
        <f t="shared" si="144"/>
        <v>0.56066816774248707</v>
      </c>
      <c r="W671">
        <f t="shared" si="147"/>
        <v>2.0310017403462857E-2</v>
      </c>
      <c r="X671" s="28">
        <v>2609.9674999999997</v>
      </c>
      <c r="Y671">
        <f t="shared" si="145"/>
        <v>0.23891282705282216</v>
      </c>
      <c r="Z671">
        <f t="shared" si="148"/>
        <v>9.6536394396906366E-2</v>
      </c>
      <c r="AA671">
        <f t="shared" si="149"/>
        <v>4.072886909659372E-2</v>
      </c>
      <c r="AB671">
        <f t="shared" si="150"/>
        <v>0.12326632590093797</v>
      </c>
      <c r="AC671">
        <f t="shared" si="151"/>
        <v>1.5086258735550026E-4</v>
      </c>
      <c r="AD671">
        <f t="shared" si="152"/>
        <v>7.7495168610899705E-4</v>
      </c>
      <c r="AE671">
        <f t="shared" si="153"/>
        <v>1.4752792419162417E-2</v>
      </c>
      <c r="AF671">
        <f t="shared" si="154"/>
        <v>4.5545144602599973E-2</v>
      </c>
      <c r="AG671">
        <f t="shared" si="146"/>
        <v>0.56066816774248707</v>
      </c>
      <c r="AH671">
        <v>0.35968965635620859</v>
      </c>
      <c r="AI671">
        <v>0.70961718020541553</v>
      </c>
      <c r="AJ671">
        <v>3.9005025857673535E-2</v>
      </c>
      <c r="AK671">
        <v>1.6455580349479901E-2</v>
      </c>
      <c r="AL671">
        <v>0.42990371507346553</v>
      </c>
    </row>
    <row r="672" spans="1:38" s="20" customFormat="1" x14ac:dyDescent="0.25">
      <c r="A672">
        <v>22</v>
      </c>
      <c r="B672" s="5" t="s">
        <v>32</v>
      </c>
      <c r="C672" s="6" t="s">
        <v>5</v>
      </c>
      <c r="D672" s="6" t="s">
        <v>55</v>
      </c>
      <c r="E672" s="29">
        <v>30145.8</v>
      </c>
      <c r="F672" s="11">
        <v>20</v>
      </c>
      <c r="G672" s="11"/>
      <c r="H672" s="18">
        <f t="shared" si="142"/>
        <v>20</v>
      </c>
      <c r="I672" s="18">
        <v>0</v>
      </c>
      <c r="J672" s="19">
        <v>0</v>
      </c>
      <c r="K672" s="19">
        <v>0</v>
      </c>
      <c r="L672" s="14">
        <v>410641.71875</v>
      </c>
      <c r="M672" s="14">
        <v>2460106.5</v>
      </c>
      <c r="N672" s="14">
        <v>2422583.5</v>
      </c>
      <c r="O672" s="14">
        <v>5752781.5</v>
      </c>
      <c r="P672" s="14">
        <v>4312.515625</v>
      </c>
      <c r="Q672" s="14">
        <v>12727.580078125</v>
      </c>
      <c r="R672" s="14">
        <v>3056432.25</v>
      </c>
      <c r="S672" s="14">
        <v>1509271.5</v>
      </c>
      <c r="T672" s="31">
        <f t="shared" si="143"/>
        <v>1562.8857064453125</v>
      </c>
      <c r="U672" s="37">
        <v>2274.7777777777778</v>
      </c>
      <c r="V672">
        <f t="shared" si="144"/>
        <v>0.68704983920323415</v>
      </c>
      <c r="W672">
        <f t="shared" si="147"/>
        <v>0.22541260362545451</v>
      </c>
      <c r="X672" s="29">
        <v>1792.7079166666656</v>
      </c>
      <c r="Y672">
        <f t="shared" si="145"/>
        <v>1.8051948755678213E-2</v>
      </c>
      <c r="Z672">
        <f t="shared" si="148"/>
        <v>0.1081471132711376</v>
      </c>
      <c r="AA672">
        <f t="shared" si="149"/>
        <v>0.10649758950813266</v>
      </c>
      <c r="AB672">
        <f t="shared" si="150"/>
        <v>0.25289421921555216</v>
      </c>
      <c r="AC672">
        <f t="shared" si="151"/>
        <v>1.8957964453182239E-4</v>
      </c>
      <c r="AD672">
        <f t="shared" si="152"/>
        <v>5.5950872223477265E-4</v>
      </c>
      <c r="AE672">
        <f t="shared" si="153"/>
        <v>0.13436179480291113</v>
      </c>
      <c r="AF672">
        <f t="shared" si="154"/>
        <v>6.6348085283055733E-2</v>
      </c>
      <c r="AG672">
        <f t="shared" si="146"/>
        <v>0.68704983920323404</v>
      </c>
      <c r="AH672" s="20">
        <v>0.37149797699778309</v>
      </c>
      <c r="AI672" s="20">
        <v>0.71670322782826701</v>
      </c>
      <c r="AJ672" s="20">
        <v>3.8737951295311629E-2</v>
      </c>
      <c r="AK672" s="20">
        <v>1.6582882717619939E-2</v>
      </c>
      <c r="AL672" s="20">
        <v>0.46012675886407162</v>
      </c>
    </row>
    <row r="673" spans="1:38" x14ac:dyDescent="0.25">
      <c r="A673">
        <v>22</v>
      </c>
      <c r="B673" s="5" t="s">
        <v>32</v>
      </c>
      <c r="C673" s="6" t="s">
        <v>5</v>
      </c>
      <c r="D673" s="6" t="s">
        <v>56</v>
      </c>
      <c r="E673" s="29">
        <v>30145.8</v>
      </c>
      <c r="F673" s="11">
        <v>21</v>
      </c>
      <c r="G673" s="11"/>
      <c r="H673" s="11">
        <f t="shared" si="142"/>
        <v>21</v>
      </c>
      <c r="I673" s="18">
        <v>0</v>
      </c>
      <c r="J673" s="19">
        <v>0</v>
      </c>
      <c r="K673" s="19">
        <v>0</v>
      </c>
      <c r="L673" s="6">
        <v>392290.65625</v>
      </c>
      <c r="M673" s="6">
        <v>2411892.75</v>
      </c>
      <c r="N673" s="6">
        <v>2107392.75</v>
      </c>
      <c r="O673" s="6">
        <v>5724275.5</v>
      </c>
      <c r="P673" s="6">
        <v>4312.515625</v>
      </c>
      <c r="Q673" s="6">
        <v>18052.51171875</v>
      </c>
      <c r="R673" s="6">
        <v>2994546</v>
      </c>
      <c r="S673" s="6">
        <v>1526553.875</v>
      </c>
      <c r="T673" s="31">
        <f t="shared" si="143"/>
        <v>1517.931655859375</v>
      </c>
      <c r="U673" s="37">
        <v>2327</v>
      </c>
      <c r="V673">
        <f t="shared" si="144"/>
        <v>0.65231270127175545</v>
      </c>
      <c r="W673">
        <f t="shared" si="147"/>
        <v>-5.0559851628468558E-2</v>
      </c>
      <c r="X673" s="29">
        <v>1923.5154166666659</v>
      </c>
      <c r="Y673">
        <f t="shared" si="145"/>
        <v>1.6858214707778256E-2</v>
      </c>
      <c r="Z673">
        <f t="shared" si="148"/>
        <v>0.10364816287064892</v>
      </c>
      <c r="AA673">
        <f t="shared" si="149"/>
        <v>9.0562645036527709E-2</v>
      </c>
      <c r="AB673">
        <f t="shared" si="150"/>
        <v>0.24599379028792437</v>
      </c>
      <c r="AC673">
        <f t="shared" si="151"/>
        <v>1.8532512354963473E-4</v>
      </c>
      <c r="AD673">
        <f t="shared" si="152"/>
        <v>7.7578477519338199E-4</v>
      </c>
      <c r="AE673">
        <f t="shared" si="153"/>
        <v>0.12868697894284487</v>
      </c>
      <c r="AF673">
        <f t="shared" si="154"/>
        <v>6.5601799527288354E-2</v>
      </c>
      <c r="AG673">
        <f t="shared" si="146"/>
        <v>0.65231270127175545</v>
      </c>
      <c r="AH673">
        <v>0.37149797699778309</v>
      </c>
      <c r="AI673">
        <v>0.71670322782826701</v>
      </c>
      <c r="AJ673">
        <v>3.8737951295311629E-2</v>
      </c>
      <c r="AK673">
        <v>1.6582882717619939E-2</v>
      </c>
      <c r="AL673">
        <v>0.46012675886407162</v>
      </c>
    </row>
    <row r="674" spans="1:38" x14ac:dyDescent="0.25">
      <c r="A674">
        <v>22</v>
      </c>
      <c r="B674" s="5" t="s">
        <v>32</v>
      </c>
      <c r="C674" s="6" t="s">
        <v>5</v>
      </c>
      <c r="D674" s="6" t="s">
        <v>57</v>
      </c>
      <c r="E674" s="29">
        <v>30145.8</v>
      </c>
      <c r="F674" s="11">
        <v>22</v>
      </c>
      <c r="G674" s="11"/>
      <c r="H674" s="11">
        <f t="shared" si="142"/>
        <v>22</v>
      </c>
      <c r="I674" s="18">
        <v>0</v>
      </c>
      <c r="J674" s="19">
        <v>0</v>
      </c>
      <c r="K674" s="19">
        <v>0</v>
      </c>
      <c r="L674" s="6">
        <v>386152.25</v>
      </c>
      <c r="M674" s="6">
        <v>2503671.5</v>
      </c>
      <c r="N674" s="6">
        <v>1366283.375</v>
      </c>
      <c r="O674" s="6">
        <v>6511652</v>
      </c>
      <c r="P674" s="6">
        <v>4312.515625</v>
      </c>
      <c r="Q674" s="6">
        <v>52215.484375</v>
      </c>
      <c r="R674" s="6">
        <v>3109342.25</v>
      </c>
      <c r="S674" s="6">
        <v>1554234.75</v>
      </c>
      <c r="T674" s="31">
        <f t="shared" si="143"/>
        <v>1548.7864125000001</v>
      </c>
      <c r="U674" s="37">
        <v>2379.2222222222222</v>
      </c>
      <c r="V674">
        <f t="shared" si="144"/>
        <v>0.65096332660066325</v>
      </c>
      <c r="W674">
        <f t="shared" si="147"/>
        <v>-2.0686009462355117E-3</v>
      </c>
      <c r="X674" s="29">
        <v>2054.3229166666661</v>
      </c>
      <c r="Y674">
        <f t="shared" si="145"/>
        <v>1.6230188436930838E-2</v>
      </c>
      <c r="Z674">
        <f t="shared" si="148"/>
        <v>0.10523067062065102</v>
      </c>
      <c r="AA674">
        <f t="shared" si="149"/>
        <v>5.742563104189044E-2</v>
      </c>
      <c r="AB674">
        <f t="shared" si="150"/>
        <v>0.27368826413860736</v>
      </c>
      <c r="AC674">
        <f t="shared" si="151"/>
        <v>1.8125736993882221E-4</v>
      </c>
      <c r="AD674">
        <f t="shared" si="152"/>
        <v>2.1946451192032877E-3</v>
      </c>
      <c r="AE674">
        <f t="shared" si="153"/>
        <v>0.13068734063419418</v>
      </c>
      <c r="AF674">
        <f t="shared" si="154"/>
        <v>6.5325329239247179E-2</v>
      </c>
      <c r="AG674">
        <f t="shared" si="146"/>
        <v>0.65096332660066325</v>
      </c>
      <c r="AH674">
        <v>0.37149797699778309</v>
      </c>
      <c r="AI674">
        <v>0.71670322782826701</v>
      </c>
      <c r="AJ674">
        <v>3.8737951295311629E-2</v>
      </c>
      <c r="AK674">
        <v>1.6582882717619939E-2</v>
      </c>
      <c r="AL674">
        <v>0.46012675886407162</v>
      </c>
    </row>
    <row r="675" spans="1:38" x14ac:dyDescent="0.25">
      <c r="A675">
        <v>22</v>
      </c>
      <c r="B675" s="5" t="s">
        <v>32</v>
      </c>
      <c r="C675" s="6" t="s">
        <v>5</v>
      </c>
      <c r="D675" s="6" t="s">
        <v>58</v>
      </c>
      <c r="E675" s="29">
        <v>30145.8</v>
      </c>
      <c r="F675" s="11">
        <v>23</v>
      </c>
      <c r="G675" s="11"/>
      <c r="H675" s="11">
        <f t="shared" si="142"/>
        <v>23</v>
      </c>
      <c r="I675" s="18">
        <v>0</v>
      </c>
      <c r="J675" s="19">
        <v>0</v>
      </c>
      <c r="K675" s="19">
        <v>0</v>
      </c>
      <c r="L675" s="6">
        <v>409913.3125</v>
      </c>
      <c r="M675" s="6">
        <v>2543454</v>
      </c>
      <c r="N675" s="6">
        <v>891852.8125</v>
      </c>
      <c r="O675" s="6">
        <v>5889917</v>
      </c>
      <c r="P675" s="6">
        <v>4312.515625</v>
      </c>
      <c r="Q675" s="6">
        <v>71939.6328125</v>
      </c>
      <c r="R675" s="6">
        <v>3159442.5</v>
      </c>
      <c r="S675" s="6">
        <v>1600031.75</v>
      </c>
      <c r="T675" s="31">
        <f t="shared" si="143"/>
        <v>1457.0863523437499</v>
      </c>
      <c r="U675" s="37">
        <v>2431.4444444444443</v>
      </c>
      <c r="V675">
        <f t="shared" si="144"/>
        <v>0.59926779559903809</v>
      </c>
      <c r="W675">
        <f t="shared" si="147"/>
        <v>-7.9413891519173163E-2</v>
      </c>
      <c r="X675" s="29">
        <v>2185.1304166666664</v>
      </c>
      <c r="Y675">
        <f t="shared" si="145"/>
        <v>1.6858839338756114E-2</v>
      </c>
      <c r="Z675">
        <f t="shared" si="148"/>
        <v>0.10460670840378378</v>
      </c>
      <c r="AA675">
        <f t="shared" si="149"/>
        <v>3.6679958472330125E-2</v>
      </c>
      <c r="AB675">
        <f t="shared" si="150"/>
        <v>0.24223942329662296</v>
      </c>
      <c r="AC675">
        <f t="shared" si="151"/>
        <v>1.7736434960928575E-4</v>
      </c>
      <c r="AD675">
        <f t="shared" si="152"/>
        <v>2.9587199895466801E-3</v>
      </c>
      <c r="AE675">
        <f t="shared" si="153"/>
        <v>0.12994097015948453</v>
      </c>
      <c r="AF675">
        <f t="shared" si="154"/>
        <v>6.5805811588904639E-2</v>
      </c>
      <c r="AG675">
        <f t="shared" si="146"/>
        <v>0.59926779559903809</v>
      </c>
      <c r="AH675">
        <v>0.37149797699778309</v>
      </c>
      <c r="AI675">
        <v>0.71670322782826701</v>
      </c>
      <c r="AJ675">
        <v>3.8737951295311629E-2</v>
      </c>
      <c r="AK675">
        <v>1.6582882717619939E-2</v>
      </c>
      <c r="AL675">
        <v>0.46012675886407162</v>
      </c>
    </row>
    <row r="676" spans="1:38" x14ac:dyDescent="0.25">
      <c r="A676">
        <v>22</v>
      </c>
      <c r="B676" s="5" t="s">
        <v>32</v>
      </c>
      <c r="C676" s="6" t="s">
        <v>5</v>
      </c>
      <c r="D676" s="6" t="s">
        <v>59</v>
      </c>
      <c r="E676" s="29">
        <v>30145.8</v>
      </c>
      <c r="F676" s="11">
        <v>24</v>
      </c>
      <c r="G676" s="11"/>
      <c r="H676" s="11">
        <f t="shared" si="142"/>
        <v>24</v>
      </c>
      <c r="I676" s="18">
        <v>0</v>
      </c>
      <c r="J676" s="19">
        <v>0</v>
      </c>
      <c r="K676" s="19">
        <v>0</v>
      </c>
      <c r="L676" s="6">
        <v>404331.75</v>
      </c>
      <c r="M676" s="6">
        <v>2516121.75</v>
      </c>
      <c r="N676" s="6">
        <v>569810.125</v>
      </c>
      <c r="O676" s="6">
        <v>5851396</v>
      </c>
      <c r="P676" s="6">
        <v>4312.515625</v>
      </c>
      <c r="Q676" s="6">
        <v>47276.73828125</v>
      </c>
      <c r="R676" s="6">
        <v>3126357</v>
      </c>
      <c r="S676" s="6">
        <v>1589883.875</v>
      </c>
      <c r="T676" s="31">
        <f t="shared" si="143"/>
        <v>1410.948975390625</v>
      </c>
      <c r="U676" s="37">
        <v>2483.6666666666665</v>
      </c>
      <c r="V676">
        <f t="shared" si="144"/>
        <v>0.56809111879907059</v>
      </c>
      <c r="W676">
        <f t="shared" si="147"/>
        <v>-5.2024615754301916E-2</v>
      </c>
      <c r="X676" s="29">
        <v>2315.9379166666668</v>
      </c>
      <c r="Y676">
        <f t="shared" si="145"/>
        <v>1.6279630250973027E-2</v>
      </c>
      <c r="Z676">
        <f t="shared" si="148"/>
        <v>0.10130674070594552</v>
      </c>
      <c r="AA676">
        <f t="shared" si="149"/>
        <v>2.294229465843511E-2</v>
      </c>
      <c r="AB676">
        <f t="shared" si="150"/>
        <v>0.2355950610656288</v>
      </c>
      <c r="AC676">
        <f t="shared" si="151"/>
        <v>1.7363504059857737E-4</v>
      </c>
      <c r="AD676">
        <f t="shared" si="152"/>
        <v>1.9035057689404109E-3</v>
      </c>
      <c r="AE676">
        <f t="shared" si="153"/>
        <v>0.12587667427190982</v>
      </c>
      <c r="AF676">
        <f t="shared" si="154"/>
        <v>6.4013577036639374E-2</v>
      </c>
      <c r="AG676">
        <f t="shared" si="146"/>
        <v>0.56809111879907059</v>
      </c>
      <c r="AH676">
        <v>0.37149797699778309</v>
      </c>
      <c r="AI676">
        <v>0.71670322782826701</v>
      </c>
      <c r="AJ676">
        <v>3.8737951295311629E-2</v>
      </c>
      <c r="AK676">
        <v>1.6582882717619939E-2</v>
      </c>
      <c r="AL676">
        <v>0.46012675886407162</v>
      </c>
    </row>
    <row r="677" spans="1:38" x14ac:dyDescent="0.25">
      <c r="A677">
        <v>22</v>
      </c>
      <c r="B677" s="5" t="s">
        <v>32</v>
      </c>
      <c r="C677" s="6" t="s">
        <v>5</v>
      </c>
      <c r="D677" s="6" t="s">
        <v>60</v>
      </c>
      <c r="E677" s="29">
        <v>30145.8</v>
      </c>
      <c r="F677" s="11">
        <v>25</v>
      </c>
      <c r="G677" s="11"/>
      <c r="H677" s="11">
        <f t="shared" si="142"/>
        <v>25</v>
      </c>
      <c r="I677" s="18">
        <v>0</v>
      </c>
      <c r="J677" s="19">
        <v>0</v>
      </c>
      <c r="K677" s="19">
        <v>0</v>
      </c>
      <c r="L677" s="6">
        <v>402991.0625</v>
      </c>
      <c r="M677" s="6">
        <v>2529540</v>
      </c>
      <c r="N677" s="6">
        <v>316972.25</v>
      </c>
      <c r="O677" s="6">
        <v>6129519.5</v>
      </c>
      <c r="P677" s="6">
        <v>4312.515625</v>
      </c>
      <c r="Q677" s="6">
        <v>23099.19921875</v>
      </c>
      <c r="R677" s="6">
        <v>3143459</v>
      </c>
      <c r="S677" s="6">
        <v>1550416</v>
      </c>
      <c r="T677" s="31">
        <f t="shared" si="143"/>
        <v>1410.030952734375</v>
      </c>
      <c r="U677" s="37">
        <v>2536.8888888888887</v>
      </c>
      <c r="V677">
        <f t="shared" si="144"/>
        <v>0.55581107982696987</v>
      </c>
      <c r="W677">
        <f t="shared" si="147"/>
        <v>-2.1616319223684396E-2</v>
      </c>
      <c r="X677" s="29">
        <v>2446.7454166666666</v>
      </c>
      <c r="Y677">
        <f t="shared" si="145"/>
        <v>1.5885246857480727E-2</v>
      </c>
      <c r="Z677">
        <f t="shared" si="148"/>
        <v>9.9710318850735807E-2</v>
      </c>
      <c r="AA677">
        <f t="shared" si="149"/>
        <v>1.2494526322704976E-2</v>
      </c>
      <c r="AB677">
        <f t="shared" si="150"/>
        <v>0.24161560748072883</v>
      </c>
      <c r="AC677">
        <f t="shared" si="151"/>
        <v>1.6999229425805889E-4</v>
      </c>
      <c r="AD677">
        <f t="shared" si="152"/>
        <v>9.1053255504883505E-4</v>
      </c>
      <c r="AE677">
        <f t="shared" si="153"/>
        <v>0.12390999912403645</v>
      </c>
      <c r="AF677">
        <f t="shared" si="154"/>
        <v>6.1114856341976179E-2</v>
      </c>
      <c r="AG677">
        <f t="shared" si="146"/>
        <v>0.55581107982696987</v>
      </c>
      <c r="AH677">
        <v>0.37149797699778309</v>
      </c>
      <c r="AI677">
        <v>0.71670322782826701</v>
      </c>
      <c r="AJ677">
        <v>3.8737951295311629E-2</v>
      </c>
      <c r="AK677">
        <v>1.6582882717619939E-2</v>
      </c>
      <c r="AL677">
        <v>0.46012675886407162</v>
      </c>
    </row>
    <row r="678" spans="1:38" x14ac:dyDescent="0.25">
      <c r="A678">
        <v>22</v>
      </c>
      <c r="B678" s="5" t="s">
        <v>32</v>
      </c>
      <c r="C678" s="6" t="s">
        <v>5</v>
      </c>
      <c r="D678" s="6" t="s">
        <v>61</v>
      </c>
      <c r="E678" s="29">
        <v>30145.8</v>
      </c>
      <c r="F678" s="11">
        <v>26</v>
      </c>
      <c r="G678" s="11"/>
      <c r="H678" s="11">
        <f t="shared" si="142"/>
        <v>26</v>
      </c>
      <c r="I678" s="18">
        <v>0</v>
      </c>
      <c r="J678" s="19">
        <v>0</v>
      </c>
      <c r="K678" s="19">
        <v>0</v>
      </c>
      <c r="L678" s="6">
        <v>408310.09375</v>
      </c>
      <c r="M678" s="6">
        <v>2428978</v>
      </c>
      <c r="N678" s="6">
        <v>235981.953125</v>
      </c>
      <c r="O678" s="6">
        <v>6894554.5</v>
      </c>
      <c r="P678" s="6">
        <v>4312.515625</v>
      </c>
      <c r="Q678" s="6">
        <v>13853.171875</v>
      </c>
      <c r="R678" s="6">
        <v>3017272.25</v>
      </c>
      <c r="S678" s="6">
        <v>1524331.75</v>
      </c>
      <c r="T678" s="31">
        <f t="shared" si="143"/>
        <v>1452.7594234374999</v>
      </c>
      <c r="U678" s="37">
        <v>2590.1111111111113</v>
      </c>
      <c r="V678">
        <f t="shared" si="144"/>
        <v>0.56088691222759635</v>
      </c>
      <c r="W678">
        <f t="shared" si="147"/>
        <v>9.1322979783106193E-3</v>
      </c>
      <c r="X678" s="29">
        <v>2577.552916666667</v>
      </c>
      <c r="Y678">
        <f t="shared" si="145"/>
        <v>1.5764192200034319E-2</v>
      </c>
      <c r="Z678">
        <f t="shared" si="148"/>
        <v>9.3778911243618882E-2</v>
      </c>
      <c r="AA678">
        <f t="shared" si="149"/>
        <v>9.1108814642228975E-3</v>
      </c>
      <c r="AB678">
        <f t="shared" si="150"/>
        <v>0.26618759598472819</v>
      </c>
      <c r="AC678">
        <f t="shared" si="151"/>
        <v>1.6649925196259276E-4</v>
      </c>
      <c r="AD678">
        <f t="shared" si="152"/>
        <v>5.348485559392561E-4</v>
      </c>
      <c r="AE678">
        <f t="shared" si="153"/>
        <v>0.11649200055767663</v>
      </c>
      <c r="AF678">
        <f t="shared" si="154"/>
        <v>5.8851982969413574E-2</v>
      </c>
      <c r="AG678">
        <f t="shared" si="146"/>
        <v>0.56088691222759635</v>
      </c>
      <c r="AH678">
        <v>0.37149797699778309</v>
      </c>
      <c r="AI678">
        <v>0.71670322782826701</v>
      </c>
      <c r="AJ678">
        <v>3.8737951295311629E-2</v>
      </c>
      <c r="AK678">
        <v>1.6582882717619939E-2</v>
      </c>
      <c r="AL678">
        <v>0.46012675886407162</v>
      </c>
    </row>
    <row r="679" spans="1:38" x14ac:dyDescent="0.25">
      <c r="A679">
        <v>22</v>
      </c>
      <c r="B679" s="5" t="s">
        <v>32</v>
      </c>
      <c r="C679" s="6" t="s">
        <v>5</v>
      </c>
      <c r="D679" s="6" t="s">
        <v>62</v>
      </c>
      <c r="E679" s="29">
        <v>30145.8</v>
      </c>
      <c r="F679" s="11">
        <v>27</v>
      </c>
      <c r="G679" s="11"/>
      <c r="H679" s="11">
        <f t="shared" si="142"/>
        <v>27</v>
      </c>
      <c r="I679" s="18">
        <v>0</v>
      </c>
      <c r="J679" s="19">
        <v>0</v>
      </c>
      <c r="K679" s="19">
        <v>0</v>
      </c>
      <c r="L679" s="6">
        <v>390307.65625</v>
      </c>
      <c r="M679" s="6">
        <v>2359688</v>
      </c>
      <c r="N679" s="6">
        <v>262293.53125</v>
      </c>
      <c r="O679" s="6">
        <v>7336779.5</v>
      </c>
      <c r="P679" s="6">
        <v>4312.515625</v>
      </c>
      <c r="Q679" s="6">
        <v>19384.796875</v>
      </c>
      <c r="R679" s="6">
        <v>2930934</v>
      </c>
      <c r="S679" s="6">
        <v>1537444.75</v>
      </c>
      <c r="T679" s="31">
        <f t="shared" si="143"/>
        <v>1484.1144750000001</v>
      </c>
      <c r="U679" s="37">
        <v>2643.3333333333335</v>
      </c>
      <c r="V679">
        <f t="shared" si="144"/>
        <v>0.56145566519546031</v>
      </c>
      <c r="W679">
        <f t="shared" si="147"/>
        <v>1.0140243166044372E-3</v>
      </c>
      <c r="X679" s="29">
        <v>2708.3604166666673</v>
      </c>
      <c r="Y679">
        <f t="shared" si="145"/>
        <v>1.4765737310844892E-2</v>
      </c>
      <c r="Z679">
        <f t="shared" si="148"/>
        <v>8.9269407313997476E-2</v>
      </c>
      <c r="AA679">
        <f t="shared" si="149"/>
        <v>9.922832203656997E-3</v>
      </c>
      <c r="AB679">
        <f t="shared" si="150"/>
        <v>0.27755786254728876</v>
      </c>
      <c r="AC679">
        <f t="shared" si="151"/>
        <v>1.6314687105926861E-4</v>
      </c>
      <c r="AD679">
        <f t="shared" si="152"/>
        <v>7.3334666614123577E-4</v>
      </c>
      <c r="AE679">
        <f t="shared" si="153"/>
        <v>0.11088022698612862</v>
      </c>
      <c r="AF679">
        <f t="shared" si="154"/>
        <v>5.8163105296342998E-2</v>
      </c>
      <c r="AG679">
        <f t="shared" si="146"/>
        <v>0.56145566519546031</v>
      </c>
      <c r="AH679">
        <v>0.37149797699778309</v>
      </c>
      <c r="AI679">
        <v>0.71670322782826701</v>
      </c>
      <c r="AJ679">
        <v>3.8737951295311629E-2</v>
      </c>
      <c r="AK679">
        <v>1.6582882717619939E-2</v>
      </c>
      <c r="AL679">
        <v>0.46012675886407162</v>
      </c>
    </row>
    <row r="680" spans="1:38" x14ac:dyDescent="0.25">
      <c r="A680">
        <v>22</v>
      </c>
      <c r="B680" s="5" t="s">
        <v>32</v>
      </c>
      <c r="C680" s="6" t="s">
        <v>5</v>
      </c>
      <c r="D680" s="6" t="s">
        <v>63</v>
      </c>
      <c r="E680" s="29">
        <v>30145.8</v>
      </c>
      <c r="F680" s="11">
        <v>28</v>
      </c>
      <c r="G680" s="11"/>
      <c r="H680" s="11">
        <f t="shared" si="142"/>
        <v>28</v>
      </c>
      <c r="I680" s="18">
        <v>0</v>
      </c>
      <c r="J680" s="19">
        <v>0</v>
      </c>
      <c r="K680" s="19">
        <v>0</v>
      </c>
      <c r="L680" s="6">
        <v>384996.84375</v>
      </c>
      <c r="M680" s="6">
        <v>2462688.75</v>
      </c>
      <c r="N680" s="6">
        <v>470867.59375</v>
      </c>
      <c r="O680" s="6">
        <v>6405333</v>
      </c>
      <c r="P680" s="6">
        <v>4312.515625</v>
      </c>
      <c r="Q680" s="6">
        <v>53520.87890625</v>
      </c>
      <c r="R680" s="6">
        <v>3059547.5</v>
      </c>
      <c r="S680" s="6">
        <v>1560016.625</v>
      </c>
      <c r="T680" s="31">
        <f t="shared" si="143"/>
        <v>1440.128370703125</v>
      </c>
      <c r="U680" s="37">
        <v>2679.1111111111113</v>
      </c>
      <c r="V680">
        <f t="shared" si="144"/>
        <v>0.53753962078334949</v>
      </c>
      <c r="W680">
        <f t="shared" si="147"/>
        <v>-4.2596496739924945E-2</v>
      </c>
      <c r="X680" s="29">
        <v>2839.1679166666672</v>
      </c>
      <c r="Y680">
        <f t="shared" si="145"/>
        <v>1.4370320146607498E-2</v>
      </c>
      <c r="Z680">
        <f t="shared" si="148"/>
        <v>9.1921859447577955E-2</v>
      </c>
      <c r="AA680">
        <f t="shared" si="149"/>
        <v>1.7575515692393826E-2</v>
      </c>
      <c r="AB680">
        <f t="shared" si="150"/>
        <v>0.23908426094890511</v>
      </c>
      <c r="AC680">
        <f t="shared" si="151"/>
        <v>1.6096815123175181E-4</v>
      </c>
      <c r="AD680">
        <f t="shared" si="152"/>
        <v>1.9977103108669955E-3</v>
      </c>
      <c r="AE680">
        <f t="shared" si="153"/>
        <v>0.11420009746184472</v>
      </c>
      <c r="AF680">
        <f t="shared" si="154"/>
        <v>5.8228888623921692E-2</v>
      </c>
      <c r="AG680">
        <f t="shared" si="146"/>
        <v>0.53753962078334949</v>
      </c>
      <c r="AH680">
        <v>0.37149797699778309</v>
      </c>
      <c r="AI680">
        <v>0.71670322782826701</v>
      </c>
      <c r="AJ680">
        <v>3.8737951295311629E-2</v>
      </c>
      <c r="AK680">
        <v>1.6582882717619939E-2</v>
      </c>
      <c r="AL680">
        <v>0.46012675886407162</v>
      </c>
    </row>
    <row r="681" spans="1:38" x14ac:dyDescent="0.25">
      <c r="A681">
        <v>22</v>
      </c>
      <c r="B681" s="5" t="s">
        <v>32</v>
      </c>
      <c r="C681" s="6" t="s">
        <v>5</v>
      </c>
      <c r="D681" s="6" t="s">
        <v>64</v>
      </c>
      <c r="E681" s="29">
        <v>30145.8</v>
      </c>
      <c r="F681" s="11">
        <v>29</v>
      </c>
      <c r="G681" s="11"/>
      <c r="H681" s="11">
        <f t="shared" si="142"/>
        <v>29</v>
      </c>
      <c r="I681" s="18">
        <v>0</v>
      </c>
      <c r="J681" s="19">
        <v>0</v>
      </c>
      <c r="K681" s="19">
        <v>0</v>
      </c>
      <c r="L681" s="6">
        <v>409638.8125</v>
      </c>
      <c r="M681" s="6">
        <v>2534227.5</v>
      </c>
      <c r="N681" s="6">
        <v>1072333.75</v>
      </c>
      <c r="O681" s="6">
        <v>6303636</v>
      </c>
      <c r="P681" s="6">
        <v>4312.515625</v>
      </c>
      <c r="Q681" s="6">
        <v>73847.921875</v>
      </c>
      <c r="R681" s="6">
        <v>3148097</v>
      </c>
      <c r="S681" s="6">
        <v>1605678.75</v>
      </c>
      <c r="T681" s="31">
        <f t="shared" si="143"/>
        <v>1515.1772249999999</v>
      </c>
      <c r="U681" s="37">
        <v>2714.8888888888887</v>
      </c>
      <c r="V681">
        <f t="shared" si="144"/>
        <v>0.55809916612097898</v>
      </c>
      <c r="W681">
        <f t="shared" si="147"/>
        <v>3.8247497566167001E-2</v>
      </c>
      <c r="X681" s="29">
        <v>2969.9754166666676</v>
      </c>
      <c r="Y681">
        <f t="shared" si="145"/>
        <v>1.5088603227060654E-2</v>
      </c>
      <c r="Z681">
        <f t="shared" si="148"/>
        <v>9.3345532864041916E-2</v>
      </c>
      <c r="AA681">
        <f t="shared" si="149"/>
        <v>3.9498255504624706E-2</v>
      </c>
      <c r="AB681">
        <f t="shared" si="150"/>
        <v>0.23218762380289765</v>
      </c>
      <c r="AC681">
        <f t="shared" si="151"/>
        <v>1.5884685530408448E-4</v>
      </c>
      <c r="AD681">
        <f t="shared" si="152"/>
        <v>2.7201084426414016E-3</v>
      </c>
      <c r="AE681">
        <f t="shared" si="153"/>
        <v>0.11595675288532376</v>
      </c>
      <c r="AF681">
        <f t="shared" si="154"/>
        <v>5.9143442539084892E-2</v>
      </c>
      <c r="AG681">
        <f t="shared" si="146"/>
        <v>0.5580991661209791</v>
      </c>
      <c r="AH681">
        <v>0.37149797699778309</v>
      </c>
      <c r="AI681">
        <v>0.71670322782826701</v>
      </c>
      <c r="AJ681">
        <v>3.8737951295311629E-2</v>
      </c>
      <c r="AK681">
        <v>1.6582882717619939E-2</v>
      </c>
      <c r="AL681">
        <v>0.46012675886407162</v>
      </c>
    </row>
    <row r="682" spans="1:38" x14ac:dyDescent="0.25">
      <c r="A682">
        <v>22</v>
      </c>
      <c r="B682" s="5" t="s">
        <v>32</v>
      </c>
      <c r="C682" s="6" t="s">
        <v>5</v>
      </c>
      <c r="D682" s="6" t="s">
        <v>65</v>
      </c>
      <c r="E682" s="29">
        <v>30145.8</v>
      </c>
      <c r="F682" s="11">
        <v>30</v>
      </c>
      <c r="G682" s="11"/>
      <c r="H682" s="11">
        <f t="shared" si="142"/>
        <v>30</v>
      </c>
      <c r="I682" s="18">
        <v>0</v>
      </c>
      <c r="J682" s="19">
        <v>0</v>
      </c>
      <c r="K682" s="19">
        <v>0</v>
      </c>
      <c r="L682" s="6">
        <v>405235.15625</v>
      </c>
      <c r="M682" s="6">
        <v>2524903</v>
      </c>
      <c r="N682" s="6">
        <v>1584313.25</v>
      </c>
      <c r="O682" s="6">
        <v>6732764.5</v>
      </c>
      <c r="P682" s="6">
        <v>4312.515625</v>
      </c>
      <c r="Q682" s="6">
        <v>48805.984375</v>
      </c>
      <c r="R682" s="6">
        <v>3137803.5</v>
      </c>
      <c r="S682" s="6">
        <v>1588674</v>
      </c>
      <c r="T682" s="31">
        <f t="shared" si="143"/>
        <v>1602.681190625</v>
      </c>
      <c r="U682" s="37">
        <v>2750.6666666666665</v>
      </c>
      <c r="V682">
        <f t="shared" si="144"/>
        <v>0.58265191127908389</v>
      </c>
      <c r="W682">
        <f t="shared" si="147"/>
        <v>4.3993517010169861E-2</v>
      </c>
      <c r="X682" s="29">
        <v>3100.7829166666679</v>
      </c>
      <c r="Y682">
        <f t="shared" si="145"/>
        <v>1.4732252408507028E-2</v>
      </c>
      <c r="Z682">
        <f t="shared" si="148"/>
        <v>9.1792401841977705E-2</v>
      </c>
      <c r="AA682">
        <f t="shared" si="149"/>
        <v>5.7597427896267574E-2</v>
      </c>
      <c r="AB682">
        <f t="shared" si="150"/>
        <v>0.24476846219098403</v>
      </c>
      <c r="AC682">
        <f t="shared" si="151"/>
        <v>1.5678074254726128E-4</v>
      </c>
      <c r="AD682">
        <f t="shared" si="152"/>
        <v>1.7743329268662144E-3</v>
      </c>
      <c r="AE682">
        <f t="shared" si="153"/>
        <v>0.11407429108095007</v>
      </c>
      <c r="AF682">
        <f t="shared" si="154"/>
        <v>5.7755962190984007E-2</v>
      </c>
      <c r="AG682">
        <f t="shared" si="146"/>
        <v>0.58265191127908389</v>
      </c>
      <c r="AH682">
        <v>0.37149797699778309</v>
      </c>
      <c r="AI682">
        <v>0.71670322782826701</v>
      </c>
      <c r="AJ682">
        <v>3.8737951295311629E-2</v>
      </c>
      <c r="AK682">
        <v>1.6582882717619939E-2</v>
      </c>
      <c r="AL682">
        <v>0.46012675886407162</v>
      </c>
    </row>
    <row r="683" spans="1:38" x14ac:dyDescent="0.25">
      <c r="A683">
        <v>22</v>
      </c>
      <c r="B683" s="5" t="s">
        <v>32</v>
      </c>
      <c r="C683" s="6" t="s">
        <v>5</v>
      </c>
      <c r="D683" s="6" t="s">
        <v>66</v>
      </c>
      <c r="E683" s="29">
        <v>30145.8</v>
      </c>
      <c r="F683" s="11">
        <v>31</v>
      </c>
      <c r="G683" s="11"/>
      <c r="H683" s="11">
        <f t="shared" si="142"/>
        <v>31</v>
      </c>
      <c r="I683" s="18">
        <v>0</v>
      </c>
      <c r="J683" s="19">
        <v>0</v>
      </c>
      <c r="K683" s="19">
        <v>0</v>
      </c>
      <c r="L683" s="6">
        <v>404950.9375</v>
      </c>
      <c r="M683" s="6">
        <v>2547616.5</v>
      </c>
      <c r="N683" s="6">
        <v>2403261</v>
      </c>
      <c r="O683" s="6">
        <v>7510126</v>
      </c>
      <c r="P683" s="6">
        <v>4314.5859375</v>
      </c>
      <c r="Q683" s="6">
        <v>22657.78515625</v>
      </c>
      <c r="R683" s="6">
        <v>3167162</v>
      </c>
      <c r="S683" s="6">
        <v>1540540.5</v>
      </c>
      <c r="T683" s="31">
        <f t="shared" si="143"/>
        <v>1760.062930859375</v>
      </c>
      <c r="U683" s="37">
        <v>2786.4444444444443</v>
      </c>
      <c r="V683">
        <f t="shared" si="144"/>
        <v>0.63165190117770065</v>
      </c>
      <c r="W683">
        <f t="shared" si="147"/>
        <v>8.409822219762067E-2</v>
      </c>
      <c r="X683" s="29">
        <v>3231.5904166666678</v>
      </c>
      <c r="Y683">
        <f t="shared" si="145"/>
        <v>1.4532891129675414E-2</v>
      </c>
      <c r="Z683">
        <f t="shared" si="148"/>
        <v>9.1428935720551885E-2</v>
      </c>
      <c r="AA683">
        <f t="shared" si="149"/>
        <v>8.624830129994418E-2</v>
      </c>
      <c r="AB683">
        <f t="shared" si="150"/>
        <v>0.26952362229842891</v>
      </c>
      <c r="AC683">
        <f t="shared" si="151"/>
        <v>1.5484198675133585E-4</v>
      </c>
      <c r="AD683">
        <f t="shared" si="152"/>
        <v>8.1314325865798707E-4</v>
      </c>
      <c r="AE683">
        <f t="shared" si="153"/>
        <v>0.11366320280724142</v>
      </c>
      <c r="AF683">
        <f t="shared" si="154"/>
        <v>5.5286962676449482E-2</v>
      </c>
      <c r="AG683">
        <f t="shared" si="146"/>
        <v>0.63165190117770065</v>
      </c>
      <c r="AH683">
        <v>0.37149797699778309</v>
      </c>
      <c r="AI683">
        <v>0.71670322782826701</v>
      </c>
      <c r="AJ683">
        <v>3.8737951295311629E-2</v>
      </c>
      <c r="AK683">
        <v>1.6582882717619939E-2</v>
      </c>
      <c r="AL683">
        <v>0.46012675886407162</v>
      </c>
    </row>
    <row r="684" spans="1:38" x14ac:dyDescent="0.25">
      <c r="A684">
        <v>23</v>
      </c>
      <c r="B684" s="5" t="s">
        <v>10</v>
      </c>
      <c r="C684" s="6" t="s">
        <v>5</v>
      </c>
      <c r="D684" s="6" t="s">
        <v>36</v>
      </c>
      <c r="E684" s="28">
        <v>53850.79</v>
      </c>
      <c r="F684" s="11">
        <v>1</v>
      </c>
      <c r="G684" s="11">
        <v>19</v>
      </c>
      <c r="H684" s="18">
        <f t="shared" si="142"/>
        <v>-18</v>
      </c>
      <c r="I684" s="18">
        <v>1</v>
      </c>
      <c r="J684" s="19">
        <v>0.43841642228738997</v>
      </c>
      <c r="K684" s="19">
        <v>0.1</v>
      </c>
      <c r="L684" s="14">
        <v>4596486</v>
      </c>
      <c r="M684" s="14">
        <v>2792712</v>
      </c>
      <c r="N684" s="14">
        <v>2922384</v>
      </c>
      <c r="O684" s="14">
        <v>7758894</v>
      </c>
      <c r="P684" s="14">
        <v>9582.5302734375</v>
      </c>
      <c r="Q684" s="14">
        <v>46069.49609375</v>
      </c>
      <c r="R684" s="14">
        <v>980966.1875</v>
      </c>
      <c r="S684" s="14">
        <v>3094063.25</v>
      </c>
      <c r="T684" s="31">
        <f t="shared" si="143"/>
        <v>2220.1157463867189</v>
      </c>
      <c r="U684" s="37"/>
      <c r="X684" s="28">
        <v>4274.5683333333336</v>
      </c>
      <c r="Y684" t="e">
        <f t="shared" si="145"/>
        <v>#DIV/0!</v>
      </c>
      <c r="Z684" t="e">
        <f t="shared" si="148"/>
        <v>#DIV/0!</v>
      </c>
      <c r="AA684" t="e">
        <f t="shared" si="149"/>
        <v>#DIV/0!</v>
      </c>
      <c r="AB684" t="e">
        <f t="shared" si="150"/>
        <v>#DIV/0!</v>
      </c>
      <c r="AC684" t="e">
        <f t="shared" si="151"/>
        <v>#DIV/0!</v>
      </c>
      <c r="AD684" t="e">
        <f t="shared" si="152"/>
        <v>#DIV/0!</v>
      </c>
      <c r="AE684" t="e">
        <f t="shared" si="153"/>
        <v>#DIV/0!</v>
      </c>
      <c r="AF684" t="e">
        <f t="shared" si="154"/>
        <v>#DIV/0!</v>
      </c>
      <c r="AG684" t="e">
        <f t="shared" si="146"/>
        <v>#DIV/0!</v>
      </c>
      <c r="AH684">
        <v>0.37170299637201237</v>
      </c>
      <c r="AI684">
        <v>0.57823698041089344</v>
      </c>
      <c r="AJ684">
        <v>1.7222226793604817E-2</v>
      </c>
      <c r="AK684">
        <v>8.9166937012437521E-3</v>
      </c>
      <c r="AL684">
        <v>0.42557791807726492</v>
      </c>
    </row>
    <row r="685" spans="1:38" x14ac:dyDescent="0.25">
      <c r="A685">
        <v>23</v>
      </c>
      <c r="B685" s="5" t="s">
        <v>10</v>
      </c>
      <c r="C685" s="6" t="s">
        <v>5</v>
      </c>
      <c r="D685" s="6" t="s">
        <v>37</v>
      </c>
      <c r="E685" s="28">
        <v>53850.79</v>
      </c>
      <c r="F685" s="11">
        <v>2</v>
      </c>
      <c r="G685" s="11">
        <v>19</v>
      </c>
      <c r="H685" s="11">
        <f t="shared" si="142"/>
        <v>-17</v>
      </c>
      <c r="I685" s="18">
        <v>1</v>
      </c>
      <c r="J685" s="19">
        <v>0.43841642228738997</v>
      </c>
      <c r="K685" s="19">
        <v>0.1</v>
      </c>
      <c r="L685" s="6">
        <v>4992690</v>
      </c>
      <c r="M685" s="6">
        <v>2683909.25</v>
      </c>
      <c r="N685" s="6">
        <v>2922384</v>
      </c>
      <c r="O685" s="6">
        <v>7449741</v>
      </c>
      <c r="P685" s="6">
        <v>9582.5302734375</v>
      </c>
      <c r="Q685" s="6">
        <v>27458.0234375</v>
      </c>
      <c r="R685" s="6">
        <v>994550.125</v>
      </c>
      <c r="S685" s="6">
        <v>3035609.25</v>
      </c>
      <c r="T685" s="31">
        <f t="shared" si="143"/>
        <v>2211.5924178710939</v>
      </c>
      <c r="U685" s="37">
        <v>4603.8333333333339</v>
      </c>
      <c r="V685">
        <f t="shared" si="144"/>
        <v>0.48038064320408941</v>
      </c>
      <c r="W685" t="e">
        <f>(V685-V684)/V684</f>
        <v>#DIV/0!</v>
      </c>
      <c r="X685" s="28">
        <v>4740.0983333333334</v>
      </c>
      <c r="Y685">
        <f t="shared" si="145"/>
        <v>0.10844636715780327</v>
      </c>
      <c r="Z685">
        <f t="shared" si="148"/>
        <v>5.8297272200702306E-2</v>
      </c>
      <c r="AA685">
        <f t="shared" si="149"/>
        <v>6.3477189298772746E-2</v>
      </c>
      <c r="AB685">
        <f t="shared" si="150"/>
        <v>0.16181604460051402</v>
      </c>
      <c r="AC685">
        <f t="shared" si="151"/>
        <v>2.0814242348993588E-4</v>
      </c>
      <c r="AD685">
        <f t="shared" si="152"/>
        <v>5.9641653920645835E-4</v>
      </c>
      <c r="AE685">
        <f t="shared" si="153"/>
        <v>2.1602652680737064E-2</v>
      </c>
      <c r="AF685">
        <f t="shared" si="154"/>
        <v>6.5936558302863546E-2</v>
      </c>
      <c r="AG685">
        <f t="shared" si="146"/>
        <v>0.48038064320408935</v>
      </c>
      <c r="AH685">
        <v>0.37170299637201237</v>
      </c>
      <c r="AI685">
        <v>0.57823698041089344</v>
      </c>
      <c r="AJ685">
        <v>1.7222226793604817E-2</v>
      </c>
      <c r="AK685">
        <v>8.9166937012437521E-3</v>
      </c>
      <c r="AL685">
        <v>0.42557791807726492</v>
      </c>
    </row>
    <row r="686" spans="1:38" x14ac:dyDescent="0.25">
      <c r="A686">
        <v>23</v>
      </c>
      <c r="B686" s="5" t="s">
        <v>10</v>
      </c>
      <c r="C686" s="6" t="s">
        <v>5</v>
      </c>
      <c r="D686" s="6" t="s">
        <v>38</v>
      </c>
      <c r="E686" s="28">
        <v>53850.79</v>
      </c>
      <c r="F686" s="11">
        <v>3</v>
      </c>
      <c r="G686" s="11">
        <v>19</v>
      </c>
      <c r="H686" s="11">
        <f t="shared" si="142"/>
        <v>-16</v>
      </c>
      <c r="I686" s="18">
        <v>1</v>
      </c>
      <c r="J686" s="19">
        <v>0.43841642228738997</v>
      </c>
      <c r="K686" s="19">
        <v>0.1</v>
      </c>
      <c r="L686" s="6">
        <v>4990748</v>
      </c>
      <c r="M686" s="6">
        <v>2609319.75</v>
      </c>
      <c r="N686" s="6">
        <v>2922384</v>
      </c>
      <c r="O686" s="6">
        <v>7240152</v>
      </c>
      <c r="P686" s="6">
        <v>9582.5302734375</v>
      </c>
      <c r="Q686" s="6">
        <v>38464.0078125</v>
      </c>
      <c r="R686" s="6">
        <v>948814.0625</v>
      </c>
      <c r="S686" s="6">
        <v>3065004.75</v>
      </c>
      <c r="T686" s="31">
        <f t="shared" si="143"/>
        <v>2182.4469100585939</v>
      </c>
      <c r="U686" s="37">
        <v>4690</v>
      </c>
      <c r="V686">
        <f t="shared" si="144"/>
        <v>0.46534049254980681</v>
      </c>
      <c r="W686">
        <f t="shared" ref="W686:W714" si="155">(V686-V685)/V685</f>
        <v>-3.1308819093888433E-2</v>
      </c>
      <c r="X686" s="28">
        <v>5205.6283333333331</v>
      </c>
      <c r="Y686">
        <f t="shared" si="145"/>
        <v>0.10641253731343284</v>
      </c>
      <c r="Z686">
        <f t="shared" si="148"/>
        <v>5.5635815565031985E-2</v>
      </c>
      <c r="AA686">
        <f t="shared" si="149"/>
        <v>6.2310959488272921E-2</v>
      </c>
      <c r="AB686">
        <f t="shared" si="150"/>
        <v>0.15437424307036246</v>
      </c>
      <c r="AC686">
        <f t="shared" si="151"/>
        <v>2.043183427172175E-4</v>
      </c>
      <c r="AD686">
        <f t="shared" si="152"/>
        <v>8.2012809834754793E-4</v>
      </c>
      <c r="AE686">
        <f t="shared" si="153"/>
        <v>2.0230577025586352E-2</v>
      </c>
      <c r="AF686">
        <f t="shared" si="154"/>
        <v>6.5351913646055443E-2</v>
      </c>
      <c r="AG686">
        <f t="shared" si="146"/>
        <v>0.46534049254980669</v>
      </c>
      <c r="AH686">
        <v>0.37170299637201237</v>
      </c>
      <c r="AI686">
        <v>0.57823698041089344</v>
      </c>
      <c r="AJ686">
        <v>1.7222226793604817E-2</v>
      </c>
      <c r="AK686">
        <v>8.9166937012437521E-3</v>
      </c>
      <c r="AL686">
        <v>0.42557791807726492</v>
      </c>
    </row>
    <row r="687" spans="1:38" x14ac:dyDescent="0.25">
      <c r="A687">
        <v>23</v>
      </c>
      <c r="B687" s="5" t="s">
        <v>10</v>
      </c>
      <c r="C687" s="6" t="s">
        <v>5</v>
      </c>
      <c r="D687" s="6" t="s">
        <v>39</v>
      </c>
      <c r="E687" s="28">
        <v>53850.79</v>
      </c>
      <c r="F687" s="11">
        <v>4</v>
      </c>
      <c r="G687" s="11">
        <v>19</v>
      </c>
      <c r="H687" s="11">
        <f t="shared" si="142"/>
        <v>-15</v>
      </c>
      <c r="I687" s="18">
        <v>1</v>
      </c>
      <c r="J687" s="19">
        <v>0.43841642228738997</v>
      </c>
      <c r="K687" s="19">
        <v>0.1</v>
      </c>
      <c r="L687" s="6">
        <v>4743444</v>
      </c>
      <c r="M687" s="6">
        <v>2721957.5</v>
      </c>
      <c r="N687" s="6">
        <v>2922384</v>
      </c>
      <c r="O687" s="6">
        <v>7555618</v>
      </c>
      <c r="P687" s="6">
        <v>9582.5302734375</v>
      </c>
      <c r="Q687" s="6">
        <v>106665.96875</v>
      </c>
      <c r="R687" s="6">
        <v>935133.125</v>
      </c>
      <c r="S687" s="6">
        <v>3115591.5</v>
      </c>
      <c r="T687" s="31">
        <f t="shared" si="143"/>
        <v>2211.0376624023438</v>
      </c>
      <c r="U687" s="37">
        <v>4837.7777777777774</v>
      </c>
      <c r="V687">
        <f t="shared" si="144"/>
        <v>0.45703580527379639</v>
      </c>
      <c r="W687">
        <f t="shared" si="155"/>
        <v>-1.7846474590047713E-2</v>
      </c>
      <c r="X687" s="28">
        <v>5671.1583333333338</v>
      </c>
      <c r="Y687">
        <f t="shared" si="145"/>
        <v>9.8050059715204418E-2</v>
      </c>
      <c r="Z687">
        <f t="shared" si="148"/>
        <v>5.6264624483233806E-2</v>
      </c>
      <c r="AA687">
        <f t="shared" si="149"/>
        <v>6.0407570050528249E-2</v>
      </c>
      <c r="AB687">
        <f t="shared" si="150"/>
        <v>0.15617951768488747</v>
      </c>
      <c r="AC687">
        <f t="shared" si="151"/>
        <v>1.9807710716797773E-4</v>
      </c>
      <c r="AD687">
        <f t="shared" si="152"/>
        <v>2.2048546595084982E-3</v>
      </c>
      <c r="AE687">
        <f t="shared" si="153"/>
        <v>1.9329807361047315E-2</v>
      </c>
      <c r="AF687">
        <f t="shared" si="154"/>
        <v>6.4401294212218657E-2</v>
      </c>
      <c r="AG687">
        <f t="shared" si="146"/>
        <v>0.45703580527379639</v>
      </c>
      <c r="AH687">
        <v>0.37170299637201237</v>
      </c>
      <c r="AI687">
        <v>0.57823698041089344</v>
      </c>
      <c r="AJ687">
        <v>1.7222226793604817E-2</v>
      </c>
      <c r="AK687">
        <v>8.9166937012437521E-3</v>
      </c>
      <c r="AL687">
        <v>0.42557791807726492</v>
      </c>
    </row>
    <row r="688" spans="1:38" x14ac:dyDescent="0.25">
      <c r="A688">
        <v>23</v>
      </c>
      <c r="B688" s="5" t="s">
        <v>10</v>
      </c>
      <c r="C688" s="6" t="s">
        <v>5</v>
      </c>
      <c r="D688" s="6" t="s">
        <v>40</v>
      </c>
      <c r="E688" s="28">
        <v>53850.79</v>
      </c>
      <c r="F688" s="11">
        <v>5</v>
      </c>
      <c r="G688" s="11">
        <v>19</v>
      </c>
      <c r="H688" s="11">
        <f t="shared" si="142"/>
        <v>-14</v>
      </c>
      <c r="I688" s="18">
        <v>1</v>
      </c>
      <c r="J688" s="19">
        <v>0.43841642228738997</v>
      </c>
      <c r="K688" s="19">
        <v>0.1</v>
      </c>
      <c r="L688" s="6">
        <v>5375299</v>
      </c>
      <c r="M688" s="6">
        <v>2798726.75</v>
      </c>
      <c r="N688" s="6">
        <v>2922384</v>
      </c>
      <c r="O688" s="6">
        <v>7768979</v>
      </c>
      <c r="P688" s="6">
        <v>9582.5302734375</v>
      </c>
      <c r="Q688" s="6">
        <v>147157.171875</v>
      </c>
      <c r="R688" s="6">
        <v>997385.5625</v>
      </c>
      <c r="S688" s="6">
        <v>3217875.5</v>
      </c>
      <c r="T688" s="31">
        <f t="shared" si="143"/>
        <v>2323.7389514648439</v>
      </c>
      <c r="U688" s="37">
        <v>4985.5555555555557</v>
      </c>
      <c r="V688">
        <f t="shared" si="144"/>
        <v>0.46609428489377303</v>
      </c>
      <c r="W688">
        <f t="shared" si="155"/>
        <v>1.9820065551647472E-2</v>
      </c>
      <c r="X688" s="28">
        <v>6136.6883333333335</v>
      </c>
      <c r="Y688">
        <f t="shared" si="145"/>
        <v>0.10781745264096278</v>
      </c>
      <c r="Z688">
        <f t="shared" si="148"/>
        <v>5.6136707711165593E-2</v>
      </c>
      <c r="AA688">
        <f t="shared" si="149"/>
        <v>5.8617018052150659E-2</v>
      </c>
      <c r="AB688">
        <f t="shared" si="150"/>
        <v>0.15582975484733674</v>
      </c>
      <c r="AC688">
        <f t="shared" si="151"/>
        <v>1.9220586686190662E-4</v>
      </c>
      <c r="AD688">
        <f t="shared" si="152"/>
        <v>2.9516704855694228E-3</v>
      </c>
      <c r="AE688">
        <f t="shared" si="153"/>
        <v>2.0005504930911522E-2</v>
      </c>
      <c r="AF688">
        <f t="shared" si="154"/>
        <v>6.4543970358814345E-2</v>
      </c>
      <c r="AG688">
        <f t="shared" si="146"/>
        <v>0.46609428489377303</v>
      </c>
      <c r="AH688">
        <v>0.37170299637201237</v>
      </c>
      <c r="AI688">
        <v>0.57823698041089344</v>
      </c>
      <c r="AJ688">
        <v>1.7222226793604817E-2</v>
      </c>
      <c r="AK688">
        <v>8.9166937012437521E-3</v>
      </c>
      <c r="AL688">
        <v>0.42557791807726492</v>
      </c>
    </row>
    <row r="689" spans="1:38" x14ac:dyDescent="0.25">
      <c r="A689">
        <v>23</v>
      </c>
      <c r="B689" s="5" t="s">
        <v>10</v>
      </c>
      <c r="C689" s="6" t="s">
        <v>5</v>
      </c>
      <c r="D689" s="6" t="s">
        <v>41</v>
      </c>
      <c r="E689" s="28">
        <v>53850.79</v>
      </c>
      <c r="F689" s="11">
        <v>6</v>
      </c>
      <c r="G689" s="11">
        <v>19</v>
      </c>
      <c r="H689" s="11">
        <f t="shared" si="142"/>
        <v>-13</v>
      </c>
      <c r="I689" s="18">
        <v>1</v>
      </c>
      <c r="J689" s="19">
        <v>0.43841642228738997</v>
      </c>
      <c r="K689" s="19">
        <v>0.1</v>
      </c>
      <c r="L689" s="6">
        <v>5678926</v>
      </c>
      <c r="M689" s="6">
        <v>2785991.5</v>
      </c>
      <c r="N689" s="6">
        <v>2922384</v>
      </c>
      <c r="O689" s="6">
        <v>7740639.5</v>
      </c>
      <c r="P689" s="6">
        <v>9582.5302734375</v>
      </c>
      <c r="Q689" s="6">
        <v>97208.8125</v>
      </c>
      <c r="R689" s="6">
        <v>985903</v>
      </c>
      <c r="S689" s="6">
        <v>3179826.5</v>
      </c>
      <c r="T689" s="31">
        <f t="shared" si="143"/>
        <v>2340.0461842773439</v>
      </c>
      <c r="U689" s="37">
        <v>5133.333333333333</v>
      </c>
      <c r="V689">
        <f t="shared" si="144"/>
        <v>0.45585315278130079</v>
      </c>
      <c r="W689">
        <f t="shared" si="155"/>
        <v>-2.1972232752878067E-2</v>
      </c>
      <c r="X689" s="28">
        <v>6602.2183333333332</v>
      </c>
      <c r="Y689">
        <f t="shared" si="145"/>
        <v>0.11062842857142857</v>
      </c>
      <c r="Z689">
        <f t="shared" si="148"/>
        <v>5.4272561688311689E-2</v>
      </c>
      <c r="AA689">
        <f t="shared" si="149"/>
        <v>5.6929558441558448E-2</v>
      </c>
      <c r="AB689">
        <f t="shared" si="150"/>
        <v>0.15079167857142858</v>
      </c>
      <c r="AC689">
        <f t="shared" si="151"/>
        <v>1.8667266766436689E-4</v>
      </c>
      <c r="AD689">
        <f t="shared" si="152"/>
        <v>1.8936781655844157E-3</v>
      </c>
      <c r="AE689">
        <f t="shared" si="153"/>
        <v>1.92059025974026E-2</v>
      </c>
      <c r="AF689">
        <f t="shared" si="154"/>
        <v>6.1944672077922085E-2</v>
      </c>
      <c r="AG689">
        <f t="shared" si="146"/>
        <v>0.45585315278130079</v>
      </c>
      <c r="AH689">
        <v>0.37170299637201237</v>
      </c>
      <c r="AI689">
        <v>0.57823698041089344</v>
      </c>
      <c r="AJ689">
        <v>1.7222226793604817E-2</v>
      </c>
      <c r="AK689">
        <v>8.9166937012437521E-3</v>
      </c>
      <c r="AL689">
        <v>0.42557791807726492</v>
      </c>
    </row>
    <row r="690" spans="1:38" x14ac:dyDescent="0.25">
      <c r="A690">
        <v>23</v>
      </c>
      <c r="B690" s="5" t="s">
        <v>10</v>
      </c>
      <c r="C690" s="6" t="s">
        <v>5</v>
      </c>
      <c r="D690" s="6" t="s">
        <v>42</v>
      </c>
      <c r="E690" s="28">
        <v>53850.79</v>
      </c>
      <c r="F690" s="11">
        <v>7</v>
      </c>
      <c r="G690" s="11">
        <v>19</v>
      </c>
      <c r="H690" s="11">
        <f t="shared" si="142"/>
        <v>-12</v>
      </c>
      <c r="I690" s="18">
        <v>1</v>
      </c>
      <c r="J690" s="19">
        <v>0.43841642228738997</v>
      </c>
      <c r="K690" s="19">
        <v>0.1</v>
      </c>
      <c r="L690" s="6">
        <v>6936162</v>
      </c>
      <c r="M690" s="6">
        <v>2809862</v>
      </c>
      <c r="N690" s="6">
        <v>2923786.75</v>
      </c>
      <c r="O690" s="6">
        <v>7810893</v>
      </c>
      <c r="P690" s="6">
        <v>9587.1298828125</v>
      </c>
      <c r="Q690" s="6">
        <v>45354.3125</v>
      </c>
      <c r="R690" s="6">
        <v>984899.625</v>
      </c>
      <c r="S690" s="6">
        <v>3071880</v>
      </c>
      <c r="T690" s="31">
        <f t="shared" si="143"/>
        <v>2459.2424817382812</v>
      </c>
      <c r="U690" s="37">
        <v>5281.1111111111104</v>
      </c>
      <c r="V690">
        <f t="shared" si="144"/>
        <v>0.4656676275119826</v>
      </c>
      <c r="W690">
        <f t="shared" si="155"/>
        <v>2.1529904248332322E-2</v>
      </c>
      <c r="X690" s="28">
        <v>7067.7483333333339</v>
      </c>
      <c r="Y690">
        <f t="shared" si="145"/>
        <v>0.13133906585314539</v>
      </c>
      <c r="Z690">
        <f t="shared" si="148"/>
        <v>5.3205886808331583E-2</v>
      </c>
      <c r="AA690">
        <f t="shared" si="149"/>
        <v>5.5363098569324642E-2</v>
      </c>
      <c r="AB690">
        <f t="shared" si="150"/>
        <v>0.14790245529139492</v>
      </c>
      <c r="AC690">
        <f t="shared" si="151"/>
        <v>1.8153622753063855E-4</v>
      </c>
      <c r="AD690">
        <f t="shared" si="152"/>
        <v>8.5880246686303389E-4</v>
      </c>
      <c r="AE690">
        <f t="shared" si="153"/>
        <v>1.864947743530402E-2</v>
      </c>
      <c r="AF690">
        <f t="shared" si="154"/>
        <v>5.8167304860088372E-2</v>
      </c>
      <c r="AG690">
        <f t="shared" si="146"/>
        <v>0.4656676275119826</v>
      </c>
      <c r="AH690">
        <v>0.37170299637201237</v>
      </c>
      <c r="AI690">
        <v>0.57823698041089344</v>
      </c>
      <c r="AJ690">
        <v>1.7222226793604817E-2</v>
      </c>
      <c r="AK690">
        <v>8.9166937012437521E-3</v>
      </c>
      <c r="AL690">
        <v>0.42557791807726492</v>
      </c>
    </row>
    <row r="691" spans="1:38" x14ac:dyDescent="0.25">
      <c r="A691">
        <v>23</v>
      </c>
      <c r="B691" s="5" t="s">
        <v>10</v>
      </c>
      <c r="C691" s="6" t="s">
        <v>5</v>
      </c>
      <c r="D691" s="6" t="s">
        <v>43</v>
      </c>
      <c r="E691" s="28">
        <v>56749.8</v>
      </c>
      <c r="F691" s="11">
        <v>8</v>
      </c>
      <c r="G691" s="11">
        <v>19</v>
      </c>
      <c r="H691" s="18">
        <f t="shared" si="142"/>
        <v>-11</v>
      </c>
      <c r="I691" s="18">
        <v>1</v>
      </c>
      <c r="J691" s="19">
        <v>0.43841642228738997</v>
      </c>
      <c r="K691" s="19">
        <v>0.1</v>
      </c>
      <c r="L691" s="14">
        <v>4883650.5</v>
      </c>
      <c r="M691" s="14">
        <v>2591843</v>
      </c>
      <c r="N691" s="14">
        <v>2848253.75</v>
      </c>
      <c r="O691" s="14">
        <v>7636222</v>
      </c>
      <c r="P691" s="14">
        <v>9800.931640625</v>
      </c>
      <c r="Q691" s="14">
        <v>23541.021484375</v>
      </c>
      <c r="R691" s="14">
        <v>1048962</v>
      </c>
      <c r="S691" s="14">
        <v>2823443</v>
      </c>
      <c r="T691" s="31">
        <f t="shared" si="143"/>
        <v>2186.5716203124998</v>
      </c>
      <c r="U691" s="37">
        <v>4254.333333333333</v>
      </c>
      <c r="V691">
        <f t="shared" si="144"/>
        <v>0.5139633989608634</v>
      </c>
      <c r="W691">
        <f t="shared" si="155"/>
        <v>0.103712967351672</v>
      </c>
      <c r="X691" s="28">
        <v>3561.5083333333341</v>
      </c>
      <c r="Y691">
        <f t="shared" si="145"/>
        <v>0.11479238031810703</v>
      </c>
      <c r="Z691">
        <f t="shared" si="148"/>
        <v>6.0922424194938506E-2</v>
      </c>
      <c r="AA691">
        <f t="shared" si="149"/>
        <v>6.6949473086264991E-2</v>
      </c>
      <c r="AB691">
        <f t="shared" si="150"/>
        <v>0.17949279949855051</v>
      </c>
      <c r="AC691">
        <f t="shared" si="151"/>
        <v>2.3037526382414014E-4</v>
      </c>
      <c r="AD691">
        <f t="shared" si="152"/>
        <v>5.5334219582484523E-4</v>
      </c>
      <c r="AE691">
        <f t="shared" si="153"/>
        <v>2.4656319047245946E-2</v>
      </c>
      <c r="AF691">
        <f t="shared" si="154"/>
        <v>6.6366285356107502E-2</v>
      </c>
      <c r="AG691">
        <f t="shared" si="146"/>
        <v>0.51396339896086352</v>
      </c>
      <c r="AH691">
        <v>0.35795720865976616</v>
      </c>
      <c r="AI691">
        <v>0.5834726534511584</v>
      </c>
      <c r="AJ691">
        <v>1.7226341037941562E-2</v>
      </c>
      <c r="AK691">
        <v>9.3406056056585217E-3</v>
      </c>
      <c r="AL691">
        <v>0.40962562087378074</v>
      </c>
    </row>
    <row r="692" spans="1:38" x14ac:dyDescent="0.25">
      <c r="A692">
        <v>23</v>
      </c>
      <c r="B692" s="5" t="s">
        <v>10</v>
      </c>
      <c r="C692" s="6" t="s">
        <v>5</v>
      </c>
      <c r="D692" s="6" t="s">
        <v>44</v>
      </c>
      <c r="E692" s="28">
        <v>56749.8</v>
      </c>
      <c r="F692" s="11">
        <v>9</v>
      </c>
      <c r="G692" s="11">
        <v>19</v>
      </c>
      <c r="H692" s="11">
        <f t="shared" si="142"/>
        <v>-10</v>
      </c>
      <c r="I692" s="18">
        <v>1</v>
      </c>
      <c r="J692" s="19">
        <v>0.43841642228738997</v>
      </c>
      <c r="K692" s="19">
        <v>0.1</v>
      </c>
      <c r="L692" s="6">
        <v>4859451</v>
      </c>
      <c r="M692" s="6">
        <v>2541074</v>
      </c>
      <c r="N692" s="6">
        <v>2848253.75</v>
      </c>
      <c r="O692" s="6">
        <v>7477692</v>
      </c>
      <c r="P692" s="6">
        <v>9800.931640625</v>
      </c>
      <c r="Q692" s="6">
        <v>33351.359375</v>
      </c>
      <c r="R692" s="6">
        <v>1000687.4375</v>
      </c>
      <c r="S692" s="6">
        <v>2860470.75</v>
      </c>
      <c r="T692" s="31">
        <f t="shared" si="143"/>
        <v>2163.0781228515625</v>
      </c>
      <c r="U692" s="37">
        <v>4333</v>
      </c>
      <c r="V692">
        <f t="shared" si="144"/>
        <v>0.49921027529461404</v>
      </c>
      <c r="W692">
        <f t="shared" si="155"/>
        <v>-2.8704619231792357E-2</v>
      </c>
      <c r="X692" s="28">
        <v>3771.6916666666675</v>
      </c>
      <c r="Y692">
        <f t="shared" si="145"/>
        <v>0.11214980383106392</v>
      </c>
      <c r="Z692">
        <f t="shared" si="148"/>
        <v>5.8644680360027693E-2</v>
      </c>
      <c r="AA692">
        <f t="shared" si="149"/>
        <v>6.5733989153011776E-2</v>
      </c>
      <c r="AB692">
        <f t="shared" si="150"/>
        <v>0.17257539810754674</v>
      </c>
      <c r="AC692">
        <f t="shared" si="151"/>
        <v>2.2619274499480731E-4</v>
      </c>
      <c r="AD692">
        <f t="shared" si="152"/>
        <v>7.6970596295868911E-4</v>
      </c>
      <c r="AE692">
        <f t="shared" si="153"/>
        <v>2.3094563524117241E-2</v>
      </c>
      <c r="AF692">
        <f t="shared" si="154"/>
        <v>6.601594161089315E-2</v>
      </c>
      <c r="AG692">
        <f t="shared" si="146"/>
        <v>0.49921027529461398</v>
      </c>
      <c r="AH692">
        <v>0.35795720865976616</v>
      </c>
      <c r="AI692">
        <v>0.5834726534511584</v>
      </c>
      <c r="AJ692">
        <v>1.7226341037941562E-2</v>
      </c>
      <c r="AK692">
        <v>9.3406056056585217E-3</v>
      </c>
      <c r="AL692">
        <v>0.40962562087378074</v>
      </c>
    </row>
    <row r="693" spans="1:38" x14ac:dyDescent="0.25">
      <c r="A693">
        <v>23</v>
      </c>
      <c r="B693" s="5" t="s">
        <v>10</v>
      </c>
      <c r="C693" s="6" t="s">
        <v>5</v>
      </c>
      <c r="D693" s="6" t="s">
        <v>45</v>
      </c>
      <c r="E693" s="28">
        <v>56749.8</v>
      </c>
      <c r="F693" s="11">
        <v>10</v>
      </c>
      <c r="G693" s="11">
        <v>19</v>
      </c>
      <c r="H693" s="11">
        <f t="shared" si="142"/>
        <v>-9</v>
      </c>
      <c r="I693" s="18">
        <v>1</v>
      </c>
      <c r="J693" s="19">
        <v>0.43841642228738997</v>
      </c>
      <c r="K693" s="19">
        <v>0.1</v>
      </c>
      <c r="L693" s="6">
        <v>5527871</v>
      </c>
      <c r="M693" s="6">
        <v>2637996.25</v>
      </c>
      <c r="N693" s="6">
        <v>2848253.75</v>
      </c>
      <c r="O693" s="6">
        <v>7766890</v>
      </c>
      <c r="P693" s="6">
        <v>9800.931640625</v>
      </c>
      <c r="Q693" s="6">
        <v>96115.484375</v>
      </c>
      <c r="R693" s="6">
        <v>984746.5625</v>
      </c>
      <c r="S693" s="6">
        <v>2919782.75</v>
      </c>
      <c r="T693" s="31">
        <f t="shared" si="143"/>
        <v>2279.1456728515627</v>
      </c>
      <c r="U693" s="37">
        <v>4411.666666666667</v>
      </c>
      <c r="V693">
        <f t="shared" si="144"/>
        <v>0.51661783290930774</v>
      </c>
      <c r="W693">
        <f t="shared" si="155"/>
        <v>3.487019093190831E-2</v>
      </c>
      <c r="X693" s="28">
        <v>3981.8750000000005</v>
      </c>
      <c r="Y693">
        <f t="shared" si="145"/>
        <v>0.12530119380430677</v>
      </c>
      <c r="Z693">
        <f t="shared" si="148"/>
        <v>5.9795910464676992E-2</v>
      </c>
      <c r="AA693">
        <f t="shared" si="149"/>
        <v>6.4561853041178688E-2</v>
      </c>
      <c r="AB693">
        <f t="shared" si="150"/>
        <v>0.17605341896486587</v>
      </c>
      <c r="AC693">
        <f t="shared" si="151"/>
        <v>2.2215938739610877E-4</v>
      </c>
      <c r="AD693">
        <f t="shared" si="152"/>
        <v>2.1786660606346805E-3</v>
      </c>
      <c r="AE693">
        <f t="shared" si="153"/>
        <v>2.2321418114846996E-2</v>
      </c>
      <c r="AF693">
        <f t="shared" si="154"/>
        <v>6.6183213071401584E-2</v>
      </c>
      <c r="AG693">
        <f t="shared" si="146"/>
        <v>0.51661783290930774</v>
      </c>
      <c r="AH693">
        <v>0.35795720865976616</v>
      </c>
      <c r="AI693">
        <v>0.5834726534511584</v>
      </c>
      <c r="AJ693">
        <v>1.7226341037941562E-2</v>
      </c>
      <c r="AK693">
        <v>9.3406056056585217E-3</v>
      </c>
      <c r="AL693">
        <v>0.40962562087378074</v>
      </c>
    </row>
    <row r="694" spans="1:38" x14ac:dyDescent="0.25">
      <c r="A694">
        <v>23</v>
      </c>
      <c r="B694" s="5" t="s">
        <v>10</v>
      </c>
      <c r="C694" s="6" t="s">
        <v>5</v>
      </c>
      <c r="D694" s="6" t="s">
        <v>46</v>
      </c>
      <c r="E694" s="28">
        <v>56749.8</v>
      </c>
      <c r="F694" s="11">
        <v>11</v>
      </c>
      <c r="G694" s="11">
        <v>19</v>
      </c>
      <c r="H694" s="11">
        <f t="shared" si="142"/>
        <v>-8</v>
      </c>
      <c r="I694" s="18">
        <v>1</v>
      </c>
      <c r="J694" s="19">
        <v>0.43841642228738997</v>
      </c>
      <c r="K694" s="19">
        <v>0.1</v>
      </c>
      <c r="L694" s="6">
        <v>5000068</v>
      </c>
      <c r="M694" s="6">
        <v>2681573.5</v>
      </c>
      <c r="N694" s="6">
        <v>2848253.75</v>
      </c>
      <c r="O694" s="6">
        <v>7897460</v>
      </c>
      <c r="P694" s="6">
        <v>9800.931640625</v>
      </c>
      <c r="Q694" s="6">
        <v>132439.515625</v>
      </c>
      <c r="R694" s="6">
        <v>1047648.5</v>
      </c>
      <c r="S694" s="6">
        <v>3017965.25</v>
      </c>
      <c r="T694" s="31">
        <f t="shared" si="143"/>
        <v>2263.5209447265624</v>
      </c>
      <c r="U694" s="37">
        <v>4490.333333333333</v>
      </c>
      <c r="V694">
        <f t="shared" si="144"/>
        <v>0.50408750903271382</v>
      </c>
      <c r="W694">
        <f t="shared" si="155"/>
        <v>-2.4254532225552534E-2</v>
      </c>
      <c r="X694" s="28">
        <v>4192.0583333333334</v>
      </c>
      <c r="Y694">
        <f t="shared" si="145"/>
        <v>0.11135182243337539</v>
      </c>
      <c r="Z694">
        <f t="shared" si="148"/>
        <v>5.9718807067032892E-2</v>
      </c>
      <c r="AA694">
        <f t="shared" si="149"/>
        <v>6.3430786504342668E-2</v>
      </c>
      <c r="AB694">
        <f t="shared" si="150"/>
        <v>0.17587692079281422</v>
      </c>
      <c r="AC694">
        <f t="shared" si="151"/>
        <v>2.1826735150972461E-4</v>
      </c>
      <c r="AD694">
        <f t="shared" si="152"/>
        <v>2.9494361730754955E-3</v>
      </c>
      <c r="AE694">
        <f t="shared" si="153"/>
        <v>2.3331196644644052E-2</v>
      </c>
      <c r="AF694">
        <f t="shared" si="154"/>
        <v>6.7210272065919383E-2</v>
      </c>
      <c r="AG694">
        <f t="shared" si="146"/>
        <v>0.50408750903271382</v>
      </c>
      <c r="AH694">
        <v>0.35795720865976616</v>
      </c>
      <c r="AI694">
        <v>0.5834726534511584</v>
      </c>
      <c r="AJ694">
        <v>1.7226341037941562E-2</v>
      </c>
      <c r="AK694">
        <v>9.3406056056585217E-3</v>
      </c>
      <c r="AL694">
        <v>0.40962562087378074</v>
      </c>
    </row>
    <row r="695" spans="1:38" x14ac:dyDescent="0.25">
      <c r="A695">
        <v>23</v>
      </c>
      <c r="B695" s="5" t="s">
        <v>10</v>
      </c>
      <c r="C695" s="6" t="s">
        <v>5</v>
      </c>
      <c r="D695" s="6" t="s">
        <v>47</v>
      </c>
      <c r="E695" s="28">
        <v>56749.8</v>
      </c>
      <c r="F695" s="11">
        <v>12</v>
      </c>
      <c r="G695" s="11">
        <v>19</v>
      </c>
      <c r="H695" s="11">
        <f t="shared" si="142"/>
        <v>-7</v>
      </c>
      <c r="I695" s="18">
        <v>1</v>
      </c>
      <c r="J695" s="19">
        <v>0.43841642228738997</v>
      </c>
      <c r="K695" s="19">
        <v>0.1</v>
      </c>
      <c r="L695" s="6">
        <v>4967366.5</v>
      </c>
      <c r="M695" s="6">
        <v>2652709.75</v>
      </c>
      <c r="N695" s="6">
        <v>2848253.75</v>
      </c>
      <c r="O695" s="6">
        <v>7818049.5</v>
      </c>
      <c r="P695" s="6">
        <v>9800.931640625</v>
      </c>
      <c r="Q695" s="6">
        <v>87076.4140625</v>
      </c>
      <c r="R695" s="6">
        <v>1033276.75</v>
      </c>
      <c r="S695" s="6">
        <v>2996174</v>
      </c>
      <c r="T695" s="31">
        <f t="shared" si="143"/>
        <v>2241.2707595703123</v>
      </c>
      <c r="U695" s="37">
        <v>4569</v>
      </c>
      <c r="V695">
        <f t="shared" si="144"/>
        <v>0.49053857727518324</v>
      </c>
      <c r="W695">
        <f t="shared" si="155"/>
        <v>-2.6878134281742922E-2</v>
      </c>
      <c r="X695" s="28">
        <v>4402.2416666666668</v>
      </c>
      <c r="Y695">
        <f t="shared" si="145"/>
        <v>0.10871889910264829</v>
      </c>
      <c r="Z695">
        <f t="shared" si="148"/>
        <v>5.805886955570147E-2</v>
      </c>
      <c r="AA695">
        <f t="shared" si="149"/>
        <v>6.233866819873058E-2</v>
      </c>
      <c r="AB695">
        <f t="shared" si="150"/>
        <v>0.17111073539067628</v>
      </c>
      <c r="AC695">
        <f t="shared" si="151"/>
        <v>2.1450933772433793E-4</v>
      </c>
      <c r="AD695">
        <f t="shared" si="152"/>
        <v>1.9058090186583499E-3</v>
      </c>
      <c r="AE695">
        <f t="shared" si="153"/>
        <v>2.2614943094769097E-2</v>
      </c>
      <c r="AF695">
        <f t="shared" si="154"/>
        <v>6.5576143576274892E-2</v>
      </c>
      <c r="AG695">
        <f t="shared" si="146"/>
        <v>0.49053857727518324</v>
      </c>
      <c r="AH695">
        <v>0.35795720865976616</v>
      </c>
      <c r="AI695">
        <v>0.5834726534511584</v>
      </c>
      <c r="AJ695">
        <v>1.7226341037941562E-2</v>
      </c>
      <c r="AK695">
        <v>9.3406056056585217E-3</v>
      </c>
      <c r="AL695">
        <v>0.40962562087378074</v>
      </c>
    </row>
    <row r="696" spans="1:38" x14ac:dyDescent="0.25">
      <c r="A696">
        <v>23</v>
      </c>
      <c r="B696" s="5" t="s">
        <v>10</v>
      </c>
      <c r="C696" s="6" t="s">
        <v>5</v>
      </c>
      <c r="D696" s="6" t="s">
        <v>48</v>
      </c>
      <c r="E696" s="28">
        <v>56749.8</v>
      </c>
      <c r="F696" s="11">
        <v>13</v>
      </c>
      <c r="G696" s="11">
        <v>19</v>
      </c>
      <c r="H696" s="11">
        <f t="shared" si="142"/>
        <v>-6</v>
      </c>
      <c r="I696" s="18">
        <v>1</v>
      </c>
      <c r="J696" s="19">
        <v>0.43841642228738997</v>
      </c>
      <c r="K696" s="19">
        <v>0.1</v>
      </c>
      <c r="L696" s="6">
        <v>5203471.5</v>
      </c>
      <c r="M696" s="6">
        <v>2667201</v>
      </c>
      <c r="N696" s="6">
        <v>2848253.75</v>
      </c>
      <c r="O696" s="6">
        <v>7862464</v>
      </c>
      <c r="P696" s="6">
        <v>9800.931640625</v>
      </c>
      <c r="Q696" s="6">
        <v>42379.76953125</v>
      </c>
      <c r="R696" s="6">
        <v>1030028.375</v>
      </c>
      <c r="S696" s="6">
        <v>2911511.75</v>
      </c>
      <c r="T696" s="31">
        <f t="shared" si="143"/>
        <v>2257.5111076171875</v>
      </c>
      <c r="U696" s="37">
        <v>4663.1111111111104</v>
      </c>
      <c r="V696">
        <f t="shared" si="144"/>
        <v>0.48412123447757077</v>
      </c>
      <c r="W696">
        <f t="shared" si="155"/>
        <v>-1.3082238777751533E-2</v>
      </c>
      <c r="X696" s="28">
        <v>4612.4249999999993</v>
      </c>
      <c r="Y696">
        <f t="shared" si="145"/>
        <v>0.11158798012771638</v>
      </c>
      <c r="Z696">
        <f t="shared" si="148"/>
        <v>5.7197886484940917E-2</v>
      </c>
      <c r="AA696">
        <f t="shared" si="149"/>
        <v>6.1080546487800237E-2</v>
      </c>
      <c r="AB696">
        <f t="shared" si="150"/>
        <v>0.16860983606557378</v>
      </c>
      <c r="AC696">
        <f t="shared" si="151"/>
        <v>2.1018010094744807E-4</v>
      </c>
      <c r="AD696">
        <f t="shared" si="152"/>
        <v>9.0883036070637168E-4</v>
      </c>
      <c r="AE696">
        <f t="shared" si="153"/>
        <v>2.2088866219500576E-2</v>
      </c>
      <c r="AF696">
        <f t="shared" si="154"/>
        <v>6.2437108630385069E-2</v>
      </c>
      <c r="AG696">
        <f t="shared" si="146"/>
        <v>0.48412123447757072</v>
      </c>
      <c r="AH696">
        <v>0.35795720865976616</v>
      </c>
      <c r="AI696">
        <v>0.5834726534511584</v>
      </c>
      <c r="AJ696">
        <v>1.7226341037941562E-2</v>
      </c>
      <c r="AK696">
        <v>9.3406056056585217E-3</v>
      </c>
      <c r="AL696">
        <v>0.40962562087378074</v>
      </c>
    </row>
    <row r="697" spans="1:38" s="20" customFormat="1" x14ac:dyDescent="0.25">
      <c r="A697">
        <v>23</v>
      </c>
      <c r="B697" s="5" t="s">
        <v>10</v>
      </c>
      <c r="C697" s="6" t="s">
        <v>5</v>
      </c>
      <c r="D697" s="6" t="s">
        <v>49</v>
      </c>
      <c r="E697" s="28">
        <v>56749.8</v>
      </c>
      <c r="F697" s="11">
        <v>14</v>
      </c>
      <c r="G697" s="11">
        <v>19</v>
      </c>
      <c r="H697" s="11">
        <f t="shared" si="142"/>
        <v>-5</v>
      </c>
      <c r="I697" s="18">
        <v>1</v>
      </c>
      <c r="J697" s="19">
        <v>0.43841642228738997</v>
      </c>
      <c r="K697" s="19">
        <v>0.1</v>
      </c>
      <c r="L697" s="6">
        <v>5852924.5</v>
      </c>
      <c r="M697" s="6">
        <v>2563536</v>
      </c>
      <c r="N697" s="6">
        <v>2848253.75</v>
      </c>
      <c r="O697" s="6">
        <v>7549362.5</v>
      </c>
      <c r="P697" s="6">
        <v>9800.931640625</v>
      </c>
      <c r="Q697" s="6">
        <v>25288.546875</v>
      </c>
      <c r="R697" s="6">
        <v>1044160.375</v>
      </c>
      <c r="S697" s="6">
        <v>2855567</v>
      </c>
      <c r="T697" s="31">
        <f t="shared" si="143"/>
        <v>2274.8893603515626</v>
      </c>
      <c r="U697" s="37">
        <v>4757.2222222222217</v>
      </c>
      <c r="V697">
        <f t="shared" si="144"/>
        <v>0.47819699271666627</v>
      </c>
      <c r="W697">
        <f t="shared" si="155"/>
        <v>-1.2237103723197607E-2</v>
      </c>
      <c r="X697" s="28">
        <v>4822.6083333333327</v>
      </c>
      <c r="Y697">
        <f t="shared" si="145"/>
        <v>0.12303239635641716</v>
      </c>
      <c r="Z697">
        <f t="shared" si="148"/>
        <v>5.3887245124372304E-2</v>
      </c>
      <c r="AA697">
        <f t="shared" si="149"/>
        <v>5.987220308303165E-2</v>
      </c>
      <c r="AB697">
        <f t="shared" si="150"/>
        <v>0.15869266028261125</v>
      </c>
      <c r="AC697">
        <f t="shared" si="151"/>
        <v>2.0602215290348012E-4</v>
      </c>
      <c r="AD697">
        <f t="shared" si="152"/>
        <v>5.3158220687843057E-4</v>
      </c>
      <c r="AE697">
        <f t="shared" si="153"/>
        <v>2.1948951010159992E-2</v>
      </c>
      <c r="AF697">
        <f t="shared" si="154"/>
        <v>6.0025932500291958E-2</v>
      </c>
      <c r="AG697">
        <f t="shared" si="146"/>
        <v>0.47819699271666627</v>
      </c>
      <c r="AH697" s="20">
        <v>0.35795720865976616</v>
      </c>
      <c r="AI697" s="20">
        <v>0.5834726534511584</v>
      </c>
      <c r="AJ697" s="20">
        <v>1.7226341037941562E-2</v>
      </c>
      <c r="AK697" s="20">
        <v>9.3406056056585217E-3</v>
      </c>
      <c r="AL697" s="20">
        <v>0.40962562087378074</v>
      </c>
    </row>
    <row r="698" spans="1:38" x14ac:dyDescent="0.25">
      <c r="A698">
        <v>23</v>
      </c>
      <c r="B698" s="5" t="s">
        <v>10</v>
      </c>
      <c r="C698" s="6" t="s">
        <v>5</v>
      </c>
      <c r="D698" s="6" t="s">
        <v>50</v>
      </c>
      <c r="E698" s="28">
        <v>56749.8</v>
      </c>
      <c r="F698" s="11">
        <v>15</v>
      </c>
      <c r="G698" s="11">
        <v>19</v>
      </c>
      <c r="H698" s="11">
        <f t="shared" si="142"/>
        <v>-4</v>
      </c>
      <c r="I698" s="18">
        <v>1</v>
      </c>
      <c r="J698" s="19">
        <v>0.43841642228738997</v>
      </c>
      <c r="K698" s="19">
        <v>0.1</v>
      </c>
      <c r="L698" s="6">
        <v>6228338.5</v>
      </c>
      <c r="M698" s="6">
        <v>2492490.75</v>
      </c>
      <c r="N698" s="6">
        <v>2848253.75</v>
      </c>
      <c r="O698" s="6">
        <v>7337208.5</v>
      </c>
      <c r="P698" s="6">
        <v>9800.931640625</v>
      </c>
      <c r="Q698" s="6">
        <v>35417.6328125</v>
      </c>
      <c r="R698" s="6">
        <v>996594.375</v>
      </c>
      <c r="S698" s="6">
        <v>2883700.75</v>
      </c>
      <c r="T698" s="31">
        <f t="shared" si="143"/>
        <v>2283.1805189453125</v>
      </c>
      <c r="U698" s="37">
        <v>4851.333333333333</v>
      </c>
      <c r="V698">
        <f t="shared" si="144"/>
        <v>0.4706294872087356</v>
      </c>
      <c r="W698">
        <f t="shared" si="155"/>
        <v>-1.5825079670491467E-2</v>
      </c>
      <c r="X698" s="28">
        <v>5032.7916666666661</v>
      </c>
      <c r="Y698">
        <f t="shared" si="145"/>
        <v>0.12838405592964133</v>
      </c>
      <c r="Z698">
        <f t="shared" si="148"/>
        <v>5.1377437474233886E-2</v>
      </c>
      <c r="AA698">
        <f t="shared" si="149"/>
        <v>5.8710741033392889E-2</v>
      </c>
      <c r="AB698">
        <f t="shared" si="150"/>
        <v>0.15124107118317989</v>
      </c>
      <c r="AC698">
        <f t="shared" si="151"/>
        <v>2.0202552509189915E-4</v>
      </c>
      <c r="AD698">
        <f t="shared" si="152"/>
        <v>7.3005976664490871E-4</v>
      </c>
      <c r="AE698">
        <f t="shared" si="153"/>
        <v>2.0542690153909578E-2</v>
      </c>
      <c r="AF698">
        <f t="shared" si="154"/>
        <v>5.94414061426412E-2</v>
      </c>
      <c r="AG698">
        <f t="shared" si="146"/>
        <v>0.4706294872087356</v>
      </c>
      <c r="AH698">
        <v>0.35795720865976616</v>
      </c>
      <c r="AI698">
        <v>0.5834726534511584</v>
      </c>
      <c r="AJ698">
        <v>1.7226341037941562E-2</v>
      </c>
      <c r="AK698">
        <v>9.3406056056585217E-3</v>
      </c>
      <c r="AL698">
        <v>0.40962562087378074</v>
      </c>
    </row>
    <row r="699" spans="1:38" x14ac:dyDescent="0.25">
      <c r="A699">
        <v>23</v>
      </c>
      <c r="B699" s="5" t="s">
        <v>10</v>
      </c>
      <c r="C699" s="6" t="s">
        <v>5</v>
      </c>
      <c r="D699" s="6" t="s">
        <v>51</v>
      </c>
      <c r="E699" s="28">
        <v>56749.8</v>
      </c>
      <c r="F699" s="11">
        <v>16</v>
      </c>
      <c r="G699" s="11">
        <v>19</v>
      </c>
      <c r="H699" s="11">
        <f t="shared" si="142"/>
        <v>-3</v>
      </c>
      <c r="I699" s="18">
        <v>1</v>
      </c>
      <c r="J699" s="19">
        <v>0.43841642228738997</v>
      </c>
      <c r="K699" s="19">
        <v>0.1</v>
      </c>
      <c r="L699" s="6">
        <v>5437614.5</v>
      </c>
      <c r="M699" s="6">
        <v>2599903.25</v>
      </c>
      <c r="N699" s="6">
        <v>2848253.75</v>
      </c>
      <c r="O699" s="6">
        <v>7656727.5</v>
      </c>
      <c r="P699" s="6">
        <v>9800.931640625</v>
      </c>
      <c r="Q699" s="6">
        <v>98136.4140625</v>
      </c>
      <c r="R699" s="6">
        <v>982357.875</v>
      </c>
      <c r="S699" s="6">
        <v>2932116</v>
      </c>
      <c r="T699" s="31">
        <f t="shared" si="143"/>
        <v>2256.4910220703123</v>
      </c>
      <c r="U699" s="37">
        <v>5050.7777777777774</v>
      </c>
      <c r="V699">
        <f t="shared" si="144"/>
        <v>0.44676109727066926</v>
      </c>
      <c r="W699">
        <f t="shared" si="155"/>
        <v>-5.0715882847944302E-2</v>
      </c>
      <c r="X699" s="28">
        <v>5242.9749999999985</v>
      </c>
      <c r="Y699">
        <f t="shared" si="145"/>
        <v>0.10765895351651011</v>
      </c>
      <c r="Z699">
        <f t="shared" si="148"/>
        <v>5.1475304683547093E-2</v>
      </c>
      <c r="AA699">
        <f t="shared" si="149"/>
        <v>5.639237906153069E-2</v>
      </c>
      <c r="AB699">
        <f t="shared" si="150"/>
        <v>0.15159501836900807</v>
      </c>
      <c r="AC699">
        <f t="shared" si="151"/>
        <v>1.9404796789410875E-4</v>
      </c>
      <c r="AD699">
        <f t="shared" si="152"/>
        <v>1.9429960766493611E-3</v>
      </c>
      <c r="AE699">
        <f t="shared" si="153"/>
        <v>1.9449635644675188E-2</v>
      </c>
      <c r="AF699">
        <f t="shared" si="154"/>
        <v>5.8052761950854653E-2</v>
      </c>
      <c r="AG699">
        <f t="shared" si="146"/>
        <v>0.44676109727066926</v>
      </c>
      <c r="AH699">
        <v>0.35795720865976616</v>
      </c>
      <c r="AI699">
        <v>0.5834726534511584</v>
      </c>
      <c r="AJ699">
        <v>1.7226341037941562E-2</v>
      </c>
      <c r="AK699">
        <v>9.3406056056585217E-3</v>
      </c>
      <c r="AL699">
        <v>0.40962562087378074</v>
      </c>
    </row>
    <row r="700" spans="1:38" x14ac:dyDescent="0.25">
      <c r="A700">
        <v>23</v>
      </c>
      <c r="B700" s="5" t="s">
        <v>10</v>
      </c>
      <c r="C700" s="6" t="s">
        <v>5</v>
      </c>
      <c r="D700" s="6" t="s">
        <v>52</v>
      </c>
      <c r="E700" s="28">
        <v>56749.8</v>
      </c>
      <c r="F700" s="11">
        <v>17</v>
      </c>
      <c r="G700" s="11">
        <v>19</v>
      </c>
      <c r="H700" s="11">
        <f t="shared" si="142"/>
        <v>-2</v>
      </c>
      <c r="I700" s="18">
        <v>1</v>
      </c>
      <c r="J700" s="19">
        <v>0.43841642228738997</v>
      </c>
      <c r="K700" s="19">
        <v>0.1</v>
      </c>
      <c r="L700" s="6">
        <v>5351282.5</v>
      </c>
      <c r="M700" s="6">
        <v>2672981.25</v>
      </c>
      <c r="N700" s="6">
        <v>2848253.75</v>
      </c>
      <c r="O700" s="6">
        <v>7872556</v>
      </c>
      <c r="P700" s="6">
        <v>9800.931640625</v>
      </c>
      <c r="Q700" s="6">
        <v>135393.234375</v>
      </c>
      <c r="R700" s="6">
        <v>1047085.1875</v>
      </c>
      <c r="S700" s="6">
        <v>3030009.5</v>
      </c>
      <c r="T700" s="31">
        <f t="shared" si="143"/>
        <v>2296.7362353515623</v>
      </c>
      <c r="U700" s="37">
        <v>5250.2222222222226</v>
      </c>
      <c r="V700">
        <f t="shared" si="144"/>
        <v>0.43745505202243418</v>
      </c>
      <c r="W700">
        <f t="shared" si="155"/>
        <v>-2.0830025946948189E-2</v>
      </c>
      <c r="X700" s="28">
        <v>5453.1583333333319</v>
      </c>
      <c r="Y700">
        <f t="shared" si="145"/>
        <v>0.10192487619571658</v>
      </c>
      <c r="Z700">
        <f t="shared" si="148"/>
        <v>5.0911773575721658E-2</v>
      </c>
      <c r="AA700">
        <f t="shared" si="149"/>
        <v>5.4250156078049602E-2</v>
      </c>
      <c r="AB700">
        <f t="shared" si="150"/>
        <v>0.14994710065182426</v>
      </c>
      <c r="AC700">
        <f t="shared" si="151"/>
        <v>1.8667651055114068E-4</v>
      </c>
      <c r="AD700">
        <f t="shared" si="152"/>
        <v>2.5788095940383476E-3</v>
      </c>
      <c r="AE700">
        <f t="shared" si="153"/>
        <v>1.9943635586853466E-2</v>
      </c>
      <c r="AF700">
        <f t="shared" si="154"/>
        <v>5.771202382967916E-2</v>
      </c>
      <c r="AG700">
        <f t="shared" si="146"/>
        <v>0.43745505202243423</v>
      </c>
      <c r="AH700">
        <v>0.35795720865976616</v>
      </c>
      <c r="AI700">
        <v>0.5834726534511584</v>
      </c>
      <c r="AJ700">
        <v>1.7226341037941562E-2</v>
      </c>
      <c r="AK700">
        <v>9.3406056056585217E-3</v>
      </c>
      <c r="AL700">
        <v>0.40962562087378074</v>
      </c>
    </row>
    <row r="701" spans="1:38" x14ac:dyDescent="0.25">
      <c r="A701">
        <v>23</v>
      </c>
      <c r="B701" s="5" t="s">
        <v>10</v>
      </c>
      <c r="C701" s="6" t="s">
        <v>5</v>
      </c>
      <c r="D701" s="6" t="s">
        <v>53</v>
      </c>
      <c r="E701" s="28">
        <v>56749.8</v>
      </c>
      <c r="F701" s="11">
        <v>18</v>
      </c>
      <c r="G701" s="11">
        <v>19</v>
      </c>
      <c r="H701" s="11">
        <f t="shared" si="142"/>
        <v>-1</v>
      </c>
      <c r="I701" s="18">
        <v>1</v>
      </c>
      <c r="J701" s="19">
        <v>0.43841642228738997</v>
      </c>
      <c r="K701" s="19">
        <v>0.1</v>
      </c>
      <c r="L701" s="6">
        <v>5715578</v>
      </c>
      <c r="M701" s="6">
        <v>2660586</v>
      </c>
      <c r="N701" s="6">
        <v>2848253.75</v>
      </c>
      <c r="O701" s="6">
        <v>7843613.5</v>
      </c>
      <c r="P701" s="6">
        <v>9800.931640625</v>
      </c>
      <c r="Q701" s="6">
        <v>89445.9921875</v>
      </c>
      <c r="R701" s="6">
        <v>1035129.5</v>
      </c>
      <c r="S701" s="6">
        <v>2993593.75</v>
      </c>
      <c r="T701" s="31">
        <f t="shared" si="143"/>
        <v>2319.6001423828125</v>
      </c>
      <c r="U701" s="37">
        <v>5449.666666666667</v>
      </c>
      <c r="V701">
        <f t="shared" si="144"/>
        <v>0.42564073809703573</v>
      </c>
      <c r="W701">
        <f t="shared" si="155"/>
        <v>-2.7006920758552738E-2</v>
      </c>
      <c r="X701" s="28">
        <v>5663.3416666666653</v>
      </c>
      <c r="Y701">
        <f t="shared" si="145"/>
        <v>0.10487940546822436</v>
      </c>
      <c r="Z701">
        <f t="shared" si="148"/>
        <v>4.8821077741757903E-2</v>
      </c>
      <c r="AA701">
        <f t="shared" si="149"/>
        <v>5.2264733317022444E-2</v>
      </c>
      <c r="AB701">
        <f t="shared" si="150"/>
        <v>0.14392831671661874</v>
      </c>
      <c r="AC701">
        <f t="shared" si="151"/>
        <v>1.7984460775506147E-4</v>
      </c>
      <c r="AD701">
        <f t="shared" si="152"/>
        <v>1.6413112518349744E-3</v>
      </c>
      <c r="AE701">
        <f t="shared" si="153"/>
        <v>1.8994363569637285E-2</v>
      </c>
      <c r="AF701">
        <f t="shared" si="154"/>
        <v>5.4931685424184959E-2</v>
      </c>
      <c r="AG701">
        <f t="shared" si="146"/>
        <v>0.42564073809703573</v>
      </c>
      <c r="AH701">
        <v>0.35795720865976616</v>
      </c>
      <c r="AI701">
        <v>0.5834726534511584</v>
      </c>
      <c r="AJ701">
        <v>1.7226341037941562E-2</v>
      </c>
      <c r="AK701">
        <v>9.3406056056585217E-3</v>
      </c>
      <c r="AL701">
        <v>0.40962562087378074</v>
      </c>
    </row>
    <row r="702" spans="1:38" x14ac:dyDescent="0.25">
      <c r="A702">
        <v>23</v>
      </c>
      <c r="B702" s="21" t="s">
        <v>10</v>
      </c>
      <c r="C702" s="22" t="s">
        <v>5</v>
      </c>
      <c r="D702" s="22" t="s">
        <v>54</v>
      </c>
      <c r="E702" s="28">
        <v>56749.8</v>
      </c>
      <c r="F702" s="22">
        <v>19</v>
      </c>
      <c r="G702" s="22">
        <v>19</v>
      </c>
      <c r="H702" s="22">
        <f t="shared" si="142"/>
        <v>0</v>
      </c>
      <c r="I702" s="18">
        <v>1</v>
      </c>
      <c r="J702" s="19">
        <v>0.43841642228738997</v>
      </c>
      <c r="K702" s="19">
        <v>0.1</v>
      </c>
      <c r="L702" s="22">
        <v>6375495</v>
      </c>
      <c r="M702" s="22">
        <v>2683264.25</v>
      </c>
      <c r="N702" s="22">
        <v>2849621</v>
      </c>
      <c r="O702" s="22">
        <v>7914685.5</v>
      </c>
      <c r="P702" s="22">
        <v>9805.63671875</v>
      </c>
      <c r="Q702" s="22">
        <v>41693.2265625</v>
      </c>
      <c r="R702" s="22">
        <v>1034078.5625</v>
      </c>
      <c r="S702" s="22">
        <v>2890257.5</v>
      </c>
      <c r="T702" s="32">
        <f t="shared" si="143"/>
        <v>2379.8900675781251</v>
      </c>
      <c r="U702" s="37">
        <v>5649.1111111111113</v>
      </c>
      <c r="V702">
        <f t="shared" si="144"/>
        <v>0.42128575996623119</v>
      </c>
      <c r="W702">
        <f t="shared" si="155"/>
        <v>-1.0231582038586998E-2</v>
      </c>
      <c r="X702" s="28">
        <v>5873.5249999999978</v>
      </c>
      <c r="Y702">
        <f t="shared" si="145"/>
        <v>0.11285837496557963</v>
      </c>
      <c r="Z702">
        <f t="shared" si="148"/>
        <v>4.7498875437630303E-2</v>
      </c>
      <c r="AA702">
        <f t="shared" si="149"/>
        <v>5.0443705991109707E-2</v>
      </c>
      <c r="AB702">
        <f t="shared" si="150"/>
        <v>0.14010497128358443</v>
      </c>
      <c r="AC702">
        <f t="shared" si="151"/>
        <v>1.7357840067021358E-4</v>
      </c>
      <c r="AD702">
        <f t="shared" si="152"/>
        <v>7.3804932745072968E-4</v>
      </c>
      <c r="AE702">
        <f t="shared" si="153"/>
        <v>1.8305155309586561E-2</v>
      </c>
      <c r="AF702">
        <f t="shared" si="154"/>
        <v>5.1163049250619562E-2</v>
      </c>
      <c r="AG702">
        <f t="shared" si="146"/>
        <v>0.42128575996623113</v>
      </c>
      <c r="AH702">
        <v>0.35795720865976616</v>
      </c>
      <c r="AI702">
        <v>0.5834726534511584</v>
      </c>
      <c r="AJ702">
        <v>1.7226341037941562E-2</v>
      </c>
      <c r="AK702">
        <v>9.3406056056585217E-3</v>
      </c>
      <c r="AL702">
        <v>0.40962562087378074</v>
      </c>
    </row>
    <row r="703" spans="1:38" x14ac:dyDescent="0.25">
      <c r="A703">
        <v>23</v>
      </c>
      <c r="B703" s="5" t="s">
        <v>10</v>
      </c>
      <c r="C703" s="6" t="s">
        <v>5</v>
      </c>
      <c r="D703" s="6" t="s">
        <v>55</v>
      </c>
      <c r="E703" s="29">
        <v>60132.9</v>
      </c>
      <c r="F703" s="11">
        <v>20</v>
      </c>
      <c r="G703" s="11">
        <v>19</v>
      </c>
      <c r="H703" s="18">
        <f t="shared" si="142"/>
        <v>1</v>
      </c>
      <c r="I703" s="18">
        <v>1</v>
      </c>
      <c r="J703" s="19">
        <v>0.43841642228738997</v>
      </c>
      <c r="K703" s="19">
        <v>0.1</v>
      </c>
      <c r="L703" s="14">
        <v>1045404.75</v>
      </c>
      <c r="M703" s="14">
        <v>2591608</v>
      </c>
      <c r="N703" s="14">
        <v>5911972.5</v>
      </c>
      <c r="O703" s="14">
        <v>5023448.5</v>
      </c>
      <c r="P703" s="14">
        <v>10046.369140625</v>
      </c>
      <c r="Q703" s="14">
        <v>25768.958984375</v>
      </c>
      <c r="R703" s="14">
        <v>7435985</v>
      </c>
      <c r="S703" s="14">
        <v>3475384.25</v>
      </c>
      <c r="T703" s="31">
        <f t="shared" si="143"/>
        <v>2551.9618328124998</v>
      </c>
      <c r="U703" s="37">
        <v>4433.8888888888896</v>
      </c>
      <c r="V703">
        <f t="shared" si="144"/>
        <v>0.57555836349611567</v>
      </c>
      <c r="W703">
        <f t="shared" si="155"/>
        <v>0.36619467874311828</v>
      </c>
      <c r="X703" s="29">
        <v>3396.5041666666652</v>
      </c>
      <c r="Y703">
        <f t="shared" si="145"/>
        <v>2.35776036837489E-2</v>
      </c>
      <c r="Z703">
        <f t="shared" si="148"/>
        <v>5.8449998747024175E-2</v>
      </c>
      <c r="AA703">
        <f t="shared" si="149"/>
        <v>0.13333605437915047</v>
      </c>
      <c r="AB703">
        <f t="shared" si="150"/>
        <v>0.11329667084325272</v>
      </c>
      <c r="AC703">
        <f t="shared" si="151"/>
        <v>2.2658143657593031E-4</v>
      </c>
      <c r="AD703">
        <f t="shared" si="152"/>
        <v>5.8118188412323009E-4</v>
      </c>
      <c r="AE703">
        <f t="shared" si="153"/>
        <v>0.16770796892619969</v>
      </c>
      <c r="AF703">
        <f t="shared" si="154"/>
        <v>7.8382303596040578E-2</v>
      </c>
      <c r="AG703">
        <f t="shared" si="146"/>
        <v>0.57555836349611567</v>
      </c>
      <c r="AH703">
        <v>0.3638457483341066</v>
      </c>
      <c r="AI703">
        <v>0.59488527724665397</v>
      </c>
      <c r="AJ703">
        <v>1.7213998304931335E-2</v>
      </c>
      <c r="AK703">
        <v>9.5093085482323321E-3</v>
      </c>
      <c r="AL703">
        <v>0.43424025684865608</v>
      </c>
    </row>
    <row r="704" spans="1:38" x14ac:dyDescent="0.25">
      <c r="A704">
        <v>23</v>
      </c>
      <c r="B704" s="5" t="s">
        <v>10</v>
      </c>
      <c r="C704" s="6" t="s">
        <v>5</v>
      </c>
      <c r="D704" s="6" t="s">
        <v>56</v>
      </c>
      <c r="E704" s="29">
        <v>60132.9</v>
      </c>
      <c r="F704" s="11">
        <v>21</v>
      </c>
      <c r="G704" s="11">
        <v>19</v>
      </c>
      <c r="H704" s="11">
        <f t="shared" si="142"/>
        <v>2</v>
      </c>
      <c r="I704" s="18">
        <v>1</v>
      </c>
      <c r="J704" s="19">
        <v>0.43841642228738997</v>
      </c>
      <c r="K704" s="19">
        <v>0.1</v>
      </c>
      <c r="L704" s="6">
        <v>999425.25</v>
      </c>
      <c r="M704" s="6">
        <v>2540690.5</v>
      </c>
      <c r="N704" s="6">
        <v>5142794</v>
      </c>
      <c r="O704" s="6">
        <v>4998556.5</v>
      </c>
      <c r="P704" s="6">
        <v>10046.369140625</v>
      </c>
      <c r="Q704" s="6">
        <v>36495.125</v>
      </c>
      <c r="R704" s="6">
        <v>7281548.5</v>
      </c>
      <c r="S704" s="6">
        <v>3519864.5</v>
      </c>
      <c r="T704" s="31">
        <f t="shared" si="143"/>
        <v>2452.9420744140625</v>
      </c>
      <c r="U704" s="37">
        <v>4586</v>
      </c>
      <c r="V704">
        <f t="shared" si="144"/>
        <v>0.53487616101484137</v>
      </c>
      <c r="W704">
        <f t="shared" si="155"/>
        <v>-7.0683018545952991E-2</v>
      </c>
      <c r="X704" s="29">
        <v>3690.0624999999986</v>
      </c>
      <c r="Y704">
        <f t="shared" si="145"/>
        <v>2.1792962276493678E-2</v>
      </c>
      <c r="Z704">
        <f t="shared" si="148"/>
        <v>5.5401013955516797E-2</v>
      </c>
      <c r="AA704">
        <f t="shared" si="149"/>
        <v>0.11214116877453119</v>
      </c>
      <c r="AB704">
        <f t="shared" si="150"/>
        <v>0.1089959986916703</v>
      </c>
      <c r="AC704">
        <f t="shared" si="151"/>
        <v>2.1906605191070652E-4</v>
      </c>
      <c r="AD704">
        <f t="shared" si="152"/>
        <v>7.9579426515481906E-4</v>
      </c>
      <c r="AE704">
        <f t="shared" si="153"/>
        <v>0.15877776929786305</v>
      </c>
      <c r="AF704">
        <f t="shared" si="154"/>
        <v>7.6752387701700828E-2</v>
      </c>
      <c r="AG704">
        <f t="shared" si="146"/>
        <v>0.53487616101484126</v>
      </c>
      <c r="AH704">
        <v>0.3638457483341066</v>
      </c>
      <c r="AI704">
        <v>0.59488527724665397</v>
      </c>
      <c r="AJ704">
        <v>1.7213998304931335E-2</v>
      </c>
      <c r="AK704">
        <v>9.5093085482323321E-3</v>
      </c>
      <c r="AL704">
        <v>0.43424025684865608</v>
      </c>
    </row>
    <row r="705" spans="1:38" x14ac:dyDescent="0.25">
      <c r="A705">
        <v>23</v>
      </c>
      <c r="B705" s="5" t="s">
        <v>10</v>
      </c>
      <c r="C705" s="6" t="s">
        <v>5</v>
      </c>
      <c r="D705" s="6" t="s">
        <v>57</v>
      </c>
      <c r="E705" s="29">
        <v>60132.9</v>
      </c>
      <c r="F705" s="11">
        <v>22</v>
      </c>
      <c r="G705" s="11">
        <v>19</v>
      </c>
      <c r="H705" s="11">
        <f t="shared" si="142"/>
        <v>3</v>
      </c>
      <c r="I705" s="18">
        <v>1</v>
      </c>
      <c r="J705" s="19">
        <v>0.43841642228738997</v>
      </c>
      <c r="K705" s="19">
        <v>0.1</v>
      </c>
      <c r="L705" s="6">
        <v>984177.9375</v>
      </c>
      <c r="M705" s="6">
        <v>2637742</v>
      </c>
      <c r="N705" s="6">
        <v>3334221.5</v>
      </c>
      <c r="O705" s="6">
        <v>5686110.5</v>
      </c>
      <c r="P705" s="6">
        <v>10046.369140625</v>
      </c>
      <c r="Q705" s="6">
        <v>105060.859375</v>
      </c>
      <c r="R705" s="6">
        <v>7563202.5</v>
      </c>
      <c r="S705" s="6">
        <v>3591113.75</v>
      </c>
      <c r="T705" s="31">
        <f t="shared" si="143"/>
        <v>2391.1675416015623</v>
      </c>
      <c r="U705" s="37">
        <v>4738.1111111111104</v>
      </c>
      <c r="V705">
        <f t="shared" si="144"/>
        <v>0.50466683569200255</v>
      </c>
      <c r="W705">
        <f t="shared" si="155"/>
        <v>-5.6479102126222064E-2</v>
      </c>
      <c r="X705" s="29">
        <v>3983.6208333333325</v>
      </c>
      <c r="Y705">
        <f t="shared" si="145"/>
        <v>2.0771525074455365E-2</v>
      </c>
      <c r="Z705">
        <f t="shared" si="148"/>
        <v>5.5670750181741446E-2</v>
      </c>
      <c r="AA705">
        <f t="shared" si="149"/>
        <v>7.0370268273808143E-2</v>
      </c>
      <c r="AB705">
        <f t="shared" si="150"/>
        <v>0.12000796027483998</v>
      </c>
      <c r="AC705">
        <f t="shared" si="151"/>
        <v>2.1203321123191383E-4</v>
      </c>
      <c r="AD705">
        <f t="shared" si="152"/>
        <v>2.2173574428980144E-3</v>
      </c>
      <c r="AE705">
        <f t="shared" si="153"/>
        <v>0.15962484464038648</v>
      </c>
      <c r="AF705">
        <f t="shared" si="154"/>
        <v>7.5792096592641245E-2</v>
      </c>
      <c r="AG705">
        <f t="shared" si="146"/>
        <v>0.50466683569200255</v>
      </c>
      <c r="AH705">
        <v>0.3638457483341066</v>
      </c>
      <c r="AI705">
        <v>0.59488527724665397</v>
      </c>
      <c r="AJ705">
        <v>1.7213998304931335E-2</v>
      </c>
      <c r="AK705">
        <v>9.5093085482323321E-3</v>
      </c>
      <c r="AL705">
        <v>0.43424025684865608</v>
      </c>
    </row>
    <row r="706" spans="1:38" x14ac:dyDescent="0.25">
      <c r="A706">
        <v>23</v>
      </c>
      <c r="B706" s="5" t="s">
        <v>10</v>
      </c>
      <c r="C706" s="6" t="s">
        <v>5</v>
      </c>
      <c r="D706" s="6" t="s">
        <v>58</v>
      </c>
      <c r="E706" s="29">
        <v>60132.9</v>
      </c>
      <c r="F706" s="11">
        <v>23</v>
      </c>
      <c r="G706" s="11">
        <v>19</v>
      </c>
      <c r="H706" s="11">
        <f t="shared" ref="H706:H769" si="156">F706-G706</f>
        <v>4</v>
      </c>
      <c r="I706" s="18">
        <v>1</v>
      </c>
      <c r="J706" s="19">
        <v>0.43841642228738997</v>
      </c>
      <c r="K706" s="19">
        <v>0.1</v>
      </c>
      <c r="L706" s="6">
        <v>1043963.5625</v>
      </c>
      <c r="M706" s="6">
        <v>2681430.5</v>
      </c>
      <c r="N706" s="6">
        <v>2176440.5</v>
      </c>
      <c r="O706" s="6">
        <v>5143198.5</v>
      </c>
      <c r="P706" s="6">
        <v>10046.369140625</v>
      </c>
      <c r="Q706" s="6">
        <v>144771.078125</v>
      </c>
      <c r="R706" s="6">
        <v>7690429.5</v>
      </c>
      <c r="S706" s="6">
        <v>3709055</v>
      </c>
      <c r="T706" s="31">
        <f t="shared" ref="T706:T769" si="157">SUM(L706:S706)/10000</f>
        <v>2259.9335009765623</v>
      </c>
      <c r="U706" s="37">
        <v>4890.2222222222217</v>
      </c>
      <c r="V706">
        <f t="shared" si="144"/>
        <v>0.46213308890277793</v>
      </c>
      <c r="W706">
        <f t="shared" si="155"/>
        <v>-8.4280843877727871E-2</v>
      </c>
      <c r="X706" s="29">
        <v>4277.1791666666659</v>
      </c>
      <c r="Y706">
        <f t="shared" si="145"/>
        <v>2.134797796623648E-2</v>
      </c>
      <c r="Z706">
        <f t="shared" si="148"/>
        <v>5.4832487730618926E-2</v>
      </c>
      <c r="AA706">
        <f t="shared" si="149"/>
        <v>4.4505963146414619E-2</v>
      </c>
      <c r="AB706">
        <f t="shared" si="150"/>
        <v>0.10517310392620195</v>
      </c>
      <c r="AC706">
        <f t="shared" si="151"/>
        <v>2.0543788572576798E-4</v>
      </c>
      <c r="AD706">
        <f t="shared" si="152"/>
        <v>2.960419210953831E-3</v>
      </c>
      <c r="AE706">
        <f t="shared" si="153"/>
        <v>0.15726135031355087</v>
      </c>
      <c r="AF706">
        <f t="shared" si="154"/>
        <v>7.5846348723075524E-2</v>
      </c>
      <c r="AG706">
        <f t="shared" si="146"/>
        <v>0.46213308890277793</v>
      </c>
      <c r="AH706">
        <v>0.3638457483341066</v>
      </c>
      <c r="AI706">
        <v>0.59488527724665397</v>
      </c>
      <c r="AJ706">
        <v>1.7213998304931335E-2</v>
      </c>
      <c r="AK706">
        <v>9.5093085482323321E-3</v>
      </c>
      <c r="AL706">
        <v>0.43424025684865608</v>
      </c>
    </row>
    <row r="707" spans="1:38" x14ac:dyDescent="0.25">
      <c r="A707">
        <v>23</v>
      </c>
      <c r="B707" s="5" t="s">
        <v>10</v>
      </c>
      <c r="C707" s="6" t="s">
        <v>5</v>
      </c>
      <c r="D707" s="6" t="s">
        <v>59</v>
      </c>
      <c r="E707" s="29">
        <v>60132.9</v>
      </c>
      <c r="F707" s="11">
        <v>24</v>
      </c>
      <c r="G707" s="11">
        <v>19</v>
      </c>
      <c r="H707" s="11">
        <f t="shared" si="156"/>
        <v>5</v>
      </c>
      <c r="I707" s="18">
        <v>1</v>
      </c>
      <c r="J707" s="19">
        <v>0.43841642228738997</v>
      </c>
      <c r="K707" s="19">
        <v>0.1</v>
      </c>
      <c r="L707" s="6">
        <v>1030181.375</v>
      </c>
      <c r="M707" s="6">
        <v>2652745</v>
      </c>
      <c r="N707" s="6">
        <v>1390541</v>
      </c>
      <c r="O707" s="6">
        <v>5109561</v>
      </c>
      <c r="P707" s="6">
        <v>10046.369140625</v>
      </c>
      <c r="Q707" s="6">
        <v>95197.5703125</v>
      </c>
      <c r="R707" s="6">
        <v>7613150</v>
      </c>
      <c r="S707" s="6">
        <v>3682880.25</v>
      </c>
      <c r="T707" s="31">
        <f t="shared" si="157"/>
        <v>2158.4302564453124</v>
      </c>
      <c r="U707" s="37">
        <v>5042.333333333333</v>
      </c>
      <c r="V707">
        <f t="shared" ref="V707:V770" si="158">T707/U707</f>
        <v>0.42806179476009371</v>
      </c>
      <c r="W707">
        <f t="shared" si="155"/>
        <v>-7.3726151536948351E-2</v>
      </c>
      <c r="X707" s="29">
        <v>4570.7374999999993</v>
      </c>
      <c r="Y707">
        <f t="shared" si="145"/>
        <v>2.0430648013485823E-2</v>
      </c>
      <c r="Z707">
        <f t="shared" si="148"/>
        <v>5.2609473127520331E-2</v>
      </c>
      <c r="AA707">
        <f t="shared" si="149"/>
        <v>2.7577331923051496E-2</v>
      </c>
      <c r="AB707">
        <f t="shared" si="150"/>
        <v>0.1013332650228069</v>
      </c>
      <c r="AC707">
        <f t="shared" si="151"/>
        <v>1.992404800811463E-4</v>
      </c>
      <c r="AD707">
        <f t="shared" si="152"/>
        <v>1.887966622182191E-3</v>
      </c>
      <c r="AE707">
        <f t="shared" si="153"/>
        <v>0.1509846631850334</v>
      </c>
      <c r="AF707">
        <f t="shared" si="154"/>
        <v>7.3039206385932448E-2</v>
      </c>
      <c r="AG707">
        <f t="shared" si="146"/>
        <v>0.42806179476009376</v>
      </c>
      <c r="AH707">
        <v>0.3638457483341066</v>
      </c>
      <c r="AI707">
        <v>0.59488527724665397</v>
      </c>
      <c r="AJ707">
        <v>1.7213998304931335E-2</v>
      </c>
      <c r="AK707">
        <v>9.5093085482323321E-3</v>
      </c>
      <c r="AL707">
        <v>0.43424025684865608</v>
      </c>
    </row>
    <row r="708" spans="1:38" x14ac:dyDescent="0.25">
      <c r="A708">
        <v>23</v>
      </c>
      <c r="B708" s="5" t="s">
        <v>10</v>
      </c>
      <c r="C708" s="6" t="s">
        <v>5</v>
      </c>
      <c r="D708" s="6" t="s">
        <v>60</v>
      </c>
      <c r="E708" s="29">
        <v>60132.9</v>
      </c>
      <c r="F708" s="11">
        <v>25</v>
      </c>
      <c r="G708" s="11">
        <v>19</v>
      </c>
      <c r="H708" s="11">
        <f t="shared" si="156"/>
        <v>6</v>
      </c>
      <c r="I708" s="18">
        <v>1</v>
      </c>
      <c r="J708" s="19">
        <v>0.43841642228738997</v>
      </c>
      <c r="K708" s="19">
        <v>0.1</v>
      </c>
      <c r="L708" s="6">
        <v>1027001.9375</v>
      </c>
      <c r="M708" s="6">
        <v>2667323.5</v>
      </c>
      <c r="N708" s="6">
        <v>773526</v>
      </c>
      <c r="O708" s="6">
        <v>5352425</v>
      </c>
      <c r="P708" s="6">
        <v>10046.369140625</v>
      </c>
      <c r="Q708" s="6">
        <v>46278.08203125</v>
      </c>
      <c r="R708" s="6">
        <v>7656421.5</v>
      </c>
      <c r="S708" s="6">
        <v>3581183</v>
      </c>
      <c r="T708" s="31">
        <f t="shared" si="157"/>
        <v>2111.4205388671876</v>
      </c>
      <c r="U708" s="37">
        <v>5145.8888888888887</v>
      </c>
      <c r="V708">
        <f t="shared" si="158"/>
        <v>0.41031211214571911</v>
      </c>
      <c r="W708">
        <f t="shared" si="155"/>
        <v>-4.1465234299459884E-2</v>
      </c>
      <c r="X708" s="29">
        <v>4864.2958333333336</v>
      </c>
      <c r="Y708">
        <f t="shared" ref="Y708:Y771" si="159">L708/$U708/10000</f>
        <v>1.9957716920734999E-2</v>
      </c>
      <c r="Z708">
        <f t="shared" si="148"/>
        <v>5.1834067108587227E-2</v>
      </c>
      <c r="AA708">
        <f t="shared" si="149"/>
        <v>1.5031921922570336E-2</v>
      </c>
      <c r="AB708">
        <f t="shared" si="150"/>
        <v>0.10401361388810917</v>
      </c>
      <c r="AC708">
        <f t="shared" si="151"/>
        <v>1.9523097675733597E-4</v>
      </c>
      <c r="AD708">
        <f t="shared" si="152"/>
        <v>8.9932143951212409E-4</v>
      </c>
      <c r="AE708">
        <f t="shared" si="153"/>
        <v>0.1487871515557187</v>
      </c>
      <c r="AF708">
        <f t="shared" si="154"/>
        <v>6.9593088333729194E-2</v>
      </c>
      <c r="AG708">
        <f t="shared" ref="AG708:AG771" si="160">SUM(Y708:AF708)</f>
        <v>0.41031211214571911</v>
      </c>
      <c r="AH708">
        <v>0.3638457483341066</v>
      </c>
      <c r="AI708">
        <v>0.59488527724665397</v>
      </c>
      <c r="AJ708">
        <v>1.7213998304931335E-2</v>
      </c>
      <c r="AK708">
        <v>9.5093085482323321E-3</v>
      </c>
      <c r="AL708">
        <v>0.43424025684865608</v>
      </c>
    </row>
    <row r="709" spans="1:38" x14ac:dyDescent="0.25">
      <c r="A709">
        <v>23</v>
      </c>
      <c r="B709" s="5" t="s">
        <v>10</v>
      </c>
      <c r="C709" s="6" t="s">
        <v>5</v>
      </c>
      <c r="D709" s="6" t="s">
        <v>61</v>
      </c>
      <c r="E709" s="29">
        <v>60132.9</v>
      </c>
      <c r="F709" s="11">
        <v>26</v>
      </c>
      <c r="G709" s="11">
        <v>19</v>
      </c>
      <c r="H709" s="11">
        <f t="shared" si="156"/>
        <v>7</v>
      </c>
      <c r="I709" s="18">
        <v>1</v>
      </c>
      <c r="J709" s="19">
        <v>0.43841642228738997</v>
      </c>
      <c r="K709" s="19">
        <v>0.1</v>
      </c>
      <c r="L709" s="6">
        <v>1040414.375</v>
      </c>
      <c r="M709" s="6">
        <v>2563565</v>
      </c>
      <c r="N709" s="6">
        <v>575880.5625</v>
      </c>
      <c r="O709" s="6">
        <v>6020468.5</v>
      </c>
      <c r="P709" s="6">
        <v>10046.369140625</v>
      </c>
      <c r="Q709" s="6">
        <v>27572.697265625</v>
      </c>
      <c r="R709" s="6">
        <v>7351564</v>
      </c>
      <c r="S709" s="6">
        <v>3513981</v>
      </c>
      <c r="T709" s="31">
        <f t="shared" si="157"/>
        <v>2110.349250390625</v>
      </c>
      <c r="U709" s="37">
        <v>5249.4444444444443</v>
      </c>
      <c r="V709">
        <f t="shared" si="158"/>
        <v>0.40201382693439786</v>
      </c>
      <c r="W709">
        <f t="shared" si="155"/>
        <v>-2.0224324278231846E-2</v>
      </c>
      <c r="X709" s="29">
        <v>5157.854166666667</v>
      </c>
      <c r="Y709">
        <f t="shared" si="159"/>
        <v>1.9819513969732246E-2</v>
      </c>
      <c r="Z709">
        <f t="shared" si="148"/>
        <v>4.8834977246269451E-2</v>
      </c>
      <c r="AA709">
        <f t="shared" si="149"/>
        <v>1.0970314451264684E-2</v>
      </c>
      <c r="AB709">
        <f t="shared" si="150"/>
        <v>0.11468772674357076</v>
      </c>
      <c r="AC709">
        <f t="shared" si="151"/>
        <v>1.9137966401867922E-4</v>
      </c>
      <c r="AD709">
        <f t="shared" si="152"/>
        <v>5.2524981562202346E-4</v>
      </c>
      <c r="AE709">
        <f t="shared" si="153"/>
        <v>0.14004461001164145</v>
      </c>
      <c r="AF709">
        <f t="shared" si="154"/>
        <v>6.6940055032278553E-2</v>
      </c>
      <c r="AG709">
        <f t="shared" si="160"/>
        <v>0.40201382693439786</v>
      </c>
      <c r="AH709">
        <v>0.3638457483341066</v>
      </c>
      <c r="AI709">
        <v>0.59488527724665397</v>
      </c>
      <c r="AJ709">
        <v>1.7213998304931335E-2</v>
      </c>
      <c r="AK709">
        <v>9.5093085482323321E-3</v>
      </c>
      <c r="AL709">
        <v>0.43424025684865608</v>
      </c>
    </row>
    <row r="710" spans="1:38" x14ac:dyDescent="0.25">
      <c r="A710">
        <v>23</v>
      </c>
      <c r="B710" s="5" t="s">
        <v>10</v>
      </c>
      <c r="C710" s="6" t="s">
        <v>5</v>
      </c>
      <c r="D710" s="6" t="s">
        <v>62</v>
      </c>
      <c r="E710" s="29">
        <v>60132.9</v>
      </c>
      <c r="F710" s="11">
        <v>27</v>
      </c>
      <c r="G710" s="11">
        <v>19</v>
      </c>
      <c r="H710" s="11">
        <f t="shared" si="156"/>
        <v>8</v>
      </c>
      <c r="I710" s="18">
        <v>1</v>
      </c>
      <c r="J710" s="19">
        <v>0.43841642228738997</v>
      </c>
      <c r="K710" s="19">
        <v>0.1</v>
      </c>
      <c r="L710" s="6">
        <v>995179</v>
      </c>
      <c r="M710" s="6">
        <v>2492580.5</v>
      </c>
      <c r="N710" s="6">
        <v>640090.25</v>
      </c>
      <c r="O710" s="6">
        <v>6406629</v>
      </c>
      <c r="P710" s="6">
        <v>10046.369140625</v>
      </c>
      <c r="Q710" s="6">
        <v>38627.01953125</v>
      </c>
      <c r="R710" s="6">
        <v>7145034</v>
      </c>
      <c r="S710" s="6">
        <v>3547775.5</v>
      </c>
      <c r="T710" s="31">
        <f t="shared" si="157"/>
        <v>2127.5961638671874</v>
      </c>
      <c r="U710" s="37">
        <v>5353</v>
      </c>
      <c r="V710">
        <f t="shared" si="158"/>
        <v>0.39745865194604663</v>
      </c>
      <c r="W710">
        <f t="shared" si="155"/>
        <v>-1.1330891335472798E-2</v>
      </c>
      <c r="X710" s="29">
        <v>5451.4125000000004</v>
      </c>
      <c r="Y710">
        <f t="shared" si="159"/>
        <v>1.8591051746684101E-2</v>
      </c>
      <c r="Z710">
        <f t="shared" si="148"/>
        <v>4.6564178965066316E-2</v>
      </c>
      <c r="AA710">
        <f t="shared" si="149"/>
        <v>1.1957598542873156E-2</v>
      </c>
      <c r="AB710">
        <f t="shared" si="150"/>
        <v>0.11968296282458435</v>
      </c>
      <c r="AC710">
        <f t="shared" si="151"/>
        <v>1.876773611175976E-4</v>
      </c>
      <c r="AD710">
        <f t="shared" si="152"/>
        <v>7.2159573194937416E-4</v>
      </c>
      <c r="AE710">
        <f t="shared" si="153"/>
        <v>0.13347719036054548</v>
      </c>
      <c r="AF710">
        <f t="shared" si="154"/>
        <v>6.6276396413226218E-2</v>
      </c>
      <c r="AG710">
        <f t="shared" si="160"/>
        <v>0.39745865194604657</v>
      </c>
      <c r="AH710">
        <v>0.3638457483341066</v>
      </c>
      <c r="AI710">
        <v>0.59488527724665397</v>
      </c>
      <c r="AJ710">
        <v>1.7213998304931335E-2</v>
      </c>
      <c r="AK710">
        <v>9.5093085482323321E-3</v>
      </c>
      <c r="AL710">
        <v>0.43424025684865608</v>
      </c>
    </row>
    <row r="711" spans="1:38" x14ac:dyDescent="0.25">
      <c r="A711">
        <v>23</v>
      </c>
      <c r="B711" s="5" t="s">
        <v>10</v>
      </c>
      <c r="C711" s="6" t="s">
        <v>5</v>
      </c>
      <c r="D711" s="6" t="s">
        <v>63</v>
      </c>
      <c r="E711" s="29">
        <v>60132.9</v>
      </c>
      <c r="F711" s="11">
        <v>28</v>
      </c>
      <c r="G711" s="11">
        <v>19</v>
      </c>
      <c r="H711" s="11">
        <f t="shared" si="156"/>
        <v>9</v>
      </c>
      <c r="I711" s="18">
        <v>1</v>
      </c>
      <c r="J711" s="19">
        <v>0.43841642228738997</v>
      </c>
      <c r="K711" s="19">
        <v>0.1</v>
      </c>
      <c r="L711" s="6">
        <v>981700.6875</v>
      </c>
      <c r="M711" s="6">
        <v>2600018</v>
      </c>
      <c r="N711" s="6">
        <v>1149085.75</v>
      </c>
      <c r="O711" s="6">
        <v>5593270.5</v>
      </c>
      <c r="P711" s="6">
        <v>10046.369140625</v>
      </c>
      <c r="Q711" s="6">
        <v>107144.5625</v>
      </c>
      <c r="R711" s="6">
        <v>7456147</v>
      </c>
      <c r="S711" s="6">
        <v>3605932.5</v>
      </c>
      <c r="T711" s="31">
        <f t="shared" si="157"/>
        <v>2150.3345369140625</v>
      </c>
      <c r="U711" s="37">
        <v>5391.8888888888896</v>
      </c>
      <c r="V711">
        <f t="shared" si="158"/>
        <v>0.39880913372404148</v>
      </c>
      <c r="W711">
        <f t="shared" si="155"/>
        <v>3.3977918744065284E-3</v>
      </c>
      <c r="X711" s="29">
        <v>5744.9708333333347</v>
      </c>
      <c r="Y711">
        <f t="shared" si="159"/>
        <v>1.820699030951841E-2</v>
      </c>
      <c r="Z711">
        <f t="shared" si="148"/>
        <v>4.8220912069569508E-2</v>
      </c>
      <c r="AA711">
        <f t="shared" si="149"/>
        <v>2.1311376656294432E-2</v>
      </c>
      <c r="AB711">
        <f t="shared" si="150"/>
        <v>0.1037348991283203</v>
      </c>
      <c r="AC711">
        <f t="shared" si="151"/>
        <v>1.8632374196967666E-4</v>
      </c>
      <c r="AD711">
        <f t="shared" si="152"/>
        <v>1.9871433686401382E-3</v>
      </c>
      <c r="AE711">
        <f t="shared" si="153"/>
        <v>0.13828450759371069</v>
      </c>
      <c r="AF711">
        <f t="shared" si="154"/>
        <v>6.6876980856018287E-2</v>
      </c>
      <c r="AG711">
        <f t="shared" si="160"/>
        <v>0.39880913372404142</v>
      </c>
      <c r="AH711">
        <v>0.3638457483341066</v>
      </c>
      <c r="AI711">
        <v>0.59488527724665397</v>
      </c>
      <c r="AJ711">
        <v>1.7213998304931335E-2</v>
      </c>
      <c r="AK711">
        <v>9.5093085482323321E-3</v>
      </c>
      <c r="AL711">
        <v>0.43424025684865608</v>
      </c>
    </row>
    <row r="712" spans="1:38" x14ac:dyDescent="0.25">
      <c r="A712">
        <v>23</v>
      </c>
      <c r="B712" s="5" t="s">
        <v>10</v>
      </c>
      <c r="C712" s="6" t="s">
        <v>5</v>
      </c>
      <c r="D712" s="6" t="s">
        <v>64</v>
      </c>
      <c r="E712" s="29">
        <v>60132.9</v>
      </c>
      <c r="F712" s="11">
        <v>29</v>
      </c>
      <c r="G712" s="11">
        <v>19</v>
      </c>
      <c r="H712" s="11">
        <f t="shared" si="156"/>
        <v>10</v>
      </c>
      <c r="I712" s="18">
        <v>1</v>
      </c>
      <c r="J712" s="19">
        <v>0.43841642228738997</v>
      </c>
      <c r="K712" s="19">
        <v>0.1</v>
      </c>
      <c r="L712" s="6">
        <v>1043381.625</v>
      </c>
      <c r="M712" s="6">
        <v>2672917.5</v>
      </c>
      <c r="N712" s="6">
        <v>2616879</v>
      </c>
      <c r="O712" s="6">
        <v>5504467</v>
      </c>
      <c r="P712" s="6">
        <v>10046.369140625</v>
      </c>
      <c r="Q712" s="6">
        <v>147816.3125</v>
      </c>
      <c r="R712" s="6">
        <v>7666233.5</v>
      </c>
      <c r="S712" s="6">
        <v>3723526</v>
      </c>
      <c r="T712" s="31">
        <f t="shared" si="157"/>
        <v>2338.5267306640626</v>
      </c>
      <c r="U712" s="37">
        <v>5430.7777777777783</v>
      </c>
      <c r="V712">
        <f t="shared" si="158"/>
        <v>0.43060622738663507</v>
      </c>
      <c r="W712">
        <f t="shared" si="155"/>
        <v>7.9730103886225909E-2</v>
      </c>
      <c r="X712" s="29">
        <v>6038.5291666666681</v>
      </c>
      <c r="Y712">
        <f t="shared" si="159"/>
        <v>1.9212379288827054E-2</v>
      </c>
      <c r="Z712">
        <f t="shared" si="148"/>
        <v>4.9217950160607232E-2</v>
      </c>
      <c r="AA712">
        <f t="shared" si="149"/>
        <v>4.8186081387973888E-2</v>
      </c>
      <c r="AB712">
        <f t="shared" si="150"/>
        <v>0.10135688155983386</v>
      </c>
      <c r="AC712">
        <f t="shared" si="151"/>
        <v>1.8498950890117027E-4</v>
      </c>
      <c r="AD712">
        <f t="shared" si="152"/>
        <v>2.7218258332139859E-3</v>
      </c>
      <c r="AE712">
        <f t="shared" si="153"/>
        <v>0.14116271763815291</v>
      </c>
      <c r="AF712">
        <f t="shared" si="154"/>
        <v>6.8563402009124946E-2</v>
      </c>
      <c r="AG712">
        <f t="shared" si="160"/>
        <v>0.43060622738663501</v>
      </c>
      <c r="AH712">
        <v>0.3638457483341066</v>
      </c>
      <c r="AI712">
        <v>0.59488527724665397</v>
      </c>
      <c r="AJ712">
        <v>1.7213998304931335E-2</v>
      </c>
      <c r="AK712">
        <v>9.5093085482323321E-3</v>
      </c>
      <c r="AL712">
        <v>0.43424025684865608</v>
      </c>
    </row>
    <row r="713" spans="1:38" x14ac:dyDescent="0.25">
      <c r="A713">
        <v>23</v>
      </c>
      <c r="B713" s="5" t="s">
        <v>10</v>
      </c>
      <c r="C713" s="6" t="s">
        <v>5</v>
      </c>
      <c r="D713" s="6" t="s">
        <v>65</v>
      </c>
      <c r="E713" s="29">
        <v>60132.9</v>
      </c>
      <c r="F713" s="11">
        <v>30</v>
      </c>
      <c r="G713" s="11">
        <v>19</v>
      </c>
      <c r="H713" s="11">
        <f t="shared" si="156"/>
        <v>11</v>
      </c>
      <c r="I713" s="18">
        <v>1</v>
      </c>
      <c r="J713" s="19">
        <v>0.43841642228738997</v>
      </c>
      <c r="K713" s="19">
        <v>0.1</v>
      </c>
      <c r="L713" s="6">
        <v>1032108.4375</v>
      </c>
      <c r="M713" s="6">
        <v>2660549.75</v>
      </c>
      <c r="N713" s="6">
        <v>3866292.25</v>
      </c>
      <c r="O713" s="6">
        <v>5879191</v>
      </c>
      <c r="P713" s="6">
        <v>10046.369140625</v>
      </c>
      <c r="Q713" s="6">
        <v>97641.5625</v>
      </c>
      <c r="R713" s="6">
        <v>7638002</v>
      </c>
      <c r="S713" s="6">
        <v>3679780</v>
      </c>
      <c r="T713" s="31">
        <f t="shared" si="157"/>
        <v>2486.3611369140626</v>
      </c>
      <c r="U713" s="37">
        <v>5469.666666666667</v>
      </c>
      <c r="V713">
        <f t="shared" si="158"/>
        <v>0.45457269856433585</v>
      </c>
      <c r="W713">
        <f t="shared" si="155"/>
        <v>5.5657511790189795E-2</v>
      </c>
      <c r="X713" s="29">
        <v>6332.0875000000015</v>
      </c>
      <c r="Y713">
        <f t="shared" si="159"/>
        <v>1.886967708269852E-2</v>
      </c>
      <c r="Z713">
        <f t="shared" si="148"/>
        <v>4.8641899262599785E-2</v>
      </c>
      <c r="AA713">
        <f t="shared" si="149"/>
        <v>7.068606709732464E-2</v>
      </c>
      <c r="AB713">
        <f t="shared" si="150"/>
        <v>0.10748718995673105</v>
      </c>
      <c r="AC713">
        <f t="shared" si="151"/>
        <v>1.836742484116948E-4</v>
      </c>
      <c r="AD713">
        <f t="shared" si="152"/>
        <v>1.785146489731245E-3</v>
      </c>
      <c r="AE713">
        <f t="shared" si="153"/>
        <v>0.13964291547321592</v>
      </c>
      <c r="AF713">
        <f t="shared" si="154"/>
        <v>6.7276128953623004E-2</v>
      </c>
      <c r="AG713">
        <f t="shared" si="160"/>
        <v>0.45457269856433585</v>
      </c>
      <c r="AH713">
        <v>0.3638457483341066</v>
      </c>
      <c r="AI713">
        <v>0.59488527724665397</v>
      </c>
      <c r="AJ713">
        <v>1.7213998304931335E-2</v>
      </c>
      <c r="AK713">
        <v>9.5093085482323321E-3</v>
      </c>
      <c r="AL713">
        <v>0.43424025684865608</v>
      </c>
    </row>
    <row r="714" spans="1:38" x14ac:dyDescent="0.25">
      <c r="A714">
        <v>23</v>
      </c>
      <c r="B714" s="5" t="s">
        <v>10</v>
      </c>
      <c r="C714" s="6" t="s">
        <v>5</v>
      </c>
      <c r="D714" s="6" t="s">
        <v>66</v>
      </c>
      <c r="E714" s="29">
        <v>60132.9</v>
      </c>
      <c r="F714" s="11">
        <v>31</v>
      </c>
      <c r="G714" s="11">
        <v>19</v>
      </c>
      <c r="H714" s="11">
        <f t="shared" si="156"/>
        <v>12</v>
      </c>
      <c r="I714" s="18">
        <v>1</v>
      </c>
      <c r="J714" s="19">
        <v>0.43841642228738997</v>
      </c>
      <c r="K714" s="19">
        <v>0.1</v>
      </c>
      <c r="L714" s="6">
        <v>1031219.0625</v>
      </c>
      <c r="M714" s="6">
        <v>2683248.25</v>
      </c>
      <c r="N714" s="6">
        <v>5864819</v>
      </c>
      <c r="O714" s="6">
        <v>6557998.5</v>
      </c>
      <c r="P714" s="6">
        <v>10051.1923828125</v>
      </c>
      <c r="Q714" s="6">
        <v>45568.98046875</v>
      </c>
      <c r="R714" s="6">
        <v>7707164</v>
      </c>
      <c r="S714" s="6">
        <v>3555686</v>
      </c>
      <c r="T714" s="31">
        <f t="shared" si="157"/>
        <v>2745.5754985351564</v>
      </c>
      <c r="U714" s="37">
        <v>5508.5555555555557</v>
      </c>
      <c r="V714">
        <f t="shared" si="158"/>
        <v>0.49842022483846155</v>
      </c>
      <c r="W714">
        <f t="shared" si="155"/>
        <v>9.6458776368682275E-2</v>
      </c>
      <c r="X714" s="29">
        <v>6625.6458333333358</v>
      </c>
      <c r="Y714">
        <f t="shared" si="159"/>
        <v>1.8720317006878189E-2</v>
      </c>
      <c r="Z714">
        <f t="shared" si="148"/>
        <v>4.8710559836214369E-2</v>
      </c>
      <c r="AA714">
        <f t="shared" si="149"/>
        <v>0.10646745668354277</v>
      </c>
      <c r="AB714">
        <f t="shared" si="150"/>
        <v>0.11905114569255905</v>
      </c>
      <c r="AC714">
        <f t="shared" si="151"/>
        <v>1.8246511778710389E-4</v>
      </c>
      <c r="AD714">
        <f t="shared" si="152"/>
        <v>8.2724009968079956E-4</v>
      </c>
      <c r="AE714">
        <f t="shared" si="153"/>
        <v>0.13991261270347136</v>
      </c>
      <c r="AF714">
        <f t="shared" si="154"/>
        <v>6.4548427698327845E-2</v>
      </c>
      <c r="AG714">
        <f t="shared" si="160"/>
        <v>0.49842022483846143</v>
      </c>
      <c r="AH714">
        <v>0.3638457483341066</v>
      </c>
      <c r="AI714">
        <v>0.59488527724665397</v>
      </c>
      <c r="AJ714">
        <v>1.7213998304931335E-2</v>
      </c>
      <c r="AK714">
        <v>9.5093085482323321E-3</v>
      </c>
      <c r="AL714">
        <v>0.43424025684865608</v>
      </c>
    </row>
    <row r="715" spans="1:38" x14ac:dyDescent="0.25">
      <c r="A715">
        <v>24</v>
      </c>
      <c r="B715" s="5" t="s">
        <v>30</v>
      </c>
      <c r="C715" s="6" t="s">
        <v>5</v>
      </c>
      <c r="D715" s="6" t="s">
        <v>36</v>
      </c>
      <c r="E715" s="28">
        <v>19586.422399999999</v>
      </c>
      <c r="F715" s="11">
        <v>1</v>
      </c>
      <c r="G715" s="11">
        <v>18</v>
      </c>
      <c r="H715" s="18">
        <f t="shared" si="156"/>
        <v>-17</v>
      </c>
      <c r="I715" s="18">
        <v>1</v>
      </c>
      <c r="J715" s="19">
        <v>0.64662756598240467</v>
      </c>
      <c r="K715" s="19">
        <v>1.3</v>
      </c>
      <c r="L715" s="14">
        <v>10390215</v>
      </c>
      <c r="M715" s="14">
        <v>1290896.25</v>
      </c>
      <c r="N715" s="14">
        <v>1414235.375</v>
      </c>
      <c r="O715" s="14">
        <v>2002080.5</v>
      </c>
      <c r="P715" s="14">
        <v>2326.06689453125</v>
      </c>
      <c r="Q715" s="14">
        <v>35919.1015625</v>
      </c>
      <c r="R715" s="14">
        <v>337973.875</v>
      </c>
      <c r="S715" s="14">
        <v>940191.8125</v>
      </c>
      <c r="T715" s="31">
        <f t="shared" si="157"/>
        <v>1641.383798095703</v>
      </c>
      <c r="U715" s="37"/>
      <c r="X715" s="28">
        <v>1554.9587499999998</v>
      </c>
      <c r="Y715" t="e">
        <f t="shared" si="159"/>
        <v>#DIV/0!</v>
      </c>
      <c r="Z715" t="e">
        <f t="shared" si="148"/>
        <v>#DIV/0!</v>
      </c>
      <c r="AA715" t="e">
        <f t="shared" si="149"/>
        <v>#DIV/0!</v>
      </c>
      <c r="AB715" t="e">
        <f t="shared" si="150"/>
        <v>#DIV/0!</v>
      </c>
      <c r="AC715" t="e">
        <f t="shared" si="151"/>
        <v>#DIV/0!</v>
      </c>
      <c r="AD715" t="e">
        <f t="shared" si="152"/>
        <v>#DIV/0!</v>
      </c>
      <c r="AE715" t="e">
        <f t="shared" si="153"/>
        <v>#DIV/0!</v>
      </c>
      <c r="AF715" t="e">
        <f t="shared" si="154"/>
        <v>#DIV/0!</v>
      </c>
      <c r="AG715" t="e">
        <f t="shared" si="160"/>
        <v>#DIV/0!</v>
      </c>
      <c r="AH715">
        <v>0.32429607971693697</v>
      </c>
      <c r="AI715">
        <v>0.54335410176531673</v>
      </c>
      <c r="AJ715">
        <v>2.1874059477907312E-2</v>
      </c>
      <c r="AK715">
        <v>6.1806437912826796E-3</v>
      </c>
      <c r="AL715">
        <v>0.35230527315693533</v>
      </c>
    </row>
    <row r="716" spans="1:38" x14ac:dyDescent="0.25">
      <c r="A716">
        <v>24</v>
      </c>
      <c r="B716" s="5" t="s">
        <v>30</v>
      </c>
      <c r="C716" s="6" t="s">
        <v>5</v>
      </c>
      <c r="D716" s="6" t="s">
        <v>37</v>
      </c>
      <c r="E716" s="28">
        <v>19586.422399999999</v>
      </c>
      <c r="F716" s="11">
        <v>2</v>
      </c>
      <c r="G716" s="11">
        <v>18</v>
      </c>
      <c r="H716" s="11">
        <f t="shared" si="156"/>
        <v>-16</v>
      </c>
      <c r="I716" s="18">
        <v>1</v>
      </c>
      <c r="J716" s="19">
        <v>0.64662756598240467</v>
      </c>
      <c r="K716" s="19">
        <v>1.3</v>
      </c>
      <c r="L716" s="6">
        <v>11285822</v>
      </c>
      <c r="M716" s="6">
        <v>1240304.125</v>
      </c>
      <c r="N716" s="6">
        <v>1414235.375</v>
      </c>
      <c r="O716" s="6">
        <v>1921833.125</v>
      </c>
      <c r="P716" s="6">
        <v>2326.06689453125</v>
      </c>
      <c r="Q716" s="6">
        <v>21807.634765625</v>
      </c>
      <c r="R716" s="6">
        <v>341926.0625</v>
      </c>
      <c r="S716" s="6">
        <v>925150.3125</v>
      </c>
      <c r="T716" s="31">
        <f t="shared" si="157"/>
        <v>1715.3404701660156</v>
      </c>
      <c r="U716" s="37">
        <v>1626</v>
      </c>
      <c r="V716">
        <f t="shared" si="158"/>
        <v>1.0549449386014855</v>
      </c>
      <c r="W716" t="e">
        <f>(V716-V715)/V715</f>
        <v>#DIV/0!</v>
      </c>
      <c r="X716" s="28">
        <v>1688.1412499999997</v>
      </c>
      <c r="Y716">
        <f t="shared" si="159"/>
        <v>0.69408499384993849</v>
      </c>
      <c r="Z716">
        <f t="shared" si="148"/>
        <v>7.6279466482164826E-2</v>
      </c>
      <c r="AA716">
        <f t="shared" si="149"/>
        <v>8.6976345325953261E-2</v>
      </c>
      <c r="AB716">
        <f t="shared" si="150"/>
        <v>0.11819391912669128</v>
      </c>
      <c r="AC716">
        <f t="shared" si="151"/>
        <v>1.4305454455911746E-4</v>
      </c>
      <c r="AD716">
        <f t="shared" si="152"/>
        <v>1.3411829499154367E-3</v>
      </c>
      <c r="AE716">
        <f t="shared" si="153"/>
        <v>2.1028663130381302E-2</v>
      </c>
      <c r="AF716">
        <f t="shared" si="154"/>
        <v>5.6897313191881918E-2</v>
      </c>
      <c r="AG716">
        <f t="shared" si="160"/>
        <v>1.0549449386014857</v>
      </c>
      <c r="AH716">
        <v>0.32429607971693697</v>
      </c>
      <c r="AI716">
        <v>0.54335410176531673</v>
      </c>
      <c r="AJ716">
        <v>2.1874059477907312E-2</v>
      </c>
      <c r="AK716">
        <v>6.1806437912826796E-3</v>
      </c>
      <c r="AL716">
        <v>0.35230527315693533</v>
      </c>
    </row>
    <row r="717" spans="1:38" x14ac:dyDescent="0.25">
      <c r="A717">
        <v>24</v>
      </c>
      <c r="B717" s="5" t="s">
        <v>30</v>
      </c>
      <c r="C717" s="6" t="s">
        <v>5</v>
      </c>
      <c r="D717" s="6" t="s">
        <v>38</v>
      </c>
      <c r="E717" s="28">
        <v>19586.422399999999</v>
      </c>
      <c r="F717" s="11">
        <v>3</v>
      </c>
      <c r="G717" s="11">
        <v>18</v>
      </c>
      <c r="H717" s="11">
        <f t="shared" si="156"/>
        <v>-15</v>
      </c>
      <c r="I717" s="18">
        <v>1</v>
      </c>
      <c r="J717" s="19">
        <v>0.64662756598240467</v>
      </c>
      <c r="K717" s="19">
        <v>1.3</v>
      </c>
      <c r="L717" s="6">
        <v>11281432</v>
      </c>
      <c r="M717" s="6">
        <v>1205460.125</v>
      </c>
      <c r="N717" s="6">
        <v>1414235.375</v>
      </c>
      <c r="O717" s="6">
        <v>1867012.375</v>
      </c>
      <c r="P717" s="6">
        <v>2326.06689453125</v>
      </c>
      <c r="Q717" s="6">
        <v>30450.33984375</v>
      </c>
      <c r="R717" s="6">
        <v>328788.96875</v>
      </c>
      <c r="S717" s="6">
        <v>932713.375</v>
      </c>
      <c r="T717" s="31">
        <f t="shared" si="157"/>
        <v>1706.2418625488281</v>
      </c>
      <c r="U717" s="37">
        <v>1662</v>
      </c>
      <c r="V717">
        <f t="shared" si="158"/>
        <v>1.0266196525564548</v>
      </c>
      <c r="W717">
        <f t="shared" ref="W717:W745" si="161">(V717-V716)/V716</f>
        <v>-2.6850013691312496E-2</v>
      </c>
      <c r="X717" s="28">
        <v>1821.3237499999996</v>
      </c>
      <c r="Y717">
        <f t="shared" si="159"/>
        <v>0.67878652226233449</v>
      </c>
      <c r="Z717">
        <f t="shared" si="148"/>
        <v>7.2530693441636582E-2</v>
      </c>
      <c r="AA717">
        <f t="shared" si="149"/>
        <v>8.5092381167268361E-2</v>
      </c>
      <c r="AB717">
        <f t="shared" si="150"/>
        <v>0.1123352812876053</v>
      </c>
      <c r="AC717">
        <f t="shared" si="151"/>
        <v>1.3995589016433513E-4</v>
      </c>
      <c r="AD717">
        <f t="shared" si="152"/>
        <v>1.8321504117779785E-3</v>
      </c>
      <c r="AE717">
        <f t="shared" si="153"/>
        <v>1.9782729768351385E-2</v>
      </c>
      <c r="AF717">
        <f t="shared" si="154"/>
        <v>5.6119938327316481E-2</v>
      </c>
      <c r="AG717">
        <f t="shared" si="160"/>
        <v>1.0266196525564548</v>
      </c>
      <c r="AH717">
        <v>0.32429607971693697</v>
      </c>
      <c r="AI717">
        <v>0.54335410176531673</v>
      </c>
      <c r="AJ717">
        <v>2.1874059477907312E-2</v>
      </c>
      <c r="AK717">
        <v>6.1806437912826796E-3</v>
      </c>
      <c r="AL717">
        <v>0.35230527315693533</v>
      </c>
    </row>
    <row r="718" spans="1:38" x14ac:dyDescent="0.25">
      <c r="A718">
        <v>24</v>
      </c>
      <c r="B718" s="5" t="s">
        <v>30</v>
      </c>
      <c r="C718" s="6" t="s">
        <v>5</v>
      </c>
      <c r="D718" s="6" t="s">
        <v>39</v>
      </c>
      <c r="E718" s="28">
        <v>19586.422399999999</v>
      </c>
      <c r="F718" s="11">
        <v>4</v>
      </c>
      <c r="G718" s="11">
        <v>18</v>
      </c>
      <c r="H718" s="11">
        <f t="shared" si="156"/>
        <v>-14</v>
      </c>
      <c r="I718" s="18">
        <v>1</v>
      </c>
      <c r="J718" s="19">
        <v>0.64662756598240467</v>
      </c>
      <c r="K718" s="19">
        <v>1.3</v>
      </c>
      <c r="L718" s="6">
        <v>10722409</v>
      </c>
      <c r="M718" s="6">
        <v>1257809.5</v>
      </c>
      <c r="N718" s="6">
        <v>1414235.375</v>
      </c>
      <c r="O718" s="6">
        <v>1948800.5</v>
      </c>
      <c r="P718" s="6">
        <v>2326.06689453125</v>
      </c>
      <c r="Q718" s="6">
        <v>83344.5859375</v>
      </c>
      <c r="R718" s="6">
        <v>324714.5625</v>
      </c>
      <c r="S718" s="6">
        <v>945730.0625</v>
      </c>
      <c r="T718" s="31">
        <f t="shared" si="157"/>
        <v>1669.9369652832031</v>
      </c>
      <c r="U718" s="37">
        <v>1748.6666666666667</v>
      </c>
      <c r="V718">
        <f t="shared" si="158"/>
        <v>0.95497729619702809</v>
      </c>
      <c r="W718">
        <f t="shared" si="161"/>
        <v>-6.9784711583326178E-2</v>
      </c>
      <c r="X718" s="28">
        <v>1954.5062499999995</v>
      </c>
      <c r="Y718">
        <f t="shared" si="159"/>
        <v>0.6131762676324819</v>
      </c>
      <c r="Z718">
        <f t="shared" si="148"/>
        <v>7.1929632100648108E-2</v>
      </c>
      <c r="AA718">
        <f t="shared" si="149"/>
        <v>8.0875069100266858E-2</v>
      </c>
      <c r="AB718">
        <f t="shared" si="150"/>
        <v>0.11144493900114373</v>
      </c>
      <c r="AC718">
        <f t="shared" si="151"/>
        <v>1.3301945641619806E-4</v>
      </c>
      <c r="AD718">
        <f t="shared" si="152"/>
        <v>4.7661791424418601E-3</v>
      </c>
      <c r="AE718">
        <f t="shared" si="153"/>
        <v>1.85692658692337E-2</v>
      </c>
      <c r="AF718">
        <f t="shared" si="154"/>
        <v>5.4082923894395729E-2</v>
      </c>
      <c r="AG718">
        <f t="shared" si="160"/>
        <v>0.95497729619702798</v>
      </c>
      <c r="AH718">
        <v>0.32429607971693697</v>
      </c>
      <c r="AI718">
        <v>0.54335410176531673</v>
      </c>
      <c r="AJ718">
        <v>2.1874059477907312E-2</v>
      </c>
      <c r="AK718">
        <v>6.1806437912826796E-3</v>
      </c>
      <c r="AL718">
        <v>0.35230527315693533</v>
      </c>
    </row>
    <row r="719" spans="1:38" x14ac:dyDescent="0.25">
      <c r="A719">
        <v>24</v>
      </c>
      <c r="B719" s="5" t="s">
        <v>30</v>
      </c>
      <c r="C719" s="6" t="s">
        <v>5</v>
      </c>
      <c r="D719" s="6" t="s">
        <v>40</v>
      </c>
      <c r="E719" s="28">
        <v>19586.422399999999</v>
      </c>
      <c r="F719" s="11">
        <v>5</v>
      </c>
      <c r="G719" s="11">
        <v>18</v>
      </c>
      <c r="H719" s="11">
        <f t="shared" si="156"/>
        <v>-13</v>
      </c>
      <c r="I719" s="18">
        <v>1</v>
      </c>
      <c r="J719" s="19">
        <v>0.64662756598240467</v>
      </c>
      <c r="K719" s="19">
        <v>1.3</v>
      </c>
      <c r="L719" s="6">
        <v>12150698</v>
      </c>
      <c r="M719" s="6">
        <v>1293822.75</v>
      </c>
      <c r="N719" s="6">
        <v>1414235.375</v>
      </c>
      <c r="O719" s="6">
        <v>2004989</v>
      </c>
      <c r="P719" s="6">
        <v>2326.06689453125</v>
      </c>
      <c r="Q719" s="6">
        <v>115029.921875</v>
      </c>
      <c r="R719" s="6">
        <v>342340.125</v>
      </c>
      <c r="S719" s="6">
        <v>972054.6875</v>
      </c>
      <c r="T719" s="31">
        <f t="shared" si="157"/>
        <v>1829.5495926269532</v>
      </c>
      <c r="U719" s="37">
        <v>1835.3333333333333</v>
      </c>
      <c r="V719">
        <f t="shared" si="158"/>
        <v>0.99684867015634937</v>
      </c>
      <c r="W719">
        <f t="shared" si="161"/>
        <v>4.3845413002030681E-2</v>
      </c>
      <c r="X719" s="28">
        <v>2087.6887499999993</v>
      </c>
      <c r="Y719">
        <f t="shared" si="159"/>
        <v>0.66204311660007265</v>
      </c>
      <c r="Z719">
        <f t="shared" si="148"/>
        <v>7.0495246095168912E-2</v>
      </c>
      <c r="AA719">
        <f t="shared" si="149"/>
        <v>7.7056050217944067E-2</v>
      </c>
      <c r="AB719">
        <f t="shared" si="150"/>
        <v>0.10924386124228115</v>
      </c>
      <c r="AC719">
        <f t="shared" si="151"/>
        <v>1.2673811630210224E-4</v>
      </c>
      <c r="AD719">
        <f t="shared" si="152"/>
        <v>6.2675220781874324E-3</v>
      </c>
      <c r="AE719">
        <f t="shared" si="153"/>
        <v>1.8652749273519797E-2</v>
      </c>
      <c r="AF719">
        <f t="shared" si="154"/>
        <v>5.2963386532873233E-2</v>
      </c>
      <c r="AG719">
        <f t="shared" si="160"/>
        <v>0.99684867015634937</v>
      </c>
      <c r="AH719">
        <v>0.32429607971693697</v>
      </c>
      <c r="AI719">
        <v>0.54335410176531673</v>
      </c>
      <c r="AJ719">
        <v>2.1874059477907312E-2</v>
      </c>
      <c r="AK719">
        <v>6.1806437912826796E-3</v>
      </c>
      <c r="AL719">
        <v>0.35230527315693533</v>
      </c>
    </row>
    <row r="720" spans="1:38" x14ac:dyDescent="0.25">
      <c r="A720">
        <v>24</v>
      </c>
      <c r="B720" s="5" t="s">
        <v>30</v>
      </c>
      <c r="C720" s="6" t="s">
        <v>5</v>
      </c>
      <c r="D720" s="6" t="s">
        <v>41</v>
      </c>
      <c r="E720" s="28">
        <v>19586.422399999999</v>
      </c>
      <c r="F720" s="11">
        <v>6</v>
      </c>
      <c r="G720" s="11">
        <v>18</v>
      </c>
      <c r="H720" s="11">
        <f t="shared" si="156"/>
        <v>-12</v>
      </c>
      <c r="I720" s="18">
        <v>1</v>
      </c>
      <c r="J720" s="19">
        <v>0.64662756598240467</v>
      </c>
      <c r="K720" s="19">
        <v>1.3</v>
      </c>
      <c r="L720" s="6">
        <v>12837037</v>
      </c>
      <c r="M720" s="6">
        <v>1288276.125</v>
      </c>
      <c r="N720" s="6">
        <v>1414235.375</v>
      </c>
      <c r="O720" s="6">
        <v>1998327</v>
      </c>
      <c r="P720" s="6">
        <v>2326.06689453125</v>
      </c>
      <c r="Q720" s="6">
        <v>76096.46875</v>
      </c>
      <c r="R720" s="6">
        <v>338815</v>
      </c>
      <c r="S720" s="6">
        <v>962257.5625</v>
      </c>
      <c r="T720" s="31">
        <f t="shared" si="157"/>
        <v>1891.7370598144532</v>
      </c>
      <c r="U720" s="37">
        <v>1922</v>
      </c>
      <c r="V720">
        <f t="shared" si="158"/>
        <v>0.98425445359753028</v>
      </c>
      <c r="W720">
        <f t="shared" si="161"/>
        <v>-1.2634030556356935E-2</v>
      </c>
      <c r="X720" s="28">
        <v>2220.8712499999992</v>
      </c>
      <c r="Y720">
        <f t="shared" si="159"/>
        <v>0.66789994797086361</v>
      </c>
      <c r="Z720">
        <f t="shared" si="148"/>
        <v>6.7027894120707601E-2</v>
      </c>
      <c r="AA720">
        <f t="shared" si="149"/>
        <v>7.3581445109261193E-2</v>
      </c>
      <c r="AB720">
        <f t="shared" si="150"/>
        <v>0.10397122788761706</v>
      </c>
      <c r="AC720">
        <f t="shared" si="151"/>
        <v>1.2102325153648543E-4</v>
      </c>
      <c r="AD720">
        <f t="shared" si="152"/>
        <v>3.9592335457856401E-3</v>
      </c>
      <c r="AE720">
        <f t="shared" si="153"/>
        <v>1.7628251821019771E-2</v>
      </c>
      <c r="AF720">
        <f t="shared" si="154"/>
        <v>5.0065429890738811E-2</v>
      </c>
      <c r="AG720">
        <f t="shared" si="160"/>
        <v>0.98425445359753028</v>
      </c>
      <c r="AH720">
        <v>0.32429607971693697</v>
      </c>
      <c r="AI720">
        <v>0.54335410176531673</v>
      </c>
      <c r="AJ720">
        <v>2.1874059477907312E-2</v>
      </c>
      <c r="AK720">
        <v>6.1806437912826796E-3</v>
      </c>
      <c r="AL720">
        <v>0.35230527315693533</v>
      </c>
    </row>
    <row r="721" spans="1:38" x14ac:dyDescent="0.25">
      <c r="A721">
        <v>24</v>
      </c>
      <c r="B721" s="5" t="s">
        <v>30</v>
      </c>
      <c r="C721" s="6" t="s">
        <v>5</v>
      </c>
      <c r="D721" s="6" t="s">
        <v>42</v>
      </c>
      <c r="E721" s="28">
        <v>19586.422399999999</v>
      </c>
      <c r="F721" s="11">
        <v>7</v>
      </c>
      <c r="G721" s="11">
        <v>18</v>
      </c>
      <c r="H721" s="11">
        <f t="shared" si="156"/>
        <v>-11</v>
      </c>
      <c r="I721" s="18">
        <v>1</v>
      </c>
      <c r="J721" s="19">
        <v>0.64662756598240467</v>
      </c>
      <c r="K721" s="19">
        <v>1.3</v>
      </c>
      <c r="L721" s="6">
        <v>15678980</v>
      </c>
      <c r="M721" s="6">
        <v>1299567</v>
      </c>
      <c r="N721" s="6">
        <v>1414914.25</v>
      </c>
      <c r="O721" s="6">
        <v>2016809.875</v>
      </c>
      <c r="P721" s="6">
        <v>2327.18359375</v>
      </c>
      <c r="Q721" s="6">
        <v>34975.734375</v>
      </c>
      <c r="R721" s="6">
        <v>338355.25</v>
      </c>
      <c r="S721" s="6">
        <v>934538.6875</v>
      </c>
      <c r="T721" s="31">
        <f t="shared" si="157"/>
        <v>2172.0467980468752</v>
      </c>
      <c r="U721" s="37">
        <v>2008.6666666666667</v>
      </c>
      <c r="V721">
        <f t="shared" si="158"/>
        <v>1.0813376027448764</v>
      </c>
      <c r="W721">
        <f t="shared" si="161"/>
        <v>9.8636230491515015E-2</v>
      </c>
      <c r="X721" s="28">
        <v>2354.0537499999991</v>
      </c>
      <c r="Y721">
        <f t="shared" si="159"/>
        <v>0.7805665449717889</v>
      </c>
      <c r="Z721">
        <f t="shared" si="148"/>
        <v>6.4697992034517079E-2</v>
      </c>
      <c r="AA721">
        <f t="shared" si="149"/>
        <v>7.0440470461334212E-2</v>
      </c>
      <c r="AB721">
        <f t="shared" si="150"/>
        <v>0.10040540366744109</v>
      </c>
      <c r="AC721">
        <f t="shared" si="151"/>
        <v>1.1585713211500166E-4</v>
      </c>
      <c r="AD721">
        <f t="shared" si="152"/>
        <v>1.7412413396116825E-3</v>
      </c>
      <c r="AE721">
        <f t="shared" si="153"/>
        <v>1.6844768503153001E-2</v>
      </c>
      <c r="AF721">
        <f t="shared" si="154"/>
        <v>4.6525324634915363E-2</v>
      </c>
      <c r="AG721">
        <f t="shared" si="160"/>
        <v>1.081337602744876</v>
      </c>
      <c r="AH721">
        <v>0.32429607971693697</v>
      </c>
      <c r="AI721">
        <v>0.54335410176531673</v>
      </c>
      <c r="AJ721">
        <v>2.1874059477907312E-2</v>
      </c>
      <c r="AK721">
        <v>6.1806437912826796E-3</v>
      </c>
      <c r="AL721">
        <v>0.35230527315693533</v>
      </c>
    </row>
    <row r="722" spans="1:38" x14ac:dyDescent="0.25">
      <c r="A722">
        <v>24</v>
      </c>
      <c r="B722" s="5" t="s">
        <v>30</v>
      </c>
      <c r="C722" s="6" t="s">
        <v>5</v>
      </c>
      <c r="D722" s="6" t="s">
        <v>43</v>
      </c>
      <c r="E722" s="28">
        <v>20164.599999999999</v>
      </c>
      <c r="F722" s="11">
        <v>8</v>
      </c>
      <c r="G722" s="11">
        <v>18</v>
      </c>
      <c r="H722" s="18">
        <f t="shared" si="156"/>
        <v>-10</v>
      </c>
      <c r="I722" s="18">
        <v>1</v>
      </c>
      <c r="J722" s="19">
        <v>0.64662756598240467</v>
      </c>
      <c r="K722" s="19">
        <v>1.3</v>
      </c>
      <c r="L722" s="14">
        <v>11040740</v>
      </c>
      <c r="M722" s="14">
        <v>1217161</v>
      </c>
      <c r="N722" s="14">
        <v>1385537</v>
      </c>
      <c r="O722" s="14">
        <v>1958345.875</v>
      </c>
      <c r="P722" s="14">
        <v>2379.08203125</v>
      </c>
      <c r="Q722" s="14">
        <v>18552.484375</v>
      </c>
      <c r="R722" s="14">
        <v>357902.25</v>
      </c>
      <c r="S722" s="14">
        <v>837159.875</v>
      </c>
      <c r="T722" s="31">
        <f t="shared" si="157"/>
        <v>1681.7777566406251</v>
      </c>
      <c r="U722" s="37">
        <v>1623.6666666666667</v>
      </c>
      <c r="V722">
        <f t="shared" si="158"/>
        <v>1.0357900369373589</v>
      </c>
      <c r="W722">
        <f t="shared" si="161"/>
        <v>-4.2121503674614834E-2</v>
      </c>
      <c r="X722" s="28">
        <v>1414.6249999999989</v>
      </c>
      <c r="Y722">
        <f t="shared" si="159"/>
        <v>0.67998809279408745</v>
      </c>
      <c r="Z722">
        <f t="shared" ref="Z722:Z785" si="162">M722/$U722/10000</f>
        <v>7.4963724081297464E-2</v>
      </c>
      <c r="AA722">
        <f t="shared" ref="AA722:AA785" si="163">N722/$U722/10000</f>
        <v>8.5333832888523906E-2</v>
      </c>
      <c r="AB722">
        <f t="shared" ref="AB722:AB785" si="164">O722/$U722/10000</f>
        <v>0.12061255645657976</v>
      </c>
      <c r="AC722">
        <f t="shared" ref="AC722:AC785" si="165">P722/$U722/10000</f>
        <v>1.4652527394272224E-4</v>
      </c>
      <c r="AD722">
        <f t="shared" ref="AD722:AD785" si="166">Q722/$U722/10000</f>
        <v>1.1426288878053788E-3</v>
      </c>
      <c r="AE722">
        <f t="shared" ref="AE722:AE785" si="167">R722/$U722/10000</f>
        <v>2.204284027920345E-2</v>
      </c>
      <c r="AF722">
        <f t="shared" ref="AF722:AF785" si="168">S722/$U722/10000</f>
        <v>5.1559836275918702E-2</v>
      </c>
      <c r="AG722">
        <f t="shared" si="160"/>
        <v>1.0357900369373589</v>
      </c>
      <c r="AH722">
        <v>0.31543893754401281</v>
      </c>
      <c r="AI722">
        <v>0.54823651452282163</v>
      </c>
      <c r="AJ722">
        <v>2.1896773973730684E-2</v>
      </c>
      <c r="AK722">
        <v>6.5337720559792917E-3</v>
      </c>
      <c r="AL722">
        <v>0.3223882994722595</v>
      </c>
    </row>
    <row r="723" spans="1:38" x14ac:dyDescent="0.25">
      <c r="A723">
        <v>24</v>
      </c>
      <c r="B723" s="5" t="s">
        <v>30</v>
      </c>
      <c r="C723" s="6" t="s">
        <v>5</v>
      </c>
      <c r="D723" s="6" t="s">
        <v>44</v>
      </c>
      <c r="E723" s="28">
        <v>20164.599999999999</v>
      </c>
      <c r="F723" s="11">
        <v>9</v>
      </c>
      <c r="G723" s="11">
        <v>18</v>
      </c>
      <c r="H723" s="11">
        <f t="shared" si="156"/>
        <v>-9</v>
      </c>
      <c r="I723" s="18">
        <v>1</v>
      </c>
      <c r="J723" s="19">
        <v>0.64662756598240467</v>
      </c>
      <c r="K723" s="19">
        <v>1.3</v>
      </c>
      <c r="L723" s="6">
        <v>10986032</v>
      </c>
      <c r="M723" s="6">
        <v>1193742.375</v>
      </c>
      <c r="N723" s="6">
        <v>1385537</v>
      </c>
      <c r="O723" s="6">
        <v>1918512.875</v>
      </c>
      <c r="P723" s="6">
        <v>2379.08203125</v>
      </c>
      <c r="Q723" s="6">
        <v>26400.32421875</v>
      </c>
      <c r="R723" s="6">
        <v>344328.96875</v>
      </c>
      <c r="S723" s="6">
        <v>846692.8125</v>
      </c>
      <c r="T723" s="31">
        <f t="shared" si="157"/>
        <v>1670.36254375</v>
      </c>
      <c r="U723" s="37">
        <v>1643.6666666666667</v>
      </c>
      <c r="V723">
        <f t="shared" si="158"/>
        <v>1.016241661174204</v>
      </c>
      <c r="W723">
        <f t="shared" si="161"/>
        <v>-1.8872913492155124E-2</v>
      </c>
      <c r="X723" s="28">
        <v>1460.6083333333324</v>
      </c>
      <c r="Y723">
        <f t="shared" si="159"/>
        <v>0.66838564185763538</v>
      </c>
      <c r="Z723">
        <f t="shared" si="162"/>
        <v>7.262679223281282E-2</v>
      </c>
      <c r="AA723">
        <f t="shared" si="163"/>
        <v>8.429549787061448E-2</v>
      </c>
      <c r="AB723">
        <f t="shared" si="164"/>
        <v>0.11672152960859866</v>
      </c>
      <c r="AC723">
        <f t="shared" si="165"/>
        <v>1.4474236653315756E-4</v>
      </c>
      <c r="AD723">
        <f t="shared" si="166"/>
        <v>1.6061848034120867E-3</v>
      </c>
      <c r="AE723">
        <f t="shared" si="167"/>
        <v>2.0948832006692352E-2</v>
      </c>
      <c r="AF723">
        <f t="shared" si="168"/>
        <v>5.1512440427905086E-2</v>
      </c>
      <c r="AG723">
        <f t="shared" si="160"/>
        <v>1.0162416611742042</v>
      </c>
      <c r="AH723">
        <v>0.31543893754401281</v>
      </c>
      <c r="AI723">
        <v>0.54823651452282163</v>
      </c>
      <c r="AJ723">
        <v>2.1896773973730684E-2</v>
      </c>
      <c r="AK723">
        <v>6.5337720559792917E-3</v>
      </c>
      <c r="AL723">
        <v>0.3223882994722595</v>
      </c>
    </row>
    <row r="724" spans="1:38" x14ac:dyDescent="0.25">
      <c r="A724">
        <v>24</v>
      </c>
      <c r="B724" s="5" t="s">
        <v>30</v>
      </c>
      <c r="C724" s="6" t="s">
        <v>5</v>
      </c>
      <c r="D724" s="6" t="s">
        <v>45</v>
      </c>
      <c r="E724" s="28">
        <v>20164.599999999999</v>
      </c>
      <c r="F724" s="11">
        <v>10</v>
      </c>
      <c r="G724" s="11">
        <v>18</v>
      </c>
      <c r="H724" s="11">
        <f t="shared" si="156"/>
        <v>-8</v>
      </c>
      <c r="I724" s="18">
        <v>1</v>
      </c>
      <c r="J724" s="19">
        <v>0.64662756598240467</v>
      </c>
      <c r="K724" s="19">
        <v>1.3</v>
      </c>
      <c r="L724" s="6">
        <v>12497166</v>
      </c>
      <c r="M724" s="6">
        <v>1239182.25</v>
      </c>
      <c r="N724" s="6">
        <v>1385537</v>
      </c>
      <c r="O724" s="6">
        <v>1992219.75</v>
      </c>
      <c r="P724" s="6">
        <v>2379.08203125</v>
      </c>
      <c r="Q724" s="6">
        <v>77139.6328125</v>
      </c>
      <c r="R724" s="6">
        <v>339992.6875</v>
      </c>
      <c r="S724" s="6">
        <v>861962.5</v>
      </c>
      <c r="T724" s="31">
        <f t="shared" si="157"/>
        <v>1839.557890234375</v>
      </c>
      <c r="U724" s="37">
        <v>1663.6666666666667</v>
      </c>
      <c r="V724">
        <f t="shared" si="158"/>
        <v>1.105725039211205</v>
      </c>
      <c r="W724">
        <f t="shared" si="161"/>
        <v>8.8053247033396106E-2</v>
      </c>
      <c r="X724" s="28">
        <v>1506.591666666666</v>
      </c>
      <c r="Y724">
        <f t="shared" si="159"/>
        <v>0.75118208775796425</v>
      </c>
      <c r="Z724">
        <f t="shared" si="162"/>
        <v>7.4485008014425966E-2</v>
      </c>
      <c r="AA724">
        <f t="shared" si="163"/>
        <v>8.3282127830094171E-2</v>
      </c>
      <c r="AB724">
        <f t="shared" si="164"/>
        <v>0.11974873271889401</v>
      </c>
      <c r="AC724">
        <f t="shared" si="165"/>
        <v>1.4300232606191142E-4</v>
      </c>
      <c r="AD724">
        <f t="shared" si="166"/>
        <v>4.6367240720797433E-3</v>
      </c>
      <c r="AE724">
        <f t="shared" si="167"/>
        <v>2.0436346674013221E-2</v>
      </c>
      <c r="AF724">
        <f t="shared" si="168"/>
        <v>5.181100981767181E-2</v>
      </c>
      <c r="AG724">
        <f t="shared" si="160"/>
        <v>1.105725039211205</v>
      </c>
      <c r="AH724">
        <v>0.31543893754401281</v>
      </c>
      <c r="AI724">
        <v>0.54823651452282163</v>
      </c>
      <c r="AJ724">
        <v>2.1896773973730684E-2</v>
      </c>
      <c r="AK724">
        <v>6.5337720559792917E-3</v>
      </c>
      <c r="AL724">
        <v>0.3223882994722595</v>
      </c>
    </row>
    <row r="725" spans="1:38" x14ac:dyDescent="0.25">
      <c r="A725">
        <v>24</v>
      </c>
      <c r="B725" s="5" t="s">
        <v>30</v>
      </c>
      <c r="C725" s="6" t="s">
        <v>5</v>
      </c>
      <c r="D725" s="6" t="s">
        <v>46</v>
      </c>
      <c r="E725" s="28">
        <v>20164.599999999999</v>
      </c>
      <c r="F725" s="11">
        <v>11</v>
      </c>
      <c r="G725" s="11">
        <v>18</v>
      </c>
      <c r="H725" s="11">
        <f t="shared" si="156"/>
        <v>-7</v>
      </c>
      <c r="I725" s="18">
        <v>1</v>
      </c>
      <c r="J725" s="19">
        <v>0.64662756598240467</v>
      </c>
      <c r="K725" s="19">
        <v>1.3</v>
      </c>
      <c r="L725" s="6">
        <v>11303932</v>
      </c>
      <c r="M725" s="6">
        <v>1258950.875</v>
      </c>
      <c r="N725" s="6">
        <v>1385537</v>
      </c>
      <c r="O725" s="6">
        <v>2024537</v>
      </c>
      <c r="P725" s="6">
        <v>2379.08203125</v>
      </c>
      <c r="Q725" s="6">
        <v>106241.3203125</v>
      </c>
      <c r="R725" s="6">
        <v>357952.25</v>
      </c>
      <c r="S725" s="6">
        <v>887233.3125</v>
      </c>
      <c r="T725" s="31">
        <f t="shared" si="157"/>
        <v>1732.676283984375</v>
      </c>
      <c r="U725" s="37">
        <v>1683.6666666666667</v>
      </c>
      <c r="V725">
        <f t="shared" si="158"/>
        <v>1.0291088600184368</v>
      </c>
      <c r="W725">
        <f t="shared" si="161"/>
        <v>-6.9290444256760383E-2</v>
      </c>
      <c r="X725" s="28">
        <v>1552.5749999999996</v>
      </c>
      <c r="Y725">
        <f t="shared" si="159"/>
        <v>0.6713877647990496</v>
      </c>
      <c r="Z725">
        <f t="shared" si="162"/>
        <v>7.4774354088299341E-2</v>
      </c>
      <c r="AA725">
        <f t="shared" si="163"/>
        <v>8.2292833102355967E-2</v>
      </c>
      <c r="AB725">
        <f t="shared" si="164"/>
        <v>0.12024571372005544</v>
      </c>
      <c r="AC725">
        <f t="shared" si="165"/>
        <v>1.4130362490100969E-4</v>
      </c>
      <c r="AD725">
        <f t="shared" si="166"/>
        <v>6.3101160351910508E-3</v>
      </c>
      <c r="AE725">
        <f t="shared" si="167"/>
        <v>2.126028014254603E-2</v>
      </c>
      <c r="AF725">
        <f t="shared" si="168"/>
        <v>5.2696494506038402E-2</v>
      </c>
      <c r="AG725">
        <f t="shared" si="160"/>
        <v>1.0291088600184368</v>
      </c>
      <c r="AH725">
        <v>0.31543893754401281</v>
      </c>
      <c r="AI725">
        <v>0.54823651452282163</v>
      </c>
      <c r="AJ725">
        <v>2.1896773973730684E-2</v>
      </c>
      <c r="AK725">
        <v>6.5337720559792917E-3</v>
      </c>
      <c r="AL725">
        <v>0.3223882994722595</v>
      </c>
    </row>
    <row r="726" spans="1:38" x14ac:dyDescent="0.25">
      <c r="A726">
        <v>24</v>
      </c>
      <c r="B726" s="5" t="s">
        <v>30</v>
      </c>
      <c r="C726" s="6" t="s">
        <v>5</v>
      </c>
      <c r="D726" s="6" t="s">
        <v>47</v>
      </c>
      <c r="E726" s="28">
        <v>20164.599999999999</v>
      </c>
      <c r="F726" s="11">
        <v>12</v>
      </c>
      <c r="G726" s="11">
        <v>18</v>
      </c>
      <c r="H726" s="11">
        <f t="shared" si="156"/>
        <v>-6</v>
      </c>
      <c r="I726" s="18">
        <v>1</v>
      </c>
      <c r="J726" s="19">
        <v>0.64662756598240467</v>
      </c>
      <c r="K726" s="19">
        <v>1.3</v>
      </c>
      <c r="L726" s="6">
        <v>11230002</v>
      </c>
      <c r="M726" s="6">
        <v>1245139.375</v>
      </c>
      <c r="N726" s="6">
        <v>1385537</v>
      </c>
      <c r="O726" s="6">
        <v>2003574</v>
      </c>
      <c r="P726" s="6">
        <v>2379.08203125</v>
      </c>
      <c r="Q726" s="6">
        <v>69728.1953125</v>
      </c>
      <c r="R726" s="6">
        <v>354135.90625</v>
      </c>
      <c r="S726" s="6">
        <v>881628.375</v>
      </c>
      <c r="T726" s="31">
        <f t="shared" si="157"/>
        <v>1717.212393359375</v>
      </c>
      <c r="U726" s="37">
        <v>1703.6666666666667</v>
      </c>
      <c r="V726">
        <f t="shared" si="158"/>
        <v>1.0079509254701868</v>
      </c>
      <c r="W726">
        <f t="shared" si="161"/>
        <v>-2.055947176265778E-2</v>
      </c>
      <c r="X726" s="28">
        <v>1598.5583333333332</v>
      </c>
      <c r="Y726">
        <f t="shared" si="159"/>
        <v>0.65916662101350032</v>
      </c>
      <c r="Z726">
        <f t="shared" si="162"/>
        <v>7.3085856486010556E-2</v>
      </c>
      <c r="AA726">
        <f t="shared" si="163"/>
        <v>8.1326765799256504E-2</v>
      </c>
      <c r="AB726">
        <f t="shared" si="164"/>
        <v>0.11760363920954803</v>
      </c>
      <c r="AC726">
        <f t="shared" si="165"/>
        <v>1.3964480715613383E-4</v>
      </c>
      <c r="AD726">
        <f t="shared" si="166"/>
        <v>4.0928308733613776E-3</v>
      </c>
      <c r="AE726">
        <f t="shared" si="167"/>
        <v>2.0786689860105654E-2</v>
      </c>
      <c r="AF726">
        <f t="shared" si="168"/>
        <v>5.1748877421248292E-2</v>
      </c>
      <c r="AG726">
        <f t="shared" si="160"/>
        <v>1.0079509254701868</v>
      </c>
      <c r="AH726">
        <v>0.31543893754401281</v>
      </c>
      <c r="AI726">
        <v>0.54823651452282163</v>
      </c>
      <c r="AJ726">
        <v>2.1896773973730684E-2</v>
      </c>
      <c r="AK726">
        <v>6.5337720559792917E-3</v>
      </c>
      <c r="AL726">
        <v>0.3223882994722595</v>
      </c>
    </row>
    <row r="727" spans="1:38" x14ac:dyDescent="0.25">
      <c r="A727">
        <v>24</v>
      </c>
      <c r="B727" s="5" t="s">
        <v>30</v>
      </c>
      <c r="C727" s="6" t="s">
        <v>5</v>
      </c>
      <c r="D727" s="6" t="s">
        <v>48</v>
      </c>
      <c r="E727" s="28">
        <v>20164.599999999999</v>
      </c>
      <c r="F727" s="11">
        <v>13</v>
      </c>
      <c r="G727" s="11">
        <v>18</v>
      </c>
      <c r="H727" s="11">
        <f t="shared" si="156"/>
        <v>-5</v>
      </c>
      <c r="I727" s="18">
        <v>1</v>
      </c>
      <c r="J727" s="19">
        <v>0.64662756598240467</v>
      </c>
      <c r="K727" s="19">
        <v>1.3</v>
      </c>
      <c r="L727" s="6">
        <v>11763778</v>
      </c>
      <c r="M727" s="6">
        <v>1251754</v>
      </c>
      <c r="N727" s="6">
        <v>1385537</v>
      </c>
      <c r="O727" s="6">
        <v>2014563.875</v>
      </c>
      <c r="P727" s="6">
        <v>2379.08203125</v>
      </c>
      <c r="Q727" s="6">
        <v>34436.05078125</v>
      </c>
      <c r="R727" s="6">
        <v>353419.65625</v>
      </c>
      <c r="S727" s="6">
        <v>859842.625</v>
      </c>
      <c r="T727" s="31">
        <f t="shared" si="157"/>
        <v>1766.5710289062499</v>
      </c>
      <c r="U727" s="37">
        <v>1696.7777777777781</v>
      </c>
      <c r="V727">
        <f t="shared" si="158"/>
        <v>1.0411328177693828</v>
      </c>
      <c r="W727">
        <f t="shared" si="161"/>
        <v>3.2920146666582377E-2</v>
      </c>
      <c r="X727" s="28">
        <v>1644.5416666666667</v>
      </c>
      <c r="Y727">
        <f t="shared" si="159"/>
        <v>0.69330104118918201</v>
      </c>
      <c r="Z727">
        <f t="shared" si="162"/>
        <v>7.3772418309213522E-2</v>
      </c>
      <c r="AA727">
        <f t="shared" si="163"/>
        <v>8.165695108375351E-2</v>
      </c>
      <c r="AB727">
        <f t="shared" si="164"/>
        <v>0.11872879886713376</v>
      </c>
      <c r="AC727">
        <f t="shared" si="165"/>
        <v>1.4021176269563221E-4</v>
      </c>
      <c r="AD727">
        <f t="shared" si="166"/>
        <v>2.0294968046051334E-3</v>
      </c>
      <c r="AE727">
        <f t="shared" si="167"/>
        <v>2.0828871103726013E-2</v>
      </c>
      <c r="AF727">
        <f t="shared" si="168"/>
        <v>5.0675028649073396E-2</v>
      </c>
      <c r="AG727">
        <f t="shared" si="160"/>
        <v>1.041132817769383</v>
      </c>
      <c r="AH727">
        <v>0.31543893754401281</v>
      </c>
      <c r="AI727">
        <v>0.54823651452282163</v>
      </c>
      <c r="AJ727">
        <v>2.1896773973730684E-2</v>
      </c>
      <c r="AK727">
        <v>6.5337720559792917E-3</v>
      </c>
      <c r="AL727">
        <v>0.3223882994722595</v>
      </c>
    </row>
    <row r="728" spans="1:38" s="20" customFormat="1" x14ac:dyDescent="0.25">
      <c r="A728">
        <v>24</v>
      </c>
      <c r="B728" s="5" t="s">
        <v>30</v>
      </c>
      <c r="C728" s="6" t="s">
        <v>5</v>
      </c>
      <c r="D728" s="6" t="s">
        <v>49</v>
      </c>
      <c r="E728" s="28">
        <v>20164.599999999999</v>
      </c>
      <c r="F728" s="11">
        <v>14</v>
      </c>
      <c r="G728" s="11">
        <v>18</v>
      </c>
      <c r="H728" s="11">
        <f t="shared" si="156"/>
        <v>-4</v>
      </c>
      <c r="I728" s="18">
        <v>1</v>
      </c>
      <c r="J728" s="19">
        <v>0.64662756598240467</v>
      </c>
      <c r="K728" s="19">
        <v>1.3</v>
      </c>
      <c r="L728" s="6">
        <v>13232033</v>
      </c>
      <c r="M728" s="6">
        <v>1202758.125</v>
      </c>
      <c r="N728" s="6">
        <v>1385537</v>
      </c>
      <c r="O728" s="6">
        <v>1933848.875</v>
      </c>
      <c r="P728" s="6">
        <v>2379.08203125</v>
      </c>
      <c r="Q728" s="6">
        <v>20935.63671875</v>
      </c>
      <c r="R728" s="6">
        <v>357485.5</v>
      </c>
      <c r="S728" s="6">
        <v>845445.6875</v>
      </c>
      <c r="T728" s="31">
        <f t="shared" si="157"/>
        <v>1898.0422906250001</v>
      </c>
      <c r="U728" s="37">
        <v>1689.8888888888889</v>
      </c>
      <c r="V728">
        <f t="shared" si="158"/>
        <v>1.123175791677625</v>
      </c>
      <c r="W728">
        <f t="shared" si="161"/>
        <v>7.8801640393987876E-2</v>
      </c>
      <c r="X728" s="28">
        <v>1690.5250000000003</v>
      </c>
      <c r="Y728">
        <f t="shared" si="159"/>
        <v>0.78301201262410414</v>
      </c>
      <c r="Z728">
        <f t="shared" si="162"/>
        <v>7.1173799230718662E-2</v>
      </c>
      <c r="AA728">
        <f t="shared" si="163"/>
        <v>8.1989828391084221E-2</v>
      </c>
      <c r="AB728">
        <f t="shared" si="164"/>
        <v>0.11443645127884804</v>
      </c>
      <c r="AC728">
        <f t="shared" si="165"/>
        <v>1.4078334066177921E-4</v>
      </c>
      <c r="AD728">
        <f t="shared" si="166"/>
        <v>1.2388765235633507E-3</v>
      </c>
      <c r="AE728">
        <f t="shared" si="167"/>
        <v>2.1154378986126637E-2</v>
      </c>
      <c r="AF728">
        <f t="shared" si="168"/>
        <v>5.002966130251825E-2</v>
      </c>
      <c r="AG728">
        <f t="shared" si="160"/>
        <v>1.1231757916776248</v>
      </c>
      <c r="AH728" s="20">
        <v>0.31543893754401281</v>
      </c>
      <c r="AI728" s="20">
        <v>0.54823651452282163</v>
      </c>
      <c r="AJ728" s="20">
        <v>2.1896773973730684E-2</v>
      </c>
      <c r="AK728" s="20">
        <v>6.5337720559792917E-3</v>
      </c>
      <c r="AL728" s="20">
        <v>0.3223882994722595</v>
      </c>
    </row>
    <row r="729" spans="1:38" x14ac:dyDescent="0.25">
      <c r="A729">
        <v>24</v>
      </c>
      <c r="B729" s="5" t="s">
        <v>30</v>
      </c>
      <c r="C729" s="6" t="s">
        <v>5</v>
      </c>
      <c r="D729" s="6" t="s">
        <v>50</v>
      </c>
      <c r="E729" s="28">
        <v>20164.599999999999</v>
      </c>
      <c r="F729" s="11">
        <v>15</v>
      </c>
      <c r="G729" s="11">
        <v>18</v>
      </c>
      <c r="H729" s="11">
        <f t="shared" si="156"/>
        <v>-3</v>
      </c>
      <c r="I729" s="18">
        <v>1</v>
      </c>
      <c r="J729" s="19">
        <v>0.64662756598240467</v>
      </c>
      <c r="K729" s="19">
        <v>1.3</v>
      </c>
      <c r="L729" s="6">
        <v>14080752</v>
      </c>
      <c r="M729" s="6">
        <v>1169017.625</v>
      </c>
      <c r="N729" s="6">
        <v>1385537</v>
      </c>
      <c r="O729" s="6">
        <v>1878728.875</v>
      </c>
      <c r="P729" s="6">
        <v>2379.08203125</v>
      </c>
      <c r="Q729" s="6">
        <v>29225.880859375</v>
      </c>
      <c r="R729" s="6">
        <v>343971.1875</v>
      </c>
      <c r="S729" s="6">
        <v>852684.625</v>
      </c>
      <c r="T729" s="31">
        <f t="shared" si="157"/>
        <v>1974.2296275390624</v>
      </c>
      <c r="U729" s="37">
        <v>1683</v>
      </c>
      <c r="V729">
        <f t="shared" si="158"/>
        <v>1.1730419652638517</v>
      </c>
      <c r="W729">
        <f t="shared" si="161"/>
        <v>4.4397478966088089E-2</v>
      </c>
      <c r="X729" s="28">
        <v>1736.5083333333339</v>
      </c>
      <c r="Y729">
        <f t="shared" si="159"/>
        <v>0.83664598930481282</v>
      </c>
      <c r="Z729">
        <f t="shared" si="162"/>
        <v>6.9460346108140225E-2</v>
      </c>
      <c r="AA729">
        <f t="shared" si="163"/>
        <v>8.2325430778371955E-2</v>
      </c>
      <c r="AB729">
        <f t="shared" si="164"/>
        <v>0.11162976084373143</v>
      </c>
      <c r="AC729">
        <f t="shared" si="165"/>
        <v>1.4135959781639928E-4</v>
      </c>
      <c r="AD729">
        <f t="shared" si="166"/>
        <v>1.7365348104203804E-3</v>
      </c>
      <c r="AE729">
        <f t="shared" si="167"/>
        <v>2.0437979055258466E-2</v>
      </c>
      <c r="AF729">
        <f t="shared" si="168"/>
        <v>5.0664564765300062E-2</v>
      </c>
      <c r="AG729">
        <f t="shared" si="160"/>
        <v>1.1730419652638517</v>
      </c>
      <c r="AH729">
        <v>0.31543893754401281</v>
      </c>
      <c r="AI729">
        <v>0.54823651452282163</v>
      </c>
      <c r="AJ729">
        <v>2.1896773973730684E-2</v>
      </c>
      <c r="AK729">
        <v>6.5337720559792917E-3</v>
      </c>
      <c r="AL729">
        <v>0.3223882994722595</v>
      </c>
    </row>
    <row r="730" spans="1:38" x14ac:dyDescent="0.25">
      <c r="A730">
        <v>24</v>
      </c>
      <c r="B730" s="5" t="s">
        <v>30</v>
      </c>
      <c r="C730" s="6" t="s">
        <v>5</v>
      </c>
      <c r="D730" s="6" t="s">
        <v>51</v>
      </c>
      <c r="E730" s="28">
        <v>20164.599999999999</v>
      </c>
      <c r="F730" s="11">
        <v>16</v>
      </c>
      <c r="G730" s="11">
        <v>18</v>
      </c>
      <c r="H730" s="11">
        <f t="shared" si="156"/>
        <v>-2</v>
      </c>
      <c r="I730" s="18">
        <v>1</v>
      </c>
      <c r="J730" s="19">
        <v>0.64662756598240467</v>
      </c>
      <c r="K730" s="19">
        <v>1.3</v>
      </c>
      <c r="L730" s="6">
        <v>12293119</v>
      </c>
      <c r="M730" s="6">
        <v>1219741.875</v>
      </c>
      <c r="N730" s="6">
        <v>1385537</v>
      </c>
      <c r="O730" s="6">
        <v>1960998.125</v>
      </c>
      <c r="P730" s="6">
        <v>2379.08203125</v>
      </c>
      <c r="Q730" s="6">
        <v>79916.21875</v>
      </c>
      <c r="R730" s="6">
        <v>339780.4375</v>
      </c>
      <c r="S730" s="6">
        <v>865143.5625</v>
      </c>
      <c r="T730" s="31">
        <f t="shared" si="157"/>
        <v>1814.661530078125</v>
      </c>
      <c r="U730" s="37">
        <v>1731.8888888888889</v>
      </c>
      <c r="V730">
        <f t="shared" si="158"/>
        <v>1.0477932745687513</v>
      </c>
      <c r="W730">
        <f t="shared" si="161"/>
        <v>-0.10677255750771743</v>
      </c>
      <c r="X730" s="28">
        <v>1782.4916666666675</v>
      </c>
      <c r="Y730">
        <f t="shared" si="159"/>
        <v>0.70980991210624234</v>
      </c>
      <c r="Z730">
        <f t="shared" si="162"/>
        <v>7.0428413902611148E-2</v>
      </c>
      <c r="AA730">
        <f t="shared" si="163"/>
        <v>8.0001494835439793E-2</v>
      </c>
      <c r="AB730">
        <f t="shared" si="164"/>
        <v>0.11322886459870403</v>
      </c>
      <c r="AC730">
        <f t="shared" si="165"/>
        <v>1.3736920691120806E-4</v>
      </c>
      <c r="AD730">
        <f t="shared" si="166"/>
        <v>4.6143964120741645E-3</v>
      </c>
      <c r="AE730">
        <f t="shared" si="167"/>
        <v>1.9619066770385579E-2</v>
      </c>
      <c r="AF730">
        <f t="shared" si="168"/>
        <v>4.995375673638288E-2</v>
      </c>
      <c r="AG730">
        <f t="shared" si="160"/>
        <v>1.0477932745687513</v>
      </c>
      <c r="AH730">
        <v>0.31543893754401281</v>
      </c>
      <c r="AI730">
        <v>0.54823651452282163</v>
      </c>
      <c r="AJ730">
        <v>2.1896773973730684E-2</v>
      </c>
      <c r="AK730">
        <v>6.5337720559792917E-3</v>
      </c>
      <c r="AL730">
        <v>0.3223882994722595</v>
      </c>
    </row>
    <row r="731" spans="1:38" x14ac:dyDescent="0.25">
      <c r="A731">
        <v>24</v>
      </c>
      <c r="B731" s="5" t="s">
        <v>30</v>
      </c>
      <c r="C731" s="6" t="s">
        <v>5</v>
      </c>
      <c r="D731" s="6" t="s">
        <v>52</v>
      </c>
      <c r="E731" s="28">
        <v>20164.599999999999</v>
      </c>
      <c r="F731" s="11">
        <v>17</v>
      </c>
      <c r="G731" s="11">
        <v>18</v>
      </c>
      <c r="H731" s="11">
        <f t="shared" si="156"/>
        <v>-1</v>
      </c>
      <c r="I731" s="18">
        <v>1</v>
      </c>
      <c r="J731" s="19">
        <v>0.64662756598240467</v>
      </c>
      <c r="K731" s="19">
        <v>1.3</v>
      </c>
      <c r="L731" s="6">
        <v>12097943</v>
      </c>
      <c r="M731" s="6">
        <v>1254602.25</v>
      </c>
      <c r="N731" s="6">
        <v>1385537</v>
      </c>
      <c r="O731" s="6">
        <v>2017466.875</v>
      </c>
      <c r="P731" s="6">
        <v>2379.08203125</v>
      </c>
      <c r="Q731" s="6">
        <v>110301.53125</v>
      </c>
      <c r="R731" s="6">
        <v>357912.90625</v>
      </c>
      <c r="S731" s="6">
        <v>890340</v>
      </c>
      <c r="T731" s="31">
        <f t="shared" si="157"/>
        <v>1811.648264453125</v>
      </c>
      <c r="U731" s="37">
        <v>1780.7777777777781</v>
      </c>
      <c r="V731">
        <f t="shared" si="158"/>
        <v>1.0173353952753554</v>
      </c>
      <c r="W731">
        <f t="shared" si="161"/>
        <v>-2.9068595907844153E-2</v>
      </c>
      <c r="X731" s="28">
        <v>1828.475000000001</v>
      </c>
      <c r="Y731">
        <f t="shared" si="159"/>
        <v>0.67936286890871644</v>
      </c>
      <c r="Z731">
        <f t="shared" si="162"/>
        <v>7.0452487989018514E-2</v>
      </c>
      <c r="AA731">
        <f t="shared" si="163"/>
        <v>7.7805160042428392E-2</v>
      </c>
      <c r="AB731">
        <f t="shared" si="164"/>
        <v>0.11329133259499592</v>
      </c>
      <c r="AC731">
        <f t="shared" si="165"/>
        <v>1.3359791777157296E-4</v>
      </c>
      <c r="AD731">
        <f t="shared" si="166"/>
        <v>6.1940087430585877E-3</v>
      </c>
      <c r="AE731">
        <f t="shared" si="167"/>
        <v>2.0098684446558927E-2</v>
      </c>
      <c r="AF731">
        <f t="shared" si="168"/>
        <v>4.9997254632807131E-2</v>
      </c>
      <c r="AG731">
        <f t="shared" si="160"/>
        <v>1.0173353952753554</v>
      </c>
      <c r="AH731">
        <v>0.31543893754401281</v>
      </c>
      <c r="AI731">
        <v>0.54823651452282163</v>
      </c>
      <c r="AJ731">
        <v>2.1896773973730684E-2</v>
      </c>
      <c r="AK731">
        <v>6.5337720559792917E-3</v>
      </c>
      <c r="AL731">
        <v>0.3223882994722595</v>
      </c>
    </row>
    <row r="732" spans="1:38" x14ac:dyDescent="0.25">
      <c r="A732">
        <v>24</v>
      </c>
      <c r="B732" s="21" t="s">
        <v>30</v>
      </c>
      <c r="C732" s="22" t="s">
        <v>5</v>
      </c>
      <c r="D732" s="22" t="s">
        <v>53</v>
      </c>
      <c r="E732" s="28">
        <v>20164.599999999999</v>
      </c>
      <c r="F732" s="22">
        <v>18</v>
      </c>
      <c r="G732" s="22">
        <v>18</v>
      </c>
      <c r="H732" s="22">
        <f t="shared" si="156"/>
        <v>0</v>
      </c>
      <c r="I732" s="18">
        <v>1</v>
      </c>
      <c r="J732" s="19">
        <v>0.64662756598240467</v>
      </c>
      <c r="K732" s="19">
        <v>1.3</v>
      </c>
      <c r="L732" s="22">
        <v>12921525</v>
      </c>
      <c r="M732" s="22">
        <v>1249165.125</v>
      </c>
      <c r="N732" s="22">
        <v>1385537</v>
      </c>
      <c r="O732" s="22">
        <v>2010722</v>
      </c>
      <c r="P732" s="22">
        <v>2379.08203125</v>
      </c>
      <c r="Q732" s="22">
        <v>72976.28125</v>
      </c>
      <c r="R732" s="22">
        <v>354287.34375</v>
      </c>
      <c r="S732" s="22">
        <v>880962.8125</v>
      </c>
      <c r="T732" s="32">
        <f t="shared" si="157"/>
        <v>1887.7554644531249</v>
      </c>
      <c r="U732" s="37">
        <v>1829.6666666666667</v>
      </c>
      <c r="V732">
        <f t="shared" si="158"/>
        <v>1.0317482953833803</v>
      </c>
      <c r="W732">
        <f t="shared" si="161"/>
        <v>1.4167304288202643E-2</v>
      </c>
      <c r="X732" s="28">
        <v>1874.4583333333346</v>
      </c>
      <c r="Y732">
        <f t="shared" si="159"/>
        <v>0.70622290034614676</v>
      </c>
      <c r="Z732">
        <f t="shared" si="162"/>
        <v>6.8272825195846237E-2</v>
      </c>
      <c r="AA732">
        <f t="shared" si="163"/>
        <v>7.5726197850245938E-2</v>
      </c>
      <c r="AB732">
        <f t="shared" si="164"/>
        <v>0.10989553652760065</v>
      </c>
      <c r="AC732">
        <f t="shared" si="165"/>
        <v>1.3002816712971395E-4</v>
      </c>
      <c r="AD732">
        <f t="shared" si="166"/>
        <v>3.9885014346875561E-3</v>
      </c>
      <c r="AE732">
        <f t="shared" si="167"/>
        <v>1.9363491186919293E-2</v>
      </c>
      <c r="AF732">
        <f t="shared" si="168"/>
        <v>4.8148814674804148E-2</v>
      </c>
      <c r="AG732">
        <f t="shared" si="160"/>
        <v>1.0317482953833803</v>
      </c>
      <c r="AH732">
        <v>0.31543893754401281</v>
      </c>
      <c r="AI732">
        <v>0.54823651452282163</v>
      </c>
      <c r="AJ732">
        <v>2.1896773973730684E-2</v>
      </c>
      <c r="AK732">
        <v>6.5337720559792917E-3</v>
      </c>
      <c r="AL732">
        <v>0.3223882994722595</v>
      </c>
    </row>
    <row r="733" spans="1:38" x14ac:dyDescent="0.25">
      <c r="A733">
        <v>24</v>
      </c>
      <c r="B733" s="5" t="s">
        <v>30</v>
      </c>
      <c r="C733" s="6" t="s">
        <v>5</v>
      </c>
      <c r="D733" s="6" t="s">
        <v>54</v>
      </c>
      <c r="E733" s="28">
        <v>20164.599999999999</v>
      </c>
      <c r="F733" s="11">
        <v>19</v>
      </c>
      <c r="G733" s="11">
        <v>18</v>
      </c>
      <c r="H733" s="11">
        <f t="shared" si="156"/>
        <v>1</v>
      </c>
      <c r="I733" s="18">
        <v>1</v>
      </c>
      <c r="J733" s="19">
        <v>0.64662756598240467</v>
      </c>
      <c r="K733" s="19">
        <v>1.3</v>
      </c>
      <c r="L733" s="6">
        <v>14413437</v>
      </c>
      <c r="M733" s="6">
        <v>1260088.875</v>
      </c>
      <c r="N733" s="6">
        <v>1386202.125</v>
      </c>
      <c r="O733" s="6">
        <v>2029298.75</v>
      </c>
      <c r="P733" s="6">
        <v>2380.22387695312</v>
      </c>
      <c r="Q733" s="6">
        <v>33504.19921875</v>
      </c>
      <c r="R733" s="6">
        <v>353817.75</v>
      </c>
      <c r="S733" s="6">
        <v>854412.625</v>
      </c>
      <c r="T733" s="31">
        <f t="shared" si="157"/>
        <v>2033.3141548095703</v>
      </c>
      <c r="U733" s="37">
        <v>1878.5555555555554</v>
      </c>
      <c r="V733">
        <f t="shared" si="158"/>
        <v>1.0823816994905149</v>
      </c>
      <c r="W733">
        <f t="shared" si="161"/>
        <v>4.9075345540861834E-2</v>
      </c>
      <c r="X733" s="28">
        <v>1920.4416666666682</v>
      </c>
      <c r="Y733">
        <f t="shared" si="159"/>
        <v>0.76726168450937482</v>
      </c>
      <c r="Z733">
        <f t="shared" si="162"/>
        <v>6.7077541107233699E-2</v>
      </c>
      <c r="AA733">
        <f t="shared" si="163"/>
        <v>7.3790850683149001E-2</v>
      </c>
      <c r="AB733">
        <f t="shared" si="164"/>
        <v>0.10802442035843142</v>
      </c>
      <c r="AC733">
        <f t="shared" si="165"/>
        <v>1.2670500320919193E-4</v>
      </c>
      <c r="AD733">
        <f t="shared" si="166"/>
        <v>1.7835085643150765E-3</v>
      </c>
      <c r="AE733">
        <f t="shared" si="167"/>
        <v>1.8834564085881588E-2</v>
      </c>
      <c r="AF733">
        <f t="shared" si="168"/>
        <v>4.5482425178919976E-2</v>
      </c>
      <c r="AG733">
        <f t="shared" si="160"/>
        <v>1.0823816994905147</v>
      </c>
      <c r="AH733">
        <v>0.31543893754401281</v>
      </c>
      <c r="AI733">
        <v>0.54823651452282163</v>
      </c>
      <c r="AJ733">
        <v>2.1896773973730684E-2</v>
      </c>
      <c r="AK733">
        <v>6.5337720559792917E-3</v>
      </c>
      <c r="AL733">
        <v>0.3223882994722595</v>
      </c>
    </row>
    <row r="734" spans="1:38" x14ac:dyDescent="0.25">
      <c r="A734">
        <v>24</v>
      </c>
      <c r="B734" s="5" t="s">
        <v>30</v>
      </c>
      <c r="C734" s="6" t="s">
        <v>5</v>
      </c>
      <c r="D734" s="6" t="s">
        <v>55</v>
      </c>
      <c r="E734" s="29">
        <v>20913.3</v>
      </c>
      <c r="F734" s="11">
        <v>20</v>
      </c>
      <c r="G734" s="11">
        <v>18</v>
      </c>
      <c r="H734" s="18">
        <f t="shared" si="156"/>
        <v>2</v>
      </c>
      <c r="I734" s="18">
        <v>1</v>
      </c>
      <c r="J734" s="19">
        <v>0.64662756598240467</v>
      </c>
      <c r="K734" s="19">
        <v>1.3</v>
      </c>
      <c r="L734" s="14">
        <v>357085.8125</v>
      </c>
      <c r="M734" s="14">
        <v>1219977</v>
      </c>
      <c r="N734" s="14">
        <v>2931311.5</v>
      </c>
      <c r="O734" s="14">
        <v>12440538</v>
      </c>
      <c r="P734" s="14">
        <v>2527.588623046875</v>
      </c>
      <c r="Q734" s="14">
        <v>19554.98828125</v>
      </c>
      <c r="R734" s="14">
        <v>1847673.5</v>
      </c>
      <c r="S734" s="14">
        <v>1059164.5</v>
      </c>
      <c r="T734" s="31">
        <f t="shared" si="157"/>
        <v>1987.7832889404297</v>
      </c>
      <c r="U734" s="37">
        <v>1660.6666666666667</v>
      </c>
      <c r="V734">
        <f t="shared" si="158"/>
        <v>1.1969790981174806</v>
      </c>
      <c r="W734">
        <f t="shared" si="161"/>
        <v>0.10587521821637189</v>
      </c>
      <c r="X734" s="29">
        <v>1328.9645833333341</v>
      </c>
      <c r="Y734">
        <f t="shared" si="159"/>
        <v>2.1502557958651143E-2</v>
      </c>
      <c r="Z734">
        <f t="shared" si="162"/>
        <v>7.3463087113608994E-2</v>
      </c>
      <c r="AA734">
        <f t="shared" si="163"/>
        <v>0.17651414090726614</v>
      </c>
      <c r="AB734">
        <f t="shared" si="164"/>
        <v>0.74912914492171812</v>
      </c>
      <c r="AC734">
        <f t="shared" si="165"/>
        <v>1.522032490794987E-4</v>
      </c>
      <c r="AD734">
        <f t="shared" si="166"/>
        <v>1.1775384352418706E-3</v>
      </c>
      <c r="AE734">
        <f t="shared" si="167"/>
        <v>0.11126094941790446</v>
      </c>
      <c r="AF734">
        <f t="shared" si="168"/>
        <v>6.3779476114010442E-2</v>
      </c>
      <c r="AG734">
        <f t="shared" si="160"/>
        <v>1.1969790981174806</v>
      </c>
      <c r="AH734">
        <v>0.31743033722639952</v>
      </c>
      <c r="AI734">
        <v>0.55937904269081495</v>
      </c>
      <c r="AJ734">
        <v>2.1947881589333272E-2</v>
      </c>
      <c r="AK734">
        <v>6.0344088078132284E-3</v>
      </c>
      <c r="AL734">
        <v>0.33502103583345422</v>
      </c>
    </row>
    <row r="735" spans="1:38" x14ac:dyDescent="0.25">
      <c r="A735">
        <v>24</v>
      </c>
      <c r="B735" s="5" t="s">
        <v>30</v>
      </c>
      <c r="C735" s="6" t="s">
        <v>5</v>
      </c>
      <c r="D735" s="6" t="s">
        <v>56</v>
      </c>
      <c r="E735" s="29">
        <v>20913.3</v>
      </c>
      <c r="F735" s="11">
        <v>21</v>
      </c>
      <c r="G735" s="11">
        <v>18</v>
      </c>
      <c r="H735" s="11">
        <f t="shared" si="156"/>
        <v>3</v>
      </c>
      <c r="I735" s="18">
        <v>1</v>
      </c>
      <c r="J735" s="19">
        <v>0.64662756598240467</v>
      </c>
      <c r="K735" s="19">
        <v>1.3</v>
      </c>
      <c r="L735" s="6">
        <v>344261.1875</v>
      </c>
      <c r="M735" s="6">
        <v>1196471.75</v>
      </c>
      <c r="N735" s="6">
        <v>2549932.75</v>
      </c>
      <c r="O735" s="6">
        <v>12378893</v>
      </c>
      <c r="P735" s="6">
        <v>2527.588623046875</v>
      </c>
      <c r="Q735" s="6">
        <v>27815.279296875</v>
      </c>
      <c r="R735" s="6">
        <v>1810247.25</v>
      </c>
      <c r="S735" s="6">
        <v>1070666.25</v>
      </c>
      <c r="T735" s="31">
        <f t="shared" si="157"/>
        <v>1938.0815055419921</v>
      </c>
      <c r="U735" s="37">
        <v>1698.6666666666667</v>
      </c>
      <c r="V735">
        <f t="shared" si="158"/>
        <v>1.1409428015357095</v>
      </c>
      <c r="W735">
        <f t="shared" si="161"/>
        <v>-4.6814766164171809E-2</v>
      </c>
      <c r="X735" s="29">
        <v>1404.2020833333338</v>
      </c>
      <c r="Y735">
        <f t="shared" si="159"/>
        <v>2.0266553424254319E-2</v>
      </c>
      <c r="Z735">
        <f t="shared" si="162"/>
        <v>7.0435935047095763E-2</v>
      </c>
      <c r="AA735">
        <f t="shared" si="163"/>
        <v>0.15011378041601256</v>
      </c>
      <c r="AB735">
        <f t="shared" si="164"/>
        <v>0.72874173861852432</v>
      </c>
      <c r="AC735">
        <f t="shared" si="165"/>
        <v>1.4879838832693534E-4</v>
      </c>
      <c r="AD735">
        <f t="shared" si="166"/>
        <v>1.6374771956559067E-3</v>
      </c>
      <c r="AE735">
        <f t="shared" si="167"/>
        <v>0.10656871565934066</v>
      </c>
      <c r="AF735">
        <f t="shared" si="168"/>
        <v>6.3029802786499209E-2</v>
      </c>
      <c r="AG735">
        <f t="shared" si="160"/>
        <v>1.1409428015357097</v>
      </c>
      <c r="AH735">
        <v>0.31743033722639952</v>
      </c>
      <c r="AI735">
        <v>0.55937904269081495</v>
      </c>
      <c r="AJ735">
        <v>2.1947881589333272E-2</v>
      </c>
      <c r="AK735">
        <v>6.0344088078132284E-3</v>
      </c>
      <c r="AL735">
        <v>0.33502103583345422</v>
      </c>
    </row>
    <row r="736" spans="1:38" x14ac:dyDescent="0.25">
      <c r="A736">
        <v>24</v>
      </c>
      <c r="B736" s="5" t="s">
        <v>30</v>
      </c>
      <c r="C736" s="6" t="s">
        <v>5</v>
      </c>
      <c r="D736" s="6" t="s">
        <v>57</v>
      </c>
      <c r="E736" s="29">
        <v>20913.3</v>
      </c>
      <c r="F736" s="11">
        <v>22</v>
      </c>
      <c r="G736" s="11">
        <v>18</v>
      </c>
      <c r="H736" s="11">
        <f t="shared" si="156"/>
        <v>4</v>
      </c>
      <c r="I736" s="18">
        <v>1</v>
      </c>
      <c r="J736" s="19">
        <v>0.64662756598240467</v>
      </c>
      <c r="K736" s="19">
        <v>1.3</v>
      </c>
      <c r="L736" s="6">
        <v>340153.875</v>
      </c>
      <c r="M736" s="6">
        <v>1242034.5</v>
      </c>
      <c r="N736" s="6">
        <v>1653194.75</v>
      </c>
      <c r="O736" s="6">
        <v>14081616</v>
      </c>
      <c r="P736" s="6">
        <v>2527.588623046875</v>
      </c>
      <c r="Q736" s="6">
        <v>81169.046875</v>
      </c>
      <c r="R736" s="6">
        <v>1879691.375</v>
      </c>
      <c r="S736" s="6">
        <v>1089089.5</v>
      </c>
      <c r="T736" s="31">
        <f t="shared" si="157"/>
        <v>2036.9476635498047</v>
      </c>
      <c r="U736" s="37">
        <v>1736.6666666666667</v>
      </c>
      <c r="V736">
        <f t="shared" si="158"/>
        <v>1.1729065241169701</v>
      </c>
      <c r="W736">
        <f t="shared" si="161"/>
        <v>2.8015184055009055E-2</v>
      </c>
      <c r="X736" s="29">
        <v>1479.4395833333338</v>
      </c>
      <c r="Y736">
        <f t="shared" si="159"/>
        <v>1.9586595489443376E-2</v>
      </c>
      <c r="Z736">
        <f t="shared" si="162"/>
        <v>7.1518301343570054E-2</v>
      </c>
      <c r="AA736">
        <f t="shared" si="163"/>
        <v>9.5193555662188095E-2</v>
      </c>
      <c r="AB736">
        <f t="shared" si="164"/>
        <v>0.81084161228406915</v>
      </c>
      <c r="AC736">
        <f t="shared" si="165"/>
        <v>1.4554253107755517E-4</v>
      </c>
      <c r="AD736">
        <f t="shared" si="166"/>
        <v>4.6738414707293667E-3</v>
      </c>
      <c r="AE736">
        <f t="shared" si="167"/>
        <v>0.10823558781190018</v>
      </c>
      <c r="AF736">
        <f t="shared" si="168"/>
        <v>6.2711487523992318E-2</v>
      </c>
      <c r="AG736">
        <f t="shared" si="160"/>
        <v>1.1729065241169701</v>
      </c>
      <c r="AH736">
        <v>0.31743033722639952</v>
      </c>
      <c r="AI736">
        <v>0.55937904269081495</v>
      </c>
      <c r="AJ736">
        <v>2.1947881589333272E-2</v>
      </c>
      <c r="AK736">
        <v>6.0344088078132284E-3</v>
      </c>
      <c r="AL736">
        <v>0.33502103583345422</v>
      </c>
    </row>
    <row r="737" spans="1:38" x14ac:dyDescent="0.25">
      <c r="A737">
        <v>24</v>
      </c>
      <c r="B737" s="5" t="s">
        <v>30</v>
      </c>
      <c r="C737" s="6" t="s">
        <v>5</v>
      </c>
      <c r="D737" s="6" t="s">
        <v>58</v>
      </c>
      <c r="E737" s="29">
        <v>20913.3</v>
      </c>
      <c r="F737" s="11">
        <v>23</v>
      </c>
      <c r="G737" s="11">
        <v>18</v>
      </c>
      <c r="H737" s="11">
        <f t="shared" si="156"/>
        <v>5</v>
      </c>
      <c r="I737" s="18">
        <v>1</v>
      </c>
      <c r="J737" s="19">
        <v>0.64662756598240467</v>
      </c>
      <c r="K737" s="19">
        <v>1.3</v>
      </c>
      <c r="L737" s="6">
        <v>357104.09375</v>
      </c>
      <c r="M737" s="6">
        <v>1261850.375</v>
      </c>
      <c r="N737" s="6">
        <v>1079136.5</v>
      </c>
      <c r="O737" s="6">
        <v>12737097</v>
      </c>
      <c r="P737" s="6">
        <v>2527.588623046875</v>
      </c>
      <c r="Q737" s="6">
        <v>111795.8671875</v>
      </c>
      <c r="R737" s="6">
        <v>1909938.375</v>
      </c>
      <c r="S737" s="6">
        <v>1119578.875</v>
      </c>
      <c r="T737" s="31">
        <f t="shared" si="157"/>
        <v>1857.9028674560548</v>
      </c>
      <c r="U737" s="37">
        <v>1774.6666666666667</v>
      </c>
      <c r="V737">
        <f t="shared" si="158"/>
        <v>1.0469024422179121</v>
      </c>
      <c r="W737">
        <f t="shared" si="161"/>
        <v>-0.10742892064132813</v>
      </c>
      <c r="X737" s="29">
        <v>1554.6770833333337</v>
      </c>
      <c r="Y737">
        <f t="shared" si="159"/>
        <v>2.0122319332268969E-2</v>
      </c>
      <c r="Z737">
        <f t="shared" si="162"/>
        <v>7.1103514744552967E-2</v>
      </c>
      <c r="AA737">
        <f t="shared" si="163"/>
        <v>6.0807841848234408E-2</v>
      </c>
      <c r="AB737">
        <f t="shared" si="164"/>
        <v>0.71771771224643122</v>
      </c>
      <c r="AC737">
        <f t="shared" si="165"/>
        <v>1.424261057314167E-4</v>
      </c>
      <c r="AD737">
        <f t="shared" si="166"/>
        <v>6.2995417273196842E-3</v>
      </c>
      <c r="AE737">
        <f t="shared" si="167"/>
        <v>0.10762237274605559</v>
      </c>
      <c r="AF737">
        <f t="shared" si="168"/>
        <v>6.3086713467317798E-2</v>
      </c>
      <c r="AG737">
        <f t="shared" si="160"/>
        <v>1.0469024422179121</v>
      </c>
      <c r="AH737">
        <v>0.31743033722639952</v>
      </c>
      <c r="AI737">
        <v>0.55937904269081495</v>
      </c>
      <c r="AJ737">
        <v>2.1947881589333272E-2</v>
      </c>
      <c r="AK737">
        <v>6.0344088078132284E-3</v>
      </c>
      <c r="AL737">
        <v>0.33502103583345422</v>
      </c>
    </row>
    <row r="738" spans="1:38" x14ac:dyDescent="0.25">
      <c r="A738">
        <v>24</v>
      </c>
      <c r="B738" s="5" t="s">
        <v>30</v>
      </c>
      <c r="C738" s="6" t="s">
        <v>5</v>
      </c>
      <c r="D738" s="6" t="s">
        <v>59</v>
      </c>
      <c r="E738" s="29">
        <v>20913.3</v>
      </c>
      <c r="F738" s="11">
        <v>24</v>
      </c>
      <c r="G738" s="11">
        <v>18</v>
      </c>
      <c r="H738" s="11">
        <f t="shared" si="156"/>
        <v>6</v>
      </c>
      <c r="I738" s="18">
        <v>1</v>
      </c>
      <c r="J738" s="19">
        <v>0.64662756598240467</v>
      </c>
      <c r="K738" s="19">
        <v>1.3</v>
      </c>
      <c r="L738" s="6">
        <v>353484.21875</v>
      </c>
      <c r="M738" s="6">
        <v>1248048.5</v>
      </c>
      <c r="N738" s="6">
        <v>689466.75</v>
      </c>
      <c r="O738" s="6">
        <v>12653793</v>
      </c>
      <c r="P738" s="6">
        <v>2527.588623046875</v>
      </c>
      <c r="Q738" s="6">
        <v>73385.8515625</v>
      </c>
      <c r="R738" s="6">
        <v>1890022.875</v>
      </c>
      <c r="S738" s="6">
        <v>1112816.875</v>
      </c>
      <c r="T738" s="31">
        <f t="shared" si="157"/>
        <v>1802.3545658935548</v>
      </c>
      <c r="U738" s="37">
        <v>1812.6666666666667</v>
      </c>
      <c r="V738">
        <f t="shared" si="158"/>
        <v>0.99431108820902248</v>
      </c>
      <c r="W738">
        <f t="shared" si="161"/>
        <v>-5.023520042371124E-2</v>
      </c>
      <c r="X738" s="29">
        <v>1629.9145833333337</v>
      </c>
      <c r="Y738">
        <f t="shared" si="159"/>
        <v>1.9500784410628906E-2</v>
      </c>
      <c r="Z738">
        <f t="shared" si="162"/>
        <v>6.8851517101875689E-2</v>
      </c>
      <c r="AA738">
        <f t="shared" si="163"/>
        <v>3.8036047260022063E-2</v>
      </c>
      <c r="AB738">
        <f t="shared" si="164"/>
        <v>0.69807611254137547</v>
      </c>
      <c r="AC738">
        <f t="shared" si="165"/>
        <v>1.3944034330894858E-4</v>
      </c>
      <c r="AD738">
        <f t="shared" si="166"/>
        <v>4.0485022928926067E-3</v>
      </c>
      <c r="AE738">
        <f t="shared" si="167"/>
        <v>0.10426753631849944</v>
      </c>
      <c r="AF738">
        <f t="shared" si="168"/>
        <v>6.139114794041927E-2</v>
      </c>
      <c r="AG738">
        <f t="shared" si="160"/>
        <v>0.99431108820902225</v>
      </c>
      <c r="AH738">
        <v>0.31743033722639952</v>
      </c>
      <c r="AI738">
        <v>0.55937904269081495</v>
      </c>
      <c r="AJ738">
        <v>2.1947881589333272E-2</v>
      </c>
      <c r="AK738">
        <v>6.0344088078132284E-3</v>
      </c>
      <c r="AL738">
        <v>0.33502103583345422</v>
      </c>
    </row>
    <row r="739" spans="1:38" x14ac:dyDescent="0.25">
      <c r="A739">
        <v>24</v>
      </c>
      <c r="B739" s="5" t="s">
        <v>30</v>
      </c>
      <c r="C739" s="6" t="s">
        <v>5</v>
      </c>
      <c r="D739" s="6" t="s">
        <v>60</v>
      </c>
      <c r="E739" s="29">
        <v>20913.3</v>
      </c>
      <c r="F739" s="11">
        <v>25</v>
      </c>
      <c r="G739" s="11">
        <v>18</v>
      </c>
      <c r="H739" s="11">
        <f t="shared" si="156"/>
        <v>7</v>
      </c>
      <c r="I739" s="18">
        <v>1</v>
      </c>
      <c r="J739" s="19">
        <v>0.64662756598240467</v>
      </c>
      <c r="K739" s="19">
        <v>1.3</v>
      </c>
      <c r="L739" s="6">
        <v>352793.8125</v>
      </c>
      <c r="M739" s="6">
        <v>1254692</v>
      </c>
      <c r="N739" s="6">
        <v>383534.5625</v>
      </c>
      <c r="O739" s="6">
        <v>13255245</v>
      </c>
      <c r="P739" s="6">
        <v>2527.588623046875</v>
      </c>
      <c r="Q739" s="6">
        <v>36193.3515625</v>
      </c>
      <c r="R739" s="6">
        <v>1900308</v>
      </c>
      <c r="S739" s="6">
        <v>1086533</v>
      </c>
      <c r="T739" s="31">
        <f t="shared" si="157"/>
        <v>1827.1827315185546</v>
      </c>
      <c r="U739" s="37">
        <v>1794.6666666666667</v>
      </c>
      <c r="V739">
        <f t="shared" si="158"/>
        <v>1.0181181639219286</v>
      </c>
      <c r="W739">
        <f t="shared" si="161"/>
        <v>2.3943286960409912E-2</v>
      </c>
      <c r="X739" s="29">
        <v>1705.1520833333334</v>
      </c>
      <c r="Y739">
        <f t="shared" si="159"/>
        <v>1.9657901885215451E-2</v>
      </c>
      <c r="Z739">
        <f t="shared" si="162"/>
        <v>6.991225854383358E-2</v>
      </c>
      <c r="AA739">
        <f t="shared" si="163"/>
        <v>2.1370796573179793E-2</v>
      </c>
      <c r="AB739">
        <f t="shared" si="164"/>
        <v>0.73859091753343231</v>
      </c>
      <c r="AC739">
        <f t="shared" si="165"/>
        <v>1.4083889058582141E-4</v>
      </c>
      <c r="AD739">
        <f t="shared" si="166"/>
        <v>2.0167172118777861E-3</v>
      </c>
      <c r="AE739">
        <f t="shared" si="167"/>
        <v>0.10588640416047547</v>
      </c>
      <c r="AF739">
        <f t="shared" si="168"/>
        <v>6.0542329123328374E-2</v>
      </c>
      <c r="AG739">
        <f t="shared" si="160"/>
        <v>1.0181181639219286</v>
      </c>
      <c r="AH739">
        <v>0.31743033722639952</v>
      </c>
      <c r="AI739">
        <v>0.55937904269081495</v>
      </c>
      <c r="AJ739">
        <v>2.1947881589333272E-2</v>
      </c>
      <c r="AK739">
        <v>6.0344088078132284E-3</v>
      </c>
      <c r="AL739">
        <v>0.33502103583345422</v>
      </c>
    </row>
    <row r="740" spans="1:38" x14ac:dyDescent="0.25">
      <c r="A740">
        <v>24</v>
      </c>
      <c r="B740" s="5" t="s">
        <v>30</v>
      </c>
      <c r="C740" s="6" t="s">
        <v>5</v>
      </c>
      <c r="D740" s="6" t="s">
        <v>61</v>
      </c>
      <c r="E740" s="29">
        <v>20913.3</v>
      </c>
      <c r="F740" s="11">
        <v>26</v>
      </c>
      <c r="G740" s="11">
        <v>18</v>
      </c>
      <c r="H740" s="11">
        <f t="shared" si="156"/>
        <v>8</v>
      </c>
      <c r="I740" s="18">
        <v>1</v>
      </c>
      <c r="J740" s="19">
        <v>0.64662756598240467</v>
      </c>
      <c r="K740" s="19">
        <v>1.3</v>
      </c>
      <c r="L740" s="6">
        <v>356628.9375</v>
      </c>
      <c r="M740" s="6">
        <v>1205533</v>
      </c>
      <c r="N740" s="6">
        <v>285536.75</v>
      </c>
      <c r="O740" s="6">
        <v>14909652</v>
      </c>
      <c r="P740" s="6">
        <v>2527.588623046875</v>
      </c>
      <c r="Q740" s="6">
        <v>21966.51953125</v>
      </c>
      <c r="R740" s="6">
        <v>1824060.875</v>
      </c>
      <c r="S740" s="6">
        <v>1069163.375</v>
      </c>
      <c r="T740" s="31">
        <f t="shared" si="157"/>
        <v>1967.5069045654297</v>
      </c>
      <c r="U740" s="37">
        <v>1776.6666666666667</v>
      </c>
      <c r="V740">
        <f t="shared" si="158"/>
        <v>1.1074147680480841</v>
      </c>
      <c r="W740">
        <f t="shared" si="161"/>
        <v>8.7707505170296754E-2</v>
      </c>
      <c r="X740" s="29">
        <v>1780.3895833333333</v>
      </c>
      <c r="Y740">
        <f t="shared" si="159"/>
        <v>2.0072923311444651E-2</v>
      </c>
      <c r="Z740">
        <f t="shared" si="162"/>
        <v>6.7853639774859295E-2</v>
      </c>
      <c r="AA740">
        <f t="shared" si="163"/>
        <v>1.6071486866791745E-2</v>
      </c>
      <c r="AB740">
        <f t="shared" si="164"/>
        <v>0.83919242026266416</v>
      </c>
      <c r="AC740">
        <f t="shared" si="165"/>
        <v>1.4226577615648452E-4</v>
      </c>
      <c r="AD740">
        <f t="shared" si="166"/>
        <v>1.2363894670497184E-3</v>
      </c>
      <c r="AE740">
        <f t="shared" si="167"/>
        <v>0.10266759146341463</v>
      </c>
      <c r="AF740">
        <f t="shared" si="168"/>
        <v>6.0178051125703562E-2</v>
      </c>
      <c r="AG740">
        <f t="shared" si="160"/>
        <v>1.1074147680480841</v>
      </c>
      <c r="AH740">
        <v>0.31743033722639952</v>
      </c>
      <c r="AI740">
        <v>0.55937904269081495</v>
      </c>
      <c r="AJ740">
        <v>2.1947881589333272E-2</v>
      </c>
      <c r="AK740">
        <v>6.0344088078132284E-3</v>
      </c>
      <c r="AL740">
        <v>0.33502103583345422</v>
      </c>
    </row>
    <row r="741" spans="1:38" x14ac:dyDescent="0.25">
      <c r="A741">
        <v>24</v>
      </c>
      <c r="B741" s="5" t="s">
        <v>30</v>
      </c>
      <c r="C741" s="6" t="s">
        <v>5</v>
      </c>
      <c r="D741" s="6" t="s">
        <v>62</v>
      </c>
      <c r="E741" s="29">
        <v>20913.3</v>
      </c>
      <c r="F741" s="11">
        <v>27</v>
      </c>
      <c r="G741" s="11">
        <v>18</v>
      </c>
      <c r="H741" s="11">
        <f t="shared" si="156"/>
        <v>9</v>
      </c>
      <c r="I741" s="18">
        <v>1</v>
      </c>
      <c r="J741" s="19">
        <v>0.64662756598240467</v>
      </c>
      <c r="K741" s="19">
        <v>1.3</v>
      </c>
      <c r="L741" s="6">
        <v>343869.65625</v>
      </c>
      <c r="M741" s="6">
        <v>1171685.25</v>
      </c>
      <c r="N741" s="6">
        <v>317373.59375</v>
      </c>
      <c r="O741" s="6">
        <v>15865975</v>
      </c>
      <c r="P741" s="6">
        <v>2527.588623046875</v>
      </c>
      <c r="Q741" s="6">
        <v>30674.037109375</v>
      </c>
      <c r="R741" s="6">
        <v>1771917.875</v>
      </c>
      <c r="S741" s="6">
        <v>1077897</v>
      </c>
      <c r="T741" s="31">
        <f t="shared" si="157"/>
        <v>2058.1920000732421</v>
      </c>
      <c r="U741" s="37">
        <v>1758.6666666666667</v>
      </c>
      <c r="V741">
        <f t="shared" si="158"/>
        <v>1.1703138741887273</v>
      </c>
      <c r="W741">
        <f t="shared" si="161"/>
        <v>5.6798146417632124E-2</v>
      </c>
      <c r="X741" s="29">
        <v>1855.6270833333333</v>
      </c>
      <c r="Y741">
        <f t="shared" si="159"/>
        <v>1.9552861424374526E-2</v>
      </c>
      <c r="Z741">
        <f t="shared" si="162"/>
        <v>6.6623497915087176E-2</v>
      </c>
      <c r="AA741">
        <f t="shared" si="163"/>
        <v>1.8046261964556481E-2</v>
      </c>
      <c r="AB741">
        <f t="shared" si="164"/>
        <v>0.90215930629264585</v>
      </c>
      <c r="AC741">
        <f t="shared" si="165"/>
        <v>1.4372187015050463E-4</v>
      </c>
      <c r="AD741">
        <f t="shared" si="166"/>
        <v>1.7441643542101023E-3</v>
      </c>
      <c r="AE741">
        <f t="shared" si="167"/>
        <v>0.1007534803828658</v>
      </c>
      <c r="AF741">
        <f t="shared" si="168"/>
        <v>6.1290579984836994E-2</v>
      </c>
      <c r="AG741">
        <f t="shared" si="160"/>
        <v>1.1703138741887276</v>
      </c>
      <c r="AH741">
        <v>0.31743033722639952</v>
      </c>
      <c r="AI741">
        <v>0.55937904269081495</v>
      </c>
      <c r="AJ741">
        <v>2.1947881589333272E-2</v>
      </c>
      <c r="AK741">
        <v>6.0344088078132284E-3</v>
      </c>
      <c r="AL741">
        <v>0.33502103583345422</v>
      </c>
    </row>
    <row r="742" spans="1:38" x14ac:dyDescent="0.25">
      <c r="A742">
        <v>24</v>
      </c>
      <c r="B742" s="5" t="s">
        <v>30</v>
      </c>
      <c r="C742" s="6" t="s">
        <v>5</v>
      </c>
      <c r="D742" s="6" t="s">
        <v>63</v>
      </c>
      <c r="E742" s="29">
        <v>20913.3</v>
      </c>
      <c r="F742" s="11">
        <v>28</v>
      </c>
      <c r="G742" s="11">
        <v>18</v>
      </c>
      <c r="H742" s="11">
        <f t="shared" si="156"/>
        <v>10</v>
      </c>
      <c r="I742" s="18">
        <v>1</v>
      </c>
      <c r="J742" s="19">
        <v>0.64662756598240467</v>
      </c>
      <c r="K742" s="19">
        <v>1.3</v>
      </c>
      <c r="L742" s="6">
        <v>339923.375</v>
      </c>
      <c r="M742" s="6">
        <v>1222544.25</v>
      </c>
      <c r="N742" s="6">
        <v>569746.9375</v>
      </c>
      <c r="O742" s="6">
        <v>13851698</v>
      </c>
      <c r="P742" s="6">
        <v>2527.588623046875</v>
      </c>
      <c r="Q742" s="6">
        <v>83977.515625</v>
      </c>
      <c r="R742" s="6">
        <v>1849622.125</v>
      </c>
      <c r="S742" s="6">
        <v>1092928.25</v>
      </c>
      <c r="T742" s="31">
        <f t="shared" si="157"/>
        <v>1901.2968041748047</v>
      </c>
      <c r="U742" s="37">
        <v>1806.2222222222224</v>
      </c>
      <c r="V742">
        <f t="shared" si="158"/>
        <v>1.0526372562483539</v>
      </c>
      <c r="W742">
        <f t="shared" si="161"/>
        <v>-0.10055133117339822</v>
      </c>
      <c r="X742" s="29">
        <v>1930.864583333333</v>
      </c>
      <c r="Y742">
        <f t="shared" si="159"/>
        <v>1.8819576617864171E-2</v>
      </c>
      <c r="Z742">
        <f t="shared" si="162"/>
        <v>6.7685151636318885E-2</v>
      </c>
      <c r="AA742">
        <f t="shared" si="163"/>
        <v>3.1543568144069875E-2</v>
      </c>
      <c r="AB742">
        <f t="shared" si="164"/>
        <v>0.76688780757874009</v>
      </c>
      <c r="AC742">
        <f t="shared" si="165"/>
        <v>1.3993785437636485E-4</v>
      </c>
      <c r="AD742">
        <f t="shared" si="166"/>
        <v>4.6493457223486705E-3</v>
      </c>
      <c r="AE742">
        <f t="shared" si="167"/>
        <v>0.10240279973548226</v>
      </c>
      <c r="AF742">
        <f t="shared" si="168"/>
        <v>6.0509068959153534E-2</v>
      </c>
      <c r="AG742">
        <f t="shared" si="160"/>
        <v>1.0526372562483539</v>
      </c>
      <c r="AH742">
        <v>0.31743033722639952</v>
      </c>
      <c r="AI742">
        <v>0.55937904269081495</v>
      </c>
      <c r="AJ742">
        <v>2.1947881589333272E-2</v>
      </c>
      <c r="AK742">
        <v>6.0344088078132284E-3</v>
      </c>
      <c r="AL742">
        <v>0.33502103583345422</v>
      </c>
    </row>
    <row r="743" spans="1:38" x14ac:dyDescent="0.25">
      <c r="A743">
        <v>24</v>
      </c>
      <c r="B743" s="5" t="s">
        <v>30</v>
      </c>
      <c r="C743" s="6" t="s">
        <v>5</v>
      </c>
      <c r="D743" s="6" t="s">
        <v>64</v>
      </c>
      <c r="E743" s="29">
        <v>20913.3</v>
      </c>
      <c r="F743" s="11">
        <v>29</v>
      </c>
      <c r="G743" s="11">
        <v>18</v>
      </c>
      <c r="H743" s="11">
        <f t="shared" si="156"/>
        <v>11</v>
      </c>
      <c r="I743" s="18">
        <v>1</v>
      </c>
      <c r="J743" s="19">
        <v>0.64662756598240467</v>
      </c>
      <c r="K743" s="19">
        <v>1.3</v>
      </c>
      <c r="L743" s="6">
        <v>357060.5</v>
      </c>
      <c r="M743" s="6">
        <v>1257491.375</v>
      </c>
      <c r="N743" s="6">
        <v>1297517.375</v>
      </c>
      <c r="O743" s="6">
        <v>13631777</v>
      </c>
      <c r="P743" s="6">
        <v>2527.588623046875</v>
      </c>
      <c r="Q743" s="6">
        <v>115902.5703125</v>
      </c>
      <c r="R743" s="6">
        <v>1903128.25</v>
      </c>
      <c r="S743" s="6">
        <v>1123327.75</v>
      </c>
      <c r="T743" s="31">
        <f t="shared" si="157"/>
        <v>1968.8732408935548</v>
      </c>
      <c r="U743" s="37">
        <v>1853.7777777777776</v>
      </c>
      <c r="V743">
        <f t="shared" si="158"/>
        <v>1.0620869796237111</v>
      </c>
      <c r="W743">
        <f t="shared" si="161"/>
        <v>8.9771887886967317E-3</v>
      </c>
      <c r="X743" s="29">
        <v>2006.102083333333</v>
      </c>
      <c r="Y743">
        <f t="shared" si="159"/>
        <v>1.9261235315272119E-2</v>
      </c>
      <c r="Z743">
        <f t="shared" si="162"/>
        <v>6.7833986903620247E-2</v>
      </c>
      <c r="AA743">
        <f t="shared" si="163"/>
        <v>6.9993145378806049E-2</v>
      </c>
      <c r="AB743">
        <f t="shared" si="164"/>
        <v>0.7353511927595302</v>
      </c>
      <c r="AC743">
        <f t="shared" si="165"/>
        <v>1.3634798374144018E-4</v>
      </c>
      <c r="AD743">
        <f t="shared" si="166"/>
        <v>6.2522364709452173E-3</v>
      </c>
      <c r="AE743">
        <f t="shared" si="167"/>
        <v>0.10266215685686886</v>
      </c>
      <c r="AF743">
        <f t="shared" si="168"/>
        <v>6.0596677954926882E-2</v>
      </c>
      <c r="AG743">
        <f t="shared" si="160"/>
        <v>1.0620869796237111</v>
      </c>
      <c r="AH743">
        <v>0.31743033722639952</v>
      </c>
      <c r="AI743">
        <v>0.55937904269081495</v>
      </c>
      <c r="AJ743">
        <v>2.1947881589333272E-2</v>
      </c>
      <c r="AK743">
        <v>6.0344088078132284E-3</v>
      </c>
      <c r="AL743">
        <v>0.33502103583345422</v>
      </c>
    </row>
    <row r="744" spans="1:38" x14ac:dyDescent="0.25">
      <c r="A744">
        <v>24</v>
      </c>
      <c r="B744" s="5" t="s">
        <v>30</v>
      </c>
      <c r="C744" s="6" t="s">
        <v>5</v>
      </c>
      <c r="D744" s="6" t="s">
        <v>65</v>
      </c>
      <c r="E744" s="29">
        <v>20913.3</v>
      </c>
      <c r="F744" s="11">
        <v>30</v>
      </c>
      <c r="G744" s="11">
        <v>18</v>
      </c>
      <c r="H744" s="11">
        <f t="shared" si="156"/>
        <v>12</v>
      </c>
      <c r="I744" s="18">
        <v>1</v>
      </c>
      <c r="J744" s="19">
        <v>0.64662756598240467</v>
      </c>
      <c r="K744" s="19">
        <v>1.3</v>
      </c>
      <c r="L744" s="6">
        <v>353651.84375</v>
      </c>
      <c r="M744" s="6">
        <v>1252087.5</v>
      </c>
      <c r="N744" s="6">
        <v>1917009.5</v>
      </c>
      <c r="O744" s="6">
        <v>14559777</v>
      </c>
      <c r="P744" s="6">
        <v>2527.588623046875</v>
      </c>
      <c r="Q744" s="6">
        <v>76671.65625</v>
      </c>
      <c r="R744" s="6">
        <v>1896907.375</v>
      </c>
      <c r="S744" s="6">
        <v>1112013.75</v>
      </c>
      <c r="T744" s="31">
        <f t="shared" si="157"/>
        <v>2117.0646213623045</v>
      </c>
      <c r="U744" s="37">
        <v>1901.3333333333333</v>
      </c>
      <c r="V744">
        <f t="shared" si="158"/>
        <v>1.1134631599030353</v>
      </c>
      <c r="W744">
        <f t="shared" si="161"/>
        <v>4.8372855768862161E-2</v>
      </c>
      <c r="X744" s="29">
        <v>2081.3395833333329</v>
      </c>
      <c r="Y744">
        <f t="shared" si="159"/>
        <v>1.8600202160764377E-2</v>
      </c>
      <c r="Z744">
        <f t="shared" si="162"/>
        <v>6.5853129382889203E-2</v>
      </c>
      <c r="AA744">
        <f t="shared" si="163"/>
        <v>0.10082448281907434</v>
      </c>
      <c r="AB744">
        <f t="shared" si="164"/>
        <v>0.765766672510519</v>
      </c>
      <c r="AC744">
        <f t="shared" si="165"/>
        <v>1.3293769055295625E-4</v>
      </c>
      <c r="AD744">
        <f t="shared" si="166"/>
        <v>4.0325204900070128E-3</v>
      </c>
      <c r="AE744">
        <f t="shared" si="167"/>
        <v>9.976721818022441E-2</v>
      </c>
      <c r="AF744">
        <f t="shared" si="168"/>
        <v>5.8485996669004212E-2</v>
      </c>
      <c r="AG744">
        <f t="shared" si="160"/>
        <v>1.1134631599030356</v>
      </c>
      <c r="AH744">
        <v>0.31743033722639952</v>
      </c>
      <c r="AI744">
        <v>0.55937904269081495</v>
      </c>
      <c r="AJ744">
        <v>2.1947881589333272E-2</v>
      </c>
      <c r="AK744">
        <v>6.0344088078132284E-3</v>
      </c>
      <c r="AL744">
        <v>0.33502103583345422</v>
      </c>
    </row>
    <row r="745" spans="1:38" x14ac:dyDescent="0.25">
      <c r="A745">
        <v>24</v>
      </c>
      <c r="B745" s="5" t="s">
        <v>30</v>
      </c>
      <c r="C745" s="6" t="s">
        <v>5</v>
      </c>
      <c r="D745" s="6" t="s">
        <v>66</v>
      </c>
      <c r="E745" s="29">
        <v>20913.3</v>
      </c>
      <c r="F745" s="11">
        <v>31</v>
      </c>
      <c r="G745" s="11">
        <v>18</v>
      </c>
      <c r="H745" s="11">
        <f t="shared" si="156"/>
        <v>13</v>
      </c>
      <c r="I745" s="18">
        <v>1</v>
      </c>
      <c r="J745" s="19">
        <v>0.64662756598240467</v>
      </c>
      <c r="K745" s="19">
        <v>1.3</v>
      </c>
      <c r="L745" s="6">
        <v>353230.375</v>
      </c>
      <c r="M745" s="6">
        <v>1263062.625</v>
      </c>
      <c r="N745" s="6">
        <v>2907931.5</v>
      </c>
      <c r="O745" s="6">
        <v>16240840</v>
      </c>
      <c r="P745" s="6">
        <v>2528.8017578125</v>
      </c>
      <c r="Q745" s="6">
        <v>35250.15625</v>
      </c>
      <c r="R745" s="6">
        <v>1914504.875</v>
      </c>
      <c r="S745" s="6">
        <v>1080003.75</v>
      </c>
      <c r="T745" s="31">
        <f t="shared" si="157"/>
        <v>2379.7352083007813</v>
      </c>
      <c r="U745" s="37">
        <v>1948.8888888888889</v>
      </c>
      <c r="V745">
        <f t="shared" si="158"/>
        <v>1.2210727978738329</v>
      </c>
      <c r="W745">
        <f t="shared" si="161"/>
        <v>9.6644093712241586E-2</v>
      </c>
      <c r="X745" s="29">
        <v>2156.5770833333327</v>
      </c>
      <c r="Y745">
        <f t="shared" si="159"/>
        <v>1.8124705672748005E-2</v>
      </c>
      <c r="Z745">
        <f t="shared" si="162"/>
        <v>6.480937072405929E-2</v>
      </c>
      <c r="AA745">
        <f t="shared" si="163"/>
        <v>0.14920971208665906</v>
      </c>
      <c r="AB745">
        <f t="shared" si="164"/>
        <v>0.83333842645381995</v>
      </c>
      <c r="AC745">
        <f t="shared" si="165"/>
        <v>1.2975607651261403E-4</v>
      </c>
      <c r="AD745">
        <f t="shared" si="166"/>
        <v>1.8087309364310147E-3</v>
      </c>
      <c r="AE745">
        <f t="shared" si="167"/>
        <v>9.823571194412771E-2</v>
      </c>
      <c r="AF745">
        <f t="shared" si="168"/>
        <v>5.5416383979475486E-2</v>
      </c>
      <c r="AG745">
        <f t="shared" si="160"/>
        <v>1.2210727978738329</v>
      </c>
      <c r="AH745">
        <v>0.31743033722639952</v>
      </c>
      <c r="AI745">
        <v>0.55937904269081495</v>
      </c>
      <c r="AJ745">
        <v>2.1947881589333272E-2</v>
      </c>
      <c r="AK745">
        <v>6.0344088078132284E-3</v>
      </c>
      <c r="AL745">
        <v>0.33502103583345422</v>
      </c>
    </row>
    <row r="746" spans="1:38" x14ac:dyDescent="0.25">
      <c r="A746">
        <v>25</v>
      </c>
      <c r="B746" s="5" t="s">
        <v>6</v>
      </c>
      <c r="C746" s="6" t="s">
        <v>5</v>
      </c>
      <c r="D746" s="6" t="s">
        <v>36</v>
      </c>
      <c r="E746" s="28">
        <v>27146.7644</v>
      </c>
      <c r="F746" s="11">
        <v>1</v>
      </c>
      <c r="G746" s="11">
        <v>15</v>
      </c>
      <c r="H746" s="18">
        <f t="shared" si="156"/>
        <v>-14</v>
      </c>
      <c r="I746" s="18">
        <v>1</v>
      </c>
      <c r="J746" s="19">
        <v>0.91055718475073311</v>
      </c>
      <c r="K746" s="19">
        <v>1.2</v>
      </c>
      <c r="L746" s="14">
        <v>4310336.5</v>
      </c>
      <c r="M746" s="14">
        <v>2277505</v>
      </c>
      <c r="N746" s="14">
        <v>1859544.75</v>
      </c>
      <c r="O746" s="14">
        <v>4874331</v>
      </c>
      <c r="P746" s="14">
        <v>3540.35766601562</v>
      </c>
      <c r="Q746" s="14">
        <v>50664.46484375</v>
      </c>
      <c r="R746" s="14">
        <v>935654.9375</v>
      </c>
      <c r="S746" s="14">
        <v>3487874</v>
      </c>
      <c r="T746" s="31">
        <f t="shared" si="157"/>
        <v>1779.9451010009766</v>
      </c>
      <c r="U746" s="37"/>
      <c r="X746" s="28">
        <v>2154.8883333333333</v>
      </c>
      <c r="Y746" t="e">
        <f t="shared" si="159"/>
        <v>#DIV/0!</v>
      </c>
      <c r="Z746" t="e">
        <f t="shared" si="162"/>
        <v>#DIV/0!</v>
      </c>
      <c r="AA746" t="e">
        <f t="shared" si="163"/>
        <v>#DIV/0!</v>
      </c>
      <c r="AB746" t="e">
        <f t="shared" si="164"/>
        <v>#DIV/0!</v>
      </c>
      <c r="AC746" t="e">
        <f t="shared" si="165"/>
        <v>#DIV/0!</v>
      </c>
      <c r="AD746" t="e">
        <f t="shared" si="166"/>
        <v>#DIV/0!</v>
      </c>
      <c r="AE746" t="e">
        <f t="shared" si="167"/>
        <v>#DIV/0!</v>
      </c>
      <c r="AF746" t="e">
        <f t="shared" si="168"/>
        <v>#DIV/0!</v>
      </c>
      <c r="AG746" t="e">
        <f t="shared" si="160"/>
        <v>#DIV/0!</v>
      </c>
      <c r="AH746">
        <v>0.35124627964870836</v>
      </c>
      <c r="AI746">
        <v>0.5104477611940299</v>
      </c>
      <c r="AJ746">
        <v>1.2239486828850741E-2</v>
      </c>
      <c r="AK746">
        <v>6.5015335676615665E-3</v>
      </c>
      <c r="AL746">
        <v>0.34340765348880675</v>
      </c>
    </row>
    <row r="747" spans="1:38" x14ac:dyDescent="0.25">
      <c r="A747">
        <v>25</v>
      </c>
      <c r="B747" s="5" t="s">
        <v>6</v>
      </c>
      <c r="C747" s="6" t="s">
        <v>5</v>
      </c>
      <c r="D747" s="6" t="s">
        <v>37</v>
      </c>
      <c r="E747" s="28">
        <v>27146.7644</v>
      </c>
      <c r="F747" s="11">
        <v>2</v>
      </c>
      <c r="G747" s="11">
        <v>15</v>
      </c>
      <c r="H747" s="11">
        <f t="shared" si="156"/>
        <v>-13</v>
      </c>
      <c r="I747" s="18">
        <v>1</v>
      </c>
      <c r="J747" s="19">
        <v>0.91055718475073311</v>
      </c>
      <c r="K747" s="19">
        <v>1.2</v>
      </c>
      <c r="L747" s="6">
        <v>4681875</v>
      </c>
      <c r="M747" s="6">
        <v>2187902.75</v>
      </c>
      <c r="N747" s="6">
        <v>1859551.25</v>
      </c>
      <c r="O747" s="6">
        <v>4680817</v>
      </c>
      <c r="P747" s="6">
        <v>3540.35766601562</v>
      </c>
      <c r="Q747" s="6">
        <v>30817.41015625</v>
      </c>
      <c r="R747" s="6">
        <v>950110.75</v>
      </c>
      <c r="S747" s="6">
        <v>3420286.25</v>
      </c>
      <c r="T747" s="31">
        <f t="shared" si="157"/>
        <v>1781.4900767822267</v>
      </c>
      <c r="U747" s="37">
        <v>2324</v>
      </c>
      <c r="V747">
        <f t="shared" si="158"/>
        <v>0.76656199517307511</v>
      </c>
      <c r="W747" t="e">
        <f>(V747-V746)/V746</f>
        <v>#DIV/0!</v>
      </c>
      <c r="X747" s="28">
        <v>2372.0449999999996</v>
      </c>
      <c r="Y747">
        <f t="shared" si="159"/>
        <v>0.20145761617900174</v>
      </c>
      <c r="Z747">
        <f t="shared" si="162"/>
        <v>9.4143836058519795E-2</v>
      </c>
      <c r="AA747">
        <f t="shared" si="163"/>
        <v>8.0015114027538733E-2</v>
      </c>
      <c r="AB747">
        <f t="shared" si="164"/>
        <v>0.20141209122203096</v>
      </c>
      <c r="AC747">
        <f t="shared" si="165"/>
        <v>1.5233897013836574E-4</v>
      </c>
      <c r="AD747">
        <f t="shared" si="166"/>
        <v>1.326050350957401E-3</v>
      </c>
      <c r="AE747">
        <f t="shared" si="167"/>
        <v>4.0882562392426845E-2</v>
      </c>
      <c r="AF747">
        <f t="shared" si="168"/>
        <v>0.14717238597246127</v>
      </c>
      <c r="AG747">
        <f t="shared" si="160"/>
        <v>0.76656199517307522</v>
      </c>
      <c r="AH747">
        <v>0.35124627964870836</v>
      </c>
      <c r="AI747">
        <v>0.5104477611940299</v>
      </c>
      <c r="AJ747">
        <v>1.2239486828850741E-2</v>
      </c>
      <c r="AK747">
        <v>6.5015335676615665E-3</v>
      </c>
      <c r="AL747">
        <v>0.34340765348880675</v>
      </c>
    </row>
    <row r="748" spans="1:38" x14ac:dyDescent="0.25">
      <c r="A748">
        <v>25</v>
      </c>
      <c r="B748" s="5" t="s">
        <v>6</v>
      </c>
      <c r="C748" s="6" t="s">
        <v>5</v>
      </c>
      <c r="D748" s="6" t="s">
        <v>38</v>
      </c>
      <c r="E748" s="28">
        <v>27146.7644</v>
      </c>
      <c r="F748" s="11">
        <v>3</v>
      </c>
      <c r="G748" s="11">
        <v>15</v>
      </c>
      <c r="H748" s="11">
        <f t="shared" si="156"/>
        <v>-12</v>
      </c>
      <c r="I748" s="18">
        <v>1</v>
      </c>
      <c r="J748" s="19">
        <v>0.91055718475073311</v>
      </c>
      <c r="K748" s="19">
        <v>1.2</v>
      </c>
      <c r="L748" s="6">
        <v>4680054</v>
      </c>
      <c r="M748" s="6">
        <v>2126494.5</v>
      </c>
      <c r="N748" s="6">
        <v>1859563.125</v>
      </c>
      <c r="O748" s="6">
        <v>4549873.5</v>
      </c>
      <c r="P748" s="6">
        <v>3540.35766601562</v>
      </c>
      <c r="Q748" s="6">
        <v>43012.63671875</v>
      </c>
      <c r="R748" s="6">
        <v>900930</v>
      </c>
      <c r="S748" s="6">
        <v>3454264</v>
      </c>
      <c r="T748" s="31">
        <f t="shared" si="157"/>
        <v>1761.7732119384766</v>
      </c>
      <c r="U748" s="37">
        <v>2348.3333333333335</v>
      </c>
      <c r="V748">
        <f t="shared" si="158"/>
        <v>0.7502228013932476</v>
      </c>
      <c r="W748">
        <f t="shared" ref="W748:W776" si="169">(V748-V747)/V747</f>
        <v>-2.1314901968416046E-2</v>
      </c>
      <c r="X748" s="28">
        <v>2589.2016666666659</v>
      </c>
      <c r="Y748">
        <f t="shared" si="159"/>
        <v>0.19929257629524483</v>
      </c>
      <c r="Z748">
        <f t="shared" si="162"/>
        <v>9.055334989354151E-2</v>
      </c>
      <c r="AA748">
        <f t="shared" si="163"/>
        <v>7.9186506387508876E-2</v>
      </c>
      <c r="AB748">
        <f t="shared" si="164"/>
        <v>0.19374904897090134</v>
      </c>
      <c r="AC748">
        <f t="shared" si="165"/>
        <v>1.5076044000066516E-4</v>
      </c>
      <c r="AD748">
        <f t="shared" si="166"/>
        <v>1.8316239908623135E-3</v>
      </c>
      <c r="AE748">
        <f t="shared" si="167"/>
        <v>3.8364655784244146E-2</v>
      </c>
      <c r="AF748">
        <f t="shared" si="168"/>
        <v>0.14709427963094393</v>
      </c>
      <c r="AG748">
        <f t="shared" si="160"/>
        <v>0.7502228013932476</v>
      </c>
      <c r="AH748">
        <v>0.35124627964870836</v>
      </c>
      <c r="AI748">
        <v>0.5104477611940299</v>
      </c>
      <c r="AJ748">
        <v>1.2239486828850741E-2</v>
      </c>
      <c r="AK748">
        <v>6.5015335676615665E-3</v>
      </c>
      <c r="AL748">
        <v>0.34340765348880675</v>
      </c>
    </row>
    <row r="749" spans="1:38" x14ac:dyDescent="0.25">
      <c r="A749">
        <v>25</v>
      </c>
      <c r="B749" s="5" t="s">
        <v>6</v>
      </c>
      <c r="C749" s="6" t="s">
        <v>5</v>
      </c>
      <c r="D749" s="6" t="s">
        <v>39</v>
      </c>
      <c r="E749" s="28">
        <v>27146.7644</v>
      </c>
      <c r="F749" s="11">
        <v>4</v>
      </c>
      <c r="G749" s="11">
        <v>15</v>
      </c>
      <c r="H749" s="11">
        <f t="shared" si="156"/>
        <v>-11</v>
      </c>
      <c r="I749" s="18">
        <v>1</v>
      </c>
      <c r="J749" s="19">
        <v>0.91055718475073311</v>
      </c>
      <c r="K749" s="19">
        <v>1.2</v>
      </c>
      <c r="L749" s="6">
        <v>4448146</v>
      </c>
      <c r="M749" s="6">
        <v>2218845.75</v>
      </c>
      <c r="N749" s="6">
        <v>1859553.625</v>
      </c>
      <c r="O749" s="6">
        <v>4747376.5</v>
      </c>
      <c r="P749" s="6">
        <v>3540.35766601562</v>
      </c>
      <c r="Q749" s="6">
        <v>117560.9296875</v>
      </c>
      <c r="R749" s="6">
        <v>886623.8125</v>
      </c>
      <c r="S749" s="6">
        <v>3512750</v>
      </c>
      <c r="T749" s="31">
        <f t="shared" si="157"/>
        <v>1779.4396974853516</v>
      </c>
      <c r="U749" s="37">
        <v>2437.2222222222222</v>
      </c>
      <c r="V749">
        <f t="shared" si="158"/>
        <v>0.73010974594794464</v>
      </c>
      <c r="W749">
        <f t="shared" si="169"/>
        <v>-2.680944301872825E-2</v>
      </c>
      <c r="X749" s="28">
        <v>2806.3583333333327</v>
      </c>
      <c r="Y749">
        <f t="shared" si="159"/>
        <v>0.1825088397538181</v>
      </c>
      <c r="Z749">
        <f t="shared" si="162"/>
        <v>9.1039944153179855E-2</v>
      </c>
      <c r="AA749">
        <f t="shared" si="163"/>
        <v>7.6298074424435827E-2</v>
      </c>
      <c r="AB749">
        <f t="shared" si="164"/>
        <v>0.19478636197857307</v>
      </c>
      <c r="AC749">
        <f t="shared" si="165"/>
        <v>1.4526199678204047E-4</v>
      </c>
      <c r="AD749">
        <f t="shared" si="166"/>
        <v>4.8235621936972874E-3</v>
      </c>
      <c r="AE749">
        <f t="shared" si="167"/>
        <v>3.6378455949395941E-2</v>
      </c>
      <c r="AF749">
        <f t="shared" si="168"/>
        <v>0.14412924549806247</v>
      </c>
      <c r="AG749">
        <f t="shared" si="160"/>
        <v>0.73010974594794453</v>
      </c>
      <c r="AH749">
        <v>0.35124627964870836</v>
      </c>
      <c r="AI749">
        <v>0.5104477611940299</v>
      </c>
      <c r="AJ749">
        <v>1.2239486828850741E-2</v>
      </c>
      <c r="AK749">
        <v>6.5015335676615665E-3</v>
      </c>
      <c r="AL749">
        <v>0.34340765348880675</v>
      </c>
    </row>
    <row r="750" spans="1:38" x14ac:dyDescent="0.25">
      <c r="A750">
        <v>25</v>
      </c>
      <c r="B750" s="5" t="s">
        <v>6</v>
      </c>
      <c r="C750" s="6" t="s">
        <v>5</v>
      </c>
      <c r="D750" s="6" t="s">
        <v>40</v>
      </c>
      <c r="E750" s="28">
        <v>27146.7644</v>
      </c>
      <c r="F750" s="11">
        <v>5</v>
      </c>
      <c r="G750" s="11">
        <v>15</v>
      </c>
      <c r="H750" s="11">
        <f t="shared" si="156"/>
        <v>-10</v>
      </c>
      <c r="I750" s="18">
        <v>1</v>
      </c>
      <c r="J750" s="19">
        <v>0.91055718475073311</v>
      </c>
      <c r="K750" s="19">
        <v>1.2</v>
      </c>
      <c r="L750" s="6">
        <v>5040665.5</v>
      </c>
      <c r="M750" s="6">
        <v>2282125.75</v>
      </c>
      <c r="N750" s="6">
        <v>1860075.625</v>
      </c>
      <c r="O750" s="6">
        <v>4880097</v>
      </c>
      <c r="P750" s="6">
        <v>3540.35766601562</v>
      </c>
      <c r="Q750" s="6">
        <v>162262.3125</v>
      </c>
      <c r="R750" s="6">
        <v>954327.6875</v>
      </c>
      <c r="S750" s="6">
        <v>3631054</v>
      </c>
      <c r="T750" s="31">
        <f t="shared" si="157"/>
        <v>1881.4148232666016</v>
      </c>
      <c r="U750" s="37">
        <v>2526.1111111111113</v>
      </c>
      <c r="V750">
        <f t="shared" si="158"/>
        <v>0.74478704241915172</v>
      </c>
      <c r="W750">
        <f t="shared" si="169"/>
        <v>2.0102863374533753E-2</v>
      </c>
      <c r="X750" s="28">
        <v>3023.514999999999</v>
      </c>
      <c r="Y750">
        <f t="shared" si="159"/>
        <v>0.19954250934682208</v>
      </c>
      <c r="Z750">
        <f t="shared" si="162"/>
        <v>9.0341463602375188E-2</v>
      </c>
      <c r="AA750">
        <f t="shared" si="163"/>
        <v>7.3633959203870683E-2</v>
      </c>
      <c r="AB750">
        <f t="shared" si="164"/>
        <v>0.19318615790631183</v>
      </c>
      <c r="AC750">
        <f t="shared" si="165"/>
        <v>1.4015051240000255E-4</v>
      </c>
      <c r="AD750">
        <f t="shared" si="166"/>
        <v>6.4234036177699579E-3</v>
      </c>
      <c r="AE750">
        <f t="shared" si="167"/>
        <v>3.7778531724213762E-2</v>
      </c>
      <c r="AF750">
        <f t="shared" si="168"/>
        <v>0.14374086650538817</v>
      </c>
      <c r="AG750">
        <f t="shared" si="160"/>
        <v>0.74478704241915172</v>
      </c>
      <c r="AH750">
        <v>0.35124627964870836</v>
      </c>
      <c r="AI750">
        <v>0.5104477611940299</v>
      </c>
      <c r="AJ750">
        <v>1.2239486828850741E-2</v>
      </c>
      <c r="AK750">
        <v>6.5015335676615665E-3</v>
      </c>
      <c r="AL750">
        <v>0.34340765348880675</v>
      </c>
    </row>
    <row r="751" spans="1:38" x14ac:dyDescent="0.25">
      <c r="A751">
        <v>25</v>
      </c>
      <c r="B751" s="5" t="s">
        <v>6</v>
      </c>
      <c r="C751" s="6" t="s">
        <v>5</v>
      </c>
      <c r="D751" s="6" t="s">
        <v>41</v>
      </c>
      <c r="E751" s="28">
        <v>27146.7644</v>
      </c>
      <c r="F751" s="11">
        <v>6</v>
      </c>
      <c r="G751" s="11">
        <v>15</v>
      </c>
      <c r="H751" s="11">
        <f t="shared" si="156"/>
        <v>-9</v>
      </c>
      <c r="I751" s="18">
        <v>1</v>
      </c>
      <c r="J751" s="19">
        <v>0.91055718475073311</v>
      </c>
      <c r="K751" s="19">
        <v>1.2</v>
      </c>
      <c r="L751" s="6">
        <v>5325390.5</v>
      </c>
      <c r="M751" s="6">
        <v>2272603.75</v>
      </c>
      <c r="N751" s="6">
        <v>1862379.625</v>
      </c>
      <c r="O751" s="6">
        <v>4861485</v>
      </c>
      <c r="P751" s="6">
        <v>3540.35766601562</v>
      </c>
      <c r="Q751" s="6">
        <v>107362.6953125</v>
      </c>
      <c r="R751" s="6">
        <v>942670.125</v>
      </c>
      <c r="S751" s="6">
        <v>3587007.25</v>
      </c>
      <c r="T751" s="31">
        <f t="shared" si="157"/>
        <v>1896.2439302978516</v>
      </c>
      <c r="U751" s="37">
        <v>2615</v>
      </c>
      <c r="V751">
        <f t="shared" si="158"/>
        <v>0.72514108233187446</v>
      </c>
      <c r="W751">
        <f t="shared" si="169"/>
        <v>-2.6377956339660502E-2</v>
      </c>
      <c r="X751" s="28">
        <v>3240.6716666666653</v>
      </c>
      <c r="Y751">
        <f t="shared" si="159"/>
        <v>0.20364782026768641</v>
      </c>
      <c r="Z751">
        <f t="shared" si="162"/>
        <v>8.6906453154875718E-2</v>
      </c>
      <c r="AA751">
        <f t="shared" si="163"/>
        <v>7.1219106118546843E-2</v>
      </c>
      <c r="AB751">
        <f t="shared" si="164"/>
        <v>0.1859076481835564</v>
      </c>
      <c r="AC751">
        <f t="shared" si="165"/>
        <v>1.3538652642507151E-4</v>
      </c>
      <c r="AD751">
        <f t="shared" si="166"/>
        <v>4.1056480043021029E-3</v>
      </c>
      <c r="AE751">
        <f t="shared" si="167"/>
        <v>3.6048570745697894E-2</v>
      </c>
      <c r="AF751">
        <f t="shared" si="168"/>
        <v>0.13717044933078393</v>
      </c>
      <c r="AG751">
        <f t="shared" si="160"/>
        <v>0.72514108233187446</v>
      </c>
      <c r="AH751">
        <v>0.35124627964870836</v>
      </c>
      <c r="AI751">
        <v>0.5104477611940299</v>
      </c>
      <c r="AJ751">
        <v>1.2239486828850741E-2</v>
      </c>
      <c r="AK751">
        <v>6.5015335676615665E-3</v>
      </c>
      <c r="AL751">
        <v>0.34340765348880675</v>
      </c>
    </row>
    <row r="752" spans="1:38" x14ac:dyDescent="0.25">
      <c r="A752">
        <v>25</v>
      </c>
      <c r="B752" s="5" t="s">
        <v>6</v>
      </c>
      <c r="C752" s="6" t="s">
        <v>5</v>
      </c>
      <c r="D752" s="6" t="s">
        <v>42</v>
      </c>
      <c r="E752" s="28">
        <v>27146.7644</v>
      </c>
      <c r="F752" s="11">
        <v>7</v>
      </c>
      <c r="G752" s="11">
        <v>15</v>
      </c>
      <c r="H752" s="11">
        <f t="shared" si="156"/>
        <v>-8</v>
      </c>
      <c r="I752" s="18">
        <v>1</v>
      </c>
      <c r="J752" s="19">
        <v>0.91055718475073311</v>
      </c>
      <c r="K752" s="19">
        <v>1.2</v>
      </c>
      <c r="L752" s="6">
        <v>6504358.5</v>
      </c>
      <c r="M752" s="6">
        <v>2292522.75</v>
      </c>
      <c r="N752" s="6">
        <v>1869200.5</v>
      </c>
      <c r="O752" s="6">
        <v>4905261.5</v>
      </c>
      <c r="P752" s="6">
        <v>3542.05712890625</v>
      </c>
      <c r="Q752" s="6">
        <v>49266.3828125</v>
      </c>
      <c r="R752" s="6">
        <v>942142.5</v>
      </c>
      <c r="S752" s="6">
        <v>3462058.75</v>
      </c>
      <c r="T752" s="31">
        <f t="shared" si="157"/>
        <v>2002.8352939941406</v>
      </c>
      <c r="U752" s="37">
        <v>2703.8888888888887</v>
      </c>
      <c r="V752">
        <f t="shared" si="158"/>
        <v>0.74072396326062329</v>
      </c>
      <c r="W752">
        <f t="shared" si="169"/>
        <v>2.1489447099918995E-2</v>
      </c>
      <c r="X752" s="28">
        <v>3457.828333333332</v>
      </c>
      <c r="Y752">
        <f t="shared" si="159"/>
        <v>0.24055568728169305</v>
      </c>
      <c r="Z752">
        <f t="shared" si="162"/>
        <v>8.4786130059584963E-2</v>
      </c>
      <c r="AA752">
        <f t="shared" si="163"/>
        <v>6.9130078076844056E-2</v>
      </c>
      <c r="AB752">
        <f t="shared" si="164"/>
        <v>0.18141505444832545</v>
      </c>
      <c r="AC752">
        <f t="shared" si="165"/>
        <v>1.3099861993078385E-4</v>
      </c>
      <c r="AD752">
        <f t="shared" si="166"/>
        <v>1.8220564837168687E-3</v>
      </c>
      <c r="AE752">
        <f t="shared" si="167"/>
        <v>3.4843979864392853E-2</v>
      </c>
      <c r="AF752">
        <f t="shared" si="168"/>
        <v>0.12803997842613521</v>
      </c>
      <c r="AG752">
        <f t="shared" si="160"/>
        <v>0.74072396326062329</v>
      </c>
      <c r="AH752">
        <v>0.35124627964870836</v>
      </c>
      <c r="AI752">
        <v>0.5104477611940299</v>
      </c>
      <c r="AJ752">
        <v>1.2239486828850741E-2</v>
      </c>
      <c r="AK752">
        <v>6.5015335676615665E-3</v>
      </c>
      <c r="AL752">
        <v>0.34340765348880675</v>
      </c>
    </row>
    <row r="753" spans="1:38" x14ac:dyDescent="0.25">
      <c r="A753">
        <v>25</v>
      </c>
      <c r="B753" s="5" t="s">
        <v>6</v>
      </c>
      <c r="C753" s="6" t="s">
        <v>5</v>
      </c>
      <c r="D753" s="6" t="s">
        <v>43</v>
      </c>
      <c r="E753" s="28">
        <v>28954.2</v>
      </c>
      <c r="F753" s="11">
        <v>8</v>
      </c>
      <c r="G753" s="11">
        <v>15</v>
      </c>
      <c r="H753" s="18">
        <f t="shared" si="156"/>
        <v>-7</v>
      </c>
      <c r="I753" s="18">
        <v>1</v>
      </c>
      <c r="J753" s="19">
        <v>0.91055718475073311</v>
      </c>
      <c r="K753" s="19">
        <v>1.2</v>
      </c>
      <c r="L753" s="14">
        <v>4530886.5</v>
      </c>
      <c r="M753" s="14">
        <v>2060413.5</v>
      </c>
      <c r="N753" s="14">
        <v>1837698.25</v>
      </c>
      <c r="O753" s="14">
        <v>4569561.5</v>
      </c>
      <c r="P753" s="14">
        <v>3620.91235351562</v>
      </c>
      <c r="Q753" s="14">
        <v>26200.587890625</v>
      </c>
      <c r="R753" s="14">
        <v>990200.6875</v>
      </c>
      <c r="S753" s="14">
        <v>3240888.75</v>
      </c>
      <c r="T753" s="31">
        <f t="shared" si="157"/>
        <v>1725.947068774414</v>
      </c>
      <c r="U753" s="37">
        <v>2122.1111111111109</v>
      </c>
      <c r="V753">
        <f t="shared" si="158"/>
        <v>0.8133160698973626</v>
      </c>
      <c r="W753">
        <f t="shared" si="169"/>
        <v>9.8001563655633783E-2</v>
      </c>
      <c r="X753" s="28">
        <v>1740.5291666666665</v>
      </c>
      <c r="Y753">
        <f t="shared" si="159"/>
        <v>0.21350844808628727</v>
      </c>
      <c r="Z753">
        <f t="shared" si="162"/>
        <v>9.7092630504214891E-2</v>
      </c>
      <c r="AA753">
        <f t="shared" si="163"/>
        <v>8.6597645164668308E-2</v>
      </c>
      <c r="AB753">
        <f t="shared" si="164"/>
        <v>0.21533092570291643</v>
      </c>
      <c r="AC753">
        <f t="shared" si="165"/>
        <v>1.7062784010493003E-4</v>
      </c>
      <c r="AD753">
        <f t="shared" si="166"/>
        <v>1.2346473166952459E-3</v>
      </c>
      <c r="AE753">
        <f t="shared" si="167"/>
        <v>4.6661114129011999E-2</v>
      </c>
      <c r="AF753">
        <f t="shared" si="168"/>
        <v>0.15272003115346355</v>
      </c>
      <c r="AG753">
        <f t="shared" si="160"/>
        <v>0.8133160698973626</v>
      </c>
      <c r="AH753">
        <v>0.34488260770458168</v>
      </c>
      <c r="AI753">
        <v>0.51715320690389943</v>
      </c>
      <c r="AJ753">
        <v>1.224731592490331E-2</v>
      </c>
      <c r="AK753">
        <v>6.8614605135006316E-3</v>
      </c>
      <c r="AL753">
        <v>0.2909732991631081</v>
      </c>
    </row>
    <row r="754" spans="1:38" x14ac:dyDescent="0.25">
      <c r="A754">
        <v>25</v>
      </c>
      <c r="B754" s="5" t="s">
        <v>6</v>
      </c>
      <c r="C754" s="6" t="s">
        <v>5</v>
      </c>
      <c r="D754" s="6" t="s">
        <v>44</v>
      </c>
      <c r="E754" s="28">
        <v>28954.2</v>
      </c>
      <c r="F754" s="11">
        <v>9</v>
      </c>
      <c r="G754" s="11">
        <v>15</v>
      </c>
      <c r="H754" s="11">
        <f t="shared" si="156"/>
        <v>-6</v>
      </c>
      <c r="I754" s="18">
        <v>1</v>
      </c>
      <c r="J754" s="19">
        <v>0.91055718475073311</v>
      </c>
      <c r="K754" s="19">
        <v>1.2</v>
      </c>
      <c r="L754" s="6">
        <v>4508435.5</v>
      </c>
      <c r="M754" s="6">
        <v>2020106</v>
      </c>
      <c r="N754" s="6">
        <v>1837180.375</v>
      </c>
      <c r="O754" s="6">
        <v>4474275</v>
      </c>
      <c r="P754" s="6">
        <v>3620.91235351562</v>
      </c>
      <c r="Q754" s="6">
        <v>37302.33203125</v>
      </c>
      <c r="R754" s="6">
        <v>938476.625</v>
      </c>
      <c r="S754" s="6">
        <v>3283756.75</v>
      </c>
      <c r="T754" s="31">
        <f t="shared" si="157"/>
        <v>1710.3153494384765</v>
      </c>
      <c r="U754" s="37">
        <v>2181.6666666666665</v>
      </c>
      <c r="V754">
        <f t="shared" si="158"/>
        <v>0.78394897606041702</v>
      </c>
      <c r="W754">
        <f t="shared" si="169"/>
        <v>-3.6107848994858291E-2</v>
      </c>
      <c r="X754" s="28">
        <v>1856.7375</v>
      </c>
      <c r="Y754">
        <f t="shared" si="159"/>
        <v>0.20665097784568376</v>
      </c>
      <c r="Z754">
        <f t="shared" si="162"/>
        <v>9.2594621848739511E-2</v>
      </c>
      <c r="AA754">
        <f t="shared" si="163"/>
        <v>8.4209948433919032E-2</v>
      </c>
      <c r="AB754">
        <f t="shared" si="164"/>
        <v>0.20508517952635602</v>
      </c>
      <c r="AC754">
        <f t="shared" si="165"/>
        <v>1.6597000856450513E-4</v>
      </c>
      <c r="AD754">
        <f t="shared" si="166"/>
        <v>1.7098089548319329E-3</v>
      </c>
      <c r="AE754">
        <f t="shared" si="167"/>
        <v>4.3016499236058062E-2</v>
      </c>
      <c r="AF754">
        <f t="shared" si="168"/>
        <v>0.15051597020626434</v>
      </c>
      <c r="AG754">
        <f t="shared" si="160"/>
        <v>0.78394897606041725</v>
      </c>
      <c r="AH754">
        <v>0.34488260770458168</v>
      </c>
      <c r="AI754">
        <v>0.51715320690389943</v>
      </c>
      <c r="AJ754">
        <v>1.224731592490331E-2</v>
      </c>
      <c r="AK754">
        <v>6.8614605135006316E-3</v>
      </c>
      <c r="AL754">
        <v>0.2909732991631081</v>
      </c>
    </row>
    <row r="755" spans="1:38" x14ac:dyDescent="0.25">
      <c r="A755">
        <v>25</v>
      </c>
      <c r="B755" s="5" t="s">
        <v>6</v>
      </c>
      <c r="C755" s="6" t="s">
        <v>5</v>
      </c>
      <c r="D755" s="6" t="s">
        <v>45</v>
      </c>
      <c r="E755" s="28">
        <v>28954.2</v>
      </c>
      <c r="F755" s="11">
        <v>10</v>
      </c>
      <c r="G755" s="11">
        <v>15</v>
      </c>
      <c r="H755" s="11">
        <f t="shared" si="156"/>
        <v>-5</v>
      </c>
      <c r="I755" s="18">
        <v>1</v>
      </c>
      <c r="J755" s="19">
        <v>0.91055718475073311</v>
      </c>
      <c r="K755" s="19">
        <v>1.2</v>
      </c>
      <c r="L755" s="6">
        <v>5128572.5</v>
      </c>
      <c r="M755" s="6">
        <v>2097231</v>
      </c>
      <c r="N755" s="6">
        <v>1831354.5</v>
      </c>
      <c r="O755" s="6">
        <v>4647667.5</v>
      </c>
      <c r="P755" s="6">
        <v>3620.91235351562</v>
      </c>
      <c r="Q755" s="6">
        <v>109161.8984375</v>
      </c>
      <c r="R755" s="6">
        <v>920952.125</v>
      </c>
      <c r="S755" s="6">
        <v>3352409.25</v>
      </c>
      <c r="T755" s="31">
        <f t="shared" si="157"/>
        <v>1809.0969685791015</v>
      </c>
      <c r="U755" s="37">
        <v>2241.2222222222222</v>
      </c>
      <c r="V755">
        <f t="shared" si="158"/>
        <v>0.80719214303762399</v>
      </c>
      <c r="W755">
        <f t="shared" si="169"/>
        <v>2.9648826246334265E-2</v>
      </c>
      <c r="X755" s="28">
        <v>1972.9458333333332</v>
      </c>
      <c r="Y755">
        <f t="shared" si="159"/>
        <v>0.22882927222249763</v>
      </c>
      <c r="Z755">
        <f t="shared" si="162"/>
        <v>9.3575325963016209E-2</v>
      </c>
      <c r="AA755">
        <f t="shared" si="163"/>
        <v>8.1712312230429823E-2</v>
      </c>
      <c r="AB755">
        <f t="shared" si="164"/>
        <v>0.20737200684150511</v>
      </c>
      <c r="AC755">
        <f t="shared" si="165"/>
        <v>1.6155972029964095E-4</v>
      </c>
      <c r="AD755">
        <f t="shared" si="166"/>
        <v>4.8706414453299294E-3</v>
      </c>
      <c r="AE755">
        <f t="shared" si="167"/>
        <v>4.1091513187249025E-2</v>
      </c>
      <c r="AF755">
        <f t="shared" si="168"/>
        <v>0.14957951142729661</v>
      </c>
      <c r="AG755">
        <f t="shared" si="160"/>
        <v>0.80719214303762399</v>
      </c>
      <c r="AH755">
        <v>0.34488260770458168</v>
      </c>
      <c r="AI755">
        <v>0.51715320690389943</v>
      </c>
      <c r="AJ755">
        <v>1.224731592490331E-2</v>
      </c>
      <c r="AK755">
        <v>6.8614605135006316E-3</v>
      </c>
      <c r="AL755">
        <v>0.2909732991631081</v>
      </c>
    </row>
    <row r="756" spans="1:38" x14ac:dyDescent="0.25">
      <c r="A756">
        <v>25</v>
      </c>
      <c r="B756" s="5" t="s">
        <v>6</v>
      </c>
      <c r="C756" s="6" t="s">
        <v>5</v>
      </c>
      <c r="D756" s="6" t="s">
        <v>46</v>
      </c>
      <c r="E756" s="28">
        <v>28954.2</v>
      </c>
      <c r="F756" s="11">
        <v>11</v>
      </c>
      <c r="G756" s="11">
        <v>15</v>
      </c>
      <c r="H756" s="11">
        <f t="shared" si="156"/>
        <v>-4</v>
      </c>
      <c r="I756" s="18">
        <v>1</v>
      </c>
      <c r="J756" s="19">
        <v>0.91055718475073311</v>
      </c>
      <c r="K756" s="19">
        <v>1.2</v>
      </c>
      <c r="L756" s="6">
        <v>4638894.5</v>
      </c>
      <c r="M756" s="6">
        <v>2131251.5</v>
      </c>
      <c r="N756" s="6">
        <v>1830391.75</v>
      </c>
      <c r="O756" s="6">
        <v>4726618.5</v>
      </c>
      <c r="P756" s="6">
        <v>3620.91235351562</v>
      </c>
      <c r="Q756" s="6">
        <v>150337.015625</v>
      </c>
      <c r="R756" s="6">
        <v>987533.3125</v>
      </c>
      <c r="S756" s="6">
        <v>3466001.75</v>
      </c>
      <c r="T756" s="31">
        <f t="shared" si="157"/>
        <v>1793.4649240478516</v>
      </c>
      <c r="U756" s="37">
        <v>2300.7777777777778</v>
      </c>
      <c r="V756">
        <f t="shared" si="158"/>
        <v>0.77950375797704463</v>
      </c>
      <c r="W756">
        <f t="shared" si="169"/>
        <v>-3.4302099319726373E-2</v>
      </c>
      <c r="X756" s="28">
        <v>2089.1541666666667</v>
      </c>
      <c r="Y756">
        <f t="shared" si="159"/>
        <v>0.20162288356594388</v>
      </c>
      <c r="Z756">
        <f t="shared" si="162"/>
        <v>9.2631783937798806E-2</v>
      </c>
      <c r="AA756">
        <f t="shared" si="163"/>
        <v>7.955534722557589E-2</v>
      </c>
      <c r="AB756">
        <f t="shared" si="164"/>
        <v>0.20543568117061864</v>
      </c>
      <c r="AC756">
        <f t="shared" si="165"/>
        <v>1.5737775236219915E-4</v>
      </c>
      <c r="AD756">
        <f t="shared" si="166"/>
        <v>6.5341823568117064E-3</v>
      </c>
      <c r="AE756">
        <f t="shared" si="167"/>
        <v>4.2921716388177905E-2</v>
      </c>
      <c r="AF756">
        <f t="shared" si="168"/>
        <v>0.15064478557975564</v>
      </c>
      <c r="AG756">
        <f t="shared" si="160"/>
        <v>0.77950375797704474</v>
      </c>
      <c r="AH756">
        <v>0.34488260770458168</v>
      </c>
      <c r="AI756">
        <v>0.51715320690389943</v>
      </c>
      <c r="AJ756">
        <v>1.224731592490331E-2</v>
      </c>
      <c r="AK756">
        <v>6.8614605135006316E-3</v>
      </c>
      <c r="AL756">
        <v>0.2909732991631081</v>
      </c>
    </row>
    <row r="757" spans="1:38" x14ac:dyDescent="0.25">
      <c r="A757">
        <v>25</v>
      </c>
      <c r="B757" s="5" t="s">
        <v>6</v>
      </c>
      <c r="C757" s="6" t="s">
        <v>5</v>
      </c>
      <c r="D757" s="6" t="s">
        <v>47</v>
      </c>
      <c r="E757" s="28">
        <v>28954.2</v>
      </c>
      <c r="F757" s="11">
        <v>12</v>
      </c>
      <c r="G757" s="11">
        <v>15</v>
      </c>
      <c r="H757" s="11">
        <f t="shared" si="156"/>
        <v>-3</v>
      </c>
      <c r="I757" s="18">
        <v>1</v>
      </c>
      <c r="J757" s="19">
        <v>0.91055718475073311</v>
      </c>
      <c r="K757" s="19">
        <v>1.2</v>
      </c>
      <c r="L757" s="6">
        <v>4608555.5</v>
      </c>
      <c r="M757" s="6">
        <v>2108328</v>
      </c>
      <c r="N757" s="6">
        <v>1829582.875</v>
      </c>
      <c r="O757" s="6">
        <v>4679663.5</v>
      </c>
      <c r="P757" s="6">
        <v>3620.91235351562</v>
      </c>
      <c r="Q757" s="6">
        <v>98649.2265625</v>
      </c>
      <c r="R757" s="6">
        <v>971422.4375</v>
      </c>
      <c r="S757" s="6">
        <v>3440831.75</v>
      </c>
      <c r="T757" s="31">
        <f t="shared" si="157"/>
        <v>1774.0654201416016</v>
      </c>
      <c r="U757" s="37">
        <v>2360.3333333333335</v>
      </c>
      <c r="V757">
        <f t="shared" si="158"/>
        <v>0.75161647513413421</v>
      </c>
      <c r="W757">
        <f t="shared" si="169"/>
        <v>-3.577568749031184E-2</v>
      </c>
      <c r="X757" s="28">
        <v>2205.3624999999997</v>
      </c>
      <c r="Y757">
        <f t="shared" si="159"/>
        <v>0.19525019771218755</v>
      </c>
      <c r="Z757">
        <f t="shared" si="162"/>
        <v>8.9323315915831092E-2</v>
      </c>
      <c r="AA757">
        <f t="shared" si="163"/>
        <v>7.7513749823471256E-2</v>
      </c>
      <c r="AB757">
        <f t="shared" si="164"/>
        <v>0.19826282304759213</v>
      </c>
      <c r="AC757">
        <f t="shared" si="165"/>
        <v>1.5340682192553111E-4</v>
      </c>
      <c r="AD757">
        <f t="shared" si="166"/>
        <v>4.1794616535446973E-3</v>
      </c>
      <c r="AE757">
        <f t="shared" si="167"/>
        <v>4.1156154674480999E-2</v>
      </c>
      <c r="AF757">
        <f t="shared" si="168"/>
        <v>0.14577736548510098</v>
      </c>
      <c r="AG757">
        <f t="shared" si="160"/>
        <v>0.75161647513413421</v>
      </c>
      <c r="AH757">
        <v>0.34488260770458168</v>
      </c>
      <c r="AI757">
        <v>0.51715320690389943</v>
      </c>
      <c r="AJ757">
        <v>1.224731592490331E-2</v>
      </c>
      <c r="AK757">
        <v>6.8614605135006316E-3</v>
      </c>
      <c r="AL757">
        <v>0.2909732991631081</v>
      </c>
    </row>
    <row r="758" spans="1:38" x14ac:dyDescent="0.25">
      <c r="A758">
        <v>25</v>
      </c>
      <c r="B758" s="5" t="s">
        <v>6</v>
      </c>
      <c r="C758" s="6" t="s">
        <v>5</v>
      </c>
      <c r="D758" s="6" t="s">
        <v>48</v>
      </c>
      <c r="E758" s="28">
        <v>28954.2</v>
      </c>
      <c r="F758" s="11">
        <v>13</v>
      </c>
      <c r="G758" s="11">
        <v>15</v>
      </c>
      <c r="H758" s="11">
        <f t="shared" si="156"/>
        <v>-2</v>
      </c>
      <c r="I758" s="18">
        <v>1</v>
      </c>
      <c r="J758" s="19">
        <v>0.91055718475073311</v>
      </c>
      <c r="K758" s="19">
        <v>1.2</v>
      </c>
      <c r="L758" s="6">
        <v>4827605.5</v>
      </c>
      <c r="M758" s="6">
        <v>2119750.5</v>
      </c>
      <c r="N758" s="6">
        <v>1829255.875</v>
      </c>
      <c r="O758" s="6">
        <v>4706519</v>
      </c>
      <c r="P758" s="6">
        <v>3620.91235351562</v>
      </c>
      <c r="Q758" s="6">
        <v>48795.4375</v>
      </c>
      <c r="R758" s="6">
        <v>967351.6875</v>
      </c>
      <c r="S758" s="6">
        <v>3342934.5</v>
      </c>
      <c r="T758" s="31">
        <f t="shared" si="157"/>
        <v>1784.5833412353516</v>
      </c>
      <c r="U758" s="37">
        <v>2400.6666666666665</v>
      </c>
      <c r="V758">
        <f t="shared" si="158"/>
        <v>0.74336990054235697</v>
      </c>
      <c r="W758">
        <f t="shared" si="169"/>
        <v>-1.0971785298220816E-2</v>
      </c>
      <c r="X758" s="28">
        <v>2321.5708333333332</v>
      </c>
      <c r="Y758">
        <f t="shared" si="159"/>
        <v>0.20109436961955013</v>
      </c>
      <c r="Z758">
        <f t="shared" si="162"/>
        <v>8.8298410163843377E-2</v>
      </c>
      <c r="AA758">
        <f t="shared" si="163"/>
        <v>7.6197828728131078E-2</v>
      </c>
      <c r="AB758">
        <f t="shared" si="164"/>
        <v>0.1960504998611497</v>
      </c>
      <c r="AC758">
        <f t="shared" si="165"/>
        <v>1.5082945099343043E-4</v>
      </c>
      <c r="AD758">
        <f t="shared" si="166"/>
        <v>2.0325786239933355E-3</v>
      </c>
      <c r="AE758">
        <f t="shared" si="167"/>
        <v>4.0295127221605109E-2</v>
      </c>
      <c r="AF758">
        <f t="shared" si="168"/>
        <v>0.13925025687309084</v>
      </c>
      <c r="AG758">
        <f t="shared" si="160"/>
        <v>0.74336990054235685</v>
      </c>
      <c r="AH758">
        <v>0.34488260770458168</v>
      </c>
      <c r="AI758">
        <v>0.51715320690389943</v>
      </c>
      <c r="AJ758">
        <v>1.224731592490331E-2</v>
      </c>
      <c r="AK758">
        <v>6.8614605135006316E-3</v>
      </c>
      <c r="AL758">
        <v>0.2909732991631081</v>
      </c>
    </row>
    <row r="759" spans="1:38" x14ac:dyDescent="0.25">
      <c r="A759">
        <v>25</v>
      </c>
      <c r="B759" s="5" t="s">
        <v>6</v>
      </c>
      <c r="C759" s="6" t="s">
        <v>5</v>
      </c>
      <c r="D759" s="6" t="s">
        <v>49</v>
      </c>
      <c r="E759" s="28">
        <v>28954.2</v>
      </c>
      <c r="F759" s="11">
        <v>14</v>
      </c>
      <c r="G759" s="11">
        <v>15</v>
      </c>
      <c r="H759" s="11">
        <f t="shared" si="156"/>
        <v>-1</v>
      </c>
      <c r="I759" s="18">
        <v>1</v>
      </c>
      <c r="J759" s="19">
        <v>0.91055718475073311</v>
      </c>
      <c r="K759" s="19">
        <v>1.2</v>
      </c>
      <c r="L759" s="6">
        <v>5430146.5</v>
      </c>
      <c r="M759" s="6">
        <v>2036548</v>
      </c>
      <c r="N759" s="6">
        <v>1829153.75</v>
      </c>
      <c r="O759" s="6">
        <v>4519545</v>
      </c>
      <c r="P759" s="6">
        <v>3620.91235351562</v>
      </c>
      <c r="Q759" s="6">
        <v>29717.91796875</v>
      </c>
      <c r="R759" s="6">
        <v>982209.3125</v>
      </c>
      <c r="S759" s="6">
        <v>3278233.5</v>
      </c>
      <c r="T759" s="31">
        <f t="shared" si="157"/>
        <v>1810.9174892822266</v>
      </c>
      <c r="U759" s="37">
        <v>2441</v>
      </c>
      <c r="V759">
        <f t="shared" si="158"/>
        <v>0.74187525165187485</v>
      </c>
      <c r="W759">
        <f t="shared" si="169"/>
        <v>-2.0106395071842905E-3</v>
      </c>
      <c r="X759" s="28">
        <v>2437.7791666666662</v>
      </c>
      <c r="Y759">
        <f t="shared" si="159"/>
        <v>0.22245581728799671</v>
      </c>
      <c r="Z759">
        <f t="shared" si="162"/>
        <v>8.343088897992626E-2</v>
      </c>
      <c r="AA759">
        <f t="shared" si="163"/>
        <v>7.4934606718557978E-2</v>
      </c>
      <c r="AB759">
        <f t="shared" si="164"/>
        <v>0.1851513723883654</v>
      </c>
      <c r="AC759">
        <f t="shared" si="165"/>
        <v>1.4833725331895206E-4</v>
      </c>
      <c r="AD759">
        <f t="shared" si="166"/>
        <v>1.2174485034309711E-3</v>
      </c>
      <c r="AE759">
        <f t="shared" si="167"/>
        <v>4.023798904137648E-2</v>
      </c>
      <c r="AF759">
        <f t="shared" si="168"/>
        <v>0.13429879147890209</v>
      </c>
      <c r="AG759">
        <f t="shared" si="160"/>
        <v>0.74187525165187485</v>
      </c>
      <c r="AH759">
        <v>0.34488260770458168</v>
      </c>
      <c r="AI759">
        <v>0.51715320690389943</v>
      </c>
      <c r="AJ759">
        <v>1.224731592490331E-2</v>
      </c>
      <c r="AK759">
        <v>6.8614605135006316E-3</v>
      </c>
      <c r="AL759">
        <v>0.2909732991631081</v>
      </c>
    </row>
    <row r="760" spans="1:38" x14ac:dyDescent="0.25">
      <c r="A760">
        <v>25</v>
      </c>
      <c r="B760" s="21" t="s">
        <v>6</v>
      </c>
      <c r="C760" s="22" t="s">
        <v>5</v>
      </c>
      <c r="D760" s="22" t="s">
        <v>50</v>
      </c>
      <c r="E760" s="28">
        <v>28954.2</v>
      </c>
      <c r="F760" s="22">
        <v>15</v>
      </c>
      <c r="G760" s="22">
        <v>15</v>
      </c>
      <c r="H760" s="22">
        <f t="shared" si="156"/>
        <v>0</v>
      </c>
      <c r="I760" s="18">
        <v>1</v>
      </c>
      <c r="J760" s="19">
        <v>0.91055718475073311</v>
      </c>
      <c r="K760" s="19">
        <v>1.2</v>
      </c>
      <c r="L760" s="22">
        <v>5778442.5</v>
      </c>
      <c r="M760" s="22">
        <v>1979568.25</v>
      </c>
      <c r="N760" s="22">
        <v>1829125</v>
      </c>
      <c r="O760" s="22">
        <v>4392934.5</v>
      </c>
      <c r="P760" s="22">
        <v>3620.91235351562</v>
      </c>
      <c r="Q760" s="22">
        <v>41468.90234375</v>
      </c>
      <c r="R760" s="22">
        <v>931669.875</v>
      </c>
      <c r="S760" s="22">
        <v>3310758.75</v>
      </c>
      <c r="T760" s="32">
        <f t="shared" si="157"/>
        <v>1826.7588689697266</v>
      </c>
      <c r="U760" s="37">
        <v>2481.3333333333335</v>
      </c>
      <c r="V760">
        <f t="shared" si="158"/>
        <v>0.73620051140639164</v>
      </c>
      <c r="W760">
        <f t="shared" si="169"/>
        <v>-7.6491839198675332E-3</v>
      </c>
      <c r="X760" s="28">
        <v>2553.9874999999997</v>
      </c>
      <c r="Y760">
        <f t="shared" si="159"/>
        <v>0.23287651128425577</v>
      </c>
      <c r="Z760">
        <f t="shared" si="162"/>
        <v>7.9778408785599136E-2</v>
      </c>
      <c r="AA760">
        <f t="shared" si="163"/>
        <v>7.3715408382589998E-2</v>
      </c>
      <c r="AB760">
        <f t="shared" si="164"/>
        <v>0.17703927324019345</v>
      </c>
      <c r="AC760">
        <f t="shared" si="165"/>
        <v>1.4592607550439091E-4</v>
      </c>
      <c r="AD760">
        <f t="shared" si="166"/>
        <v>1.6712346457717622E-3</v>
      </c>
      <c r="AE760">
        <f t="shared" si="167"/>
        <v>3.7547147031166038E-2</v>
      </c>
      <c r="AF760">
        <f t="shared" si="168"/>
        <v>0.13342660196131112</v>
      </c>
      <c r="AG760">
        <f t="shared" si="160"/>
        <v>0.73620051140639164</v>
      </c>
      <c r="AH760">
        <v>0.34488260770458168</v>
      </c>
      <c r="AI760">
        <v>0.51715320690389943</v>
      </c>
      <c r="AJ760">
        <v>1.224731592490331E-2</v>
      </c>
      <c r="AK760">
        <v>6.8614605135006316E-3</v>
      </c>
      <c r="AL760">
        <v>0.2909732991631081</v>
      </c>
    </row>
    <row r="761" spans="1:38" x14ac:dyDescent="0.25">
      <c r="A761">
        <v>25</v>
      </c>
      <c r="B761" s="5" t="s">
        <v>6</v>
      </c>
      <c r="C761" s="6" t="s">
        <v>5</v>
      </c>
      <c r="D761" s="6" t="s">
        <v>51</v>
      </c>
      <c r="E761" s="28">
        <v>28954.2</v>
      </c>
      <c r="F761" s="11">
        <v>16</v>
      </c>
      <c r="G761" s="11">
        <v>15</v>
      </c>
      <c r="H761" s="11">
        <f t="shared" si="156"/>
        <v>1</v>
      </c>
      <c r="I761" s="18">
        <v>1</v>
      </c>
      <c r="J761" s="19">
        <v>0.91055718475073311</v>
      </c>
      <c r="K761" s="19">
        <v>1.2</v>
      </c>
      <c r="L761" s="6">
        <v>5044836</v>
      </c>
      <c r="M761" s="6">
        <v>2065411.125</v>
      </c>
      <c r="N761" s="6">
        <v>1829284.625</v>
      </c>
      <c r="O761" s="6">
        <v>4583742</v>
      </c>
      <c r="P761" s="6">
        <v>3620.91235351562</v>
      </c>
      <c r="Q761" s="6">
        <v>113240.2421875</v>
      </c>
      <c r="R761" s="6">
        <v>916964.4375</v>
      </c>
      <c r="S761" s="6">
        <v>3366746.25</v>
      </c>
      <c r="T761" s="31">
        <f t="shared" si="157"/>
        <v>1792.3845592041016</v>
      </c>
      <c r="U761" s="37">
        <v>2568.7777777777778</v>
      </c>
      <c r="V761">
        <f t="shared" si="158"/>
        <v>0.69775773315614487</v>
      </c>
      <c r="W761">
        <f t="shared" si="169"/>
        <v>-5.2217809760561139E-2</v>
      </c>
      <c r="X761" s="28">
        <v>2670.1958333333332</v>
      </c>
      <c r="Y761">
        <f t="shared" si="159"/>
        <v>0.19639051862104762</v>
      </c>
      <c r="Z761">
        <f t="shared" si="162"/>
        <v>8.0404429798001636E-2</v>
      </c>
      <c r="AA761">
        <f t="shared" si="163"/>
        <v>7.1212256693628614E-2</v>
      </c>
      <c r="AB761">
        <f t="shared" si="164"/>
        <v>0.17844058134002336</v>
      </c>
      <c r="AC761">
        <f t="shared" si="165"/>
        <v>1.409585673326726E-4</v>
      </c>
      <c r="AD761">
        <f t="shared" si="166"/>
        <v>4.4083315873848349E-3</v>
      </c>
      <c r="AE761">
        <f t="shared" si="167"/>
        <v>3.5696526396037889E-2</v>
      </c>
      <c r="AF761">
        <f t="shared" si="168"/>
        <v>0.13106413015268828</v>
      </c>
      <c r="AG761">
        <f t="shared" si="160"/>
        <v>0.69775773315614498</v>
      </c>
      <c r="AH761">
        <v>0.34488260770458168</v>
      </c>
      <c r="AI761">
        <v>0.51715320690389943</v>
      </c>
      <c r="AJ761">
        <v>1.224731592490331E-2</v>
      </c>
      <c r="AK761">
        <v>6.8614605135006316E-3</v>
      </c>
      <c r="AL761">
        <v>0.2909732991631081</v>
      </c>
    </row>
    <row r="762" spans="1:38" x14ac:dyDescent="0.25">
      <c r="A762">
        <v>25</v>
      </c>
      <c r="B762" s="5" t="s">
        <v>6</v>
      </c>
      <c r="C762" s="6" t="s">
        <v>5</v>
      </c>
      <c r="D762" s="6" t="s">
        <v>52</v>
      </c>
      <c r="E762" s="28">
        <v>28954.2</v>
      </c>
      <c r="F762" s="11">
        <v>17</v>
      </c>
      <c r="G762" s="11">
        <v>15</v>
      </c>
      <c r="H762" s="11">
        <f t="shared" si="156"/>
        <v>2</v>
      </c>
      <c r="I762" s="18">
        <v>1</v>
      </c>
      <c r="J762" s="19">
        <v>0.91055718475073311</v>
      </c>
      <c r="K762" s="19">
        <v>1.2</v>
      </c>
      <c r="L762" s="6">
        <v>4964740</v>
      </c>
      <c r="M762" s="6">
        <v>2124086.25</v>
      </c>
      <c r="N762" s="6">
        <v>1829838.625</v>
      </c>
      <c r="O762" s="6">
        <v>4712168</v>
      </c>
      <c r="P762" s="6">
        <v>3620.91235351562</v>
      </c>
      <c r="Q762" s="6">
        <v>156303.15625</v>
      </c>
      <c r="R762" s="6">
        <v>986529.625</v>
      </c>
      <c r="S762" s="6">
        <v>3480002.25</v>
      </c>
      <c r="T762" s="31">
        <f t="shared" si="157"/>
        <v>1825.7288818603515</v>
      </c>
      <c r="U762" s="37">
        <v>2656.2222222222222</v>
      </c>
      <c r="V762">
        <f t="shared" si="158"/>
        <v>0.68734041398574264</v>
      </c>
      <c r="W762">
        <f t="shared" si="169"/>
        <v>-1.4929707942156237E-2</v>
      </c>
      <c r="X762" s="28">
        <v>2786.4041666666662</v>
      </c>
      <c r="Y762">
        <f t="shared" si="159"/>
        <v>0.1869098134359575</v>
      </c>
      <c r="Z762">
        <f t="shared" si="162"/>
        <v>7.996643625031373E-2</v>
      </c>
      <c r="AA762">
        <f t="shared" si="163"/>
        <v>6.8888762758303357E-2</v>
      </c>
      <c r="AB762">
        <f t="shared" si="164"/>
        <v>0.17740112105747513</v>
      </c>
      <c r="AC762">
        <f t="shared" si="165"/>
        <v>1.3631812591667606E-4</v>
      </c>
      <c r="AD762">
        <f t="shared" si="166"/>
        <v>5.8844156540199116E-3</v>
      </c>
      <c r="AE762">
        <f t="shared" si="167"/>
        <v>3.714032721910817E-2</v>
      </c>
      <c r="AF762">
        <f t="shared" si="168"/>
        <v>0.1310132194846482</v>
      </c>
      <c r="AG762">
        <f t="shared" si="160"/>
        <v>0.68734041398574253</v>
      </c>
      <c r="AH762">
        <v>0.34488260770458168</v>
      </c>
      <c r="AI762">
        <v>0.51715320690389943</v>
      </c>
      <c r="AJ762">
        <v>1.224731592490331E-2</v>
      </c>
      <c r="AK762">
        <v>6.8614605135006316E-3</v>
      </c>
      <c r="AL762">
        <v>0.2909732991631081</v>
      </c>
    </row>
    <row r="763" spans="1:38" x14ac:dyDescent="0.25">
      <c r="A763">
        <v>25</v>
      </c>
      <c r="B763" s="5" t="s">
        <v>6</v>
      </c>
      <c r="C763" s="6" t="s">
        <v>5</v>
      </c>
      <c r="D763" s="6" t="s">
        <v>53</v>
      </c>
      <c r="E763" s="28">
        <v>28954.2</v>
      </c>
      <c r="F763" s="11">
        <v>18</v>
      </c>
      <c r="G763" s="11">
        <v>15</v>
      </c>
      <c r="H763" s="11">
        <f t="shared" si="156"/>
        <v>3</v>
      </c>
      <c r="I763" s="18">
        <v>1</v>
      </c>
      <c r="J763" s="19">
        <v>0.91055718475073311</v>
      </c>
      <c r="K763" s="19">
        <v>1.2</v>
      </c>
      <c r="L763" s="6">
        <v>5302721</v>
      </c>
      <c r="M763" s="6">
        <v>2115015.75</v>
      </c>
      <c r="N763" s="6">
        <v>1832077.375</v>
      </c>
      <c r="O763" s="6">
        <v>4694355.5</v>
      </c>
      <c r="P763" s="6">
        <v>3620.91235351562</v>
      </c>
      <c r="Q763" s="6">
        <v>103430.171875</v>
      </c>
      <c r="R763" s="6">
        <v>974542.6875</v>
      </c>
      <c r="S763" s="6">
        <v>3437830.75</v>
      </c>
      <c r="T763" s="31">
        <f t="shared" si="157"/>
        <v>1846.3594146728515</v>
      </c>
      <c r="U763" s="37">
        <v>2743.6666666666665</v>
      </c>
      <c r="V763">
        <f t="shared" si="158"/>
        <v>0.67295325525677985</v>
      </c>
      <c r="W763">
        <f t="shared" si="169"/>
        <v>-2.0931635091169278E-2</v>
      </c>
      <c r="X763" s="28">
        <v>2902.6124999999997</v>
      </c>
      <c r="Y763">
        <f t="shared" si="159"/>
        <v>0.19327132790669421</v>
      </c>
      <c r="Z763">
        <f t="shared" si="162"/>
        <v>7.7087197788847053E-2</v>
      </c>
      <c r="AA763">
        <f t="shared" si="163"/>
        <v>6.677477979589358E-2</v>
      </c>
      <c r="AB763">
        <f t="shared" si="164"/>
        <v>0.17109787996598227</v>
      </c>
      <c r="AC763">
        <f t="shared" si="165"/>
        <v>1.3197347904928759E-4</v>
      </c>
      <c r="AD763">
        <f t="shared" si="166"/>
        <v>3.7697790745352933E-3</v>
      </c>
      <c r="AE763">
        <f t="shared" si="167"/>
        <v>3.5519718898068285E-2</v>
      </c>
      <c r="AF763">
        <f t="shared" si="168"/>
        <v>0.1253005983477099</v>
      </c>
      <c r="AG763">
        <f t="shared" si="160"/>
        <v>0.67295325525677974</v>
      </c>
      <c r="AH763">
        <v>0.34488260770458168</v>
      </c>
      <c r="AI763">
        <v>0.51715320690389943</v>
      </c>
      <c r="AJ763">
        <v>1.224731592490331E-2</v>
      </c>
      <c r="AK763">
        <v>6.8614605135006316E-3</v>
      </c>
      <c r="AL763">
        <v>0.2909732991631081</v>
      </c>
    </row>
    <row r="764" spans="1:38" s="20" customFormat="1" x14ac:dyDescent="0.25">
      <c r="A764">
        <v>25</v>
      </c>
      <c r="B764" s="5" t="s">
        <v>6</v>
      </c>
      <c r="C764" s="6" t="s">
        <v>5</v>
      </c>
      <c r="D764" s="6" t="s">
        <v>54</v>
      </c>
      <c r="E764" s="28">
        <v>28954.2</v>
      </c>
      <c r="F764" s="11">
        <v>19</v>
      </c>
      <c r="G764" s="11">
        <v>15</v>
      </c>
      <c r="H764" s="11">
        <f t="shared" si="156"/>
        <v>4</v>
      </c>
      <c r="I764" s="18">
        <v>1</v>
      </c>
      <c r="J764" s="19">
        <v>0.91055718475073311</v>
      </c>
      <c r="K764" s="19">
        <v>1.2</v>
      </c>
      <c r="L764" s="6">
        <v>5914969.5</v>
      </c>
      <c r="M764" s="6">
        <v>2133448.25</v>
      </c>
      <c r="N764" s="6">
        <v>1835489.625</v>
      </c>
      <c r="O764" s="6">
        <v>4736716</v>
      </c>
      <c r="P764" s="6">
        <v>3622.650390625</v>
      </c>
      <c r="Q764" s="6">
        <v>47412.484375</v>
      </c>
      <c r="R764" s="6">
        <v>973996.6875</v>
      </c>
      <c r="S764" s="6">
        <v>3318210.25</v>
      </c>
      <c r="T764" s="31">
        <f t="shared" si="157"/>
        <v>1896.3865447265625</v>
      </c>
      <c r="U764" s="37">
        <v>2831.1111111111109</v>
      </c>
      <c r="V764">
        <f t="shared" si="158"/>
        <v>0.66983826148112502</v>
      </c>
      <c r="W764">
        <f t="shared" si="169"/>
        <v>-4.6288412327632408E-3</v>
      </c>
      <c r="X764" s="28">
        <v>3018.8208333333332</v>
      </c>
      <c r="Y764">
        <f t="shared" si="159"/>
        <v>0.20892749411302985</v>
      </c>
      <c r="Z764">
        <f t="shared" si="162"/>
        <v>7.535727727629514E-2</v>
      </c>
      <c r="AA764">
        <f t="shared" si="163"/>
        <v>6.4832836047880704E-2</v>
      </c>
      <c r="AB764">
        <f t="shared" si="164"/>
        <v>0.16730943485086344</v>
      </c>
      <c r="AC764">
        <f t="shared" si="165"/>
        <v>1.2795860877403846E-4</v>
      </c>
      <c r="AD764">
        <f t="shared" si="166"/>
        <v>1.6746952879709578E-3</v>
      </c>
      <c r="AE764">
        <f t="shared" si="167"/>
        <v>3.4403336685635798E-2</v>
      </c>
      <c r="AF764">
        <f t="shared" si="168"/>
        <v>0.11720522861067505</v>
      </c>
      <c r="AG764">
        <f t="shared" si="160"/>
        <v>0.66983826148112491</v>
      </c>
      <c r="AH764" s="20">
        <v>0.34488260770458168</v>
      </c>
      <c r="AI764" s="20">
        <v>0.51715320690389943</v>
      </c>
      <c r="AJ764" s="20">
        <v>1.224731592490331E-2</v>
      </c>
      <c r="AK764" s="20">
        <v>6.8614605135006316E-3</v>
      </c>
      <c r="AL764" s="20">
        <v>0.2909732991631081</v>
      </c>
    </row>
    <row r="765" spans="1:38" x14ac:dyDescent="0.25">
      <c r="A765">
        <v>25</v>
      </c>
      <c r="B765" s="5" t="s">
        <v>6</v>
      </c>
      <c r="C765" s="6" t="s">
        <v>5</v>
      </c>
      <c r="D765" s="6" t="s">
        <v>55</v>
      </c>
      <c r="E765" s="29">
        <v>30021.1</v>
      </c>
      <c r="F765" s="11">
        <v>20</v>
      </c>
      <c r="G765" s="11">
        <v>15</v>
      </c>
      <c r="H765" s="18">
        <f t="shared" si="156"/>
        <v>5</v>
      </c>
      <c r="I765" s="18">
        <v>1</v>
      </c>
      <c r="J765" s="19">
        <v>0.91055718475073311</v>
      </c>
      <c r="K765" s="19">
        <v>1.2</v>
      </c>
      <c r="L765" s="14">
        <v>916990.5</v>
      </c>
      <c r="M765" s="14">
        <v>2016091</v>
      </c>
      <c r="N765" s="14">
        <v>3959510</v>
      </c>
      <c r="O765" s="14">
        <v>4244101</v>
      </c>
      <c r="P765" s="14">
        <v>3490.235595703125</v>
      </c>
      <c r="Q765" s="14">
        <v>27193.7734375</v>
      </c>
      <c r="R765" s="14">
        <v>4367722</v>
      </c>
      <c r="S765" s="14">
        <v>3969032.25</v>
      </c>
      <c r="T765" s="31">
        <f t="shared" si="157"/>
        <v>1950.4130759033203</v>
      </c>
      <c r="U765" s="37">
        <v>2263.5555555555552</v>
      </c>
      <c r="V765">
        <f t="shared" si="158"/>
        <v>0.86165902626791113</v>
      </c>
      <c r="W765">
        <f t="shared" si="169"/>
        <v>0.28636877858042648</v>
      </c>
      <c r="X765" s="29">
        <v>1830.2924999999998</v>
      </c>
      <c r="Y765">
        <f t="shared" si="159"/>
        <v>4.051106666012174E-2</v>
      </c>
      <c r="Z765">
        <f t="shared" si="162"/>
        <v>8.9067440604751635E-2</v>
      </c>
      <c r="AA765">
        <f t="shared" si="163"/>
        <v>0.1749243569605341</v>
      </c>
      <c r="AB765">
        <f t="shared" si="164"/>
        <v>0.18749709895935601</v>
      </c>
      <c r="AC765">
        <f t="shared" si="165"/>
        <v>1.5419261909153806E-4</v>
      </c>
      <c r="AD765">
        <f t="shared" si="166"/>
        <v>1.2013742437536816E-3</v>
      </c>
      <c r="AE765">
        <f t="shared" si="167"/>
        <v>0.19295846259571967</v>
      </c>
      <c r="AF765">
        <f t="shared" si="168"/>
        <v>0.17534503362458279</v>
      </c>
      <c r="AG765">
        <f t="shared" si="160"/>
        <v>0.86165902626791113</v>
      </c>
      <c r="AH765">
        <v>0.33381166325573464</v>
      </c>
      <c r="AI765">
        <v>0.52921035737213784</v>
      </c>
      <c r="AJ765">
        <v>1.2195121951219513E-2</v>
      </c>
      <c r="AK765">
        <v>6.9999786816747674E-3</v>
      </c>
      <c r="AL765">
        <v>0.31937807574352756</v>
      </c>
    </row>
    <row r="766" spans="1:38" x14ac:dyDescent="0.25">
      <c r="A766">
        <v>25</v>
      </c>
      <c r="B766" s="5" t="s">
        <v>6</v>
      </c>
      <c r="C766" s="6" t="s">
        <v>5</v>
      </c>
      <c r="D766" s="6" t="s">
        <v>56</v>
      </c>
      <c r="E766" s="29">
        <v>30021.1</v>
      </c>
      <c r="F766" s="11">
        <v>21</v>
      </c>
      <c r="G766" s="11">
        <v>15</v>
      </c>
      <c r="H766" s="11">
        <f t="shared" si="156"/>
        <v>6</v>
      </c>
      <c r="I766" s="18">
        <v>1</v>
      </c>
      <c r="J766" s="19">
        <v>0.91055718475073311</v>
      </c>
      <c r="K766" s="19">
        <v>1.2</v>
      </c>
      <c r="L766" s="6">
        <v>870580.5625</v>
      </c>
      <c r="M766" s="6">
        <v>1976622.25</v>
      </c>
      <c r="N766" s="6">
        <v>3452450.5</v>
      </c>
      <c r="O766" s="6">
        <v>4223070.5</v>
      </c>
      <c r="P766" s="6">
        <v>3490.235595703125</v>
      </c>
      <c r="Q766" s="6">
        <v>38702.91015625</v>
      </c>
      <c r="R766" s="6">
        <v>4276534</v>
      </c>
      <c r="S766" s="6">
        <v>4020473</v>
      </c>
      <c r="T766" s="31">
        <f t="shared" si="157"/>
        <v>1886.1923958251953</v>
      </c>
      <c r="U766" s="37">
        <v>2317</v>
      </c>
      <c r="V766">
        <f t="shared" si="158"/>
        <v>0.81406663609201346</v>
      </c>
      <c r="W766">
        <f t="shared" si="169"/>
        <v>-5.5233437734684643E-2</v>
      </c>
      <c r="X766" s="29">
        <v>1952.3774999999998</v>
      </c>
      <c r="Y766">
        <f t="shared" si="159"/>
        <v>3.7573610811394043E-2</v>
      </c>
      <c r="Z766">
        <f t="shared" si="162"/>
        <v>8.5309548985757447E-2</v>
      </c>
      <c r="AA766">
        <f t="shared" si="163"/>
        <v>0.14900520069054812</v>
      </c>
      <c r="AB766">
        <f t="shared" si="164"/>
        <v>0.18226458782908936</v>
      </c>
      <c r="AC766">
        <f t="shared" si="165"/>
        <v>1.5063597737173607E-4</v>
      </c>
      <c r="AD766">
        <f t="shared" si="166"/>
        <v>1.6703888716551574E-3</v>
      </c>
      <c r="AE766">
        <f t="shared" si="167"/>
        <v>0.18457203280103582</v>
      </c>
      <c r="AF766">
        <f t="shared" si="168"/>
        <v>0.17352063012516183</v>
      </c>
      <c r="AG766">
        <f t="shared" si="160"/>
        <v>0.81406663609201357</v>
      </c>
      <c r="AH766">
        <v>0.33381166325573464</v>
      </c>
      <c r="AI766">
        <v>0.52921035737213784</v>
      </c>
      <c r="AJ766">
        <v>1.2195121951219513E-2</v>
      </c>
      <c r="AK766">
        <v>6.9999786816747674E-3</v>
      </c>
      <c r="AL766">
        <v>0.31937807574352756</v>
      </c>
    </row>
    <row r="767" spans="1:38" x14ac:dyDescent="0.25">
      <c r="A767">
        <v>25</v>
      </c>
      <c r="B767" s="5" t="s">
        <v>6</v>
      </c>
      <c r="C767" s="6" t="s">
        <v>5</v>
      </c>
      <c r="D767" s="6" t="s">
        <v>57</v>
      </c>
      <c r="E767" s="29">
        <v>30021.1</v>
      </c>
      <c r="F767" s="11">
        <v>22</v>
      </c>
      <c r="G767" s="11">
        <v>15</v>
      </c>
      <c r="H767" s="11">
        <f t="shared" si="156"/>
        <v>7</v>
      </c>
      <c r="I767" s="18">
        <v>1</v>
      </c>
      <c r="J767" s="19">
        <v>0.91055718475073311</v>
      </c>
      <c r="K767" s="19">
        <v>1.2</v>
      </c>
      <c r="L767" s="6">
        <v>854702.625</v>
      </c>
      <c r="M767" s="6">
        <v>2052159.5</v>
      </c>
      <c r="N767" s="6">
        <v>2227239.75</v>
      </c>
      <c r="O767" s="6">
        <v>4803956</v>
      </c>
      <c r="P767" s="6">
        <v>3490.235595703125</v>
      </c>
      <c r="Q767" s="6">
        <v>113138.5390625</v>
      </c>
      <c r="R767" s="6">
        <v>4442333.5</v>
      </c>
      <c r="S767" s="6">
        <v>4102861.5</v>
      </c>
      <c r="T767" s="31">
        <f t="shared" si="157"/>
        <v>1859.9881649658203</v>
      </c>
      <c r="U767" s="37">
        <v>2370.4444444444448</v>
      </c>
      <c r="V767">
        <f t="shared" si="158"/>
        <v>0.78465798653287611</v>
      </c>
      <c r="W767">
        <f t="shared" si="169"/>
        <v>-3.6125604778886079E-2</v>
      </c>
      <c r="X767" s="29">
        <v>2074.4624999999996</v>
      </c>
      <c r="Y767">
        <f t="shared" si="159"/>
        <v>3.6056640222180553E-2</v>
      </c>
      <c r="Z767">
        <f t="shared" si="162"/>
        <v>8.6572773507077885E-2</v>
      </c>
      <c r="AA767">
        <f t="shared" si="163"/>
        <v>9.3958740742476787E-2</v>
      </c>
      <c r="AB767">
        <f t="shared" si="164"/>
        <v>0.202660560607481</v>
      </c>
      <c r="AC767">
        <f t="shared" si="165"/>
        <v>1.4723971295269581E-4</v>
      </c>
      <c r="AD767">
        <f t="shared" si="166"/>
        <v>4.7728829641065897E-3</v>
      </c>
      <c r="AE767">
        <f t="shared" si="167"/>
        <v>0.18740508812224616</v>
      </c>
      <c r="AF767">
        <f t="shared" si="168"/>
        <v>0.17308406065435453</v>
      </c>
      <c r="AG767">
        <f t="shared" si="160"/>
        <v>0.78465798653287633</v>
      </c>
      <c r="AH767">
        <v>0.33381166325573464</v>
      </c>
      <c r="AI767">
        <v>0.52921035737213784</v>
      </c>
      <c r="AJ767">
        <v>1.2195121951219513E-2</v>
      </c>
      <c r="AK767">
        <v>6.9999786816747674E-3</v>
      </c>
      <c r="AL767">
        <v>0.31937807574352756</v>
      </c>
    </row>
    <row r="768" spans="1:38" x14ac:dyDescent="0.25">
      <c r="A768">
        <v>25</v>
      </c>
      <c r="B768" s="5" t="s">
        <v>6</v>
      </c>
      <c r="C768" s="6" t="s">
        <v>5</v>
      </c>
      <c r="D768" s="6" t="s">
        <v>58</v>
      </c>
      <c r="E768" s="29">
        <v>30021.1</v>
      </c>
      <c r="F768" s="11">
        <v>23</v>
      </c>
      <c r="G768" s="11">
        <v>15</v>
      </c>
      <c r="H768" s="11">
        <f t="shared" si="156"/>
        <v>8</v>
      </c>
      <c r="I768" s="18">
        <v>1</v>
      </c>
      <c r="J768" s="19">
        <v>0.91055718475073311</v>
      </c>
      <c r="K768" s="19">
        <v>1.2</v>
      </c>
      <c r="L768" s="6">
        <v>914139.5</v>
      </c>
      <c r="M768" s="6">
        <v>2085502.5</v>
      </c>
      <c r="N768" s="6">
        <v>1454753.125</v>
      </c>
      <c r="O768" s="6">
        <v>4345272</v>
      </c>
      <c r="P768" s="6">
        <v>3490.235595703125</v>
      </c>
      <c r="Q768" s="6">
        <v>155819.453125</v>
      </c>
      <c r="R768" s="6">
        <v>4517949</v>
      </c>
      <c r="S768" s="6">
        <v>4239200</v>
      </c>
      <c r="T768" s="31">
        <f t="shared" si="157"/>
        <v>1771.6125813720703</v>
      </c>
      <c r="U768" s="37">
        <v>2423.8888888888891</v>
      </c>
      <c r="V768">
        <f t="shared" si="158"/>
        <v>0.73089677892957283</v>
      </c>
      <c r="W768">
        <f t="shared" si="169"/>
        <v>-6.8515466006858455E-2</v>
      </c>
      <c r="X768" s="29">
        <v>2196.5474999999997</v>
      </c>
      <c r="Y768">
        <f t="shared" si="159"/>
        <v>3.7713754297501713E-2</v>
      </c>
      <c r="Z768">
        <f t="shared" si="162"/>
        <v>8.6039525555810209E-2</v>
      </c>
      <c r="AA768">
        <f t="shared" si="163"/>
        <v>6.001731893192757E-2</v>
      </c>
      <c r="AB768">
        <f t="shared" si="164"/>
        <v>0.17926861333944533</v>
      </c>
      <c r="AC768">
        <f t="shared" si="165"/>
        <v>1.4399321733361506E-4</v>
      </c>
      <c r="AD768">
        <f t="shared" si="166"/>
        <v>6.4284899295209714E-3</v>
      </c>
      <c r="AE768">
        <f t="shared" si="167"/>
        <v>0.18639257850103139</v>
      </c>
      <c r="AF768">
        <f t="shared" si="168"/>
        <v>0.17489250515700205</v>
      </c>
      <c r="AG768">
        <f t="shared" si="160"/>
        <v>0.73089677892957283</v>
      </c>
      <c r="AH768">
        <v>0.33381166325573464</v>
      </c>
      <c r="AI768">
        <v>0.52921035737213784</v>
      </c>
      <c r="AJ768">
        <v>1.2195121951219513E-2</v>
      </c>
      <c r="AK768">
        <v>6.9999786816747674E-3</v>
      </c>
      <c r="AL768">
        <v>0.31937807574352756</v>
      </c>
    </row>
    <row r="769" spans="1:38" x14ac:dyDescent="0.25">
      <c r="A769">
        <v>25</v>
      </c>
      <c r="B769" s="5" t="s">
        <v>6</v>
      </c>
      <c r="C769" s="6" t="s">
        <v>5</v>
      </c>
      <c r="D769" s="6" t="s">
        <v>59</v>
      </c>
      <c r="E769" s="29">
        <v>30021.1</v>
      </c>
      <c r="F769" s="11">
        <v>24</v>
      </c>
      <c r="G769" s="11">
        <v>15</v>
      </c>
      <c r="H769" s="11">
        <f t="shared" si="156"/>
        <v>9</v>
      </c>
      <c r="I769" s="18">
        <v>1</v>
      </c>
      <c r="J769" s="19">
        <v>0.91055718475073311</v>
      </c>
      <c r="K769" s="19">
        <v>1.2</v>
      </c>
      <c r="L769" s="6">
        <v>899448.5625</v>
      </c>
      <c r="M769" s="6">
        <v>2063133.25</v>
      </c>
      <c r="N769" s="6">
        <v>928407.3125</v>
      </c>
      <c r="O769" s="6">
        <v>4316853.5</v>
      </c>
      <c r="P769" s="6">
        <v>3490.235595703125</v>
      </c>
      <c r="Q769" s="6">
        <v>102260.734375</v>
      </c>
      <c r="R769" s="6">
        <v>4473162</v>
      </c>
      <c r="S769" s="6">
        <v>4208974</v>
      </c>
      <c r="T769" s="31">
        <f t="shared" si="157"/>
        <v>1699.5729594970703</v>
      </c>
      <c r="U769" s="37">
        <v>2477.3333333333335</v>
      </c>
      <c r="V769">
        <f t="shared" si="158"/>
        <v>0.68604936470549116</v>
      </c>
      <c r="W769">
        <f t="shared" si="169"/>
        <v>-6.1359436129630344E-2</v>
      </c>
      <c r="X769" s="29">
        <v>2318.6324999999997</v>
      </c>
      <c r="Y769">
        <f t="shared" si="159"/>
        <v>3.6307127119214209E-2</v>
      </c>
      <c r="Z769">
        <f t="shared" si="162"/>
        <v>8.3280405678148539E-2</v>
      </c>
      <c r="AA769">
        <f t="shared" si="163"/>
        <v>3.747607558530678E-2</v>
      </c>
      <c r="AB769">
        <f t="shared" si="164"/>
        <v>0.17425404332615715</v>
      </c>
      <c r="AC769">
        <f t="shared" si="165"/>
        <v>1.408867974584146E-4</v>
      </c>
      <c r="AD769">
        <f t="shared" si="166"/>
        <v>4.127855262715285E-3</v>
      </c>
      <c r="AE769">
        <f t="shared" si="167"/>
        <v>0.1805635898815931</v>
      </c>
      <c r="AF769">
        <f t="shared" si="168"/>
        <v>0.16989938105489774</v>
      </c>
      <c r="AG769">
        <f t="shared" si="160"/>
        <v>0.68604936470549127</v>
      </c>
      <c r="AH769">
        <v>0.33381166325573464</v>
      </c>
      <c r="AI769">
        <v>0.52921035737213784</v>
      </c>
      <c r="AJ769">
        <v>1.2195121951219513E-2</v>
      </c>
      <c r="AK769">
        <v>6.9999786816747674E-3</v>
      </c>
      <c r="AL769">
        <v>0.31937807574352756</v>
      </c>
    </row>
    <row r="770" spans="1:38" x14ac:dyDescent="0.25">
      <c r="A770">
        <v>25</v>
      </c>
      <c r="B770" s="5" t="s">
        <v>6</v>
      </c>
      <c r="C770" s="6" t="s">
        <v>5</v>
      </c>
      <c r="D770" s="6" t="s">
        <v>60</v>
      </c>
      <c r="E770" s="29">
        <v>30021.1</v>
      </c>
      <c r="F770" s="11">
        <v>25</v>
      </c>
      <c r="G770" s="11">
        <v>15</v>
      </c>
      <c r="H770" s="11">
        <f t="shared" ref="H770:H833" si="170">F770-G770</f>
        <v>10</v>
      </c>
      <c r="I770" s="18">
        <v>1</v>
      </c>
      <c r="J770" s="19">
        <v>0.91055718475073311</v>
      </c>
      <c r="K770" s="19">
        <v>1.2</v>
      </c>
      <c r="L770" s="6">
        <v>895590.125</v>
      </c>
      <c r="M770" s="6">
        <v>2074356.5</v>
      </c>
      <c r="N770" s="6">
        <v>516296.21875</v>
      </c>
      <c r="O770" s="6">
        <v>4522038.5</v>
      </c>
      <c r="P770" s="6">
        <v>3490.235595703125</v>
      </c>
      <c r="Q770" s="6">
        <v>50524.7109375</v>
      </c>
      <c r="R770" s="6">
        <v>4498879</v>
      </c>
      <c r="S770" s="6">
        <v>4091454.25</v>
      </c>
      <c r="T770" s="31">
        <f t="shared" ref="T770:T833" si="171">SUM(L770:S770)/10000</f>
        <v>1665.2629540283203</v>
      </c>
      <c r="U770" s="37">
        <v>2504.1111111111113</v>
      </c>
      <c r="V770">
        <f t="shared" si="158"/>
        <v>0.66501160696875727</v>
      </c>
      <c r="W770">
        <f t="shared" si="169"/>
        <v>-3.0665078664951499E-2</v>
      </c>
      <c r="X770" s="29">
        <v>2440.7174999999997</v>
      </c>
      <c r="Y770">
        <f t="shared" si="159"/>
        <v>3.5764791786839417E-2</v>
      </c>
      <c r="Z770">
        <f t="shared" si="162"/>
        <v>8.2838037449527446E-2</v>
      </c>
      <c r="AA770">
        <f t="shared" si="163"/>
        <v>2.0617943687047963E-2</v>
      </c>
      <c r="AB770">
        <f t="shared" si="164"/>
        <v>0.18058457869281624</v>
      </c>
      <c r="AC770">
        <f t="shared" si="165"/>
        <v>1.3938022079836766E-4</v>
      </c>
      <c r="AD770">
        <f t="shared" si="166"/>
        <v>2.0176704904712249E-3</v>
      </c>
      <c r="AE770">
        <f t="shared" si="167"/>
        <v>0.17965971957225893</v>
      </c>
      <c r="AF770">
        <f t="shared" si="168"/>
        <v>0.16338948506899761</v>
      </c>
      <c r="AG770">
        <f t="shared" si="160"/>
        <v>0.66501160696875727</v>
      </c>
      <c r="AH770">
        <v>0.33381166325573464</v>
      </c>
      <c r="AI770">
        <v>0.52921035737213784</v>
      </c>
      <c r="AJ770">
        <v>1.2195121951219513E-2</v>
      </c>
      <c r="AK770">
        <v>6.9999786816747674E-3</v>
      </c>
      <c r="AL770">
        <v>0.31937807574352756</v>
      </c>
    </row>
    <row r="771" spans="1:38" x14ac:dyDescent="0.25">
      <c r="A771">
        <v>25</v>
      </c>
      <c r="B771" s="5" t="s">
        <v>6</v>
      </c>
      <c r="C771" s="6" t="s">
        <v>5</v>
      </c>
      <c r="D771" s="6" t="s">
        <v>61</v>
      </c>
      <c r="E771" s="29">
        <v>30021.1</v>
      </c>
      <c r="F771" s="11">
        <v>26</v>
      </c>
      <c r="G771" s="11">
        <v>15</v>
      </c>
      <c r="H771" s="11">
        <f t="shared" si="170"/>
        <v>11</v>
      </c>
      <c r="I771" s="18">
        <v>1</v>
      </c>
      <c r="J771" s="19">
        <v>0.91055718475073311</v>
      </c>
      <c r="K771" s="19">
        <v>1.2</v>
      </c>
      <c r="L771" s="6">
        <v>908807.875</v>
      </c>
      <c r="M771" s="6">
        <v>1992939.25</v>
      </c>
      <c r="N771" s="6">
        <v>384368</v>
      </c>
      <c r="O771" s="6">
        <v>5086440.5</v>
      </c>
      <c r="P771" s="6">
        <v>3490.235595703125</v>
      </c>
      <c r="Q771" s="6">
        <v>30727.125</v>
      </c>
      <c r="R771" s="6">
        <v>4320230</v>
      </c>
      <c r="S771" s="6">
        <v>4013789</v>
      </c>
      <c r="T771" s="31">
        <f t="shared" si="171"/>
        <v>1674.0791985595704</v>
      </c>
      <c r="U771" s="37">
        <v>2530.8888888888887</v>
      </c>
      <c r="V771">
        <f t="shared" ref="V771:V834" si="172">T771/U771</f>
        <v>0.66145898617245302</v>
      </c>
      <c r="W771">
        <f t="shared" si="169"/>
        <v>-5.3421936686154047E-3</v>
      </c>
      <c r="X771" s="29">
        <v>2562.8024999999998</v>
      </c>
      <c r="Y771">
        <f t="shared" si="159"/>
        <v>3.5908643757134082E-2</v>
      </c>
      <c r="Z771">
        <f t="shared" si="162"/>
        <v>7.8744636271841265E-2</v>
      </c>
      <c r="AA771">
        <f t="shared" si="163"/>
        <v>1.5187075248046361E-2</v>
      </c>
      <c r="AB771">
        <f t="shared" si="164"/>
        <v>0.20097446878567041</v>
      </c>
      <c r="AC771">
        <f t="shared" si="165"/>
        <v>1.379055244592507E-4</v>
      </c>
      <c r="AD771">
        <f t="shared" si="166"/>
        <v>1.2140843138115727E-3</v>
      </c>
      <c r="AE771">
        <f t="shared" si="167"/>
        <v>0.17070010536482574</v>
      </c>
      <c r="AF771">
        <f t="shared" si="168"/>
        <v>0.15859206690666433</v>
      </c>
      <c r="AG771">
        <f t="shared" si="160"/>
        <v>0.66145898617245313</v>
      </c>
      <c r="AH771">
        <v>0.33381166325573464</v>
      </c>
      <c r="AI771">
        <v>0.52921035737213784</v>
      </c>
      <c r="AJ771">
        <v>1.2195121951219513E-2</v>
      </c>
      <c r="AK771">
        <v>6.9999786816747674E-3</v>
      </c>
      <c r="AL771">
        <v>0.31937807574352756</v>
      </c>
    </row>
    <row r="772" spans="1:38" x14ac:dyDescent="0.25">
      <c r="A772">
        <v>25</v>
      </c>
      <c r="B772" s="5" t="s">
        <v>6</v>
      </c>
      <c r="C772" s="6" t="s">
        <v>5</v>
      </c>
      <c r="D772" s="6" t="s">
        <v>62</v>
      </c>
      <c r="E772" s="29">
        <v>30021.1</v>
      </c>
      <c r="F772" s="11">
        <v>27</v>
      </c>
      <c r="G772" s="11">
        <v>15</v>
      </c>
      <c r="H772" s="11">
        <f t="shared" si="170"/>
        <v>12</v>
      </c>
      <c r="I772" s="18">
        <v>1</v>
      </c>
      <c r="J772" s="19">
        <v>0.91055718475073311</v>
      </c>
      <c r="K772" s="19">
        <v>1.2</v>
      </c>
      <c r="L772" s="6">
        <v>863627.375</v>
      </c>
      <c r="M772" s="6">
        <v>1937239.125</v>
      </c>
      <c r="N772" s="6">
        <v>427190.0625</v>
      </c>
      <c r="O772" s="6">
        <v>5412692</v>
      </c>
      <c r="P772" s="6">
        <v>3490.235595703125</v>
      </c>
      <c r="Q772" s="6">
        <v>42887.46875</v>
      </c>
      <c r="R772" s="6">
        <v>4199307</v>
      </c>
      <c r="S772" s="6">
        <v>4052836</v>
      </c>
      <c r="T772" s="31">
        <f t="shared" si="171"/>
        <v>1693.9269266845704</v>
      </c>
      <c r="U772" s="37">
        <v>2557.6666666666665</v>
      </c>
      <c r="V772">
        <f t="shared" si="172"/>
        <v>0.66229385899305504</v>
      </c>
      <c r="W772">
        <f t="shared" si="169"/>
        <v>1.262168687786717E-3</v>
      </c>
      <c r="X772" s="29">
        <v>2684.8874999999998</v>
      </c>
      <c r="Y772">
        <f t="shared" ref="Y772:Y835" si="173">L772/$U772/10000</f>
        <v>3.3766220839306665E-2</v>
      </c>
      <c r="Z772">
        <f t="shared" si="162"/>
        <v>7.5742439397888703E-2</v>
      </c>
      <c r="AA772">
        <f t="shared" si="163"/>
        <v>1.6702335299100743E-2</v>
      </c>
      <c r="AB772">
        <f t="shared" si="164"/>
        <v>0.21162616968591164</v>
      </c>
      <c r="AC772">
        <f t="shared" si="165"/>
        <v>1.3646170711728627E-4</v>
      </c>
      <c r="AD772">
        <f t="shared" si="166"/>
        <v>1.6768200997002477E-3</v>
      </c>
      <c r="AE772">
        <f t="shared" si="167"/>
        <v>0.16418507754463704</v>
      </c>
      <c r="AF772">
        <f t="shared" si="168"/>
        <v>0.15845833441939269</v>
      </c>
      <c r="AG772">
        <f t="shared" ref="AG772:AG835" si="174">SUM(Y772:AF772)</f>
        <v>0.66229385899305504</v>
      </c>
      <c r="AH772">
        <v>0.33381166325573464</v>
      </c>
      <c r="AI772">
        <v>0.52921035737213784</v>
      </c>
      <c r="AJ772">
        <v>1.2195121951219513E-2</v>
      </c>
      <c r="AK772">
        <v>6.9999786816747674E-3</v>
      </c>
      <c r="AL772">
        <v>0.31937807574352756</v>
      </c>
    </row>
    <row r="773" spans="1:38" x14ac:dyDescent="0.25">
      <c r="A773">
        <v>25</v>
      </c>
      <c r="B773" s="5" t="s">
        <v>6</v>
      </c>
      <c r="C773" s="6" t="s">
        <v>5</v>
      </c>
      <c r="D773" s="6" t="s">
        <v>63</v>
      </c>
      <c r="E773" s="29">
        <v>30021.1</v>
      </c>
      <c r="F773" s="11">
        <v>28</v>
      </c>
      <c r="G773" s="11">
        <v>15</v>
      </c>
      <c r="H773" s="11">
        <f t="shared" si="170"/>
        <v>13</v>
      </c>
      <c r="I773" s="18">
        <v>1</v>
      </c>
      <c r="J773" s="19">
        <v>0.91055718475073311</v>
      </c>
      <c r="K773" s="19">
        <v>1.2</v>
      </c>
      <c r="L773" s="6">
        <v>850627</v>
      </c>
      <c r="M773" s="6">
        <v>2021240.75</v>
      </c>
      <c r="N773" s="6">
        <v>766892.75</v>
      </c>
      <c r="O773" s="6">
        <v>4725519.5</v>
      </c>
      <c r="P773" s="6">
        <v>3490.235595703125</v>
      </c>
      <c r="Q773" s="6">
        <v>117231.8515625</v>
      </c>
      <c r="R773" s="6">
        <v>4381631.5</v>
      </c>
      <c r="S773" s="6">
        <v>4120044.5</v>
      </c>
      <c r="T773" s="31">
        <f t="shared" si="171"/>
        <v>1698.6678087158202</v>
      </c>
      <c r="U773" s="37">
        <v>2654</v>
      </c>
      <c r="V773">
        <f t="shared" si="172"/>
        <v>0.64004062121922389</v>
      </c>
      <c r="W773">
        <f t="shared" si="169"/>
        <v>-3.360024779282228E-2</v>
      </c>
      <c r="X773" s="29">
        <v>2806.9724999999999</v>
      </c>
      <c r="Y773">
        <f t="shared" si="173"/>
        <v>3.2050753579502642E-2</v>
      </c>
      <c r="Z773">
        <f t="shared" si="162"/>
        <v>7.6158279954785232E-2</v>
      </c>
      <c r="AA773">
        <f t="shared" si="163"/>
        <v>2.8895732856066315E-2</v>
      </c>
      <c r="AB773">
        <f t="shared" si="164"/>
        <v>0.17805273172569708</v>
      </c>
      <c r="AC773">
        <f t="shared" si="165"/>
        <v>1.3150850021488792E-4</v>
      </c>
      <c r="AD773">
        <f t="shared" si="166"/>
        <v>4.4171760196872649E-3</v>
      </c>
      <c r="AE773">
        <f t="shared" si="167"/>
        <v>0.16509538432554635</v>
      </c>
      <c r="AF773">
        <f t="shared" si="168"/>
        <v>0.15523905425772419</v>
      </c>
      <c r="AG773">
        <f t="shared" si="174"/>
        <v>0.640040621219224</v>
      </c>
      <c r="AH773">
        <v>0.33381166325573464</v>
      </c>
      <c r="AI773">
        <v>0.52921035737213784</v>
      </c>
      <c r="AJ773">
        <v>1.2195121951219513E-2</v>
      </c>
      <c r="AK773">
        <v>6.9999786816747674E-3</v>
      </c>
      <c r="AL773">
        <v>0.31937807574352756</v>
      </c>
    </row>
    <row r="774" spans="1:38" x14ac:dyDescent="0.25">
      <c r="A774">
        <v>25</v>
      </c>
      <c r="B774" s="5" t="s">
        <v>6</v>
      </c>
      <c r="C774" s="6" t="s">
        <v>5</v>
      </c>
      <c r="D774" s="6" t="s">
        <v>64</v>
      </c>
      <c r="E774" s="29">
        <v>30021.1</v>
      </c>
      <c r="F774" s="11">
        <v>29</v>
      </c>
      <c r="G774" s="11">
        <v>15</v>
      </c>
      <c r="H774" s="11">
        <f t="shared" si="170"/>
        <v>14</v>
      </c>
      <c r="I774" s="18">
        <v>1</v>
      </c>
      <c r="J774" s="19">
        <v>0.91055718475073311</v>
      </c>
      <c r="K774" s="19">
        <v>1.2</v>
      </c>
      <c r="L774" s="6">
        <v>913117.875</v>
      </c>
      <c r="M774" s="6">
        <v>2078540.25</v>
      </c>
      <c r="N774" s="6">
        <v>1747303.25</v>
      </c>
      <c r="O774" s="6">
        <v>4650493</v>
      </c>
      <c r="P774" s="6">
        <v>3490.235595703125</v>
      </c>
      <c r="Q774" s="6">
        <v>161807.578125</v>
      </c>
      <c r="R774" s="6">
        <v>4504234.5</v>
      </c>
      <c r="S774" s="6">
        <v>4255980</v>
      </c>
      <c r="T774" s="31">
        <f t="shared" si="171"/>
        <v>1831.4966688720704</v>
      </c>
      <c r="U774" s="37">
        <v>2750.3333333333335</v>
      </c>
      <c r="V774">
        <f t="shared" si="172"/>
        <v>0.66591807133877234</v>
      </c>
      <c r="W774">
        <f t="shared" si="169"/>
        <v>4.0430949632937467E-2</v>
      </c>
      <c r="X774" s="29">
        <v>2929.0574999999999</v>
      </c>
      <c r="Y774">
        <f t="shared" si="173"/>
        <v>3.3200262089443704E-2</v>
      </c>
      <c r="Z774">
        <f t="shared" si="162"/>
        <v>7.5574121318628049E-2</v>
      </c>
      <c r="AA774">
        <f t="shared" si="163"/>
        <v>6.3530599321294387E-2</v>
      </c>
      <c r="AB774">
        <f t="shared" si="164"/>
        <v>0.16908834080717489</v>
      </c>
      <c r="AC774">
        <f t="shared" si="165"/>
        <v>1.2690227593151586E-4</v>
      </c>
      <c r="AD774">
        <f t="shared" si="166"/>
        <v>5.8831988168100832E-3</v>
      </c>
      <c r="AE774">
        <f t="shared" si="167"/>
        <v>0.16377049448551689</v>
      </c>
      <c r="AF774">
        <f t="shared" si="168"/>
        <v>0.15474415222397284</v>
      </c>
      <c r="AG774">
        <f t="shared" si="174"/>
        <v>0.66591807133877234</v>
      </c>
      <c r="AH774">
        <v>0.33381166325573464</v>
      </c>
      <c r="AI774">
        <v>0.52921035737213784</v>
      </c>
      <c r="AJ774">
        <v>1.2195121951219513E-2</v>
      </c>
      <c r="AK774">
        <v>6.9999786816747674E-3</v>
      </c>
      <c r="AL774">
        <v>0.31937807574352756</v>
      </c>
    </row>
    <row r="775" spans="1:38" x14ac:dyDescent="0.25">
      <c r="A775">
        <v>25</v>
      </c>
      <c r="B775" s="5" t="s">
        <v>6</v>
      </c>
      <c r="C775" s="6" t="s">
        <v>5</v>
      </c>
      <c r="D775" s="6" t="s">
        <v>65</v>
      </c>
      <c r="E775" s="29">
        <v>30021.1</v>
      </c>
      <c r="F775" s="11">
        <v>30</v>
      </c>
      <c r="G775" s="11">
        <v>15</v>
      </c>
      <c r="H775" s="11">
        <f t="shared" si="170"/>
        <v>15</v>
      </c>
      <c r="I775" s="18">
        <v>1</v>
      </c>
      <c r="J775" s="19">
        <v>0.91055718475073311</v>
      </c>
      <c r="K775" s="19">
        <v>1.2</v>
      </c>
      <c r="L775" s="6">
        <v>902645.5</v>
      </c>
      <c r="M775" s="6">
        <v>2069615.375</v>
      </c>
      <c r="N775" s="6">
        <v>2582542.5</v>
      </c>
      <c r="O775" s="6">
        <v>4967082</v>
      </c>
      <c r="P775" s="6">
        <v>3490.235595703125</v>
      </c>
      <c r="Q775" s="6">
        <v>107060.828125</v>
      </c>
      <c r="R775" s="6">
        <v>4487117.5</v>
      </c>
      <c r="S775" s="6">
        <v>4205378.5</v>
      </c>
      <c r="T775" s="31">
        <f t="shared" si="171"/>
        <v>1932.4932438720703</v>
      </c>
      <c r="U775" s="37">
        <v>2846.6666666666665</v>
      </c>
      <c r="V775">
        <f t="shared" si="172"/>
        <v>0.67886179527121915</v>
      </c>
      <c r="W775">
        <f t="shared" si="169"/>
        <v>1.9437412032420949E-2</v>
      </c>
      <c r="X775" s="29">
        <v>3051.1424999999999</v>
      </c>
      <c r="Y775">
        <f t="shared" si="173"/>
        <v>3.1708858313817333E-2</v>
      </c>
      <c r="Z775">
        <f t="shared" si="162"/>
        <v>7.2703116217798597E-2</v>
      </c>
      <c r="AA775">
        <f t="shared" si="163"/>
        <v>9.0721633489461356E-2</v>
      </c>
      <c r="AB775">
        <f t="shared" si="164"/>
        <v>0.1744876580796253</v>
      </c>
      <c r="AC775">
        <f t="shared" si="165"/>
        <v>1.226078078115852E-4</v>
      </c>
      <c r="AD775">
        <f t="shared" si="166"/>
        <v>3.7609190207845435E-3</v>
      </c>
      <c r="AE775">
        <f t="shared" si="167"/>
        <v>0.15762707845433255</v>
      </c>
      <c r="AF775">
        <f t="shared" si="168"/>
        <v>0.14772992388758782</v>
      </c>
      <c r="AG775">
        <f t="shared" si="174"/>
        <v>0.67886179527121904</v>
      </c>
      <c r="AH775">
        <v>0.33381166325573464</v>
      </c>
      <c r="AI775">
        <v>0.52921035737213784</v>
      </c>
      <c r="AJ775">
        <v>1.2195121951219513E-2</v>
      </c>
      <c r="AK775">
        <v>6.9999786816747674E-3</v>
      </c>
      <c r="AL775">
        <v>0.31937807574352756</v>
      </c>
    </row>
    <row r="776" spans="1:38" x14ac:dyDescent="0.25">
      <c r="A776">
        <v>25</v>
      </c>
      <c r="B776" s="5" t="s">
        <v>6</v>
      </c>
      <c r="C776" s="6" t="s">
        <v>5</v>
      </c>
      <c r="D776" s="6" t="s">
        <v>66</v>
      </c>
      <c r="E776" s="29">
        <v>30021.1</v>
      </c>
      <c r="F776" s="11">
        <v>31</v>
      </c>
      <c r="G776" s="11">
        <v>15</v>
      </c>
      <c r="H776" s="11">
        <f t="shared" si="170"/>
        <v>16</v>
      </c>
      <c r="I776" s="18">
        <v>1</v>
      </c>
      <c r="J776" s="19">
        <v>0.91055718475073311</v>
      </c>
      <c r="K776" s="19">
        <v>1.2</v>
      </c>
      <c r="L776" s="6">
        <v>902390.0625</v>
      </c>
      <c r="M776" s="6">
        <v>2087625.75</v>
      </c>
      <c r="N776" s="6">
        <v>3930563.5</v>
      </c>
      <c r="O776" s="6">
        <v>5540577.5</v>
      </c>
      <c r="P776" s="6">
        <v>3491.9111328125</v>
      </c>
      <c r="Q776" s="6">
        <v>49134.3515625</v>
      </c>
      <c r="R776" s="6">
        <v>4527552</v>
      </c>
      <c r="S776" s="6">
        <v>4061861.5</v>
      </c>
      <c r="T776" s="31">
        <f t="shared" si="171"/>
        <v>2110.3196575195311</v>
      </c>
      <c r="U776" s="37">
        <v>2942.9999999999995</v>
      </c>
      <c r="V776">
        <f t="shared" si="172"/>
        <v>0.71706410381227703</v>
      </c>
      <c r="W776">
        <f t="shared" si="169"/>
        <v>5.6274058736499204E-2</v>
      </c>
      <c r="X776" s="29">
        <v>3173.2275</v>
      </c>
      <c r="Y776">
        <f t="shared" si="173"/>
        <v>3.0662251529051991E-2</v>
      </c>
      <c r="Z776">
        <f t="shared" si="162"/>
        <v>7.0935295616717645E-2</v>
      </c>
      <c r="AA776">
        <f t="shared" si="163"/>
        <v>0.13355635406048252</v>
      </c>
      <c r="AB776">
        <f t="shared" si="164"/>
        <v>0.18826291199456341</v>
      </c>
      <c r="AC776">
        <f t="shared" si="165"/>
        <v>1.1865141463854911E-4</v>
      </c>
      <c r="AD776">
        <f t="shared" si="166"/>
        <v>1.6695328427624877E-3</v>
      </c>
      <c r="AE776">
        <f t="shared" si="167"/>
        <v>0.15384138634046896</v>
      </c>
      <c r="AF776">
        <f t="shared" si="168"/>
        <v>0.13801772001359158</v>
      </c>
      <c r="AG776">
        <f t="shared" si="174"/>
        <v>0.71706410381227725</v>
      </c>
      <c r="AH776">
        <v>0.33381166325573464</v>
      </c>
      <c r="AI776">
        <v>0.52921035737213784</v>
      </c>
      <c r="AJ776">
        <v>1.2195121951219513E-2</v>
      </c>
      <c r="AK776">
        <v>6.9999786816747674E-3</v>
      </c>
      <c r="AL776">
        <v>0.31937807574352756</v>
      </c>
    </row>
    <row r="777" spans="1:38" x14ac:dyDescent="0.25">
      <c r="A777">
        <v>26</v>
      </c>
      <c r="B777" s="5" t="s">
        <v>33</v>
      </c>
      <c r="C777" s="6" t="s">
        <v>5</v>
      </c>
      <c r="D777" s="6" t="s">
        <v>36</v>
      </c>
      <c r="E777" s="28">
        <v>29800.979289843701</v>
      </c>
      <c r="F777" s="11">
        <v>1</v>
      </c>
      <c r="G777" s="11">
        <v>14</v>
      </c>
      <c r="H777" s="18">
        <f t="shared" si="170"/>
        <v>-13</v>
      </c>
      <c r="I777" s="18">
        <v>1</v>
      </c>
      <c r="J777" s="19">
        <v>0.49706744868035191</v>
      </c>
      <c r="K777" s="19">
        <v>0.8</v>
      </c>
      <c r="L777" s="14">
        <v>15751734</v>
      </c>
      <c r="M777" s="14">
        <v>2401168.25</v>
      </c>
      <c r="N777" s="14">
        <v>1603257</v>
      </c>
      <c r="O777" s="14">
        <v>5438962</v>
      </c>
      <c r="P777" s="14">
        <v>6286.4716796875</v>
      </c>
      <c r="Q777" s="14">
        <v>23653.15625</v>
      </c>
      <c r="R777" s="14">
        <v>1895290.75</v>
      </c>
      <c r="S777" s="14">
        <v>2200944.75</v>
      </c>
      <c r="T777" s="31">
        <f t="shared" si="171"/>
        <v>2932.1296377929689</v>
      </c>
      <c r="U777" s="37"/>
      <c r="X777" s="28">
        <v>2338.9933333333333</v>
      </c>
      <c r="Y777" t="e">
        <f t="shared" si="173"/>
        <v>#DIV/0!</v>
      </c>
      <c r="Z777" t="e">
        <f t="shared" si="162"/>
        <v>#DIV/0!</v>
      </c>
      <c r="AA777" t="e">
        <f t="shared" si="163"/>
        <v>#DIV/0!</v>
      </c>
      <c r="AB777" t="e">
        <f t="shared" si="164"/>
        <v>#DIV/0!</v>
      </c>
      <c r="AC777" t="e">
        <f t="shared" si="165"/>
        <v>#DIV/0!</v>
      </c>
      <c r="AD777" t="e">
        <f t="shared" si="166"/>
        <v>#DIV/0!</v>
      </c>
      <c r="AE777" t="e">
        <f t="shared" si="167"/>
        <v>#DIV/0!</v>
      </c>
      <c r="AF777" t="e">
        <f t="shared" si="168"/>
        <v>#DIV/0!</v>
      </c>
      <c r="AG777" t="e">
        <f t="shared" si="174"/>
        <v>#DIV/0!</v>
      </c>
      <c r="AH777">
        <v>0.43499577225027458</v>
      </c>
      <c r="AI777">
        <v>0.63631765300961052</v>
      </c>
      <c r="AJ777">
        <v>1.9229272847527526E-2</v>
      </c>
      <c r="AK777">
        <v>1.0727389086470409E-2</v>
      </c>
      <c r="AL777">
        <v>0.45729434754383597</v>
      </c>
    </row>
    <row r="778" spans="1:38" x14ac:dyDescent="0.25">
      <c r="A778">
        <v>26</v>
      </c>
      <c r="B778" s="5" t="s">
        <v>33</v>
      </c>
      <c r="C778" s="6" t="s">
        <v>5</v>
      </c>
      <c r="D778" s="6" t="s">
        <v>37</v>
      </c>
      <c r="E778" s="28">
        <v>29800.979289843701</v>
      </c>
      <c r="F778" s="11">
        <v>2</v>
      </c>
      <c r="G778" s="11">
        <v>14</v>
      </c>
      <c r="H778" s="11">
        <f t="shared" si="170"/>
        <v>-12</v>
      </c>
      <c r="I778" s="18">
        <v>1</v>
      </c>
      <c r="J778" s="19">
        <v>0.49706744868035191</v>
      </c>
      <c r="K778" s="19">
        <v>0.8</v>
      </c>
      <c r="L778" s="6">
        <v>17109490</v>
      </c>
      <c r="M778" s="6">
        <v>2306692.5</v>
      </c>
      <c r="N778" s="6">
        <v>1603257</v>
      </c>
      <c r="O778" s="6">
        <v>5220862.5</v>
      </c>
      <c r="P778" s="6">
        <v>6286.4716796875</v>
      </c>
      <c r="Q778" s="6">
        <v>13990.0439453125</v>
      </c>
      <c r="R778" s="6">
        <v>1901469.625</v>
      </c>
      <c r="S778" s="6">
        <v>2157740.25</v>
      </c>
      <c r="T778" s="31">
        <f t="shared" si="171"/>
        <v>3031.9788390624999</v>
      </c>
      <c r="U778" s="37">
        <v>2514.833333333333</v>
      </c>
      <c r="V778">
        <f t="shared" si="172"/>
        <v>1.2056380829992048</v>
      </c>
      <c r="W778" t="e">
        <f>(V778-V777)/V777</f>
        <v>#DIV/0!</v>
      </c>
      <c r="X778" s="28">
        <v>2681.2900000000004</v>
      </c>
      <c r="Y778">
        <f t="shared" si="173"/>
        <v>0.68034289880045073</v>
      </c>
      <c r="Z778">
        <f t="shared" si="162"/>
        <v>9.1723474053946596E-2</v>
      </c>
      <c r="AA778">
        <f t="shared" si="163"/>
        <v>6.3752018026376839E-2</v>
      </c>
      <c r="AB778">
        <f t="shared" si="164"/>
        <v>0.20760272383855791</v>
      </c>
      <c r="AC778">
        <f t="shared" si="165"/>
        <v>2.4997567816372856E-4</v>
      </c>
      <c r="AD778">
        <f t="shared" si="166"/>
        <v>5.5630103831847712E-4</v>
      </c>
      <c r="AE778">
        <f t="shared" si="167"/>
        <v>7.5610164689508916E-2</v>
      </c>
      <c r="AF778">
        <f t="shared" si="168"/>
        <v>8.5800526873881636E-2</v>
      </c>
      <c r="AG778">
        <f t="shared" si="174"/>
        <v>1.2056380829992048</v>
      </c>
      <c r="AH778">
        <v>0.43499577225027458</v>
      </c>
      <c r="AI778">
        <v>0.63631765300961052</v>
      </c>
      <c r="AJ778">
        <v>1.9229272847527526E-2</v>
      </c>
      <c r="AK778">
        <v>1.0727389086470409E-2</v>
      </c>
      <c r="AL778">
        <v>0.45729434754383597</v>
      </c>
    </row>
    <row r="779" spans="1:38" x14ac:dyDescent="0.25">
      <c r="A779">
        <v>26</v>
      </c>
      <c r="B779" s="5" t="s">
        <v>33</v>
      </c>
      <c r="C779" s="6" t="s">
        <v>5</v>
      </c>
      <c r="D779" s="6" t="s">
        <v>38</v>
      </c>
      <c r="E779" s="28">
        <v>29800.979289843701</v>
      </c>
      <c r="F779" s="11">
        <v>3</v>
      </c>
      <c r="G779" s="11">
        <v>14</v>
      </c>
      <c r="H779" s="11">
        <f t="shared" si="170"/>
        <v>-11</v>
      </c>
      <c r="I779" s="18">
        <v>1</v>
      </c>
      <c r="J779" s="19">
        <v>0.49706744868035191</v>
      </c>
      <c r="K779" s="19">
        <v>0.8</v>
      </c>
      <c r="L779" s="6">
        <v>17102834</v>
      </c>
      <c r="M779" s="6">
        <v>2241904</v>
      </c>
      <c r="N779" s="6">
        <v>1603257</v>
      </c>
      <c r="O779" s="6">
        <v>5071833</v>
      </c>
      <c r="P779" s="6">
        <v>6286.4716796875</v>
      </c>
      <c r="Q779" s="6">
        <v>19624.171875</v>
      </c>
      <c r="R779" s="6">
        <v>1880857.5</v>
      </c>
      <c r="S779" s="6">
        <v>2179465.75</v>
      </c>
      <c r="T779" s="31">
        <f t="shared" si="171"/>
        <v>3010.6061893554688</v>
      </c>
      <c r="U779" s="37">
        <v>2603.6666666666665</v>
      </c>
      <c r="V779">
        <f t="shared" si="172"/>
        <v>1.1562947853112799</v>
      </c>
      <c r="W779">
        <f t="shared" ref="W779:W807" si="175">(V779-V778)/V778</f>
        <v>-4.0927122644613276E-2</v>
      </c>
      <c r="X779" s="28">
        <v>3023.586666666667</v>
      </c>
      <c r="Y779">
        <f t="shared" si="173"/>
        <v>0.65687494558955317</v>
      </c>
      <c r="Z779">
        <f t="shared" si="162"/>
        <v>8.6105645884009735E-2</v>
      </c>
      <c r="AA779">
        <f t="shared" si="163"/>
        <v>6.1576891563180129E-2</v>
      </c>
      <c r="AB779">
        <f t="shared" si="164"/>
        <v>0.19479578799129432</v>
      </c>
      <c r="AC779">
        <f t="shared" si="165"/>
        <v>2.4144687029909747E-4</v>
      </c>
      <c r="AD779">
        <f t="shared" si="166"/>
        <v>7.5371291287927285E-4</v>
      </c>
      <c r="AE779">
        <f t="shared" si="167"/>
        <v>7.2238797849187047E-2</v>
      </c>
      <c r="AF779">
        <f t="shared" si="168"/>
        <v>8.3707556650876966E-2</v>
      </c>
      <c r="AG779">
        <f t="shared" si="174"/>
        <v>1.1562947853112795</v>
      </c>
      <c r="AH779">
        <v>0.43499577225027458</v>
      </c>
      <c r="AI779">
        <v>0.63631765300961052</v>
      </c>
      <c r="AJ779">
        <v>1.9229272847527526E-2</v>
      </c>
      <c r="AK779">
        <v>1.0727389086470409E-2</v>
      </c>
      <c r="AL779">
        <v>0.45729434754383597</v>
      </c>
    </row>
    <row r="780" spans="1:38" x14ac:dyDescent="0.25">
      <c r="A780">
        <v>26</v>
      </c>
      <c r="B780" s="5" t="s">
        <v>33</v>
      </c>
      <c r="C780" s="6" t="s">
        <v>5</v>
      </c>
      <c r="D780" s="6" t="s">
        <v>39</v>
      </c>
      <c r="E780" s="28">
        <v>29800.979289843701</v>
      </c>
      <c r="F780" s="11">
        <v>4</v>
      </c>
      <c r="G780" s="11">
        <v>14</v>
      </c>
      <c r="H780" s="11">
        <f t="shared" si="170"/>
        <v>-10</v>
      </c>
      <c r="I780" s="18">
        <v>1</v>
      </c>
      <c r="J780" s="19">
        <v>0.49706744868035191</v>
      </c>
      <c r="K780" s="19">
        <v>0.8</v>
      </c>
      <c r="L780" s="6">
        <v>16255346</v>
      </c>
      <c r="M780" s="6">
        <v>2339068.5</v>
      </c>
      <c r="N780" s="6">
        <v>1603257</v>
      </c>
      <c r="O780" s="6">
        <v>5294075.5</v>
      </c>
      <c r="P780" s="6">
        <v>6286.4716796875</v>
      </c>
      <c r="Q780" s="6">
        <v>54716.3046875</v>
      </c>
      <c r="R780" s="6">
        <v>1874537.25</v>
      </c>
      <c r="S780" s="6">
        <v>2216855</v>
      </c>
      <c r="T780" s="31">
        <f t="shared" si="171"/>
        <v>2964.4142026367185</v>
      </c>
      <c r="U780" s="37">
        <v>2725.6666666666665</v>
      </c>
      <c r="V780">
        <f t="shared" si="172"/>
        <v>1.0875923453479461</v>
      </c>
      <c r="W780">
        <f t="shared" si="175"/>
        <v>-5.9416025079485929E-2</v>
      </c>
      <c r="X780" s="28">
        <v>3365.8833333333337</v>
      </c>
      <c r="Y780">
        <f t="shared" si="173"/>
        <v>0.59638055521584943</v>
      </c>
      <c r="Z780">
        <f t="shared" si="162"/>
        <v>8.5816381313440132E-2</v>
      </c>
      <c r="AA780">
        <f t="shared" si="163"/>
        <v>5.8820728873670056E-2</v>
      </c>
      <c r="AB780">
        <f t="shared" si="164"/>
        <v>0.19423048183930539</v>
      </c>
      <c r="AC780">
        <f t="shared" si="165"/>
        <v>2.3063978279396481E-4</v>
      </c>
      <c r="AD780">
        <f t="shared" si="166"/>
        <v>2.0074466682463007E-3</v>
      </c>
      <c r="AE780">
        <f t="shared" si="167"/>
        <v>6.8773532469120713E-2</v>
      </c>
      <c r="AF780">
        <f t="shared" si="168"/>
        <v>8.1332579185520365E-2</v>
      </c>
      <c r="AG780">
        <f t="shared" si="174"/>
        <v>1.0875923453479464</v>
      </c>
      <c r="AH780">
        <v>0.43499577225027458</v>
      </c>
      <c r="AI780">
        <v>0.63631765300961052</v>
      </c>
      <c r="AJ780">
        <v>1.9229272847527526E-2</v>
      </c>
      <c r="AK780">
        <v>1.0727389086470409E-2</v>
      </c>
      <c r="AL780">
        <v>0.45729434754383597</v>
      </c>
    </row>
    <row r="781" spans="1:38" x14ac:dyDescent="0.25">
      <c r="A781">
        <v>26</v>
      </c>
      <c r="B781" s="5" t="s">
        <v>33</v>
      </c>
      <c r="C781" s="6" t="s">
        <v>5</v>
      </c>
      <c r="D781" s="6" t="s">
        <v>40</v>
      </c>
      <c r="E781" s="28">
        <v>29800.979289843701</v>
      </c>
      <c r="F781" s="11">
        <v>5</v>
      </c>
      <c r="G781" s="11">
        <v>14</v>
      </c>
      <c r="H781" s="11">
        <f t="shared" si="170"/>
        <v>-9</v>
      </c>
      <c r="I781" s="18">
        <v>1</v>
      </c>
      <c r="J781" s="19">
        <v>0.49706744868035191</v>
      </c>
      <c r="K781" s="19">
        <v>0.8</v>
      </c>
      <c r="L781" s="6">
        <v>18420654</v>
      </c>
      <c r="M781" s="6">
        <v>2405569.5</v>
      </c>
      <c r="N781" s="6">
        <v>1603257</v>
      </c>
      <c r="O781" s="6">
        <v>5447007</v>
      </c>
      <c r="P781" s="6">
        <v>6286.4716796875</v>
      </c>
      <c r="Q781" s="6">
        <v>75474.3359375</v>
      </c>
      <c r="R781" s="6">
        <v>1902305.25</v>
      </c>
      <c r="S781" s="6">
        <v>2292461.25</v>
      </c>
      <c r="T781" s="31">
        <f t="shared" si="171"/>
        <v>3215.3014807617187</v>
      </c>
      <c r="U781" s="37">
        <v>2847.6666666666665</v>
      </c>
      <c r="V781">
        <f t="shared" si="172"/>
        <v>1.1291003678198708</v>
      </c>
      <c r="W781">
        <f t="shared" si="175"/>
        <v>3.8165055730182855E-2</v>
      </c>
      <c r="X781" s="28">
        <v>3708.1800000000007</v>
      </c>
      <c r="Y781">
        <f t="shared" si="173"/>
        <v>0.64686833664988885</v>
      </c>
      <c r="Z781">
        <f t="shared" si="162"/>
        <v>8.4475108275781349E-2</v>
      </c>
      <c r="AA781">
        <f t="shared" si="163"/>
        <v>5.6300725740372239E-2</v>
      </c>
      <c r="AB781">
        <f t="shared" si="164"/>
        <v>0.19127965585859769</v>
      </c>
      <c r="AC781">
        <f t="shared" si="165"/>
        <v>2.2075869178347771E-4</v>
      </c>
      <c r="AD781">
        <f t="shared" si="166"/>
        <v>2.6503922253599439E-3</v>
      </c>
      <c r="AE781">
        <f t="shared" si="167"/>
        <v>6.6802244527683491E-2</v>
      </c>
      <c r="AF781">
        <f t="shared" si="168"/>
        <v>8.0503145850403843E-2</v>
      </c>
      <c r="AG781">
        <f t="shared" si="174"/>
        <v>1.1291003678198708</v>
      </c>
      <c r="AH781">
        <v>0.43499577225027458</v>
      </c>
      <c r="AI781">
        <v>0.63631765300961052</v>
      </c>
      <c r="AJ781">
        <v>1.9229272847527526E-2</v>
      </c>
      <c r="AK781">
        <v>1.0727389086470409E-2</v>
      </c>
      <c r="AL781">
        <v>0.45729434754383597</v>
      </c>
    </row>
    <row r="782" spans="1:38" x14ac:dyDescent="0.25">
      <c r="A782">
        <v>26</v>
      </c>
      <c r="B782" s="5" t="s">
        <v>33</v>
      </c>
      <c r="C782" s="6" t="s">
        <v>5</v>
      </c>
      <c r="D782" s="6" t="s">
        <v>41</v>
      </c>
      <c r="E782" s="28">
        <v>29800.979289843701</v>
      </c>
      <c r="F782" s="11">
        <v>6</v>
      </c>
      <c r="G782" s="11">
        <v>14</v>
      </c>
      <c r="H782" s="11">
        <f t="shared" si="170"/>
        <v>-8</v>
      </c>
      <c r="I782" s="18">
        <v>1</v>
      </c>
      <c r="J782" s="19">
        <v>0.49706744868035191</v>
      </c>
      <c r="K782" s="19">
        <v>0.8</v>
      </c>
      <c r="L782" s="6">
        <v>19461156</v>
      </c>
      <c r="M782" s="6">
        <v>2395700.25</v>
      </c>
      <c r="N782" s="6">
        <v>1603257</v>
      </c>
      <c r="O782" s="6">
        <v>5429065</v>
      </c>
      <c r="P782" s="6">
        <v>6286.4716796875</v>
      </c>
      <c r="Q782" s="6">
        <v>49827.01953125</v>
      </c>
      <c r="R782" s="6">
        <v>1896871.25</v>
      </c>
      <c r="S782" s="6">
        <v>2264330.25</v>
      </c>
      <c r="T782" s="31">
        <f t="shared" si="171"/>
        <v>3310.6493241210937</v>
      </c>
      <c r="U782" s="37">
        <v>2969.6666666666665</v>
      </c>
      <c r="V782">
        <f t="shared" si="172"/>
        <v>1.1148218624271278</v>
      </c>
      <c r="W782">
        <f t="shared" si="175"/>
        <v>-1.2645913330373567E-2</v>
      </c>
      <c r="X782" s="28">
        <v>4050.4766666666674</v>
      </c>
      <c r="Y782">
        <f t="shared" si="173"/>
        <v>0.65533132787069259</v>
      </c>
      <c r="Z782">
        <f t="shared" si="162"/>
        <v>8.0672362217981824E-2</v>
      </c>
      <c r="AA782">
        <f t="shared" si="163"/>
        <v>5.3987776405881698E-2</v>
      </c>
      <c r="AB782">
        <f t="shared" si="164"/>
        <v>0.18281731956448535</v>
      </c>
      <c r="AC782">
        <f t="shared" si="165"/>
        <v>2.1168947175959706E-4</v>
      </c>
      <c r="AD782">
        <f t="shared" si="166"/>
        <v>1.6778657379475813E-3</v>
      </c>
      <c r="AE782">
        <f t="shared" si="167"/>
        <v>6.3874887753956666E-2</v>
      </c>
      <c r="AF782">
        <f t="shared" si="168"/>
        <v>7.6248633404422506E-2</v>
      </c>
      <c r="AG782">
        <f t="shared" si="174"/>
        <v>1.1148218624271278</v>
      </c>
      <c r="AH782">
        <v>0.43499577225027458</v>
      </c>
      <c r="AI782">
        <v>0.63631765300961052</v>
      </c>
      <c r="AJ782">
        <v>1.9229272847527526E-2</v>
      </c>
      <c r="AK782">
        <v>1.0727389086470409E-2</v>
      </c>
      <c r="AL782">
        <v>0.45729434754383597</v>
      </c>
    </row>
    <row r="783" spans="1:38" x14ac:dyDescent="0.25">
      <c r="A783">
        <v>26</v>
      </c>
      <c r="B783" s="5" t="s">
        <v>33</v>
      </c>
      <c r="C783" s="6" t="s">
        <v>5</v>
      </c>
      <c r="D783" s="6" t="s">
        <v>42</v>
      </c>
      <c r="E783" s="28">
        <v>29800.979289843701</v>
      </c>
      <c r="F783" s="11">
        <v>7</v>
      </c>
      <c r="G783" s="11">
        <v>14</v>
      </c>
      <c r="H783" s="11">
        <f t="shared" si="170"/>
        <v>-7</v>
      </c>
      <c r="I783" s="18">
        <v>1</v>
      </c>
      <c r="J783" s="19">
        <v>0.49706744868035191</v>
      </c>
      <c r="K783" s="19">
        <v>0.8</v>
      </c>
      <c r="L783" s="6">
        <v>23769588</v>
      </c>
      <c r="M783" s="6">
        <v>2416961</v>
      </c>
      <c r="N783" s="6">
        <v>1604026.625</v>
      </c>
      <c r="O783" s="6">
        <v>5479237</v>
      </c>
      <c r="P783" s="6">
        <v>6289.48974609375</v>
      </c>
      <c r="Q783" s="6">
        <v>23389.84375</v>
      </c>
      <c r="R783" s="6">
        <v>1896888.5</v>
      </c>
      <c r="S783" s="6">
        <v>2184488.75</v>
      </c>
      <c r="T783" s="31">
        <f t="shared" si="171"/>
        <v>3738.0869208496092</v>
      </c>
      <c r="U783" s="37">
        <v>3091.6666666666665</v>
      </c>
      <c r="V783">
        <f t="shared" si="172"/>
        <v>1.2090847183341054</v>
      </c>
      <c r="W783">
        <f t="shared" si="175"/>
        <v>8.4554186712623103E-2</v>
      </c>
      <c r="X783" s="28">
        <v>4392.7733333333335</v>
      </c>
      <c r="Y783">
        <f t="shared" si="173"/>
        <v>0.76882764420485183</v>
      </c>
      <c r="Z783">
        <f t="shared" si="162"/>
        <v>7.8176636118598389E-2</v>
      </c>
      <c r="AA783">
        <f t="shared" si="163"/>
        <v>5.1882262803234505E-2</v>
      </c>
      <c r="AB783">
        <f t="shared" si="164"/>
        <v>0.17722599460916441</v>
      </c>
      <c r="AC783">
        <f t="shared" si="165"/>
        <v>2.034336306014151E-4</v>
      </c>
      <c r="AD783">
        <f t="shared" si="166"/>
        <v>7.5654481132075477E-4</v>
      </c>
      <c r="AE783">
        <f t="shared" si="167"/>
        <v>6.1354884097035038E-2</v>
      </c>
      <c r="AF783">
        <f t="shared" si="168"/>
        <v>7.0657318059299201E-2</v>
      </c>
      <c r="AG783">
        <f t="shared" si="174"/>
        <v>1.2090847183341054</v>
      </c>
      <c r="AH783">
        <v>0.43499577225027458</v>
      </c>
      <c r="AI783">
        <v>0.63631765300961052</v>
      </c>
      <c r="AJ783">
        <v>1.9229272847527526E-2</v>
      </c>
      <c r="AK783">
        <v>1.0727389086470409E-2</v>
      </c>
      <c r="AL783">
        <v>0.45729434754383597</v>
      </c>
    </row>
    <row r="784" spans="1:38" x14ac:dyDescent="0.25">
      <c r="A784">
        <v>26</v>
      </c>
      <c r="B784" s="5" t="s">
        <v>33</v>
      </c>
      <c r="C784" s="6" t="s">
        <v>5</v>
      </c>
      <c r="D784" s="6" t="s">
        <v>43</v>
      </c>
      <c r="E784" s="28">
        <v>32772.699999999997</v>
      </c>
      <c r="F784" s="11">
        <v>8</v>
      </c>
      <c r="G784" s="11">
        <v>14</v>
      </c>
      <c r="H784" s="18">
        <f t="shared" si="170"/>
        <v>-6</v>
      </c>
      <c r="I784" s="18">
        <v>1</v>
      </c>
      <c r="J784" s="19">
        <v>0.49706744868035191</v>
      </c>
      <c r="K784" s="19">
        <v>0.8</v>
      </c>
      <c r="L784" s="14">
        <v>16957062</v>
      </c>
      <c r="M784" s="14">
        <v>2283541.75</v>
      </c>
      <c r="N784" s="14">
        <v>1568544.875</v>
      </c>
      <c r="O784" s="14">
        <v>5306471.5</v>
      </c>
      <c r="P784" s="14">
        <v>6429.7509765625</v>
      </c>
      <c r="Q784" s="14">
        <v>12033.13671875</v>
      </c>
      <c r="R784" s="14">
        <v>1962137</v>
      </c>
      <c r="S784" s="14">
        <v>1978000.125</v>
      </c>
      <c r="T784" s="31">
        <f t="shared" si="171"/>
        <v>3007.4220137695311</v>
      </c>
      <c r="U784" s="37">
        <v>2373.1111111111113</v>
      </c>
      <c r="V784">
        <f t="shared" si="172"/>
        <v>1.2672908570056081</v>
      </c>
      <c r="W784">
        <f t="shared" si="175"/>
        <v>4.8140661931200299E-2</v>
      </c>
      <c r="X784" s="28">
        <v>1491.4541666666682</v>
      </c>
      <c r="Y784">
        <f t="shared" si="173"/>
        <v>0.71454985485532341</v>
      </c>
      <c r="Z784">
        <f t="shared" si="162"/>
        <v>9.6225656662608849E-2</v>
      </c>
      <c r="AA784">
        <f t="shared" si="163"/>
        <v>6.6096562763367353E-2</v>
      </c>
      <c r="AB784">
        <f t="shared" si="164"/>
        <v>0.22360821940256578</v>
      </c>
      <c r="AC784">
        <f t="shared" si="165"/>
        <v>2.7094184281797217E-4</v>
      </c>
      <c r="AD784">
        <f t="shared" si="166"/>
        <v>5.0706166527179507E-4</v>
      </c>
      <c r="AE784">
        <f t="shared" si="167"/>
        <v>8.2682053563067695E-2</v>
      </c>
      <c r="AF784">
        <f t="shared" si="168"/>
        <v>8.3350506250585252E-2</v>
      </c>
      <c r="AG784">
        <f t="shared" si="174"/>
        <v>1.2672908570056081</v>
      </c>
      <c r="AH784">
        <v>0.43526166595977756</v>
      </c>
      <c r="AI784">
        <v>0.64004044489383216</v>
      </c>
      <c r="AJ784">
        <v>1.9238999338598607E-2</v>
      </c>
      <c r="AK784">
        <v>1.0814195961882909E-2</v>
      </c>
      <c r="AL784">
        <v>0.48980621152554815</v>
      </c>
    </row>
    <row r="785" spans="1:38" x14ac:dyDescent="0.25">
      <c r="A785">
        <v>26</v>
      </c>
      <c r="B785" s="5" t="s">
        <v>33</v>
      </c>
      <c r="C785" s="6" t="s">
        <v>5</v>
      </c>
      <c r="D785" s="6" t="s">
        <v>44</v>
      </c>
      <c r="E785" s="28">
        <v>32772.699999999997</v>
      </c>
      <c r="F785" s="11">
        <v>9</v>
      </c>
      <c r="G785" s="11">
        <v>14</v>
      </c>
      <c r="H785" s="11">
        <f t="shared" si="170"/>
        <v>-5</v>
      </c>
      <c r="I785" s="18">
        <v>1</v>
      </c>
      <c r="J785" s="19">
        <v>0.49706744868035191</v>
      </c>
      <c r="K785" s="19">
        <v>0.8</v>
      </c>
      <c r="L785" s="6">
        <v>16873038</v>
      </c>
      <c r="M785" s="6">
        <v>2238070.75</v>
      </c>
      <c r="N785" s="6">
        <v>1568544.875</v>
      </c>
      <c r="O785" s="6">
        <v>5198716</v>
      </c>
      <c r="P785" s="6">
        <v>6429.7509765625</v>
      </c>
      <c r="Q785" s="6">
        <v>17016.408203125</v>
      </c>
      <c r="R785" s="6">
        <v>1940389.25</v>
      </c>
      <c r="S785" s="6">
        <v>2005372.875</v>
      </c>
      <c r="T785" s="31">
        <f t="shared" si="171"/>
        <v>2984.7577909179686</v>
      </c>
      <c r="U785" s="37">
        <v>2454</v>
      </c>
      <c r="V785">
        <f t="shared" si="172"/>
        <v>1.2162827183854803</v>
      </c>
      <c r="W785">
        <f t="shared" si="175"/>
        <v>-4.0249748775629368E-2</v>
      </c>
      <c r="X785" s="28">
        <v>1717.8291666666678</v>
      </c>
      <c r="Y785">
        <f t="shared" si="173"/>
        <v>0.68757286063569678</v>
      </c>
      <c r="Z785">
        <f t="shared" si="162"/>
        <v>9.1200927057864714E-2</v>
      </c>
      <c r="AA785">
        <f t="shared" si="163"/>
        <v>6.3917884066829661E-2</v>
      </c>
      <c r="AB785">
        <f t="shared" si="164"/>
        <v>0.21184661776691119</v>
      </c>
      <c r="AC785">
        <f t="shared" si="165"/>
        <v>2.6201104223971068E-4</v>
      </c>
      <c r="AD785">
        <f t="shared" si="166"/>
        <v>6.934151672015077E-4</v>
      </c>
      <c r="AE785">
        <f t="shared" si="167"/>
        <v>7.9070466585167073E-2</v>
      </c>
      <c r="AF785">
        <f t="shared" si="168"/>
        <v>8.1718536063569686E-2</v>
      </c>
      <c r="AG785">
        <f t="shared" si="174"/>
        <v>1.2162827183854805</v>
      </c>
      <c r="AH785">
        <v>0.43526166595977756</v>
      </c>
      <c r="AI785">
        <v>0.64004044489383216</v>
      </c>
      <c r="AJ785">
        <v>1.9238999338598607E-2</v>
      </c>
      <c r="AK785">
        <v>1.0814195961882909E-2</v>
      </c>
      <c r="AL785">
        <v>0.48980621152554815</v>
      </c>
    </row>
    <row r="786" spans="1:38" x14ac:dyDescent="0.25">
      <c r="A786">
        <v>26</v>
      </c>
      <c r="B786" s="5" t="s">
        <v>33</v>
      </c>
      <c r="C786" s="6" t="s">
        <v>5</v>
      </c>
      <c r="D786" s="6" t="s">
        <v>45</v>
      </c>
      <c r="E786" s="28">
        <v>32772.699999999997</v>
      </c>
      <c r="F786" s="11">
        <v>10</v>
      </c>
      <c r="G786" s="11">
        <v>14</v>
      </c>
      <c r="H786" s="11">
        <f t="shared" si="170"/>
        <v>-4</v>
      </c>
      <c r="I786" s="18">
        <v>1</v>
      </c>
      <c r="J786" s="19">
        <v>0.49706744868035191</v>
      </c>
      <c r="K786" s="19">
        <v>0.8</v>
      </c>
      <c r="L786" s="6">
        <v>19193932</v>
      </c>
      <c r="M786" s="6">
        <v>2323656.25</v>
      </c>
      <c r="N786" s="6">
        <v>1568544.875</v>
      </c>
      <c r="O786" s="6">
        <v>5398351.5</v>
      </c>
      <c r="P786" s="6">
        <v>6429.7509765625</v>
      </c>
      <c r="Q786" s="6">
        <v>48755.21484375</v>
      </c>
      <c r="R786" s="6">
        <v>1933374.75</v>
      </c>
      <c r="S786" s="6">
        <v>2049218.625</v>
      </c>
      <c r="T786" s="31">
        <f t="shared" si="171"/>
        <v>3252.2262965820314</v>
      </c>
      <c r="U786" s="37">
        <v>2534.8888888888887</v>
      </c>
      <c r="V786">
        <f t="shared" si="172"/>
        <v>1.2829857398631668</v>
      </c>
      <c r="W786">
        <f t="shared" si="175"/>
        <v>5.4841707827789819E-2</v>
      </c>
      <c r="X786" s="28">
        <v>1944.2041666666676</v>
      </c>
      <c r="Y786">
        <f t="shared" si="173"/>
        <v>0.75719026913298859</v>
      </c>
      <c r="Z786">
        <f t="shared" ref="Z786:Z849" si="176">M786/$U786/10000</f>
        <v>9.1666986280354176E-2</v>
      </c>
      <c r="AA786">
        <f t="shared" ref="AA786:AA849" si="177">N786/$U786/10000</f>
        <v>6.1878249649338135E-2</v>
      </c>
      <c r="AB786">
        <f t="shared" ref="AB786:AB849" si="178">O786/$U786/10000</f>
        <v>0.21296205619356537</v>
      </c>
      <c r="AC786">
        <f t="shared" ref="AC786:AC849" si="179">P786/$U786/10000</f>
        <v>2.5365020947252782E-4</v>
      </c>
      <c r="AD786">
        <f t="shared" ref="AD786:AD849" si="180">Q786/$U786/10000</f>
        <v>1.9233669395710968E-3</v>
      </c>
      <c r="AE786">
        <f t="shared" ref="AE786:AE849" si="181">R786/$U786/10000</f>
        <v>7.627059152274919E-2</v>
      </c>
      <c r="AF786">
        <f t="shared" ref="AF786:AF849" si="182">S786/$U786/10000</f>
        <v>8.084056993512756E-2</v>
      </c>
      <c r="AG786">
        <f t="shared" si="174"/>
        <v>1.2829857398631668</v>
      </c>
      <c r="AH786">
        <v>0.43526166595977756</v>
      </c>
      <c r="AI786">
        <v>0.64004044489383216</v>
      </c>
      <c r="AJ786">
        <v>1.9238999338598607E-2</v>
      </c>
      <c r="AK786">
        <v>1.0814195961882909E-2</v>
      </c>
      <c r="AL786">
        <v>0.48980621152554815</v>
      </c>
    </row>
    <row r="787" spans="1:38" x14ac:dyDescent="0.25">
      <c r="A787">
        <v>26</v>
      </c>
      <c r="B787" s="5" t="s">
        <v>33</v>
      </c>
      <c r="C787" s="6" t="s">
        <v>5</v>
      </c>
      <c r="D787" s="6" t="s">
        <v>46</v>
      </c>
      <c r="E787" s="28">
        <v>32772.699999999997</v>
      </c>
      <c r="F787" s="11">
        <v>11</v>
      </c>
      <c r="G787" s="11">
        <v>14</v>
      </c>
      <c r="H787" s="11">
        <f t="shared" si="170"/>
        <v>-3</v>
      </c>
      <c r="I787" s="18">
        <v>1</v>
      </c>
      <c r="J787" s="19">
        <v>0.49706744868035191</v>
      </c>
      <c r="K787" s="19">
        <v>0.8</v>
      </c>
      <c r="L787" s="6">
        <v>17361288</v>
      </c>
      <c r="M787" s="6">
        <v>2361898.25</v>
      </c>
      <c r="N787" s="6">
        <v>1568544.875</v>
      </c>
      <c r="O787" s="6">
        <v>5485619</v>
      </c>
      <c r="P787" s="6">
        <v>6429.7509765625</v>
      </c>
      <c r="Q787" s="6">
        <v>67194.5546875</v>
      </c>
      <c r="R787" s="6">
        <v>1962019.5</v>
      </c>
      <c r="S787" s="6">
        <v>2121791</v>
      </c>
      <c r="T787" s="31">
        <f t="shared" si="171"/>
        <v>3093.4784930664064</v>
      </c>
      <c r="U787" s="37">
        <v>2615.7777777777778</v>
      </c>
      <c r="V787">
        <f t="shared" si="172"/>
        <v>1.1826228203889924</v>
      </c>
      <c r="W787">
        <f t="shared" si="175"/>
        <v>-7.8226060006620454E-2</v>
      </c>
      <c r="X787" s="28">
        <v>2170.5791666666673</v>
      </c>
      <c r="Y787">
        <f t="shared" si="173"/>
        <v>0.66371417891428086</v>
      </c>
      <c r="Z787">
        <f t="shared" si="176"/>
        <v>9.0294300611672762E-2</v>
      </c>
      <c r="AA787">
        <f t="shared" si="177"/>
        <v>5.9964760321977735E-2</v>
      </c>
      <c r="AB787">
        <f t="shared" si="178"/>
        <v>0.20971273043921501</v>
      </c>
      <c r="AC787">
        <f t="shared" si="179"/>
        <v>2.4580646839292541E-4</v>
      </c>
      <c r="AD787">
        <f t="shared" si="180"/>
        <v>2.5688173994881489E-3</v>
      </c>
      <c r="AE787">
        <f t="shared" si="181"/>
        <v>7.5007117067368956E-2</v>
      </c>
      <c r="AF787">
        <f t="shared" si="182"/>
        <v>8.1115109166595867E-2</v>
      </c>
      <c r="AG787">
        <f t="shared" si="174"/>
        <v>1.1826228203889924</v>
      </c>
      <c r="AH787">
        <v>0.43526166595977756</v>
      </c>
      <c r="AI787">
        <v>0.64004044489383216</v>
      </c>
      <c r="AJ787">
        <v>1.9238999338598607E-2</v>
      </c>
      <c r="AK787">
        <v>1.0814195961882909E-2</v>
      </c>
      <c r="AL787">
        <v>0.48980621152554815</v>
      </c>
    </row>
    <row r="788" spans="1:38" x14ac:dyDescent="0.25">
      <c r="A788">
        <v>26</v>
      </c>
      <c r="B788" s="5" t="s">
        <v>33</v>
      </c>
      <c r="C788" s="6" t="s">
        <v>5</v>
      </c>
      <c r="D788" s="6" t="s">
        <v>47</v>
      </c>
      <c r="E788" s="28">
        <v>32772.699999999997</v>
      </c>
      <c r="F788" s="11">
        <v>12</v>
      </c>
      <c r="G788" s="11">
        <v>14</v>
      </c>
      <c r="H788" s="11">
        <f t="shared" si="170"/>
        <v>-2</v>
      </c>
      <c r="I788" s="18">
        <v>1</v>
      </c>
      <c r="J788" s="19">
        <v>0.49706744868035191</v>
      </c>
      <c r="K788" s="19">
        <v>0.8</v>
      </c>
      <c r="L788" s="6">
        <v>17247742</v>
      </c>
      <c r="M788" s="6">
        <v>2337047.25</v>
      </c>
      <c r="N788" s="6">
        <v>1568544.875</v>
      </c>
      <c r="O788" s="6">
        <v>5428716</v>
      </c>
      <c r="P788" s="6">
        <v>6429.7509765625</v>
      </c>
      <c r="Q788" s="6">
        <v>44212.34765625</v>
      </c>
      <c r="R788" s="6">
        <v>1955810.375</v>
      </c>
      <c r="S788" s="6">
        <v>2105689</v>
      </c>
      <c r="T788" s="31">
        <f t="shared" si="171"/>
        <v>3069.419159863281</v>
      </c>
      <c r="U788" s="37">
        <v>2696.6666666666665</v>
      </c>
      <c r="V788">
        <f t="shared" si="172"/>
        <v>1.1382271297391648</v>
      </c>
      <c r="W788">
        <f t="shared" si="175"/>
        <v>-3.7540025344027041E-2</v>
      </c>
      <c r="X788" s="28">
        <v>2396.9541666666669</v>
      </c>
      <c r="Y788">
        <f t="shared" si="173"/>
        <v>0.63959488257107544</v>
      </c>
      <c r="Z788">
        <f t="shared" si="176"/>
        <v>8.6664298516687263E-2</v>
      </c>
      <c r="AA788">
        <f t="shared" si="177"/>
        <v>5.8166064585908533E-2</v>
      </c>
      <c r="AB788">
        <f t="shared" si="178"/>
        <v>0.20131208899876393</v>
      </c>
      <c r="AC788">
        <f t="shared" si="179"/>
        <v>2.3843328714076022E-4</v>
      </c>
      <c r="AD788">
        <f t="shared" si="180"/>
        <v>1.6395184544962919E-3</v>
      </c>
      <c r="AE788">
        <f t="shared" si="181"/>
        <v>7.2526960754017308E-2</v>
      </c>
      <c r="AF788">
        <f t="shared" si="182"/>
        <v>7.8084882571075417E-2</v>
      </c>
      <c r="AG788">
        <f t="shared" si="174"/>
        <v>1.1382271297391648</v>
      </c>
      <c r="AH788">
        <v>0.43526166595977756</v>
      </c>
      <c r="AI788">
        <v>0.64004044489383216</v>
      </c>
      <c r="AJ788">
        <v>1.9238999338598607E-2</v>
      </c>
      <c r="AK788">
        <v>1.0814195961882909E-2</v>
      </c>
      <c r="AL788">
        <v>0.48980621152554815</v>
      </c>
    </row>
    <row r="789" spans="1:38" x14ac:dyDescent="0.25">
      <c r="A789">
        <v>26</v>
      </c>
      <c r="B789" s="5" t="s">
        <v>33</v>
      </c>
      <c r="C789" s="6" t="s">
        <v>5</v>
      </c>
      <c r="D789" s="6" t="s">
        <v>48</v>
      </c>
      <c r="E789" s="28">
        <v>32772.699999999997</v>
      </c>
      <c r="F789" s="11">
        <v>13</v>
      </c>
      <c r="G789" s="11">
        <v>14</v>
      </c>
      <c r="H789" s="11">
        <f t="shared" si="170"/>
        <v>-1</v>
      </c>
      <c r="I789" s="18">
        <v>1</v>
      </c>
      <c r="J789" s="19">
        <v>0.49706744868035191</v>
      </c>
      <c r="K789" s="19">
        <v>0.8</v>
      </c>
      <c r="L789" s="6">
        <v>18067548</v>
      </c>
      <c r="M789" s="6">
        <v>2349844.75</v>
      </c>
      <c r="N789" s="6">
        <v>1568544.875</v>
      </c>
      <c r="O789" s="6">
        <v>5458342.5</v>
      </c>
      <c r="P789" s="6">
        <v>6429.7509765625</v>
      </c>
      <c r="Q789" s="6">
        <v>21383.451171875</v>
      </c>
      <c r="R789" s="6">
        <v>1954569.25</v>
      </c>
      <c r="S789" s="6">
        <v>2043117</v>
      </c>
      <c r="T789" s="31">
        <f t="shared" si="171"/>
        <v>3146.9779577148438</v>
      </c>
      <c r="U789" s="37">
        <v>2726.8888888888887</v>
      </c>
      <c r="V789">
        <f t="shared" si="172"/>
        <v>1.1540543402914838</v>
      </c>
      <c r="W789">
        <f t="shared" si="175"/>
        <v>1.3905142601851266E-2</v>
      </c>
      <c r="X789" s="28">
        <v>2623.3291666666664</v>
      </c>
      <c r="Y789">
        <f t="shared" si="173"/>
        <v>0.66257001059408371</v>
      </c>
      <c r="Z789">
        <f t="shared" si="176"/>
        <v>8.6173102232906862E-2</v>
      </c>
      <c r="AA789">
        <f t="shared" si="177"/>
        <v>5.7521407688859917E-2</v>
      </c>
      <c r="AB789">
        <f t="shared" si="178"/>
        <v>0.2001673967076848</v>
      </c>
      <c r="AC789">
        <f t="shared" si="179"/>
        <v>2.3579072116804869E-4</v>
      </c>
      <c r="AD789">
        <f t="shared" si="180"/>
        <v>7.8417024100266893E-4</v>
      </c>
      <c r="AE789">
        <f t="shared" si="181"/>
        <v>7.1677627129003343E-2</v>
      </c>
      <c r="AF789">
        <f t="shared" si="182"/>
        <v>7.4924834976774518E-2</v>
      </c>
      <c r="AG789">
        <f t="shared" si="174"/>
        <v>1.1540543402914842</v>
      </c>
      <c r="AH789">
        <v>0.43526166595977756</v>
      </c>
      <c r="AI789">
        <v>0.64004044489383216</v>
      </c>
      <c r="AJ789">
        <v>1.9238999338598607E-2</v>
      </c>
      <c r="AK789">
        <v>1.0814195961882909E-2</v>
      </c>
      <c r="AL789">
        <v>0.48980621152554815</v>
      </c>
    </row>
    <row r="790" spans="1:38" x14ac:dyDescent="0.25">
      <c r="A790">
        <v>26</v>
      </c>
      <c r="B790" s="21" t="s">
        <v>33</v>
      </c>
      <c r="C790" s="22" t="s">
        <v>5</v>
      </c>
      <c r="D790" s="22" t="s">
        <v>49</v>
      </c>
      <c r="E790" s="28">
        <v>32772.699999999997</v>
      </c>
      <c r="F790" s="22">
        <v>14</v>
      </c>
      <c r="G790" s="22">
        <v>14</v>
      </c>
      <c r="H790" s="22">
        <f t="shared" si="170"/>
        <v>0</v>
      </c>
      <c r="I790" s="18">
        <v>1</v>
      </c>
      <c r="J790" s="19">
        <v>0.49706744868035191</v>
      </c>
      <c r="K790" s="19">
        <v>0.8</v>
      </c>
      <c r="L790" s="22">
        <v>20322586</v>
      </c>
      <c r="M790" s="22">
        <v>2257483</v>
      </c>
      <c r="N790" s="22">
        <v>1568544.875</v>
      </c>
      <c r="O790" s="22">
        <v>5239550.5</v>
      </c>
      <c r="P790" s="22">
        <v>6429.7509765625</v>
      </c>
      <c r="Q790" s="22">
        <v>12655.5078125</v>
      </c>
      <c r="R790" s="22">
        <v>1961042.25</v>
      </c>
      <c r="S790" s="22">
        <v>2001768.375</v>
      </c>
      <c r="T790" s="32">
        <f t="shared" si="171"/>
        <v>3337.0060258789063</v>
      </c>
      <c r="U790" s="37">
        <v>2757.1111111111113</v>
      </c>
      <c r="V790">
        <f t="shared" si="172"/>
        <v>1.2103270022128698</v>
      </c>
      <c r="W790">
        <f t="shared" si="175"/>
        <v>4.8760842498259682E-2</v>
      </c>
      <c r="X790" s="28">
        <v>2849.7041666666664</v>
      </c>
      <c r="Y790">
        <f t="shared" si="173"/>
        <v>0.73709709841218662</v>
      </c>
      <c r="Z790">
        <f t="shared" si="176"/>
        <v>8.1878564520029007E-2</v>
      </c>
      <c r="AA790">
        <f t="shared" si="177"/>
        <v>5.6890883674538567E-2</v>
      </c>
      <c r="AB790">
        <f t="shared" si="178"/>
        <v>0.19003769847666638</v>
      </c>
      <c r="AC790">
        <f t="shared" si="179"/>
        <v>2.3320608845435036E-4</v>
      </c>
      <c r="AD790">
        <f t="shared" si="180"/>
        <v>4.5901334050334484E-4</v>
      </c>
      <c r="AE790">
        <f t="shared" si="181"/>
        <v>7.1126703675344558E-2</v>
      </c>
      <c r="AF790">
        <f t="shared" si="182"/>
        <v>7.2603834025147085E-2</v>
      </c>
      <c r="AG790">
        <f t="shared" si="174"/>
        <v>1.2103270022128698</v>
      </c>
      <c r="AH790">
        <v>0.43526166595977756</v>
      </c>
      <c r="AI790">
        <v>0.64004044489383216</v>
      </c>
      <c r="AJ790">
        <v>1.9238999338598607E-2</v>
      </c>
      <c r="AK790">
        <v>1.0814195961882909E-2</v>
      </c>
      <c r="AL790">
        <v>0.48980621152554815</v>
      </c>
    </row>
    <row r="791" spans="1:38" x14ac:dyDescent="0.25">
      <c r="A791">
        <v>26</v>
      </c>
      <c r="B791" s="5" t="s">
        <v>33</v>
      </c>
      <c r="C791" s="6" t="s">
        <v>5</v>
      </c>
      <c r="D791" s="6" t="s">
        <v>50</v>
      </c>
      <c r="E791" s="28">
        <v>32772.699999999997</v>
      </c>
      <c r="F791" s="11">
        <v>15</v>
      </c>
      <c r="G791" s="11">
        <v>14</v>
      </c>
      <c r="H791" s="11">
        <f t="shared" si="170"/>
        <v>1</v>
      </c>
      <c r="I791" s="18">
        <v>1</v>
      </c>
      <c r="J791" s="19">
        <v>0.49706744868035191</v>
      </c>
      <c r="K791" s="19">
        <v>0.8</v>
      </c>
      <c r="L791" s="6">
        <v>21626102</v>
      </c>
      <c r="M791" s="6">
        <v>2194139</v>
      </c>
      <c r="N791" s="6">
        <v>1568544.875</v>
      </c>
      <c r="O791" s="6">
        <v>5090102</v>
      </c>
      <c r="P791" s="6">
        <v>6429.7509765625</v>
      </c>
      <c r="Q791" s="6">
        <v>17750.21875</v>
      </c>
      <c r="R791" s="6">
        <v>1939453.875</v>
      </c>
      <c r="S791" s="6">
        <v>2022560.625</v>
      </c>
      <c r="T791" s="31">
        <f t="shared" si="171"/>
        <v>3446.5082344726561</v>
      </c>
      <c r="U791" s="37">
        <v>2787.3333333333335</v>
      </c>
      <c r="V791">
        <f t="shared" si="172"/>
        <v>1.236489440734031</v>
      </c>
      <c r="W791">
        <f t="shared" si="175"/>
        <v>2.1616008296375912E-2</v>
      </c>
      <c r="X791" s="28">
        <v>3076.079166666666</v>
      </c>
      <c r="Y791">
        <f t="shared" si="173"/>
        <v>0.77587067687156175</v>
      </c>
      <c r="Z791">
        <f t="shared" si="176"/>
        <v>7.8718213346089458E-2</v>
      </c>
      <c r="AA791">
        <f t="shared" si="177"/>
        <v>5.6274032827074862E-2</v>
      </c>
      <c r="AB791">
        <f t="shared" si="178"/>
        <v>0.18261547476680218</v>
      </c>
      <c r="AC791">
        <f t="shared" si="179"/>
        <v>2.3067750454063024E-4</v>
      </c>
      <c r="AD791">
        <f t="shared" si="180"/>
        <v>6.3681722375029891E-4</v>
      </c>
      <c r="AE791">
        <f t="shared" si="181"/>
        <v>6.9580980925615876E-2</v>
      </c>
      <c r="AF791">
        <f t="shared" si="182"/>
        <v>7.2562567268596029E-2</v>
      </c>
      <c r="AG791">
        <f t="shared" si="174"/>
        <v>1.2364894407340312</v>
      </c>
      <c r="AH791">
        <v>0.43526166595977756</v>
      </c>
      <c r="AI791">
        <v>0.64004044489383216</v>
      </c>
      <c r="AJ791">
        <v>1.9238999338598607E-2</v>
      </c>
      <c r="AK791">
        <v>1.0814195961882909E-2</v>
      </c>
      <c r="AL791">
        <v>0.48980621152554815</v>
      </c>
    </row>
    <row r="792" spans="1:38" x14ac:dyDescent="0.25">
      <c r="A792">
        <v>26</v>
      </c>
      <c r="B792" s="5" t="s">
        <v>33</v>
      </c>
      <c r="C792" s="6" t="s">
        <v>5</v>
      </c>
      <c r="D792" s="6" t="s">
        <v>51</v>
      </c>
      <c r="E792" s="28">
        <v>32772.699999999997</v>
      </c>
      <c r="F792" s="11">
        <v>16</v>
      </c>
      <c r="G792" s="11">
        <v>14</v>
      </c>
      <c r="H792" s="11">
        <f t="shared" si="170"/>
        <v>2</v>
      </c>
      <c r="I792" s="18">
        <v>1</v>
      </c>
      <c r="J792" s="19">
        <v>0.49706744868035191</v>
      </c>
      <c r="K792" s="19">
        <v>0.8</v>
      </c>
      <c r="L792" s="6">
        <v>18880542</v>
      </c>
      <c r="M792" s="6">
        <v>2289155</v>
      </c>
      <c r="N792" s="6">
        <v>1568544.875</v>
      </c>
      <c r="O792" s="6">
        <v>5313062</v>
      </c>
      <c r="P792" s="6">
        <v>6429.7509765625</v>
      </c>
      <c r="Q792" s="6">
        <v>49469.41796875</v>
      </c>
      <c r="R792" s="6">
        <v>1932832.75</v>
      </c>
      <c r="S792" s="6">
        <v>2058343.75</v>
      </c>
      <c r="T792" s="31">
        <f t="shared" si="171"/>
        <v>3209.8379543945312</v>
      </c>
      <c r="U792" s="37">
        <v>2882.8888888888891</v>
      </c>
      <c r="V792">
        <f t="shared" si="172"/>
        <v>1.1134102208259762</v>
      </c>
      <c r="W792">
        <f t="shared" si="175"/>
        <v>-9.9539240573692178E-2</v>
      </c>
      <c r="X792" s="28">
        <v>3302.4541666666655</v>
      </c>
      <c r="Y792">
        <f t="shared" si="173"/>
        <v>0.65491743621367449</v>
      </c>
      <c r="Z792">
        <f t="shared" si="176"/>
        <v>7.940489863562783E-2</v>
      </c>
      <c r="AA792">
        <f t="shared" si="177"/>
        <v>5.4408786999922916E-2</v>
      </c>
      <c r="AB792">
        <f t="shared" si="178"/>
        <v>0.1842964541740538</v>
      </c>
      <c r="AC792">
        <f t="shared" si="179"/>
        <v>2.2303152235050679E-4</v>
      </c>
      <c r="AD792">
        <f t="shared" si="180"/>
        <v>1.7159668608600555E-3</v>
      </c>
      <c r="AE792">
        <f t="shared" si="181"/>
        <v>6.7044996338549281E-2</v>
      </c>
      <c r="AF792">
        <f t="shared" si="182"/>
        <v>7.1398650080937334E-2</v>
      </c>
      <c r="AG792">
        <f t="shared" si="174"/>
        <v>1.1134102208259762</v>
      </c>
      <c r="AH792">
        <v>0.43526166595977756</v>
      </c>
      <c r="AI792">
        <v>0.64004044489383216</v>
      </c>
      <c r="AJ792">
        <v>1.9238999338598607E-2</v>
      </c>
      <c r="AK792">
        <v>1.0814195961882909E-2</v>
      </c>
      <c r="AL792">
        <v>0.48980621152554815</v>
      </c>
    </row>
    <row r="793" spans="1:38" x14ac:dyDescent="0.25">
      <c r="A793">
        <v>26</v>
      </c>
      <c r="B793" s="5" t="s">
        <v>33</v>
      </c>
      <c r="C793" s="6" t="s">
        <v>5</v>
      </c>
      <c r="D793" s="6" t="s">
        <v>52</v>
      </c>
      <c r="E793" s="28">
        <v>32772.699999999997</v>
      </c>
      <c r="F793" s="11">
        <v>17</v>
      </c>
      <c r="G793" s="11">
        <v>14</v>
      </c>
      <c r="H793" s="11">
        <f t="shared" si="170"/>
        <v>3</v>
      </c>
      <c r="I793" s="18">
        <v>1</v>
      </c>
      <c r="J793" s="19">
        <v>0.49706744868035191</v>
      </c>
      <c r="K793" s="19">
        <v>0.8</v>
      </c>
      <c r="L793" s="6">
        <v>18580780</v>
      </c>
      <c r="M793" s="6">
        <v>2354154</v>
      </c>
      <c r="N793" s="6">
        <v>1568544.875</v>
      </c>
      <c r="O793" s="6">
        <v>5466354.5</v>
      </c>
      <c r="P793" s="6">
        <v>6429.7509765625</v>
      </c>
      <c r="Q793" s="6">
        <v>68237.8515625</v>
      </c>
      <c r="R793" s="6">
        <v>1961913.25</v>
      </c>
      <c r="S793" s="6">
        <v>2130702.5</v>
      </c>
      <c r="T793" s="31">
        <f t="shared" si="171"/>
        <v>3213.7116727539064</v>
      </c>
      <c r="U793" s="37">
        <v>2978.4444444444448</v>
      </c>
      <c r="V793">
        <f t="shared" si="172"/>
        <v>1.0789899669769885</v>
      </c>
      <c r="W793">
        <f t="shared" si="175"/>
        <v>-3.091426071466569E-2</v>
      </c>
      <c r="X793" s="28">
        <v>3528.8291666666655</v>
      </c>
      <c r="Y793">
        <f t="shared" si="173"/>
        <v>0.6238417518466014</v>
      </c>
      <c r="Z793">
        <f t="shared" si="176"/>
        <v>7.9039714989181512E-2</v>
      </c>
      <c r="AA793">
        <f t="shared" si="177"/>
        <v>5.2663224184883971E-2</v>
      </c>
      <c r="AB793">
        <f t="shared" si="178"/>
        <v>0.18353051742147278</v>
      </c>
      <c r="AC793">
        <f t="shared" si="179"/>
        <v>2.158761426138271E-4</v>
      </c>
      <c r="AD793">
        <f t="shared" si="180"/>
        <v>2.2910567188782361E-3</v>
      </c>
      <c r="AE793">
        <f t="shared" si="181"/>
        <v>6.5870399350891576E-2</v>
      </c>
      <c r="AF793">
        <f t="shared" si="182"/>
        <v>7.1537426322465111E-2</v>
      </c>
      <c r="AG793">
        <f t="shared" si="174"/>
        <v>1.0789899669769885</v>
      </c>
      <c r="AH793">
        <v>0.43526166595977756</v>
      </c>
      <c r="AI793">
        <v>0.64004044489383216</v>
      </c>
      <c r="AJ793">
        <v>1.9238999338598607E-2</v>
      </c>
      <c r="AK793">
        <v>1.0814195961882909E-2</v>
      </c>
      <c r="AL793">
        <v>0.48980621152554815</v>
      </c>
    </row>
    <row r="794" spans="1:38" x14ac:dyDescent="0.25">
      <c r="A794">
        <v>26</v>
      </c>
      <c r="B794" s="5" t="s">
        <v>33</v>
      </c>
      <c r="C794" s="6" t="s">
        <v>5</v>
      </c>
      <c r="D794" s="6" t="s">
        <v>53</v>
      </c>
      <c r="E794" s="28">
        <v>32772.699999999997</v>
      </c>
      <c r="F794" s="11">
        <v>18</v>
      </c>
      <c r="G794" s="11">
        <v>14</v>
      </c>
      <c r="H794" s="11">
        <f t="shared" si="170"/>
        <v>4</v>
      </c>
      <c r="I794" s="18">
        <v>1</v>
      </c>
      <c r="J794" s="19">
        <v>0.49706744868035191</v>
      </c>
      <c r="K794" s="19">
        <v>0.8</v>
      </c>
      <c r="L794" s="6">
        <v>19845690</v>
      </c>
      <c r="M794" s="6">
        <v>2344424.25</v>
      </c>
      <c r="N794" s="6">
        <v>1568544.875</v>
      </c>
      <c r="O794" s="6">
        <v>5448240.5</v>
      </c>
      <c r="P794" s="6">
        <v>6429.7509765625</v>
      </c>
      <c r="Q794" s="6">
        <v>45051.78515625</v>
      </c>
      <c r="R794" s="6">
        <v>1956219.625</v>
      </c>
      <c r="S794" s="6">
        <v>2103779.75</v>
      </c>
      <c r="T794" s="31">
        <f t="shared" si="171"/>
        <v>3331.8380536132813</v>
      </c>
      <c r="U794" s="37">
        <v>3074</v>
      </c>
      <c r="V794">
        <f t="shared" si="172"/>
        <v>1.0838770506224078</v>
      </c>
      <c r="W794">
        <f t="shared" si="175"/>
        <v>4.5293133346842049E-3</v>
      </c>
      <c r="X794" s="28">
        <v>3755.2041666666646</v>
      </c>
      <c r="Y794">
        <f t="shared" si="173"/>
        <v>0.64559824333116456</v>
      </c>
      <c r="Z794">
        <f t="shared" si="176"/>
        <v>7.6266241054001302E-2</v>
      </c>
      <c r="AA794">
        <f t="shared" si="177"/>
        <v>5.1026183311646066E-2</v>
      </c>
      <c r="AB794">
        <f t="shared" si="178"/>
        <v>0.17723619063109955</v>
      </c>
      <c r="AC794">
        <f t="shared" si="179"/>
        <v>2.091656140716493E-4</v>
      </c>
      <c r="AD794">
        <f t="shared" si="180"/>
        <v>1.4655753141265451E-3</v>
      </c>
      <c r="AE794">
        <f t="shared" si="181"/>
        <v>6.3637593526350025E-2</v>
      </c>
      <c r="AF794">
        <f t="shared" si="182"/>
        <v>6.8437857839947949E-2</v>
      </c>
      <c r="AG794">
        <f t="shared" si="174"/>
        <v>1.0838770506224078</v>
      </c>
      <c r="AH794">
        <v>0.43526166595977756</v>
      </c>
      <c r="AI794">
        <v>0.64004044489383216</v>
      </c>
      <c r="AJ794">
        <v>1.9238999338598607E-2</v>
      </c>
      <c r="AK794">
        <v>1.0814195961882909E-2</v>
      </c>
      <c r="AL794">
        <v>0.48980621152554815</v>
      </c>
    </row>
    <row r="795" spans="1:38" x14ac:dyDescent="0.25">
      <c r="A795">
        <v>26</v>
      </c>
      <c r="B795" s="5" t="s">
        <v>33</v>
      </c>
      <c r="C795" s="6" t="s">
        <v>5</v>
      </c>
      <c r="D795" s="6" t="s">
        <v>54</v>
      </c>
      <c r="E795" s="28">
        <v>32772.699999999997</v>
      </c>
      <c r="F795" s="11">
        <v>19</v>
      </c>
      <c r="G795" s="11">
        <v>14</v>
      </c>
      <c r="H795" s="11">
        <f t="shared" si="170"/>
        <v>5</v>
      </c>
      <c r="I795" s="18">
        <v>1</v>
      </c>
      <c r="J795" s="19">
        <v>0.49706744868035191</v>
      </c>
      <c r="K795" s="19">
        <v>0.8</v>
      </c>
      <c r="L795" s="6">
        <v>22137062</v>
      </c>
      <c r="M795" s="6">
        <v>2365201.25</v>
      </c>
      <c r="N795" s="6">
        <v>1569297.75</v>
      </c>
      <c r="O795" s="6">
        <v>5498535.5</v>
      </c>
      <c r="P795" s="6">
        <v>6432.83740234375</v>
      </c>
      <c r="Q795" s="6">
        <v>21137.7578125</v>
      </c>
      <c r="R795" s="6">
        <v>1956220.875</v>
      </c>
      <c r="S795" s="6">
        <v>2027337.875</v>
      </c>
      <c r="T795" s="31">
        <f t="shared" si="171"/>
        <v>3558.1225845214844</v>
      </c>
      <c r="U795" s="37">
        <v>3169.5555555555552</v>
      </c>
      <c r="V795">
        <f t="shared" si="172"/>
        <v>1.1225935378494483</v>
      </c>
      <c r="W795">
        <f t="shared" si="175"/>
        <v>3.5720368103382048E-2</v>
      </c>
      <c r="X795" s="28">
        <v>3981.5791666666646</v>
      </c>
      <c r="Y795">
        <f t="shared" si="173"/>
        <v>0.69842795344597919</v>
      </c>
      <c r="Z795">
        <f t="shared" si="176"/>
        <v>7.4622489132721029E-2</v>
      </c>
      <c r="AA795">
        <f t="shared" si="177"/>
        <v>4.9511602573091222E-2</v>
      </c>
      <c r="AB795">
        <f t="shared" si="178"/>
        <v>0.17347970097454957</v>
      </c>
      <c r="AC795">
        <f t="shared" si="179"/>
        <v>2.029570799309183E-4</v>
      </c>
      <c r="AD795">
        <f t="shared" si="180"/>
        <v>6.6689974168302607E-4</v>
      </c>
      <c r="AE795">
        <f t="shared" si="181"/>
        <v>6.1719090917058135E-2</v>
      </c>
      <c r="AF795">
        <f t="shared" si="182"/>
        <v>6.3962843984435261E-2</v>
      </c>
      <c r="AG795">
        <f t="shared" si="174"/>
        <v>1.1225935378494483</v>
      </c>
      <c r="AH795">
        <v>0.43526166595977756</v>
      </c>
      <c r="AI795">
        <v>0.64004044489383216</v>
      </c>
      <c r="AJ795">
        <v>1.9238999338598607E-2</v>
      </c>
      <c r="AK795">
        <v>1.0814195961882909E-2</v>
      </c>
      <c r="AL795">
        <v>0.48980621152554815</v>
      </c>
    </row>
    <row r="796" spans="1:38" x14ac:dyDescent="0.25">
      <c r="A796">
        <v>26</v>
      </c>
      <c r="B796" s="5" t="s">
        <v>33</v>
      </c>
      <c r="C796" s="6" t="s">
        <v>5</v>
      </c>
      <c r="D796" s="6" t="s">
        <v>55</v>
      </c>
      <c r="E796" s="28">
        <v>33786.1</v>
      </c>
      <c r="F796" s="11">
        <v>20</v>
      </c>
      <c r="G796" s="11">
        <v>14</v>
      </c>
      <c r="H796" s="18">
        <f t="shared" si="170"/>
        <v>6</v>
      </c>
      <c r="I796" s="18">
        <v>1</v>
      </c>
      <c r="J796" s="19">
        <v>0.49706744868035191</v>
      </c>
      <c r="K796" s="19">
        <v>0.8</v>
      </c>
      <c r="L796" s="14">
        <v>1992429.875</v>
      </c>
      <c r="M796" s="14">
        <v>2632127.25</v>
      </c>
      <c r="N796" s="14">
        <v>3344170.5</v>
      </c>
      <c r="O796" s="14">
        <v>19828800</v>
      </c>
      <c r="P796" s="14">
        <v>6477.453125</v>
      </c>
      <c r="Q796" s="14">
        <v>13566.1279296875</v>
      </c>
      <c r="R796" s="14">
        <v>5444486</v>
      </c>
      <c r="S796" s="14">
        <v>2462420.75</v>
      </c>
      <c r="T796" s="31">
        <f t="shared" si="171"/>
        <v>3572.4477956054689</v>
      </c>
      <c r="U796" s="37">
        <v>2576.1111111111113</v>
      </c>
      <c r="V796">
        <f t="shared" si="172"/>
        <v>1.386759981041588</v>
      </c>
      <c r="W796">
        <f t="shared" si="175"/>
        <v>0.23531797955848138</v>
      </c>
      <c r="X796" s="28">
        <v>2381.0654166666654</v>
      </c>
      <c r="Y796">
        <f t="shared" si="173"/>
        <v>7.734254420961828E-2</v>
      </c>
      <c r="Z796">
        <f t="shared" si="176"/>
        <v>0.10217444576234634</v>
      </c>
      <c r="AA796">
        <f t="shared" si="177"/>
        <v>0.12981468406297175</v>
      </c>
      <c r="AB796">
        <f t="shared" si="178"/>
        <v>0.76971835238300623</v>
      </c>
      <c r="AC796">
        <f t="shared" si="179"/>
        <v>2.5144308011645455E-4</v>
      </c>
      <c r="AD796">
        <f t="shared" si="180"/>
        <v>5.2661268650932701E-4</v>
      </c>
      <c r="AE796">
        <f t="shared" si="181"/>
        <v>0.21134515419452232</v>
      </c>
      <c r="AF796">
        <f t="shared" si="182"/>
        <v>9.5586744662497294E-2</v>
      </c>
      <c r="AG796">
        <f t="shared" si="174"/>
        <v>1.386759981041588</v>
      </c>
      <c r="AH796">
        <v>0.4125157979168948</v>
      </c>
      <c r="AI796">
        <v>0.65156882591093113</v>
      </c>
      <c r="AJ796">
        <v>1.9219546356456445E-2</v>
      </c>
      <c r="AK796">
        <v>1.114539115198262E-2</v>
      </c>
      <c r="AL796">
        <v>0.47910267202595652</v>
      </c>
    </row>
    <row r="797" spans="1:38" x14ac:dyDescent="0.25">
      <c r="A797">
        <v>26</v>
      </c>
      <c r="B797" s="5" t="s">
        <v>33</v>
      </c>
      <c r="C797" s="6" t="s">
        <v>5</v>
      </c>
      <c r="D797" s="6" t="s">
        <v>56</v>
      </c>
      <c r="E797" s="28">
        <v>33786.1</v>
      </c>
      <c r="F797" s="11">
        <v>21</v>
      </c>
      <c r="G797" s="11">
        <v>14</v>
      </c>
      <c r="H797" s="11">
        <f t="shared" si="170"/>
        <v>7</v>
      </c>
      <c r="I797" s="18">
        <v>1</v>
      </c>
      <c r="J797" s="19">
        <v>0.49706744868035191</v>
      </c>
      <c r="K797" s="19">
        <v>0.8</v>
      </c>
      <c r="L797" s="6">
        <v>1971105.625</v>
      </c>
      <c r="M797" s="6">
        <v>2579861</v>
      </c>
      <c r="N797" s="6">
        <v>2909076.5</v>
      </c>
      <c r="O797" s="6">
        <v>19730544</v>
      </c>
      <c r="P797" s="6">
        <v>6477.453125</v>
      </c>
      <c r="Q797" s="6">
        <v>19181.1953125</v>
      </c>
      <c r="R797" s="6">
        <v>5333928.5</v>
      </c>
      <c r="S797" s="6">
        <v>2495341</v>
      </c>
      <c r="T797" s="31">
        <f t="shared" si="171"/>
        <v>3504.55152734375</v>
      </c>
      <c r="U797" s="37">
        <v>2597.3333333333335</v>
      </c>
      <c r="V797">
        <f t="shared" si="172"/>
        <v>1.3492883190491849</v>
      </c>
      <c r="W797">
        <f t="shared" si="175"/>
        <v>-2.7021014814876891E-2</v>
      </c>
      <c r="X797" s="28">
        <v>2460.0545833333326</v>
      </c>
      <c r="Y797">
        <f t="shared" si="173"/>
        <v>7.588959028490759E-2</v>
      </c>
      <c r="Z797">
        <f t="shared" si="176"/>
        <v>9.9327297227926062E-2</v>
      </c>
      <c r="AA797">
        <f t="shared" si="177"/>
        <v>0.1120024319815195</v>
      </c>
      <c r="AB797">
        <f t="shared" si="178"/>
        <v>0.75964620123203286</v>
      </c>
      <c r="AC797">
        <f t="shared" si="179"/>
        <v>2.493885956750513E-4</v>
      </c>
      <c r="AD797">
        <f t="shared" si="180"/>
        <v>7.3849571275025664E-4</v>
      </c>
      <c r="AE797">
        <f t="shared" si="181"/>
        <v>0.20536172356262833</v>
      </c>
      <c r="AF797">
        <f t="shared" si="182"/>
        <v>9.6073190451745366E-2</v>
      </c>
      <c r="AG797">
        <f t="shared" si="174"/>
        <v>1.3492883190491851</v>
      </c>
      <c r="AH797">
        <v>0.4125157979168948</v>
      </c>
      <c r="AI797">
        <v>0.65156882591093113</v>
      </c>
      <c r="AJ797">
        <v>1.9219546356456445E-2</v>
      </c>
      <c r="AK797">
        <v>1.114539115198262E-2</v>
      </c>
      <c r="AL797">
        <v>0.47910267202595652</v>
      </c>
    </row>
    <row r="798" spans="1:38" x14ac:dyDescent="0.25">
      <c r="A798">
        <v>26</v>
      </c>
      <c r="B798" s="5" t="s">
        <v>33</v>
      </c>
      <c r="C798" s="6" t="s">
        <v>5</v>
      </c>
      <c r="D798" s="6" t="s">
        <v>57</v>
      </c>
      <c r="E798" s="28">
        <v>33786.1</v>
      </c>
      <c r="F798" s="11">
        <v>22</v>
      </c>
      <c r="G798" s="11">
        <v>14</v>
      </c>
      <c r="H798" s="11">
        <f t="shared" si="170"/>
        <v>8</v>
      </c>
      <c r="I798" s="18">
        <v>1</v>
      </c>
      <c r="J798" s="19">
        <v>0.49706744868035191</v>
      </c>
      <c r="K798" s="19">
        <v>0.8</v>
      </c>
      <c r="L798" s="6">
        <v>1964215.5</v>
      </c>
      <c r="M798" s="6">
        <v>2678475.5</v>
      </c>
      <c r="N798" s="6">
        <v>1886038</v>
      </c>
      <c r="O798" s="6">
        <v>22444490</v>
      </c>
      <c r="P798" s="6">
        <v>6477.453125</v>
      </c>
      <c r="Q798" s="6">
        <v>54929.9140625</v>
      </c>
      <c r="R798" s="6">
        <v>5538768.5</v>
      </c>
      <c r="S798" s="6">
        <v>2548073.5</v>
      </c>
      <c r="T798" s="31">
        <f t="shared" si="171"/>
        <v>3712.1468367187499</v>
      </c>
      <c r="U798" s="37">
        <v>2618.5555555555557</v>
      </c>
      <c r="V798">
        <f t="shared" si="172"/>
        <v>1.4176314987257075</v>
      </c>
      <c r="W798">
        <f t="shared" si="175"/>
        <v>5.0651279427574525E-2</v>
      </c>
      <c r="X798" s="28">
        <v>2539.0437499999994</v>
      </c>
      <c r="Y798">
        <f t="shared" si="173"/>
        <v>7.5011412144099801E-2</v>
      </c>
      <c r="Z798">
        <f t="shared" si="176"/>
        <v>0.10228828234395552</v>
      </c>
      <c r="AA798">
        <f t="shared" si="177"/>
        <v>7.2025892137310643E-2</v>
      </c>
      <c r="AB798">
        <f t="shared" si="178"/>
        <v>0.8571324733737854</v>
      </c>
      <c r="AC798">
        <f t="shared" si="179"/>
        <v>2.4736741258963804E-4</v>
      </c>
      <c r="AD798">
        <f t="shared" si="180"/>
        <v>2.0977181082127549E-3</v>
      </c>
      <c r="AE798">
        <f t="shared" si="181"/>
        <v>0.21151999193787924</v>
      </c>
      <c r="AF798">
        <f t="shared" si="182"/>
        <v>9.7308361267874566E-2</v>
      </c>
      <c r="AG798">
        <f t="shared" si="174"/>
        <v>1.4176314987257075</v>
      </c>
      <c r="AH798">
        <v>0.4125157979168948</v>
      </c>
      <c r="AI798">
        <v>0.65156882591093113</v>
      </c>
      <c r="AJ798">
        <v>1.9219546356456445E-2</v>
      </c>
      <c r="AK798">
        <v>1.114539115198262E-2</v>
      </c>
      <c r="AL798">
        <v>0.47910267202595652</v>
      </c>
    </row>
    <row r="799" spans="1:38" x14ac:dyDescent="0.25">
      <c r="A799">
        <v>26</v>
      </c>
      <c r="B799" s="5" t="s">
        <v>33</v>
      </c>
      <c r="C799" s="6" t="s">
        <v>5</v>
      </c>
      <c r="D799" s="6" t="s">
        <v>58</v>
      </c>
      <c r="E799" s="28">
        <v>33786.1</v>
      </c>
      <c r="F799" s="11">
        <v>23</v>
      </c>
      <c r="G799" s="11">
        <v>14</v>
      </c>
      <c r="H799" s="11">
        <f t="shared" si="170"/>
        <v>9</v>
      </c>
      <c r="I799" s="18">
        <v>1</v>
      </c>
      <c r="J799" s="19">
        <v>0.49706744868035191</v>
      </c>
      <c r="K799" s="19">
        <v>0.8</v>
      </c>
      <c r="L799" s="6">
        <v>1992281.5</v>
      </c>
      <c r="M799" s="6">
        <v>2722062</v>
      </c>
      <c r="N799" s="6">
        <v>1231127</v>
      </c>
      <c r="O799" s="6">
        <v>20301482</v>
      </c>
      <c r="P799" s="6">
        <v>6477.453125</v>
      </c>
      <c r="Q799" s="6">
        <v>75705.890625</v>
      </c>
      <c r="R799" s="6">
        <v>5628302</v>
      </c>
      <c r="S799" s="6">
        <v>2635352.25</v>
      </c>
      <c r="T799" s="31">
        <f t="shared" si="171"/>
        <v>3459.279009375</v>
      </c>
      <c r="U799" s="37">
        <v>2639.7777777777778</v>
      </c>
      <c r="V799">
        <f t="shared" si="172"/>
        <v>1.3104432647687094</v>
      </c>
      <c r="W799">
        <f t="shared" si="175"/>
        <v>-7.5610787467228491E-2</v>
      </c>
      <c r="X799" s="28">
        <v>2618.0329166666661</v>
      </c>
      <c r="Y799">
        <f t="shared" si="173"/>
        <v>7.5471561158346662E-2</v>
      </c>
      <c r="Z799">
        <f t="shared" si="176"/>
        <v>0.10311708898055393</v>
      </c>
      <c r="AA799">
        <f t="shared" si="177"/>
        <v>4.6637524202373937E-2</v>
      </c>
      <c r="AB799">
        <f t="shared" si="178"/>
        <v>0.76906026601565791</v>
      </c>
      <c r="AC799">
        <f t="shared" si="179"/>
        <v>2.4537872769172489E-4</v>
      </c>
      <c r="AD799">
        <f t="shared" si="180"/>
        <v>2.8678887769382944E-3</v>
      </c>
      <c r="AE799">
        <f t="shared" si="181"/>
        <v>0.21321120464685578</v>
      </c>
      <c r="AF799">
        <f t="shared" si="182"/>
        <v>9.9832352260291274E-2</v>
      </c>
      <c r="AG799">
        <f t="shared" si="174"/>
        <v>1.3104432647687096</v>
      </c>
      <c r="AH799">
        <v>0.4125157979168948</v>
      </c>
      <c r="AI799">
        <v>0.65156882591093113</v>
      </c>
      <c r="AJ799">
        <v>1.9219546356456445E-2</v>
      </c>
      <c r="AK799">
        <v>1.114539115198262E-2</v>
      </c>
      <c r="AL799">
        <v>0.47910267202595652</v>
      </c>
    </row>
    <row r="800" spans="1:38" x14ac:dyDescent="0.25">
      <c r="A800">
        <v>26</v>
      </c>
      <c r="B800" s="5" t="s">
        <v>33</v>
      </c>
      <c r="C800" s="6" t="s">
        <v>5</v>
      </c>
      <c r="D800" s="6" t="s">
        <v>59</v>
      </c>
      <c r="E800" s="28">
        <v>33786.1</v>
      </c>
      <c r="F800" s="11">
        <v>24</v>
      </c>
      <c r="G800" s="11">
        <v>14</v>
      </c>
      <c r="H800" s="11">
        <f t="shared" si="170"/>
        <v>10</v>
      </c>
      <c r="I800" s="18">
        <v>1</v>
      </c>
      <c r="J800" s="19">
        <v>0.49706744868035191</v>
      </c>
      <c r="K800" s="19">
        <v>0.8</v>
      </c>
      <c r="L800" s="6">
        <v>1986176.875</v>
      </c>
      <c r="M800" s="6">
        <v>2693353.25</v>
      </c>
      <c r="N800" s="6">
        <v>786574.375</v>
      </c>
      <c r="O800" s="6">
        <v>20168706</v>
      </c>
      <c r="P800" s="6">
        <v>6477.453125</v>
      </c>
      <c r="Q800" s="6">
        <v>49815.86328125</v>
      </c>
      <c r="R800" s="6">
        <v>5569968</v>
      </c>
      <c r="S800" s="6">
        <v>2615988.75</v>
      </c>
      <c r="T800" s="31">
        <f t="shared" si="171"/>
        <v>3387.7060566406249</v>
      </c>
      <c r="U800" s="37">
        <v>2661</v>
      </c>
      <c r="V800">
        <f t="shared" si="172"/>
        <v>1.2730950983241731</v>
      </c>
      <c r="W800">
        <f t="shared" si="175"/>
        <v>-2.85004070367962E-2</v>
      </c>
      <c r="X800" s="28">
        <v>2697.0220833333333</v>
      </c>
      <c r="Y800">
        <f t="shared" si="173"/>
        <v>7.4640243329575348E-2</v>
      </c>
      <c r="Z800">
        <f t="shared" si="176"/>
        <v>0.10121583051484405</v>
      </c>
      <c r="AA800">
        <f t="shared" si="177"/>
        <v>2.9559352686959788E-2</v>
      </c>
      <c r="AB800">
        <f t="shared" si="178"/>
        <v>0.75793709131905296</v>
      </c>
      <c r="AC800">
        <f t="shared" si="179"/>
        <v>2.4342176343479895E-4</v>
      </c>
      <c r="AD800">
        <f t="shared" si="180"/>
        <v>1.8720730282318677E-3</v>
      </c>
      <c r="AE800">
        <f t="shared" si="181"/>
        <v>0.2093186020293123</v>
      </c>
      <c r="AF800">
        <f t="shared" si="182"/>
        <v>9.8308483652762124E-2</v>
      </c>
      <c r="AG800">
        <f t="shared" si="174"/>
        <v>1.2730950983241733</v>
      </c>
      <c r="AH800">
        <v>0.4125157979168948</v>
      </c>
      <c r="AI800">
        <v>0.65156882591093113</v>
      </c>
      <c r="AJ800">
        <v>1.9219546356456445E-2</v>
      </c>
      <c r="AK800">
        <v>1.114539115198262E-2</v>
      </c>
      <c r="AL800">
        <v>0.47910267202595652</v>
      </c>
    </row>
    <row r="801" spans="1:38" x14ac:dyDescent="0.25">
      <c r="A801">
        <v>26</v>
      </c>
      <c r="B801" s="5" t="s">
        <v>33</v>
      </c>
      <c r="C801" s="6" t="s">
        <v>5</v>
      </c>
      <c r="D801" s="6" t="s">
        <v>60</v>
      </c>
      <c r="E801" s="28">
        <v>33786.1</v>
      </c>
      <c r="F801" s="11">
        <v>25</v>
      </c>
      <c r="G801" s="11">
        <v>14</v>
      </c>
      <c r="H801" s="11">
        <f t="shared" si="170"/>
        <v>11</v>
      </c>
      <c r="I801" s="18">
        <v>1</v>
      </c>
      <c r="J801" s="19">
        <v>0.49706744868035191</v>
      </c>
      <c r="K801" s="19">
        <v>0.8</v>
      </c>
      <c r="L801" s="6">
        <v>1984944.25</v>
      </c>
      <c r="M801" s="6">
        <v>2707994</v>
      </c>
      <c r="N801" s="6">
        <v>437553.25</v>
      </c>
      <c r="O801" s="6">
        <v>21127350</v>
      </c>
      <c r="P801" s="6">
        <v>6477.453125</v>
      </c>
      <c r="Q801" s="6">
        <v>24080.38671875</v>
      </c>
      <c r="R801" s="6">
        <v>5600351.5</v>
      </c>
      <c r="S801" s="6">
        <v>2540739</v>
      </c>
      <c r="T801" s="31">
        <f t="shared" si="171"/>
        <v>3442.948983984375</v>
      </c>
      <c r="U801" s="37">
        <v>2696.6666666666665</v>
      </c>
      <c r="V801">
        <f t="shared" si="172"/>
        <v>1.2767425156925989</v>
      </c>
      <c r="W801">
        <f t="shared" si="175"/>
        <v>2.8649999306626975E-3</v>
      </c>
      <c r="X801" s="28">
        <v>2776.01125</v>
      </c>
      <c r="Y801">
        <f t="shared" si="173"/>
        <v>7.3607326946847962E-2</v>
      </c>
      <c r="Z801">
        <f t="shared" si="176"/>
        <v>0.10042004944375772</v>
      </c>
      <c r="AA801">
        <f t="shared" si="177"/>
        <v>1.6225707663782448E-2</v>
      </c>
      <c r="AB801">
        <f t="shared" si="178"/>
        <v>0.78346168108776271</v>
      </c>
      <c r="AC801">
        <f t="shared" si="179"/>
        <v>2.4020221724351055E-4</v>
      </c>
      <c r="AD801">
        <f t="shared" si="180"/>
        <v>8.9296860514524105E-4</v>
      </c>
      <c r="AE801">
        <f t="shared" si="181"/>
        <v>0.2076768170580964</v>
      </c>
      <c r="AF801">
        <f t="shared" si="182"/>
        <v>9.4217762669962915E-2</v>
      </c>
      <c r="AG801">
        <f t="shared" si="174"/>
        <v>1.2767425156925989</v>
      </c>
      <c r="AH801">
        <v>0.4125157979168948</v>
      </c>
      <c r="AI801">
        <v>0.65156882591093113</v>
      </c>
      <c r="AJ801">
        <v>1.9219546356456445E-2</v>
      </c>
      <c r="AK801">
        <v>1.114539115198262E-2</v>
      </c>
      <c r="AL801">
        <v>0.47910267202595652</v>
      </c>
    </row>
    <row r="802" spans="1:38" x14ac:dyDescent="0.25">
      <c r="A802">
        <v>26</v>
      </c>
      <c r="B802" s="5" t="s">
        <v>33</v>
      </c>
      <c r="C802" s="6" t="s">
        <v>5</v>
      </c>
      <c r="D802" s="6" t="s">
        <v>61</v>
      </c>
      <c r="E802" s="28">
        <v>33786.1</v>
      </c>
      <c r="F802" s="11">
        <v>26</v>
      </c>
      <c r="G802" s="11">
        <v>14</v>
      </c>
      <c r="H802" s="11">
        <f t="shared" si="170"/>
        <v>12</v>
      </c>
      <c r="I802" s="18">
        <v>1</v>
      </c>
      <c r="J802" s="19">
        <v>0.49706744868035191</v>
      </c>
      <c r="K802" s="19">
        <v>0.8</v>
      </c>
      <c r="L802" s="6">
        <v>1991283.5</v>
      </c>
      <c r="M802" s="6">
        <v>2601100</v>
      </c>
      <c r="N802" s="6">
        <v>325753</v>
      </c>
      <c r="O802" s="6">
        <v>23764284</v>
      </c>
      <c r="P802" s="6">
        <v>6477.453125</v>
      </c>
      <c r="Q802" s="6">
        <v>14241.337890625</v>
      </c>
      <c r="R802" s="6">
        <v>5375904</v>
      </c>
      <c r="S802" s="6">
        <v>2491012.25</v>
      </c>
      <c r="T802" s="31">
        <f t="shared" si="171"/>
        <v>3657.0055541015627</v>
      </c>
      <c r="U802" s="37">
        <v>2732.3333333333335</v>
      </c>
      <c r="V802">
        <f t="shared" si="172"/>
        <v>1.3384185265712685</v>
      </c>
      <c r="W802">
        <f t="shared" si="175"/>
        <v>4.8307321265331236E-2</v>
      </c>
      <c r="X802" s="28">
        <v>2855.0004166666668</v>
      </c>
      <c r="Y802">
        <f t="shared" si="173"/>
        <v>7.2878498231060143E-2</v>
      </c>
      <c r="Z802">
        <f t="shared" si="176"/>
        <v>9.5197023301207759E-2</v>
      </c>
      <c r="AA802">
        <f t="shared" si="177"/>
        <v>1.1922154446748811E-2</v>
      </c>
      <c r="AB802">
        <f t="shared" si="178"/>
        <v>0.86974322313041352</v>
      </c>
      <c r="AC802">
        <f t="shared" si="179"/>
        <v>2.3706672410638038E-4</v>
      </c>
      <c r="AD802">
        <f t="shared" si="180"/>
        <v>5.2121524547852878E-4</v>
      </c>
      <c r="AE802">
        <f t="shared" si="181"/>
        <v>0.196751396852507</v>
      </c>
      <c r="AF802">
        <f t="shared" si="182"/>
        <v>9.1167948639746255E-2</v>
      </c>
      <c r="AG802">
        <f t="shared" si="174"/>
        <v>1.3384185265712685</v>
      </c>
      <c r="AH802">
        <v>0.4125157979168948</v>
      </c>
      <c r="AI802">
        <v>0.65156882591093113</v>
      </c>
      <c r="AJ802">
        <v>1.9219546356456445E-2</v>
      </c>
      <c r="AK802">
        <v>1.114539115198262E-2</v>
      </c>
      <c r="AL802">
        <v>0.47910267202595652</v>
      </c>
    </row>
    <row r="803" spans="1:38" x14ac:dyDescent="0.25">
      <c r="A803">
        <v>26</v>
      </c>
      <c r="B803" s="5" t="s">
        <v>33</v>
      </c>
      <c r="C803" s="6" t="s">
        <v>5</v>
      </c>
      <c r="D803" s="6" t="s">
        <v>62</v>
      </c>
      <c r="E803" s="28">
        <v>33786.1</v>
      </c>
      <c r="F803" s="11">
        <v>27</v>
      </c>
      <c r="G803" s="11">
        <v>14</v>
      </c>
      <c r="H803" s="11">
        <f t="shared" si="170"/>
        <v>13</v>
      </c>
      <c r="I803" s="18">
        <v>1</v>
      </c>
      <c r="J803" s="19">
        <v>0.49706744868035191</v>
      </c>
      <c r="K803" s="19">
        <v>0.8</v>
      </c>
      <c r="L803" s="6">
        <v>1970126.75</v>
      </c>
      <c r="M803" s="6">
        <v>2527681.25</v>
      </c>
      <c r="N803" s="6">
        <v>362073.875</v>
      </c>
      <c r="O803" s="6">
        <v>25288558</v>
      </c>
      <c r="P803" s="6">
        <v>6477.453125</v>
      </c>
      <c r="Q803" s="6">
        <v>19977.015625</v>
      </c>
      <c r="R803" s="6">
        <v>5222533</v>
      </c>
      <c r="S803" s="6">
        <v>2516017</v>
      </c>
      <c r="T803" s="31">
        <f t="shared" si="171"/>
        <v>3791.3444343750002</v>
      </c>
      <c r="U803" s="37">
        <v>2768</v>
      </c>
      <c r="V803">
        <f t="shared" si="172"/>
        <v>1.3697053592395232</v>
      </c>
      <c r="W803">
        <f t="shared" si="175"/>
        <v>2.3375971003931517E-2</v>
      </c>
      <c r="X803" s="28">
        <v>2933.9895833333339</v>
      </c>
      <c r="Y803">
        <f t="shared" si="173"/>
        <v>7.1175099349710974E-2</v>
      </c>
      <c r="Z803">
        <f t="shared" si="176"/>
        <v>9.1317964234104043E-2</v>
      </c>
      <c r="AA803">
        <f t="shared" si="177"/>
        <v>1.3080703576589596E-2</v>
      </c>
      <c r="AB803">
        <f t="shared" si="178"/>
        <v>0.91360397398843929</v>
      </c>
      <c r="AC803">
        <f t="shared" si="179"/>
        <v>2.3401203486271677E-4</v>
      </c>
      <c r="AD803">
        <f t="shared" si="180"/>
        <v>7.2171299223265889E-4</v>
      </c>
      <c r="AE803">
        <f t="shared" si="181"/>
        <v>0.18867532514450869</v>
      </c>
      <c r="AF803">
        <f t="shared" si="182"/>
        <v>9.0896567919075147E-2</v>
      </c>
      <c r="AG803">
        <f t="shared" si="174"/>
        <v>1.3697053592395232</v>
      </c>
      <c r="AH803">
        <v>0.4125157979168948</v>
      </c>
      <c r="AI803">
        <v>0.65156882591093113</v>
      </c>
      <c r="AJ803">
        <v>1.9219546356456445E-2</v>
      </c>
      <c r="AK803">
        <v>1.114539115198262E-2</v>
      </c>
      <c r="AL803">
        <v>0.47910267202595652</v>
      </c>
    </row>
    <row r="804" spans="1:38" x14ac:dyDescent="0.25">
      <c r="A804">
        <v>26</v>
      </c>
      <c r="B804" s="5" t="s">
        <v>33</v>
      </c>
      <c r="C804" s="6" t="s">
        <v>5</v>
      </c>
      <c r="D804" s="6" t="s">
        <v>63</v>
      </c>
      <c r="E804" s="28">
        <v>33786.1</v>
      </c>
      <c r="F804" s="11">
        <v>28</v>
      </c>
      <c r="G804" s="11">
        <v>14</v>
      </c>
      <c r="H804" s="11">
        <f t="shared" si="170"/>
        <v>14</v>
      </c>
      <c r="I804" s="18">
        <v>1</v>
      </c>
      <c r="J804" s="19">
        <v>0.49706744868035191</v>
      </c>
      <c r="K804" s="19">
        <v>0.8</v>
      </c>
      <c r="L804" s="6">
        <v>1963649.25</v>
      </c>
      <c r="M804" s="6">
        <v>2637475</v>
      </c>
      <c r="N804" s="6">
        <v>649992.625</v>
      </c>
      <c r="O804" s="6">
        <v>22078030</v>
      </c>
      <c r="P804" s="6">
        <v>6477.453125</v>
      </c>
      <c r="Q804" s="6">
        <v>55703.96875</v>
      </c>
      <c r="R804" s="6">
        <v>5451272.5</v>
      </c>
      <c r="S804" s="6">
        <v>2559050.5</v>
      </c>
      <c r="T804" s="31">
        <f t="shared" si="171"/>
        <v>3540.1651296875002</v>
      </c>
      <c r="U804" s="37">
        <v>2945</v>
      </c>
      <c r="V804">
        <f t="shared" si="172"/>
        <v>1.2020934226443125</v>
      </c>
      <c r="W804">
        <f t="shared" si="175"/>
        <v>-0.12237079709483711</v>
      </c>
      <c r="X804" s="28">
        <v>3012.9787500000007</v>
      </c>
      <c r="Y804">
        <f t="shared" si="173"/>
        <v>6.6677393887945677E-2</v>
      </c>
      <c r="Z804">
        <f t="shared" si="176"/>
        <v>8.9557724957555179E-2</v>
      </c>
      <c r="AA804">
        <f t="shared" si="177"/>
        <v>2.2071056876061122E-2</v>
      </c>
      <c r="AB804">
        <f t="shared" si="178"/>
        <v>0.74967843803056033</v>
      </c>
      <c r="AC804">
        <f t="shared" si="179"/>
        <v>2.1994747453310697E-4</v>
      </c>
      <c r="AD804">
        <f t="shared" si="180"/>
        <v>1.8914760186757218E-3</v>
      </c>
      <c r="AE804">
        <f t="shared" si="181"/>
        <v>0.18510263157894738</v>
      </c>
      <c r="AF804">
        <f t="shared" si="182"/>
        <v>8.6894753820033949E-2</v>
      </c>
      <c r="AG804">
        <f t="shared" si="174"/>
        <v>1.2020934226443125</v>
      </c>
      <c r="AH804">
        <v>0.4125157979168948</v>
      </c>
      <c r="AI804">
        <v>0.65156882591093113</v>
      </c>
      <c r="AJ804">
        <v>1.9219546356456445E-2</v>
      </c>
      <c r="AK804">
        <v>1.114539115198262E-2</v>
      </c>
      <c r="AL804">
        <v>0.47910267202595652</v>
      </c>
    </row>
    <row r="805" spans="1:38" x14ac:dyDescent="0.25">
      <c r="A805">
        <v>26</v>
      </c>
      <c r="B805" s="5" t="s">
        <v>33</v>
      </c>
      <c r="C805" s="6" t="s">
        <v>5</v>
      </c>
      <c r="D805" s="6" t="s">
        <v>64</v>
      </c>
      <c r="E805" s="28">
        <v>33786.1</v>
      </c>
      <c r="F805" s="11">
        <v>29</v>
      </c>
      <c r="G805" s="11">
        <v>14</v>
      </c>
      <c r="H805" s="11">
        <f t="shared" si="170"/>
        <v>15</v>
      </c>
      <c r="I805" s="18">
        <v>1</v>
      </c>
      <c r="J805" s="19">
        <v>0.49706744868035191</v>
      </c>
      <c r="K805" s="19">
        <v>0.8</v>
      </c>
      <c r="L805" s="6">
        <v>1992169.75</v>
      </c>
      <c r="M805" s="6">
        <v>2712881.75</v>
      </c>
      <c r="N805" s="6">
        <v>1480265.5</v>
      </c>
      <c r="O805" s="6">
        <v>21727498</v>
      </c>
      <c r="P805" s="6">
        <v>6477.453125</v>
      </c>
      <c r="Q805" s="6">
        <v>76836.546875</v>
      </c>
      <c r="R805" s="6">
        <v>5608552</v>
      </c>
      <c r="S805" s="6">
        <v>2646072.5</v>
      </c>
      <c r="T805" s="31">
        <f t="shared" si="171"/>
        <v>3625.0753500000001</v>
      </c>
      <c r="U805" s="37">
        <v>3122</v>
      </c>
      <c r="V805">
        <f t="shared" si="172"/>
        <v>1.1611388052530429</v>
      </c>
      <c r="W805">
        <f t="shared" si="175"/>
        <v>-3.4069413092020273E-2</v>
      </c>
      <c r="X805" s="28">
        <v>3091.9679166666674</v>
      </c>
      <c r="Y805">
        <f t="shared" si="173"/>
        <v>6.3810690262652139E-2</v>
      </c>
      <c r="Z805">
        <f t="shared" si="176"/>
        <v>8.6895635810377958E-2</v>
      </c>
      <c r="AA805">
        <f t="shared" si="177"/>
        <v>4.7414013452914801E-2</v>
      </c>
      <c r="AB805">
        <f t="shared" si="178"/>
        <v>0.6959480461242793</v>
      </c>
      <c r="AC805">
        <f t="shared" si="179"/>
        <v>2.0747767857142856E-4</v>
      </c>
      <c r="AD805">
        <f t="shared" si="180"/>
        <v>2.4611321868994234E-3</v>
      </c>
      <c r="AE805">
        <f t="shared" si="181"/>
        <v>0.17964612427930812</v>
      </c>
      <c r="AF805">
        <f t="shared" si="182"/>
        <v>8.4755685458039715E-2</v>
      </c>
      <c r="AG805">
        <f t="shared" si="174"/>
        <v>1.1611388052530429</v>
      </c>
      <c r="AH805">
        <v>0.4125157979168948</v>
      </c>
      <c r="AI805">
        <v>0.65156882591093113</v>
      </c>
      <c r="AJ805">
        <v>1.9219546356456445E-2</v>
      </c>
      <c r="AK805">
        <v>1.114539115198262E-2</v>
      </c>
      <c r="AL805">
        <v>0.47910267202595652</v>
      </c>
    </row>
    <row r="806" spans="1:38" x14ac:dyDescent="0.25">
      <c r="A806">
        <v>26</v>
      </c>
      <c r="B806" s="5" t="s">
        <v>33</v>
      </c>
      <c r="C806" s="6" t="s">
        <v>5</v>
      </c>
      <c r="D806" s="6" t="s">
        <v>65</v>
      </c>
      <c r="E806" s="28">
        <v>33786.1</v>
      </c>
      <c r="F806" s="11">
        <v>30</v>
      </c>
      <c r="G806" s="11">
        <v>14</v>
      </c>
      <c r="H806" s="11">
        <f t="shared" si="170"/>
        <v>16</v>
      </c>
      <c r="I806" s="18">
        <v>1</v>
      </c>
      <c r="J806" s="19">
        <v>0.49706744868035191</v>
      </c>
      <c r="K806" s="19">
        <v>0.8</v>
      </c>
      <c r="L806" s="6">
        <v>1986606.5</v>
      </c>
      <c r="M806" s="6">
        <v>2702159.75</v>
      </c>
      <c r="N806" s="6">
        <v>2187009.5</v>
      </c>
      <c r="O806" s="6">
        <v>23206626</v>
      </c>
      <c r="P806" s="6">
        <v>6477.453125</v>
      </c>
      <c r="Q806" s="6">
        <v>50725.9375</v>
      </c>
      <c r="R806" s="6">
        <v>5589959</v>
      </c>
      <c r="S806" s="6">
        <v>2613692.25</v>
      </c>
      <c r="T806" s="31">
        <f t="shared" si="171"/>
        <v>3834.3256390625002</v>
      </c>
      <c r="U806" s="37">
        <v>3299</v>
      </c>
      <c r="V806">
        <f t="shared" si="172"/>
        <v>1.1622690630683541</v>
      </c>
      <c r="W806">
        <f t="shared" si="175"/>
        <v>9.7340456644618139E-4</v>
      </c>
      <c r="X806" s="28">
        <v>3170.9570833333346</v>
      </c>
      <c r="Y806">
        <f t="shared" si="173"/>
        <v>6.0218444983328276E-2</v>
      </c>
      <c r="Z806">
        <f t="shared" si="176"/>
        <v>8.190844953016066E-2</v>
      </c>
      <c r="AA806">
        <f t="shared" si="177"/>
        <v>6.6293103970900269E-2</v>
      </c>
      <c r="AB806">
        <f t="shared" si="178"/>
        <v>0.70344425583510151</v>
      </c>
      <c r="AC806">
        <f t="shared" si="179"/>
        <v>1.963459571082146E-4</v>
      </c>
      <c r="AD806">
        <f t="shared" si="180"/>
        <v>1.537615565322825E-3</v>
      </c>
      <c r="AE806">
        <f t="shared" si="181"/>
        <v>0.16944404364959079</v>
      </c>
      <c r="AF806">
        <f t="shared" si="182"/>
        <v>7.9226803576841462E-2</v>
      </c>
      <c r="AG806">
        <f t="shared" si="174"/>
        <v>1.1622690630683541</v>
      </c>
      <c r="AH806">
        <v>0.4125157979168948</v>
      </c>
      <c r="AI806">
        <v>0.65156882591093113</v>
      </c>
      <c r="AJ806">
        <v>1.9219546356456445E-2</v>
      </c>
      <c r="AK806">
        <v>1.114539115198262E-2</v>
      </c>
      <c r="AL806">
        <v>0.47910267202595652</v>
      </c>
    </row>
    <row r="807" spans="1:38" x14ac:dyDescent="0.25">
      <c r="A807">
        <v>26</v>
      </c>
      <c r="B807" s="5" t="s">
        <v>33</v>
      </c>
      <c r="C807" s="6" t="s">
        <v>5</v>
      </c>
      <c r="D807" s="6" t="s">
        <v>66</v>
      </c>
      <c r="E807" s="28">
        <v>33786.1</v>
      </c>
      <c r="F807" s="11">
        <v>31</v>
      </c>
      <c r="G807" s="11">
        <v>14</v>
      </c>
      <c r="H807" s="11">
        <f t="shared" si="170"/>
        <v>17</v>
      </c>
      <c r="I807" s="18">
        <v>1</v>
      </c>
      <c r="J807" s="19">
        <v>0.49706744868035191</v>
      </c>
      <c r="K807" s="19">
        <v>0.8</v>
      </c>
      <c r="L807" s="6">
        <v>1986656.25</v>
      </c>
      <c r="M807" s="6">
        <v>2726410.5</v>
      </c>
      <c r="N807" s="6">
        <v>3317497.5</v>
      </c>
      <c r="O807" s="6">
        <v>25886052</v>
      </c>
      <c r="P807" s="6">
        <v>6480.5625</v>
      </c>
      <c r="Q807" s="6">
        <v>23813.66796875</v>
      </c>
      <c r="R807" s="6">
        <v>5641572</v>
      </c>
      <c r="S807" s="6">
        <v>2521797.5</v>
      </c>
      <c r="T807" s="31">
        <f t="shared" si="171"/>
        <v>4211.0279980468749</v>
      </c>
      <c r="U807" s="37">
        <v>3476</v>
      </c>
      <c r="V807">
        <f t="shared" si="172"/>
        <v>1.2114579971366153</v>
      </c>
      <c r="W807">
        <f t="shared" si="175"/>
        <v>4.2321468953500266E-2</v>
      </c>
      <c r="X807" s="28">
        <v>3249.9462500000013</v>
      </c>
      <c r="Y807">
        <f t="shared" si="173"/>
        <v>5.7153516973532797E-2</v>
      </c>
      <c r="Z807">
        <f t="shared" si="176"/>
        <v>7.8435284810126585E-2</v>
      </c>
      <c r="AA807">
        <f t="shared" si="177"/>
        <v>9.5440089182968924E-2</v>
      </c>
      <c r="AB807">
        <f t="shared" si="178"/>
        <v>0.74470805523590333</v>
      </c>
      <c r="AC807">
        <f t="shared" si="179"/>
        <v>1.8643735615650172E-4</v>
      </c>
      <c r="AD807">
        <f t="shared" si="180"/>
        <v>6.8508826147151906E-4</v>
      </c>
      <c r="AE807">
        <f t="shared" si="181"/>
        <v>0.16230069044879172</v>
      </c>
      <c r="AF807">
        <f t="shared" si="182"/>
        <v>7.2548834867663975E-2</v>
      </c>
      <c r="AG807">
        <f t="shared" si="174"/>
        <v>1.2114579971366153</v>
      </c>
      <c r="AH807">
        <v>0.4125157979168948</v>
      </c>
      <c r="AI807">
        <v>0.65156882591093113</v>
      </c>
      <c r="AJ807">
        <v>1.9219546356456445E-2</v>
      </c>
      <c r="AK807">
        <v>1.114539115198262E-2</v>
      </c>
      <c r="AL807">
        <v>0.47910267202595652</v>
      </c>
    </row>
    <row r="808" spans="1:38" x14ac:dyDescent="0.25">
      <c r="A808">
        <v>27</v>
      </c>
      <c r="B808" s="5" t="s">
        <v>27</v>
      </c>
      <c r="C808" s="6" t="s">
        <v>5</v>
      </c>
      <c r="D808" s="6" t="s">
        <v>36</v>
      </c>
      <c r="E808" s="28">
        <v>10243.3051</v>
      </c>
      <c r="F808" s="11">
        <v>1</v>
      </c>
      <c r="G808" s="11">
        <v>13</v>
      </c>
      <c r="H808" s="18">
        <f t="shared" si="170"/>
        <v>-12</v>
      </c>
      <c r="I808" s="18">
        <v>1</v>
      </c>
      <c r="J808" s="18">
        <v>0.70967741935483875</v>
      </c>
      <c r="K808" s="18">
        <v>1.2</v>
      </c>
      <c r="L808" s="14">
        <v>7592458.5</v>
      </c>
      <c r="M808" s="14">
        <v>1184872.625</v>
      </c>
      <c r="N808" s="14">
        <v>1222031.375</v>
      </c>
      <c r="O808" s="14">
        <v>4352365.5</v>
      </c>
      <c r="P808" s="14">
        <v>3785.84692382812</v>
      </c>
      <c r="Q808" s="14">
        <v>19362.294921875</v>
      </c>
      <c r="R808" s="14">
        <v>889956.5625</v>
      </c>
      <c r="S808" s="14">
        <v>2372633.25</v>
      </c>
      <c r="T808" s="31">
        <f t="shared" si="171"/>
        <v>1763.7465954345703</v>
      </c>
      <c r="U808" s="37"/>
      <c r="X808" s="28">
        <v>800.21541666666667</v>
      </c>
      <c r="Y808" t="e">
        <f t="shared" si="173"/>
        <v>#DIV/0!</v>
      </c>
      <c r="Z808" t="e">
        <f t="shared" si="176"/>
        <v>#DIV/0!</v>
      </c>
      <c r="AA808" t="e">
        <f t="shared" si="177"/>
        <v>#DIV/0!</v>
      </c>
      <c r="AB808" t="e">
        <f t="shared" si="178"/>
        <v>#DIV/0!</v>
      </c>
      <c r="AC808" t="e">
        <f t="shared" si="179"/>
        <v>#DIV/0!</v>
      </c>
      <c r="AD808" t="e">
        <f t="shared" si="180"/>
        <v>#DIV/0!</v>
      </c>
      <c r="AE808" t="e">
        <f t="shared" si="181"/>
        <v>#DIV/0!</v>
      </c>
      <c r="AF808" t="e">
        <f t="shared" si="182"/>
        <v>#DIV/0!</v>
      </c>
      <c r="AG808" t="e">
        <f t="shared" si="174"/>
        <v>#DIV/0!</v>
      </c>
      <c r="AH808">
        <v>0.34477153277412387</v>
      </c>
      <c r="AI808">
        <v>0.53333333333333333</v>
      </c>
      <c r="AJ808">
        <v>5.8465938307868948E-3</v>
      </c>
      <c r="AK808">
        <v>6.2767631513777717E-3</v>
      </c>
      <c r="AL808">
        <v>0.24844267661237526</v>
      </c>
    </row>
    <row r="809" spans="1:38" x14ac:dyDescent="0.25">
      <c r="A809">
        <v>27</v>
      </c>
      <c r="B809" s="5" t="s">
        <v>27</v>
      </c>
      <c r="C809" s="6" t="s">
        <v>5</v>
      </c>
      <c r="D809" s="6" t="s">
        <v>37</v>
      </c>
      <c r="E809" s="28">
        <v>10243.3051</v>
      </c>
      <c r="F809" s="11">
        <v>2</v>
      </c>
      <c r="G809" s="11">
        <v>13</v>
      </c>
      <c r="H809" s="11">
        <f t="shared" si="170"/>
        <v>-11</v>
      </c>
      <c r="I809" s="18">
        <v>1</v>
      </c>
      <c r="J809" s="18">
        <v>0.70967741935483875</v>
      </c>
      <c r="K809" s="18">
        <v>1.2</v>
      </c>
      <c r="L809" s="6">
        <v>8246907</v>
      </c>
      <c r="M809" s="6">
        <v>1138740.125</v>
      </c>
      <c r="N809" s="6">
        <v>1222031.375</v>
      </c>
      <c r="O809" s="6">
        <v>4179210.5</v>
      </c>
      <c r="P809" s="6">
        <v>3785.84692382812</v>
      </c>
      <c r="Q809" s="6">
        <v>11540.9755859375</v>
      </c>
      <c r="R809" s="6">
        <v>895985.375</v>
      </c>
      <c r="S809" s="6">
        <v>2324653</v>
      </c>
      <c r="T809" s="31">
        <f t="shared" si="171"/>
        <v>1802.2854197509766</v>
      </c>
      <c r="U809" s="37">
        <v>891.33333333333326</v>
      </c>
      <c r="V809">
        <f t="shared" si="172"/>
        <v>2.0220105681574161</v>
      </c>
      <c r="W809" t="e">
        <f>(V809-V808)/V808</f>
        <v>#DIV/0!</v>
      </c>
      <c r="X809" s="28">
        <v>904.03458333333333</v>
      </c>
      <c r="Y809">
        <f t="shared" si="173"/>
        <v>0.92523264771877345</v>
      </c>
      <c r="Z809">
        <f t="shared" si="176"/>
        <v>0.12775693249813017</v>
      </c>
      <c r="AA809">
        <f t="shared" si="177"/>
        <v>0.13710150056095738</v>
      </c>
      <c r="AB809">
        <f t="shared" si="178"/>
        <v>0.46887178384442785</v>
      </c>
      <c r="AC809">
        <f t="shared" si="179"/>
        <v>4.2473974463292296E-4</v>
      </c>
      <c r="AD809">
        <f t="shared" si="180"/>
        <v>1.2947990560139306E-3</v>
      </c>
      <c r="AE809">
        <f t="shared" si="181"/>
        <v>0.10052191940912492</v>
      </c>
      <c r="AF809">
        <f t="shared" si="182"/>
        <v>0.26080624532535529</v>
      </c>
      <c r="AG809">
        <f t="shared" si="174"/>
        <v>2.0220105681574161</v>
      </c>
      <c r="AH809">
        <v>0.34477153277412387</v>
      </c>
      <c r="AI809">
        <v>0.53333333333333333</v>
      </c>
      <c r="AJ809">
        <v>5.8465938307868948E-3</v>
      </c>
      <c r="AK809">
        <v>6.2767631513777717E-3</v>
      </c>
      <c r="AL809">
        <v>0.24844267661237526</v>
      </c>
    </row>
    <row r="810" spans="1:38" x14ac:dyDescent="0.25">
      <c r="A810">
        <v>27</v>
      </c>
      <c r="B810" s="5" t="s">
        <v>27</v>
      </c>
      <c r="C810" s="6" t="s">
        <v>5</v>
      </c>
      <c r="D810" s="6" t="s">
        <v>38</v>
      </c>
      <c r="E810" s="28">
        <v>10243.3051</v>
      </c>
      <c r="F810" s="11">
        <v>3</v>
      </c>
      <c r="G810" s="11">
        <v>13</v>
      </c>
      <c r="H810" s="11">
        <f t="shared" si="170"/>
        <v>-10</v>
      </c>
      <c r="I810" s="18">
        <v>1</v>
      </c>
      <c r="J810" s="18">
        <v>0.70967741935483875</v>
      </c>
      <c r="K810" s="18">
        <v>1.2</v>
      </c>
      <c r="L810" s="6">
        <v>8243699</v>
      </c>
      <c r="M810" s="6">
        <v>1107251.75</v>
      </c>
      <c r="N810" s="6">
        <v>1222031.375</v>
      </c>
      <c r="O810" s="6">
        <v>4061788.25</v>
      </c>
      <c r="P810" s="6">
        <v>3785.84692382812</v>
      </c>
      <c r="Q810" s="6">
        <v>16166.7412109375</v>
      </c>
      <c r="R810" s="6">
        <v>875653.5</v>
      </c>
      <c r="S810" s="6">
        <v>2348791</v>
      </c>
      <c r="T810" s="31">
        <f t="shared" si="171"/>
        <v>1787.9167463134766</v>
      </c>
      <c r="U810" s="37">
        <v>914</v>
      </c>
      <c r="V810">
        <f t="shared" si="172"/>
        <v>1.9561452366668233</v>
      </c>
      <c r="W810">
        <f t="shared" ref="W810:W838" si="183">(V810-V809)/V809</f>
        <v>-3.2574177666446852E-2</v>
      </c>
      <c r="X810" s="28">
        <v>1007.85375</v>
      </c>
      <c r="Y810">
        <f t="shared" si="173"/>
        <v>0.90193643326039385</v>
      </c>
      <c r="Z810">
        <f t="shared" si="176"/>
        <v>0.12114351750547046</v>
      </c>
      <c r="AA810">
        <f t="shared" si="177"/>
        <v>0.13370146334792124</v>
      </c>
      <c r="AB810">
        <f t="shared" si="178"/>
        <v>0.44439696389496719</v>
      </c>
      <c r="AC810">
        <f t="shared" si="179"/>
        <v>4.1420644680832821E-4</v>
      </c>
      <c r="AD810">
        <f t="shared" si="180"/>
        <v>1.7687900668421773E-3</v>
      </c>
      <c r="AE810">
        <f t="shared" si="181"/>
        <v>9.5804540481400441E-2</v>
      </c>
      <c r="AF810">
        <f t="shared" si="182"/>
        <v>0.25697932166301973</v>
      </c>
      <c r="AG810">
        <f t="shared" si="174"/>
        <v>1.9561452366668233</v>
      </c>
      <c r="AH810">
        <v>0.34477153277412387</v>
      </c>
      <c r="AI810">
        <v>0.53333333333333333</v>
      </c>
      <c r="AJ810">
        <v>5.8465938307868948E-3</v>
      </c>
      <c r="AK810">
        <v>6.2767631513777717E-3</v>
      </c>
      <c r="AL810">
        <v>0.24844267661237526</v>
      </c>
    </row>
    <row r="811" spans="1:38" x14ac:dyDescent="0.25">
      <c r="A811">
        <v>27</v>
      </c>
      <c r="B811" s="5" t="s">
        <v>27</v>
      </c>
      <c r="C811" s="6" t="s">
        <v>5</v>
      </c>
      <c r="D811" s="6" t="s">
        <v>39</v>
      </c>
      <c r="E811" s="28">
        <v>10243.3051</v>
      </c>
      <c r="F811" s="11">
        <v>4</v>
      </c>
      <c r="G811" s="11">
        <v>13</v>
      </c>
      <c r="H811" s="11">
        <f t="shared" si="170"/>
        <v>-9</v>
      </c>
      <c r="I811" s="18">
        <v>1</v>
      </c>
      <c r="J811" s="18">
        <v>0.70967741935483875</v>
      </c>
      <c r="K811" s="18">
        <v>1.2</v>
      </c>
      <c r="L811" s="6">
        <v>7835203.5</v>
      </c>
      <c r="M811" s="6">
        <v>1154943.75</v>
      </c>
      <c r="N811" s="6">
        <v>1222031.375</v>
      </c>
      <c r="O811" s="6">
        <v>4238469.5</v>
      </c>
      <c r="P811" s="6">
        <v>3785.84692382812</v>
      </c>
      <c r="Q811" s="6">
        <v>44830.41015625</v>
      </c>
      <c r="R811" s="6">
        <v>869598.1875</v>
      </c>
      <c r="S811" s="6">
        <v>2390317</v>
      </c>
      <c r="T811" s="31">
        <f t="shared" si="171"/>
        <v>1775.9179569580078</v>
      </c>
      <c r="U811" s="37">
        <v>940.55555555555554</v>
      </c>
      <c r="V811">
        <f t="shared" si="172"/>
        <v>1.8881584893824064</v>
      </c>
      <c r="W811">
        <f t="shared" si="183"/>
        <v>-3.4755470100094929E-2</v>
      </c>
      <c r="X811" s="28">
        <v>1111.6729166666667</v>
      </c>
      <c r="Y811">
        <f t="shared" si="173"/>
        <v>0.8330399468399291</v>
      </c>
      <c r="Z811">
        <f t="shared" si="176"/>
        <v>0.12279378322504431</v>
      </c>
      <c r="AA811">
        <f t="shared" si="177"/>
        <v>0.12992654902539871</v>
      </c>
      <c r="AB811">
        <f t="shared" si="178"/>
        <v>0.45063467808623747</v>
      </c>
      <c r="AC811">
        <f t="shared" si="179"/>
        <v>4.0251178162378125E-4</v>
      </c>
      <c r="AD811">
        <f t="shared" si="180"/>
        <v>4.7663755629799177E-3</v>
      </c>
      <c r="AE811">
        <f t="shared" si="181"/>
        <v>9.2455802569403431E-2</v>
      </c>
      <c r="AF811">
        <f t="shared" si="182"/>
        <v>0.25413884229178968</v>
      </c>
      <c r="AG811">
        <f t="shared" si="174"/>
        <v>1.8881584893824062</v>
      </c>
      <c r="AH811">
        <v>0.34477153277412387</v>
      </c>
      <c r="AI811">
        <v>0.53333333333333333</v>
      </c>
      <c r="AJ811">
        <v>5.8465938307868948E-3</v>
      </c>
      <c r="AK811">
        <v>6.2767631513777717E-3</v>
      </c>
      <c r="AL811">
        <v>0.24844267661237526</v>
      </c>
    </row>
    <row r="812" spans="1:38" x14ac:dyDescent="0.25">
      <c r="A812">
        <v>27</v>
      </c>
      <c r="B812" s="5" t="s">
        <v>27</v>
      </c>
      <c r="C812" s="6" t="s">
        <v>5</v>
      </c>
      <c r="D812" s="6" t="s">
        <v>40</v>
      </c>
      <c r="E812" s="28">
        <v>10243.3051</v>
      </c>
      <c r="F812" s="11">
        <v>5</v>
      </c>
      <c r="G812" s="11">
        <v>13</v>
      </c>
      <c r="H812" s="11">
        <f t="shared" si="170"/>
        <v>-8</v>
      </c>
      <c r="I812" s="18">
        <v>1</v>
      </c>
      <c r="J812" s="18">
        <v>0.70967741935483875</v>
      </c>
      <c r="K812" s="18">
        <v>1.2</v>
      </c>
      <c r="L812" s="6">
        <v>8878899</v>
      </c>
      <c r="M812" s="6">
        <v>1187128.125</v>
      </c>
      <c r="N812" s="6">
        <v>1222031.375</v>
      </c>
      <c r="O812" s="6">
        <v>4357840.5</v>
      </c>
      <c r="P812" s="6">
        <v>3785.84692382812</v>
      </c>
      <c r="Q812" s="6">
        <v>61848.46875</v>
      </c>
      <c r="R812" s="6">
        <v>897322.5625</v>
      </c>
      <c r="S812" s="6">
        <v>2474233.5</v>
      </c>
      <c r="T812" s="31">
        <f t="shared" si="171"/>
        <v>1908.3089378173829</v>
      </c>
      <c r="U812" s="37">
        <v>967.11111111111097</v>
      </c>
      <c r="V812">
        <f t="shared" si="172"/>
        <v>1.9732054733865405</v>
      </c>
      <c r="W812">
        <f t="shared" si="183"/>
        <v>4.5042290931812591E-2</v>
      </c>
      <c r="X812" s="28">
        <v>1215.4920833333333</v>
      </c>
      <c r="Y812">
        <f t="shared" si="173"/>
        <v>0.91808468520220599</v>
      </c>
      <c r="Z812">
        <f t="shared" si="176"/>
        <v>0.12274992101332723</v>
      </c>
      <c r="AA812">
        <f t="shared" si="177"/>
        <v>0.12635894272748163</v>
      </c>
      <c r="AB812">
        <f t="shared" si="178"/>
        <v>0.4506039119944853</v>
      </c>
      <c r="AC812">
        <f t="shared" si="179"/>
        <v>3.914593556348011E-4</v>
      </c>
      <c r="AD812">
        <f t="shared" si="180"/>
        <v>6.3951771455652579E-3</v>
      </c>
      <c r="AE812">
        <f t="shared" si="181"/>
        <v>9.2783812758501852E-2</v>
      </c>
      <c r="AF812">
        <f t="shared" si="182"/>
        <v>0.25583756318933831</v>
      </c>
      <c r="AG812">
        <f t="shared" si="174"/>
        <v>1.9732054733865405</v>
      </c>
      <c r="AH812">
        <v>0.34477153277412387</v>
      </c>
      <c r="AI812">
        <v>0.53333333333333333</v>
      </c>
      <c r="AJ812">
        <v>5.8465938307868948E-3</v>
      </c>
      <c r="AK812">
        <v>6.2767631513777717E-3</v>
      </c>
      <c r="AL812">
        <v>0.24844267661237526</v>
      </c>
    </row>
    <row r="813" spans="1:38" x14ac:dyDescent="0.25">
      <c r="A813">
        <v>27</v>
      </c>
      <c r="B813" s="5" t="s">
        <v>27</v>
      </c>
      <c r="C813" s="6" t="s">
        <v>5</v>
      </c>
      <c r="D813" s="6" t="s">
        <v>41</v>
      </c>
      <c r="E813" s="28">
        <v>10243.3051</v>
      </c>
      <c r="F813" s="11">
        <v>6</v>
      </c>
      <c r="G813" s="11">
        <v>13</v>
      </c>
      <c r="H813" s="11">
        <f t="shared" si="170"/>
        <v>-7</v>
      </c>
      <c r="I813" s="18">
        <v>1</v>
      </c>
      <c r="J813" s="18">
        <v>0.70967741935483875</v>
      </c>
      <c r="K813" s="18">
        <v>1.2</v>
      </c>
      <c r="L813" s="6">
        <v>9380429</v>
      </c>
      <c r="M813" s="6">
        <v>1181726.25</v>
      </c>
      <c r="N813" s="6">
        <v>1222031.375</v>
      </c>
      <c r="O813" s="6">
        <v>4341769.5</v>
      </c>
      <c r="P813" s="6">
        <v>3785.84692382812</v>
      </c>
      <c r="Q813" s="6">
        <v>40855.96484375</v>
      </c>
      <c r="R813" s="6">
        <v>892263.375</v>
      </c>
      <c r="S813" s="6">
        <v>2443056.5</v>
      </c>
      <c r="T813" s="31">
        <f t="shared" si="171"/>
        <v>1950.5917811767579</v>
      </c>
      <c r="U813" s="37">
        <v>993.66666666666663</v>
      </c>
      <c r="V813">
        <f t="shared" si="172"/>
        <v>1.9630242682087466</v>
      </c>
      <c r="W813">
        <f t="shared" si="183"/>
        <v>-5.1597288346865522E-3</v>
      </c>
      <c r="X813" s="28">
        <v>1319.31125</v>
      </c>
      <c r="Y813">
        <f t="shared" si="173"/>
        <v>0.94402170412613218</v>
      </c>
      <c r="Z813">
        <f t="shared" si="176"/>
        <v>0.11892582187185508</v>
      </c>
      <c r="AA813">
        <f t="shared" si="177"/>
        <v>0.12298202364978197</v>
      </c>
      <c r="AB813">
        <f t="shared" si="178"/>
        <v>0.43694426366990946</v>
      </c>
      <c r="AC813">
        <f t="shared" si="179"/>
        <v>3.8099767767475214E-4</v>
      </c>
      <c r="AD813">
        <f t="shared" si="180"/>
        <v>4.1116368510986248E-3</v>
      </c>
      <c r="AE813">
        <f t="shared" si="181"/>
        <v>8.9795039416303263E-2</v>
      </c>
      <c r="AF813">
        <f t="shared" si="182"/>
        <v>0.24586278094599129</v>
      </c>
      <c r="AG813">
        <f t="shared" si="174"/>
        <v>1.9630242682087466</v>
      </c>
      <c r="AH813">
        <v>0.34477153277412387</v>
      </c>
      <c r="AI813">
        <v>0.53333333333333333</v>
      </c>
      <c r="AJ813">
        <v>5.8465938307868948E-3</v>
      </c>
      <c r="AK813">
        <v>6.2767631513777717E-3</v>
      </c>
      <c r="AL813">
        <v>0.24844267661237526</v>
      </c>
    </row>
    <row r="814" spans="1:38" x14ac:dyDescent="0.25">
      <c r="A814">
        <v>27</v>
      </c>
      <c r="B814" s="5" t="s">
        <v>27</v>
      </c>
      <c r="C814" s="6" t="s">
        <v>5</v>
      </c>
      <c r="D814" s="6" t="s">
        <v>42</v>
      </c>
      <c r="E814" s="28">
        <v>10243.3051</v>
      </c>
      <c r="F814" s="11">
        <v>7</v>
      </c>
      <c r="G814" s="11">
        <v>13</v>
      </c>
      <c r="H814" s="11">
        <f t="shared" si="170"/>
        <v>-6</v>
      </c>
      <c r="I814" s="18">
        <v>1</v>
      </c>
      <c r="J814" s="18">
        <v>0.70967741935483875</v>
      </c>
      <c r="K814" s="18">
        <v>1.2</v>
      </c>
      <c r="L814" s="6">
        <v>11457127</v>
      </c>
      <c r="M814" s="6">
        <v>1192020.875</v>
      </c>
      <c r="N814" s="6">
        <v>1222618</v>
      </c>
      <c r="O814" s="6">
        <v>4380885.5</v>
      </c>
      <c r="P814" s="6">
        <v>3787.66430664062</v>
      </c>
      <c r="Q814" s="6">
        <v>19060.947265625</v>
      </c>
      <c r="R814" s="6">
        <v>892075.25</v>
      </c>
      <c r="S814" s="6">
        <v>2354467.25</v>
      </c>
      <c r="T814" s="31">
        <f t="shared" si="171"/>
        <v>2152.2042486572263</v>
      </c>
      <c r="U814" s="37">
        <v>1020.2222222222223</v>
      </c>
      <c r="V814">
        <f t="shared" si="172"/>
        <v>2.1095445695834281</v>
      </c>
      <c r="W814">
        <f t="shared" si="183"/>
        <v>7.4640086598817615E-2</v>
      </c>
      <c r="X814" s="28">
        <v>1423.1304166666666</v>
      </c>
      <c r="Y814">
        <f t="shared" si="173"/>
        <v>1.1230030821171857</v>
      </c>
      <c r="Z814">
        <f t="shared" si="176"/>
        <v>0.11683933647353517</v>
      </c>
      <c r="AA814">
        <f t="shared" si="177"/>
        <v>0.11983840121977782</v>
      </c>
      <c r="AB814">
        <f t="shared" si="178"/>
        <v>0.42940502613809622</v>
      </c>
      <c r="AC814">
        <f t="shared" si="179"/>
        <v>3.7125875364588958E-4</v>
      </c>
      <c r="AD814">
        <f t="shared" si="180"/>
        <v>1.8683132802289806E-3</v>
      </c>
      <c r="AE814">
        <f t="shared" si="181"/>
        <v>8.7439307884992365E-2</v>
      </c>
      <c r="AF814">
        <f t="shared" si="182"/>
        <v>0.23077984371596599</v>
      </c>
      <c r="AG814">
        <f t="shared" si="174"/>
        <v>2.1095445695834281</v>
      </c>
      <c r="AH814">
        <v>0.34477153277412387</v>
      </c>
      <c r="AI814">
        <v>0.53333333333333333</v>
      </c>
      <c r="AJ814">
        <v>5.8465938307868948E-3</v>
      </c>
      <c r="AK814">
        <v>6.2767631513777717E-3</v>
      </c>
      <c r="AL814">
        <v>0.24844267661237526</v>
      </c>
    </row>
    <row r="815" spans="1:38" x14ac:dyDescent="0.25">
      <c r="A815">
        <v>27</v>
      </c>
      <c r="B815" s="5" t="s">
        <v>27</v>
      </c>
      <c r="C815" s="6" t="s">
        <v>5</v>
      </c>
      <c r="D815" s="6" t="s">
        <v>43</v>
      </c>
      <c r="E815" s="28">
        <v>11201.6</v>
      </c>
      <c r="F815" s="11">
        <v>8</v>
      </c>
      <c r="G815" s="11">
        <v>13</v>
      </c>
      <c r="H815" s="18">
        <f t="shared" si="170"/>
        <v>-5</v>
      </c>
      <c r="I815" s="18">
        <v>1</v>
      </c>
      <c r="J815" s="18">
        <v>0.70967741935483875</v>
      </c>
      <c r="K815" s="18">
        <v>1.2</v>
      </c>
      <c r="L815" s="14">
        <v>8067819.5</v>
      </c>
      <c r="M815" s="14">
        <v>1165681</v>
      </c>
      <c r="N815" s="14">
        <v>1187405.125</v>
      </c>
      <c r="O815" s="14">
        <v>4268684</v>
      </c>
      <c r="P815" s="14">
        <v>3872.1328125</v>
      </c>
      <c r="Q815" s="14">
        <v>9894.3203125</v>
      </c>
      <c r="R815" s="14">
        <v>906267.3125</v>
      </c>
      <c r="S815" s="14">
        <v>2183294</v>
      </c>
      <c r="T815" s="31">
        <f t="shared" si="171"/>
        <v>1779.2917390625</v>
      </c>
      <c r="U815" s="37">
        <v>824.77777777777771</v>
      </c>
      <c r="V815">
        <f t="shared" si="172"/>
        <v>2.1572983499343259</v>
      </c>
      <c r="W815">
        <f t="shared" si="183"/>
        <v>2.2637009447175501E-2</v>
      </c>
      <c r="X815" s="28">
        <v>516.16250000000014</v>
      </c>
      <c r="Y815">
        <f t="shared" si="173"/>
        <v>0.97818099824868654</v>
      </c>
      <c r="Z815">
        <f t="shared" si="176"/>
        <v>0.14133273609052943</v>
      </c>
      <c r="AA815">
        <f t="shared" si="177"/>
        <v>0.14396667284116935</v>
      </c>
      <c r="AB815">
        <f t="shared" si="178"/>
        <v>0.51755565135390003</v>
      </c>
      <c r="AC815">
        <f t="shared" si="179"/>
        <v>4.6947588997036239E-4</v>
      </c>
      <c r="AD815">
        <f t="shared" si="180"/>
        <v>1.1996346869527145E-3</v>
      </c>
      <c r="AE815">
        <f t="shared" si="181"/>
        <v>0.10988018068840093</v>
      </c>
      <c r="AF815">
        <f t="shared" si="182"/>
        <v>0.26471300013471644</v>
      </c>
      <c r="AG815">
        <f t="shared" si="174"/>
        <v>2.1572983499343259</v>
      </c>
      <c r="AH815">
        <v>0.35544029424367946</v>
      </c>
      <c r="AI815">
        <v>0.5421348314606742</v>
      </c>
      <c r="AJ815">
        <v>5.8512898900887319E-3</v>
      </c>
      <c r="AK815">
        <v>6.4277156834737894E-3</v>
      </c>
      <c r="AL815">
        <v>0.21320551729321896</v>
      </c>
    </row>
    <row r="816" spans="1:38" x14ac:dyDescent="0.25">
      <c r="A816">
        <v>27</v>
      </c>
      <c r="B816" s="5" t="s">
        <v>27</v>
      </c>
      <c r="C816" s="6" t="s">
        <v>5</v>
      </c>
      <c r="D816" s="6" t="s">
        <v>44</v>
      </c>
      <c r="E816" s="28">
        <v>11201.6</v>
      </c>
      <c r="F816" s="11">
        <v>9</v>
      </c>
      <c r="G816" s="11">
        <v>13</v>
      </c>
      <c r="H816" s="11">
        <f t="shared" si="170"/>
        <v>-4</v>
      </c>
      <c r="I816" s="18">
        <v>1</v>
      </c>
      <c r="J816" s="18">
        <v>0.70967741935483875</v>
      </c>
      <c r="K816" s="18">
        <v>1.2</v>
      </c>
      <c r="L816" s="6">
        <v>8027842</v>
      </c>
      <c r="M816" s="6">
        <v>1142368.75</v>
      </c>
      <c r="N816" s="6">
        <v>1187405.125</v>
      </c>
      <c r="O816" s="6">
        <v>4179960.75</v>
      </c>
      <c r="P816" s="6">
        <v>3872.1328125</v>
      </c>
      <c r="Q816" s="6">
        <v>14017.8486328125</v>
      </c>
      <c r="R816" s="6">
        <v>884822.625</v>
      </c>
      <c r="S816" s="6">
        <v>2213647.75</v>
      </c>
      <c r="T816" s="31">
        <f t="shared" si="171"/>
        <v>1765.3936981445313</v>
      </c>
      <c r="U816" s="37">
        <v>856.66666666666663</v>
      </c>
      <c r="V816">
        <f t="shared" si="172"/>
        <v>2.0607708538652116</v>
      </c>
      <c r="W816">
        <f t="shared" si="183"/>
        <v>-4.4744620544512455E-2</v>
      </c>
      <c r="X816" s="28">
        <v>590.82083333333344</v>
      </c>
      <c r="Y816">
        <f t="shared" si="173"/>
        <v>0.93710217898832693</v>
      </c>
      <c r="Z816">
        <f t="shared" si="176"/>
        <v>0.13335043774319066</v>
      </c>
      <c r="AA816">
        <f t="shared" si="177"/>
        <v>0.13860760214007783</v>
      </c>
      <c r="AB816">
        <f t="shared" si="178"/>
        <v>0.48793316147859922</v>
      </c>
      <c r="AC816">
        <f t="shared" si="179"/>
        <v>4.5199993920233463E-4</v>
      </c>
      <c r="AD816">
        <f t="shared" si="180"/>
        <v>1.6363247431298638E-3</v>
      </c>
      <c r="AE816">
        <f t="shared" si="181"/>
        <v>0.10328668774319066</v>
      </c>
      <c r="AF816">
        <f t="shared" si="182"/>
        <v>0.25840246108949416</v>
      </c>
      <c r="AG816">
        <f t="shared" si="174"/>
        <v>2.0607708538652121</v>
      </c>
      <c r="AH816">
        <v>0.35544029424367946</v>
      </c>
      <c r="AI816">
        <v>0.5421348314606742</v>
      </c>
      <c r="AJ816">
        <v>5.8512898900887319E-3</v>
      </c>
      <c r="AK816">
        <v>6.4277156834737894E-3</v>
      </c>
      <c r="AL816">
        <v>0.21320551729321896</v>
      </c>
    </row>
    <row r="817" spans="1:38" x14ac:dyDescent="0.25">
      <c r="A817">
        <v>27</v>
      </c>
      <c r="B817" s="5" t="s">
        <v>27</v>
      </c>
      <c r="C817" s="6" t="s">
        <v>5</v>
      </c>
      <c r="D817" s="6" t="s">
        <v>45</v>
      </c>
      <c r="E817" s="28">
        <v>11201.6</v>
      </c>
      <c r="F817" s="11">
        <v>10</v>
      </c>
      <c r="G817" s="11">
        <v>13</v>
      </c>
      <c r="H817" s="11">
        <f t="shared" si="170"/>
        <v>-3</v>
      </c>
      <c r="I817" s="18">
        <v>1</v>
      </c>
      <c r="J817" s="18">
        <v>0.70967741935483875</v>
      </c>
      <c r="K817" s="18">
        <v>1.2</v>
      </c>
      <c r="L817" s="6">
        <v>9132076</v>
      </c>
      <c r="M817" s="6">
        <v>1186185.5</v>
      </c>
      <c r="N817" s="6">
        <v>1187405.125</v>
      </c>
      <c r="O817" s="6">
        <v>4341817.5</v>
      </c>
      <c r="P817" s="6">
        <v>3872.1328125</v>
      </c>
      <c r="Q817" s="6">
        <v>40400.21875</v>
      </c>
      <c r="R817" s="6">
        <v>877712.0625</v>
      </c>
      <c r="S817" s="6">
        <v>2262273.75</v>
      </c>
      <c r="T817" s="31">
        <f t="shared" si="171"/>
        <v>1903.1742289062499</v>
      </c>
      <c r="U817" s="37">
        <v>888.55555555555554</v>
      </c>
      <c r="V817">
        <f t="shared" si="172"/>
        <v>2.1418742103484121</v>
      </c>
      <c r="W817">
        <f t="shared" si="183"/>
        <v>3.935583441074092E-2</v>
      </c>
      <c r="X817" s="28">
        <v>665.47916666666674</v>
      </c>
      <c r="Y817">
        <f t="shared" si="173"/>
        <v>1.0277439539827435</v>
      </c>
      <c r="Z817">
        <f t="shared" si="176"/>
        <v>0.13349592972364638</v>
      </c>
      <c r="AA817">
        <f t="shared" si="177"/>
        <v>0.13363318900837814</v>
      </c>
      <c r="AB817">
        <f t="shared" si="178"/>
        <v>0.48863770789045891</v>
      </c>
      <c r="AC817">
        <f t="shared" si="179"/>
        <v>4.3577835829060899E-4</v>
      </c>
      <c r="AD817">
        <f t="shared" si="180"/>
        <v>4.5467296329873702E-3</v>
      </c>
      <c r="AE817">
        <f t="shared" si="181"/>
        <v>9.8779649399774919E-2</v>
      </c>
      <c r="AF817">
        <f t="shared" si="182"/>
        <v>0.25460127235213204</v>
      </c>
      <c r="AG817">
        <f t="shared" si="174"/>
        <v>2.1418742103484121</v>
      </c>
      <c r="AH817">
        <v>0.35544029424367946</v>
      </c>
      <c r="AI817">
        <v>0.5421348314606742</v>
      </c>
      <c r="AJ817">
        <v>5.8512898900887319E-3</v>
      </c>
      <c r="AK817">
        <v>6.4277156834737894E-3</v>
      </c>
      <c r="AL817">
        <v>0.21320551729321896</v>
      </c>
    </row>
    <row r="818" spans="1:38" x14ac:dyDescent="0.25">
      <c r="A818">
        <v>27</v>
      </c>
      <c r="B818" s="5" t="s">
        <v>27</v>
      </c>
      <c r="C818" s="6" t="s">
        <v>5</v>
      </c>
      <c r="D818" s="6" t="s">
        <v>46</v>
      </c>
      <c r="E818" s="28">
        <v>11201.6</v>
      </c>
      <c r="F818" s="11">
        <v>11</v>
      </c>
      <c r="G818" s="11">
        <v>13</v>
      </c>
      <c r="H818" s="11">
        <f t="shared" si="170"/>
        <v>-2</v>
      </c>
      <c r="I818" s="18">
        <v>1</v>
      </c>
      <c r="J818" s="18">
        <v>0.70967741935483875</v>
      </c>
      <c r="K818" s="18">
        <v>1.2</v>
      </c>
      <c r="L818" s="6">
        <v>8260142</v>
      </c>
      <c r="M818" s="6">
        <v>1206074.625</v>
      </c>
      <c r="N818" s="6">
        <v>1187405.125</v>
      </c>
      <c r="O818" s="6">
        <v>4414965</v>
      </c>
      <c r="P818" s="6">
        <v>3872.1328125</v>
      </c>
      <c r="Q818" s="6">
        <v>55668.19921875</v>
      </c>
      <c r="R818" s="6">
        <v>905600.9375</v>
      </c>
      <c r="S818" s="6">
        <v>2342817.75</v>
      </c>
      <c r="T818" s="31">
        <f t="shared" si="171"/>
        <v>1837.6545769531249</v>
      </c>
      <c r="U818" s="37">
        <v>920.44444444444446</v>
      </c>
      <c r="V818">
        <f t="shared" si="172"/>
        <v>1.9964861410644765</v>
      </c>
      <c r="W818">
        <f t="shared" si="183"/>
        <v>-6.7878901842833114E-2</v>
      </c>
      <c r="X818" s="28">
        <v>740.13750000000005</v>
      </c>
      <c r="Y818">
        <f t="shared" si="173"/>
        <v>0.89740799130854665</v>
      </c>
      <c r="Z818">
        <f t="shared" si="176"/>
        <v>0.13103176756397875</v>
      </c>
      <c r="AA818">
        <f t="shared" si="177"/>
        <v>0.12900345394736842</v>
      </c>
      <c r="AB818">
        <f t="shared" si="178"/>
        <v>0.4796557822308064</v>
      </c>
      <c r="AC818">
        <f t="shared" si="179"/>
        <v>4.2068077393167546E-4</v>
      </c>
      <c r="AD818">
        <f t="shared" si="180"/>
        <v>6.0479694950356109E-3</v>
      </c>
      <c r="AE818">
        <f t="shared" si="181"/>
        <v>9.8387354387976828E-2</v>
      </c>
      <c r="AF818">
        <f t="shared" si="182"/>
        <v>0.25453114135683247</v>
      </c>
      <c r="AG818">
        <f t="shared" si="174"/>
        <v>1.9964861410644767</v>
      </c>
      <c r="AH818">
        <v>0.35544029424367946</v>
      </c>
      <c r="AI818">
        <v>0.5421348314606742</v>
      </c>
      <c r="AJ818">
        <v>5.8512898900887319E-3</v>
      </c>
      <c r="AK818">
        <v>6.4277156834737894E-3</v>
      </c>
      <c r="AL818">
        <v>0.21320551729321896</v>
      </c>
    </row>
    <row r="819" spans="1:38" x14ac:dyDescent="0.25">
      <c r="A819">
        <v>27</v>
      </c>
      <c r="B819" s="5" t="s">
        <v>27</v>
      </c>
      <c r="C819" s="6" t="s">
        <v>5</v>
      </c>
      <c r="D819" s="6" t="s">
        <v>47</v>
      </c>
      <c r="E819" s="28">
        <v>11201.6</v>
      </c>
      <c r="F819" s="11">
        <v>12</v>
      </c>
      <c r="G819" s="11">
        <v>13</v>
      </c>
      <c r="H819" s="11">
        <f t="shared" si="170"/>
        <v>-1</v>
      </c>
      <c r="I819" s="18">
        <v>1</v>
      </c>
      <c r="J819" s="18">
        <v>0.70967741935483875</v>
      </c>
      <c r="K819" s="18">
        <v>1.2</v>
      </c>
      <c r="L819" s="6">
        <v>8206118.5</v>
      </c>
      <c r="M819" s="6">
        <v>1193475</v>
      </c>
      <c r="N819" s="6">
        <v>1187405.125</v>
      </c>
      <c r="O819" s="6">
        <v>4370957.5</v>
      </c>
      <c r="P819" s="6">
        <v>3872.1328125</v>
      </c>
      <c r="Q819" s="6">
        <v>36600.515625</v>
      </c>
      <c r="R819" s="6">
        <v>899169.6875</v>
      </c>
      <c r="S819" s="6">
        <v>2324907.75</v>
      </c>
      <c r="T819" s="31">
        <f t="shared" si="171"/>
        <v>1822.2506210937499</v>
      </c>
      <c r="U819" s="37">
        <v>952.33333333333337</v>
      </c>
      <c r="V819">
        <f t="shared" si="172"/>
        <v>1.9134588250896918</v>
      </c>
      <c r="W819">
        <f t="shared" si="183"/>
        <v>-4.1586722926369356E-2</v>
      </c>
      <c r="X819" s="28">
        <v>814.79583333333335</v>
      </c>
      <c r="Y819">
        <f t="shared" si="173"/>
        <v>0.86168552677633869</v>
      </c>
      <c r="Z819">
        <f t="shared" si="176"/>
        <v>0.12532114105705283</v>
      </c>
      <c r="AA819">
        <f t="shared" si="177"/>
        <v>0.12468377231361567</v>
      </c>
      <c r="AB819">
        <f t="shared" si="178"/>
        <v>0.45897348617430872</v>
      </c>
      <c r="AC819">
        <f t="shared" si="179"/>
        <v>4.0659427502625132E-4</v>
      </c>
      <c r="AD819">
        <f t="shared" si="180"/>
        <v>3.8432463029401467E-3</v>
      </c>
      <c r="AE819">
        <f t="shared" si="181"/>
        <v>9.4417538064403214E-2</v>
      </c>
      <c r="AF819">
        <f t="shared" si="182"/>
        <v>0.2441275201260063</v>
      </c>
      <c r="AG819">
        <f t="shared" si="174"/>
        <v>1.9134588250896916</v>
      </c>
      <c r="AH819">
        <v>0.35544029424367946</v>
      </c>
      <c r="AI819">
        <v>0.5421348314606742</v>
      </c>
      <c r="AJ819">
        <v>5.8512898900887319E-3</v>
      </c>
      <c r="AK819">
        <v>6.4277156834737894E-3</v>
      </c>
      <c r="AL819">
        <v>0.21320551729321896</v>
      </c>
    </row>
    <row r="820" spans="1:38" x14ac:dyDescent="0.25">
      <c r="A820">
        <v>27</v>
      </c>
      <c r="B820" s="21" t="s">
        <v>27</v>
      </c>
      <c r="C820" s="22" t="s">
        <v>5</v>
      </c>
      <c r="D820" s="22" t="s">
        <v>48</v>
      </c>
      <c r="E820" s="28">
        <v>11201.6</v>
      </c>
      <c r="F820" s="22">
        <v>13</v>
      </c>
      <c r="G820" s="22">
        <v>13</v>
      </c>
      <c r="H820" s="22">
        <f t="shared" si="170"/>
        <v>0</v>
      </c>
      <c r="I820" s="18">
        <v>1</v>
      </c>
      <c r="J820" s="18">
        <v>0.70967741935483875</v>
      </c>
      <c r="K820" s="18">
        <v>1.2</v>
      </c>
      <c r="L820" s="22">
        <v>8596166</v>
      </c>
      <c r="M820" s="22">
        <v>1200102.125</v>
      </c>
      <c r="N820" s="22">
        <v>1187405.125</v>
      </c>
      <c r="O820" s="22">
        <v>4395772</v>
      </c>
      <c r="P820" s="22">
        <v>3872.1328125</v>
      </c>
      <c r="Q820" s="22">
        <v>17814.330078125</v>
      </c>
      <c r="R820" s="22">
        <v>897687.875</v>
      </c>
      <c r="S820" s="22">
        <v>2255410.25</v>
      </c>
      <c r="T820" s="32">
        <f t="shared" si="171"/>
        <v>1855.4229837890625</v>
      </c>
      <c r="U820" s="37">
        <v>967.77777777777783</v>
      </c>
      <c r="V820">
        <f t="shared" si="172"/>
        <v>1.9171994091965054</v>
      </c>
      <c r="W820">
        <f t="shared" si="183"/>
        <v>1.954880898280277E-3</v>
      </c>
      <c r="X820" s="28">
        <v>889.45416666666665</v>
      </c>
      <c r="Y820">
        <f t="shared" si="173"/>
        <v>0.88823758897818583</v>
      </c>
      <c r="Z820">
        <f t="shared" si="176"/>
        <v>0.1240059601033295</v>
      </c>
      <c r="AA820">
        <f t="shared" si="177"/>
        <v>0.12269398536165327</v>
      </c>
      <c r="AB820">
        <f t="shared" si="178"/>
        <v>0.45421295063145806</v>
      </c>
      <c r="AC820">
        <f t="shared" si="179"/>
        <v>4.0010557190011477E-4</v>
      </c>
      <c r="AD820">
        <f t="shared" si="180"/>
        <v>1.8407459322976464E-3</v>
      </c>
      <c r="AE820">
        <f t="shared" si="181"/>
        <v>9.2757644948335244E-2</v>
      </c>
      <c r="AF820">
        <f t="shared" si="182"/>
        <v>0.23305042766934558</v>
      </c>
      <c r="AG820">
        <f t="shared" si="174"/>
        <v>1.9171994091965052</v>
      </c>
      <c r="AH820">
        <v>0.35544029424367946</v>
      </c>
      <c r="AI820">
        <v>0.5421348314606742</v>
      </c>
      <c r="AJ820">
        <v>5.8512898900887319E-3</v>
      </c>
      <c r="AK820">
        <v>6.4277156834737894E-3</v>
      </c>
      <c r="AL820">
        <v>0.21320551729321896</v>
      </c>
    </row>
    <row r="821" spans="1:38" x14ac:dyDescent="0.25">
      <c r="A821">
        <v>27</v>
      </c>
      <c r="B821" s="5" t="s">
        <v>27</v>
      </c>
      <c r="C821" s="6" t="s">
        <v>5</v>
      </c>
      <c r="D821" s="6" t="s">
        <v>49</v>
      </c>
      <c r="E821" s="28">
        <v>11201.6</v>
      </c>
      <c r="F821" s="11">
        <v>14</v>
      </c>
      <c r="G821" s="11">
        <v>13</v>
      </c>
      <c r="H821" s="11">
        <f t="shared" si="170"/>
        <v>1</v>
      </c>
      <c r="I821" s="18">
        <v>1</v>
      </c>
      <c r="J821" s="18">
        <v>0.70967741935483875</v>
      </c>
      <c r="K821" s="18">
        <v>1.2</v>
      </c>
      <c r="L821" s="6">
        <v>9669066</v>
      </c>
      <c r="M821" s="6">
        <v>1153360.25</v>
      </c>
      <c r="N821" s="6">
        <v>1187405.125</v>
      </c>
      <c r="O821" s="6">
        <v>4220964</v>
      </c>
      <c r="P821" s="6">
        <v>3872.1328125</v>
      </c>
      <c r="Q821" s="6">
        <v>10630.8056640625</v>
      </c>
      <c r="R821" s="6">
        <v>903946.9375</v>
      </c>
      <c r="S821" s="6">
        <v>2209494</v>
      </c>
      <c r="T821" s="31">
        <f t="shared" si="171"/>
        <v>1935.8739250976562</v>
      </c>
      <c r="U821" s="37">
        <v>983.22222222222217</v>
      </c>
      <c r="V821">
        <f t="shared" si="172"/>
        <v>1.9689078230171666</v>
      </c>
      <c r="W821">
        <f t="shared" si="183"/>
        <v>2.6970806256576125E-2</v>
      </c>
      <c r="X821" s="28">
        <v>964.11249999999995</v>
      </c>
      <c r="Y821">
        <f t="shared" si="173"/>
        <v>0.98340596677590697</v>
      </c>
      <c r="Z821">
        <f t="shared" si="176"/>
        <v>0.11730412758503787</v>
      </c>
      <c r="AA821">
        <f t="shared" si="177"/>
        <v>0.12076670951519945</v>
      </c>
      <c r="AB821">
        <f t="shared" si="178"/>
        <v>0.42929908464233252</v>
      </c>
      <c r="AC821">
        <f t="shared" si="179"/>
        <v>3.9382071773646745E-4</v>
      </c>
      <c r="AD821">
        <f t="shared" si="180"/>
        <v>1.0812210529614929E-3</v>
      </c>
      <c r="AE821">
        <f t="shared" si="181"/>
        <v>9.1937195587071988E-2</v>
      </c>
      <c r="AF821">
        <f t="shared" si="182"/>
        <v>0.22471969714091988</v>
      </c>
      <c r="AG821">
        <f t="shared" si="174"/>
        <v>1.968907823017167</v>
      </c>
      <c r="AH821">
        <v>0.35544029424367946</v>
      </c>
      <c r="AI821">
        <v>0.5421348314606742</v>
      </c>
      <c r="AJ821">
        <v>5.8512898900887319E-3</v>
      </c>
      <c r="AK821">
        <v>6.4277156834737894E-3</v>
      </c>
      <c r="AL821">
        <v>0.21320551729321896</v>
      </c>
    </row>
    <row r="822" spans="1:38" x14ac:dyDescent="0.25">
      <c r="A822">
        <v>27</v>
      </c>
      <c r="B822" s="5" t="s">
        <v>27</v>
      </c>
      <c r="C822" s="6" t="s">
        <v>5</v>
      </c>
      <c r="D822" s="6" t="s">
        <v>50</v>
      </c>
      <c r="E822" s="28">
        <v>11201.6</v>
      </c>
      <c r="F822" s="11">
        <v>15</v>
      </c>
      <c r="G822" s="11">
        <v>13</v>
      </c>
      <c r="H822" s="11">
        <f t="shared" si="170"/>
        <v>2</v>
      </c>
      <c r="I822" s="18">
        <v>1</v>
      </c>
      <c r="J822" s="18">
        <v>0.70967741935483875</v>
      </c>
      <c r="K822" s="18">
        <v>1.2</v>
      </c>
      <c r="L822" s="6">
        <v>10289252</v>
      </c>
      <c r="M822" s="6">
        <v>1121422.625</v>
      </c>
      <c r="N822" s="6">
        <v>1187405.125</v>
      </c>
      <c r="O822" s="6">
        <v>4102468.75</v>
      </c>
      <c r="P822" s="6">
        <v>3872.1328125</v>
      </c>
      <c r="Q822" s="6">
        <v>14888.68359375</v>
      </c>
      <c r="R822" s="6">
        <v>882845.0625</v>
      </c>
      <c r="S822" s="6">
        <v>2232593.75</v>
      </c>
      <c r="T822" s="31">
        <f t="shared" si="171"/>
        <v>1983.4748128906249</v>
      </c>
      <c r="U822" s="37">
        <v>998.66666666666663</v>
      </c>
      <c r="V822">
        <f t="shared" si="172"/>
        <v>1.9861229768597712</v>
      </c>
      <c r="W822">
        <f t="shared" si="183"/>
        <v>8.7435042114993623E-3</v>
      </c>
      <c r="X822" s="28">
        <v>1038.7708333333333</v>
      </c>
      <c r="Y822">
        <f t="shared" si="173"/>
        <v>1.0302989319092124</v>
      </c>
      <c r="Z822">
        <f t="shared" si="176"/>
        <v>0.11229198514686251</v>
      </c>
      <c r="AA822">
        <f t="shared" si="177"/>
        <v>0.11889904455941255</v>
      </c>
      <c r="AB822">
        <f t="shared" si="178"/>
        <v>0.41079460113484645</v>
      </c>
      <c r="AC822">
        <f t="shared" si="179"/>
        <v>3.8773025492323099E-4</v>
      </c>
      <c r="AD822">
        <f t="shared" si="180"/>
        <v>1.4908561675984647E-3</v>
      </c>
      <c r="AE822">
        <f t="shared" si="181"/>
        <v>8.8402376084779716E-2</v>
      </c>
      <c r="AF822">
        <f t="shared" si="182"/>
        <v>0.22355745160213619</v>
      </c>
      <c r="AG822">
        <f t="shared" si="174"/>
        <v>1.9861229768597712</v>
      </c>
      <c r="AH822">
        <v>0.35544029424367946</v>
      </c>
      <c r="AI822">
        <v>0.5421348314606742</v>
      </c>
      <c r="AJ822">
        <v>5.8512898900887319E-3</v>
      </c>
      <c r="AK822">
        <v>6.4277156834737894E-3</v>
      </c>
      <c r="AL822">
        <v>0.21320551729321896</v>
      </c>
    </row>
    <row r="823" spans="1:38" x14ac:dyDescent="0.25">
      <c r="A823">
        <v>27</v>
      </c>
      <c r="B823" s="5" t="s">
        <v>27</v>
      </c>
      <c r="C823" s="6" t="s">
        <v>5</v>
      </c>
      <c r="D823" s="6" t="s">
        <v>51</v>
      </c>
      <c r="E823" s="28">
        <v>11201.6</v>
      </c>
      <c r="F823" s="11">
        <v>16</v>
      </c>
      <c r="G823" s="11">
        <v>13</v>
      </c>
      <c r="H823" s="11">
        <f t="shared" si="170"/>
        <v>3</v>
      </c>
      <c r="I823" s="18">
        <v>1</v>
      </c>
      <c r="J823" s="18">
        <v>0.70967741935483875</v>
      </c>
      <c r="K823" s="18">
        <v>1.2</v>
      </c>
      <c r="L823" s="6">
        <v>8982972</v>
      </c>
      <c r="M823" s="6">
        <v>1169729.75</v>
      </c>
      <c r="N823" s="6">
        <v>1187405.125</v>
      </c>
      <c r="O823" s="6">
        <v>4280847.5</v>
      </c>
      <c r="P823" s="6">
        <v>3872.1328125</v>
      </c>
      <c r="Q823" s="6">
        <v>41251.97265625</v>
      </c>
      <c r="R823" s="6">
        <v>876556.875</v>
      </c>
      <c r="S823" s="6">
        <v>2272333.5</v>
      </c>
      <c r="T823" s="31">
        <f t="shared" si="171"/>
        <v>1881.4968855468751</v>
      </c>
      <c r="U823" s="37">
        <v>1013.6666666666666</v>
      </c>
      <c r="V823">
        <f t="shared" si="172"/>
        <v>1.8561297785730435</v>
      </c>
      <c r="W823">
        <f t="shared" si="183"/>
        <v>-6.5450729789279211E-2</v>
      </c>
      <c r="X823" s="28">
        <v>1113.4291666666666</v>
      </c>
      <c r="Y823">
        <f t="shared" si="173"/>
        <v>0.88618599145018084</v>
      </c>
      <c r="Z823">
        <f t="shared" si="176"/>
        <v>0.11539589773100954</v>
      </c>
      <c r="AA823">
        <f t="shared" si="177"/>
        <v>0.11713960457086485</v>
      </c>
      <c r="AB823">
        <f t="shared" si="178"/>
        <v>0.42231313712594548</v>
      </c>
      <c r="AC823">
        <f t="shared" si="179"/>
        <v>3.8199271415652748E-4</v>
      </c>
      <c r="AD823">
        <f t="shared" si="180"/>
        <v>4.0695796767099635E-3</v>
      </c>
      <c r="AE823">
        <f t="shared" si="181"/>
        <v>8.6473877836238083E-2</v>
      </c>
      <c r="AF823">
        <f t="shared" si="182"/>
        <v>0.22416969746793822</v>
      </c>
      <c r="AG823">
        <f t="shared" si="174"/>
        <v>1.8561297785730435</v>
      </c>
      <c r="AH823">
        <v>0.35544029424367946</v>
      </c>
      <c r="AI823">
        <v>0.5421348314606742</v>
      </c>
      <c r="AJ823">
        <v>5.8512898900887319E-3</v>
      </c>
      <c r="AK823">
        <v>6.4277156834737894E-3</v>
      </c>
      <c r="AL823">
        <v>0.21320551729321896</v>
      </c>
    </row>
    <row r="824" spans="1:38" x14ac:dyDescent="0.25">
      <c r="A824">
        <v>27</v>
      </c>
      <c r="B824" s="5" t="s">
        <v>27</v>
      </c>
      <c r="C824" s="6" t="s">
        <v>5</v>
      </c>
      <c r="D824" s="6" t="s">
        <v>52</v>
      </c>
      <c r="E824" s="28">
        <v>11201.6</v>
      </c>
      <c r="F824" s="11">
        <v>17</v>
      </c>
      <c r="G824" s="11">
        <v>13</v>
      </c>
      <c r="H824" s="11">
        <f t="shared" si="170"/>
        <v>4</v>
      </c>
      <c r="I824" s="18">
        <v>1</v>
      </c>
      <c r="J824" s="18">
        <v>0.70967741935483875</v>
      </c>
      <c r="K824" s="18">
        <v>1.2</v>
      </c>
      <c r="L824" s="6">
        <v>8840351</v>
      </c>
      <c r="M824" s="6">
        <v>1202391.375</v>
      </c>
      <c r="N824" s="6">
        <v>1187405.125</v>
      </c>
      <c r="O824" s="6">
        <v>4401249.5</v>
      </c>
      <c r="P824" s="6">
        <v>3872.1328125</v>
      </c>
      <c r="Q824" s="6">
        <v>56913.09375</v>
      </c>
      <c r="R824" s="6">
        <v>905324.25</v>
      </c>
      <c r="S824" s="6">
        <v>2352640.25</v>
      </c>
      <c r="T824" s="31">
        <f t="shared" si="171"/>
        <v>1895.01467265625</v>
      </c>
      <c r="U824" s="37">
        <v>1028.6666666666667</v>
      </c>
      <c r="V824">
        <f t="shared" si="172"/>
        <v>1.8422048016749026</v>
      </c>
      <c r="W824">
        <f t="shared" si="183"/>
        <v>-7.5021569390725058E-3</v>
      </c>
      <c r="X824" s="28">
        <v>1188.0874999999999</v>
      </c>
      <c r="Y824">
        <f t="shared" si="173"/>
        <v>0.85939899546338294</v>
      </c>
      <c r="Z824">
        <f t="shared" si="176"/>
        <v>0.11688833846403111</v>
      </c>
      <c r="AA824">
        <f t="shared" si="177"/>
        <v>0.11543147683084899</v>
      </c>
      <c r="AB824">
        <f t="shared" si="178"/>
        <v>0.42785964031108226</v>
      </c>
      <c r="AC824">
        <f t="shared" si="179"/>
        <v>3.7642250283538559E-4</v>
      </c>
      <c r="AD824">
        <f t="shared" si="180"/>
        <v>5.5327051604018148E-3</v>
      </c>
      <c r="AE824">
        <f t="shared" si="181"/>
        <v>8.800948639014905E-2</v>
      </c>
      <c r="AF824">
        <f t="shared" si="182"/>
        <v>0.22870773655217108</v>
      </c>
      <c r="AG824">
        <f t="shared" si="174"/>
        <v>1.8422048016749026</v>
      </c>
      <c r="AH824">
        <v>0.35544029424367946</v>
      </c>
      <c r="AI824">
        <v>0.5421348314606742</v>
      </c>
      <c r="AJ824">
        <v>5.8512898900887319E-3</v>
      </c>
      <c r="AK824">
        <v>6.4277156834737894E-3</v>
      </c>
      <c r="AL824">
        <v>0.21320551729321896</v>
      </c>
    </row>
    <row r="825" spans="1:38" x14ac:dyDescent="0.25">
      <c r="A825">
        <v>27</v>
      </c>
      <c r="B825" s="5" t="s">
        <v>27</v>
      </c>
      <c r="C825" s="6" t="s">
        <v>5</v>
      </c>
      <c r="D825" s="6" t="s">
        <v>53</v>
      </c>
      <c r="E825" s="28">
        <v>11201.6</v>
      </c>
      <c r="F825" s="11">
        <v>18</v>
      </c>
      <c r="G825" s="11">
        <v>13</v>
      </c>
      <c r="H825" s="11">
        <f t="shared" si="170"/>
        <v>5</v>
      </c>
      <c r="I825" s="18">
        <v>1</v>
      </c>
      <c r="J825" s="18">
        <v>0.70967741935483875</v>
      </c>
      <c r="K825" s="18">
        <v>1.2</v>
      </c>
      <c r="L825" s="6">
        <v>9442169</v>
      </c>
      <c r="M825" s="6">
        <v>1196960.875</v>
      </c>
      <c r="N825" s="6">
        <v>1187405.125</v>
      </c>
      <c r="O825" s="6">
        <v>4384923.5</v>
      </c>
      <c r="P825" s="6">
        <v>3872.1328125</v>
      </c>
      <c r="Q825" s="6">
        <v>37599.19921875</v>
      </c>
      <c r="R825" s="6">
        <v>900067.5</v>
      </c>
      <c r="S825" s="6">
        <v>2322804.5</v>
      </c>
      <c r="T825" s="31">
        <f t="shared" si="171"/>
        <v>1947.580183203125</v>
      </c>
      <c r="U825" s="37">
        <v>1043.6666666666667</v>
      </c>
      <c r="V825">
        <f t="shared" si="172"/>
        <v>1.8660940752505188</v>
      </c>
      <c r="W825">
        <f t="shared" si="183"/>
        <v>1.2967762082639493E-2</v>
      </c>
      <c r="X825" s="28">
        <v>1262.7458333333332</v>
      </c>
      <c r="Y825">
        <f t="shared" si="173"/>
        <v>0.90471117853720839</v>
      </c>
      <c r="Z825">
        <f t="shared" si="176"/>
        <v>0.11468804295752154</v>
      </c>
      <c r="AA825">
        <f t="shared" si="177"/>
        <v>0.11377244889811561</v>
      </c>
      <c r="AB825">
        <f t="shared" si="178"/>
        <v>0.42014597572660489</v>
      </c>
      <c r="AC825">
        <f t="shared" si="179"/>
        <v>3.7101240618013411E-4</v>
      </c>
      <c r="AD825">
        <f t="shared" si="180"/>
        <v>3.6026061212472049E-3</v>
      </c>
      <c r="AE825">
        <f t="shared" si="181"/>
        <v>8.624089747684445E-2</v>
      </c>
      <c r="AF825">
        <f t="shared" si="182"/>
        <v>0.22256191312679652</v>
      </c>
      <c r="AG825">
        <f t="shared" si="174"/>
        <v>1.8660940752505186</v>
      </c>
      <c r="AH825">
        <v>0.35544029424367946</v>
      </c>
      <c r="AI825">
        <v>0.5421348314606742</v>
      </c>
      <c r="AJ825">
        <v>5.8512898900887319E-3</v>
      </c>
      <c r="AK825">
        <v>6.4277156834737894E-3</v>
      </c>
      <c r="AL825">
        <v>0.21320551729321896</v>
      </c>
    </row>
    <row r="826" spans="1:38" x14ac:dyDescent="0.25">
      <c r="A826">
        <v>27</v>
      </c>
      <c r="B826" s="5" t="s">
        <v>27</v>
      </c>
      <c r="C826" s="6" t="s">
        <v>5</v>
      </c>
      <c r="D826" s="6" t="s">
        <v>54</v>
      </c>
      <c r="E826" s="28">
        <v>11201.6</v>
      </c>
      <c r="F826" s="11">
        <v>19</v>
      </c>
      <c r="G826" s="11">
        <v>13</v>
      </c>
      <c r="H826" s="11">
        <f t="shared" si="170"/>
        <v>6</v>
      </c>
      <c r="I826" s="18">
        <v>1</v>
      </c>
      <c r="J826" s="18">
        <v>0.70967741935483875</v>
      </c>
      <c r="K826" s="18">
        <v>1.2</v>
      </c>
      <c r="L826" s="6">
        <v>10532356</v>
      </c>
      <c r="M826" s="6">
        <v>1207409.75</v>
      </c>
      <c r="N826" s="6">
        <v>1187975.125</v>
      </c>
      <c r="O826" s="6">
        <v>4424381.5</v>
      </c>
      <c r="P826" s="6">
        <v>3873.99145507812</v>
      </c>
      <c r="Q826" s="6">
        <v>17524.998046875</v>
      </c>
      <c r="R826" s="6">
        <v>899854.4375</v>
      </c>
      <c r="S826" s="6">
        <v>2238018.5</v>
      </c>
      <c r="T826" s="31">
        <f t="shared" si="171"/>
        <v>2051.1394302001954</v>
      </c>
      <c r="U826" s="37">
        <v>1058.6666666666667</v>
      </c>
      <c r="V826">
        <f t="shared" si="172"/>
        <v>1.9374742728591265</v>
      </c>
      <c r="W826">
        <f t="shared" si="183"/>
        <v>3.8251124932715451E-2</v>
      </c>
      <c r="X826" s="28">
        <v>1337.4041666666665</v>
      </c>
      <c r="Y826">
        <f t="shared" si="173"/>
        <v>0.99486989924433233</v>
      </c>
      <c r="Z826">
        <f t="shared" si="176"/>
        <v>0.11405003935768261</v>
      </c>
      <c r="AA826">
        <f t="shared" si="177"/>
        <v>0.11221427503148614</v>
      </c>
      <c r="AB826">
        <f t="shared" si="178"/>
        <v>0.41792016687657424</v>
      </c>
      <c r="AC826">
        <f t="shared" si="179"/>
        <v>3.6593118278445712E-4</v>
      </c>
      <c r="AD826">
        <f t="shared" si="180"/>
        <v>1.6553839464932302E-3</v>
      </c>
      <c r="AE826">
        <f t="shared" si="181"/>
        <v>8.4998844852015115E-2</v>
      </c>
      <c r="AF826">
        <f t="shared" si="182"/>
        <v>0.21139973236775819</v>
      </c>
      <c r="AG826">
        <f t="shared" si="174"/>
        <v>1.9374742728591261</v>
      </c>
      <c r="AH826">
        <v>0.35544029424367946</v>
      </c>
      <c r="AI826">
        <v>0.5421348314606742</v>
      </c>
      <c r="AJ826">
        <v>5.8512898900887319E-3</v>
      </c>
      <c r="AK826">
        <v>6.4277156834737894E-3</v>
      </c>
      <c r="AL826">
        <v>0.21320551729321896</v>
      </c>
    </row>
    <row r="827" spans="1:38" x14ac:dyDescent="0.25">
      <c r="A827">
        <v>27</v>
      </c>
      <c r="B827" s="5" t="s">
        <v>27</v>
      </c>
      <c r="C827" s="6" t="s">
        <v>5</v>
      </c>
      <c r="D827" s="6" t="s">
        <v>55</v>
      </c>
      <c r="E827" s="28">
        <v>11863.8</v>
      </c>
      <c r="F827" s="11">
        <v>20</v>
      </c>
      <c r="G827" s="11">
        <v>13</v>
      </c>
      <c r="H827" s="18">
        <f t="shared" si="170"/>
        <v>7</v>
      </c>
      <c r="I827" s="18">
        <v>1</v>
      </c>
      <c r="J827" s="18">
        <v>0.70967741935483875</v>
      </c>
      <c r="K827" s="18">
        <v>1.2</v>
      </c>
      <c r="L827" s="14">
        <v>885842.5</v>
      </c>
      <c r="M827" s="14">
        <v>1199256.75</v>
      </c>
      <c r="N827" s="14">
        <v>2503154.25</v>
      </c>
      <c r="O827" s="14">
        <v>9252496</v>
      </c>
      <c r="P827" s="14">
        <v>3725.151123046875</v>
      </c>
      <c r="Q827" s="14">
        <v>10855.01953125</v>
      </c>
      <c r="R827" s="14">
        <v>4162872.25</v>
      </c>
      <c r="S827" s="14">
        <v>2673145.75</v>
      </c>
      <c r="T827" s="31">
        <f t="shared" si="171"/>
        <v>2069.1347670654295</v>
      </c>
      <c r="U827" s="37">
        <v>907.33333333333326</v>
      </c>
      <c r="V827">
        <f t="shared" si="172"/>
        <v>2.2804571275519065</v>
      </c>
      <c r="W827">
        <f t="shared" si="183"/>
        <v>0.17702575951454619</v>
      </c>
      <c r="X827" s="28">
        <v>648.38333333333344</v>
      </c>
      <c r="Y827">
        <f t="shared" si="173"/>
        <v>9.7631429096252761E-2</v>
      </c>
      <c r="Z827">
        <f t="shared" si="176"/>
        <v>0.13217377847171199</v>
      </c>
      <c r="AA827">
        <f t="shared" si="177"/>
        <v>0.27588033614988983</v>
      </c>
      <c r="AB827">
        <f t="shared" si="178"/>
        <v>1.0197460690668627</v>
      </c>
      <c r="AC827">
        <f t="shared" si="179"/>
        <v>4.1056037359076507E-4</v>
      </c>
      <c r="AD827">
        <f t="shared" si="180"/>
        <v>1.1963651210047759E-3</v>
      </c>
      <c r="AE827">
        <f t="shared" si="181"/>
        <v>0.45880296656869951</v>
      </c>
      <c r="AF827">
        <f t="shared" si="182"/>
        <v>0.29461562270389424</v>
      </c>
      <c r="AG827">
        <f t="shared" si="174"/>
        <v>2.2804571275519065</v>
      </c>
      <c r="AH827">
        <v>0.34968559820630829</v>
      </c>
      <c r="AI827">
        <v>0.55496957403651115</v>
      </c>
      <c r="AJ827">
        <v>5.7878930895139341E-3</v>
      </c>
      <c r="AK827">
        <v>6.5939243749894641E-3</v>
      </c>
      <c r="AL827">
        <v>0.2219416075827875</v>
      </c>
    </row>
    <row r="828" spans="1:38" x14ac:dyDescent="0.25">
      <c r="A828">
        <v>27</v>
      </c>
      <c r="B828" s="5" t="s">
        <v>27</v>
      </c>
      <c r="C828" s="6" t="s">
        <v>5</v>
      </c>
      <c r="D828" s="6" t="s">
        <v>56</v>
      </c>
      <c r="E828" s="28">
        <v>11863.8</v>
      </c>
      <c r="F828" s="11">
        <v>21</v>
      </c>
      <c r="G828" s="11">
        <v>13</v>
      </c>
      <c r="H828" s="11">
        <f t="shared" si="170"/>
        <v>8</v>
      </c>
      <c r="I828" s="18">
        <v>1</v>
      </c>
      <c r="J828" s="18">
        <v>0.70967741935483875</v>
      </c>
      <c r="K828" s="18">
        <v>1.2</v>
      </c>
      <c r="L828" s="6">
        <v>866139.0625</v>
      </c>
      <c r="M828" s="6">
        <v>1175292.75</v>
      </c>
      <c r="N828" s="6">
        <v>2177480.75</v>
      </c>
      <c r="O828" s="6">
        <v>9206648</v>
      </c>
      <c r="P828" s="6">
        <v>3725.151123046875</v>
      </c>
      <c r="Q828" s="6">
        <v>15373.8359375</v>
      </c>
      <c r="R828" s="6">
        <v>4076246.5</v>
      </c>
      <c r="S828" s="6">
        <v>2709640.25</v>
      </c>
      <c r="T828" s="31">
        <f t="shared" si="171"/>
        <v>2023.0546299560547</v>
      </c>
      <c r="U828" s="37">
        <v>929.66666666666663</v>
      </c>
      <c r="V828">
        <f t="shared" si="172"/>
        <v>2.1761075259477103</v>
      </c>
      <c r="W828">
        <f t="shared" si="183"/>
        <v>-4.5758194856404338E-2</v>
      </c>
      <c r="X828" s="28">
        <v>710.25</v>
      </c>
      <c r="Y828">
        <f t="shared" si="173"/>
        <v>9.3166625582646115E-2</v>
      </c>
      <c r="Z828">
        <f t="shared" si="176"/>
        <v>0.12642087665830049</v>
      </c>
      <c r="AA828">
        <f t="shared" si="177"/>
        <v>0.23422166547149517</v>
      </c>
      <c r="AB828">
        <f t="shared" si="178"/>
        <v>0.99031710290426667</v>
      </c>
      <c r="AC828">
        <f t="shared" si="179"/>
        <v>4.006975033754258E-4</v>
      </c>
      <c r="AD828">
        <f t="shared" si="180"/>
        <v>1.6536933600752959E-3</v>
      </c>
      <c r="AE828">
        <f t="shared" si="181"/>
        <v>0.43846323054858377</v>
      </c>
      <c r="AF828">
        <f t="shared" si="182"/>
        <v>0.2914636339189674</v>
      </c>
      <c r="AG828">
        <f t="shared" si="174"/>
        <v>2.1761075259477103</v>
      </c>
      <c r="AH828">
        <v>0.34968559820630829</v>
      </c>
      <c r="AI828">
        <v>0.55496957403651115</v>
      </c>
      <c r="AJ828">
        <v>5.7878930895139341E-3</v>
      </c>
      <c r="AK828">
        <v>6.5939243749894641E-3</v>
      </c>
      <c r="AL828">
        <v>0.2219416075827875</v>
      </c>
    </row>
    <row r="829" spans="1:38" x14ac:dyDescent="0.25">
      <c r="A829">
        <v>27</v>
      </c>
      <c r="B829" s="5" t="s">
        <v>27</v>
      </c>
      <c r="C829" s="6" t="s">
        <v>5</v>
      </c>
      <c r="D829" s="6" t="s">
        <v>57</v>
      </c>
      <c r="E829" s="28">
        <v>11863.8</v>
      </c>
      <c r="F829" s="11">
        <v>22</v>
      </c>
      <c r="G829" s="11">
        <v>13</v>
      </c>
      <c r="H829" s="11">
        <f t="shared" si="170"/>
        <v>9</v>
      </c>
      <c r="I829" s="18">
        <v>1</v>
      </c>
      <c r="J829" s="18">
        <v>0.70967741935483875</v>
      </c>
      <c r="K829" s="18">
        <v>1.2</v>
      </c>
      <c r="L829" s="6">
        <v>859570.25</v>
      </c>
      <c r="M829" s="6">
        <v>1220397.5</v>
      </c>
      <c r="N829" s="6">
        <v>1411723.5</v>
      </c>
      <c r="O829" s="6">
        <v>10473027</v>
      </c>
      <c r="P829" s="6">
        <v>3725.151123046875</v>
      </c>
      <c r="Q829" s="6">
        <v>44262.0390625</v>
      </c>
      <c r="R829" s="6">
        <v>4234160</v>
      </c>
      <c r="S829" s="6">
        <v>2768103.5</v>
      </c>
      <c r="T829" s="31">
        <f t="shared" si="171"/>
        <v>2101.4968940185545</v>
      </c>
      <c r="U829" s="37">
        <v>952</v>
      </c>
      <c r="V829">
        <f t="shared" si="172"/>
        <v>2.2074547206077253</v>
      </c>
      <c r="W829">
        <f t="shared" si="183"/>
        <v>1.4405168074754525E-2</v>
      </c>
      <c r="X829" s="28">
        <v>772.11666666666667</v>
      </c>
      <c r="Y829">
        <f t="shared" si="173"/>
        <v>9.0290992647058824E-2</v>
      </c>
      <c r="Z829">
        <f t="shared" si="176"/>
        <v>0.12819301470588235</v>
      </c>
      <c r="AA829">
        <f t="shared" si="177"/>
        <v>0.14829028361344537</v>
      </c>
      <c r="AB829">
        <f t="shared" si="178"/>
        <v>1.1001078781512605</v>
      </c>
      <c r="AC829">
        <f t="shared" si="179"/>
        <v>3.9129738687467171E-4</v>
      </c>
      <c r="AD829">
        <f t="shared" si="180"/>
        <v>4.6493738511029416E-3</v>
      </c>
      <c r="AE829">
        <f t="shared" si="181"/>
        <v>0.44476470588235295</v>
      </c>
      <c r="AF829">
        <f t="shared" si="182"/>
        <v>0.29076717436974792</v>
      </c>
      <c r="AG829">
        <f t="shared" si="174"/>
        <v>2.2074547206077253</v>
      </c>
      <c r="AH829">
        <v>0.34968559820630829</v>
      </c>
      <c r="AI829">
        <v>0.55496957403651115</v>
      </c>
      <c r="AJ829">
        <v>5.7878930895139341E-3</v>
      </c>
      <c r="AK829">
        <v>6.5939243749894641E-3</v>
      </c>
      <c r="AL829">
        <v>0.2219416075827875</v>
      </c>
    </row>
    <row r="830" spans="1:38" x14ac:dyDescent="0.25">
      <c r="A830">
        <v>27</v>
      </c>
      <c r="B830" s="5" t="s">
        <v>27</v>
      </c>
      <c r="C830" s="6" t="s">
        <v>5</v>
      </c>
      <c r="D830" s="6" t="s">
        <v>58</v>
      </c>
      <c r="E830" s="28">
        <v>11863.8</v>
      </c>
      <c r="F830" s="11">
        <v>23</v>
      </c>
      <c r="G830" s="11">
        <v>13</v>
      </c>
      <c r="H830" s="11">
        <f t="shared" si="170"/>
        <v>10</v>
      </c>
      <c r="I830" s="18">
        <v>1</v>
      </c>
      <c r="J830" s="18">
        <v>0.70967741935483875</v>
      </c>
      <c r="K830" s="18">
        <v>1.2</v>
      </c>
      <c r="L830" s="6">
        <v>885125.5</v>
      </c>
      <c r="M830" s="6">
        <v>1240766.375</v>
      </c>
      <c r="N830" s="6">
        <v>921514.1875</v>
      </c>
      <c r="O830" s="6">
        <v>9473059</v>
      </c>
      <c r="P830" s="6">
        <v>3725.151123046875</v>
      </c>
      <c r="Q830" s="6">
        <v>60991.70703125</v>
      </c>
      <c r="R830" s="6">
        <v>4305660</v>
      </c>
      <c r="S830" s="6">
        <v>2864941</v>
      </c>
      <c r="T830" s="31">
        <f t="shared" si="171"/>
        <v>1975.5782920654297</v>
      </c>
      <c r="U830" s="37">
        <v>974.33333333333337</v>
      </c>
      <c r="V830">
        <f t="shared" si="172"/>
        <v>2.0276205529238074</v>
      </c>
      <c r="W830">
        <f t="shared" si="183"/>
        <v>-8.1466752638264084E-2</v>
      </c>
      <c r="X830" s="28">
        <v>833.98333333333335</v>
      </c>
      <c r="Y830">
        <f t="shared" si="173"/>
        <v>9.0844218268901808E-2</v>
      </c>
      <c r="Z830">
        <f t="shared" si="176"/>
        <v>0.12734516335956209</v>
      </c>
      <c r="AA830">
        <f t="shared" si="177"/>
        <v>9.4578945005131712E-2</v>
      </c>
      <c r="AB830">
        <f t="shared" si="178"/>
        <v>0.97226058843653773</v>
      </c>
      <c r="AC830">
        <f t="shared" si="179"/>
        <v>3.8232820284435934E-4</v>
      </c>
      <c r="AD830">
        <f t="shared" si="180"/>
        <v>6.2598399279421828E-3</v>
      </c>
      <c r="AE830">
        <f t="shared" si="181"/>
        <v>0.44190831337666775</v>
      </c>
      <c r="AF830">
        <f t="shared" si="182"/>
        <v>0.29404115634621963</v>
      </c>
      <c r="AG830">
        <f t="shared" si="174"/>
        <v>2.0276205529238069</v>
      </c>
      <c r="AH830">
        <v>0.34968559820630829</v>
      </c>
      <c r="AI830">
        <v>0.55496957403651115</v>
      </c>
      <c r="AJ830">
        <v>5.7878930895139341E-3</v>
      </c>
      <c r="AK830">
        <v>6.5939243749894641E-3</v>
      </c>
      <c r="AL830">
        <v>0.2219416075827875</v>
      </c>
    </row>
    <row r="831" spans="1:38" x14ac:dyDescent="0.25">
      <c r="A831">
        <v>27</v>
      </c>
      <c r="B831" s="5" t="s">
        <v>27</v>
      </c>
      <c r="C831" s="6" t="s">
        <v>5</v>
      </c>
      <c r="D831" s="6" t="s">
        <v>59</v>
      </c>
      <c r="E831" s="28">
        <v>11863.8</v>
      </c>
      <c r="F831" s="11">
        <v>24</v>
      </c>
      <c r="G831" s="11">
        <v>13</v>
      </c>
      <c r="H831" s="11">
        <f t="shared" si="170"/>
        <v>11</v>
      </c>
      <c r="I831" s="18">
        <v>1</v>
      </c>
      <c r="J831" s="18">
        <v>0.70967741935483875</v>
      </c>
      <c r="K831" s="18">
        <v>1.2</v>
      </c>
      <c r="L831" s="6">
        <v>879163.5</v>
      </c>
      <c r="M831" s="6">
        <v>1227816.25</v>
      </c>
      <c r="N831" s="6">
        <v>588760.875</v>
      </c>
      <c r="O831" s="6">
        <v>9411103</v>
      </c>
      <c r="P831" s="6">
        <v>3725.151123046875</v>
      </c>
      <c r="Q831" s="6">
        <v>40105.9921875</v>
      </c>
      <c r="R831" s="6">
        <v>4262846</v>
      </c>
      <c r="S831" s="6">
        <v>2843408.25</v>
      </c>
      <c r="T831" s="31">
        <f t="shared" si="171"/>
        <v>1925.6929018310548</v>
      </c>
      <c r="U831" s="37">
        <v>996.66666666666663</v>
      </c>
      <c r="V831">
        <f t="shared" si="172"/>
        <v>1.9321333463187842</v>
      </c>
      <c r="W831">
        <f t="shared" si="183"/>
        <v>-4.7093232738902577E-2</v>
      </c>
      <c r="X831" s="28">
        <v>895.84999999999991</v>
      </c>
      <c r="Y831">
        <f t="shared" si="173"/>
        <v>8.8210384615384621E-2</v>
      </c>
      <c r="Z831">
        <f t="shared" si="176"/>
        <v>0.12319226588628762</v>
      </c>
      <c r="AA831">
        <f t="shared" si="177"/>
        <v>5.9072997491638794E-2</v>
      </c>
      <c r="AB831">
        <f t="shared" si="178"/>
        <v>0.94425782608695663</v>
      </c>
      <c r="AC831">
        <f t="shared" si="179"/>
        <v>3.7376098224550585E-4</v>
      </c>
      <c r="AD831">
        <f t="shared" si="180"/>
        <v>4.0240125940635453E-3</v>
      </c>
      <c r="AE831">
        <f t="shared" si="181"/>
        <v>0.42771030100334445</v>
      </c>
      <c r="AF831">
        <f t="shared" si="182"/>
        <v>0.28529179765886287</v>
      </c>
      <c r="AG831">
        <f t="shared" si="174"/>
        <v>1.9321333463187842</v>
      </c>
      <c r="AH831">
        <v>0.34968559820630829</v>
      </c>
      <c r="AI831">
        <v>0.55496957403651115</v>
      </c>
      <c r="AJ831">
        <v>5.7878930895139341E-3</v>
      </c>
      <c r="AK831">
        <v>6.5939243749894641E-3</v>
      </c>
      <c r="AL831">
        <v>0.2219416075827875</v>
      </c>
    </row>
    <row r="832" spans="1:38" x14ac:dyDescent="0.25">
      <c r="A832">
        <v>27</v>
      </c>
      <c r="B832" s="5" t="s">
        <v>27</v>
      </c>
      <c r="C832" s="6" t="s">
        <v>5</v>
      </c>
      <c r="D832" s="6" t="s">
        <v>60</v>
      </c>
      <c r="E832" s="28">
        <v>11863.8</v>
      </c>
      <c r="F832" s="11">
        <v>25</v>
      </c>
      <c r="G832" s="11">
        <v>13</v>
      </c>
      <c r="H832" s="11">
        <f t="shared" si="170"/>
        <v>12</v>
      </c>
      <c r="I832" s="18">
        <v>1</v>
      </c>
      <c r="J832" s="18">
        <v>0.70967741935483875</v>
      </c>
      <c r="K832" s="18">
        <v>1.2</v>
      </c>
      <c r="L832" s="6">
        <v>877754.8125</v>
      </c>
      <c r="M832" s="6">
        <v>1234631.75</v>
      </c>
      <c r="N832" s="6">
        <v>327514.1875</v>
      </c>
      <c r="O832" s="6">
        <v>9858425</v>
      </c>
      <c r="P832" s="6">
        <v>3725.151123046875</v>
      </c>
      <c r="Q832" s="6">
        <v>19498.673828125</v>
      </c>
      <c r="R832" s="6">
        <v>4287100</v>
      </c>
      <c r="S832" s="6">
        <v>2759852.25</v>
      </c>
      <c r="T832" s="31">
        <f t="shared" si="171"/>
        <v>1936.8501824951172</v>
      </c>
      <c r="U832" s="37">
        <v>1022.6666666666666</v>
      </c>
      <c r="V832">
        <f t="shared" si="172"/>
        <v>1.8939212997018748</v>
      </c>
      <c r="W832">
        <f t="shared" si="183"/>
        <v>-1.9777127023718744E-2</v>
      </c>
      <c r="X832" s="28">
        <v>957.71666666666658</v>
      </c>
      <c r="Y832">
        <f t="shared" si="173"/>
        <v>8.5830001222294658E-2</v>
      </c>
      <c r="Z832">
        <f t="shared" si="176"/>
        <v>0.12072670306388528</v>
      </c>
      <c r="AA832">
        <f t="shared" si="177"/>
        <v>3.2025507252281621E-2</v>
      </c>
      <c r="AB832">
        <f t="shared" si="178"/>
        <v>0.96399201434159054</v>
      </c>
      <c r="AC832">
        <f t="shared" si="179"/>
        <v>3.6425858439180655E-4</v>
      </c>
      <c r="AD832">
        <f t="shared" si="180"/>
        <v>1.9066499831934486E-3</v>
      </c>
      <c r="AE832">
        <f t="shared" si="181"/>
        <v>0.41920795306388525</v>
      </c>
      <c r="AF832">
        <f t="shared" si="182"/>
        <v>0.26986821219035206</v>
      </c>
      <c r="AG832">
        <f t="shared" si="174"/>
        <v>1.8939212997018746</v>
      </c>
      <c r="AH832">
        <v>0.34968559820630829</v>
      </c>
      <c r="AI832">
        <v>0.55496957403651115</v>
      </c>
      <c r="AJ832">
        <v>5.7878930895139341E-3</v>
      </c>
      <c r="AK832">
        <v>6.5939243749894641E-3</v>
      </c>
      <c r="AL832">
        <v>0.2219416075827875</v>
      </c>
    </row>
    <row r="833" spans="1:38" x14ac:dyDescent="0.25">
      <c r="A833">
        <v>27</v>
      </c>
      <c r="B833" s="5" t="s">
        <v>27</v>
      </c>
      <c r="C833" s="6" t="s">
        <v>5</v>
      </c>
      <c r="D833" s="6" t="s">
        <v>61</v>
      </c>
      <c r="E833" s="28">
        <v>11863.8</v>
      </c>
      <c r="F833" s="11">
        <v>26</v>
      </c>
      <c r="G833" s="11">
        <v>13</v>
      </c>
      <c r="H833" s="11">
        <f t="shared" si="170"/>
        <v>13</v>
      </c>
      <c r="I833" s="18">
        <v>1</v>
      </c>
      <c r="J833" s="18">
        <v>0.70967741935483875</v>
      </c>
      <c r="K833" s="18">
        <v>1.2</v>
      </c>
      <c r="L833" s="6">
        <v>883479.4375</v>
      </c>
      <c r="M833" s="6">
        <v>1186422.625</v>
      </c>
      <c r="N833" s="6">
        <v>243830.28125</v>
      </c>
      <c r="O833" s="6">
        <v>11088869</v>
      </c>
      <c r="P833" s="6">
        <v>3725.151123046875</v>
      </c>
      <c r="Q833" s="6">
        <v>11619.0146484375</v>
      </c>
      <c r="R833" s="6">
        <v>4116695.25</v>
      </c>
      <c r="S833" s="6">
        <v>2704647.5</v>
      </c>
      <c r="T833" s="31">
        <f t="shared" si="171"/>
        <v>2023.9288259521484</v>
      </c>
      <c r="U833" s="37">
        <v>1048.6666666666667</v>
      </c>
      <c r="V833">
        <f t="shared" si="172"/>
        <v>1.9300020590770643</v>
      </c>
      <c r="W833">
        <f t="shared" si="183"/>
        <v>1.9050822957041056E-2</v>
      </c>
      <c r="X833" s="28">
        <v>1019.5833333333333</v>
      </c>
      <c r="Y833">
        <f t="shared" si="173"/>
        <v>8.4247880244755241E-2</v>
      </c>
      <c r="Z833">
        <f t="shared" si="176"/>
        <v>0.11313629609027334</v>
      </c>
      <c r="AA833">
        <f t="shared" si="177"/>
        <v>2.3251457207565163E-2</v>
      </c>
      <c r="AB833">
        <f t="shared" si="178"/>
        <v>1.0574255244755244</v>
      </c>
      <c r="AC833">
        <f t="shared" si="179"/>
        <v>3.5522737982010886E-4</v>
      </c>
      <c r="AD833">
        <f t="shared" si="180"/>
        <v>1.1079797821141925E-3</v>
      </c>
      <c r="AE833">
        <f t="shared" si="181"/>
        <v>0.39256470915448183</v>
      </c>
      <c r="AF833">
        <f t="shared" si="182"/>
        <v>0.25791298474253016</v>
      </c>
      <c r="AG833">
        <f t="shared" si="174"/>
        <v>1.9300020590770648</v>
      </c>
      <c r="AH833">
        <v>0.34968559820630829</v>
      </c>
      <c r="AI833">
        <v>0.55496957403651115</v>
      </c>
      <c r="AJ833">
        <v>5.7878930895139341E-3</v>
      </c>
      <c r="AK833">
        <v>6.5939243749894641E-3</v>
      </c>
      <c r="AL833">
        <v>0.2219416075827875</v>
      </c>
    </row>
    <row r="834" spans="1:38" x14ac:dyDescent="0.25">
      <c r="A834">
        <v>27</v>
      </c>
      <c r="B834" s="5" t="s">
        <v>27</v>
      </c>
      <c r="C834" s="6" t="s">
        <v>5</v>
      </c>
      <c r="D834" s="6" t="s">
        <v>62</v>
      </c>
      <c r="E834" s="28">
        <v>11863.8</v>
      </c>
      <c r="F834" s="11">
        <v>27</v>
      </c>
      <c r="G834" s="11">
        <v>13</v>
      </c>
      <c r="H834" s="11">
        <f t="shared" ref="H834:H897" si="184">F834-G834</f>
        <v>14</v>
      </c>
      <c r="I834" s="18">
        <v>1</v>
      </c>
      <c r="J834" s="18">
        <v>0.70967741935483875</v>
      </c>
      <c r="K834" s="18">
        <v>1.2</v>
      </c>
      <c r="L834" s="6">
        <v>864129</v>
      </c>
      <c r="M834" s="6">
        <v>1153495.875</v>
      </c>
      <c r="N834" s="6">
        <v>271016.9375</v>
      </c>
      <c r="O834" s="6">
        <v>11800123</v>
      </c>
      <c r="P834" s="6">
        <v>3725.151123046875</v>
      </c>
      <c r="Q834" s="6">
        <v>16276.859375</v>
      </c>
      <c r="R834" s="6">
        <v>4001226</v>
      </c>
      <c r="S834" s="6">
        <v>2732420</v>
      </c>
      <c r="T834" s="31">
        <f t="shared" ref="T834:T897" si="185">SUM(L834:S834)/10000</f>
        <v>2084.2412822998049</v>
      </c>
      <c r="U834" s="37">
        <v>1074.6666666666667</v>
      </c>
      <c r="V834">
        <f t="shared" si="172"/>
        <v>1.9394304736040366</v>
      </c>
      <c r="W834">
        <f t="shared" si="183"/>
        <v>4.885183662177545E-3</v>
      </c>
      <c r="X834" s="28">
        <v>1081.4499999999998</v>
      </c>
      <c r="Y834">
        <f t="shared" si="173"/>
        <v>8.0409026054590563E-2</v>
      </c>
      <c r="Z834">
        <f t="shared" si="176"/>
        <v>0.10733522410049627</v>
      </c>
      <c r="AA834">
        <f t="shared" si="177"/>
        <v>2.5218697658188582E-2</v>
      </c>
      <c r="AB834">
        <f t="shared" si="178"/>
        <v>1.0980263337468981</v>
      </c>
      <c r="AC834">
        <f t="shared" si="179"/>
        <v>3.4663316901800944E-4</v>
      </c>
      <c r="AD834">
        <f t="shared" si="180"/>
        <v>1.5145960956885855E-3</v>
      </c>
      <c r="AE834">
        <f t="shared" si="181"/>
        <v>0.37232251861042182</v>
      </c>
      <c r="AF834">
        <f t="shared" si="182"/>
        <v>0.25425744416873447</v>
      </c>
      <c r="AG834">
        <f t="shared" si="174"/>
        <v>1.9394304736040364</v>
      </c>
      <c r="AH834">
        <v>0.34968559820630829</v>
      </c>
      <c r="AI834">
        <v>0.55496957403651115</v>
      </c>
      <c r="AJ834">
        <v>5.7878930895139341E-3</v>
      </c>
      <c r="AK834">
        <v>6.5939243749894641E-3</v>
      </c>
      <c r="AL834">
        <v>0.2219416075827875</v>
      </c>
    </row>
    <row r="835" spans="1:38" x14ac:dyDescent="0.25">
      <c r="A835">
        <v>27</v>
      </c>
      <c r="B835" s="5" t="s">
        <v>27</v>
      </c>
      <c r="C835" s="6" t="s">
        <v>5</v>
      </c>
      <c r="D835" s="6" t="s">
        <v>63</v>
      </c>
      <c r="E835" s="28">
        <v>11863.8</v>
      </c>
      <c r="F835" s="11">
        <v>28</v>
      </c>
      <c r="G835" s="11">
        <v>13</v>
      </c>
      <c r="H835" s="11">
        <f t="shared" si="184"/>
        <v>15</v>
      </c>
      <c r="I835" s="18">
        <v>1</v>
      </c>
      <c r="J835" s="18">
        <v>0.70967741935483875</v>
      </c>
      <c r="K835" s="18">
        <v>1.2</v>
      </c>
      <c r="L835" s="6">
        <v>858395.875</v>
      </c>
      <c r="M835" s="6">
        <v>1203268</v>
      </c>
      <c r="N835" s="6">
        <v>486527.75</v>
      </c>
      <c r="O835" s="6">
        <v>10302029</v>
      </c>
      <c r="P835" s="6">
        <v>3725.151123046875</v>
      </c>
      <c r="Q835" s="6">
        <v>45144.7109375</v>
      </c>
      <c r="R835" s="6">
        <v>4175117.5</v>
      </c>
      <c r="S835" s="6">
        <v>2780199</v>
      </c>
      <c r="T835" s="31">
        <f t="shared" si="185"/>
        <v>1985.4406987060547</v>
      </c>
      <c r="U835" s="37">
        <v>1087.8888888888889</v>
      </c>
      <c r="V835">
        <f t="shared" ref="V835:V898" si="186">T835/U835</f>
        <v>1.8250399640848221</v>
      </c>
      <c r="W835">
        <f t="shared" si="183"/>
        <v>-5.8981495380261359E-2</v>
      </c>
      <c r="X835" s="28">
        <v>1143.3166666666666</v>
      </c>
      <c r="Y835">
        <f t="shared" si="173"/>
        <v>7.8904737769380034E-2</v>
      </c>
      <c r="Z835">
        <f t="shared" si="176"/>
        <v>0.11060578081911961</v>
      </c>
      <c r="AA835">
        <f t="shared" si="177"/>
        <v>4.4722191298130931E-2</v>
      </c>
      <c r="AB835">
        <f t="shared" si="178"/>
        <v>0.9469743744254927</v>
      </c>
      <c r="AC835">
        <f t="shared" si="179"/>
        <v>3.4242018289676107E-4</v>
      </c>
      <c r="AD835">
        <f t="shared" si="180"/>
        <v>4.1497538396231236E-3</v>
      </c>
      <c r="AE835">
        <f t="shared" si="181"/>
        <v>0.38378161066285366</v>
      </c>
      <c r="AF835">
        <f t="shared" si="182"/>
        <v>0.25555909508732505</v>
      </c>
      <c r="AG835">
        <f t="shared" si="174"/>
        <v>1.8250399640848216</v>
      </c>
      <c r="AH835">
        <v>0.34968559820630829</v>
      </c>
      <c r="AI835">
        <v>0.55496957403651115</v>
      </c>
      <c r="AJ835">
        <v>5.7878930895139341E-3</v>
      </c>
      <c r="AK835">
        <v>6.5939243749894641E-3</v>
      </c>
      <c r="AL835">
        <v>0.2219416075827875</v>
      </c>
    </row>
    <row r="836" spans="1:38" x14ac:dyDescent="0.25">
      <c r="A836">
        <v>27</v>
      </c>
      <c r="B836" s="5" t="s">
        <v>27</v>
      </c>
      <c r="C836" s="6" t="s">
        <v>5</v>
      </c>
      <c r="D836" s="6" t="s">
        <v>64</v>
      </c>
      <c r="E836" s="28">
        <v>11863.8</v>
      </c>
      <c r="F836" s="11">
        <v>29</v>
      </c>
      <c r="G836" s="11">
        <v>13</v>
      </c>
      <c r="H836" s="11">
        <f t="shared" si="184"/>
        <v>16</v>
      </c>
      <c r="I836" s="18">
        <v>1</v>
      </c>
      <c r="J836" s="18">
        <v>0.70967741935483875</v>
      </c>
      <c r="K836" s="18">
        <v>1.2</v>
      </c>
      <c r="L836" s="6">
        <v>884844.6875</v>
      </c>
      <c r="M836" s="6">
        <v>1236934</v>
      </c>
      <c r="N836" s="6">
        <v>1107997.625</v>
      </c>
      <c r="O836" s="6">
        <v>10138465</v>
      </c>
      <c r="P836" s="6">
        <v>3725.151123046875</v>
      </c>
      <c r="Q836" s="6">
        <v>62281.6953125</v>
      </c>
      <c r="R836" s="6">
        <v>4292382</v>
      </c>
      <c r="S836" s="6">
        <v>2876751</v>
      </c>
      <c r="T836" s="31">
        <f t="shared" si="185"/>
        <v>2060.3381158935549</v>
      </c>
      <c r="U836" s="37">
        <v>1101.1111111111111</v>
      </c>
      <c r="V836">
        <f t="shared" si="186"/>
        <v>1.8711446057560035</v>
      </c>
      <c r="W836">
        <f t="shared" si="183"/>
        <v>2.5262264157761012E-2</v>
      </c>
      <c r="X836" s="28">
        <v>1205.1833333333332</v>
      </c>
      <c r="Y836">
        <f t="shared" ref="Y836:Y899" si="187">L836/$U836/10000</f>
        <v>8.0359255171543895E-2</v>
      </c>
      <c r="Z836">
        <f t="shared" si="176"/>
        <v>0.11233507568113019</v>
      </c>
      <c r="AA836">
        <f t="shared" si="177"/>
        <v>0.10062541498486378</v>
      </c>
      <c r="AB836">
        <f t="shared" si="178"/>
        <v>0.92074858728557007</v>
      </c>
      <c r="AC836">
        <f t="shared" si="179"/>
        <v>3.3830837646238015E-4</v>
      </c>
      <c r="AD836">
        <f t="shared" si="180"/>
        <v>5.6562589082996976E-3</v>
      </c>
      <c r="AE836">
        <f t="shared" si="181"/>
        <v>0.38982278506559032</v>
      </c>
      <c r="AF836">
        <f t="shared" si="182"/>
        <v>0.26125892028254288</v>
      </c>
      <c r="AG836">
        <f t="shared" ref="AG836:AG899" si="188">SUM(Y836:AF836)</f>
        <v>1.8711446057560033</v>
      </c>
      <c r="AH836">
        <v>0.34968559820630829</v>
      </c>
      <c r="AI836">
        <v>0.55496957403651115</v>
      </c>
      <c r="AJ836">
        <v>5.7878930895139341E-3</v>
      </c>
      <c r="AK836">
        <v>6.5939243749894641E-3</v>
      </c>
      <c r="AL836">
        <v>0.2219416075827875</v>
      </c>
    </row>
    <row r="837" spans="1:38" x14ac:dyDescent="0.25">
      <c r="A837">
        <v>27</v>
      </c>
      <c r="B837" s="5" t="s">
        <v>27</v>
      </c>
      <c r="C837" s="6" t="s">
        <v>5</v>
      </c>
      <c r="D837" s="6" t="s">
        <v>65</v>
      </c>
      <c r="E837" s="28">
        <v>11863.8</v>
      </c>
      <c r="F837" s="11">
        <v>30</v>
      </c>
      <c r="G837" s="11">
        <v>13</v>
      </c>
      <c r="H837" s="11">
        <f t="shared" si="184"/>
        <v>17</v>
      </c>
      <c r="I837" s="18">
        <v>1</v>
      </c>
      <c r="J837" s="18">
        <v>0.70967741935483875</v>
      </c>
      <c r="K837" s="18">
        <v>1.2</v>
      </c>
      <c r="L837" s="6">
        <v>880078.6875</v>
      </c>
      <c r="M837" s="6">
        <v>1231449.625</v>
      </c>
      <c r="N837" s="6">
        <v>1637004.5</v>
      </c>
      <c r="O837" s="6">
        <v>10828654</v>
      </c>
      <c r="P837" s="6">
        <v>3725.151123046875</v>
      </c>
      <c r="Q837" s="6">
        <v>41141.24609375</v>
      </c>
      <c r="R837" s="6">
        <v>4276362.5</v>
      </c>
      <c r="S837" s="6">
        <v>2840879.25</v>
      </c>
      <c r="T837" s="31">
        <f t="shared" si="185"/>
        <v>2173.9294959716799</v>
      </c>
      <c r="U837" s="37">
        <v>1114.3333333333333</v>
      </c>
      <c r="V837">
        <f t="shared" si="186"/>
        <v>1.950878997282393</v>
      </c>
      <c r="W837">
        <f t="shared" si="183"/>
        <v>4.2612629339876279E-2</v>
      </c>
      <c r="X837" s="28">
        <v>1267.0499999999997</v>
      </c>
      <c r="Y837">
        <f t="shared" si="187"/>
        <v>7.8978045542925521E-2</v>
      </c>
      <c r="Z837">
        <f t="shared" si="176"/>
        <v>0.11050998728686809</v>
      </c>
      <c r="AA837">
        <f t="shared" si="177"/>
        <v>0.14690438229135508</v>
      </c>
      <c r="AB837">
        <f t="shared" si="178"/>
        <v>0.97176075381393967</v>
      </c>
      <c r="AC837">
        <f t="shared" si="179"/>
        <v>3.3429414804488864E-4</v>
      </c>
      <c r="AD837">
        <f t="shared" si="180"/>
        <v>3.6920053329718818E-3</v>
      </c>
      <c r="AE837">
        <f t="shared" si="181"/>
        <v>0.38375972180676038</v>
      </c>
      <c r="AF837">
        <f t="shared" si="182"/>
        <v>0.2549398070595274</v>
      </c>
      <c r="AG837">
        <f t="shared" si="188"/>
        <v>1.950878997282393</v>
      </c>
      <c r="AH837">
        <v>0.34968559820630829</v>
      </c>
      <c r="AI837">
        <v>0.55496957403651115</v>
      </c>
      <c r="AJ837">
        <v>5.7878930895139341E-3</v>
      </c>
      <c r="AK837">
        <v>6.5939243749894641E-3</v>
      </c>
      <c r="AL837">
        <v>0.2219416075827875</v>
      </c>
    </row>
    <row r="838" spans="1:38" x14ac:dyDescent="0.25">
      <c r="A838">
        <v>27</v>
      </c>
      <c r="B838" s="5" t="s">
        <v>27</v>
      </c>
      <c r="C838" s="6" t="s">
        <v>5</v>
      </c>
      <c r="D838" s="6" t="s">
        <v>66</v>
      </c>
      <c r="E838" s="28">
        <v>11863.8</v>
      </c>
      <c r="F838" s="11">
        <v>31</v>
      </c>
      <c r="G838" s="11">
        <v>13</v>
      </c>
      <c r="H838" s="11">
        <f t="shared" si="184"/>
        <v>18</v>
      </c>
      <c r="I838" s="18">
        <v>1</v>
      </c>
      <c r="J838" s="18">
        <v>0.70967741935483875</v>
      </c>
      <c r="K838" s="18">
        <v>1.2</v>
      </c>
      <c r="L838" s="6">
        <v>879958.625</v>
      </c>
      <c r="M838" s="6">
        <v>1242255.5</v>
      </c>
      <c r="N838" s="6">
        <v>2483189</v>
      </c>
      <c r="O838" s="6">
        <v>12078924</v>
      </c>
      <c r="P838" s="6">
        <v>3726.939453125</v>
      </c>
      <c r="Q838" s="6">
        <v>19198.34375</v>
      </c>
      <c r="R838" s="6">
        <v>4314793</v>
      </c>
      <c r="S838" s="6">
        <v>2738964.25</v>
      </c>
      <c r="T838" s="31">
        <f t="shared" si="185"/>
        <v>2376.1009658203125</v>
      </c>
      <c r="U838" s="37">
        <v>1127.5555555555554</v>
      </c>
      <c r="V838">
        <f t="shared" si="186"/>
        <v>2.1073027879762334</v>
      </c>
      <c r="W838">
        <f t="shared" si="183"/>
        <v>8.0181185461395257E-2</v>
      </c>
      <c r="X838" s="28">
        <v>1328.9166666666665</v>
      </c>
      <c r="Y838">
        <f t="shared" si="187"/>
        <v>7.804126552029958E-2</v>
      </c>
      <c r="Z838">
        <f t="shared" si="176"/>
        <v>0.11017244284588099</v>
      </c>
      <c r="AA838">
        <f t="shared" si="177"/>
        <v>0.22022764091446592</v>
      </c>
      <c r="AB838">
        <f t="shared" si="178"/>
        <v>1.0712486795427671</v>
      </c>
      <c r="AC838">
        <f t="shared" si="179"/>
        <v>3.3053266730513403E-4</v>
      </c>
      <c r="AD838">
        <f t="shared" si="180"/>
        <v>1.7026516924517146E-3</v>
      </c>
      <c r="AE838">
        <f t="shared" si="181"/>
        <v>0.38266788529759566</v>
      </c>
      <c r="AF838">
        <f t="shared" si="182"/>
        <v>0.24291168949546713</v>
      </c>
      <c r="AG838">
        <f t="shared" si="188"/>
        <v>2.1073027879762334</v>
      </c>
      <c r="AH838">
        <v>0.34968559820630829</v>
      </c>
      <c r="AI838">
        <v>0.55496957403651115</v>
      </c>
      <c r="AJ838">
        <v>5.7878930895139341E-3</v>
      </c>
      <c r="AK838">
        <v>6.5939243749894641E-3</v>
      </c>
      <c r="AL838">
        <v>0.2219416075827875</v>
      </c>
    </row>
    <row r="839" spans="1:38" x14ac:dyDescent="0.25">
      <c r="A839">
        <v>28</v>
      </c>
      <c r="B839" s="5" t="s">
        <v>34</v>
      </c>
      <c r="C839" s="6" t="s">
        <v>5</v>
      </c>
      <c r="D839" s="6" t="s">
        <v>36</v>
      </c>
      <c r="E839" s="28">
        <v>3346.6341000000002</v>
      </c>
      <c r="F839" s="11">
        <v>1</v>
      </c>
      <c r="G839" s="11">
        <v>19</v>
      </c>
      <c r="H839" s="18">
        <f t="shared" si="184"/>
        <v>-18</v>
      </c>
      <c r="I839" s="18">
        <v>1</v>
      </c>
      <c r="J839" s="18">
        <v>0.99853372434017595</v>
      </c>
      <c r="K839" s="18">
        <v>0.6</v>
      </c>
      <c r="L839" s="14">
        <v>1090506.375</v>
      </c>
      <c r="M839" s="14">
        <v>1810722.375</v>
      </c>
      <c r="N839" s="14">
        <v>340748.15625</v>
      </c>
      <c r="O839" s="14">
        <v>1515407.25</v>
      </c>
      <c r="P839" s="14">
        <v>683.69854736328102</v>
      </c>
      <c r="Q839" s="14">
        <v>2299.10668945312</v>
      </c>
      <c r="R839" s="14">
        <v>158335.421875</v>
      </c>
      <c r="S839" s="14">
        <v>2002781.875</v>
      </c>
      <c r="T839" s="31">
        <f t="shared" si="185"/>
        <v>692.14842583618167</v>
      </c>
      <c r="U839" s="37"/>
      <c r="X839" s="28">
        <v>266.45458333333335</v>
      </c>
      <c r="Y839" t="e">
        <f t="shared" si="187"/>
        <v>#DIV/0!</v>
      </c>
      <c r="Z839" t="e">
        <f t="shared" si="176"/>
        <v>#DIV/0!</v>
      </c>
      <c r="AA839" t="e">
        <f t="shared" si="177"/>
        <v>#DIV/0!</v>
      </c>
      <c r="AB839" t="e">
        <f t="shared" si="178"/>
        <v>#DIV/0!</v>
      </c>
      <c r="AC839" t="e">
        <f t="shared" si="179"/>
        <v>#DIV/0!</v>
      </c>
      <c r="AD839" t="e">
        <f t="shared" si="180"/>
        <v>#DIV/0!</v>
      </c>
      <c r="AE839" t="e">
        <f t="shared" si="181"/>
        <v>#DIV/0!</v>
      </c>
      <c r="AF839" t="e">
        <f t="shared" si="182"/>
        <v>#DIV/0!</v>
      </c>
      <c r="AG839" t="e">
        <f t="shared" si="188"/>
        <v>#DIV/0!</v>
      </c>
      <c r="AH839">
        <v>0.41525304484287662</v>
      </c>
      <c r="AI839">
        <v>0.60942760942760943</v>
      </c>
      <c r="AJ839">
        <v>8.5265564913076489E-4</v>
      </c>
      <c r="AK839">
        <v>4.1381279178384035E-3</v>
      </c>
      <c r="AL839">
        <v>0.17727498220563812</v>
      </c>
    </row>
    <row r="840" spans="1:38" x14ac:dyDescent="0.25">
      <c r="A840">
        <v>28</v>
      </c>
      <c r="B840" s="5" t="s">
        <v>34</v>
      </c>
      <c r="C840" s="6" t="s">
        <v>5</v>
      </c>
      <c r="D840" s="6" t="s">
        <v>37</v>
      </c>
      <c r="E840" s="28">
        <v>3346.6341000000002</v>
      </c>
      <c r="F840" s="11">
        <v>2</v>
      </c>
      <c r="G840" s="11">
        <v>19</v>
      </c>
      <c r="H840" s="11">
        <f t="shared" si="184"/>
        <v>-17</v>
      </c>
      <c r="I840" s="18">
        <v>1</v>
      </c>
      <c r="J840" s="18">
        <v>0.99853372434017595</v>
      </c>
      <c r="K840" s="18">
        <v>0.6</v>
      </c>
      <c r="L840" s="6">
        <v>1184504.875</v>
      </c>
      <c r="M840" s="6">
        <v>1737692.125</v>
      </c>
      <c r="N840" s="6">
        <v>340748.15625</v>
      </c>
      <c r="O840" s="6">
        <v>1454899.875</v>
      </c>
      <c r="P840" s="6">
        <v>683.69854736328102</v>
      </c>
      <c r="Q840" s="6">
        <v>1364.02124023438</v>
      </c>
      <c r="R840" s="6">
        <v>159808.265625</v>
      </c>
      <c r="S840" s="6">
        <v>1971930.625</v>
      </c>
      <c r="T840" s="31">
        <f t="shared" si="185"/>
        <v>685.16316416625978</v>
      </c>
      <c r="U840" s="37">
        <v>282.83333333333331</v>
      </c>
      <c r="V840">
        <f t="shared" si="186"/>
        <v>2.4224979286962633</v>
      </c>
      <c r="W840" t="e">
        <f>(V840-V839)/V839</f>
        <v>#DIV/0!</v>
      </c>
      <c r="X840" s="28">
        <v>297.72874999999999</v>
      </c>
      <c r="Y840">
        <f t="shared" si="187"/>
        <v>0.41879960223924573</v>
      </c>
      <c r="Z840">
        <f t="shared" si="176"/>
        <v>0.61438731585150275</v>
      </c>
      <c r="AA840">
        <f t="shared" si="177"/>
        <v>0.12047666101944608</v>
      </c>
      <c r="AB840">
        <f t="shared" si="178"/>
        <v>0.51440184148497359</v>
      </c>
      <c r="AC840">
        <f t="shared" si="179"/>
        <v>2.4173195546138397E-4</v>
      </c>
      <c r="AD840">
        <f t="shared" si="180"/>
        <v>4.8227032654132477E-4</v>
      </c>
      <c r="AE840">
        <f t="shared" si="181"/>
        <v>5.6502627799057167E-2</v>
      </c>
      <c r="AF840">
        <f t="shared" si="182"/>
        <v>0.69720587802003542</v>
      </c>
      <c r="AG840">
        <f t="shared" si="188"/>
        <v>2.4224979286962633</v>
      </c>
      <c r="AH840">
        <v>0.41525304484287662</v>
      </c>
      <c r="AI840">
        <v>0.60942760942760943</v>
      </c>
      <c r="AJ840">
        <v>8.5265564913076489E-4</v>
      </c>
      <c r="AK840">
        <v>4.1381279178384035E-3</v>
      </c>
      <c r="AL840">
        <v>0.17727498220563812</v>
      </c>
    </row>
    <row r="841" spans="1:38" x14ac:dyDescent="0.25">
      <c r="A841">
        <v>28</v>
      </c>
      <c r="B841" s="5" t="s">
        <v>34</v>
      </c>
      <c r="C841" s="6" t="s">
        <v>5</v>
      </c>
      <c r="D841" s="6" t="s">
        <v>38</v>
      </c>
      <c r="E841" s="28">
        <v>3346.6341000000002</v>
      </c>
      <c r="F841" s="11">
        <v>3</v>
      </c>
      <c r="G841" s="11">
        <v>19</v>
      </c>
      <c r="H841" s="11">
        <f t="shared" si="184"/>
        <v>-16</v>
      </c>
      <c r="I841" s="18">
        <v>1</v>
      </c>
      <c r="J841" s="18">
        <v>0.99853372434017595</v>
      </c>
      <c r="K841" s="18">
        <v>0.6</v>
      </c>
      <c r="L841" s="6">
        <v>1184044.125</v>
      </c>
      <c r="M841" s="6">
        <v>1686752.5</v>
      </c>
      <c r="N841" s="6">
        <v>340748.15625</v>
      </c>
      <c r="O841" s="6">
        <v>1413526.75</v>
      </c>
      <c r="P841" s="6">
        <v>683.69854736328102</v>
      </c>
      <c r="Q841" s="6">
        <v>1912.30798339844</v>
      </c>
      <c r="R841" s="6">
        <v>154895.9375</v>
      </c>
      <c r="S841" s="6">
        <v>1987449.875</v>
      </c>
      <c r="T841" s="31">
        <f t="shared" si="185"/>
        <v>677.00133502807614</v>
      </c>
      <c r="U841" s="37">
        <v>289.33333333333331</v>
      </c>
      <c r="V841">
        <f t="shared" si="186"/>
        <v>2.3398663653044109</v>
      </c>
      <c r="W841">
        <f t="shared" ref="W841:W869" si="189">(V841-V840)/V840</f>
        <v>-3.4110065652903546E-2</v>
      </c>
      <c r="X841" s="28">
        <v>329.00291666666664</v>
      </c>
      <c r="Y841">
        <f t="shared" si="187"/>
        <v>0.40923184043778804</v>
      </c>
      <c r="Z841">
        <f t="shared" si="176"/>
        <v>0.58297897465437787</v>
      </c>
      <c r="AA841">
        <f t="shared" si="177"/>
        <v>0.11777010008640555</v>
      </c>
      <c r="AB841">
        <f t="shared" si="178"/>
        <v>0.48854611175115215</v>
      </c>
      <c r="AC841">
        <f t="shared" si="179"/>
        <v>2.3630134125459025E-4</v>
      </c>
      <c r="AD841">
        <f t="shared" si="180"/>
        <v>6.609359389625945E-4</v>
      </c>
      <c r="AE841">
        <f t="shared" si="181"/>
        <v>5.3535462269585256E-2</v>
      </c>
      <c r="AF841">
        <f t="shared" si="182"/>
        <v>0.68690663882488479</v>
      </c>
      <c r="AG841">
        <f t="shared" si="188"/>
        <v>2.3398663653044105</v>
      </c>
      <c r="AH841">
        <v>0.41525304484287662</v>
      </c>
      <c r="AI841">
        <v>0.60942760942760943</v>
      </c>
      <c r="AJ841">
        <v>8.5265564913076489E-4</v>
      </c>
      <c r="AK841">
        <v>4.1381279178384035E-3</v>
      </c>
      <c r="AL841">
        <v>0.17727498220563812</v>
      </c>
    </row>
    <row r="842" spans="1:38" x14ac:dyDescent="0.25">
      <c r="A842">
        <v>28</v>
      </c>
      <c r="B842" s="5" t="s">
        <v>34</v>
      </c>
      <c r="C842" s="6" t="s">
        <v>5</v>
      </c>
      <c r="D842" s="6" t="s">
        <v>39</v>
      </c>
      <c r="E842" s="28">
        <v>3346.6341000000002</v>
      </c>
      <c r="F842" s="11">
        <v>4</v>
      </c>
      <c r="G842" s="11">
        <v>19</v>
      </c>
      <c r="H842" s="11">
        <f t="shared" si="184"/>
        <v>-15</v>
      </c>
      <c r="I842" s="18">
        <v>1</v>
      </c>
      <c r="J842" s="18">
        <v>0.99853372434017595</v>
      </c>
      <c r="K842" s="18">
        <v>0.6</v>
      </c>
      <c r="L842" s="6">
        <v>1125371.75</v>
      </c>
      <c r="M842" s="6">
        <v>1761235.5</v>
      </c>
      <c r="N842" s="6">
        <v>340748.15625</v>
      </c>
      <c r="O842" s="6">
        <v>1475240.25</v>
      </c>
      <c r="P842" s="6">
        <v>683.69854736328102</v>
      </c>
      <c r="Q842" s="6">
        <v>5320.3544921875</v>
      </c>
      <c r="R842" s="6">
        <v>153385.90625</v>
      </c>
      <c r="S842" s="6">
        <v>2014150.625</v>
      </c>
      <c r="T842" s="31">
        <f t="shared" si="185"/>
        <v>687.61362405395505</v>
      </c>
      <c r="U842" s="37">
        <v>302.33333333333331</v>
      </c>
      <c r="V842">
        <f t="shared" si="186"/>
        <v>2.2743559781277458</v>
      </c>
      <c r="W842">
        <f t="shared" si="189"/>
        <v>-2.7997490860185253E-2</v>
      </c>
      <c r="X842" s="28">
        <v>360.27708333333334</v>
      </c>
      <c r="Y842">
        <f t="shared" si="187"/>
        <v>0.37222880374862183</v>
      </c>
      <c r="Z842">
        <f t="shared" si="176"/>
        <v>0.58254757442116867</v>
      </c>
      <c r="AA842">
        <f t="shared" si="177"/>
        <v>0.11270611562844542</v>
      </c>
      <c r="AB842">
        <f t="shared" si="178"/>
        <v>0.48795157111356119</v>
      </c>
      <c r="AC842">
        <f t="shared" si="179"/>
        <v>2.2614064411133886E-4</v>
      </c>
      <c r="AD842">
        <f t="shared" si="180"/>
        <v>1.7597644406353364E-3</v>
      </c>
      <c r="AE842">
        <f t="shared" si="181"/>
        <v>5.0734037348401324E-2</v>
      </c>
      <c r="AF842">
        <f t="shared" si="182"/>
        <v>0.66620197078280052</v>
      </c>
      <c r="AG842">
        <f t="shared" si="188"/>
        <v>2.2743559781277454</v>
      </c>
      <c r="AH842">
        <v>0.41525304484287662</v>
      </c>
      <c r="AI842">
        <v>0.60942760942760943</v>
      </c>
      <c r="AJ842">
        <v>8.5265564913076489E-4</v>
      </c>
      <c r="AK842">
        <v>4.1381279178384035E-3</v>
      </c>
      <c r="AL842">
        <v>0.17727498220563812</v>
      </c>
    </row>
    <row r="843" spans="1:38" x14ac:dyDescent="0.25">
      <c r="A843">
        <v>28</v>
      </c>
      <c r="B843" s="5" t="s">
        <v>34</v>
      </c>
      <c r="C843" s="6" t="s">
        <v>5</v>
      </c>
      <c r="D843" s="6" t="s">
        <v>40</v>
      </c>
      <c r="E843" s="28">
        <v>3346.6341000000002</v>
      </c>
      <c r="F843" s="11">
        <v>5</v>
      </c>
      <c r="G843" s="11">
        <v>19</v>
      </c>
      <c r="H843" s="11">
        <f t="shared" si="184"/>
        <v>-14</v>
      </c>
      <c r="I843" s="18">
        <v>1</v>
      </c>
      <c r="J843" s="18">
        <v>0.99853372434017595</v>
      </c>
      <c r="K843" s="18">
        <v>0.6</v>
      </c>
      <c r="L843" s="6">
        <v>1275278.125</v>
      </c>
      <c r="M843" s="6">
        <v>1814135</v>
      </c>
      <c r="N843" s="6">
        <v>340748.15625</v>
      </c>
      <c r="O843" s="6">
        <v>1517434.25</v>
      </c>
      <c r="P843" s="6">
        <v>683.69854736328102</v>
      </c>
      <c r="Q843" s="6">
        <v>7339.26025390625</v>
      </c>
      <c r="R843" s="6">
        <v>160001.8125</v>
      </c>
      <c r="S843" s="6">
        <v>2068115.25</v>
      </c>
      <c r="T843" s="31">
        <f t="shared" si="185"/>
        <v>718.37355525512692</v>
      </c>
      <c r="U843" s="37">
        <v>315.33333333333331</v>
      </c>
      <c r="V843">
        <f t="shared" si="186"/>
        <v>2.2781402386526226</v>
      </c>
      <c r="W843">
        <f t="shared" si="189"/>
        <v>1.6638822423884598E-3</v>
      </c>
      <c r="X843" s="28">
        <v>391.55124999999998</v>
      </c>
      <c r="Y843">
        <f t="shared" si="187"/>
        <v>0.40442223837209301</v>
      </c>
      <c r="Z843">
        <f t="shared" si="176"/>
        <v>0.57530708245243134</v>
      </c>
      <c r="AA843">
        <f t="shared" si="177"/>
        <v>0.1080596690010571</v>
      </c>
      <c r="AB843">
        <f t="shared" si="178"/>
        <v>0.48121593551797043</v>
      </c>
      <c r="AC843">
        <f t="shared" si="179"/>
        <v>2.1681772115114621E-4</v>
      </c>
      <c r="AD843">
        <f t="shared" si="180"/>
        <v>2.3274609684692128E-3</v>
      </c>
      <c r="AE843">
        <f t="shared" si="181"/>
        <v>5.0740532505285416E-2</v>
      </c>
      <c r="AF843">
        <f t="shared" si="182"/>
        <v>0.65585050211416496</v>
      </c>
      <c r="AG843">
        <f t="shared" si="188"/>
        <v>2.2781402386526226</v>
      </c>
      <c r="AH843">
        <v>0.41525304484287662</v>
      </c>
      <c r="AI843">
        <v>0.60942760942760943</v>
      </c>
      <c r="AJ843">
        <v>8.5265564913076489E-4</v>
      </c>
      <c r="AK843">
        <v>4.1381279178384035E-3</v>
      </c>
      <c r="AL843">
        <v>0.17727498220563812</v>
      </c>
    </row>
    <row r="844" spans="1:38" x14ac:dyDescent="0.25">
      <c r="A844">
        <v>28</v>
      </c>
      <c r="B844" s="5" t="s">
        <v>34</v>
      </c>
      <c r="C844" s="6" t="s">
        <v>5</v>
      </c>
      <c r="D844" s="6" t="s">
        <v>41</v>
      </c>
      <c r="E844" s="28">
        <v>3346.6341000000002</v>
      </c>
      <c r="F844" s="11">
        <v>6</v>
      </c>
      <c r="G844" s="11">
        <v>19</v>
      </c>
      <c r="H844" s="11">
        <f t="shared" si="184"/>
        <v>-13</v>
      </c>
      <c r="I844" s="18">
        <v>1</v>
      </c>
      <c r="J844" s="18">
        <v>0.99853372434017595</v>
      </c>
      <c r="K844" s="18">
        <v>0.6</v>
      </c>
      <c r="L844" s="6">
        <v>1347312.875</v>
      </c>
      <c r="M844" s="6">
        <v>1808882.625</v>
      </c>
      <c r="N844" s="6">
        <v>340748.15625</v>
      </c>
      <c r="O844" s="6">
        <v>1512207.5</v>
      </c>
      <c r="P844" s="6">
        <v>683.69854736328102</v>
      </c>
      <c r="Q844" s="6">
        <v>4846.4228515625</v>
      </c>
      <c r="R844" s="6">
        <v>158706.40625</v>
      </c>
      <c r="S844" s="6">
        <v>2048059.875</v>
      </c>
      <c r="T844" s="31">
        <f t="shared" si="185"/>
        <v>722.14475588989262</v>
      </c>
      <c r="U844" s="37">
        <v>328.33333333333331</v>
      </c>
      <c r="V844">
        <f t="shared" si="186"/>
        <v>2.1994256524565259</v>
      </c>
      <c r="W844">
        <f t="shared" si="189"/>
        <v>-3.4552124957264035E-2</v>
      </c>
      <c r="X844" s="28">
        <v>422.82541666666663</v>
      </c>
      <c r="Y844">
        <f t="shared" si="187"/>
        <v>0.41034909898477162</v>
      </c>
      <c r="Z844">
        <f t="shared" si="176"/>
        <v>0.55092871827411172</v>
      </c>
      <c r="AA844">
        <f t="shared" si="177"/>
        <v>0.10378116434010153</v>
      </c>
      <c r="AB844">
        <f t="shared" si="178"/>
        <v>0.46057081218274115</v>
      </c>
      <c r="AC844">
        <f t="shared" si="179"/>
        <v>2.08233060110644E-4</v>
      </c>
      <c r="AD844">
        <f t="shared" si="180"/>
        <v>1.4760678735723351E-3</v>
      </c>
      <c r="AE844">
        <f t="shared" si="181"/>
        <v>4.8336976522842648E-2</v>
      </c>
      <c r="AF844">
        <f t="shared" si="182"/>
        <v>0.62377458121827412</v>
      </c>
      <c r="AG844">
        <f t="shared" si="188"/>
        <v>2.1994256524565259</v>
      </c>
      <c r="AH844">
        <v>0.41525304484287662</v>
      </c>
      <c r="AI844">
        <v>0.60942760942760943</v>
      </c>
      <c r="AJ844">
        <v>8.5265564913076489E-4</v>
      </c>
      <c r="AK844">
        <v>4.1381279178384035E-3</v>
      </c>
      <c r="AL844">
        <v>0.17727498220563812</v>
      </c>
    </row>
    <row r="845" spans="1:38" x14ac:dyDescent="0.25">
      <c r="A845">
        <v>28</v>
      </c>
      <c r="B845" s="5" t="s">
        <v>34</v>
      </c>
      <c r="C845" s="6" t="s">
        <v>5</v>
      </c>
      <c r="D845" s="6" t="s">
        <v>42</v>
      </c>
      <c r="E845" s="28">
        <v>3346.6341000000002</v>
      </c>
      <c r="F845" s="11">
        <v>7</v>
      </c>
      <c r="G845" s="11">
        <v>19</v>
      </c>
      <c r="H845" s="11">
        <f t="shared" si="184"/>
        <v>-12</v>
      </c>
      <c r="I845" s="18">
        <v>1</v>
      </c>
      <c r="J845" s="18">
        <v>0.99853372434017595</v>
      </c>
      <c r="K845" s="18">
        <v>0.6</v>
      </c>
      <c r="L845" s="6">
        <v>1645589.375</v>
      </c>
      <c r="M845" s="6">
        <v>1826302.25</v>
      </c>
      <c r="N845" s="6">
        <v>340911.71875</v>
      </c>
      <c r="O845" s="6">
        <v>1526028.625</v>
      </c>
      <c r="P845" s="6">
        <v>684.02679443359398</v>
      </c>
      <c r="Q845" s="6">
        <v>2269.4775390625</v>
      </c>
      <c r="R845" s="6">
        <v>158569.859375</v>
      </c>
      <c r="S845" s="6">
        <v>1991311.125</v>
      </c>
      <c r="T845" s="31">
        <f t="shared" si="185"/>
        <v>749.16664574584956</v>
      </c>
      <c r="U845" s="37">
        <v>341.33333333333331</v>
      </c>
      <c r="V845">
        <f t="shared" si="186"/>
        <v>2.1948241574585436</v>
      </c>
      <c r="W845">
        <f t="shared" si="189"/>
        <v>-2.0921348229447322E-3</v>
      </c>
      <c r="X845" s="28">
        <v>454.09958333333333</v>
      </c>
      <c r="Y845">
        <f t="shared" si="187"/>
        <v>0.48210626220703123</v>
      </c>
      <c r="Z845">
        <f t="shared" si="176"/>
        <v>0.53504948730468749</v>
      </c>
      <c r="AA845">
        <f t="shared" si="177"/>
        <v>9.9876480102539064E-2</v>
      </c>
      <c r="AB845">
        <f t="shared" si="178"/>
        <v>0.44707869873046874</v>
      </c>
      <c r="AC845">
        <f t="shared" si="179"/>
        <v>2.0039847493171702E-4</v>
      </c>
      <c r="AD845">
        <f t="shared" si="180"/>
        <v>6.6488599777221678E-4</v>
      </c>
      <c r="AE845">
        <f t="shared" si="181"/>
        <v>4.6456013488769529E-2</v>
      </c>
      <c r="AF845">
        <f t="shared" si="182"/>
        <v>0.58339193115234378</v>
      </c>
      <c r="AG845">
        <f t="shared" si="188"/>
        <v>2.1948241574585436</v>
      </c>
      <c r="AH845">
        <v>0.41525304484287662</v>
      </c>
      <c r="AI845">
        <v>0.60942760942760943</v>
      </c>
      <c r="AJ845">
        <v>8.5265564913076489E-4</v>
      </c>
      <c r="AK845">
        <v>4.1381279178384035E-3</v>
      </c>
      <c r="AL845">
        <v>0.17727498220563812</v>
      </c>
    </row>
    <row r="846" spans="1:38" x14ac:dyDescent="0.25">
      <c r="A846">
        <v>28</v>
      </c>
      <c r="B846" s="5" t="s">
        <v>34</v>
      </c>
      <c r="C846" s="6" t="s">
        <v>5</v>
      </c>
      <c r="D846" s="6" t="s">
        <v>43</v>
      </c>
      <c r="E846" s="34">
        <v>3610.1</v>
      </c>
      <c r="F846" s="11">
        <v>8</v>
      </c>
      <c r="G846" s="11">
        <v>19</v>
      </c>
      <c r="H846" s="18">
        <f t="shared" si="184"/>
        <v>-11</v>
      </c>
      <c r="I846" s="18">
        <v>1</v>
      </c>
      <c r="J846" s="18">
        <v>0.99853372434017595</v>
      </c>
      <c r="K846" s="18">
        <v>0.6</v>
      </c>
      <c r="L846" s="14">
        <v>1158782</v>
      </c>
      <c r="M846" s="14">
        <v>1808189.875</v>
      </c>
      <c r="N846" s="14">
        <v>329983.65625</v>
      </c>
      <c r="O846" s="14">
        <v>1480215.625</v>
      </c>
      <c r="P846" s="14">
        <v>699.28118896484398</v>
      </c>
      <c r="Q846" s="14">
        <v>1171.7041015625</v>
      </c>
      <c r="R846" s="14">
        <v>160502.8125</v>
      </c>
      <c r="S846" s="14">
        <v>1941048.625</v>
      </c>
      <c r="T846" s="31">
        <f t="shared" si="185"/>
        <v>688.05935790405272</v>
      </c>
      <c r="U846" s="37">
        <v>281.77777777777777</v>
      </c>
      <c r="V846">
        <f t="shared" si="186"/>
        <v>2.4418510335711652</v>
      </c>
      <c r="W846">
        <f t="shared" si="189"/>
        <v>0.11254973446194513</v>
      </c>
      <c r="X846" s="34">
        <v>192.78166666666655</v>
      </c>
      <c r="Y846">
        <f t="shared" si="187"/>
        <v>0.41123966876971607</v>
      </c>
      <c r="Z846">
        <f t="shared" si="176"/>
        <v>0.64170776320977918</v>
      </c>
      <c r="AA846">
        <f t="shared" si="177"/>
        <v>0.1171077644420347</v>
      </c>
      <c r="AB846">
        <f t="shared" si="178"/>
        <v>0.52531311612776022</v>
      </c>
      <c r="AC846">
        <f t="shared" si="179"/>
        <v>2.48167614380268E-4</v>
      </c>
      <c r="AD846">
        <f t="shared" si="180"/>
        <v>4.1582558809394722E-4</v>
      </c>
      <c r="AE846">
        <f t="shared" si="181"/>
        <v>5.6960777306782333E-2</v>
      </c>
      <c r="AF846">
        <f t="shared" si="182"/>
        <v>0.68885795051261833</v>
      </c>
      <c r="AG846">
        <f t="shared" si="188"/>
        <v>2.4418510335711652</v>
      </c>
      <c r="AH846">
        <v>0.44838093127614198</v>
      </c>
      <c r="AI846">
        <v>0.6151260504201681</v>
      </c>
      <c r="AJ846">
        <v>8.5409109635152384E-4</v>
      </c>
      <c r="AK846">
        <v>4.133237306445805E-3</v>
      </c>
      <c r="AL846">
        <v>0.16662447471014127</v>
      </c>
    </row>
    <row r="847" spans="1:38" x14ac:dyDescent="0.25">
      <c r="A847">
        <v>28</v>
      </c>
      <c r="B847" s="5" t="s">
        <v>34</v>
      </c>
      <c r="C847" s="6" t="s">
        <v>5</v>
      </c>
      <c r="D847" s="6" t="s">
        <v>44</v>
      </c>
      <c r="E847" s="34">
        <v>3610.1</v>
      </c>
      <c r="F847" s="11">
        <v>9</v>
      </c>
      <c r="G847" s="11">
        <v>19</v>
      </c>
      <c r="H847" s="11">
        <f t="shared" si="184"/>
        <v>-10</v>
      </c>
      <c r="I847" s="18">
        <v>1</v>
      </c>
      <c r="J847" s="18">
        <v>0.99853372434017595</v>
      </c>
      <c r="K847" s="18">
        <v>0.6</v>
      </c>
      <c r="L847" s="6">
        <v>1153040</v>
      </c>
      <c r="M847" s="6">
        <v>1773169.25</v>
      </c>
      <c r="N847" s="6">
        <v>329983.65625</v>
      </c>
      <c r="O847" s="6">
        <v>1449938.25</v>
      </c>
      <c r="P847" s="6">
        <v>699.28118896484398</v>
      </c>
      <c r="Q847" s="6">
        <v>1658.16357421875</v>
      </c>
      <c r="R847" s="6">
        <v>155428.4375</v>
      </c>
      <c r="S847" s="6">
        <v>1960573.125</v>
      </c>
      <c r="T847" s="31">
        <f t="shared" si="185"/>
        <v>682.44901635131839</v>
      </c>
      <c r="U847" s="37">
        <v>284.33333333333331</v>
      </c>
      <c r="V847">
        <f t="shared" si="186"/>
        <v>2.4001723904501233</v>
      </c>
      <c r="W847">
        <f t="shared" si="189"/>
        <v>-1.7068462632664188E-2</v>
      </c>
      <c r="X847" s="34">
        <v>212.62833333333325</v>
      </c>
      <c r="Y847">
        <f t="shared" si="187"/>
        <v>0.4055240328253224</v>
      </c>
      <c r="Z847">
        <f t="shared" si="176"/>
        <v>0.62362341735052762</v>
      </c>
      <c r="AA847">
        <f t="shared" si="177"/>
        <v>0.11605521321805393</v>
      </c>
      <c r="AB847">
        <f t="shared" si="178"/>
        <v>0.50994311254396252</v>
      </c>
      <c r="AC847">
        <f t="shared" si="179"/>
        <v>2.4593711217989824E-4</v>
      </c>
      <c r="AD847">
        <f t="shared" si="180"/>
        <v>5.8317593466075625E-4</v>
      </c>
      <c r="AE847">
        <f t="shared" si="181"/>
        <v>5.466416324736225E-2</v>
      </c>
      <c r="AF847">
        <f t="shared" si="182"/>
        <v>0.68953333821805396</v>
      </c>
      <c r="AG847">
        <f t="shared" si="188"/>
        <v>2.4001723904501233</v>
      </c>
      <c r="AH847">
        <v>0.44838093127614198</v>
      </c>
      <c r="AI847">
        <v>0.6151260504201681</v>
      </c>
      <c r="AJ847">
        <v>8.5409109635152384E-4</v>
      </c>
      <c r="AK847">
        <v>4.133237306445805E-3</v>
      </c>
      <c r="AL847">
        <v>0.16662447471014127</v>
      </c>
    </row>
    <row r="848" spans="1:38" x14ac:dyDescent="0.25">
      <c r="A848">
        <v>28</v>
      </c>
      <c r="B848" s="5" t="s">
        <v>34</v>
      </c>
      <c r="C848" s="6" t="s">
        <v>5</v>
      </c>
      <c r="D848" s="6" t="s">
        <v>45</v>
      </c>
      <c r="E848" s="34">
        <v>3610.1</v>
      </c>
      <c r="F848" s="11">
        <v>10</v>
      </c>
      <c r="G848" s="11">
        <v>19</v>
      </c>
      <c r="H848" s="11">
        <f t="shared" si="184"/>
        <v>-9</v>
      </c>
      <c r="I848" s="18">
        <v>1</v>
      </c>
      <c r="J848" s="18">
        <v>0.99853372434017595</v>
      </c>
      <c r="K848" s="18">
        <v>0.6</v>
      </c>
      <c r="L848" s="6">
        <v>1311641.25</v>
      </c>
      <c r="M848" s="6">
        <v>1840332.75</v>
      </c>
      <c r="N848" s="6">
        <v>329983.65625</v>
      </c>
      <c r="O848" s="6">
        <v>1505821.5</v>
      </c>
      <c r="P848" s="6">
        <v>699.28118896484398</v>
      </c>
      <c r="Q848" s="6">
        <v>4762.06982421875</v>
      </c>
      <c r="R848" s="6">
        <v>153792.671875</v>
      </c>
      <c r="S848" s="6">
        <v>1991850.5</v>
      </c>
      <c r="T848" s="31">
        <f t="shared" si="185"/>
        <v>713.88836791381834</v>
      </c>
      <c r="U848" s="37">
        <v>286.88888888888886</v>
      </c>
      <c r="V848">
        <f t="shared" si="186"/>
        <v>2.4883792839753545</v>
      </c>
      <c r="W848">
        <f t="shared" si="189"/>
        <v>3.6750232556707729E-2</v>
      </c>
      <c r="X848" s="34">
        <v>232.47499999999994</v>
      </c>
      <c r="Y848">
        <f t="shared" si="187"/>
        <v>0.45719485863671577</v>
      </c>
      <c r="Z848">
        <f t="shared" si="176"/>
        <v>0.64147926994577853</v>
      </c>
      <c r="AA848">
        <f t="shared" si="177"/>
        <v>0.11502141387490319</v>
      </c>
      <c r="AB848">
        <f t="shared" si="178"/>
        <v>0.52487968628969794</v>
      </c>
      <c r="AC848">
        <f t="shared" si="179"/>
        <v>2.4374634781888446E-4</v>
      </c>
      <c r="AD848">
        <f t="shared" si="180"/>
        <v>1.6599004034844598E-3</v>
      </c>
      <c r="AE848">
        <f t="shared" si="181"/>
        <v>5.3607050614833465E-2</v>
      </c>
      <c r="AF848">
        <f t="shared" si="182"/>
        <v>0.69429335786212254</v>
      </c>
      <c r="AG848">
        <f t="shared" si="188"/>
        <v>2.4883792839753549</v>
      </c>
      <c r="AH848">
        <v>0.44838093127614198</v>
      </c>
      <c r="AI848">
        <v>0.6151260504201681</v>
      </c>
      <c r="AJ848">
        <v>8.5409109635152384E-4</v>
      </c>
      <c r="AK848">
        <v>4.133237306445805E-3</v>
      </c>
      <c r="AL848">
        <v>0.16662447471014127</v>
      </c>
    </row>
    <row r="849" spans="1:38" x14ac:dyDescent="0.25">
      <c r="A849">
        <v>28</v>
      </c>
      <c r="B849" s="5" t="s">
        <v>34</v>
      </c>
      <c r="C849" s="6" t="s">
        <v>5</v>
      </c>
      <c r="D849" s="6" t="s">
        <v>46</v>
      </c>
      <c r="E849" s="34">
        <v>3610.1</v>
      </c>
      <c r="F849" s="11">
        <v>11</v>
      </c>
      <c r="G849" s="11">
        <v>19</v>
      </c>
      <c r="H849" s="11">
        <f t="shared" si="184"/>
        <v>-8</v>
      </c>
      <c r="I849" s="18">
        <v>1</v>
      </c>
      <c r="J849" s="18">
        <v>0.99853372434017595</v>
      </c>
      <c r="K849" s="18">
        <v>0.6</v>
      </c>
      <c r="L849" s="6">
        <v>1186405.25</v>
      </c>
      <c r="M849" s="6">
        <v>1868041.375</v>
      </c>
      <c r="N849" s="6">
        <v>329983.65625</v>
      </c>
      <c r="O849" s="6">
        <v>1530472.25</v>
      </c>
      <c r="P849" s="6">
        <v>699.28118896484398</v>
      </c>
      <c r="Q849" s="6">
        <v>6562.55615234375</v>
      </c>
      <c r="R849" s="6">
        <v>160479.953125</v>
      </c>
      <c r="S849" s="6">
        <v>2043649.875</v>
      </c>
      <c r="T849" s="31">
        <f t="shared" si="185"/>
        <v>712.6294196716309</v>
      </c>
      <c r="U849" s="37">
        <v>289.4444444444444</v>
      </c>
      <c r="V849">
        <f t="shared" si="186"/>
        <v>2.4620594153722375</v>
      </c>
      <c r="W849">
        <f t="shared" si="189"/>
        <v>-1.057711289135521E-2</v>
      </c>
      <c r="X849" s="34">
        <v>252.32166666666663</v>
      </c>
      <c r="Y849">
        <f t="shared" si="187"/>
        <v>0.40989048944337819</v>
      </c>
      <c r="Z849">
        <f t="shared" si="176"/>
        <v>0.64538857485604617</v>
      </c>
      <c r="AA849">
        <f t="shared" si="177"/>
        <v>0.11400586972168908</v>
      </c>
      <c r="AB849">
        <f t="shared" si="178"/>
        <v>0.52876200575815746</v>
      </c>
      <c r="AC849">
        <f t="shared" si="179"/>
        <v>2.4159426874025325E-4</v>
      </c>
      <c r="AD849">
        <f t="shared" si="180"/>
        <v>2.2672938722108926E-3</v>
      </c>
      <c r="AE849">
        <f t="shared" si="181"/>
        <v>5.5444129678502881E-2</v>
      </c>
      <c r="AF849">
        <f t="shared" si="182"/>
        <v>0.70605945777351264</v>
      </c>
      <c r="AG849">
        <f t="shared" si="188"/>
        <v>2.462059415372237</v>
      </c>
      <c r="AH849">
        <v>0.44838093127614198</v>
      </c>
      <c r="AI849">
        <v>0.6151260504201681</v>
      </c>
      <c r="AJ849">
        <v>8.5409109635152384E-4</v>
      </c>
      <c r="AK849">
        <v>4.133237306445805E-3</v>
      </c>
      <c r="AL849">
        <v>0.16662447471014127</v>
      </c>
    </row>
    <row r="850" spans="1:38" x14ac:dyDescent="0.25">
      <c r="A850">
        <v>28</v>
      </c>
      <c r="B850" s="5" t="s">
        <v>34</v>
      </c>
      <c r="C850" s="6" t="s">
        <v>5</v>
      </c>
      <c r="D850" s="6" t="s">
        <v>47</v>
      </c>
      <c r="E850" s="34">
        <v>3610.1</v>
      </c>
      <c r="F850" s="11">
        <v>12</v>
      </c>
      <c r="G850" s="11">
        <v>19</v>
      </c>
      <c r="H850" s="11">
        <f t="shared" si="184"/>
        <v>-7</v>
      </c>
      <c r="I850" s="18">
        <v>1</v>
      </c>
      <c r="J850" s="18">
        <v>0.99853372434017595</v>
      </c>
      <c r="K850" s="18">
        <v>0.6</v>
      </c>
      <c r="L850" s="6">
        <v>1178645.875</v>
      </c>
      <c r="M850" s="6">
        <v>1847619.25</v>
      </c>
      <c r="N850" s="6">
        <v>329983.65625</v>
      </c>
      <c r="O850" s="6">
        <v>1514949.25</v>
      </c>
      <c r="P850" s="6">
        <v>699.28118896484398</v>
      </c>
      <c r="Q850" s="6">
        <v>4316.69287109375</v>
      </c>
      <c r="R850" s="6">
        <v>159029.90625</v>
      </c>
      <c r="S850" s="6">
        <v>2032136.875</v>
      </c>
      <c r="T850" s="31">
        <f t="shared" si="185"/>
        <v>706.73807865600588</v>
      </c>
      <c r="U850" s="37">
        <v>292</v>
      </c>
      <c r="V850">
        <f t="shared" si="186"/>
        <v>2.4203358858082393</v>
      </c>
      <c r="W850">
        <f t="shared" si="189"/>
        <v>-1.6946597349962816E-2</v>
      </c>
      <c r="X850" s="34">
        <v>272.16833333333329</v>
      </c>
      <c r="Y850">
        <f t="shared" si="187"/>
        <v>0.40364584760273975</v>
      </c>
      <c r="Z850">
        <f t="shared" ref="Z850:Z913" si="190">M850/$U850/10000</f>
        <v>0.63274631849315066</v>
      </c>
      <c r="AA850">
        <f t="shared" ref="AA850:AA913" si="191">N850/$U850/10000</f>
        <v>0.11300810145547946</v>
      </c>
      <c r="AB850">
        <f t="shared" ref="AB850:AB913" si="192">O850/$U850/10000</f>
        <v>0.51881823630136992</v>
      </c>
      <c r="AC850">
        <f t="shared" ref="AC850:AC913" si="193">P850/$U850/10000</f>
        <v>2.3947985923453562E-4</v>
      </c>
      <c r="AD850">
        <f t="shared" ref="AD850:AD913" si="194">Q850/$U850/10000</f>
        <v>1.4783194764019692E-3</v>
      </c>
      <c r="AE850">
        <f t="shared" ref="AE850:AE913" si="195">R850/$U850/10000</f>
        <v>5.4462296660958906E-2</v>
      </c>
      <c r="AF850">
        <f t="shared" ref="AF850:AF913" si="196">S850/$U850/10000</f>
        <v>0.69593728595890403</v>
      </c>
      <c r="AG850">
        <f t="shared" si="188"/>
        <v>2.4203358858082393</v>
      </c>
      <c r="AH850">
        <v>0.44838093127614198</v>
      </c>
      <c r="AI850">
        <v>0.6151260504201681</v>
      </c>
      <c r="AJ850">
        <v>8.5409109635152384E-4</v>
      </c>
      <c r="AK850">
        <v>4.133237306445805E-3</v>
      </c>
      <c r="AL850">
        <v>0.16662447471014127</v>
      </c>
    </row>
    <row r="851" spans="1:38" x14ac:dyDescent="0.25">
      <c r="A851">
        <v>28</v>
      </c>
      <c r="B851" s="5" t="s">
        <v>34</v>
      </c>
      <c r="C851" s="6" t="s">
        <v>5</v>
      </c>
      <c r="D851" s="6" t="s">
        <v>48</v>
      </c>
      <c r="E851" s="34">
        <v>3610.1</v>
      </c>
      <c r="F851" s="11">
        <v>13</v>
      </c>
      <c r="G851" s="11">
        <v>19</v>
      </c>
      <c r="H851" s="11">
        <f t="shared" si="184"/>
        <v>-6</v>
      </c>
      <c r="I851" s="18">
        <v>1</v>
      </c>
      <c r="J851" s="18">
        <v>0.99853372434017595</v>
      </c>
      <c r="K851" s="18">
        <v>0.6</v>
      </c>
      <c r="L851" s="6">
        <v>1234668.5</v>
      </c>
      <c r="M851" s="6">
        <v>1856987.125</v>
      </c>
      <c r="N851" s="6">
        <v>329983.65625</v>
      </c>
      <c r="O851" s="6">
        <v>1523298.75</v>
      </c>
      <c r="P851" s="6">
        <v>699.28118896484398</v>
      </c>
      <c r="Q851" s="6">
        <v>2093.06713867188</v>
      </c>
      <c r="R851" s="6">
        <v>158742.65625</v>
      </c>
      <c r="S851" s="6">
        <v>1987448.625</v>
      </c>
      <c r="T851" s="31">
        <f t="shared" si="185"/>
        <v>709.39216608276365</v>
      </c>
      <c r="U851" s="37">
        <v>294.22222222222223</v>
      </c>
      <c r="V851">
        <f t="shared" si="186"/>
        <v>2.4110760931815984</v>
      </c>
      <c r="W851">
        <f t="shared" si="189"/>
        <v>-3.8258295804876308E-3</v>
      </c>
      <c r="X851" s="34">
        <v>292.01499999999999</v>
      </c>
      <c r="Y851">
        <f t="shared" si="187"/>
        <v>0.41963808534743202</v>
      </c>
      <c r="Z851">
        <f t="shared" si="190"/>
        <v>0.63115121317975831</v>
      </c>
      <c r="AA851">
        <f t="shared" si="191"/>
        <v>0.11215456594599697</v>
      </c>
      <c r="AB851">
        <f t="shared" si="192"/>
        <v>0.51773749055891238</v>
      </c>
      <c r="AC851">
        <f t="shared" si="193"/>
        <v>2.3767109896841374E-4</v>
      </c>
      <c r="AD851">
        <f t="shared" si="194"/>
        <v>7.1138988852140943E-4</v>
      </c>
      <c r="AE851">
        <f t="shared" si="195"/>
        <v>5.3953319722432024E-2</v>
      </c>
      <c r="AF851">
        <f t="shared" si="196"/>
        <v>0.67549235743957703</v>
      </c>
      <c r="AG851">
        <f t="shared" si="188"/>
        <v>2.4110760931815984</v>
      </c>
      <c r="AH851">
        <v>0.44838093127614198</v>
      </c>
      <c r="AI851">
        <v>0.6151260504201681</v>
      </c>
      <c r="AJ851">
        <v>8.5409109635152384E-4</v>
      </c>
      <c r="AK851">
        <v>4.133237306445805E-3</v>
      </c>
      <c r="AL851">
        <v>0.16662447471014127</v>
      </c>
    </row>
    <row r="852" spans="1:38" x14ac:dyDescent="0.25">
      <c r="A852">
        <v>28</v>
      </c>
      <c r="B852" s="5" t="s">
        <v>34</v>
      </c>
      <c r="C852" s="6" t="s">
        <v>5</v>
      </c>
      <c r="D852" s="6" t="s">
        <v>49</v>
      </c>
      <c r="E852" s="34">
        <v>3610.1</v>
      </c>
      <c r="F852" s="11">
        <v>14</v>
      </c>
      <c r="G852" s="11">
        <v>19</v>
      </c>
      <c r="H852" s="11">
        <f t="shared" si="184"/>
        <v>-5</v>
      </c>
      <c r="I852" s="18">
        <v>1</v>
      </c>
      <c r="J852" s="18">
        <v>0.99853372434017595</v>
      </c>
      <c r="K852" s="18">
        <v>0.6</v>
      </c>
      <c r="L852" s="6">
        <v>1388769.25</v>
      </c>
      <c r="M852" s="6">
        <v>1782077.625</v>
      </c>
      <c r="N852" s="6">
        <v>329983.65625</v>
      </c>
      <c r="O852" s="6">
        <v>1462487.375</v>
      </c>
      <c r="P852" s="6">
        <v>699.28118896484398</v>
      </c>
      <c r="Q852" s="6">
        <v>1242.87475585938</v>
      </c>
      <c r="R852" s="6">
        <v>160253.328125</v>
      </c>
      <c r="S852" s="6">
        <v>1957922.375</v>
      </c>
      <c r="T852" s="31">
        <f t="shared" si="185"/>
        <v>708.34357653198242</v>
      </c>
      <c r="U852" s="37">
        <v>296.44444444444446</v>
      </c>
      <c r="V852">
        <f t="shared" si="186"/>
        <v>2.3894648383762522</v>
      </c>
      <c r="W852">
        <f t="shared" si="189"/>
        <v>-8.9633234166527301E-3</v>
      </c>
      <c r="X852" s="34">
        <v>311.86166666666668</v>
      </c>
      <c r="Y852">
        <f t="shared" si="187"/>
        <v>0.46847538418290852</v>
      </c>
      <c r="Z852">
        <f t="shared" si="190"/>
        <v>0.60115062312593703</v>
      </c>
      <c r="AA852">
        <f t="shared" si="191"/>
        <v>0.11131382707083957</v>
      </c>
      <c r="AB852">
        <f t="shared" si="192"/>
        <v>0.49334281765367316</v>
      </c>
      <c r="AC852">
        <f t="shared" si="193"/>
        <v>2.3588945654736112E-4</v>
      </c>
      <c r="AD852">
        <f t="shared" si="194"/>
        <v>4.1926059980263943E-4</v>
      </c>
      <c r="AE852">
        <f t="shared" si="195"/>
        <v>5.405846900768365E-2</v>
      </c>
      <c r="AF852">
        <f t="shared" si="196"/>
        <v>0.6604685672788605</v>
      </c>
      <c r="AG852">
        <f t="shared" si="188"/>
        <v>2.3894648383762522</v>
      </c>
      <c r="AH852">
        <v>0.44838093127614198</v>
      </c>
      <c r="AI852">
        <v>0.6151260504201681</v>
      </c>
      <c r="AJ852">
        <v>8.5409109635152384E-4</v>
      </c>
      <c r="AK852">
        <v>4.133237306445805E-3</v>
      </c>
      <c r="AL852">
        <v>0.16662447471014127</v>
      </c>
    </row>
    <row r="853" spans="1:38" x14ac:dyDescent="0.25">
      <c r="A853">
        <v>28</v>
      </c>
      <c r="B853" s="5" t="s">
        <v>34</v>
      </c>
      <c r="C853" s="6" t="s">
        <v>5</v>
      </c>
      <c r="D853" s="6" t="s">
        <v>50</v>
      </c>
      <c r="E853" s="34">
        <v>3610.1</v>
      </c>
      <c r="F853" s="11">
        <v>15</v>
      </c>
      <c r="G853" s="11">
        <v>19</v>
      </c>
      <c r="H853" s="11">
        <f t="shared" si="184"/>
        <v>-4</v>
      </c>
      <c r="I853" s="18">
        <v>1</v>
      </c>
      <c r="J853" s="18">
        <v>0.99853372434017595</v>
      </c>
      <c r="K853" s="18">
        <v>0.6</v>
      </c>
      <c r="L853" s="6">
        <v>1477846.625</v>
      </c>
      <c r="M853" s="6">
        <v>1729815.375</v>
      </c>
      <c r="N853" s="6">
        <v>329983.65625</v>
      </c>
      <c r="O853" s="6">
        <v>1420913.5</v>
      </c>
      <c r="P853" s="6">
        <v>699.28118896484398</v>
      </c>
      <c r="Q853" s="6">
        <v>1742.1943359375</v>
      </c>
      <c r="R853" s="6">
        <v>155215.015625</v>
      </c>
      <c r="S853" s="6">
        <v>1972775.125</v>
      </c>
      <c r="T853" s="31">
        <f t="shared" si="185"/>
        <v>708.89907723999022</v>
      </c>
      <c r="U853" s="37">
        <v>298.66666666666669</v>
      </c>
      <c r="V853">
        <f t="shared" si="186"/>
        <v>2.3735460175446099</v>
      </c>
      <c r="W853">
        <f t="shared" si="189"/>
        <v>-6.6620862445751069E-3</v>
      </c>
      <c r="X853" s="34">
        <v>331.70833333333337</v>
      </c>
      <c r="Y853">
        <f t="shared" si="187"/>
        <v>0.49481471819196421</v>
      </c>
      <c r="Z853">
        <f t="shared" si="190"/>
        <v>0.57917925502232137</v>
      </c>
      <c r="AA853">
        <f t="shared" si="191"/>
        <v>0.11048559919084822</v>
      </c>
      <c r="AB853">
        <f t="shared" si="192"/>
        <v>0.47575228794642854</v>
      </c>
      <c r="AC853">
        <f t="shared" si="193"/>
        <v>2.3413432666233614E-4</v>
      </c>
      <c r="AD853">
        <f t="shared" si="194"/>
        <v>5.8332399640764504E-4</v>
      </c>
      <c r="AE853">
        <f t="shared" si="195"/>
        <v>5.1969313267299103E-2</v>
      </c>
      <c r="AF853">
        <f t="shared" si="196"/>
        <v>0.66052738560267854</v>
      </c>
      <c r="AG853">
        <f t="shared" si="188"/>
        <v>2.3735460175446104</v>
      </c>
      <c r="AH853">
        <v>0.44838093127614198</v>
      </c>
      <c r="AI853">
        <v>0.6151260504201681</v>
      </c>
      <c r="AJ853">
        <v>8.5409109635152384E-4</v>
      </c>
      <c r="AK853">
        <v>4.133237306445805E-3</v>
      </c>
      <c r="AL853">
        <v>0.16662447471014127</v>
      </c>
    </row>
    <row r="854" spans="1:38" x14ac:dyDescent="0.25">
      <c r="A854">
        <v>28</v>
      </c>
      <c r="B854" s="5" t="s">
        <v>34</v>
      </c>
      <c r="C854" s="6" t="s">
        <v>5</v>
      </c>
      <c r="D854" s="6" t="s">
        <v>51</v>
      </c>
      <c r="E854" s="34">
        <v>3610.1</v>
      </c>
      <c r="F854" s="11">
        <v>16</v>
      </c>
      <c r="G854" s="11">
        <v>19</v>
      </c>
      <c r="H854" s="11">
        <f t="shared" si="184"/>
        <v>-3</v>
      </c>
      <c r="I854" s="18">
        <v>1</v>
      </c>
      <c r="J854" s="18">
        <v>0.99853372434017595</v>
      </c>
      <c r="K854" s="18">
        <v>0.6</v>
      </c>
      <c r="L854" s="6">
        <v>1290225.375</v>
      </c>
      <c r="M854" s="6">
        <v>1806208.875</v>
      </c>
      <c r="N854" s="6">
        <v>329983.65625</v>
      </c>
      <c r="O854" s="6">
        <v>1482939</v>
      </c>
      <c r="P854" s="6">
        <v>699.28118896484398</v>
      </c>
      <c r="Q854" s="6">
        <v>4844.05224609375</v>
      </c>
      <c r="R854" s="6">
        <v>153666.453125</v>
      </c>
      <c r="S854" s="6">
        <v>1998329.125</v>
      </c>
      <c r="T854" s="31">
        <f t="shared" si="185"/>
        <v>706.68958178100581</v>
      </c>
      <c r="U854" s="37">
        <v>316</v>
      </c>
      <c r="V854">
        <f t="shared" si="186"/>
        <v>2.236359436015841</v>
      </c>
      <c r="W854">
        <f t="shared" si="189"/>
        <v>-5.7798155382167801E-2</v>
      </c>
      <c r="X854" s="34">
        <v>351.55500000000006</v>
      </c>
      <c r="Y854">
        <f t="shared" si="187"/>
        <v>0.40829916930379745</v>
      </c>
      <c r="Z854">
        <f t="shared" si="190"/>
        <v>0.57158508702531641</v>
      </c>
      <c r="AA854">
        <f t="shared" si="191"/>
        <v>0.10442520767405063</v>
      </c>
      <c r="AB854">
        <f t="shared" si="192"/>
        <v>0.46928449367088604</v>
      </c>
      <c r="AC854">
        <f t="shared" si="193"/>
        <v>2.2129151549520379E-4</v>
      </c>
      <c r="AD854">
        <f t="shared" si="194"/>
        <v>1.5329279259790349E-3</v>
      </c>
      <c r="AE854">
        <f t="shared" si="195"/>
        <v>4.8628624406645574E-2</v>
      </c>
      <c r="AF854">
        <f t="shared" si="196"/>
        <v>0.63238263449367083</v>
      </c>
      <c r="AG854">
        <f t="shared" si="188"/>
        <v>2.236359436015841</v>
      </c>
      <c r="AH854">
        <v>0.44838093127614198</v>
      </c>
      <c r="AI854">
        <v>0.6151260504201681</v>
      </c>
      <c r="AJ854">
        <v>8.5409109635152384E-4</v>
      </c>
      <c r="AK854">
        <v>4.133237306445805E-3</v>
      </c>
      <c r="AL854">
        <v>0.16662447471014127</v>
      </c>
    </row>
    <row r="855" spans="1:38" x14ac:dyDescent="0.25">
      <c r="A855">
        <v>28</v>
      </c>
      <c r="B855" s="5" t="s">
        <v>34</v>
      </c>
      <c r="C855" s="6" t="s">
        <v>5</v>
      </c>
      <c r="D855" s="6" t="s">
        <v>52</v>
      </c>
      <c r="E855" s="34">
        <v>3610.1</v>
      </c>
      <c r="F855" s="11">
        <v>17</v>
      </c>
      <c r="G855" s="11">
        <v>19</v>
      </c>
      <c r="H855" s="11">
        <f t="shared" si="184"/>
        <v>-2</v>
      </c>
      <c r="I855" s="18">
        <v>1</v>
      </c>
      <c r="J855" s="18">
        <v>0.99853372434017595</v>
      </c>
      <c r="K855" s="18">
        <v>0.6</v>
      </c>
      <c r="L855" s="6">
        <v>1269740.75</v>
      </c>
      <c r="M855" s="6">
        <v>1860490</v>
      </c>
      <c r="N855" s="6">
        <v>329983.65625</v>
      </c>
      <c r="O855" s="6">
        <v>1525328.25</v>
      </c>
      <c r="P855" s="6">
        <v>699.28118896484398</v>
      </c>
      <c r="Q855" s="6">
        <v>6682.345703125</v>
      </c>
      <c r="R855" s="6">
        <v>160452.265625</v>
      </c>
      <c r="S855" s="6">
        <v>2049976</v>
      </c>
      <c r="T855" s="31">
        <f t="shared" si="185"/>
        <v>720.33525487670897</v>
      </c>
      <c r="U855" s="37">
        <v>333.33333333333331</v>
      </c>
      <c r="V855">
        <f t="shared" si="186"/>
        <v>2.1610057646301271</v>
      </c>
      <c r="W855">
        <f t="shared" si="189"/>
        <v>-3.3694794393140728E-2</v>
      </c>
      <c r="X855" s="34">
        <v>371.40166666666676</v>
      </c>
      <c r="Y855">
        <f t="shared" si="187"/>
        <v>0.380922225</v>
      </c>
      <c r="Z855">
        <f t="shared" si="190"/>
        <v>0.55814700000000006</v>
      </c>
      <c r="AA855">
        <f t="shared" si="191"/>
        <v>9.8995096875000008E-2</v>
      </c>
      <c r="AB855">
        <f t="shared" si="192"/>
        <v>0.45759847500000006</v>
      </c>
      <c r="AC855">
        <f t="shared" si="193"/>
        <v>2.097843566894532E-4</v>
      </c>
      <c r="AD855">
        <f t="shared" si="194"/>
        <v>2.0047037109375003E-3</v>
      </c>
      <c r="AE855">
        <f t="shared" si="195"/>
        <v>4.8135679687500002E-2</v>
      </c>
      <c r="AF855">
        <f t="shared" si="196"/>
        <v>0.61499280000000012</v>
      </c>
      <c r="AG855">
        <f t="shared" si="188"/>
        <v>2.1610057646301271</v>
      </c>
      <c r="AH855">
        <v>0.44838093127614198</v>
      </c>
      <c r="AI855">
        <v>0.6151260504201681</v>
      </c>
      <c r="AJ855">
        <v>8.5409109635152384E-4</v>
      </c>
      <c r="AK855">
        <v>4.133237306445805E-3</v>
      </c>
      <c r="AL855">
        <v>0.16662447471014127</v>
      </c>
    </row>
    <row r="856" spans="1:38" x14ac:dyDescent="0.25">
      <c r="A856">
        <v>28</v>
      </c>
      <c r="B856" s="5" t="s">
        <v>34</v>
      </c>
      <c r="C856" s="6" t="s">
        <v>5</v>
      </c>
      <c r="D856" s="6" t="s">
        <v>53</v>
      </c>
      <c r="E856" s="34">
        <v>3610.1</v>
      </c>
      <c r="F856" s="11">
        <v>18</v>
      </c>
      <c r="G856" s="11">
        <v>19</v>
      </c>
      <c r="H856" s="11">
        <f t="shared" si="184"/>
        <v>-1</v>
      </c>
      <c r="I856" s="18">
        <v>1</v>
      </c>
      <c r="J856" s="18">
        <v>0.99853372434017595</v>
      </c>
      <c r="K856" s="18">
        <v>0.6</v>
      </c>
      <c r="L856" s="6">
        <v>1356179.875</v>
      </c>
      <c r="M856" s="6">
        <v>1855124</v>
      </c>
      <c r="N856" s="6">
        <v>329983.65625</v>
      </c>
      <c r="O856" s="6">
        <v>1520060</v>
      </c>
      <c r="P856" s="6">
        <v>699.28118896484398</v>
      </c>
      <c r="Q856" s="6">
        <v>4412.9365234375</v>
      </c>
      <c r="R856" s="6">
        <v>159123.828125</v>
      </c>
      <c r="S856" s="6">
        <v>2030782.125</v>
      </c>
      <c r="T856" s="31">
        <f t="shared" si="185"/>
        <v>725.63657020874018</v>
      </c>
      <c r="U856" s="37">
        <v>350.66666666666669</v>
      </c>
      <c r="V856">
        <f t="shared" si="186"/>
        <v>2.0693058085800575</v>
      </c>
      <c r="W856">
        <f t="shared" si="189"/>
        <v>-4.2433924772877545E-2</v>
      </c>
      <c r="X856" s="34">
        <v>391.24833333333345</v>
      </c>
      <c r="Y856">
        <f t="shared" si="187"/>
        <v>0.38674331036121673</v>
      </c>
      <c r="Z856">
        <f t="shared" si="190"/>
        <v>0.52902775665399238</v>
      </c>
      <c r="AA856">
        <f t="shared" si="191"/>
        <v>9.410180311311786E-2</v>
      </c>
      <c r="AB856">
        <f t="shared" si="192"/>
        <v>0.43347718631178705</v>
      </c>
      <c r="AC856">
        <f t="shared" si="193"/>
        <v>1.994147877276171E-4</v>
      </c>
      <c r="AD856">
        <f t="shared" si="194"/>
        <v>1.2584419743643062E-3</v>
      </c>
      <c r="AE856">
        <f t="shared" si="195"/>
        <v>4.5377517526140686E-2</v>
      </c>
      <c r="AF856">
        <f t="shared" si="196"/>
        <v>0.579120377851711</v>
      </c>
      <c r="AG856">
        <f t="shared" si="188"/>
        <v>2.0693058085800571</v>
      </c>
      <c r="AH856">
        <v>0.44838093127614198</v>
      </c>
      <c r="AI856">
        <v>0.6151260504201681</v>
      </c>
      <c r="AJ856">
        <v>8.5409109635152384E-4</v>
      </c>
      <c r="AK856">
        <v>4.133237306445805E-3</v>
      </c>
      <c r="AL856">
        <v>0.16662447471014127</v>
      </c>
    </row>
    <row r="857" spans="1:38" x14ac:dyDescent="0.25">
      <c r="A857">
        <v>28</v>
      </c>
      <c r="B857" s="21" t="s">
        <v>34</v>
      </c>
      <c r="C857" s="22" t="s">
        <v>5</v>
      </c>
      <c r="D857" s="22" t="s">
        <v>54</v>
      </c>
      <c r="E857" s="34">
        <v>3610.1</v>
      </c>
      <c r="F857" s="22">
        <v>19</v>
      </c>
      <c r="G857" s="22">
        <v>19</v>
      </c>
      <c r="H857" s="22">
        <f t="shared" si="184"/>
        <v>0</v>
      </c>
      <c r="I857" s="18">
        <v>1</v>
      </c>
      <c r="J857" s="18">
        <v>0.99853372434017595</v>
      </c>
      <c r="K857" s="18">
        <v>0.6</v>
      </c>
      <c r="L857" s="22">
        <v>1512763.75</v>
      </c>
      <c r="M857" s="22">
        <v>1873000.25</v>
      </c>
      <c r="N857" s="22">
        <v>330142.0625</v>
      </c>
      <c r="O857" s="22">
        <v>1533946.125</v>
      </c>
      <c r="P857" s="22">
        <v>699.61688232421898</v>
      </c>
      <c r="Q857" s="22">
        <v>2065.03759765625</v>
      </c>
      <c r="R857" s="22">
        <v>158982.203125</v>
      </c>
      <c r="S857" s="22">
        <v>1976504.5</v>
      </c>
      <c r="T857" s="32">
        <f t="shared" si="185"/>
        <v>738.81035451049809</v>
      </c>
      <c r="U857" s="37">
        <v>368.00000000000006</v>
      </c>
      <c r="V857">
        <f t="shared" si="186"/>
        <v>2.007636832908962</v>
      </c>
      <c r="W857">
        <f t="shared" si="189"/>
        <v>-2.9801769953669788E-2</v>
      </c>
      <c r="X857" s="34">
        <v>411.09500000000014</v>
      </c>
      <c r="Y857">
        <f t="shared" si="187"/>
        <v>0.4110771059782608</v>
      </c>
      <c r="Z857">
        <f t="shared" si="190"/>
        <v>0.50896745923913034</v>
      </c>
      <c r="AA857">
        <f t="shared" si="191"/>
        <v>8.9712516983695645E-2</v>
      </c>
      <c r="AB857">
        <f t="shared" si="192"/>
        <v>0.41683318614130432</v>
      </c>
      <c r="AC857">
        <f t="shared" si="193"/>
        <v>1.9011328324027688E-4</v>
      </c>
      <c r="AD857">
        <f t="shared" si="194"/>
        <v>5.6115152110224184E-4</v>
      </c>
      <c r="AE857">
        <f t="shared" si="195"/>
        <v>4.3201685631793468E-2</v>
      </c>
      <c r="AF857">
        <f t="shared" si="196"/>
        <v>0.53709361413043466</v>
      </c>
      <c r="AG857">
        <f t="shared" si="188"/>
        <v>2.0076368329089616</v>
      </c>
      <c r="AH857">
        <v>0.44838093127614198</v>
      </c>
      <c r="AI857">
        <v>0.6151260504201681</v>
      </c>
      <c r="AJ857">
        <v>8.5409109635152384E-4</v>
      </c>
      <c r="AK857">
        <v>4.133237306445805E-3</v>
      </c>
      <c r="AL857">
        <v>0.16662447471014127</v>
      </c>
    </row>
    <row r="858" spans="1:38" x14ac:dyDescent="0.25">
      <c r="A858">
        <v>28</v>
      </c>
      <c r="B858" s="5" t="s">
        <v>34</v>
      </c>
      <c r="C858" s="6" t="s">
        <v>5</v>
      </c>
      <c r="D858" s="6" t="s">
        <v>55</v>
      </c>
      <c r="E858" s="35">
        <v>3799.1</v>
      </c>
      <c r="F858" s="11">
        <v>20</v>
      </c>
      <c r="G858" s="11">
        <v>19</v>
      </c>
      <c r="H858" s="18">
        <f t="shared" si="184"/>
        <v>1</v>
      </c>
      <c r="I858" s="18">
        <v>1</v>
      </c>
      <c r="J858" s="18">
        <v>0.99853372434017595</v>
      </c>
      <c r="K858" s="18">
        <v>0.6</v>
      </c>
      <c r="L858" s="14">
        <v>156433.71875</v>
      </c>
      <c r="M858" s="14">
        <v>1901363.625</v>
      </c>
      <c r="N858" s="14">
        <v>719449.9375</v>
      </c>
      <c r="O858" s="14">
        <v>1201165.625</v>
      </c>
      <c r="P858" s="14">
        <v>678.77764892578125</v>
      </c>
      <c r="Q858" s="14">
        <v>1301.275024414062</v>
      </c>
      <c r="R858" s="14">
        <v>1485532.5</v>
      </c>
      <c r="S858" s="14">
        <v>2397256</v>
      </c>
      <c r="T858" s="31">
        <f t="shared" si="185"/>
        <v>786.31814589233397</v>
      </c>
      <c r="U858" s="37">
        <v>302.5555555555556</v>
      </c>
      <c r="V858">
        <f t="shared" si="186"/>
        <v>2.598921525167464</v>
      </c>
      <c r="W858">
        <f t="shared" si="189"/>
        <v>0.29451775468861119</v>
      </c>
      <c r="X858" s="35">
        <v>236.01333333333343</v>
      </c>
      <c r="Y858">
        <f t="shared" si="187"/>
        <v>5.1704130325009166E-2</v>
      </c>
      <c r="Z858">
        <f t="shared" si="190"/>
        <v>0.62843454370179941</v>
      </c>
      <c r="AA858">
        <f t="shared" si="191"/>
        <v>0.23779101863753208</v>
      </c>
      <c r="AB858">
        <f t="shared" si="192"/>
        <v>0.3970066333088505</v>
      </c>
      <c r="AC858">
        <f t="shared" si="193"/>
        <v>2.2434810283995704E-4</v>
      </c>
      <c r="AD858">
        <f t="shared" si="194"/>
        <v>4.3009457288749748E-4</v>
      </c>
      <c r="AE858">
        <f t="shared" si="195"/>
        <v>0.49099495042232821</v>
      </c>
      <c r="AF858">
        <f t="shared" si="196"/>
        <v>0.79233580609621734</v>
      </c>
      <c r="AG858">
        <f t="shared" si="188"/>
        <v>2.598921525167464</v>
      </c>
      <c r="AH858">
        <v>0.43075991682240533</v>
      </c>
      <c r="AI858">
        <v>0.62794612794612792</v>
      </c>
      <c r="AJ858">
        <v>8.5265564913076489E-4</v>
      </c>
      <c r="AK858">
        <v>3.9963675607380695E-3</v>
      </c>
      <c r="AL858">
        <v>0.17422968675755693</v>
      </c>
    </row>
    <row r="859" spans="1:38" x14ac:dyDescent="0.25">
      <c r="A859">
        <v>28</v>
      </c>
      <c r="B859" s="5" t="s">
        <v>34</v>
      </c>
      <c r="C859" s="6" t="s">
        <v>5</v>
      </c>
      <c r="D859" s="6" t="s">
        <v>56</v>
      </c>
      <c r="E859" s="35">
        <v>3799.1</v>
      </c>
      <c r="F859" s="11">
        <v>21</v>
      </c>
      <c r="G859" s="11">
        <v>19</v>
      </c>
      <c r="H859" s="11">
        <f t="shared" si="184"/>
        <v>2</v>
      </c>
      <c r="I859" s="18">
        <v>1</v>
      </c>
      <c r="J859" s="18">
        <v>0.99853372434017595</v>
      </c>
      <c r="K859" s="18">
        <v>0.6</v>
      </c>
      <c r="L859" s="6">
        <v>151902.21875</v>
      </c>
      <c r="M859" s="6">
        <v>1864545.125</v>
      </c>
      <c r="N859" s="6">
        <v>625845.75</v>
      </c>
      <c r="O859" s="6">
        <v>1195213.625</v>
      </c>
      <c r="P859" s="6">
        <v>678.77764892578125</v>
      </c>
      <c r="Q859" s="6">
        <v>1841.0888671875</v>
      </c>
      <c r="R859" s="6">
        <v>1455142.75</v>
      </c>
      <c r="S859" s="6">
        <v>2420686.75</v>
      </c>
      <c r="T859" s="31">
        <f t="shared" si="185"/>
        <v>771.58560852661128</v>
      </c>
      <c r="U859" s="37">
        <v>304.66666666666669</v>
      </c>
      <c r="V859">
        <f t="shared" si="186"/>
        <v>2.5325567019473016</v>
      </c>
      <c r="W859">
        <f t="shared" si="189"/>
        <v>-2.5535524092396775E-2</v>
      </c>
      <c r="X859" s="35">
        <v>250.66333333333341</v>
      </c>
      <c r="Y859">
        <f t="shared" si="187"/>
        <v>4.9858496307439819E-2</v>
      </c>
      <c r="Z859">
        <f t="shared" si="190"/>
        <v>0.61199511761487968</v>
      </c>
      <c r="AA859">
        <f t="shared" si="191"/>
        <v>0.2054198304157549</v>
      </c>
      <c r="AB859">
        <f t="shared" si="192"/>
        <v>0.39230206509846827</v>
      </c>
      <c r="AC859">
        <f t="shared" si="193"/>
        <v>2.2279353903472031E-4</v>
      </c>
      <c r="AD859">
        <f t="shared" si="194"/>
        <v>6.0429612708561269E-4</v>
      </c>
      <c r="AE859">
        <f t="shared" si="195"/>
        <v>0.47761797045951854</v>
      </c>
      <c r="AF859">
        <f t="shared" si="196"/>
        <v>0.79453613238512033</v>
      </c>
      <c r="AG859">
        <f t="shared" si="188"/>
        <v>2.5325567019473016</v>
      </c>
      <c r="AH859">
        <v>0.43075991682240533</v>
      </c>
      <c r="AI859">
        <v>0.62794612794612792</v>
      </c>
      <c r="AJ859">
        <v>8.5265564913076489E-4</v>
      </c>
      <c r="AK859">
        <v>3.9963675607380695E-3</v>
      </c>
      <c r="AL859">
        <v>0.17422968675755693</v>
      </c>
    </row>
    <row r="860" spans="1:38" x14ac:dyDescent="0.25">
      <c r="A860">
        <v>28</v>
      </c>
      <c r="B860" s="5" t="s">
        <v>34</v>
      </c>
      <c r="C860" s="6" t="s">
        <v>5</v>
      </c>
      <c r="D860" s="6" t="s">
        <v>57</v>
      </c>
      <c r="E860" s="35">
        <v>3799.1</v>
      </c>
      <c r="F860" s="11">
        <v>22</v>
      </c>
      <c r="G860" s="11">
        <v>19</v>
      </c>
      <c r="H860" s="11">
        <f t="shared" si="184"/>
        <v>3</v>
      </c>
      <c r="I860" s="18">
        <v>1</v>
      </c>
      <c r="J860" s="18">
        <v>0.99853372434017595</v>
      </c>
      <c r="K860" s="18">
        <v>0.6</v>
      </c>
      <c r="L860" s="6">
        <v>150436.71875</v>
      </c>
      <c r="M860" s="6">
        <v>1935172.375</v>
      </c>
      <c r="N860" s="6">
        <v>405753.78125</v>
      </c>
      <c r="O860" s="6">
        <v>1359616</v>
      </c>
      <c r="P860" s="6">
        <v>678.77764892578125</v>
      </c>
      <c r="Q860" s="6">
        <v>5283.416015625</v>
      </c>
      <c r="R860" s="6">
        <v>1511231.375</v>
      </c>
      <c r="S860" s="6">
        <v>2458221.5</v>
      </c>
      <c r="T860" s="31">
        <f t="shared" si="185"/>
        <v>782.63939436645512</v>
      </c>
      <c r="U860" s="37">
        <v>306.77777777777777</v>
      </c>
      <c r="V860">
        <f t="shared" si="186"/>
        <v>2.5511606480616069</v>
      </c>
      <c r="W860">
        <f t="shared" si="189"/>
        <v>7.345914940423864E-3</v>
      </c>
      <c r="X860" s="35">
        <v>265.31333333333339</v>
      </c>
      <c r="Y860">
        <f t="shared" si="187"/>
        <v>4.9037684489315468E-2</v>
      </c>
      <c r="Z860">
        <f t="shared" si="190"/>
        <v>0.63080591724013035</v>
      </c>
      <c r="AA860">
        <f t="shared" si="191"/>
        <v>0.13226309421405288</v>
      </c>
      <c r="AB860">
        <f t="shared" si="192"/>
        <v>0.44319246649764582</v>
      </c>
      <c r="AC860">
        <f t="shared" si="193"/>
        <v>2.2126037089214168E-4</v>
      </c>
      <c r="AD860">
        <f t="shared" si="194"/>
        <v>1.7222290525398406E-3</v>
      </c>
      <c r="AE860">
        <f t="shared" si="195"/>
        <v>0.49261435621151761</v>
      </c>
      <c r="AF860">
        <f t="shared" si="196"/>
        <v>0.80130363998551246</v>
      </c>
      <c r="AG860">
        <f t="shared" si="188"/>
        <v>2.5511606480616065</v>
      </c>
      <c r="AH860">
        <v>0.43075991682240533</v>
      </c>
      <c r="AI860">
        <v>0.62794612794612792</v>
      </c>
      <c r="AJ860">
        <v>8.5265564913076489E-4</v>
      </c>
      <c r="AK860">
        <v>3.9963675607380695E-3</v>
      </c>
      <c r="AL860">
        <v>0.17422968675755693</v>
      </c>
    </row>
    <row r="861" spans="1:38" x14ac:dyDescent="0.25">
      <c r="A861">
        <v>28</v>
      </c>
      <c r="B861" s="5" t="s">
        <v>34</v>
      </c>
      <c r="C861" s="6" t="s">
        <v>5</v>
      </c>
      <c r="D861" s="6" t="s">
        <v>58</v>
      </c>
      <c r="E861" s="35">
        <v>3799.1</v>
      </c>
      <c r="F861" s="11">
        <v>23</v>
      </c>
      <c r="G861" s="11">
        <v>19</v>
      </c>
      <c r="H861" s="11">
        <f t="shared" si="184"/>
        <v>4</v>
      </c>
      <c r="I861" s="18">
        <v>1</v>
      </c>
      <c r="J861" s="18">
        <v>0.99853372434017595</v>
      </c>
      <c r="K861" s="18">
        <v>0.6</v>
      </c>
      <c r="L861" s="6">
        <v>156399.53125</v>
      </c>
      <c r="M861" s="6">
        <v>1964286.625</v>
      </c>
      <c r="N861" s="6">
        <v>264859.125</v>
      </c>
      <c r="O861" s="6">
        <v>1229799.25</v>
      </c>
      <c r="P861" s="6">
        <v>678.77764892578125</v>
      </c>
      <c r="Q861" s="6">
        <v>7281.21044921875</v>
      </c>
      <c r="R861" s="6">
        <v>1535976.875</v>
      </c>
      <c r="S861" s="6">
        <v>2520383.25</v>
      </c>
      <c r="T861" s="31">
        <f t="shared" si="185"/>
        <v>767.9664644348145</v>
      </c>
      <c r="U861" s="37">
        <v>308.88888888888891</v>
      </c>
      <c r="V861">
        <f t="shared" si="186"/>
        <v>2.4862223668752987</v>
      </c>
      <c r="W861">
        <f t="shared" si="189"/>
        <v>-2.5454406893446253E-2</v>
      </c>
      <c r="X861" s="35">
        <v>279.96333333333337</v>
      </c>
      <c r="Y861">
        <f t="shared" si="187"/>
        <v>5.0632941771582729E-2</v>
      </c>
      <c r="Z861">
        <f t="shared" si="190"/>
        <v>0.6359201303956834</v>
      </c>
      <c r="AA861">
        <f t="shared" si="191"/>
        <v>8.5745759892086326E-2</v>
      </c>
      <c r="AB861">
        <f t="shared" si="192"/>
        <v>0.39813644784172658</v>
      </c>
      <c r="AC861">
        <f t="shared" si="193"/>
        <v>2.1974815972417377E-4</v>
      </c>
      <c r="AD861">
        <f t="shared" si="194"/>
        <v>2.357226404423336E-3</v>
      </c>
      <c r="AE861">
        <f t="shared" si="195"/>
        <v>0.49725870053956833</v>
      </c>
      <c r="AF861">
        <f t="shared" si="196"/>
        <v>0.81595141187050346</v>
      </c>
      <c r="AG861">
        <f t="shared" si="188"/>
        <v>2.4862223668752983</v>
      </c>
      <c r="AH861">
        <v>0.43075991682240533</v>
      </c>
      <c r="AI861">
        <v>0.62794612794612792</v>
      </c>
      <c r="AJ861">
        <v>8.5265564913076489E-4</v>
      </c>
      <c r="AK861">
        <v>3.9963675607380695E-3</v>
      </c>
      <c r="AL861">
        <v>0.17422968675755693</v>
      </c>
    </row>
    <row r="862" spans="1:38" x14ac:dyDescent="0.25">
      <c r="A862">
        <v>28</v>
      </c>
      <c r="B862" s="5" t="s">
        <v>34</v>
      </c>
      <c r="C862" s="6" t="s">
        <v>5</v>
      </c>
      <c r="D862" s="6" t="s">
        <v>59</v>
      </c>
      <c r="E862" s="35">
        <v>3799.1</v>
      </c>
      <c r="F862" s="11">
        <v>24</v>
      </c>
      <c r="G862" s="11">
        <v>19</v>
      </c>
      <c r="H862" s="11">
        <f t="shared" si="184"/>
        <v>5</v>
      </c>
      <c r="I862" s="18">
        <v>1</v>
      </c>
      <c r="J862" s="18">
        <v>0.99853372434017595</v>
      </c>
      <c r="K862" s="18">
        <v>0.6</v>
      </c>
      <c r="L862" s="6">
        <v>155097.6875</v>
      </c>
      <c r="M862" s="6">
        <v>1942813</v>
      </c>
      <c r="N862" s="6">
        <v>169220.09375</v>
      </c>
      <c r="O862" s="6">
        <v>1221756.125</v>
      </c>
      <c r="P862" s="6">
        <v>678.77764892578125</v>
      </c>
      <c r="Q862" s="6">
        <v>4789.875</v>
      </c>
      <c r="R862" s="6">
        <v>1520408.25</v>
      </c>
      <c r="S862" s="6">
        <v>2506568</v>
      </c>
      <c r="T862" s="31">
        <f t="shared" si="185"/>
        <v>752.13318088989263</v>
      </c>
      <c r="U862" s="37">
        <v>311</v>
      </c>
      <c r="V862">
        <f t="shared" si="186"/>
        <v>2.4184346652408122</v>
      </c>
      <c r="W862">
        <f t="shared" si="189"/>
        <v>-2.7265341402137974E-2</v>
      </c>
      <c r="X862" s="35">
        <v>294.61333333333334</v>
      </c>
      <c r="Y862">
        <f t="shared" si="187"/>
        <v>4.9870639067524113E-2</v>
      </c>
      <c r="Z862">
        <f t="shared" si="190"/>
        <v>0.62469871382636655</v>
      </c>
      <c r="AA862">
        <f t="shared" si="191"/>
        <v>5.4411605707395498E-2</v>
      </c>
      <c r="AB862">
        <f t="shared" si="192"/>
        <v>0.39284762861736333</v>
      </c>
      <c r="AC862">
        <f t="shared" si="193"/>
        <v>2.182564787542705E-4</v>
      </c>
      <c r="AD862">
        <f t="shared" si="194"/>
        <v>1.5401527331189711E-3</v>
      </c>
      <c r="AE862">
        <f t="shared" si="195"/>
        <v>0.48887725080385852</v>
      </c>
      <c r="AF862">
        <f t="shared" si="196"/>
        <v>0.80597041800643088</v>
      </c>
      <c r="AG862">
        <f t="shared" si="188"/>
        <v>2.4184346652408122</v>
      </c>
      <c r="AH862">
        <v>0.43075991682240533</v>
      </c>
      <c r="AI862">
        <v>0.62794612794612792</v>
      </c>
      <c r="AJ862">
        <v>8.5265564913076489E-4</v>
      </c>
      <c r="AK862">
        <v>3.9963675607380695E-3</v>
      </c>
      <c r="AL862">
        <v>0.17422968675755693</v>
      </c>
    </row>
    <row r="863" spans="1:38" x14ac:dyDescent="0.25">
      <c r="A863">
        <v>28</v>
      </c>
      <c r="B863" s="5" t="s">
        <v>34</v>
      </c>
      <c r="C863" s="6" t="s">
        <v>5</v>
      </c>
      <c r="D863" s="6" t="s">
        <v>60</v>
      </c>
      <c r="E863" s="35">
        <v>3799.1</v>
      </c>
      <c r="F863" s="11">
        <v>25</v>
      </c>
      <c r="G863" s="11">
        <v>19</v>
      </c>
      <c r="H863" s="11">
        <f t="shared" si="184"/>
        <v>6</v>
      </c>
      <c r="I863" s="18">
        <v>1</v>
      </c>
      <c r="J863" s="18">
        <v>0.99853372434017595</v>
      </c>
      <c r="K863" s="18">
        <v>0.6</v>
      </c>
      <c r="L863" s="6">
        <v>154834.859375</v>
      </c>
      <c r="M863" s="6">
        <v>1952661.125</v>
      </c>
      <c r="N863" s="6">
        <v>94133.25</v>
      </c>
      <c r="O863" s="6">
        <v>1279827.75</v>
      </c>
      <c r="P863" s="6">
        <v>678.77764892578125</v>
      </c>
      <c r="Q863" s="6">
        <v>2320.607177734375</v>
      </c>
      <c r="R863" s="6">
        <v>1528789.5</v>
      </c>
      <c r="S863" s="6">
        <v>2452940.75</v>
      </c>
      <c r="T863" s="31">
        <f t="shared" si="185"/>
        <v>746.61866192016601</v>
      </c>
      <c r="U863" s="37">
        <v>309.4444444444444</v>
      </c>
      <c r="V863">
        <f t="shared" si="186"/>
        <v>2.4127712593470361</v>
      </c>
      <c r="W863">
        <f t="shared" si="189"/>
        <v>-2.3417650992081664E-3</v>
      </c>
      <c r="X863" s="35">
        <v>309.26333333333332</v>
      </c>
      <c r="Y863">
        <f t="shared" si="187"/>
        <v>5.0036399798025141E-2</v>
      </c>
      <c r="Z863">
        <f t="shared" si="190"/>
        <v>0.63102154847396774</v>
      </c>
      <c r="AA863">
        <f t="shared" si="191"/>
        <v>3.0420080789946145E-2</v>
      </c>
      <c r="AB863">
        <f t="shared" si="192"/>
        <v>0.41358885996409345</v>
      </c>
      <c r="AC863">
        <f t="shared" si="193"/>
        <v>2.1935363879109634E-4</v>
      </c>
      <c r="AD863">
        <f t="shared" si="194"/>
        <v>7.4992691560536371E-4</v>
      </c>
      <c r="AE863">
        <f t="shared" si="195"/>
        <v>0.49404328545780973</v>
      </c>
      <c r="AF863">
        <f t="shared" si="196"/>
        <v>0.79269180430879727</v>
      </c>
      <c r="AG863">
        <f t="shared" si="188"/>
        <v>2.4127712593470361</v>
      </c>
      <c r="AH863">
        <v>0.43075991682240533</v>
      </c>
      <c r="AI863">
        <v>0.62794612794612792</v>
      </c>
      <c r="AJ863">
        <v>8.5265564913076489E-4</v>
      </c>
      <c r="AK863">
        <v>3.9963675607380695E-3</v>
      </c>
      <c r="AL863">
        <v>0.17422968675755693</v>
      </c>
    </row>
    <row r="864" spans="1:38" x14ac:dyDescent="0.25">
      <c r="A864">
        <v>28</v>
      </c>
      <c r="B864" s="5" t="s">
        <v>34</v>
      </c>
      <c r="C864" s="6" t="s">
        <v>5</v>
      </c>
      <c r="D864" s="6" t="s">
        <v>61</v>
      </c>
      <c r="E864" s="35">
        <v>3799.1</v>
      </c>
      <c r="F864" s="11">
        <v>26</v>
      </c>
      <c r="G864" s="11">
        <v>19</v>
      </c>
      <c r="H864" s="11">
        <f t="shared" si="184"/>
        <v>7</v>
      </c>
      <c r="I864" s="18">
        <v>1</v>
      </c>
      <c r="J864" s="18">
        <v>0.99853372434017595</v>
      </c>
      <c r="K864" s="18">
        <v>0.6</v>
      </c>
      <c r="L864" s="6">
        <v>156180.625</v>
      </c>
      <c r="M864" s="6">
        <v>1873867.125</v>
      </c>
      <c r="N864" s="6">
        <v>70081.046875</v>
      </c>
      <c r="O864" s="6">
        <v>1439564.875</v>
      </c>
      <c r="P864" s="6">
        <v>678.77764892578125</v>
      </c>
      <c r="Q864" s="6">
        <v>1376.514526367188</v>
      </c>
      <c r="R864" s="6">
        <v>1467766.25</v>
      </c>
      <c r="S864" s="6">
        <v>2417508.25</v>
      </c>
      <c r="T864" s="31">
        <f t="shared" si="185"/>
        <v>742.70234640502929</v>
      </c>
      <c r="U864" s="37">
        <v>307.88888888888886</v>
      </c>
      <c r="V864">
        <f t="shared" si="186"/>
        <v>2.4122414715428597</v>
      </c>
      <c r="W864">
        <f t="shared" si="189"/>
        <v>-2.1957647337017598E-4</v>
      </c>
      <c r="X864" s="35">
        <v>323.9133333333333</v>
      </c>
      <c r="Y864">
        <f t="shared" si="187"/>
        <v>5.0726294658967885E-2</v>
      </c>
      <c r="Z864">
        <f t="shared" si="190"/>
        <v>0.60861797636232418</v>
      </c>
      <c r="AA864">
        <f t="shared" si="191"/>
        <v>2.2761797974557924E-2</v>
      </c>
      <c r="AB864">
        <f t="shared" si="192"/>
        <v>0.46755986557199575</v>
      </c>
      <c r="AC864">
        <f t="shared" si="193"/>
        <v>2.2046188525196798E-4</v>
      </c>
      <c r="AD864">
        <f t="shared" si="194"/>
        <v>4.4708158561186184E-4</v>
      </c>
      <c r="AE864">
        <f t="shared" si="195"/>
        <v>0.47671946048357994</v>
      </c>
      <c r="AF864">
        <f t="shared" si="196"/>
        <v>0.78518853302057023</v>
      </c>
      <c r="AG864">
        <f t="shared" si="188"/>
        <v>2.4122414715428597</v>
      </c>
      <c r="AH864">
        <v>0.43075991682240533</v>
      </c>
      <c r="AI864">
        <v>0.62794612794612792</v>
      </c>
      <c r="AJ864">
        <v>8.5265564913076489E-4</v>
      </c>
      <c r="AK864">
        <v>3.9963675607380695E-3</v>
      </c>
      <c r="AL864">
        <v>0.17422968675755693</v>
      </c>
    </row>
    <row r="865" spans="1:38" x14ac:dyDescent="0.25">
      <c r="A865">
        <v>28</v>
      </c>
      <c r="B865" s="5" t="s">
        <v>34</v>
      </c>
      <c r="C865" s="6" t="s">
        <v>5</v>
      </c>
      <c r="D865" s="6" t="s">
        <v>62</v>
      </c>
      <c r="E865" s="35">
        <v>3799.1</v>
      </c>
      <c r="F865" s="11">
        <v>27</v>
      </c>
      <c r="G865" s="11">
        <v>19</v>
      </c>
      <c r="H865" s="11">
        <f t="shared" si="184"/>
        <v>8</v>
      </c>
      <c r="I865" s="18">
        <v>1</v>
      </c>
      <c r="J865" s="18">
        <v>0.99853372434017595</v>
      </c>
      <c r="K865" s="18">
        <v>0.6</v>
      </c>
      <c r="L865" s="6">
        <v>151686.171875</v>
      </c>
      <c r="M865" s="6">
        <v>1818894.875</v>
      </c>
      <c r="N865" s="6">
        <v>77894.953125</v>
      </c>
      <c r="O865" s="6">
        <v>1531900.625</v>
      </c>
      <c r="P865" s="6">
        <v>678.77764892578125</v>
      </c>
      <c r="Q865" s="6">
        <v>1929.888061523438</v>
      </c>
      <c r="R865" s="6">
        <v>1426042</v>
      </c>
      <c r="S865" s="6">
        <v>2435332</v>
      </c>
      <c r="T865" s="31">
        <f t="shared" si="185"/>
        <v>744.43592907104494</v>
      </c>
      <c r="U865" s="37">
        <v>306.33333333333331</v>
      </c>
      <c r="V865">
        <f t="shared" si="186"/>
        <v>2.4301499316791459</v>
      </c>
      <c r="W865">
        <f t="shared" si="189"/>
        <v>7.4239914815957637E-3</v>
      </c>
      <c r="X865" s="35">
        <v>338.56333333333328</v>
      </c>
      <c r="Y865">
        <f t="shared" si="187"/>
        <v>4.9516704638193694E-2</v>
      </c>
      <c r="Z865">
        <f t="shared" si="190"/>
        <v>0.5937632889009794</v>
      </c>
      <c r="AA865">
        <f t="shared" si="191"/>
        <v>2.5428167505440698E-2</v>
      </c>
      <c r="AB865">
        <f t="shared" si="192"/>
        <v>0.50007637377584335</v>
      </c>
      <c r="AC865">
        <f t="shared" si="193"/>
        <v>2.2158138702691447E-4</v>
      </c>
      <c r="AD865">
        <f t="shared" si="194"/>
        <v>6.2999610278240636E-4</v>
      </c>
      <c r="AE865">
        <f t="shared" si="195"/>
        <v>0.46551969532100113</v>
      </c>
      <c r="AF865">
        <f t="shared" si="196"/>
        <v>0.79499412404787817</v>
      </c>
      <c r="AG865">
        <f t="shared" si="188"/>
        <v>2.4301499316791459</v>
      </c>
      <c r="AH865">
        <v>0.43075991682240533</v>
      </c>
      <c r="AI865">
        <v>0.62794612794612792</v>
      </c>
      <c r="AJ865">
        <v>8.5265564913076489E-4</v>
      </c>
      <c r="AK865">
        <v>3.9963675607380695E-3</v>
      </c>
      <c r="AL865">
        <v>0.17422968675755693</v>
      </c>
    </row>
    <row r="866" spans="1:38" x14ac:dyDescent="0.25">
      <c r="A866">
        <v>28</v>
      </c>
      <c r="B866" s="5" t="s">
        <v>34</v>
      </c>
      <c r="C866" s="6" t="s">
        <v>5</v>
      </c>
      <c r="D866" s="6" t="s">
        <v>63</v>
      </c>
      <c r="E866" s="35">
        <v>3799.1</v>
      </c>
      <c r="F866" s="11">
        <v>28</v>
      </c>
      <c r="G866" s="11">
        <v>19</v>
      </c>
      <c r="H866" s="11">
        <f t="shared" si="184"/>
        <v>9</v>
      </c>
      <c r="I866" s="18">
        <v>1</v>
      </c>
      <c r="J866" s="18">
        <v>0.99853372434017595</v>
      </c>
      <c r="K866" s="18">
        <v>0.6</v>
      </c>
      <c r="L866" s="6">
        <v>150309.328125</v>
      </c>
      <c r="M866" s="6">
        <v>1899240.375</v>
      </c>
      <c r="N866" s="6">
        <v>139836.515625</v>
      </c>
      <c r="O866" s="6">
        <v>1337416.875</v>
      </c>
      <c r="P866" s="6">
        <v>678.77764892578125</v>
      </c>
      <c r="Q866" s="6">
        <v>5369.98974609375</v>
      </c>
      <c r="R866" s="6">
        <v>1488285.5</v>
      </c>
      <c r="S866" s="6">
        <v>2465997.5</v>
      </c>
      <c r="T866" s="31">
        <f t="shared" si="185"/>
        <v>748.71348611450196</v>
      </c>
      <c r="U866" s="37">
        <v>324.55555555555554</v>
      </c>
      <c r="V866">
        <f t="shared" si="186"/>
        <v>2.3068885227766236</v>
      </c>
      <c r="W866">
        <f t="shared" si="189"/>
        <v>-5.0721730085745438E-2</v>
      </c>
      <c r="X866" s="35">
        <v>353.21333333333325</v>
      </c>
      <c r="Y866">
        <f t="shared" si="187"/>
        <v>4.6312357176480655E-2</v>
      </c>
      <c r="Z866">
        <f t="shared" si="190"/>
        <v>0.58518190260184877</v>
      </c>
      <c r="AA866">
        <f t="shared" si="191"/>
        <v>4.3085540589695312E-2</v>
      </c>
      <c r="AB866">
        <f t="shared" si="192"/>
        <v>0.41207640790825062</v>
      </c>
      <c r="AC866">
        <f t="shared" si="193"/>
        <v>2.0914066553687203E-4</v>
      </c>
      <c r="AD866">
        <f t="shared" si="194"/>
        <v>1.6545671932503851E-3</v>
      </c>
      <c r="AE866">
        <f t="shared" si="195"/>
        <v>0.45856109209174939</v>
      </c>
      <c r="AF866">
        <f t="shared" si="196"/>
        <v>0.75980751454981177</v>
      </c>
      <c r="AG866">
        <f t="shared" si="188"/>
        <v>2.3068885227766236</v>
      </c>
      <c r="AH866">
        <v>0.43075991682240533</v>
      </c>
      <c r="AI866">
        <v>0.62794612794612792</v>
      </c>
      <c r="AJ866">
        <v>8.5265564913076489E-4</v>
      </c>
      <c r="AK866">
        <v>3.9963675607380695E-3</v>
      </c>
      <c r="AL866">
        <v>0.17422968675755693</v>
      </c>
    </row>
    <row r="867" spans="1:38" x14ac:dyDescent="0.25">
      <c r="A867">
        <v>28</v>
      </c>
      <c r="B867" s="5" t="s">
        <v>34</v>
      </c>
      <c r="C867" s="6" t="s">
        <v>5</v>
      </c>
      <c r="D867" s="6" t="s">
        <v>64</v>
      </c>
      <c r="E867" s="35">
        <v>3799.1</v>
      </c>
      <c r="F867" s="11">
        <v>29</v>
      </c>
      <c r="G867" s="11">
        <v>19</v>
      </c>
      <c r="H867" s="11">
        <f t="shared" si="184"/>
        <v>10</v>
      </c>
      <c r="I867" s="18">
        <v>1</v>
      </c>
      <c r="J867" s="18">
        <v>0.99853372434017595</v>
      </c>
      <c r="K867" s="18">
        <v>0.6</v>
      </c>
      <c r="L867" s="6">
        <v>156371.390625</v>
      </c>
      <c r="M867" s="6">
        <v>1956335.875</v>
      </c>
      <c r="N867" s="6">
        <v>318457.75</v>
      </c>
      <c r="O867" s="6">
        <v>1316182.75</v>
      </c>
      <c r="P867" s="6">
        <v>678.77764892578125</v>
      </c>
      <c r="Q867" s="6">
        <v>7407.70068359375</v>
      </c>
      <c r="R867" s="6">
        <v>1530819.625</v>
      </c>
      <c r="S867" s="6">
        <v>2527976</v>
      </c>
      <c r="T867" s="31">
        <f t="shared" si="185"/>
        <v>781.42298689575193</v>
      </c>
      <c r="U867" s="37">
        <v>342.77777777777777</v>
      </c>
      <c r="V867">
        <f t="shared" si="186"/>
        <v>2.279678081705597</v>
      </c>
      <c r="W867">
        <f t="shared" si="189"/>
        <v>-1.1795299513769066E-2</v>
      </c>
      <c r="X867" s="35">
        <v>367.86333333333323</v>
      </c>
      <c r="Y867">
        <f t="shared" si="187"/>
        <v>4.5618882192058348E-2</v>
      </c>
      <c r="Z867">
        <f t="shared" si="190"/>
        <v>0.57073007698541334</v>
      </c>
      <c r="AA867">
        <f t="shared" si="191"/>
        <v>9.2905016207455435E-2</v>
      </c>
      <c r="AB867">
        <f t="shared" si="192"/>
        <v>0.38397551863857377</v>
      </c>
      <c r="AC867">
        <f t="shared" si="193"/>
        <v>1.9802265284706746E-4</v>
      </c>
      <c r="AD867">
        <f t="shared" si="194"/>
        <v>2.1610796159592786E-3</v>
      </c>
      <c r="AE867">
        <f t="shared" si="195"/>
        <v>0.44659243517017833</v>
      </c>
      <c r="AF867">
        <f t="shared" si="196"/>
        <v>0.73749705024311185</v>
      </c>
      <c r="AG867">
        <f t="shared" si="188"/>
        <v>2.279678081705597</v>
      </c>
      <c r="AH867">
        <v>0.43075991682240533</v>
      </c>
      <c r="AI867">
        <v>0.62794612794612792</v>
      </c>
      <c r="AJ867">
        <v>8.5265564913076489E-4</v>
      </c>
      <c r="AK867">
        <v>3.9963675607380695E-3</v>
      </c>
      <c r="AL867">
        <v>0.17422968675755693</v>
      </c>
    </row>
    <row r="868" spans="1:38" x14ac:dyDescent="0.25">
      <c r="A868">
        <v>28</v>
      </c>
      <c r="B868" s="5" t="s">
        <v>34</v>
      </c>
      <c r="C868" s="6" t="s">
        <v>5</v>
      </c>
      <c r="D868" s="6" t="s">
        <v>65</v>
      </c>
      <c r="E868" s="35">
        <v>3799.1</v>
      </c>
      <c r="F868" s="11">
        <v>30</v>
      </c>
      <c r="G868" s="11">
        <v>19</v>
      </c>
      <c r="H868" s="11">
        <f t="shared" si="184"/>
        <v>11</v>
      </c>
      <c r="I868" s="18">
        <v>1</v>
      </c>
      <c r="J868" s="18">
        <v>0.99853372434017595</v>
      </c>
      <c r="K868" s="18">
        <v>0.6</v>
      </c>
      <c r="L868" s="6">
        <v>155193.40625</v>
      </c>
      <c r="M868" s="6">
        <v>1950715.625</v>
      </c>
      <c r="N868" s="6">
        <v>470503.5</v>
      </c>
      <c r="O868" s="6">
        <v>1405783.625</v>
      </c>
      <c r="P868" s="6">
        <v>678.77764892578125</v>
      </c>
      <c r="Q868" s="6">
        <v>4891.54443359375</v>
      </c>
      <c r="R868" s="6">
        <v>1525527.5</v>
      </c>
      <c r="S868" s="6">
        <v>2504941.5</v>
      </c>
      <c r="T868" s="31">
        <f t="shared" si="185"/>
        <v>801.82354783325195</v>
      </c>
      <c r="U868" s="37">
        <v>361</v>
      </c>
      <c r="V868">
        <f t="shared" si="186"/>
        <v>2.2211178610339388</v>
      </c>
      <c r="W868">
        <f t="shared" si="189"/>
        <v>-2.5687934248964206E-2</v>
      </c>
      <c r="X868" s="35">
        <v>382.51333333333321</v>
      </c>
      <c r="Y868">
        <f t="shared" si="187"/>
        <v>4.2989863227146818E-2</v>
      </c>
      <c r="Z868">
        <f t="shared" si="190"/>
        <v>0.54036443905817177</v>
      </c>
      <c r="AA868">
        <f t="shared" si="191"/>
        <v>0.13033337950138504</v>
      </c>
      <c r="AB868">
        <f t="shared" si="192"/>
        <v>0.38941374653739613</v>
      </c>
      <c r="AC868">
        <f t="shared" si="193"/>
        <v>1.8802704956392833E-4</v>
      </c>
      <c r="AD868">
        <f t="shared" si="194"/>
        <v>1.3549984580592104E-3</v>
      </c>
      <c r="AE868">
        <f t="shared" si="195"/>
        <v>0.42258379501385041</v>
      </c>
      <c r="AF868">
        <f t="shared" si="196"/>
        <v>0.69388961218836565</v>
      </c>
      <c r="AG868">
        <f t="shared" si="188"/>
        <v>2.2211178610339393</v>
      </c>
      <c r="AH868">
        <v>0.43075991682240533</v>
      </c>
      <c r="AI868">
        <v>0.62794612794612792</v>
      </c>
      <c r="AJ868">
        <v>8.5265564913076489E-4</v>
      </c>
      <c r="AK868">
        <v>3.9963675607380695E-3</v>
      </c>
      <c r="AL868">
        <v>0.17422968675755693</v>
      </c>
    </row>
    <row r="869" spans="1:38" x14ac:dyDescent="0.25">
      <c r="A869">
        <v>28</v>
      </c>
      <c r="B869" s="5" t="s">
        <v>34</v>
      </c>
      <c r="C869" s="6" t="s">
        <v>5</v>
      </c>
      <c r="D869" s="6" t="s">
        <v>66</v>
      </c>
      <c r="E869" s="35">
        <v>3799.1</v>
      </c>
      <c r="F869" s="11">
        <v>31</v>
      </c>
      <c r="G869" s="11">
        <v>19</v>
      </c>
      <c r="H869" s="11">
        <f t="shared" si="184"/>
        <v>12</v>
      </c>
      <c r="I869" s="18">
        <v>1</v>
      </c>
      <c r="J869" s="18">
        <v>0.99853372434017595</v>
      </c>
      <c r="K869" s="18">
        <v>0.6</v>
      </c>
      <c r="L869" s="6">
        <v>155079.71875</v>
      </c>
      <c r="M869" s="6">
        <v>1969524.75</v>
      </c>
      <c r="N869" s="6">
        <v>713711.5625</v>
      </c>
      <c r="O869" s="6">
        <v>1568094.625</v>
      </c>
      <c r="P869" s="6">
        <v>679.10345458984375</v>
      </c>
      <c r="Q869" s="6">
        <v>2290.95458984375</v>
      </c>
      <c r="R869" s="6">
        <v>1539462.375</v>
      </c>
      <c r="S869" s="6">
        <v>2439837.75</v>
      </c>
      <c r="T869" s="31">
        <f t="shared" si="185"/>
        <v>838.8680839294434</v>
      </c>
      <c r="U869" s="37">
        <v>379.22222222222223</v>
      </c>
      <c r="V869">
        <f t="shared" si="186"/>
        <v>2.2120752286448844</v>
      </c>
      <c r="W869">
        <f t="shared" si="189"/>
        <v>-4.0712078128285686E-3</v>
      </c>
      <c r="X869" s="35">
        <v>397.16333333333318</v>
      </c>
      <c r="Y869">
        <f t="shared" si="187"/>
        <v>4.0894153786990912E-2</v>
      </c>
      <c r="Z869">
        <f t="shared" si="190"/>
        <v>0.51935900234397891</v>
      </c>
      <c r="AA869">
        <f t="shared" si="191"/>
        <v>0.18820404519484324</v>
      </c>
      <c r="AB869">
        <f t="shared" si="192"/>
        <v>0.41350283108702024</v>
      </c>
      <c r="AC869">
        <f t="shared" si="193"/>
        <v>1.7907796927361832E-4</v>
      </c>
      <c r="AD869">
        <f t="shared" si="194"/>
        <v>6.0411928826820246E-4</v>
      </c>
      <c r="AE869">
        <f t="shared" si="195"/>
        <v>0.40595257471432755</v>
      </c>
      <c r="AF869">
        <f t="shared" si="196"/>
        <v>0.64337942426018158</v>
      </c>
      <c r="AG869">
        <f t="shared" si="188"/>
        <v>2.2120752286448844</v>
      </c>
      <c r="AH869">
        <v>0.43075991682240533</v>
      </c>
      <c r="AI869">
        <v>0.62794612794612792</v>
      </c>
      <c r="AJ869">
        <v>8.5265564913076489E-4</v>
      </c>
      <c r="AK869">
        <v>3.9963675607380695E-3</v>
      </c>
      <c r="AL869">
        <v>0.17422968675755693</v>
      </c>
    </row>
    <row r="870" spans="1:38" x14ac:dyDescent="0.25">
      <c r="A870">
        <v>29</v>
      </c>
      <c r="B870" s="5" t="s">
        <v>12</v>
      </c>
      <c r="C870" s="6" t="s">
        <v>5</v>
      </c>
      <c r="D870" s="6" t="s">
        <v>36</v>
      </c>
      <c r="E870" s="28">
        <v>4522.3087999999998</v>
      </c>
      <c r="F870" s="11">
        <v>1</v>
      </c>
      <c r="G870" s="11">
        <v>16</v>
      </c>
      <c r="H870" s="18">
        <f t="shared" si="184"/>
        <v>-15</v>
      </c>
      <c r="I870" s="18">
        <v>1</v>
      </c>
      <c r="J870" s="19">
        <v>0.54985337243401755</v>
      </c>
      <c r="K870" s="19">
        <v>0.4</v>
      </c>
      <c r="L870" s="14">
        <v>10024452</v>
      </c>
      <c r="M870" s="14">
        <v>352521.1875</v>
      </c>
      <c r="N870" s="14">
        <v>322150.90625</v>
      </c>
      <c r="O870" s="14">
        <v>1809473.25</v>
      </c>
      <c r="P870" s="14">
        <v>2238.20971679688</v>
      </c>
      <c r="Q870" s="14">
        <v>4092.88916015625</v>
      </c>
      <c r="R870" s="14">
        <v>430009.28125</v>
      </c>
      <c r="S870" s="14">
        <v>861403.75</v>
      </c>
      <c r="T870" s="31">
        <f t="shared" si="185"/>
        <v>1380.6341473876953</v>
      </c>
      <c r="U870" s="37"/>
      <c r="X870" s="28">
        <v>356.02416666666664</v>
      </c>
      <c r="Y870" t="e">
        <f t="shared" si="187"/>
        <v>#DIV/0!</v>
      </c>
      <c r="Z870" t="e">
        <f t="shared" si="190"/>
        <v>#DIV/0!</v>
      </c>
      <c r="AA870" t="e">
        <f t="shared" si="191"/>
        <v>#DIV/0!</v>
      </c>
      <c r="AB870" t="e">
        <f t="shared" si="192"/>
        <v>#DIV/0!</v>
      </c>
      <c r="AC870" t="e">
        <f t="shared" si="193"/>
        <v>#DIV/0!</v>
      </c>
      <c r="AD870" t="e">
        <f t="shared" si="194"/>
        <v>#DIV/0!</v>
      </c>
      <c r="AE870" t="e">
        <f t="shared" si="195"/>
        <v>#DIV/0!</v>
      </c>
      <c r="AF870" t="e">
        <f t="shared" si="196"/>
        <v>#DIV/0!</v>
      </c>
      <c r="AG870" t="e">
        <f t="shared" si="188"/>
        <v>#DIV/0!</v>
      </c>
      <c r="AH870">
        <v>0.45034518651181005</v>
      </c>
      <c r="AI870">
        <v>0.66068965517241385</v>
      </c>
      <c r="AJ870">
        <v>1.3971055826412041E-2</v>
      </c>
      <c r="AK870">
        <v>1.1444972532614315E-2</v>
      </c>
      <c r="AL870">
        <v>0.32216067063989517</v>
      </c>
    </row>
    <row r="871" spans="1:38" x14ac:dyDescent="0.25">
      <c r="A871">
        <v>29</v>
      </c>
      <c r="B871" s="5" t="s">
        <v>12</v>
      </c>
      <c r="C871" s="6" t="s">
        <v>5</v>
      </c>
      <c r="D871" s="6" t="s">
        <v>37</v>
      </c>
      <c r="E871" s="28">
        <v>4522.3087999999998</v>
      </c>
      <c r="F871" s="11">
        <v>2</v>
      </c>
      <c r="G871" s="11">
        <v>16</v>
      </c>
      <c r="H871" s="11">
        <f t="shared" si="184"/>
        <v>-14</v>
      </c>
      <c r="I871" s="18">
        <v>1</v>
      </c>
      <c r="J871" s="19">
        <v>0.54985337243401755</v>
      </c>
      <c r="K871" s="19">
        <v>0.4</v>
      </c>
      <c r="L871" s="6">
        <v>10888531</v>
      </c>
      <c r="M871" s="6">
        <v>339173.15625</v>
      </c>
      <c r="N871" s="6">
        <v>322150.90625</v>
      </c>
      <c r="O871" s="6">
        <v>1736666.125</v>
      </c>
      <c r="P871" s="6">
        <v>2238.20971679688</v>
      </c>
      <c r="Q871" s="6">
        <v>2406.52758789062</v>
      </c>
      <c r="R871" s="6">
        <v>431967.15625</v>
      </c>
      <c r="S871" s="6">
        <v>844625.8125</v>
      </c>
      <c r="T871" s="31">
        <f t="shared" si="185"/>
        <v>1456.7758893554687</v>
      </c>
      <c r="U871" s="37">
        <v>385.5</v>
      </c>
      <c r="V871">
        <f t="shared" si="186"/>
        <v>3.778925783023265</v>
      </c>
      <c r="W871" t="e">
        <f>(V871-V870)/V870</f>
        <v>#DIV/0!</v>
      </c>
      <c r="X871" s="28">
        <v>408.68249999999995</v>
      </c>
      <c r="Y871">
        <f t="shared" si="187"/>
        <v>2.8245216601815826</v>
      </c>
      <c r="Z871">
        <f t="shared" si="190"/>
        <v>8.7982660505836571E-2</v>
      </c>
      <c r="AA871">
        <f t="shared" si="191"/>
        <v>8.3567031452658883E-2</v>
      </c>
      <c r="AB871">
        <f t="shared" si="192"/>
        <v>0.45049704928664069</v>
      </c>
      <c r="AC871">
        <f t="shared" si="193"/>
        <v>5.8059914832603885E-4</v>
      </c>
      <c r="AD871">
        <f t="shared" si="194"/>
        <v>6.2426137169665889E-4</v>
      </c>
      <c r="AE871">
        <f t="shared" si="195"/>
        <v>0.11205373702983139</v>
      </c>
      <c r="AF871">
        <f t="shared" si="196"/>
        <v>0.21909878404669261</v>
      </c>
      <c r="AG871">
        <f t="shared" si="188"/>
        <v>3.778925783023265</v>
      </c>
      <c r="AH871">
        <v>0.45034518651181005</v>
      </c>
      <c r="AI871">
        <v>0.66068965517241385</v>
      </c>
      <c r="AJ871">
        <v>1.3971055826412041E-2</v>
      </c>
      <c r="AK871">
        <v>1.1444972532614315E-2</v>
      </c>
      <c r="AL871">
        <v>0.32216067063989517</v>
      </c>
    </row>
    <row r="872" spans="1:38" x14ac:dyDescent="0.25">
      <c r="A872">
        <v>29</v>
      </c>
      <c r="B872" s="5" t="s">
        <v>12</v>
      </c>
      <c r="C872" s="6" t="s">
        <v>5</v>
      </c>
      <c r="D872" s="6" t="s">
        <v>38</v>
      </c>
      <c r="E872" s="28">
        <v>4522.3087999999998</v>
      </c>
      <c r="F872" s="11">
        <v>3</v>
      </c>
      <c r="G872" s="11">
        <v>16</v>
      </c>
      <c r="H872" s="11">
        <f t="shared" si="184"/>
        <v>-13</v>
      </c>
      <c r="I872" s="18">
        <v>1</v>
      </c>
      <c r="J872" s="19">
        <v>0.54985337243401755</v>
      </c>
      <c r="K872" s="19">
        <v>0.4</v>
      </c>
      <c r="L872" s="6">
        <v>10884296</v>
      </c>
      <c r="M872" s="6">
        <v>330331</v>
      </c>
      <c r="N872" s="6">
        <v>322150.90625</v>
      </c>
      <c r="O872" s="6">
        <v>1686688.75</v>
      </c>
      <c r="P872" s="6">
        <v>2238.20971679688</v>
      </c>
      <c r="Q872" s="6">
        <v>3379.24047851562</v>
      </c>
      <c r="R872" s="6">
        <v>425429.0625</v>
      </c>
      <c r="S872" s="6">
        <v>853060.1875</v>
      </c>
      <c r="T872" s="31">
        <f t="shared" si="185"/>
        <v>1450.7573356445312</v>
      </c>
      <c r="U872" s="37">
        <v>400</v>
      </c>
      <c r="V872">
        <f t="shared" si="186"/>
        <v>3.6268933391113278</v>
      </c>
      <c r="W872">
        <f t="shared" ref="W872:W900" si="197">(V872-V871)/V871</f>
        <v>-4.023165646569174E-2</v>
      </c>
      <c r="X872" s="28">
        <v>461.34083333333325</v>
      </c>
      <c r="Y872">
        <f t="shared" si="187"/>
        <v>2.7210740000000002</v>
      </c>
      <c r="Z872">
        <f t="shared" si="190"/>
        <v>8.2582749999999996E-2</v>
      </c>
      <c r="AA872">
        <f t="shared" si="191"/>
        <v>8.0537726562499995E-2</v>
      </c>
      <c r="AB872">
        <f t="shared" si="192"/>
        <v>0.42167218750000002</v>
      </c>
      <c r="AC872">
        <f t="shared" si="193"/>
        <v>5.5955242919922005E-4</v>
      </c>
      <c r="AD872">
        <f t="shared" si="194"/>
        <v>8.4481011962890507E-4</v>
      </c>
      <c r="AE872">
        <f t="shared" si="195"/>
        <v>0.10635726562499999</v>
      </c>
      <c r="AF872">
        <f t="shared" si="196"/>
        <v>0.213265046875</v>
      </c>
      <c r="AG872">
        <f t="shared" si="188"/>
        <v>3.6268933391113283</v>
      </c>
      <c r="AH872">
        <v>0.45034518651181005</v>
      </c>
      <c r="AI872">
        <v>0.66068965517241385</v>
      </c>
      <c r="AJ872">
        <v>1.3971055826412041E-2</v>
      </c>
      <c r="AK872">
        <v>1.1444972532614315E-2</v>
      </c>
      <c r="AL872">
        <v>0.32216067063989517</v>
      </c>
    </row>
    <row r="873" spans="1:38" x14ac:dyDescent="0.25">
      <c r="A873">
        <v>29</v>
      </c>
      <c r="B873" s="5" t="s">
        <v>12</v>
      </c>
      <c r="C873" s="6" t="s">
        <v>5</v>
      </c>
      <c r="D873" s="6" t="s">
        <v>39</v>
      </c>
      <c r="E873" s="28">
        <v>4522.3087999999998</v>
      </c>
      <c r="F873" s="11">
        <v>4</v>
      </c>
      <c r="G873" s="11">
        <v>16</v>
      </c>
      <c r="H873" s="11">
        <f t="shared" si="184"/>
        <v>-12</v>
      </c>
      <c r="I873" s="18">
        <v>1</v>
      </c>
      <c r="J873" s="19">
        <v>0.54985337243401755</v>
      </c>
      <c r="K873" s="19">
        <v>0.4</v>
      </c>
      <c r="L873" s="6">
        <v>10344952</v>
      </c>
      <c r="M873" s="6">
        <v>344179.1875</v>
      </c>
      <c r="N873" s="6">
        <v>322150.90625</v>
      </c>
      <c r="O873" s="6">
        <v>1760856.5</v>
      </c>
      <c r="P873" s="6">
        <v>2238.20971679688</v>
      </c>
      <c r="Q873" s="6">
        <v>9461.5478515625</v>
      </c>
      <c r="R873" s="6">
        <v>423431</v>
      </c>
      <c r="S873" s="6">
        <v>867579.0625</v>
      </c>
      <c r="T873" s="31">
        <f t="shared" si="185"/>
        <v>1407.4848413818358</v>
      </c>
      <c r="U873" s="37">
        <v>417.22222222222223</v>
      </c>
      <c r="V873">
        <f t="shared" si="186"/>
        <v>3.3734656650962775</v>
      </c>
      <c r="W873">
        <f t="shared" si="197"/>
        <v>-6.9874586959082149E-2</v>
      </c>
      <c r="X873" s="28">
        <v>513.99916666666661</v>
      </c>
      <c r="Y873">
        <f t="shared" si="187"/>
        <v>2.4794825033288945</v>
      </c>
      <c r="Z873">
        <f t="shared" si="190"/>
        <v>8.2493014314247673E-2</v>
      </c>
      <c r="AA873">
        <f t="shared" si="191"/>
        <v>7.7213266478029285E-2</v>
      </c>
      <c r="AB873">
        <f t="shared" si="192"/>
        <v>0.42204283621837546</v>
      </c>
      <c r="AC873">
        <f t="shared" si="193"/>
        <v>5.3645505861975816E-4</v>
      </c>
      <c r="AD873">
        <f t="shared" si="194"/>
        <v>2.2677478206141809E-3</v>
      </c>
      <c r="AE873">
        <f t="shared" si="195"/>
        <v>0.10148812250332889</v>
      </c>
      <c r="AF873">
        <f t="shared" si="196"/>
        <v>0.20794171937416778</v>
      </c>
      <c r="AG873">
        <f t="shared" si="188"/>
        <v>3.3734656650962775</v>
      </c>
      <c r="AH873">
        <v>0.45034518651181005</v>
      </c>
      <c r="AI873">
        <v>0.66068965517241385</v>
      </c>
      <c r="AJ873">
        <v>1.3971055826412041E-2</v>
      </c>
      <c r="AK873">
        <v>1.1444972532614315E-2</v>
      </c>
      <c r="AL873">
        <v>0.32216067063989517</v>
      </c>
    </row>
    <row r="874" spans="1:38" x14ac:dyDescent="0.25">
      <c r="A874">
        <v>29</v>
      </c>
      <c r="B874" s="5" t="s">
        <v>12</v>
      </c>
      <c r="C874" s="6" t="s">
        <v>5</v>
      </c>
      <c r="D874" s="6" t="s">
        <v>40</v>
      </c>
      <c r="E874" s="28">
        <v>4522.3087999999998</v>
      </c>
      <c r="F874" s="11">
        <v>5</v>
      </c>
      <c r="G874" s="11">
        <v>16</v>
      </c>
      <c r="H874" s="11">
        <f t="shared" si="184"/>
        <v>-11</v>
      </c>
      <c r="I874" s="18">
        <v>1</v>
      </c>
      <c r="J874" s="19">
        <v>0.54985337243401755</v>
      </c>
      <c r="K874" s="19">
        <v>0.4</v>
      </c>
      <c r="L874" s="6">
        <v>11722961</v>
      </c>
      <c r="M874" s="6">
        <v>352946.65625</v>
      </c>
      <c r="N874" s="6">
        <v>322150.90625</v>
      </c>
      <c r="O874" s="6">
        <v>1812326.125</v>
      </c>
      <c r="P874" s="6">
        <v>2238.20971679688</v>
      </c>
      <c r="Q874" s="6">
        <v>13049.3427734375</v>
      </c>
      <c r="R874" s="6">
        <v>432249.46875</v>
      </c>
      <c r="S874" s="6">
        <v>896950.1875</v>
      </c>
      <c r="T874" s="31">
        <f t="shared" si="185"/>
        <v>1555.4871896240234</v>
      </c>
      <c r="U874" s="37">
        <v>434.44444444444451</v>
      </c>
      <c r="V874">
        <f t="shared" si="186"/>
        <v>3.5804052958097721</v>
      </c>
      <c r="W874">
        <f t="shared" si="197"/>
        <v>6.1343333905723489E-2</v>
      </c>
      <c r="X874" s="28">
        <v>566.65749999999991</v>
      </c>
      <c r="Y874">
        <f t="shared" si="187"/>
        <v>2.6983797698209715</v>
      </c>
      <c r="Z874">
        <f t="shared" si="190"/>
        <v>8.1240918318414304E-2</v>
      </c>
      <c r="AA874">
        <f t="shared" si="191"/>
        <v>7.4152382512787704E-2</v>
      </c>
      <c r="AB874">
        <f t="shared" si="192"/>
        <v>0.41715946611253196</v>
      </c>
      <c r="AC874">
        <f t="shared" si="193"/>
        <v>5.1518893737012572E-4</v>
      </c>
      <c r="AD874">
        <f t="shared" si="194"/>
        <v>3.0036850373641299E-3</v>
      </c>
      <c r="AE874">
        <f t="shared" si="195"/>
        <v>9.9494762627877223E-2</v>
      </c>
      <c r="AF874">
        <f t="shared" si="196"/>
        <v>0.20645912244245518</v>
      </c>
      <c r="AG874">
        <f t="shared" si="188"/>
        <v>3.5804052958097725</v>
      </c>
      <c r="AH874">
        <v>0.45034518651181005</v>
      </c>
      <c r="AI874">
        <v>0.66068965517241385</v>
      </c>
      <c r="AJ874">
        <v>1.3971055826412041E-2</v>
      </c>
      <c r="AK874">
        <v>1.1444972532614315E-2</v>
      </c>
      <c r="AL874">
        <v>0.32216067063989517</v>
      </c>
    </row>
    <row r="875" spans="1:38" x14ac:dyDescent="0.25">
      <c r="A875">
        <v>29</v>
      </c>
      <c r="B875" s="5" t="s">
        <v>12</v>
      </c>
      <c r="C875" s="6" t="s">
        <v>5</v>
      </c>
      <c r="D875" s="6" t="s">
        <v>41</v>
      </c>
      <c r="E875" s="28">
        <v>4522.3087999999998</v>
      </c>
      <c r="F875" s="11">
        <v>6</v>
      </c>
      <c r="G875" s="11">
        <v>16</v>
      </c>
      <c r="H875" s="11">
        <f t="shared" si="184"/>
        <v>-10</v>
      </c>
      <c r="I875" s="18">
        <v>1</v>
      </c>
      <c r="J875" s="19">
        <v>0.54985337243401755</v>
      </c>
      <c r="K875" s="19">
        <v>0.4</v>
      </c>
      <c r="L875" s="6">
        <v>12385140</v>
      </c>
      <c r="M875" s="6">
        <v>350881.375</v>
      </c>
      <c r="N875" s="6">
        <v>322150.90625</v>
      </c>
      <c r="O875" s="6">
        <v>1806720.375</v>
      </c>
      <c r="P875" s="6">
        <v>2238.20971679688</v>
      </c>
      <c r="Q875" s="6">
        <v>8611.03515625</v>
      </c>
      <c r="R875" s="6">
        <v>430534.78125</v>
      </c>
      <c r="S875" s="6">
        <v>886012</v>
      </c>
      <c r="T875" s="31">
        <f t="shared" si="185"/>
        <v>1619.2288682373046</v>
      </c>
      <c r="U875" s="37">
        <v>451.66666666666669</v>
      </c>
      <c r="V875">
        <f t="shared" si="186"/>
        <v>3.5850085643630361</v>
      </c>
      <c r="W875">
        <f t="shared" si="197"/>
        <v>1.2856836511361692E-3</v>
      </c>
      <c r="X875" s="28">
        <v>619.31583333333322</v>
      </c>
      <c r="Y875">
        <f t="shared" si="187"/>
        <v>2.7420974169741696</v>
      </c>
      <c r="Z875">
        <f t="shared" si="190"/>
        <v>7.7685913284132838E-2</v>
      </c>
      <c r="AA875">
        <f t="shared" si="191"/>
        <v>7.1324923892988931E-2</v>
      </c>
      <c r="AB875">
        <f t="shared" si="192"/>
        <v>0.40001189114391139</v>
      </c>
      <c r="AC875">
        <f t="shared" si="193"/>
        <v>4.9554458674469666E-4</v>
      </c>
      <c r="AD875">
        <f t="shared" si="194"/>
        <v>1.9065022486162359E-3</v>
      </c>
      <c r="AE875">
        <f t="shared" si="195"/>
        <v>9.5321353782287815E-2</v>
      </c>
      <c r="AF875">
        <f t="shared" si="196"/>
        <v>0.1961650184501845</v>
      </c>
      <c r="AG875">
        <f t="shared" si="188"/>
        <v>3.5850085643630361</v>
      </c>
      <c r="AH875">
        <v>0.45034518651181005</v>
      </c>
      <c r="AI875">
        <v>0.66068965517241385</v>
      </c>
      <c r="AJ875">
        <v>1.3971055826412041E-2</v>
      </c>
      <c r="AK875">
        <v>1.1444972532614315E-2</v>
      </c>
      <c r="AL875">
        <v>0.32216067063989517</v>
      </c>
    </row>
    <row r="876" spans="1:38" x14ac:dyDescent="0.25">
      <c r="A876">
        <v>29</v>
      </c>
      <c r="B876" s="5" t="s">
        <v>12</v>
      </c>
      <c r="C876" s="6" t="s">
        <v>5</v>
      </c>
      <c r="D876" s="6" t="s">
        <v>42</v>
      </c>
      <c r="E876" s="28">
        <v>4522.3087999999998</v>
      </c>
      <c r="F876" s="11">
        <v>7</v>
      </c>
      <c r="G876" s="11">
        <v>16</v>
      </c>
      <c r="H876" s="11">
        <f t="shared" si="184"/>
        <v>-9</v>
      </c>
      <c r="I876" s="18">
        <v>1</v>
      </c>
      <c r="J876" s="19">
        <v>0.54985337243401755</v>
      </c>
      <c r="K876" s="19">
        <v>0.4</v>
      </c>
      <c r="L876" s="6">
        <v>15127039</v>
      </c>
      <c r="M876" s="6">
        <v>353679.875</v>
      </c>
      <c r="N876" s="6">
        <v>322305.5625</v>
      </c>
      <c r="O876" s="6">
        <v>1823547</v>
      </c>
      <c r="P876" s="6">
        <v>2239.2841796875</v>
      </c>
      <c r="Q876" s="6">
        <v>4061.1171875</v>
      </c>
      <c r="R876" s="6">
        <v>430465.78125</v>
      </c>
      <c r="S876" s="6">
        <v>854985.5625</v>
      </c>
      <c r="T876" s="31">
        <f t="shared" si="185"/>
        <v>1891.8323182617187</v>
      </c>
      <c r="U876" s="37">
        <v>468.88888888888886</v>
      </c>
      <c r="V876">
        <f t="shared" si="186"/>
        <v>4.0347134749657512</v>
      </c>
      <c r="W876">
        <f t="shared" si="197"/>
        <v>0.12544040063754106</v>
      </c>
      <c r="X876" s="28">
        <v>671.97416666666652</v>
      </c>
      <c r="Y876">
        <f t="shared" si="187"/>
        <v>3.2261457582938391</v>
      </c>
      <c r="Z876">
        <f t="shared" si="190"/>
        <v>7.5429357227488156E-2</v>
      </c>
      <c r="AA876">
        <f t="shared" si="191"/>
        <v>6.8738153139810437E-2</v>
      </c>
      <c r="AB876">
        <f t="shared" si="192"/>
        <v>0.38890812796208535</v>
      </c>
      <c r="AC876">
        <f t="shared" si="193"/>
        <v>4.775724553835901E-4</v>
      </c>
      <c r="AD876">
        <f t="shared" si="194"/>
        <v>8.6611503998815177E-4</v>
      </c>
      <c r="AE876">
        <f t="shared" si="195"/>
        <v>9.1805498370853084E-2</v>
      </c>
      <c r="AF876">
        <f t="shared" si="196"/>
        <v>0.18234289247630334</v>
      </c>
      <c r="AG876">
        <f t="shared" si="188"/>
        <v>4.0347134749657512</v>
      </c>
      <c r="AH876">
        <v>0.45034518651181005</v>
      </c>
      <c r="AI876">
        <v>0.66068965517241385</v>
      </c>
      <c r="AJ876">
        <v>1.3971055826412041E-2</v>
      </c>
      <c r="AK876">
        <v>1.1444972532614315E-2</v>
      </c>
      <c r="AL876">
        <v>0.32216067063989517</v>
      </c>
    </row>
    <row r="877" spans="1:38" x14ac:dyDescent="0.25">
      <c r="A877">
        <v>29</v>
      </c>
      <c r="B877" s="5" t="s">
        <v>12</v>
      </c>
      <c r="C877" s="6" t="s">
        <v>5</v>
      </c>
      <c r="D877" s="6" t="s">
        <v>43</v>
      </c>
      <c r="E877" s="28">
        <v>5069.6000000000004</v>
      </c>
      <c r="F877" s="11">
        <v>8</v>
      </c>
      <c r="G877" s="11">
        <v>16</v>
      </c>
      <c r="H877" s="18">
        <f t="shared" si="184"/>
        <v>-8</v>
      </c>
      <c r="I877" s="18">
        <v>1</v>
      </c>
      <c r="J877" s="19">
        <v>0.54985337243401755</v>
      </c>
      <c r="K877" s="19">
        <v>0.4</v>
      </c>
      <c r="L877" s="14">
        <v>10779190</v>
      </c>
      <c r="M877" s="14">
        <v>339245.375</v>
      </c>
      <c r="N877" s="14">
        <v>314639</v>
      </c>
      <c r="O877" s="14">
        <v>1759800.625</v>
      </c>
      <c r="P877" s="14">
        <v>2289.22216796875</v>
      </c>
      <c r="Q877" s="14">
        <v>2075.10083007812</v>
      </c>
      <c r="R877" s="14">
        <v>447684.9375</v>
      </c>
      <c r="S877" s="14">
        <v>797274</v>
      </c>
      <c r="T877" s="31">
        <f t="shared" si="185"/>
        <v>1444.2198260498046</v>
      </c>
      <c r="U877" s="37">
        <v>366.22222222222223</v>
      </c>
      <c r="V877">
        <f t="shared" si="186"/>
        <v>3.9435614182185197</v>
      </c>
      <c r="W877">
        <f t="shared" si="197"/>
        <v>-2.2591952889047525E-2</v>
      </c>
      <c r="X877" s="28">
        <v>188.71083333333326</v>
      </c>
      <c r="Y877">
        <f t="shared" si="187"/>
        <v>2.9433467839805822</v>
      </c>
      <c r="Z877">
        <f t="shared" si="190"/>
        <v>9.2633749241504845E-2</v>
      </c>
      <c r="AA877">
        <f t="shared" si="191"/>
        <v>8.5914775485436898E-2</v>
      </c>
      <c r="AB877">
        <f t="shared" si="192"/>
        <v>0.48052808328276697</v>
      </c>
      <c r="AC877">
        <f t="shared" si="193"/>
        <v>6.250910046031174E-4</v>
      </c>
      <c r="AD877">
        <f t="shared" si="194"/>
        <v>5.6662340627133129E-4</v>
      </c>
      <c r="AE877">
        <f t="shared" si="195"/>
        <v>0.1222440666717233</v>
      </c>
      <c r="AF877">
        <f t="shared" si="196"/>
        <v>0.21770224514563105</v>
      </c>
      <c r="AG877">
        <f t="shared" si="188"/>
        <v>3.9435614182185201</v>
      </c>
      <c r="AH877">
        <v>0.45735363736783963</v>
      </c>
      <c r="AI877">
        <v>0.66346153846153844</v>
      </c>
      <c r="AJ877">
        <v>1.4028867091900642E-2</v>
      </c>
      <c r="AK877">
        <v>1.1777122455420544E-2</v>
      </c>
      <c r="AL877">
        <v>0.28979437604307712</v>
      </c>
    </row>
    <row r="878" spans="1:38" x14ac:dyDescent="0.25">
      <c r="A878">
        <v>29</v>
      </c>
      <c r="B878" s="5" t="s">
        <v>12</v>
      </c>
      <c r="C878" s="6" t="s">
        <v>5</v>
      </c>
      <c r="D878" s="6" t="s">
        <v>44</v>
      </c>
      <c r="E878" s="28">
        <v>5069.6000000000004</v>
      </c>
      <c r="F878" s="11">
        <v>9</v>
      </c>
      <c r="G878" s="11">
        <v>16</v>
      </c>
      <c r="H878" s="11">
        <f t="shared" si="184"/>
        <v>-7</v>
      </c>
      <c r="I878" s="18">
        <v>1</v>
      </c>
      <c r="J878" s="19">
        <v>0.54985337243401755</v>
      </c>
      <c r="K878" s="19">
        <v>0.4</v>
      </c>
      <c r="L878" s="6">
        <v>10725778</v>
      </c>
      <c r="M878" s="6">
        <v>331907.34375</v>
      </c>
      <c r="N878" s="6">
        <v>314639</v>
      </c>
      <c r="O878" s="6">
        <v>1724483.375</v>
      </c>
      <c r="P878" s="6">
        <v>2289.22216796875</v>
      </c>
      <c r="Q878" s="6">
        <v>2930.28076171875</v>
      </c>
      <c r="R878" s="6">
        <v>440744.78125</v>
      </c>
      <c r="S878" s="6">
        <v>807913.5</v>
      </c>
      <c r="T878" s="31">
        <f t="shared" si="185"/>
        <v>1435.0685502929687</v>
      </c>
      <c r="U878" s="37">
        <v>380.33333333333331</v>
      </c>
      <c r="V878">
        <f t="shared" si="186"/>
        <v>3.773186372374151</v>
      </c>
      <c r="W878">
        <f t="shared" si="197"/>
        <v>-4.3203345345977799E-2</v>
      </c>
      <c r="X878" s="28">
        <v>231.74249999999995</v>
      </c>
      <c r="Y878">
        <f t="shared" si="187"/>
        <v>2.8200993865030677</v>
      </c>
      <c r="Z878">
        <f t="shared" si="190"/>
        <v>8.7267487401402291E-2</v>
      </c>
      <c r="AA878">
        <f t="shared" si="191"/>
        <v>8.2727169149868537E-2</v>
      </c>
      <c r="AB878">
        <f t="shared" si="192"/>
        <v>0.45341368317265562</v>
      </c>
      <c r="AC878">
        <f t="shared" si="193"/>
        <v>6.0189890481211663E-4</v>
      </c>
      <c r="AD878">
        <f t="shared" si="194"/>
        <v>7.7045068230992557E-4</v>
      </c>
      <c r="AE878">
        <f t="shared" si="195"/>
        <v>0.11588381627957933</v>
      </c>
      <c r="AF878">
        <f t="shared" si="196"/>
        <v>0.21242248028045574</v>
      </c>
      <c r="AG878">
        <f t="shared" si="188"/>
        <v>3.773186372374151</v>
      </c>
      <c r="AH878">
        <v>0.45735363736783963</v>
      </c>
      <c r="AI878">
        <v>0.66346153846153844</v>
      </c>
      <c r="AJ878">
        <v>1.4028867091900642E-2</v>
      </c>
      <c r="AK878">
        <v>1.1777122455420544E-2</v>
      </c>
      <c r="AL878">
        <v>0.28979437604307712</v>
      </c>
    </row>
    <row r="879" spans="1:38" x14ac:dyDescent="0.25">
      <c r="A879">
        <v>29</v>
      </c>
      <c r="B879" s="5" t="s">
        <v>12</v>
      </c>
      <c r="C879" s="6" t="s">
        <v>5</v>
      </c>
      <c r="D879" s="6" t="s">
        <v>45</v>
      </c>
      <c r="E879" s="28">
        <v>5069.6000000000004</v>
      </c>
      <c r="F879" s="11">
        <v>10</v>
      </c>
      <c r="G879" s="11">
        <v>16</v>
      </c>
      <c r="H879" s="11">
        <f t="shared" si="184"/>
        <v>-6</v>
      </c>
      <c r="I879" s="18">
        <v>1</v>
      </c>
      <c r="J879" s="19">
        <v>0.54985337243401755</v>
      </c>
      <c r="K879" s="19">
        <v>0.4</v>
      </c>
      <c r="L879" s="6">
        <v>12201113</v>
      </c>
      <c r="M879" s="6">
        <v>344901.5625</v>
      </c>
      <c r="N879" s="6">
        <v>314639</v>
      </c>
      <c r="O879" s="6">
        <v>1790461.25</v>
      </c>
      <c r="P879" s="6">
        <v>2289.22216796875</v>
      </c>
      <c r="Q879" s="6">
        <v>8357.802734375</v>
      </c>
      <c r="R879" s="6">
        <v>438500.28125</v>
      </c>
      <c r="S879" s="6">
        <v>824954.625</v>
      </c>
      <c r="T879" s="31">
        <f t="shared" si="185"/>
        <v>1592.5216743652343</v>
      </c>
      <c r="U879" s="37">
        <v>394.4444444444444</v>
      </c>
      <c r="V879">
        <f t="shared" si="186"/>
        <v>4.0373788927569327</v>
      </c>
      <c r="W879">
        <f t="shared" si="197"/>
        <v>7.001841263847973E-2</v>
      </c>
      <c r="X879" s="28">
        <v>274.77416666666659</v>
      </c>
      <c r="Y879">
        <f t="shared" si="187"/>
        <v>3.0932399154929584</v>
      </c>
      <c r="Z879">
        <f t="shared" si="190"/>
        <v>8.7439832746478888E-2</v>
      </c>
      <c r="AA879">
        <f t="shared" si="191"/>
        <v>7.9767633802816915E-2</v>
      </c>
      <c r="AB879">
        <f t="shared" si="192"/>
        <v>0.45391975352112679</v>
      </c>
      <c r="AC879">
        <f t="shared" si="193"/>
        <v>5.8036618342869727E-4</v>
      </c>
      <c r="AD879">
        <f t="shared" si="194"/>
        <v>2.1188795664612678E-3</v>
      </c>
      <c r="AE879">
        <f t="shared" si="195"/>
        <v>0.11116908538732395</v>
      </c>
      <c r="AF879">
        <f t="shared" si="196"/>
        <v>0.20914342605633807</v>
      </c>
      <c r="AG879">
        <f t="shared" si="188"/>
        <v>4.0373788927569327</v>
      </c>
      <c r="AH879">
        <v>0.45735363736783963</v>
      </c>
      <c r="AI879">
        <v>0.66346153846153844</v>
      </c>
      <c r="AJ879">
        <v>1.4028867091900642E-2</v>
      </c>
      <c r="AK879">
        <v>1.1777122455420544E-2</v>
      </c>
      <c r="AL879">
        <v>0.28979437604307712</v>
      </c>
    </row>
    <row r="880" spans="1:38" x14ac:dyDescent="0.25">
      <c r="A880">
        <v>29</v>
      </c>
      <c r="B880" s="5" t="s">
        <v>12</v>
      </c>
      <c r="C880" s="6" t="s">
        <v>5</v>
      </c>
      <c r="D880" s="6" t="s">
        <v>46</v>
      </c>
      <c r="E880" s="28">
        <v>5069.6000000000004</v>
      </c>
      <c r="F880" s="11">
        <v>11</v>
      </c>
      <c r="G880" s="11">
        <v>16</v>
      </c>
      <c r="H880" s="11">
        <f t="shared" si="184"/>
        <v>-5</v>
      </c>
      <c r="I880" s="18">
        <v>1</v>
      </c>
      <c r="J880" s="19">
        <v>0.54985337243401755</v>
      </c>
      <c r="K880" s="19">
        <v>0.4</v>
      </c>
      <c r="L880" s="6">
        <v>11036147</v>
      </c>
      <c r="M880" s="6">
        <v>351537.6875</v>
      </c>
      <c r="N880" s="6">
        <v>314639</v>
      </c>
      <c r="O880" s="6">
        <v>1818727.5</v>
      </c>
      <c r="P880" s="6">
        <v>2289.22216796875</v>
      </c>
      <c r="Q880" s="6">
        <v>11520.587890625</v>
      </c>
      <c r="R880" s="6">
        <v>447629.53125</v>
      </c>
      <c r="S880" s="6">
        <v>853148.0625</v>
      </c>
      <c r="T880" s="31">
        <f t="shared" si="185"/>
        <v>1483.5638591308593</v>
      </c>
      <c r="U880" s="37">
        <v>408.5555555555556</v>
      </c>
      <c r="V880">
        <f t="shared" si="186"/>
        <v>3.6312414283866556</v>
      </c>
      <c r="W880">
        <f t="shared" si="197"/>
        <v>-0.10059433983243155</v>
      </c>
      <c r="X880" s="28">
        <v>317.80583333333328</v>
      </c>
      <c r="Y880">
        <f t="shared" si="187"/>
        <v>2.7012598041881968</v>
      </c>
      <c r="Z880">
        <f t="shared" si="190"/>
        <v>8.6044035558879517E-2</v>
      </c>
      <c r="AA880">
        <f t="shared" si="191"/>
        <v>7.7012537394615166E-2</v>
      </c>
      <c r="AB880">
        <f t="shared" si="192"/>
        <v>0.44516038890399778</v>
      </c>
      <c r="AC880">
        <f t="shared" si="193"/>
        <v>5.6032090050907671E-4</v>
      </c>
      <c r="AD880">
        <f t="shared" si="194"/>
        <v>2.8198338595492247E-3</v>
      </c>
      <c r="AE880">
        <f t="shared" si="195"/>
        <v>0.10956393204378569</v>
      </c>
      <c r="AF880">
        <f t="shared" si="196"/>
        <v>0.2088205755371226</v>
      </c>
      <c r="AG880">
        <f t="shared" si="188"/>
        <v>3.6312414283866561</v>
      </c>
      <c r="AH880">
        <v>0.45735363736783963</v>
      </c>
      <c r="AI880">
        <v>0.66346153846153844</v>
      </c>
      <c r="AJ880">
        <v>1.4028867091900642E-2</v>
      </c>
      <c r="AK880">
        <v>1.1777122455420544E-2</v>
      </c>
      <c r="AL880">
        <v>0.28979437604307712</v>
      </c>
    </row>
    <row r="881" spans="1:38" x14ac:dyDescent="0.25">
      <c r="A881">
        <v>29</v>
      </c>
      <c r="B881" s="5" t="s">
        <v>12</v>
      </c>
      <c r="C881" s="6" t="s">
        <v>5</v>
      </c>
      <c r="D881" s="6" t="s">
        <v>47</v>
      </c>
      <c r="E881" s="28">
        <v>5069.6000000000004</v>
      </c>
      <c r="F881" s="11">
        <v>12</v>
      </c>
      <c r="G881" s="11">
        <v>16</v>
      </c>
      <c r="H881" s="11">
        <f t="shared" si="184"/>
        <v>-4</v>
      </c>
      <c r="I881" s="18">
        <v>1</v>
      </c>
      <c r="J881" s="19">
        <v>0.54985337243401755</v>
      </c>
      <c r="K881" s="19">
        <v>0.4</v>
      </c>
      <c r="L881" s="6">
        <v>10963968</v>
      </c>
      <c r="M881" s="6">
        <v>348288.53125</v>
      </c>
      <c r="N881" s="6">
        <v>314639</v>
      </c>
      <c r="O881" s="6">
        <v>1799564.375</v>
      </c>
      <c r="P881" s="6">
        <v>2289.22216796875</v>
      </c>
      <c r="Q881" s="6">
        <v>7584.72607421875</v>
      </c>
      <c r="R881" s="6">
        <v>445639.5</v>
      </c>
      <c r="S881" s="6">
        <v>846901.0625</v>
      </c>
      <c r="T881" s="31">
        <f t="shared" si="185"/>
        <v>1472.8874416992187</v>
      </c>
      <c r="U881" s="37">
        <v>422.66666666666669</v>
      </c>
      <c r="V881">
        <f t="shared" si="186"/>
        <v>3.4847494677426307</v>
      </c>
      <c r="W881">
        <f t="shared" si="197"/>
        <v>-4.0342115371026332E-2</v>
      </c>
      <c r="X881" s="28">
        <v>360.83749999999998</v>
      </c>
      <c r="Y881">
        <f t="shared" si="187"/>
        <v>2.5939987381703467</v>
      </c>
      <c r="Z881">
        <f t="shared" si="190"/>
        <v>8.2402649349369084E-2</v>
      </c>
      <c r="AA881">
        <f t="shared" si="191"/>
        <v>7.4441403785488955E-2</v>
      </c>
      <c r="AB881">
        <f t="shared" si="192"/>
        <v>0.42576444203470026</v>
      </c>
      <c r="AC881">
        <f t="shared" si="193"/>
        <v>5.4161407759513013E-4</v>
      </c>
      <c r="AD881">
        <f t="shared" si="194"/>
        <v>1.7944935506826695E-3</v>
      </c>
      <c r="AE881">
        <f t="shared" si="195"/>
        <v>0.10543521293375392</v>
      </c>
      <c r="AF881">
        <f t="shared" si="196"/>
        <v>0.200370913840694</v>
      </c>
      <c r="AG881">
        <f t="shared" si="188"/>
        <v>3.4847494677426312</v>
      </c>
      <c r="AH881">
        <v>0.45735363736783963</v>
      </c>
      <c r="AI881">
        <v>0.66346153846153844</v>
      </c>
      <c r="AJ881">
        <v>1.4028867091900642E-2</v>
      </c>
      <c r="AK881">
        <v>1.1777122455420544E-2</v>
      </c>
      <c r="AL881">
        <v>0.28979437604307712</v>
      </c>
    </row>
    <row r="882" spans="1:38" x14ac:dyDescent="0.25">
      <c r="A882">
        <v>29</v>
      </c>
      <c r="B882" s="5" t="s">
        <v>12</v>
      </c>
      <c r="C882" s="6" t="s">
        <v>5</v>
      </c>
      <c r="D882" s="6" t="s">
        <v>48</v>
      </c>
      <c r="E882" s="28">
        <v>5069.6000000000004</v>
      </c>
      <c r="F882" s="11">
        <v>13</v>
      </c>
      <c r="G882" s="11">
        <v>16</v>
      </c>
      <c r="H882" s="11">
        <f t="shared" si="184"/>
        <v>-3</v>
      </c>
      <c r="I882" s="18">
        <v>1</v>
      </c>
      <c r="J882" s="19">
        <v>0.54985337243401755</v>
      </c>
      <c r="K882" s="19">
        <v>0.4</v>
      </c>
      <c r="L882" s="6">
        <v>11485099</v>
      </c>
      <c r="M882" s="6">
        <v>350476.5625</v>
      </c>
      <c r="N882" s="6">
        <v>314639</v>
      </c>
      <c r="O882" s="6">
        <v>1809145.625</v>
      </c>
      <c r="P882" s="6">
        <v>2289.22216796875</v>
      </c>
      <c r="Q882" s="6">
        <v>3650.31762695312</v>
      </c>
      <c r="R882" s="6">
        <v>445234.96875</v>
      </c>
      <c r="S882" s="6">
        <v>822604</v>
      </c>
      <c r="T882" s="31">
        <f t="shared" si="185"/>
        <v>1523.3138696044921</v>
      </c>
      <c r="U882" s="37">
        <v>423.22222222222223</v>
      </c>
      <c r="V882">
        <f t="shared" si="186"/>
        <v>3.5993239239801595</v>
      </c>
      <c r="W882">
        <f t="shared" si="197"/>
        <v>3.2878821647901263E-2</v>
      </c>
      <c r="X882" s="28">
        <v>403.86916666666662</v>
      </c>
      <c r="Y882">
        <f t="shared" si="187"/>
        <v>2.713727776319244</v>
      </c>
      <c r="Z882">
        <f t="shared" si="190"/>
        <v>8.2811474468364399E-2</v>
      </c>
      <c r="AA882">
        <f t="shared" si="191"/>
        <v>7.4343686006825949E-2</v>
      </c>
      <c r="AB882">
        <f t="shared" si="192"/>
        <v>0.42746943095300605</v>
      </c>
      <c r="AC882">
        <f t="shared" si="193"/>
        <v>5.4090311136042925E-4</v>
      </c>
      <c r="AD882">
        <f t="shared" si="194"/>
        <v>8.6250613396109425E-4</v>
      </c>
      <c r="AE882">
        <f t="shared" si="195"/>
        <v>0.10520122653583616</v>
      </c>
      <c r="AF882">
        <f t="shared" si="196"/>
        <v>0.19436692045156206</v>
      </c>
      <c r="AG882">
        <f t="shared" si="188"/>
        <v>3.59932392398016</v>
      </c>
      <c r="AH882">
        <v>0.45735363736783963</v>
      </c>
      <c r="AI882">
        <v>0.66346153846153844</v>
      </c>
      <c r="AJ882">
        <v>1.4028867091900642E-2</v>
      </c>
      <c r="AK882">
        <v>1.1777122455420544E-2</v>
      </c>
      <c r="AL882">
        <v>0.28979437604307712</v>
      </c>
    </row>
    <row r="883" spans="1:38" x14ac:dyDescent="0.25">
      <c r="A883">
        <v>29</v>
      </c>
      <c r="B883" s="5" t="s">
        <v>12</v>
      </c>
      <c r="C883" s="6" t="s">
        <v>5</v>
      </c>
      <c r="D883" s="6" t="s">
        <v>49</v>
      </c>
      <c r="E883" s="28">
        <v>5069.6000000000004</v>
      </c>
      <c r="F883" s="11">
        <v>14</v>
      </c>
      <c r="G883" s="11">
        <v>16</v>
      </c>
      <c r="H883" s="11">
        <f t="shared" si="184"/>
        <v>-2</v>
      </c>
      <c r="I883" s="18">
        <v>1</v>
      </c>
      <c r="J883" s="19">
        <v>0.54985337243401755</v>
      </c>
      <c r="K883" s="19">
        <v>0.4</v>
      </c>
      <c r="L883" s="6">
        <v>12918571</v>
      </c>
      <c r="M883" s="6">
        <v>337215.28125</v>
      </c>
      <c r="N883" s="6">
        <v>314639</v>
      </c>
      <c r="O883" s="6">
        <v>1736370.875</v>
      </c>
      <c r="P883" s="6">
        <v>2289.22216796875</v>
      </c>
      <c r="Q883" s="6">
        <v>2146.30541992188</v>
      </c>
      <c r="R883" s="6">
        <v>447296.84375</v>
      </c>
      <c r="S883" s="6">
        <v>806546.125</v>
      </c>
      <c r="T883" s="31">
        <f t="shared" si="185"/>
        <v>1656.5074652587891</v>
      </c>
      <c r="U883" s="37">
        <v>423.77777777777777</v>
      </c>
      <c r="V883">
        <f t="shared" si="186"/>
        <v>3.9089059222152862</v>
      </c>
      <c r="W883">
        <f t="shared" si="197"/>
        <v>8.6011152309067126E-2</v>
      </c>
      <c r="X883" s="28">
        <v>446.90083333333325</v>
      </c>
      <c r="Y883">
        <f t="shared" si="187"/>
        <v>3.0484304929208181</v>
      </c>
      <c r="Z883">
        <f t="shared" si="190"/>
        <v>7.9573611202149966E-2</v>
      </c>
      <c r="AA883">
        <f t="shared" si="191"/>
        <v>7.4246224436287367E-2</v>
      </c>
      <c r="AB883">
        <f t="shared" si="192"/>
        <v>0.4097361792081804</v>
      </c>
      <c r="AC883">
        <f t="shared" si="193"/>
        <v>5.4019400922178168E-4</v>
      </c>
      <c r="AD883">
        <f t="shared" si="194"/>
        <v>5.0646955373091036E-4</v>
      </c>
      <c r="AE883">
        <f t="shared" si="195"/>
        <v>0.10554985825249082</v>
      </c>
      <c r="AF883">
        <f t="shared" si="196"/>
        <v>0.19032289263240693</v>
      </c>
      <c r="AG883">
        <f t="shared" si="188"/>
        <v>3.9089059222152862</v>
      </c>
      <c r="AH883">
        <v>0.45735363736783963</v>
      </c>
      <c r="AI883">
        <v>0.66346153846153844</v>
      </c>
      <c r="AJ883">
        <v>1.4028867091900642E-2</v>
      </c>
      <c r="AK883">
        <v>1.1777122455420544E-2</v>
      </c>
      <c r="AL883">
        <v>0.28979437604307712</v>
      </c>
    </row>
    <row r="884" spans="1:38" s="20" customFormat="1" x14ac:dyDescent="0.25">
      <c r="A884">
        <v>29</v>
      </c>
      <c r="B884" s="5" t="s">
        <v>12</v>
      </c>
      <c r="C884" s="6" t="s">
        <v>5</v>
      </c>
      <c r="D884" s="6" t="s">
        <v>50</v>
      </c>
      <c r="E884" s="28">
        <v>5069.6000000000004</v>
      </c>
      <c r="F884" s="11">
        <v>15</v>
      </c>
      <c r="G884" s="11">
        <v>16</v>
      </c>
      <c r="H884" s="11">
        <f t="shared" si="184"/>
        <v>-1</v>
      </c>
      <c r="I884" s="18">
        <v>1</v>
      </c>
      <c r="J884" s="19">
        <v>0.54985337243401755</v>
      </c>
      <c r="K884" s="19">
        <v>0.4</v>
      </c>
      <c r="L884" s="6">
        <v>13747185</v>
      </c>
      <c r="M884" s="6">
        <v>328416.875</v>
      </c>
      <c r="N884" s="6">
        <v>314639</v>
      </c>
      <c r="O884" s="6">
        <v>1686427.125</v>
      </c>
      <c r="P884" s="6">
        <v>2289.22216796875</v>
      </c>
      <c r="Q884" s="6">
        <v>3013.8369140625</v>
      </c>
      <c r="R884" s="6">
        <v>440413.46875</v>
      </c>
      <c r="S884" s="6">
        <v>814618.5625</v>
      </c>
      <c r="T884" s="31">
        <f t="shared" si="185"/>
        <v>1733.7003090332032</v>
      </c>
      <c r="U884" s="37">
        <v>424.33333333333331</v>
      </c>
      <c r="V884">
        <f t="shared" si="186"/>
        <v>4.0857037919085704</v>
      </c>
      <c r="W884">
        <f t="shared" si="197"/>
        <v>4.5229502375203713E-2</v>
      </c>
      <c r="X884" s="28">
        <v>489.9325</v>
      </c>
      <c r="Y884">
        <f t="shared" si="187"/>
        <v>3.2397136684996073</v>
      </c>
      <c r="Z884">
        <f t="shared" si="190"/>
        <v>7.7395964257659086E-2</v>
      </c>
      <c r="AA884">
        <f t="shared" si="191"/>
        <v>7.4149018067556957E-2</v>
      </c>
      <c r="AB884">
        <f t="shared" si="192"/>
        <v>0.39742980164964653</v>
      </c>
      <c r="AC884">
        <f t="shared" si="193"/>
        <v>5.3948676385752166E-4</v>
      </c>
      <c r="AD884">
        <f t="shared" si="194"/>
        <v>7.1025221855361355E-4</v>
      </c>
      <c r="AE884">
        <f t="shared" si="195"/>
        <v>0.10378950559701493</v>
      </c>
      <c r="AF884">
        <f t="shared" si="196"/>
        <v>0.19197609485467401</v>
      </c>
      <c r="AG884">
        <f t="shared" si="188"/>
        <v>4.0857037919085704</v>
      </c>
      <c r="AH884" s="20">
        <v>0.45735363736783963</v>
      </c>
      <c r="AI884" s="20">
        <v>0.66346153846153844</v>
      </c>
      <c r="AJ884" s="20">
        <v>1.4028867091900642E-2</v>
      </c>
      <c r="AK884" s="20">
        <v>1.1777122455420544E-2</v>
      </c>
      <c r="AL884" s="20">
        <v>0.28979437604307712</v>
      </c>
    </row>
    <row r="885" spans="1:38" x14ac:dyDescent="0.25">
      <c r="A885">
        <v>29</v>
      </c>
      <c r="B885" s="21" t="s">
        <v>12</v>
      </c>
      <c r="C885" s="22" t="s">
        <v>5</v>
      </c>
      <c r="D885" s="22" t="s">
        <v>51</v>
      </c>
      <c r="E885" s="28">
        <v>5069.6000000000004</v>
      </c>
      <c r="F885" s="22">
        <v>16</v>
      </c>
      <c r="G885" s="22">
        <v>16</v>
      </c>
      <c r="H885" s="22">
        <f t="shared" si="184"/>
        <v>0</v>
      </c>
      <c r="I885" s="18">
        <v>1</v>
      </c>
      <c r="J885" s="19">
        <v>0.54985337243401755</v>
      </c>
      <c r="K885" s="19">
        <v>0.4</v>
      </c>
      <c r="L885" s="22">
        <v>12001900</v>
      </c>
      <c r="M885" s="22">
        <v>342175.0625</v>
      </c>
      <c r="N885" s="22">
        <v>314639</v>
      </c>
      <c r="O885" s="22">
        <v>1760564.25</v>
      </c>
      <c r="P885" s="22">
        <v>2289.22216796875</v>
      </c>
      <c r="Q885" s="22">
        <v>8438.453125</v>
      </c>
      <c r="R885" s="22">
        <v>438309</v>
      </c>
      <c r="S885" s="22">
        <v>828514.25</v>
      </c>
      <c r="T885" s="32">
        <f t="shared" si="185"/>
        <v>1569.682923779297</v>
      </c>
      <c r="U885" s="37">
        <v>448</v>
      </c>
      <c r="V885">
        <f t="shared" si="186"/>
        <v>3.5037565262930737</v>
      </c>
      <c r="W885">
        <f t="shared" si="197"/>
        <v>-0.14243501126244137</v>
      </c>
      <c r="X885" s="28">
        <v>532.96416666666664</v>
      </c>
      <c r="Y885">
        <f t="shared" si="187"/>
        <v>2.6789955357142858</v>
      </c>
      <c r="Z885">
        <f t="shared" si="190"/>
        <v>7.637836216517857E-2</v>
      </c>
      <c r="AA885">
        <f t="shared" si="191"/>
        <v>7.0231919642857146E-2</v>
      </c>
      <c r="AB885">
        <f t="shared" si="192"/>
        <v>0.39298309151785715</v>
      </c>
      <c r="AC885">
        <f t="shared" si="193"/>
        <v>5.1098709106445314E-4</v>
      </c>
      <c r="AD885">
        <f t="shared" si="194"/>
        <v>1.8835832868303573E-3</v>
      </c>
      <c r="AE885">
        <f t="shared" si="195"/>
        <v>9.7836830357142857E-2</v>
      </c>
      <c r="AF885">
        <f t="shared" si="196"/>
        <v>0.18493621651785713</v>
      </c>
      <c r="AG885">
        <f t="shared" si="188"/>
        <v>3.5037565262930737</v>
      </c>
      <c r="AH885">
        <v>0.45735363736783963</v>
      </c>
      <c r="AI885">
        <v>0.66346153846153844</v>
      </c>
      <c r="AJ885">
        <v>1.4028867091900642E-2</v>
      </c>
      <c r="AK885">
        <v>1.1777122455420544E-2</v>
      </c>
      <c r="AL885">
        <v>0.28979437604307712</v>
      </c>
    </row>
    <row r="886" spans="1:38" x14ac:dyDescent="0.25">
      <c r="A886">
        <v>29</v>
      </c>
      <c r="B886" s="5" t="s">
        <v>12</v>
      </c>
      <c r="C886" s="6" t="s">
        <v>5</v>
      </c>
      <c r="D886" s="6" t="s">
        <v>52</v>
      </c>
      <c r="E886" s="28">
        <v>5069.6000000000004</v>
      </c>
      <c r="F886" s="11">
        <v>17</v>
      </c>
      <c r="G886" s="11">
        <v>16</v>
      </c>
      <c r="H886" s="11">
        <f t="shared" si="184"/>
        <v>1</v>
      </c>
      <c r="I886" s="18">
        <v>1</v>
      </c>
      <c r="J886" s="19">
        <v>0.54985337243401755</v>
      </c>
      <c r="K886" s="19">
        <v>0.4</v>
      </c>
      <c r="L886" s="6">
        <v>11811348</v>
      </c>
      <c r="M886" s="6">
        <v>350906.46875</v>
      </c>
      <c r="N886" s="6">
        <v>314639</v>
      </c>
      <c r="O886" s="6">
        <v>1811983.75</v>
      </c>
      <c r="P886" s="6">
        <v>2289.22216796875</v>
      </c>
      <c r="Q886" s="6">
        <v>11638.2939453125</v>
      </c>
      <c r="R886" s="6">
        <v>447591.6875</v>
      </c>
      <c r="S886" s="6">
        <v>856624.625</v>
      </c>
      <c r="T886" s="31">
        <f t="shared" si="185"/>
        <v>1560.7021047363282</v>
      </c>
      <c r="U886" s="37">
        <v>471.66666666666669</v>
      </c>
      <c r="V886">
        <f t="shared" si="186"/>
        <v>3.3089090559780807</v>
      </c>
      <c r="W886">
        <f t="shared" si="197"/>
        <v>-5.5611018874401896E-2</v>
      </c>
      <c r="X886" s="28">
        <v>575.99583333333328</v>
      </c>
      <c r="Y886">
        <f t="shared" si="187"/>
        <v>2.5041727208480564</v>
      </c>
      <c r="Z886">
        <f t="shared" si="190"/>
        <v>7.439713118374558E-2</v>
      </c>
      <c r="AA886">
        <f t="shared" si="191"/>
        <v>6.6707915194346282E-2</v>
      </c>
      <c r="AB886">
        <f t="shared" si="192"/>
        <v>0.38416616607773851</v>
      </c>
      <c r="AC886">
        <f t="shared" si="193"/>
        <v>4.8534745610644874E-4</v>
      </c>
      <c r="AD886">
        <f t="shared" si="194"/>
        <v>2.4674828152606008E-3</v>
      </c>
      <c r="AE886">
        <f t="shared" si="195"/>
        <v>9.4895764134275612E-2</v>
      </c>
      <c r="AF886">
        <f t="shared" si="196"/>
        <v>0.18161652826855124</v>
      </c>
      <c r="AG886">
        <f t="shared" si="188"/>
        <v>3.3089090559780803</v>
      </c>
      <c r="AH886">
        <v>0.45735363736783963</v>
      </c>
      <c r="AI886">
        <v>0.66346153846153844</v>
      </c>
      <c r="AJ886">
        <v>1.4028867091900642E-2</v>
      </c>
      <c r="AK886">
        <v>1.1777122455420544E-2</v>
      </c>
      <c r="AL886">
        <v>0.28979437604307712</v>
      </c>
    </row>
    <row r="887" spans="1:38" x14ac:dyDescent="0.25">
      <c r="A887">
        <v>29</v>
      </c>
      <c r="B887" s="5" t="s">
        <v>12</v>
      </c>
      <c r="C887" s="6" t="s">
        <v>5</v>
      </c>
      <c r="D887" s="6" t="s">
        <v>53</v>
      </c>
      <c r="E887" s="28">
        <v>5069.6000000000004</v>
      </c>
      <c r="F887" s="11">
        <v>18</v>
      </c>
      <c r="G887" s="11">
        <v>16</v>
      </c>
      <c r="H887" s="11">
        <f t="shared" si="184"/>
        <v>2</v>
      </c>
      <c r="I887" s="18">
        <v>1</v>
      </c>
      <c r="J887" s="19">
        <v>0.54985337243401755</v>
      </c>
      <c r="K887" s="19">
        <v>0.4</v>
      </c>
      <c r="L887" s="6">
        <v>12615420</v>
      </c>
      <c r="M887" s="6">
        <v>348855.96875</v>
      </c>
      <c r="N887" s="6">
        <v>314639</v>
      </c>
      <c r="O887" s="6">
        <v>1806354.875</v>
      </c>
      <c r="P887" s="6">
        <v>2289.22216796875</v>
      </c>
      <c r="Q887" s="6">
        <v>7679.90771484375</v>
      </c>
      <c r="R887" s="6">
        <v>445785.1875</v>
      </c>
      <c r="S887" s="6">
        <v>846156.0625</v>
      </c>
      <c r="T887" s="31">
        <f t="shared" si="185"/>
        <v>1638.7180223632813</v>
      </c>
      <c r="U887" s="37">
        <v>495.33333333333331</v>
      </c>
      <c r="V887">
        <f t="shared" si="186"/>
        <v>3.3083136386876473</v>
      </c>
      <c r="W887">
        <f t="shared" si="197"/>
        <v>-1.7994368547474105E-4</v>
      </c>
      <c r="X887" s="28">
        <v>619.02750000000003</v>
      </c>
      <c r="Y887">
        <f t="shared" si="187"/>
        <v>2.5468546433378196</v>
      </c>
      <c r="Z887">
        <f t="shared" si="190"/>
        <v>7.0428526665545083E-2</v>
      </c>
      <c r="AA887">
        <f t="shared" si="191"/>
        <v>6.3520659488559894E-2</v>
      </c>
      <c r="AB887">
        <f t="shared" si="192"/>
        <v>0.36467460464333784</v>
      </c>
      <c r="AC887">
        <f t="shared" si="193"/>
        <v>4.6215790739611375E-4</v>
      </c>
      <c r="AD887">
        <f t="shared" si="194"/>
        <v>1.5504524323372308E-3</v>
      </c>
      <c r="AE887">
        <f t="shared" si="195"/>
        <v>8.9997009589502019E-2</v>
      </c>
      <c r="AF887">
        <f t="shared" si="196"/>
        <v>0.1708255846231494</v>
      </c>
      <c r="AG887">
        <f t="shared" si="188"/>
        <v>3.3083136386876473</v>
      </c>
      <c r="AH887">
        <v>0.45735363736783963</v>
      </c>
      <c r="AI887">
        <v>0.66346153846153844</v>
      </c>
      <c r="AJ887">
        <v>1.4028867091900642E-2</v>
      </c>
      <c r="AK887">
        <v>1.1777122455420544E-2</v>
      </c>
      <c r="AL887">
        <v>0.28979437604307712</v>
      </c>
    </row>
    <row r="888" spans="1:38" x14ac:dyDescent="0.25">
      <c r="A888">
        <v>29</v>
      </c>
      <c r="B888" s="5" t="s">
        <v>12</v>
      </c>
      <c r="C888" s="6" t="s">
        <v>5</v>
      </c>
      <c r="D888" s="6" t="s">
        <v>54</v>
      </c>
      <c r="E888" s="28">
        <v>5069.6000000000004</v>
      </c>
      <c r="F888" s="11">
        <v>19</v>
      </c>
      <c r="G888" s="11">
        <v>16</v>
      </c>
      <c r="H888" s="11">
        <f t="shared" si="184"/>
        <v>3</v>
      </c>
      <c r="I888" s="18">
        <v>1</v>
      </c>
      <c r="J888" s="19">
        <v>0.54985337243401755</v>
      </c>
      <c r="K888" s="19">
        <v>0.4</v>
      </c>
      <c r="L888" s="6">
        <v>14071989</v>
      </c>
      <c r="M888" s="6">
        <v>351639.5</v>
      </c>
      <c r="N888" s="6">
        <v>314790.03125</v>
      </c>
      <c r="O888" s="6">
        <v>1823165.875</v>
      </c>
      <c r="P888" s="6">
        <v>2290.32104492188</v>
      </c>
      <c r="Q888" s="6">
        <v>3621.98120117188</v>
      </c>
      <c r="R888" s="6">
        <v>445707.84375</v>
      </c>
      <c r="S888" s="6">
        <v>816460.625</v>
      </c>
      <c r="T888" s="31">
        <f t="shared" si="185"/>
        <v>1782.9665177246093</v>
      </c>
      <c r="U888" s="37">
        <v>519</v>
      </c>
      <c r="V888">
        <f t="shared" si="186"/>
        <v>3.4353882807795939</v>
      </c>
      <c r="W888">
        <f t="shared" si="197"/>
        <v>3.8410699821784439E-2</v>
      </c>
      <c r="X888" s="28">
        <v>662.05916666666667</v>
      </c>
      <c r="Y888">
        <f t="shared" si="187"/>
        <v>2.7113658959537572</v>
      </c>
      <c r="Z888">
        <f t="shared" si="190"/>
        <v>6.7753275529865126E-2</v>
      </c>
      <c r="AA888">
        <f t="shared" si="191"/>
        <v>6.0653185211946049E-2</v>
      </c>
      <c r="AB888">
        <f t="shared" si="192"/>
        <v>0.35128436897880538</v>
      </c>
      <c r="AC888">
        <f t="shared" si="193"/>
        <v>4.4129499902155684E-4</v>
      </c>
      <c r="AD888">
        <f t="shared" si="194"/>
        <v>6.9787691737415803E-4</v>
      </c>
      <c r="AE888">
        <f t="shared" si="195"/>
        <v>8.5878197254335265E-2</v>
      </c>
      <c r="AF888">
        <f t="shared" si="196"/>
        <v>0.1573141859344894</v>
      </c>
      <c r="AG888">
        <f t="shared" si="188"/>
        <v>3.4353882807795943</v>
      </c>
      <c r="AH888">
        <v>0.45735363736783963</v>
      </c>
      <c r="AI888">
        <v>0.66346153846153844</v>
      </c>
      <c r="AJ888">
        <v>1.4028867091900642E-2</v>
      </c>
      <c r="AK888">
        <v>1.1777122455420544E-2</v>
      </c>
      <c r="AL888">
        <v>0.28979437604307712</v>
      </c>
    </row>
    <row r="889" spans="1:38" x14ac:dyDescent="0.25">
      <c r="A889">
        <v>29</v>
      </c>
      <c r="B889" s="5" t="s">
        <v>12</v>
      </c>
      <c r="C889" s="6" t="s">
        <v>5</v>
      </c>
      <c r="D889" s="6" t="s">
        <v>55</v>
      </c>
      <c r="E889" s="29">
        <v>5315</v>
      </c>
      <c r="F889" s="11">
        <v>20</v>
      </c>
      <c r="G889" s="11">
        <v>16</v>
      </c>
      <c r="H889" s="18">
        <f t="shared" si="184"/>
        <v>4</v>
      </c>
      <c r="I889" s="18">
        <v>1</v>
      </c>
      <c r="J889" s="19">
        <v>0.54985337243401755</v>
      </c>
      <c r="K889" s="19">
        <v>0.4</v>
      </c>
      <c r="L889" s="14">
        <v>461601.25</v>
      </c>
      <c r="M889" s="14">
        <v>354667.3125</v>
      </c>
      <c r="N889" s="14">
        <v>702637.25</v>
      </c>
      <c r="O889" s="14">
        <v>11825638</v>
      </c>
      <c r="P889" s="14">
        <v>2337.58203125</v>
      </c>
      <c r="Q889" s="14">
        <v>2406.74609375</v>
      </c>
      <c r="R889" s="14">
        <v>1783102.25</v>
      </c>
      <c r="S889" s="14">
        <v>987518.875</v>
      </c>
      <c r="T889" s="31">
        <f t="shared" si="185"/>
        <v>1611.9909265624999</v>
      </c>
      <c r="U889" s="37">
        <v>404.88888888888886</v>
      </c>
      <c r="V889">
        <f t="shared" si="186"/>
        <v>3.9813167780083698</v>
      </c>
      <c r="W889">
        <f t="shared" si="197"/>
        <v>0.15891318611149485</v>
      </c>
      <c r="X889" s="29">
        <v>346.51125000000002</v>
      </c>
      <c r="Y889">
        <f t="shared" si="187"/>
        <v>0.11400689489571901</v>
      </c>
      <c r="Z889">
        <f t="shared" si="190"/>
        <v>8.7596207807354567E-2</v>
      </c>
      <c r="AA889">
        <f t="shared" si="191"/>
        <v>0.17353828896816687</v>
      </c>
      <c r="AB889">
        <f t="shared" si="192"/>
        <v>2.9207119099890231</v>
      </c>
      <c r="AC889">
        <f t="shared" si="193"/>
        <v>5.7733914053924263E-4</v>
      </c>
      <c r="AD889">
        <f t="shared" si="194"/>
        <v>5.9442137331915481E-4</v>
      </c>
      <c r="AE889">
        <f t="shared" si="195"/>
        <v>0.44039298161361146</v>
      </c>
      <c r="AF889">
        <f t="shared" si="196"/>
        <v>0.24389873422063671</v>
      </c>
      <c r="AG889">
        <f t="shared" si="188"/>
        <v>3.9813167780083702</v>
      </c>
      <c r="AH889">
        <v>0.43819791343286391</v>
      </c>
      <c r="AI889">
        <v>0.6735253772290809</v>
      </c>
      <c r="AJ889">
        <v>1.4048137513730175E-2</v>
      </c>
      <c r="AK889">
        <v>1.258408827928767E-2</v>
      </c>
      <c r="AL889">
        <v>0.28680811702771525</v>
      </c>
    </row>
    <row r="890" spans="1:38" x14ac:dyDescent="0.25">
      <c r="A890">
        <v>29</v>
      </c>
      <c r="B890" s="5" t="s">
        <v>12</v>
      </c>
      <c r="C890" s="6" t="s">
        <v>5</v>
      </c>
      <c r="D890" s="6" t="s">
        <v>56</v>
      </c>
      <c r="E890" s="29">
        <v>5315</v>
      </c>
      <c r="F890" s="11">
        <v>21</v>
      </c>
      <c r="G890" s="11">
        <v>16</v>
      </c>
      <c r="H890" s="11">
        <f t="shared" si="184"/>
        <v>5</v>
      </c>
      <c r="I890" s="18">
        <v>1</v>
      </c>
      <c r="J890" s="19">
        <v>0.54985337243401755</v>
      </c>
      <c r="K890" s="19">
        <v>0.4</v>
      </c>
      <c r="L890" s="6">
        <v>454637.875</v>
      </c>
      <c r="M890" s="6">
        <v>347010.15625</v>
      </c>
      <c r="N890" s="6">
        <v>611220.4375</v>
      </c>
      <c r="O890" s="6">
        <v>11767038</v>
      </c>
      <c r="P890" s="6">
        <v>2337.58203125</v>
      </c>
      <c r="Q890" s="6">
        <v>3398.6015625</v>
      </c>
      <c r="R890" s="6">
        <v>1747288.25</v>
      </c>
      <c r="S890" s="6">
        <v>1000442.625</v>
      </c>
      <c r="T890" s="31">
        <f t="shared" si="185"/>
        <v>1593.3373527343749</v>
      </c>
      <c r="U890" s="37">
        <v>411.66666666666669</v>
      </c>
      <c r="V890">
        <f t="shared" si="186"/>
        <v>3.870455107856781</v>
      </c>
      <c r="W890">
        <f t="shared" si="197"/>
        <v>-2.7845478351272178E-2</v>
      </c>
      <c r="X890" s="29">
        <v>364.03875000000005</v>
      </c>
      <c r="Y890">
        <f t="shared" si="187"/>
        <v>0.11043835020242913</v>
      </c>
      <c r="Z890">
        <f t="shared" si="190"/>
        <v>8.4293965080971658E-2</v>
      </c>
      <c r="AA890">
        <f t="shared" si="191"/>
        <v>0.14847460020242914</v>
      </c>
      <c r="AB890">
        <f t="shared" si="192"/>
        <v>2.8583897975708501</v>
      </c>
      <c r="AC890">
        <f t="shared" si="193"/>
        <v>5.6783369180161947E-4</v>
      </c>
      <c r="AD890">
        <f t="shared" si="194"/>
        <v>8.2557122975708509E-4</v>
      </c>
      <c r="AE890">
        <f t="shared" si="195"/>
        <v>0.42444248987854255</v>
      </c>
      <c r="AF890">
        <f t="shared" si="196"/>
        <v>0.2430225</v>
      </c>
      <c r="AG890">
        <f t="shared" si="188"/>
        <v>3.870455107856781</v>
      </c>
      <c r="AH890">
        <v>0.43819791343286391</v>
      </c>
      <c r="AI890">
        <v>0.6735253772290809</v>
      </c>
      <c r="AJ890">
        <v>1.4048137513730175E-2</v>
      </c>
      <c r="AK890">
        <v>1.258408827928767E-2</v>
      </c>
      <c r="AL890">
        <v>0.28680811702771525</v>
      </c>
    </row>
    <row r="891" spans="1:38" x14ac:dyDescent="0.25">
      <c r="A891">
        <v>29</v>
      </c>
      <c r="B891" s="5" t="s">
        <v>12</v>
      </c>
      <c r="C891" s="6" t="s">
        <v>5</v>
      </c>
      <c r="D891" s="6" t="s">
        <v>57</v>
      </c>
      <c r="E891" s="29">
        <v>5315</v>
      </c>
      <c r="F891" s="11">
        <v>22</v>
      </c>
      <c r="G891" s="11">
        <v>16</v>
      </c>
      <c r="H891" s="11">
        <f t="shared" si="184"/>
        <v>6</v>
      </c>
      <c r="I891" s="18">
        <v>1</v>
      </c>
      <c r="J891" s="19">
        <v>0.54985337243401755</v>
      </c>
      <c r="K891" s="19">
        <v>0.4</v>
      </c>
      <c r="L891" s="6">
        <v>452382</v>
      </c>
      <c r="M891" s="6">
        <v>360616.75</v>
      </c>
      <c r="N891" s="6">
        <v>396271.8125</v>
      </c>
      <c r="O891" s="6">
        <v>13385601</v>
      </c>
      <c r="P891" s="6">
        <v>2337.58203125</v>
      </c>
      <c r="Q891" s="6">
        <v>9693.55859375</v>
      </c>
      <c r="R891" s="6">
        <v>1814158</v>
      </c>
      <c r="S891" s="6">
        <v>1021142.375</v>
      </c>
      <c r="T891" s="31">
        <f t="shared" si="185"/>
        <v>1744.2203078125001</v>
      </c>
      <c r="U891" s="37">
        <v>418.44444444444451</v>
      </c>
      <c r="V891">
        <f t="shared" si="186"/>
        <v>4.1683438051812267</v>
      </c>
      <c r="W891">
        <f t="shared" si="197"/>
        <v>7.696477262318592E-2</v>
      </c>
      <c r="X891" s="29">
        <v>381.56625000000003</v>
      </c>
      <c r="Y891">
        <f t="shared" si="187"/>
        <v>0.10811040892193308</v>
      </c>
      <c r="Z891">
        <f t="shared" si="190"/>
        <v>8.618031731279871E-2</v>
      </c>
      <c r="AA891">
        <f t="shared" si="191"/>
        <v>9.4701176646309074E-2</v>
      </c>
      <c r="AB891">
        <f t="shared" si="192"/>
        <v>3.1988956186935735</v>
      </c>
      <c r="AC891">
        <f t="shared" si="193"/>
        <v>5.5863617316117891E-4</v>
      </c>
      <c r="AD891">
        <f t="shared" si="194"/>
        <v>2.3165700303704193E-3</v>
      </c>
      <c r="AE891">
        <f t="shared" si="195"/>
        <v>0.4335481147105682</v>
      </c>
      <c r="AF891">
        <f t="shared" si="196"/>
        <v>0.2440329626925119</v>
      </c>
      <c r="AG891">
        <f t="shared" si="188"/>
        <v>4.1683438051812258</v>
      </c>
      <c r="AH891">
        <v>0.43819791343286391</v>
      </c>
      <c r="AI891">
        <v>0.6735253772290809</v>
      </c>
      <c r="AJ891">
        <v>1.4048137513730175E-2</v>
      </c>
      <c r="AK891">
        <v>1.258408827928767E-2</v>
      </c>
      <c r="AL891">
        <v>0.28680811702771525</v>
      </c>
    </row>
    <row r="892" spans="1:38" x14ac:dyDescent="0.25">
      <c r="A892">
        <v>29</v>
      </c>
      <c r="B892" s="5" t="s">
        <v>12</v>
      </c>
      <c r="C892" s="6" t="s">
        <v>5</v>
      </c>
      <c r="D892" s="6" t="s">
        <v>58</v>
      </c>
      <c r="E892" s="29">
        <v>5315</v>
      </c>
      <c r="F892" s="11">
        <v>23</v>
      </c>
      <c r="G892" s="11">
        <v>16</v>
      </c>
      <c r="H892" s="11">
        <f t="shared" si="184"/>
        <v>7</v>
      </c>
      <c r="I892" s="18">
        <v>1</v>
      </c>
      <c r="J892" s="19">
        <v>0.54985337243401755</v>
      </c>
      <c r="K892" s="19">
        <v>0.4</v>
      </c>
      <c r="L892" s="6">
        <v>461535.3125</v>
      </c>
      <c r="M892" s="6">
        <v>367532.875</v>
      </c>
      <c r="N892" s="6">
        <v>258669.71875</v>
      </c>
      <c r="O892" s="6">
        <v>12107540</v>
      </c>
      <c r="P892" s="6">
        <v>2337.58203125</v>
      </c>
      <c r="Q892" s="6">
        <v>13361.8232421875</v>
      </c>
      <c r="R892" s="6">
        <v>1842845.125</v>
      </c>
      <c r="S892" s="6">
        <v>1055387.875</v>
      </c>
      <c r="T892" s="31">
        <f t="shared" si="185"/>
        <v>1610.9210311523439</v>
      </c>
      <c r="U892" s="37">
        <v>425.22222222222223</v>
      </c>
      <c r="V892">
        <f t="shared" si="186"/>
        <v>3.788421552226573</v>
      </c>
      <c r="W892">
        <f t="shared" si="197"/>
        <v>-9.1144653778897189E-2</v>
      </c>
      <c r="X892" s="29">
        <v>399.09375</v>
      </c>
      <c r="Y892">
        <f t="shared" si="187"/>
        <v>0.10853979128560229</v>
      </c>
      <c r="Z892">
        <f t="shared" si="190"/>
        <v>8.6433129736085704E-2</v>
      </c>
      <c r="AA892">
        <f t="shared" si="191"/>
        <v>6.0831655833551088E-2</v>
      </c>
      <c r="AB892">
        <f t="shared" si="192"/>
        <v>2.8473441337862555</v>
      </c>
      <c r="AC892">
        <f t="shared" si="193"/>
        <v>5.4973185997517638E-4</v>
      </c>
      <c r="AD892">
        <f t="shared" si="194"/>
        <v>3.1423153692105433E-3</v>
      </c>
      <c r="AE892">
        <f t="shared" si="195"/>
        <v>0.43338401162790696</v>
      </c>
      <c r="AF892">
        <f t="shared" si="196"/>
        <v>0.24819678272798537</v>
      </c>
      <c r="AG892">
        <f t="shared" si="188"/>
        <v>3.7884215522265725</v>
      </c>
      <c r="AH892">
        <v>0.43819791343286391</v>
      </c>
      <c r="AI892">
        <v>0.6735253772290809</v>
      </c>
      <c r="AJ892">
        <v>1.4048137513730175E-2</v>
      </c>
      <c r="AK892">
        <v>1.258408827928767E-2</v>
      </c>
      <c r="AL892">
        <v>0.28680811702771525</v>
      </c>
    </row>
    <row r="893" spans="1:38" x14ac:dyDescent="0.25">
      <c r="A893">
        <v>29</v>
      </c>
      <c r="B893" s="5" t="s">
        <v>12</v>
      </c>
      <c r="C893" s="6" t="s">
        <v>5</v>
      </c>
      <c r="D893" s="6" t="s">
        <v>59</v>
      </c>
      <c r="E893" s="29">
        <v>5315</v>
      </c>
      <c r="F893" s="11">
        <v>24</v>
      </c>
      <c r="G893" s="11">
        <v>16</v>
      </c>
      <c r="H893" s="11">
        <f t="shared" si="184"/>
        <v>8</v>
      </c>
      <c r="I893" s="18">
        <v>1</v>
      </c>
      <c r="J893" s="19">
        <v>0.54985337243401755</v>
      </c>
      <c r="K893" s="19">
        <v>0.4</v>
      </c>
      <c r="L893" s="6">
        <v>459533.5</v>
      </c>
      <c r="M893" s="6">
        <v>364141.3125</v>
      </c>
      <c r="N893" s="6">
        <v>165265.625</v>
      </c>
      <c r="O893" s="6">
        <v>12028353</v>
      </c>
      <c r="P893" s="6">
        <v>2337.58203125</v>
      </c>
      <c r="Q893" s="6">
        <v>8796.9267578125</v>
      </c>
      <c r="R893" s="6">
        <v>1823457.875</v>
      </c>
      <c r="S893" s="6">
        <v>1047800.4375</v>
      </c>
      <c r="T893" s="31">
        <f t="shared" si="185"/>
        <v>1589.9686258789063</v>
      </c>
      <c r="U893" s="37">
        <v>432</v>
      </c>
      <c r="V893">
        <f t="shared" si="186"/>
        <v>3.6804829302752462</v>
      </c>
      <c r="W893">
        <f t="shared" si="197"/>
        <v>-2.849171362355065E-2</v>
      </c>
      <c r="X893" s="29">
        <v>416.62125000000003</v>
      </c>
      <c r="Y893">
        <f t="shared" si="187"/>
        <v>0.10637349537037037</v>
      </c>
      <c r="Z893">
        <f t="shared" si="190"/>
        <v>8.4291970486111104E-2</v>
      </c>
      <c r="AA893">
        <f t="shared" si="191"/>
        <v>3.8255931712962959E-2</v>
      </c>
      <c r="AB893">
        <f t="shared" si="192"/>
        <v>2.7843409722222221</v>
      </c>
      <c r="AC893">
        <f t="shared" si="193"/>
        <v>5.4110695167824074E-4</v>
      </c>
      <c r="AD893">
        <f t="shared" si="194"/>
        <v>2.0363256383825229E-3</v>
      </c>
      <c r="AE893">
        <f t="shared" si="195"/>
        <v>0.42209673032407408</v>
      </c>
      <c r="AF893">
        <f t="shared" si="196"/>
        <v>0.24254639756944443</v>
      </c>
      <c r="AG893">
        <f t="shared" si="188"/>
        <v>3.6804829302752458</v>
      </c>
      <c r="AH893">
        <v>0.43819791343286391</v>
      </c>
      <c r="AI893">
        <v>0.6735253772290809</v>
      </c>
      <c r="AJ893">
        <v>1.4048137513730175E-2</v>
      </c>
      <c r="AK893">
        <v>1.258408827928767E-2</v>
      </c>
      <c r="AL893">
        <v>0.28680811702771525</v>
      </c>
    </row>
    <row r="894" spans="1:38" x14ac:dyDescent="0.25">
      <c r="A894">
        <v>29</v>
      </c>
      <c r="B894" s="5" t="s">
        <v>12</v>
      </c>
      <c r="C894" s="6" t="s">
        <v>5</v>
      </c>
      <c r="D894" s="6" t="s">
        <v>60</v>
      </c>
      <c r="E894" s="29">
        <v>5315</v>
      </c>
      <c r="F894" s="11">
        <v>25</v>
      </c>
      <c r="G894" s="11">
        <v>16</v>
      </c>
      <c r="H894" s="11">
        <f t="shared" si="184"/>
        <v>9</v>
      </c>
      <c r="I894" s="18">
        <v>1</v>
      </c>
      <c r="J894" s="19">
        <v>0.54985337243401755</v>
      </c>
      <c r="K894" s="19">
        <v>0.4</v>
      </c>
      <c r="L894" s="6">
        <v>459122.75</v>
      </c>
      <c r="M894" s="6">
        <v>366434.375</v>
      </c>
      <c r="N894" s="6">
        <v>91933.46875</v>
      </c>
      <c r="O894" s="6">
        <v>12600077</v>
      </c>
      <c r="P894" s="6">
        <v>2337.58203125</v>
      </c>
      <c r="Q894" s="6">
        <v>4233.7158203125</v>
      </c>
      <c r="R894" s="6">
        <v>1833180.5</v>
      </c>
      <c r="S894" s="6">
        <v>1018288.5</v>
      </c>
      <c r="T894" s="31">
        <f t="shared" si="185"/>
        <v>1637.5607891601562</v>
      </c>
      <c r="U894" s="37">
        <v>432.4444444444444</v>
      </c>
      <c r="V894">
        <f t="shared" si="186"/>
        <v>3.7867541373179363</v>
      </c>
      <c r="W894">
        <f t="shared" si="197"/>
        <v>2.8874256192988938E-2</v>
      </c>
      <c r="X894" s="29">
        <v>434.14875000000001</v>
      </c>
      <c r="Y894">
        <f t="shared" si="187"/>
        <v>0.10616918679342241</v>
      </c>
      <c r="Z894">
        <f t="shared" si="190"/>
        <v>8.4735595452209669E-2</v>
      </c>
      <c r="AA894">
        <f t="shared" si="191"/>
        <v>2.1259024119989724E-2</v>
      </c>
      <c r="AB894">
        <f t="shared" si="192"/>
        <v>2.9136868705035974</v>
      </c>
      <c r="AC894">
        <f t="shared" si="193"/>
        <v>5.405508294257452E-4</v>
      </c>
      <c r="AD894">
        <f t="shared" si="194"/>
        <v>9.790195884586976E-4</v>
      </c>
      <c r="AE894">
        <f t="shared" si="195"/>
        <v>0.42391121531346354</v>
      </c>
      <c r="AF894">
        <f t="shared" si="196"/>
        <v>0.23547267471736899</v>
      </c>
      <c r="AG894">
        <f t="shared" si="188"/>
        <v>3.7867541373179359</v>
      </c>
      <c r="AH894">
        <v>0.43819791343286391</v>
      </c>
      <c r="AI894">
        <v>0.6735253772290809</v>
      </c>
      <c r="AJ894">
        <v>1.4048137513730175E-2</v>
      </c>
      <c r="AK894">
        <v>1.258408827928767E-2</v>
      </c>
      <c r="AL894">
        <v>0.28680811702771525</v>
      </c>
    </row>
    <row r="895" spans="1:38" x14ac:dyDescent="0.25">
      <c r="A895">
        <v>29</v>
      </c>
      <c r="B895" s="5" t="s">
        <v>12</v>
      </c>
      <c r="C895" s="6" t="s">
        <v>5</v>
      </c>
      <c r="D895" s="6" t="s">
        <v>61</v>
      </c>
      <c r="E895" s="29">
        <v>5315</v>
      </c>
      <c r="F895" s="11">
        <v>26</v>
      </c>
      <c r="G895" s="11">
        <v>16</v>
      </c>
      <c r="H895" s="11">
        <f t="shared" si="184"/>
        <v>10</v>
      </c>
      <c r="I895" s="18">
        <v>1</v>
      </c>
      <c r="J895" s="19">
        <v>0.54985337243401755</v>
      </c>
      <c r="K895" s="19">
        <v>0.4</v>
      </c>
      <c r="L895" s="6">
        <v>461189.0625</v>
      </c>
      <c r="M895" s="6">
        <v>352543.875</v>
      </c>
      <c r="N895" s="6">
        <v>68443.3359375</v>
      </c>
      <c r="O895" s="6">
        <v>14172710</v>
      </c>
      <c r="P895" s="6">
        <v>2337.58203125</v>
      </c>
      <c r="Q895" s="6">
        <v>2489.33056640625</v>
      </c>
      <c r="R895" s="6">
        <v>1759464.5</v>
      </c>
      <c r="S895" s="6">
        <v>998784</v>
      </c>
      <c r="T895" s="31">
        <f t="shared" si="185"/>
        <v>1781.7961686035155</v>
      </c>
      <c r="U895" s="37">
        <v>432.88888888888886</v>
      </c>
      <c r="V895">
        <f t="shared" si="186"/>
        <v>4.1160589110450827</v>
      </c>
      <c r="W895">
        <f t="shared" si="197"/>
        <v>8.6962280038699519E-2</v>
      </c>
      <c r="X895" s="29">
        <v>451.67624999999998</v>
      </c>
      <c r="Y895">
        <f t="shared" si="187"/>
        <v>0.10653751443788501</v>
      </c>
      <c r="Z895">
        <f t="shared" si="190"/>
        <v>8.143980685318275E-2</v>
      </c>
      <c r="AA895">
        <f t="shared" si="191"/>
        <v>1.5810832223755133E-2</v>
      </c>
      <c r="AB895">
        <f t="shared" si="192"/>
        <v>3.2739833162217664</v>
      </c>
      <c r="AC895">
        <f t="shared" si="193"/>
        <v>5.3999584910805951E-4</v>
      </c>
      <c r="AD895">
        <f t="shared" si="194"/>
        <v>5.7505069552505781E-4</v>
      </c>
      <c r="AE895">
        <f t="shared" si="195"/>
        <v>0.4064471380903491</v>
      </c>
      <c r="AF895">
        <f t="shared" si="196"/>
        <v>0.23072525667351132</v>
      </c>
      <c r="AG895">
        <f t="shared" si="188"/>
        <v>4.1160589110450827</v>
      </c>
      <c r="AH895">
        <v>0.43819791343286391</v>
      </c>
      <c r="AI895">
        <v>0.6735253772290809</v>
      </c>
      <c r="AJ895">
        <v>1.4048137513730175E-2</v>
      </c>
      <c r="AK895">
        <v>1.258408827928767E-2</v>
      </c>
      <c r="AL895">
        <v>0.28680811702771525</v>
      </c>
    </row>
    <row r="896" spans="1:38" x14ac:dyDescent="0.25">
      <c r="A896">
        <v>29</v>
      </c>
      <c r="B896" s="5" t="s">
        <v>12</v>
      </c>
      <c r="C896" s="6" t="s">
        <v>5</v>
      </c>
      <c r="D896" s="6" t="s">
        <v>62</v>
      </c>
      <c r="E896" s="29">
        <v>5315</v>
      </c>
      <c r="F896" s="11">
        <v>27</v>
      </c>
      <c r="G896" s="11">
        <v>16</v>
      </c>
      <c r="H896" s="11">
        <f t="shared" si="184"/>
        <v>11</v>
      </c>
      <c r="I896" s="18">
        <v>1</v>
      </c>
      <c r="J896" s="19">
        <v>0.54985337243401755</v>
      </c>
      <c r="K896" s="19">
        <v>0.4</v>
      </c>
      <c r="L896" s="6">
        <v>454286.125</v>
      </c>
      <c r="M896" s="6">
        <v>343346.03125</v>
      </c>
      <c r="N896" s="6">
        <v>76074.6484375</v>
      </c>
      <c r="O896" s="6">
        <v>15081766</v>
      </c>
      <c r="P896" s="6">
        <v>2337.58203125</v>
      </c>
      <c r="Q896" s="6">
        <v>3495.51220703125</v>
      </c>
      <c r="R896" s="6">
        <v>1708878.75</v>
      </c>
      <c r="S896" s="6">
        <v>1008588.9375</v>
      </c>
      <c r="T896" s="31">
        <f t="shared" si="185"/>
        <v>1867.8773586425782</v>
      </c>
      <c r="U896" s="37">
        <v>433.33333333333331</v>
      </c>
      <c r="V896">
        <f t="shared" si="186"/>
        <v>4.3104862122521039</v>
      </c>
      <c r="W896">
        <f t="shared" si="197"/>
        <v>4.7236277567673443E-2</v>
      </c>
      <c r="X896" s="29">
        <v>469.20375000000001</v>
      </c>
      <c r="Y896">
        <f t="shared" si="187"/>
        <v>0.10483525961538462</v>
      </c>
      <c r="Z896">
        <f t="shared" si="190"/>
        <v>7.9233699519230774E-2</v>
      </c>
      <c r="AA896">
        <f t="shared" si="191"/>
        <v>1.7555688100961538E-2</v>
      </c>
      <c r="AB896">
        <f t="shared" si="192"/>
        <v>3.4804075384615389</v>
      </c>
      <c r="AC896">
        <f t="shared" si="193"/>
        <v>5.3944200721153855E-4</v>
      </c>
      <c r="AD896">
        <f t="shared" si="194"/>
        <v>8.0665666316105775E-4</v>
      </c>
      <c r="AE896">
        <f t="shared" si="195"/>
        <v>0.39435663461538467</v>
      </c>
      <c r="AF896">
        <f t="shared" si="196"/>
        <v>0.2327512932692308</v>
      </c>
      <c r="AG896">
        <f t="shared" si="188"/>
        <v>4.3104862122521039</v>
      </c>
      <c r="AH896">
        <v>0.43819791343286391</v>
      </c>
      <c r="AI896">
        <v>0.6735253772290809</v>
      </c>
      <c r="AJ896">
        <v>1.4048137513730175E-2</v>
      </c>
      <c r="AK896">
        <v>1.258408827928767E-2</v>
      </c>
      <c r="AL896">
        <v>0.28680811702771525</v>
      </c>
    </row>
    <row r="897" spans="1:38" x14ac:dyDescent="0.25">
      <c r="A897">
        <v>29</v>
      </c>
      <c r="B897" s="5" t="s">
        <v>12</v>
      </c>
      <c r="C897" s="6" t="s">
        <v>5</v>
      </c>
      <c r="D897" s="6" t="s">
        <v>63</v>
      </c>
      <c r="E897" s="29">
        <v>5315</v>
      </c>
      <c r="F897" s="11">
        <v>28</v>
      </c>
      <c r="G897" s="11">
        <v>16</v>
      </c>
      <c r="H897" s="11">
        <f t="shared" si="184"/>
        <v>12</v>
      </c>
      <c r="I897" s="18">
        <v>1</v>
      </c>
      <c r="J897" s="19">
        <v>0.54985337243401755</v>
      </c>
      <c r="K897" s="19">
        <v>0.4</v>
      </c>
      <c r="L897" s="6">
        <v>452179.15625</v>
      </c>
      <c r="M897" s="6">
        <v>357752.21875</v>
      </c>
      <c r="N897" s="6">
        <v>136568.703125</v>
      </c>
      <c r="O897" s="6">
        <v>13167048</v>
      </c>
      <c r="P897" s="6">
        <v>2337.58203125</v>
      </c>
      <c r="Q897" s="6">
        <v>9787.09765625</v>
      </c>
      <c r="R897" s="6">
        <v>1783980.5</v>
      </c>
      <c r="S897" s="6">
        <v>1025467.125</v>
      </c>
      <c r="T897" s="31">
        <f t="shared" si="185"/>
        <v>1693.5120382812499</v>
      </c>
      <c r="U897" s="37">
        <v>459.77777777777777</v>
      </c>
      <c r="V897">
        <f t="shared" si="186"/>
        <v>3.6833272944734774</v>
      </c>
      <c r="W897">
        <f t="shared" si="197"/>
        <v>-0.1454960964718999</v>
      </c>
      <c r="X897" s="29">
        <v>486.73124999999999</v>
      </c>
      <c r="Y897">
        <f t="shared" si="187"/>
        <v>9.8347327362252296E-2</v>
      </c>
      <c r="Z897">
        <f t="shared" si="190"/>
        <v>7.7809810747945865E-2</v>
      </c>
      <c r="AA897">
        <f t="shared" si="191"/>
        <v>2.9703197876389562E-2</v>
      </c>
      <c r="AB897">
        <f t="shared" si="192"/>
        <v>2.8637852102464958</v>
      </c>
      <c r="AC897">
        <f t="shared" si="193"/>
        <v>5.0841561820323829E-4</v>
      </c>
      <c r="AD897">
        <f t="shared" si="194"/>
        <v>2.1286582625966652E-3</v>
      </c>
      <c r="AE897">
        <f t="shared" si="195"/>
        <v>0.38800929192846789</v>
      </c>
      <c r="AF897">
        <f t="shared" si="196"/>
        <v>0.22303538243112617</v>
      </c>
      <c r="AG897">
        <f t="shared" si="188"/>
        <v>3.6833272944734778</v>
      </c>
      <c r="AH897">
        <v>0.43819791343286391</v>
      </c>
      <c r="AI897">
        <v>0.6735253772290809</v>
      </c>
      <c r="AJ897">
        <v>1.4048137513730175E-2</v>
      </c>
      <c r="AK897">
        <v>1.258408827928767E-2</v>
      </c>
      <c r="AL897">
        <v>0.28680811702771525</v>
      </c>
    </row>
    <row r="898" spans="1:38" x14ac:dyDescent="0.25">
      <c r="A898">
        <v>29</v>
      </c>
      <c r="B898" s="5" t="s">
        <v>12</v>
      </c>
      <c r="C898" s="6" t="s">
        <v>5</v>
      </c>
      <c r="D898" s="6" t="s">
        <v>64</v>
      </c>
      <c r="E898" s="29">
        <v>5315</v>
      </c>
      <c r="F898" s="11">
        <v>29</v>
      </c>
      <c r="G898" s="11">
        <v>16</v>
      </c>
      <c r="H898" s="11">
        <f t="shared" ref="H898:H931" si="198">F898-G898</f>
        <v>13</v>
      </c>
      <c r="I898" s="18">
        <v>1</v>
      </c>
      <c r="J898" s="19">
        <v>0.54985337243401755</v>
      </c>
      <c r="K898" s="19">
        <v>0.4</v>
      </c>
      <c r="L898" s="6">
        <v>461495.0625</v>
      </c>
      <c r="M898" s="6">
        <v>366870.1875</v>
      </c>
      <c r="N898" s="6">
        <v>311015.75</v>
      </c>
      <c r="O898" s="6">
        <v>12957997</v>
      </c>
      <c r="P898" s="6">
        <v>2337.58203125</v>
      </c>
      <c r="Q898" s="6">
        <v>13498.33984375</v>
      </c>
      <c r="R898" s="6">
        <v>1836040</v>
      </c>
      <c r="S898" s="6">
        <v>1059611.875</v>
      </c>
      <c r="T898" s="31">
        <f t="shared" ref="T898:T931" si="199">SUM(L898:S898)/10000</f>
        <v>1700.8865796875</v>
      </c>
      <c r="U898" s="37">
        <v>486.22222222222217</v>
      </c>
      <c r="V898">
        <f t="shared" si="186"/>
        <v>3.4981670971635057</v>
      </c>
      <c r="W898">
        <f t="shared" si="197"/>
        <v>-5.026981924408102E-2</v>
      </c>
      <c r="X898" s="29">
        <v>504.25874999999996</v>
      </c>
      <c r="Y898">
        <f t="shared" si="187"/>
        <v>9.4914432415447905E-2</v>
      </c>
      <c r="Z898">
        <f t="shared" si="190"/>
        <v>7.545319212751371E-2</v>
      </c>
      <c r="AA898">
        <f t="shared" si="191"/>
        <v>6.3965762111517374E-2</v>
      </c>
      <c r="AB898">
        <f t="shared" si="192"/>
        <v>2.6650359460694699</v>
      </c>
      <c r="AC898">
        <f t="shared" si="193"/>
        <v>4.8076412891339125E-4</v>
      </c>
      <c r="AD898">
        <f t="shared" si="194"/>
        <v>2.7761667868772852E-3</v>
      </c>
      <c r="AE898">
        <f t="shared" si="195"/>
        <v>0.37761334552102382</v>
      </c>
      <c r="AF898">
        <f t="shared" si="196"/>
        <v>0.21792748800274225</v>
      </c>
      <c r="AG898">
        <f t="shared" si="188"/>
        <v>3.4981670971635057</v>
      </c>
      <c r="AH898">
        <v>0.43819791343286391</v>
      </c>
      <c r="AI898">
        <v>0.6735253772290809</v>
      </c>
      <c r="AJ898">
        <v>1.4048137513730175E-2</v>
      </c>
      <c r="AK898">
        <v>1.258408827928767E-2</v>
      </c>
      <c r="AL898">
        <v>0.28680811702771525</v>
      </c>
    </row>
    <row r="899" spans="1:38" x14ac:dyDescent="0.25">
      <c r="A899">
        <v>29</v>
      </c>
      <c r="B899" s="5" t="s">
        <v>12</v>
      </c>
      <c r="C899" s="6" t="s">
        <v>5</v>
      </c>
      <c r="D899" s="6" t="s">
        <v>65</v>
      </c>
      <c r="E899" s="29">
        <v>5315</v>
      </c>
      <c r="F899" s="11">
        <v>30</v>
      </c>
      <c r="G899" s="11">
        <v>16</v>
      </c>
      <c r="H899" s="11">
        <f t="shared" si="198"/>
        <v>14</v>
      </c>
      <c r="I899" s="18">
        <v>1</v>
      </c>
      <c r="J899" s="19">
        <v>0.54985337243401755</v>
      </c>
      <c r="K899" s="19">
        <v>0.4</v>
      </c>
      <c r="L899" s="6">
        <v>459688.53125</v>
      </c>
      <c r="M899" s="6">
        <v>364732.90625</v>
      </c>
      <c r="N899" s="6">
        <v>459508.34375</v>
      </c>
      <c r="O899" s="6">
        <v>13840130</v>
      </c>
      <c r="P899" s="6">
        <v>2337.58203125</v>
      </c>
      <c r="Q899" s="6">
        <v>8907.3203125</v>
      </c>
      <c r="R899" s="6">
        <v>1830308.5</v>
      </c>
      <c r="S899" s="6">
        <v>1046895.375</v>
      </c>
      <c r="T899" s="31">
        <f t="shared" si="199"/>
        <v>1801.250855859375</v>
      </c>
      <c r="U899" s="37">
        <v>512.66666666666663</v>
      </c>
      <c r="V899">
        <f t="shared" ref="V899:V931" si="200">T899/U899</f>
        <v>3.5134932168908488</v>
      </c>
      <c r="W899">
        <f t="shared" si="197"/>
        <v>4.3811857185925484E-3</v>
      </c>
      <c r="X899" s="29">
        <v>521.78625</v>
      </c>
      <c r="Y899">
        <f t="shared" si="187"/>
        <v>8.9666163442782845E-2</v>
      </c>
      <c r="Z899">
        <f t="shared" si="190"/>
        <v>7.1144259996749032E-2</v>
      </c>
      <c r="AA899">
        <f t="shared" si="191"/>
        <v>8.9631016336150851E-2</v>
      </c>
      <c r="AB899">
        <f t="shared" si="192"/>
        <v>2.6996352405721717</v>
      </c>
      <c r="AC899">
        <f t="shared" si="193"/>
        <v>4.559652856794539E-4</v>
      </c>
      <c r="AD899">
        <f t="shared" si="194"/>
        <v>1.7374486955461642E-3</v>
      </c>
      <c r="AE899">
        <f t="shared" si="195"/>
        <v>0.35701726267880368</v>
      </c>
      <c r="AF899">
        <f t="shared" si="196"/>
        <v>0.20420585988296491</v>
      </c>
      <c r="AG899">
        <f t="shared" si="188"/>
        <v>3.5134932168908488</v>
      </c>
      <c r="AH899">
        <v>0.43819791343286391</v>
      </c>
      <c r="AI899">
        <v>0.6735253772290809</v>
      </c>
      <c r="AJ899">
        <v>1.4048137513730175E-2</v>
      </c>
      <c r="AK899">
        <v>1.258408827928767E-2</v>
      </c>
      <c r="AL899">
        <v>0.28680811702771525</v>
      </c>
    </row>
    <row r="900" spans="1:38" x14ac:dyDescent="0.25">
      <c r="A900">
        <v>29</v>
      </c>
      <c r="B900" s="5" t="s">
        <v>12</v>
      </c>
      <c r="C900" s="6" t="s">
        <v>5</v>
      </c>
      <c r="D900" s="6" t="s">
        <v>66</v>
      </c>
      <c r="E900" s="29">
        <v>5315</v>
      </c>
      <c r="F900" s="11">
        <v>31</v>
      </c>
      <c r="G900" s="11">
        <v>16</v>
      </c>
      <c r="H900" s="11">
        <f t="shared" si="198"/>
        <v>15</v>
      </c>
      <c r="I900" s="18">
        <v>1</v>
      </c>
      <c r="J900" s="19">
        <v>0.54985337243401755</v>
      </c>
      <c r="K900" s="19">
        <v>0.4</v>
      </c>
      <c r="L900" s="6">
        <v>459621.78125</v>
      </c>
      <c r="M900" s="6">
        <v>367646.53125</v>
      </c>
      <c r="N900" s="6">
        <v>697032.9375</v>
      </c>
      <c r="O900" s="6">
        <v>15438103</v>
      </c>
      <c r="P900" s="6">
        <v>2338.7041015625</v>
      </c>
      <c r="Q900" s="6">
        <v>4200.8505859375</v>
      </c>
      <c r="R900" s="6">
        <v>1847334.75</v>
      </c>
      <c r="S900" s="6">
        <v>1010833.6875</v>
      </c>
      <c r="T900" s="31">
        <f t="shared" si="199"/>
        <v>1982.71122421875</v>
      </c>
      <c r="U900" s="37">
        <v>539.11111111111109</v>
      </c>
      <c r="V900">
        <f t="shared" si="200"/>
        <v>3.6777413474791323</v>
      </c>
      <c r="W900">
        <f t="shared" si="197"/>
        <v>4.6747814909296879E-2</v>
      </c>
      <c r="X900" s="29">
        <v>539.31375000000003</v>
      </c>
      <c r="Y900">
        <f t="shared" ref="Y900:Y931" si="201">L900/$U900/10000</f>
        <v>8.5255482919414677E-2</v>
      </c>
      <c r="Z900">
        <f t="shared" si="190"/>
        <v>6.8194946027411385E-2</v>
      </c>
      <c r="AA900">
        <f t="shared" si="191"/>
        <v>0.12929300159727947</v>
      </c>
      <c r="AB900">
        <f t="shared" si="192"/>
        <v>2.8636217436108824</v>
      </c>
      <c r="AC900">
        <f t="shared" si="193"/>
        <v>4.3380743845965576E-4</v>
      </c>
      <c r="AD900">
        <f t="shared" si="194"/>
        <v>7.7921795699582657E-4</v>
      </c>
      <c r="AE900">
        <f t="shared" si="195"/>
        <v>0.34266308223413028</v>
      </c>
      <c r="AF900">
        <f t="shared" si="196"/>
        <v>0.18750006569455896</v>
      </c>
      <c r="AG900">
        <f t="shared" ref="AG900:AG931" si="202">SUM(Y900:AF900)</f>
        <v>3.6777413474791327</v>
      </c>
      <c r="AH900">
        <v>0.43819791343286391</v>
      </c>
      <c r="AI900">
        <v>0.6735253772290809</v>
      </c>
      <c r="AJ900">
        <v>1.4048137513730175E-2</v>
      </c>
      <c r="AK900">
        <v>1.258408827928767E-2</v>
      </c>
      <c r="AL900">
        <v>0.28680811702771525</v>
      </c>
    </row>
    <row r="901" spans="1:38" x14ac:dyDescent="0.25">
      <c r="A901">
        <v>30</v>
      </c>
      <c r="B901" s="5" t="s">
        <v>18</v>
      </c>
      <c r="C901" s="6" t="s">
        <v>5</v>
      </c>
      <c r="D901" s="6" t="s">
        <v>36</v>
      </c>
      <c r="E901" s="28">
        <v>15983.6469</v>
      </c>
      <c r="F901" s="11">
        <v>1</v>
      </c>
      <c r="G901" s="11"/>
      <c r="H901" s="18">
        <f t="shared" si="198"/>
        <v>1</v>
      </c>
      <c r="I901" s="18">
        <v>0</v>
      </c>
      <c r="J901" s="18">
        <v>0</v>
      </c>
      <c r="K901" s="18">
        <v>0</v>
      </c>
      <c r="L901" s="14">
        <v>22002202</v>
      </c>
      <c r="M901" s="14">
        <v>1642946</v>
      </c>
      <c r="N901" s="14">
        <v>1216336.75</v>
      </c>
      <c r="O901" s="14">
        <v>4420537</v>
      </c>
      <c r="P901" s="14">
        <v>4289.91259765625</v>
      </c>
      <c r="Q901" s="14">
        <v>9380.0478515625</v>
      </c>
      <c r="R901" s="14">
        <v>1371788.25</v>
      </c>
      <c r="S901" s="14">
        <v>5255871.5</v>
      </c>
      <c r="T901" s="31">
        <f t="shared" si="199"/>
        <v>3592.3351460449217</v>
      </c>
      <c r="U901" s="37"/>
      <c r="X901" s="28">
        <v>1254.6808333333333</v>
      </c>
      <c r="Y901" t="e">
        <f t="shared" si="201"/>
        <v>#DIV/0!</v>
      </c>
      <c r="Z901" t="e">
        <f t="shared" si="190"/>
        <v>#DIV/0!</v>
      </c>
      <c r="AA901" t="e">
        <f t="shared" si="191"/>
        <v>#DIV/0!</v>
      </c>
      <c r="AB901" t="e">
        <f t="shared" si="192"/>
        <v>#DIV/0!</v>
      </c>
      <c r="AC901" t="e">
        <f t="shared" si="193"/>
        <v>#DIV/0!</v>
      </c>
      <c r="AD901" t="e">
        <f t="shared" si="194"/>
        <v>#DIV/0!</v>
      </c>
      <c r="AE901" t="e">
        <f t="shared" si="195"/>
        <v>#DIV/0!</v>
      </c>
      <c r="AF901" t="e">
        <f t="shared" si="196"/>
        <v>#DIV/0!</v>
      </c>
      <c r="AG901" t="e">
        <f t="shared" si="202"/>
        <v>#DIV/0!</v>
      </c>
      <c r="AH901">
        <v>0.39298290554704385</v>
      </c>
      <c r="AI901">
        <v>0.57242178447276937</v>
      </c>
      <c r="AJ901">
        <v>1.5868005650946778E-3</v>
      </c>
      <c r="AK901">
        <v>3.3898333927784657E-3</v>
      </c>
      <c r="AL901">
        <v>0.30102977360603023</v>
      </c>
    </row>
    <row r="902" spans="1:38" x14ac:dyDescent="0.25">
      <c r="A902">
        <v>30</v>
      </c>
      <c r="B902" s="5" t="s">
        <v>18</v>
      </c>
      <c r="C902" s="6" t="s">
        <v>5</v>
      </c>
      <c r="D902" s="6" t="s">
        <v>37</v>
      </c>
      <c r="E902" s="28">
        <v>15983.6469</v>
      </c>
      <c r="F902" s="11">
        <v>2</v>
      </c>
      <c r="G902" s="11"/>
      <c r="H902" s="11">
        <f t="shared" si="198"/>
        <v>2</v>
      </c>
      <c r="I902" s="18">
        <v>0</v>
      </c>
      <c r="J902" s="18">
        <v>0</v>
      </c>
      <c r="K902" s="18">
        <v>0</v>
      </c>
      <c r="L902" s="6">
        <v>23898728</v>
      </c>
      <c r="M902" s="6">
        <v>1578355.5</v>
      </c>
      <c r="N902" s="6">
        <v>1216216.25</v>
      </c>
      <c r="O902" s="6">
        <v>4244133.5</v>
      </c>
      <c r="P902" s="6">
        <v>4289.91259765625</v>
      </c>
      <c r="Q902" s="6">
        <v>5580.86376953125</v>
      </c>
      <c r="R902" s="6">
        <v>1375939.75</v>
      </c>
      <c r="S902" s="6">
        <v>5139707.5</v>
      </c>
      <c r="T902" s="31">
        <f t="shared" si="199"/>
        <v>3746.2951276367189</v>
      </c>
      <c r="U902" s="37">
        <v>1391.5</v>
      </c>
      <c r="V902">
        <f t="shared" si="200"/>
        <v>2.6922710223763699</v>
      </c>
      <c r="W902" t="e">
        <f>(V902-V901)/V901</f>
        <v>#DIV/0!</v>
      </c>
      <c r="X902" s="28">
        <v>1463.9191666666666</v>
      </c>
      <c r="Y902">
        <f t="shared" si="201"/>
        <v>1.7174795544376571</v>
      </c>
      <c r="Z902">
        <f t="shared" si="190"/>
        <v>0.11342835070068272</v>
      </c>
      <c r="AA902">
        <f t="shared" si="191"/>
        <v>8.7403251886453467E-2</v>
      </c>
      <c r="AB902">
        <f t="shared" si="192"/>
        <v>0.30500420409629897</v>
      </c>
      <c r="AC902">
        <f t="shared" si="193"/>
        <v>3.0829411409674814E-4</v>
      </c>
      <c r="AD902">
        <f t="shared" si="194"/>
        <v>4.0106818322179302E-4</v>
      </c>
      <c r="AE902">
        <f t="shared" si="195"/>
        <v>9.8881764283147683E-2</v>
      </c>
      <c r="AF902">
        <f t="shared" si="196"/>
        <v>0.3693645346748114</v>
      </c>
      <c r="AG902">
        <f t="shared" si="202"/>
        <v>2.6922710223763699</v>
      </c>
      <c r="AH902">
        <v>0.39298290554704385</v>
      </c>
      <c r="AI902">
        <v>0.57242178447276937</v>
      </c>
      <c r="AJ902">
        <v>1.5868005650946778E-3</v>
      </c>
      <c r="AK902">
        <v>3.3898333927784657E-3</v>
      </c>
      <c r="AL902">
        <v>0.30102977360603023</v>
      </c>
    </row>
    <row r="903" spans="1:38" x14ac:dyDescent="0.25">
      <c r="A903">
        <v>30</v>
      </c>
      <c r="B903" s="5" t="s">
        <v>18</v>
      </c>
      <c r="C903" s="6" t="s">
        <v>5</v>
      </c>
      <c r="D903" s="6" t="s">
        <v>38</v>
      </c>
      <c r="E903" s="28">
        <v>15983.6469</v>
      </c>
      <c r="F903" s="11">
        <v>3</v>
      </c>
      <c r="G903" s="11"/>
      <c r="H903" s="11">
        <f t="shared" si="198"/>
        <v>3</v>
      </c>
      <c r="I903" s="18">
        <v>0</v>
      </c>
      <c r="J903" s="18">
        <v>0</v>
      </c>
      <c r="K903" s="18">
        <v>0</v>
      </c>
      <c r="L903" s="6">
        <v>23889432</v>
      </c>
      <c r="M903" s="6">
        <v>1534218.5</v>
      </c>
      <c r="N903" s="6">
        <v>1216262</v>
      </c>
      <c r="O903" s="6">
        <v>4124237.75</v>
      </c>
      <c r="P903" s="6">
        <v>4289.91259765625</v>
      </c>
      <c r="Q903" s="6">
        <v>7818.6484375</v>
      </c>
      <c r="R903" s="6">
        <v>1361933.625</v>
      </c>
      <c r="S903" s="6">
        <v>5198126</v>
      </c>
      <c r="T903" s="31">
        <f t="shared" si="199"/>
        <v>3733.6318436035158</v>
      </c>
      <c r="U903" s="37">
        <v>1422</v>
      </c>
      <c r="V903">
        <f t="shared" si="200"/>
        <v>2.6256201431810942</v>
      </c>
      <c r="W903">
        <f t="shared" ref="W903:W931" si="203">(V903-V902)/V902</f>
        <v>-2.4756378032270123E-2</v>
      </c>
      <c r="X903" s="28">
        <v>1673.1575</v>
      </c>
      <c r="Y903">
        <f t="shared" si="201"/>
        <v>1.6799881856540084</v>
      </c>
      <c r="Z903">
        <f t="shared" si="190"/>
        <v>0.10789159634317862</v>
      </c>
      <c r="AA903">
        <f t="shared" si="191"/>
        <v>8.5531786216596351E-2</v>
      </c>
      <c r="AB903">
        <f t="shared" si="192"/>
        <v>0.2900307841068917</v>
      </c>
      <c r="AC903">
        <f t="shared" si="193"/>
        <v>3.0168161727540433E-4</v>
      </c>
      <c r="AD903">
        <f t="shared" si="194"/>
        <v>5.4983462992264412E-4</v>
      </c>
      <c r="AE903">
        <f t="shared" si="195"/>
        <v>9.5775922995780596E-2</v>
      </c>
      <c r="AF903">
        <f t="shared" si="196"/>
        <v>0.36555035161744021</v>
      </c>
      <c r="AG903">
        <f t="shared" si="202"/>
        <v>2.6256201431810942</v>
      </c>
      <c r="AH903">
        <v>0.39298290554704385</v>
      </c>
      <c r="AI903">
        <v>0.57242178447276937</v>
      </c>
      <c r="AJ903">
        <v>1.5868005650946778E-3</v>
      </c>
      <c r="AK903">
        <v>3.3898333927784657E-3</v>
      </c>
      <c r="AL903">
        <v>0.30102977360603023</v>
      </c>
    </row>
    <row r="904" spans="1:38" x14ac:dyDescent="0.25">
      <c r="A904">
        <v>30</v>
      </c>
      <c r="B904" s="5" t="s">
        <v>18</v>
      </c>
      <c r="C904" s="6" t="s">
        <v>5</v>
      </c>
      <c r="D904" s="6" t="s">
        <v>39</v>
      </c>
      <c r="E904" s="28">
        <v>15983.6469</v>
      </c>
      <c r="F904" s="11">
        <v>4</v>
      </c>
      <c r="G904" s="11"/>
      <c r="H904" s="11">
        <f t="shared" si="198"/>
        <v>4</v>
      </c>
      <c r="I904" s="18">
        <v>0</v>
      </c>
      <c r="J904" s="18">
        <v>0</v>
      </c>
      <c r="K904" s="18">
        <v>0</v>
      </c>
      <c r="L904" s="6">
        <v>22705652</v>
      </c>
      <c r="M904" s="6">
        <v>1600607.625</v>
      </c>
      <c r="N904" s="6">
        <v>1216926.5</v>
      </c>
      <c r="O904" s="6">
        <v>4304096</v>
      </c>
      <c r="P904" s="6">
        <v>4289.91259765625</v>
      </c>
      <c r="Q904" s="6">
        <v>21704.642578125</v>
      </c>
      <c r="R904" s="6">
        <v>1357750.5</v>
      </c>
      <c r="S904" s="6">
        <v>5298655</v>
      </c>
      <c r="T904" s="31">
        <f t="shared" si="199"/>
        <v>3650.9682180175782</v>
      </c>
      <c r="U904" s="37">
        <v>1490</v>
      </c>
      <c r="V904">
        <f t="shared" si="200"/>
        <v>2.450314240280254</v>
      </c>
      <c r="W904">
        <f t="shared" si="203"/>
        <v>-6.6767427632714094E-2</v>
      </c>
      <c r="X904" s="28">
        <v>1882.3958333333335</v>
      </c>
      <c r="Y904">
        <f t="shared" si="201"/>
        <v>1.5238692617449663</v>
      </c>
      <c r="Z904">
        <f t="shared" si="190"/>
        <v>0.10742333053691275</v>
      </c>
      <c r="AA904">
        <f t="shared" si="191"/>
        <v>8.1672919463087246E-2</v>
      </c>
      <c r="AB904">
        <f t="shared" si="192"/>
        <v>0.28886550335570471</v>
      </c>
      <c r="AC904">
        <f t="shared" si="193"/>
        <v>2.879135971581376E-4</v>
      </c>
      <c r="AD904">
        <f t="shared" si="194"/>
        <v>1.4566874213506711E-3</v>
      </c>
      <c r="AE904">
        <f t="shared" si="195"/>
        <v>9.1124194630872471E-2</v>
      </c>
      <c r="AF904">
        <f t="shared" si="196"/>
        <v>0.35561442953020134</v>
      </c>
      <c r="AG904">
        <f t="shared" si="202"/>
        <v>2.4503142402802536</v>
      </c>
      <c r="AH904">
        <v>0.39298290554704385</v>
      </c>
      <c r="AI904">
        <v>0.57242178447276937</v>
      </c>
      <c r="AJ904">
        <v>1.5868005650946778E-3</v>
      </c>
      <c r="AK904">
        <v>3.3898333927784657E-3</v>
      </c>
      <c r="AL904">
        <v>0.30102977360603023</v>
      </c>
    </row>
    <row r="905" spans="1:38" x14ac:dyDescent="0.25">
      <c r="A905">
        <v>30</v>
      </c>
      <c r="B905" s="5" t="s">
        <v>18</v>
      </c>
      <c r="C905" s="6" t="s">
        <v>5</v>
      </c>
      <c r="D905" s="6" t="s">
        <v>40</v>
      </c>
      <c r="E905" s="28">
        <v>15983.6469</v>
      </c>
      <c r="F905" s="11">
        <v>5</v>
      </c>
      <c r="G905" s="11"/>
      <c r="H905" s="11">
        <f t="shared" si="198"/>
        <v>5</v>
      </c>
      <c r="I905" s="18">
        <v>0</v>
      </c>
      <c r="J905" s="18">
        <v>0</v>
      </c>
      <c r="K905" s="18">
        <v>0</v>
      </c>
      <c r="L905" s="6">
        <v>25730180</v>
      </c>
      <c r="M905" s="6">
        <v>1645856.75</v>
      </c>
      <c r="N905" s="6">
        <v>1218020.5</v>
      </c>
      <c r="O905" s="6">
        <v>4426449</v>
      </c>
      <c r="P905" s="6">
        <v>4289.91259765625</v>
      </c>
      <c r="Q905" s="6">
        <v>29943.05078125</v>
      </c>
      <c r="R905" s="6">
        <v>1376825.25</v>
      </c>
      <c r="S905" s="6">
        <v>5501913</v>
      </c>
      <c r="T905" s="31">
        <f t="shared" si="199"/>
        <v>3993.3477463378908</v>
      </c>
      <c r="U905" s="37">
        <v>1558</v>
      </c>
      <c r="V905">
        <f t="shared" si="200"/>
        <v>2.5631243558009569</v>
      </c>
      <c r="W905">
        <f t="shared" si="203"/>
        <v>4.6039040081569386E-2</v>
      </c>
      <c r="X905" s="28">
        <v>2091.6341666666667</v>
      </c>
      <c r="Y905">
        <f t="shared" si="201"/>
        <v>1.6514878048780488</v>
      </c>
      <c r="Z905">
        <f t="shared" si="190"/>
        <v>0.10563907252888319</v>
      </c>
      <c r="AA905">
        <f t="shared" si="191"/>
        <v>7.8178465982028239E-2</v>
      </c>
      <c r="AB905">
        <f t="shared" si="192"/>
        <v>0.28411097560975607</v>
      </c>
      <c r="AC905">
        <f t="shared" si="193"/>
        <v>2.7534740678153083E-4</v>
      </c>
      <c r="AD905">
        <f t="shared" si="194"/>
        <v>1.9218902940468549E-3</v>
      </c>
      <c r="AE905">
        <f t="shared" si="195"/>
        <v>8.8371325417201538E-2</v>
      </c>
      <c r="AF905">
        <f t="shared" si="196"/>
        <v>0.35313947368421056</v>
      </c>
      <c r="AG905">
        <f t="shared" si="202"/>
        <v>2.5631243558009564</v>
      </c>
      <c r="AH905">
        <v>0.39298290554704385</v>
      </c>
      <c r="AI905">
        <v>0.57242178447276937</v>
      </c>
      <c r="AJ905">
        <v>1.5868005650946778E-3</v>
      </c>
      <c r="AK905">
        <v>3.3898333927784657E-3</v>
      </c>
      <c r="AL905">
        <v>0.30102977360603023</v>
      </c>
    </row>
    <row r="906" spans="1:38" x14ac:dyDescent="0.25">
      <c r="A906">
        <v>30</v>
      </c>
      <c r="B906" s="5" t="s">
        <v>18</v>
      </c>
      <c r="C906" s="6" t="s">
        <v>5</v>
      </c>
      <c r="D906" s="6" t="s">
        <v>41</v>
      </c>
      <c r="E906" s="28">
        <v>15983.6469</v>
      </c>
      <c r="F906" s="11">
        <v>6</v>
      </c>
      <c r="G906" s="11"/>
      <c r="H906" s="11">
        <f t="shared" si="198"/>
        <v>6</v>
      </c>
      <c r="I906" s="18">
        <v>0</v>
      </c>
      <c r="J906" s="18">
        <v>0</v>
      </c>
      <c r="K906" s="18">
        <v>0</v>
      </c>
      <c r="L906" s="6">
        <v>27183564</v>
      </c>
      <c r="M906" s="6">
        <v>1638984.875</v>
      </c>
      <c r="N906" s="6">
        <v>1219286.5</v>
      </c>
      <c r="O906" s="6">
        <v>4410728</v>
      </c>
      <c r="P906" s="6">
        <v>4289.91259765625</v>
      </c>
      <c r="Q906" s="6">
        <v>19778.71484375</v>
      </c>
      <c r="R906" s="6">
        <v>1373304.625</v>
      </c>
      <c r="S906" s="6">
        <v>5426311</v>
      </c>
      <c r="T906" s="31">
        <f t="shared" si="199"/>
        <v>4127.6247627441408</v>
      </c>
      <c r="U906" s="37">
        <v>1626</v>
      </c>
      <c r="V906">
        <f t="shared" si="200"/>
        <v>2.5385146142337889</v>
      </c>
      <c r="W906">
        <f t="shared" si="203"/>
        <v>-9.60146218090056E-3</v>
      </c>
      <c r="X906" s="28">
        <v>2300.8724999999999</v>
      </c>
      <c r="Y906">
        <f t="shared" si="201"/>
        <v>1.6718059040590407</v>
      </c>
      <c r="Z906">
        <f t="shared" si="190"/>
        <v>0.10079857779827799</v>
      </c>
      <c r="AA906">
        <f t="shared" si="191"/>
        <v>7.4986869618696189E-2</v>
      </c>
      <c r="AB906">
        <f t="shared" si="192"/>
        <v>0.27126248462484626</v>
      </c>
      <c r="AC906">
        <f t="shared" si="193"/>
        <v>2.6383226307849018E-4</v>
      </c>
      <c r="AD906">
        <f t="shared" si="194"/>
        <v>1.2164031269218942E-3</v>
      </c>
      <c r="AE906">
        <f t="shared" si="195"/>
        <v>8.4459079028290279E-2</v>
      </c>
      <c r="AF906">
        <f t="shared" si="196"/>
        <v>0.33372146371463712</v>
      </c>
      <c r="AG906">
        <f t="shared" si="202"/>
        <v>2.5385146142337889</v>
      </c>
      <c r="AH906">
        <v>0.39298290554704385</v>
      </c>
      <c r="AI906">
        <v>0.57242178447276937</v>
      </c>
      <c r="AJ906">
        <v>1.5868005650946778E-3</v>
      </c>
      <c r="AK906">
        <v>3.3898333927784657E-3</v>
      </c>
      <c r="AL906">
        <v>0.30102977360603023</v>
      </c>
    </row>
    <row r="907" spans="1:38" x14ac:dyDescent="0.25">
      <c r="A907">
        <v>30</v>
      </c>
      <c r="B907" s="5" t="s">
        <v>18</v>
      </c>
      <c r="C907" s="6" t="s">
        <v>5</v>
      </c>
      <c r="D907" s="6" t="s">
        <v>42</v>
      </c>
      <c r="E907" s="28">
        <v>15983.6469</v>
      </c>
      <c r="F907" s="11">
        <v>7</v>
      </c>
      <c r="G907" s="11"/>
      <c r="H907" s="11">
        <f t="shared" si="198"/>
        <v>7</v>
      </c>
      <c r="I907" s="18">
        <v>0</v>
      </c>
      <c r="J907" s="18">
        <v>0</v>
      </c>
      <c r="K907" s="18">
        <v>0</v>
      </c>
      <c r="L907" s="6">
        <v>33201632</v>
      </c>
      <c r="M907" s="6">
        <v>1653376.75</v>
      </c>
      <c r="N907" s="6">
        <v>1220370</v>
      </c>
      <c r="O907" s="6">
        <v>4450925.5</v>
      </c>
      <c r="P907" s="6">
        <v>4291.9716796875</v>
      </c>
      <c r="Q907" s="6">
        <v>9239.5009765625</v>
      </c>
      <c r="R907" s="6">
        <v>1373510.5</v>
      </c>
      <c r="S907" s="6">
        <v>5211383</v>
      </c>
      <c r="T907" s="31">
        <f t="shared" si="199"/>
        <v>4712.4729222656251</v>
      </c>
      <c r="U907" s="37">
        <v>1694</v>
      </c>
      <c r="V907">
        <f t="shared" si="200"/>
        <v>2.7818612292004872</v>
      </c>
      <c r="W907">
        <f t="shared" si="203"/>
        <v>9.5861813677266802E-2</v>
      </c>
      <c r="X907" s="28">
        <v>2510.1108333333336</v>
      </c>
      <c r="Y907">
        <f t="shared" si="201"/>
        <v>1.9599546635183001</v>
      </c>
      <c r="Z907">
        <f t="shared" si="190"/>
        <v>9.7601933293978746E-2</v>
      </c>
      <c r="AA907">
        <f t="shared" si="191"/>
        <v>7.2040731995277454E-2</v>
      </c>
      <c r="AB907">
        <f t="shared" si="192"/>
        <v>0.26274648760330577</v>
      </c>
      <c r="AC907">
        <f t="shared" si="193"/>
        <v>2.5336314519997048E-4</v>
      </c>
      <c r="AD907">
        <f t="shared" si="194"/>
        <v>5.4542508716425616E-4</v>
      </c>
      <c r="AE907">
        <f t="shared" si="195"/>
        <v>8.1080903187721362E-2</v>
      </c>
      <c r="AF907">
        <f t="shared" si="196"/>
        <v>0.30763772136953954</v>
      </c>
      <c r="AG907">
        <f t="shared" si="202"/>
        <v>2.7818612292004872</v>
      </c>
      <c r="AH907">
        <v>0.39298290554704385</v>
      </c>
      <c r="AI907">
        <v>0.57242178447276937</v>
      </c>
      <c r="AJ907">
        <v>1.5868005650946778E-3</v>
      </c>
      <c r="AK907">
        <v>3.3898333927784657E-3</v>
      </c>
      <c r="AL907">
        <v>0.30102977360603023</v>
      </c>
    </row>
    <row r="908" spans="1:38" x14ac:dyDescent="0.25">
      <c r="A908">
        <v>30</v>
      </c>
      <c r="B908" s="5" t="s">
        <v>18</v>
      </c>
      <c r="C908" s="6" t="s">
        <v>5</v>
      </c>
      <c r="D908" s="6" t="s">
        <v>43</v>
      </c>
      <c r="E908" s="29">
        <v>17741.3</v>
      </c>
      <c r="F908" s="11">
        <v>8</v>
      </c>
      <c r="G908" s="11"/>
      <c r="H908" s="18">
        <f t="shared" si="198"/>
        <v>8</v>
      </c>
      <c r="I908" s="18">
        <v>0</v>
      </c>
      <c r="J908" s="18">
        <v>0</v>
      </c>
      <c r="K908" s="18">
        <v>0</v>
      </c>
      <c r="L908" s="14">
        <v>23620590</v>
      </c>
      <c r="M908" s="14">
        <v>1520181.25</v>
      </c>
      <c r="N908" s="14">
        <v>1172426.5</v>
      </c>
      <c r="O908" s="14">
        <v>4331943</v>
      </c>
      <c r="P908" s="14">
        <v>4387.6865234375</v>
      </c>
      <c r="Q908" s="14">
        <v>4760.53271484375</v>
      </c>
      <c r="R908" s="14">
        <v>1329098.25</v>
      </c>
      <c r="S908" s="14">
        <v>4806268.5</v>
      </c>
      <c r="T908" s="31">
        <f t="shared" si="199"/>
        <v>3678.9655719238281</v>
      </c>
      <c r="U908" s="37">
        <v>1354.4444444444446</v>
      </c>
      <c r="V908">
        <f t="shared" si="200"/>
        <v>2.7162174033892081</v>
      </c>
      <c r="W908">
        <f t="shared" si="203"/>
        <v>-2.3597088568700894E-2</v>
      </c>
      <c r="X908" s="29">
        <v>710.14875000000075</v>
      </c>
      <c r="Y908">
        <f t="shared" si="201"/>
        <v>1.7439319934372433</v>
      </c>
      <c r="Z908">
        <f t="shared" si="190"/>
        <v>0.11223651558654633</v>
      </c>
      <c r="AA908">
        <f t="shared" si="191"/>
        <v>8.656143150123051E-2</v>
      </c>
      <c r="AB908">
        <f t="shared" si="192"/>
        <v>0.31983172272354388</v>
      </c>
      <c r="AC908">
        <f t="shared" si="193"/>
        <v>3.2394732330547576E-4</v>
      </c>
      <c r="AD908">
        <f t="shared" si="194"/>
        <v>3.5147493382767638E-4</v>
      </c>
      <c r="AE908">
        <f t="shared" si="195"/>
        <v>9.8128664889253481E-2</v>
      </c>
      <c r="AF908">
        <f t="shared" si="196"/>
        <v>0.35485165299425758</v>
      </c>
      <c r="AG908">
        <f t="shared" si="202"/>
        <v>2.7162174033892077</v>
      </c>
      <c r="AH908">
        <v>0.40530032417596734</v>
      </c>
      <c r="AI908">
        <v>0.57904909161190565</v>
      </c>
      <c r="AJ908">
        <v>1.5855747631903945E-3</v>
      </c>
      <c r="AK908">
        <v>3.5537423230597247E-3</v>
      </c>
      <c r="AL908">
        <v>0.27646662960470492</v>
      </c>
    </row>
    <row r="909" spans="1:38" x14ac:dyDescent="0.25">
      <c r="A909">
        <v>30</v>
      </c>
      <c r="B909" s="5" t="s">
        <v>18</v>
      </c>
      <c r="C909" s="6" t="s">
        <v>5</v>
      </c>
      <c r="D909" s="6" t="s">
        <v>44</v>
      </c>
      <c r="E909" s="29">
        <v>17741.3</v>
      </c>
      <c r="F909" s="11">
        <v>9</v>
      </c>
      <c r="G909" s="11"/>
      <c r="H909" s="11">
        <f t="shared" si="198"/>
        <v>9</v>
      </c>
      <c r="I909" s="18">
        <v>0</v>
      </c>
      <c r="J909" s="18">
        <v>0</v>
      </c>
      <c r="K909" s="18">
        <v>0</v>
      </c>
      <c r="L909" s="6">
        <v>23503548</v>
      </c>
      <c r="M909" s="6">
        <v>1489719.5</v>
      </c>
      <c r="N909" s="6">
        <v>1172402.75</v>
      </c>
      <c r="O909" s="6">
        <v>4242672</v>
      </c>
      <c r="P909" s="6">
        <v>4387.6865234375</v>
      </c>
      <c r="Q909" s="6">
        <v>6742.8662109375</v>
      </c>
      <c r="R909" s="6">
        <v>1314198.375</v>
      </c>
      <c r="S909" s="6">
        <v>4879867.5</v>
      </c>
      <c r="T909" s="31">
        <f t="shared" si="199"/>
        <v>3661.3538677734373</v>
      </c>
      <c r="U909" s="37">
        <v>1392.6666666666667</v>
      </c>
      <c r="V909">
        <f t="shared" si="200"/>
        <v>2.6290238399522048</v>
      </c>
      <c r="W909">
        <f t="shared" si="203"/>
        <v>-3.2101098876771074E-2</v>
      </c>
      <c r="X909" s="29">
        <v>854.4045833333339</v>
      </c>
      <c r="Y909">
        <f t="shared" si="201"/>
        <v>1.6876650071804691</v>
      </c>
      <c r="Z909">
        <f t="shared" si="190"/>
        <v>0.10696884873145045</v>
      </c>
      <c r="AA909">
        <f t="shared" si="191"/>
        <v>8.4184017472474865E-2</v>
      </c>
      <c r="AB909">
        <f t="shared" si="192"/>
        <v>0.30464375299186214</v>
      </c>
      <c r="AC909">
        <f t="shared" si="193"/>
        <v>3.1505647607258253E-4</v>
      </c>
      <c r="AD909">
        <f t="shared" si="194"/>
        <v>4.8416942634783389E-4</v>
      </c>
      <c r="AE909">
        <f t="shared" si="195"/>
        <v>9.4365608544758256E-2</v>
      </c>
      <c r="AF909">
        <f t="shared" si="196"/>
        <v>0.35039737912876973</v>
      </c>
      <c r="AG909">
        <f t="shared" si="202"/>
        <v>2.6290238399522052</v>
      </c>
      <c r="AH909">
        <v>0.40530032417596734</v>
      </c>
      <c r="AI909">
        <v>0.57904909161190565</v>
      </c>
      <c r="AJ909">
        <v>1.5855747631903945E-3</v>
      </c>
      <c r="AK909">
        <v>3.5537423230597247E-3</v>
      </c>
      <c r="AL909">
        <v>0.27646662960470492</v>
      </c>
    </row>
    <row r="910" spans="1:38" x14ac:dyDescent="0.25">
      <c r="A910">
        <v>30</v>
      </c>
      <c r="B910" s="5" t="s">
        <v>18</v>
      </c>
      <c r="C910" s="6" t="s">
        <v>5</v>
      </c>
      <c r="D910" s="6" t="s">
        <v>45</v>
      </c>
      <c r="E910" s="29">
        <v>17741.3</v>
      </c>
      <c r="F910" s="11">
        <v>10</v>
      </c>
      <c r="G910" s="11"/>
      <c r="H910" s="11">
        <f t="shared" si="198"/>
        <v>10</v>
      </c>
      <c r="I910" s="18">
        <v>0</v>
      </c>
      <c r="J910" s="18">
        <v>0</v>
      </c>
      <c r="K910" s="18">
        <v>0</v>
      </c>
      <c r="L910" s="6">
        <v>26736472</v>
      </c>
      <c r="M910" s="6">
        <v>1546776</v>
      </c>
      <c r="N910" s="6">
        <v>1172354.125</v>
      </c>
      <c r="O910" s="6">
        <v>4406424.5</v>
      </c>
      <c r="P910" s="6">
        <v>4387.6865234375</v>
      </c>
      <c r="Q910" s="6">
        <v>19416.6875</v>
      </c>
      <c r="R910" s="6">
        <v>1309267.375</v>
      </c>
      <c r="S910" s="6">
        <v>4997752.5</v>
      </c>
      <c r="T910" s="31">
        <f t="shared" si="199"/>
        <v>4019.2850874023438</v>
      </c>
      <c r="U910" s="37">
        <v>1430.8888888888889</v>
      </c>
      <c r="V910">
        <f t="shared" si="200"/>
        <v>2.8089428316991065</v>
      </c>
      <c r="W910">
        <f t="shared" si="203"/>
        <v>6.8435663843266117E-2</v>
      </c>
      <c r="X910" s="29">
        <v>998.66041666666706</v>
      </c>
      <c r="Y910">
        <f t="shared" si="201"/>
        <v>1.8685218822798573</v>
      </c>
      <c r="Z910">
        <f t="shared" si="190"/>
        <v>0.10809895946575555</v>
      </c>
      <c r="AA910">
        <f t="shared" si="191"/>
        <v>8.1931877038359996E-2</v>
      </c>
      <c r="AB910">
        <f t="shared" si="192"/>
        <v>0.30795015142102811</v>
      </c>
      <c r="AC910">
        <f t="shared" si="193"/>
        <v>3.0664061741681549E-4</v>
      </c>
      <c r="AD910">
        <f t="shared" si="194"/>
        <v>1.356966823264482E-3</v>
      </c>
      <c r="AE910">
        <f t="shared" si="195"/>
        <v>9.1500282458456289E-2</v>
      </c>
      <c r="AF910">
        <f t="shared" si="196"/>
        <v>0.34927607159496815</v>
      </c>
      <c r="AG910">
        <f t="shared" si="202"/>
        <v>2.808942831699107</v>
      </c>
      <c r="AH910">
        <v>0.40530032417596734</v>
      </c>
      <c r="AI910">
        <v>0.57904909161190565</v>
      </c>
      <c r="AJ910">
        <v>1.5855747631903945E-3</v>
      </c>
      <c r="AK910">
        <v>3.5537423230597247E-3</v>
      </c>
      <c r="AL910">
        <v>0.27646662960470492</v>
      </c>
    </row>
    <row r="911" spans="1:38" x14ac:dyDescent="0.25">
      <c r="A911">
        <v>30</v>
      </c>
      <c r="B911" s="5" t="s">
        <v>18</v>
      </c>
      <c r="C911" s="6" t="s">
        <v>5</v>
      </c>
      <c r="D911" s="6" t="s">
        <v>46</v>
      </c>
      <c r="E911" s="29">
        <v>17741.3</v>
      </c>
      <c r="F911" s="11">
        <v>11</v>
      </c>
      <c r="G911" s="11"/>
      <c r="H911" s="11">
        <f t="shared" si="198"/>
        <v>11</v>
      </c>
      <c r="I911" s="18">
        <v>0</v>
      </c>
      <c r="J911" s="18">
        <v>0</v>
      </c>
      <c r="K911" s="18">
        <v>0</v>
      </c>
      <c r="L911" s="6">
        <v>24183664</v>
      </c>
      <c r="M911" s="6">
        <v>1572567.875</v>
      </c>
      <c r="N911" s="6">
        <v>1172297.875</v>
      </c>
      <c r="O911" s="6">
        <v>4479671.5</v>
      </c>
      <c r="P911" s="6">
        <v>4387.6865234375</v>
      </c>
      <c r="Q911" s="6">
        <v>26755.60546875</v>
      </c>
      <c r="R911" s="6">
        <v>1328662.125</v>
      </c>
      <c r="S911" s="6">
        <v>5192899</v>
      </c>
      <c r="T911" s="31">
        <f t="shared" si="199"/>
        <v>3796.0905666992189</v>
      </c>
      <c r="U911" s="37">
        <v>1469.1111111111111</v>
      </c>
      <c r="V911">
        <f t="shared" si="200"/>
        <v>2.5839370065264688</v>
      </c>
      <c r="W911">
        <f t="shared" si="203"/>
        <v>-8.01033836051884E-2</v>
      </c>
      <c r="X911" s="29">
        <v>1142.9162500000002</v>
      </c>
      <c r="Y911">
        <f t="shared" si="201"/>
        <v>1.6461426108001815</v>
      </c>
      <c r="Z911">
        <f t="shared" si="190"/>
        <v>0.10704213337619119</v>
      </c>
      <c r="AA911">
        <f t="shared" si="191"/>
        <v>7.9796406557253063E-2</v>
      </c>
      <c r="AB911">
        <f t="shared" si="192"/>
        <v>0.30492394115867494</v>
      </c>
      <c r="AC911">
        <f t="shared" si="193"/>
        <v>2.9866267365706773E-4</v>
      </c>
      <c r="AD911">
        <f t="shared" si="194"/>
        <v>1.8212104766204052E-3</v>
      </c>
      <c r="AE911">
        <f t="shared" si="195"/>
        <v>9.0439866321282716E-2</v>
      </c>
      <c r="AF911">
        <f t="shared" si="196"/>
        <v>0.35347217516260782</v>
      </c>
      <c r="AG911">
        <f t="shared" si="202"/>
        <v>2.5839370065264688</v>
      </c>
      <c r="AH911">
        <v>0.40530032417596734</v>
      </c>
      <c r="AI911">
        <v>0.57904909161190565</v>
      </c>
      <c r="AJ911">
        <v>1.5855747631903945E-3</v>
      </c>
      <c r="AK911">
        <v>3.5537423230597247E-3</v>
      </c>
      <c r="AL911">
        <v>0.27646662960470492</v>
      </c>
    </row>
    <row r="912" spans="1:38" x14ac:dyDescent="0.25">
      <c r="A912">
        <v>30</v>
      </c>
      <c r="B912" s="5" t="s">
        <v>18</v>
      </c>
      <c r="C912" s="6" t="s">
        <v>5</v>
      </c>
      <c r="D912" s="6" t="s">
        <v>47</v>
      </c>
      <c r="E912" s="29">
        <v>17741.3</v>
      </c>
      <c r="F912" s="11">
        <v>12</v>
      </c>
      <c r="G912" s="11"/>
      <c r="H912" s="11">
        <f t="shared" si="198"/>
        <v>12</v>
      </c>
      <c r="I912" s="18">
        <v>0</v>
      </c>
      <c r="J912" s="18">
        <v>0</v>
      </c>
      <c r="K912" s="18">
        <v>0</v>
      </c>
      <c r="L912" s="6">
        <v>24025498</v>
      </c>
      <c r="M912" s="6">
        <v>1556162.625</v>
      </c>
      <c r="N912" s="6">
        <v>1172260.125</v>
      </c>
      <c r="O912" s="6">
        <v>4434275.5</v>
      </c>
      <c r="P912" s="6">
        <v>4387.6865234375</v>
      </c>
      <c r="Q912" s="6">
        <v>17592.9296875</v>
      </c>
      <c r="R912" s="6">
        <v>1324217.5</v>
      </c>
      <c r="S912" s="6">
        <v>5149592.5</v>
      </c>
      <c r="T912" s="31">
        <f t="shared" si="199"/>
        <v>3768.3986866210939</v>
      </c>
      <c r="U912" s="37">
        <v>1507.3333333333333</v>
      </c>
      <c r="V912">
        <f t="shared" si="200"/>
        <v>2.5000433568914824</v>
      </c>
      <c r="W912">
        <f t="shared" si="203"/>
        <v>-3.2467374174791862E-2</v>
      </c>
      <c r="X912" s="29">
        <v>1287.1720833333334</v>
      </c>
      <c r="Y912">
        <f t="shared" si="201"/>
        <v>1.5939074303405574</v>
      </c>
      <c r="Z912">
        <f t="shared" si="190"/>
        <v>0.10323944880583813</v>
      </c>
      <c r="AA912">
        <f t="shared" si="191"/>
        <v>7.7770463843432114E-2</v>
      </c>
      <c r="AB912">
        <f t="shared" si="192"/>
        <v>0.29418015258735075</v>
      </c>
      <c r="AC912">
        <f t="shared" si="193"/>
        <v>2.910893314974016E-4</v>
      </c>
      <c r="AD912">
        <f t="shared" si="194"/>
        <v>1.167155883735073E-3</v>
      </c>
      <c r="AE912">
        <f t="shared" si="195"/>
        <v>8.7851669615214512E-2</v>
      </c>
      <c r="AF912">
        <f t="shared" si="196"/>
        <v>0.3416359464838567</v>
      </c>
      <c r="AG912">
        <f t="shared" si="202"/>
        <v>2.5000433568914819</v>
      </c>
      <c r="AH912">
        <v>0.40530032417596734</v>
      </c>
      <c r="AI912">
        <v>0.57904909161190565</v>
      </c>
      <c r="AJ912">
        <v>1.5855747631903945E-3</v>
      </c>
      <c r="AK912">
        <v>3.5537423230597247E-3</v>
      </c>
      <c r="AL912">
        <v>0.27646662960470492</v>
      </c>
    </row>
    <row r="913" spans="1:38" x14ac:dyDescent="0.25">
      <c r="A913">
        <v>30</v>
      </c>
      <c r="B913" s="5" t="s">
        <v>18</v>
      </c>
      <c r="C913" s="6" t="s">
        <v>5</v>
      </c>
      <c r="D913" s="6" t="s">
        <v>48</v>
      </c>
      <c r="E913" s="29">
        <v>17741.3</v>
      </c>
      <c r="F913" s="11">
        <v>13</v>
      </c>
      <c r="G913" s="11"/>
      <c r="H913" s="11">
        <f t="shared" si="198"/>
        <v>13</v>
      </c>
      <c r="I913" s="18">
        <v>0</v>
      </c>
      <c r="J913" s="18">
        <v>0</v>
      </c>
      <c r="K913" s="18">
        <v>0</v>
      </c>
      <c r="L913" s="6">
        <v>25167460</v>
      </c>
      <c r="M913" s="6">
        <v>1564798.125</v>
      </c>
      <c r="N913" s="6">
        <v>1172236.75</v>
      </c>
      <c r="O913" s="6">
        <v>4459162</v>
      </c>
      <c r="P913" s="6">
        <v>4387.6865234375</v>
      </c>
      <c r="Q913" s="6">
        <v>8554.4248046875</v>
      </c>
      <c r="R913" s="6">
        <v>1323201.875</v>
      </c>
      <c r="S913" s="6">
        <v>4981324.5</v>
      </c>
      <c r="T913" s="31">
        <f t="shared" si="199"/>
        <v>3868.1125361328127</v>
      </c>
      <c r="U913" s="37">
        <v>1559.2222222222219</v>
      </c>
      <c r="V913">
        <f t="shared" si="200"/>
        <v>2.4807961822272731</v>
      </c>
      <c r="W913">
        <f t="shared" si="203"/>
        <v>-7.69873634837317E-3</v>
      </c>
      <c r="X913" s="29">
        <v>1431.4279166666665</v>
      </c>
      <c r="Y913">
        <f t="shared" si="201"/>
        <v>1.6141034703912209</v>
      </c>
      <c r="Z913">
        <f t="shared" si="190"/>
        <v>0.10035760795980904</v>
      </c>
      <c r="AA913">
        <f t="shared" si="191"/>
        <v>7.5180864747381185E-2</v>
      </c>
      <c r="AB913">
        <f t="shared" si="192"/>
        <v>0.2859863037126773</v>
      </c>
      <c r="AC913">
        <f t="shared" si="193"/>
        <v>2.8140225690114379E-4</v>
      </c>
      <c r="AD913">
        <f t="shared" si="194"/>
        <v>5.4863409992294957E-4</v>
      </c>
      <c r="AE913">
        <f t="shared" si="195"/>
        <v>8.4862943597235105E-2</v>
      </c>
      <c r="AF913">
        <f t="shared" si="196"/>
        <v>0.31947495546212501</v>
      </c>
      <c r="AG913">
        <f t="shared" si="202"/>
        <v>2.4807961822272731</v>
      </c>
      <c r="AH913">
        <v>0.40530032417596734</v>
      </c>
      <c r="AI913">
        <v>0.57904909161190565</v>
      </c>
      <c r="AJ913">
        <v>1.5855747631903945E-3</v>
      </c>
      <c r="AK913">
        <v>3.5537423230597247E-3</v>
      </c>
      <c r="AL913">
        <v>0.27646662960470492</v>
      </c>
    </row>
    <row r="914" spans="1:38" x14ac:dyDescent="0.25">
      <c r="A914">
        <v>30</v>
      </c>
      <c r="B914" s="5" t="s">
        <v>18</v>
      </c>
      <c r="C914" s="6" t="s">
        <v>5</v>
      </c>
      <c r="D914" s="6" t="s">
        <v>49</v>
      </c>
      <c r="E914" s="29">
        <v>17741.3</v>
      </c>
      <c r="F914" s="11">
        <v>14</v>
      </c>
      <c r="G914" s="11"/>
      <c r="H914" s="11">
        <f t="shared" si="198"/>
        <v>14</v>
      </c>
      <c r="I914" s="18">
        <v>0</v>
      </c>
      <c r="J914" s="18">
        <v>0</v>
      </c>
      <c r="K914" s="18">
        <v>0</v>
      </c>
      <c r="L914" s="6">
        <v>28308648</v>
      </c>
      <c r="M914" s="6">
        <v>1503406.5</v>
      </c>
      <c r="N914" s="6">
        <v>1172231.75</v>
      </c>
      <c r="O914" s="6">
        <v>4281287.5</v>
      </c>
      <c r="P914" s="6">
        <v>4387.6865234375</v>
      </c>
      <c r="Q914" s="6">
        <v>5096.10693359375</v>
      </c>
      <c r="R914" s="6">
        <v>1327549.625</v>
      </c>
      <c r="S914" s="6">
        <v>4870131.5</v>
      </c>
      <c r="T914" s="31">
        <f t="shared" si="199"/>
        <v>4147.2738668457032</v>
      </c>
      <c r="U914" s="37">
        <v>1611.1111111111111</v>
      </c>
      <c r="V914">
        <f t="shared" si="200"/>
        <v>2.5741699863180227</v>
      </c>
      <c r="W914">
        <f t="shared" si="203"/>
        <v>3.7638643899765338E-2</v>
      </c>
      <c r="X914" s="29">
        <v>1575.6837499999997</v>
      </c>
      <c r="Y914">
        <f t="shared" si="201"/>
        <v>1.7570884965517242</v>
      </c>
      <c r="Z914">
        <f t="shared" ref="Z914:Z931" si="204">M914/$U914/10000</f>
        <v>9.3314886206896555E-2</v>
      </c>
      <c r="AA914">
        <f t="shared" ref="AA914:AA931" si="205">N914/$U914/10000</f>
        <v>7.2759212068965518E-2</v>
      </c>
      <c r="AB914">
        <f t="shared" ref="AB914:AB931" si="206">O914/$U914/10000</f>
        <v>0.26573508620689656</v>
      </c>
      <c r="AC914">
        <f t="shared" ref="AC914:AC931" si="207">P914/$U914/10000</f>
        <v>2.7233916352370691E-4</v>
      </c>
      <c r="AD914">
        <f t="shared" ref="AD914:AD931" si="208">Q914/$U914/10000</f>
        <v>3.1631008553340516E-4</v>
      </c>
      <c r="AE914">
        <f t="shared" ref="AE914:AE931" si="209">R914/$U914/10000</f>
        <v>8.2399631896551723E-2</v>
      </c>
      <c r="AF914">
        <f t="shared" ref="AF914:AF931" si="210">S914/$U914/10000</f>
        <v>0.30228402413793104</v>
      </c>
      <c r="AG914">
        <f t="shared" si="202"/>
        <v>2.5741699863180227</v>
      </c>
      <c r="AH914">
        <v>0.40530032417596734</v>
      </c>
      <c r="AI914">
        <v>0.57904909161190565</v>
      </c>
      <c r="AJ914">
        <v>1.5855747631903945E-3</v>
      </c>
      <c r="AK914">
        <v>3.5537423230597247E-3</v>
      </c>
      <c r="AL914">
        <v>0.27646662960470492</v>
      </c>
    </row>
    <row r="915" spans="1:38" x14ac:dyDescent="0.25">
      <c r="A915">
        <v>30</v>
      </c>
      <c r="B915" s="5" t="s">
        <v>18</v>
      </c>
      <c r="C915" s="6" t="s">
        <v>5</v>
      </c>
      <c r="D915" s="6" t="s">
        <v>50</v>
      </c>
      <c r="E915" s="29">
        <v>17741.3</v>
      </c>
      <c r="F915" s="11">
        <v>15</v>
      </c>
      <c r="G915" s="11"/>
      <c r="H915" s="11">
        <f t="shared" si="198"/>
        <v>15</v>
      </c>
      <c r="I915" s="18">
        <v>0</v>
      </c>
      <c r="J915" s="18">
        <v>0</v>
      </c>
      <c r="K915" s="18">
        <v>0</v>
      </c>
      <c r="L915" s="6">
        <v>30124398</v>
      </c>
      <c r="M915" s="6">
        <v>1461485.75</v>
      </c>
      <c r="N915" s="6">
        <v>1172241</v>
      </c>
      <c r="O915" s="6">
        <v>4160437</v>
      </c>
      <c r="P915" s="6">
        <v>4387.6865234375</v>
      </c>
      <c r="Q915" s="6">
        <v>7137.7431640625</v>
      </c>
      <c r="R915" s="6">
        <v>1312875.5</v>
      </c>
      <c r="S915" s="6">
        <v>4926047.5</v>
      </c>
      <c r="T915" s="31">
        <f t="shared" si="199"/>
        <v>4316.9010179687502</v>
      </c>
      <c r="U915" s="37">
        <v>1663</v>
      </c>
      <c r="V915">
        <f t="shared" si="200"/>
        <v>2.5958514840461517</v>
      </c>
      <c r="W915">
        <f t="shared" si="203"/>
        <v>8.4227140567127955E-3</v>
      </c>
      <c r="X915" s="29">
        <v>1719.9395833333328</v>
      </c>
      <c r="Y915">
        <f t="shared" si="201"/>
        <v>1.8114490679494888</v>
      </c>
      <c r="Z915">
        <f t="shared" si="204"/>
        <v>8.7882486470234514E-2</v>
      </c>
      <c r="AA915">
        <f t="shared" si="205"/>
        <v>7.0489536981358986E-2</v>
      </c>
      <c r="AB915">
        <f t="shared" si="206"/>
        <v>0.25017660853878532</v>
      </c>
      <c r="AC915">
        <f t="shared" si="207"/>
        <v>2.6384164302089598E-4</v>
      </c>
      <c r="AD915">
        <f t="shared" si="208"/>
        <v>4.2920884931223695E-4</v>
      </c>
      <c r="AE915">
        <f t="shared" si="209"/>
        <v>7.894621166566447E-2</v>
      </c>
      <c r="AF915">
        <f t="shared" si="210"/>
        <v>0.29621452194828624</v>
      </c>
      <c r="AG915">
        <f t="shared" si="202"/>
        <v>2.5958514840461513</v>
      </c>
      <c r="AH915">
        <v>0.40530032417596734</v>
      </c>
      <c r="AI915">
        <v>0.57904909161190565</v>
      </c>
      <c r="AJ915">
        <v>1.5855747631903945E-3</v>
      </c>
      <c r="AK915">
        <v>3.5537423230597247E-3</v>
      </c>
      <c r="AL915">
        <v>0.27646662960470492</v>
      </c>
    </row>
    <row r="916" spans="1:38" x14ac:dyDescent="0.25">
      <c r="A916">
        <v>30</v>
      </c>
      <c r="B916" s="5" t="s">
        <v>18</v>
      </c>
      <c r="C916" s="6" t="s">
        <v>5</v>
      </c>
      <c r="D916" s="6" t="s">
        <v>51</v>
      </c>
      <c r="E916" s="29">
        <v>17741.3</v>
      </c>
      <c r="F916" s="11">
        <v>16</v>
      </c>
      <c r="G916" s="11"/>
      <c r="H916" s="11">
        <f t="shared" si="198"/>
        <v>16</v>
      </c>
      <c r="I916" s="18">
        <v>0</v>
      </c>
      <c r="J916" s="18">
        <v>0</v>
      </c>
      <c r="K916" s="18">
        <v>0</v>
      </c>
      <c r="L916" s="6">
        <v>26299932</v>
      </c>
      <c r="M916" s="6">
        <v>1524625.75</v>
      </c>
      <c r="N916" s="6">
        <v>1172255.25</v>
      </c>
      <c r="O916" s="6">
        <v>4341804.5</v>
      </c>
      <c r="P916" s="6">
        <v>4387.6865234375</v>
      </c>
      <c r="Q916" s="6">
        <v>19796.15234375</v>
      </c>
      <c r="R916" s="6">
        <v>1308498.375</v>
      </c>
      <c r="S916" s="6">
        <v>5022273.5</v>
      </c>
      <c r="T916" s="31">
        <f t="shared" si="199"/>
        <v>3969.3573213867189</v>
      </c>
      <c r="U916" s="37">
        <v>1648.7777777777776</v>
      </c>
      <c r="V916">
        <f t="shared" si="200"/>
        <v>2.4074544034288343</v>
      </c>
      <c r="W916">
        <f t="shared" si="203"/>
        <v>-7.257621700439619E-2</v>
      </c>
      <c r="X916" s="29">
        <v>1864.195416666666</v>
      </c>
      <c r="Y916">
        <f t="shared" si="201"/>
        <v>1.5951168407574636</v>
      </c>
      <c r="Z916">
        <f t="shared" si="204"/>
        <v>9.2470056944538054E-2</v>
      </c>
      <c r="AA916">
        <f t="shared" si="205"/>
        <v>7.1098438237077982E-2</v>
      </c>
      <c r="AB916">
        <f t="shared" si="206"/>
        <v>0.26333472942920683</v>
      </c>
      <c r="AC916">
        <f t="shared" si="207"/>
        <v>2.6611751944832877E-4</v>
      </c>
      <c r="AD916">
        <f t="shared" si="208"/>
        <v>1.2006561836629829E-3</v>
      </c>
      <c r="AE916">
        <f t="shared" si="209"/>
        <v>7.9361718276164173E-2</v>
      </c>
      <c r="AF916">
        <f t="shared" si="210"/>
        <v>0.30460584608127239</v>
      </c>
      <c r="AG916">
        <f t="shared" si="202"/>
        <v>2.4074544034288348</v>
      </c>
      <c r="AH916">
        <v>0.40530032417596734</v>
      </c>
      <c r="AI916">
        <v>0.57904909161190565</v>
      </c>
      <c r="AJ916">
        <v>1.5855747631903945E-3</v>
      </c>
      <c r="AK916">
        <v>3.5537423230597247E-3</v>
      </c>
      <c r="AL916">
        <v>0.27646662960470492</v>
      </c>
    </row>
    <row r="917" spans="1:38" x14ac:dyDescent="0.25">
      <c r="A917">
        <v>30</v>
      </c>
      <c r="B917" s="5" t="s">
        <v>18</v>
      </c>
      <c r="C917" s="6" t="s">
        <v>5</v>
      </c>
      <c r="D917" s="6" t="s">
        <v>52</v>
      </c>
      <c r="E917" s="29">
        <v>17741.3</v>
      </c>
      <c r="F917" s="11">
        <v>17</v>
      </c>
      <c r="G917" s="11"/>
      <c r="H917" s="11">
        <f t="shared" si="198"/>
        <v>17</v>
      </c>
      <c r="I917" s="18">
        <v>0</v>
      </c>
      <c r="J917" s="18">
        <v>0</v>
      </c>
      <c r="K917" s="18">
        <v>0</v>
      </c>
      <c r="L917" s="6">
        <v>25882372</v>
      </c>
      <c r="M917" s="6">
        <v>1567562.25</v>
      </c>
      <c r="N917" s="6">
        <v>1172323.875</v>
      </c>
      <c r="O917" s="6">
        <v>4465075</v>
      </c>
      <c r="P917" s="6">
        <v>4387.6865234375</v>
      </c>
      <c r="Q917" s="6">
        <v>27310.953125</v>
      </c>
      <c r="R917" s="6">
        <v>1328493</v>
      </c>
      <c r="S917" s="6">
        <v>5216843</v>
      </c>
      <c r="T917" s="31">
        <f t="shared" si="199"/>
        <v>3966.4367764648437</v>
      </c>
      <c r="U917" s="37">
        <v>1634.5555555555554</v>
      </c>
      <c r="V917">
        <f t="shared" si="200"/>
        <v>2.4266148452303442</v>
      </c>
      <c r="W917">
        <f t="shared" si="203"/>
        <v>7.958797381259014E-3</v>
      </c>
      <c r="X917" s="29">
        <v>2008.4512499999992</v>
      </c>
      <c r="Y917">
        <f t="shared" si="201"/>
        <v>1.583450125756237</v>
      </c>
      <c r="Z917">
        <f t="shared" si="204"/>
        <v>9.5901436000271914E-2</v>
      </c>
      <c r="AA917">
        <f t="shared" si="205"/>
        <v>7.1721262150771542E-2</v>
      </c>
      <c r="AB917">
        <f t="shared" si="206"/>
        <v>0.27316752770036029</v>
      </c>
      <c r="AC917">
        <f t="shared" si="207"/>
        <v>2.6843300055018354E-4</v>
      </c>
      <c r="AD917">
        <f t="shared" si="208"/>
        <v>1.6708488758412075E-3</v>
      </c>
      <c r="AE917">
        <f t="shared" si="209"/>
        <v>8.1275487730269866E-2</v>
      </c>
      <c r="AF917">
        <f t="shared" si="210"/>
        <v>0.31915972401604242</v>
      </c>
      <c r="AG917">
        <f t="shared" si="202"/>
        <v>2.4266148452303442</v>
      </c>
      <c r="AH917">
        <v>0.40530032417596734</v>
      </c>
      <c r="AI917">
        <v>0.57904909161190565</v>
      </c>
      <c r="AJ917">
        <v>1.5855747631903945E-3</v>
      </c>
      <c r="AK917">
        <v>3.5537423230597247E-3</v>
      </c>
      <c r="AL917">
        <v>0.27646662960470492</v>
      </c>
    </row>
    <row r="918" spans="1:38" x14ac:dyDescent="0.25">
      <c r="A918">
        <v>30</v>
      </c>
      <c r="B918" s="5" t="s">
        <v>18</v>
      </c>
      <c r="C918" s="6" t="s">
        <v>5</v>
      </c>
      <c r="D918" s="6" t="s">
        <v>53</v>
      </c>
      <c r="E918" s="29">
        <v>17741.3</v>
      </c>
      <c r="F918" s="11">
        <v>18</v>
      </c>
      <c r="G918" s="11"/>
      <c r="H918" s="11">
        <f t="shared" si="198"/>
        <v>18</v>
      </c>
      <c r="I918" s="18">
        <v>0</v>
      </c>
      <c r="J918" s="18">
        <v>0</v>
      </c>
      <c r="K918" s="18">
        <v>0</v>
      </c>
      <c r="L918" s="6">
        <v>27644348</v>
      </c>
      <c r="M918" s="6">
        <v>1560893.125</v>
      </c>
      <c r="N918" s="6">
        <v>1172375.25</v>
      </c>
      <c r="O918" s="6">
        <v>4449127</v>
      </c>
      <c r="P918" s="6">
        <v>4387.6865234375</v>
      </c>
      <c r="Q918" s="6">
        <v>18042.068359375</v>
      </c>
      <c r="R918" s="6">
        <v>1324812.875</v>
      </c>
      <c r="S918" s="6">
        <v>5144464</v>
      </c>
      <c r="T918" s="31">
        <f t="shared" si="199"/>
        <v>4131.8450004882816</v>
      </c>
      <c r="U918" s="37">
        <v>1620.3333333333333</v>
      </c>
      <c r="V918">
        <f t="shared" si="200"/>
        <v>2.5499969145165284</v>
      </c>
      <c r="W918">
        <f t="shared" si="203"/>
        <v>5.0845345122939069E-2</v>
      </c>
      <c r="X918" s="29">
        <v>2152.7070833333323</v>
      </c>
      <c r="Y918">
        <f t="shared" si="201"/>
        <v>1.7060901872042793</v>
      </c>
      <c r="Z918">
        <f t="shared" si="204"/>
        <v>9.6331606150997742E-2</v>
      </c>
      <c r="AA918">
        <f t="shared" si="205"/>
        <v>7.2353954947541654E-2</v>
      </c>
      <c r="AB918">
        <f t="shared" si="206"/>
        <v>0.27458097099362272</v>
      </c>
      <c r="AC918">
        <f t="shared" si="207"/>
        <v>2.7078912919795313E-4</v>
      </c>
      <c r="AD918">
        <f t="shared" si="208"/>
        <v>1.1134788125514298E-3</v>
      </c>
      <c r="AE918">
        <f t="shared" si="209"/>
        <v>8.1761749125694297E-2</v>
      </c>
      <c r="AF918">
        <f t="shared" si="210"/>
        <v>0.31749417815264352</v>
      </c>
      <c r="AG918">
        <f t="shared" si="202"/>
        <v>2.5499969145165289</v>
      </c>
      <c r="AH918">
        <v>0.40530032417596734</v>
      </c>
      <c r="AI918">
        <v>0.57904909161190565</v>
      </c>
      <c r="AJ918">
        <v>1.5855747631903945E-3</v>
      </c>
      <c r="AK918">
        <v>3.5537423230597247E-3</v>
      </c>
      <c r="AL918">
        <v>0.27646662960470492</v>
      </c>
    </row>
    <row r="919" spans="1:38" x14ac:dyDescent="0.25">
      <c r="A919">
        <v>30</v>
      </c>
      <c r="B919" s="5" t="s">
        <v>18</v>
      </c>
      <c r="C919" s="6" t="s">
        <v>5</v>
      </c>
      <c r="D919" s="6" t="s">
        <v>54</v>
      </c>
      <c r="E919" s="29">
        <v>17741.3</v>
      </c>
      <c r="F919" s="11">
        <v>19</v>
      </c>
      <c r="G919" s="11"/>
      <c r="H919" s="11">
        <f t="shared" si="198"/>
        <v>19</v>
      </c>
      <c r="I919" s="18">
        <v>0</v>
      </c>
      <c r="J919" s="18">
        <v>0</v>
      </c>
      <c r="K919" s="18">
        <v>0</v>
      </c>
      <c r="L919" s="6">
        <v>30836148</v>
      </c>
      <c r="M919" s="6">
        <v>1574538</v>
      </c>
      <c r="N919" s="6">
        <v>1173001.375</v>
      </c>
      <c r="O919" s="6">
        <v>4489630.5</v>
      </c>
      <c r="P919" s="6">
        <v>4389.79248046875</v>
      </c>
      <c r="Q919" s="6">
        <v>8419.51953125</v>
      </c>
      <c r="R919" s="6">
        <v>1324981.5</v>
      </c>
      <c r="S919" s="6">
        <v>4938688.5</v>
      </c>
      <c r="T919" s="31">
        <f t="shared" si="199"/>
        <v>4434.9797187011718</v>
      </c>
      <c r="U919" s="37">
        <v>1606.1111111111111</v>
      </c>
      <c r="V919">
        <f t="shared" si="200"/>
        <v>2.7613156325361845</v>
      </c>
      <c r="W919">
        <f t="shared" si="203"/>
        <v>8.2870185770291982E-2</v>
      </c>
      <c r="X919" s="29">
        <v>2296.9629166666655</v>
      </c>
      <c r="Y919">
        <f t="shared" si="201"/>
        <v>1.9199261985472156</v>
      </c>
      <c r="Z919">
        <f t="shared" si="204"/>
        <v>9.8034188861985477E-2</v>
      </c>
      <c r="AA919">
        <f t="shared" si="205"/>
        <v>7.3033638014527849E-2</v>
      </c>
      <c r="AB919">
        <f t="shared" si="206"/>
        <v>0.27953424074714628</v>
      </c>
      <c r="AC919">
        <f t="shared" si="207"/>
        <v>2.7331810670507608E-4</v>
      </c>
      <c r="AD919">
        <f t="shared" si="208"/>
        <v>5.242177501297129E-4</v>
      </c>
      <c r="AE919">
        <f t="shared" si="209"/>
        <v>8.2496253891387067E-2</v>
      </c>
      <c r="AF919">
        <f t="shared" si="210"/>
        <v>0.30749357661708748</v>
      </c>
      <c r="AG919">
        <f t="shared" si="202"/>
        <v>2.7613156325361845</v>
      </c>
      <c r="AH919">
        <v>0.40530032417596734</v>
      </c>
      <c r="AI919">
        <v>0.57904909161190565</v>
      </c>
      <c r="AJ919">
        <v>1.5855747631903945E-3</v>
      </c>
      <c r="AK919">
        <v>3.5537423230597247E-3</v>
      </c>
      <c r="AL919">
        <v>0.27646662960470492</v>
      </c>
    </row>
    <row r="920" spans="1:38" x14ac:dyDescent="0.25">
      <c r="A920">
        <v>30</v>
      </c>
      <c r="B920" s="5" t="s">
        <v>18</v>
      </c>
      <c r="C920" s="6" t="s">
        <v>5</v>
      </c>
      <c r="D920" s="6" t="s">
        <v>55</v>
      </c>
      <c r="E920" s="29">
        <v>19125.900000000001</v>
      </c>
      <c r="F920" s="11">
        <v>20</v>
      </c>
      <c r="G920" s="11"/>
      <c r="H920" s="18">
        <f t="shared" si="198"/>
        <v>20</v>
      </c>
      <c r="I920" s="18">
        <v>0</v>
      </c>
      <c r="J920" s="18">
        <v>0</v>
      </c>
      <c r="K920" s="18">
        <v>0</v>
      </c>
      <c r="L920" s="14">
        <v>1265760</v>
      </c>
      <c r="M920" s="14">
        <v>1501508.75</v>
      </c>
      <c r="N920" s="14">
        <v>2615652</v>
      </c>
      <c r="O920" s="14">
        <v>26148366</v>
      </c>
      <c r="P920" s="14">
        <v>4284.6953125</v>
      </c>
      <c r="Q920" s="14">
        <v>5298.2041015625</v>
      </c>
      <c r="R920" s="14">
        <v>4219107</v>
      </c>
      <c r="S920" s="14">
        <v>5835340</v>
      </c>
      <c r="T920" s="31">
        <f t="shared" si="199"/>
        <v>4159.5316649414062</v>
      </c>
      <c r="U920" s="37">
        <v>1429.3333333333333</v>
      </c>
      <c r="V920">
        <f t="shared" si="200"/>
        <v>2.9101201014049018</v>
      </c>
      <c r="W920">
        <f t="shared" si="203"/>
        <v>5.3888974920279199E-2</v>
      </c>
      <c r="X920" s="29">
        <v>1097.3408333333325</v>
      </c>
      <c r="Y920">
        <f t="shared" si="201"/>
        <v>8.8555970149253732E-2</v>
      </c>
      <c r="Z920">
        <f t="shared" si="204"/>
        <v>0.10504958605410447</v>
      </c>
      <c r="AA920">
        <f t="shared" si="205"/>
        <v>0.18299804104477613</v>
      </c>
      <c r="AB920">
        <f t="shared" si="206"/>
        <v>1.8294099347014927</v>
      </c>
      <c r="AC920">
        <f t="shared" si="207"/>
        <v>2.9976879518423509E-4</v>
      </c>
      <c r="AD920">
        <f t="shared" si="208"/>
        <v>3.7067659292648088E-4</v>
      </c>
      <c r="AE920">
        <f t="shared" si="209"/>
        <v>0.29518006063432833</v>
      </c>
      <c r="AF920">
        <f t="shared" si="210"/>
        <v>0.40825606343283583</v>
      </c>
      <c r="AG920">
        <f t="shared" si="202"/>
        <v>2.9101201014049023</v>
      </c>
      <c r="AH920">
        <v>0.39525962424794425</v>
      </c>
      <c r="AI920">
        <v>0.59237875288683606</v>
      </c>
      <c r="AJ920">
        <v>1.5923166736639526E-3</v>
      </c>
      <c r="AK920">
        <v>4.2403263426419972E-3</v>
      </c>
      <c r="AL920">
        <v>0.28805282953040712</v>
      </c>
    </row>
    <row r="921" spans="1:38" x14ac:dyDescent="0.25">
      <c r="A921">
        <v>30</v>
      </c>
      <c r="B921" s="5" t="s">
        <v>18</v>
      </c>
      <c r="C921" s="6" t="s">
        <v>5</v>
      </c>
      <c r="D921" s="6" t="s">
        <v>56</v>
      </c>
      <c r="E921" s="29">
        <v>19125.900000000001</v>
      </c>
      <c r="F921" s="11">
        <v>21</v>
      </c>
      <c r="G921" s="11"/>
      <c r="H921" s="11">
        <f t="shared" si="198"/>
        <v>21</v>
      </c>
      <c r="I921" s="18">
        <v>0</v>
      </c>
      <c r="J921" s="18">
        <v>0</v>
      </c>
      <c r="K921" s="18">
        <v>0</v>
      </c>
      <c r="L921" s="6">
        <v>1251556.875</v>
      </c>
      <c r="M921" s="6">
        <v>1471401.5</v>
      </c>
      <c r="N921" s="6">
        <v>2275268.25</v>
      </c>
      <c r="O921" s="6">
        <v>26018800</v>
      </c>
      <c r="P921" s="6">
        <v>4284.6953125</v>
      </c>
      <c r="Q921" s="6">
        <v>7499.1455078125</v>
      </c>
      <c r="R921" s="6">
        <v>4132092.75</v>
      </c>
      <c r="S921" s="6">
        <v>5923833.5</v>
      </c>
      <c r="T921" s="31">
        <f t="shared" si="199"/>
        <v>4108.4736715820309</v>
      </c>
      <c r="U921" s="37">
        <v>1457</v>
      </c>
      <c r="V921">
        <f t="shared" si="200"/>
        <v>2.8198172076746952</v>
      </c>
      <c r="W921">
        <f t="shared" si="203"/>
        <v>-3.1030641548646602E-2</v>
      </c>
      <c r="X921" s="29">
        <v>1187.6108333333327</v>
      </c>
      <c r="Y921">
        <f t="shared" si="201"/>
        <v>8.5899579615648591E-2</v>
      </c>
      <c r="Z921">
        <f t="shared" si="204"/>
        <v>0.10098843514070008</v>
      </c>
      <c r="AA921">
        <f t="shared" si="205"/>
        <v>0.15616117021276596</v>
      </c>
      <c r="AB921">
        <f t="shared" si="206"/>
        <v>1.7857789979409746</v>
      </c>
      <c r="AC921">
        <f t="shared" si="207"/>
        <v>2.940765485586822E-4</v>
      </c>
      <c r="AD921">
        <f t="shared" si="208"/>
        <v>5.1469770129118045E-4</v>
      </c>
      <c r="AE921">
        <f t="shared" si="209"/>
        <v>0.28360279684282774</v>
      </c>
      <c r="AF921">
        <f t="shared" si="210"/>
        <v>0.4065774536719286</v>
      </c>
      <c r="AG921">
        <f t="shared" si="202"/>
        <v>2.8198172076746957</v>
      </c>
      <c r="AH921">
        <v>0.39525962424794425</v>
      </c>
      <c r="AI921">
        <v>0.59237875288683606</v>
      </c>
      <c r="AJ921">
        <v>1.5923166736639526E-3</v>
      </c>
      <c r="AK921">
        <v>4.2403263426419972E-3</v>
      </c>
      <c r="AL921">
        <v>0.28805282953040712</v>
      </c>
    </row>
    <row r="922" spans="1:38" x14ac:dyDescent="0.25">
      <c r="A922">
        <v>30</v>
      </c>
      <c r="B922" s="5" t="s">
        <v>18</v>
      </c>
      <c r="C922" s="6" t="s">
        <v>5</v>
      </c>
      <c r="D922" s="6" t="s">
        <v>57</v>
      </c>
      <c r="E922" s="29">
        <v>19125.900000000001</v>
      </c>
      <c r="F922" s="11">
        <v>22</v>
      </c>
      <c r="G922" s="11"/>
      <c r="H922" s="11">
        <f t="shared" si="198"/>
        <v>22</v>
      </c>
      <c r="I922" s="18">
        <v>0</v>
      </c>
      <c r="J922" s="18">
        <v>0</v>
      </c>
      <c r="K922" s="18">
        <v>0</v>
      </c>
      <c r="L922" s="6">
        <v>1246829.625</v>
      </c>
      <c r="M922" s="6">
        <v>1527839.75</v>
      </c>
      <c r="N922" s="6">
        <v>1475847</v>
      </c>
      <c r="O922" s="6">
        <v>29597700</v>
      </c>
      <c r="P922" s="6">
        <v>4284.6953125</v>
      </c>
      <c r="Q922" s="6">
        <v>21547.53515625</v>
      </c>
      <c r="R922" s="6">
        <v>4291627</v>
      </c>
      <c r="S922" s="6">
        <v>6065584.5</v>
      </c>
      <c r="T922" s="31">
        <f t="shared" si="199"/>
        <v>4423.1260105468746</v>
      </c>
      <c r="U922" s="37">
        <v>1484.6666666666667</v>
      </c>
      <c r="V922">
        <f t="shared" si="200"/>
        <v>2.9792047668703687</v>
      </c>
      <c r="W922">
        <f t="shared" si="203"/>
        <v>5.6524074951336718E-2</v>
      </c>
      <c r="X922" s="29">
        <v>1277.8808333333327</v>
      </c>
      <c r="Y922">
        <f t="shared" si="201"/>
        <v>8.3980441737763811E-2</v>
      </c>
      <c r="Z922">
        <f t="shared" si="204"/>
        <v>0.10290793107319264</v>
      </c>
      <c r="AA922">
        <f t="shared" si="205"/>
        <v>9.9405949708127522E-2</v>
      </c>
      <c r="AB922">
        <f t="shared" si="206"/>
        <v>1.9935585990121238</v>
      </c>
      <c r="AC922">
        <f t="shared" si="207"/>
        <v>2.8859645122361919E-4</v>
      </c>
      <c r="AD922">
        <f t="shared" si="208"/>
        <v>1.4513382458183654E-3</v>
      </c>
      <c r="AE922">
        <f t="shared" si="209"/>
        <v>0.28906333632689718</v>
      </c>
      <c r="AF922">
        <f t="shared" si="210"/>
        <v>0.40854857431522223</v>
      </c>
      <c r="AG922">
        <f t="shared" si="202"/>
        <v>2.9792047668703692</v>
      </c>
      <c r="AH922">
        <v>0.39525962424794425</v>
      </c>
      <c r="AI922">
        <v>0.59237875288683606</v>
      </c>
      <c r="AJ922">
        <v>1.5923166736639526E-3</v>
      </c>
      <c r="AK922">
        <v>4.2403263426419972E-3</v>
      </c>
      <c r="AL922">
        <v>0.28805282953040712</v>
      </c>
    </row>
    <row r="923" spans="1:38" x14ac:dyDescent="0.25">
      <c r="A923">
        <v>30</v>
      </c>
      <c r="B923" s="5" t="s">
        <v>18</v>
      </c>
      <c r="C923" s="6" t="s">
        <v>5</v>
      </c>
      <c r="D923" s="6" t="s">
        <v>58</v>
      </c>
      <c r="E923" s="29">
        <v>19125.900000000001</v>
      </c>
      <c r="F923" s="11">
        <v>23</v>
      </c>
      <c r="G923" s="11"/>
      <c r="H923" s="11">
        <f t="shared" si="198"/>
        <v>23</v>
      </c>
      <c r="I923" s="18">
        <v>0</v>
      </c>
      <c r="J923" s="18">
        <v>0</v>
      </c>
      <c r="K923" s="18">
        <v>0</v>
      </c>
      <c r="L923" s="6">
        <v>1265268.625</v>
      </c>
      <c r="M923" s="6">
        <v>1553382</v>
      </c>
      <c r="N923" s="6">
        <v>962592.625</v>
      </c>
      <c r="O923" s="6">
        <v>26771698</v>
      </c>
      <c r="P923" s="6">
        <v>4284.6953125</v>
      </c>
      <c r="Q923" s="6">
        <v>29693.982421875</v>
      </c>
      <c r="R923" s="6">
        <v>4363075</v>
      </c>
      <c r="S923" s="6">
        <v>6300267.5</v>
      </c>
      <c r="T923" s="31">
        <f t="shared" si="199"/>
        <v>4125.0262427734378</v>
      </c>
      <c r="U923" s="37">
        <v>1512.3333333333333</v>
      </c>
      <c r="V923">
        <f t="shared" si="200"/>
        <v>2.7275906388186719</v>
      </c>
      <c r="W923">
        <f t="shared" si="203"/>
        <v>-8.4456809028274848E-2</v>
      </c>
      <c r="X923" s="29">
        <v>1368.1508333333329</v>
      </c>
      <c r="Y923">
        <f t="shared" si="201"/>
        <v>8.3663343068106674E-2</v>
      </c>
      <c r="Z923">
        <f t="shared" si="204"/>
        <v>0.1027142605245757</v>
      </c>
      <c r="AA923">
        <f t="shared" si="205"/>
        <v>6.3649501322459778E-2</v>
      </c>
      <c r="AB923">
        <f t="shared" si="206"/>
        <v>1.7702246859158037</v>
      </c>
      <c r="AC923">
        <f t="shared" si="207"/>
        <v>2.8331685998457133E-4</v>
      </c>
      <c r="AD923">
        <f t="shared" si="208"/>
        <v>1.9634548658943136E-3</v>
      </c>
      <c r="AE923">
        <f t="shared" si="209"/>
        <v>0.28849955918007497</v>
      </c>
      <c r="AF923">
        <f t="shared" si="210"/>
        <v>0.41659251708177208</v>
      </c>
      <c r="AG923">
        <f t="shared" si="202"/>
        <v>2.7275906388186715</v>
      </c>
      <c r="AH923">
        <v>0.39525962424794425</v>
      </c>
      <c r="AI923">
        <v>0.59237875288683606</v>
      </c>
      <c r="AJ923">
        <v>1.5923166736639526E-3</v>
      </c>
      <c r="AK923">
        <v>4.2403263426419972E-3</v>
      </c>
      <c r="AL923">
        <v>0.28805282953040712</v>
      </c>
    </row>
    <row r="924" spans="1:38" x14ac:dyDescent="0.25">
      <c r="A924">
        <v>30</v>
      </c>
      <c r="B924" s="5" t="s">
        <v>18</v>
      </c>
      <c r="C924" s="6" t="s">
        <v>5</v>
      </c>
      <c r="D924" s="6" t="s">
        <v>59</v>
      </c>
      <c r="E924" s="29">
        <v>19125.900000000001</v>
      </c>
      <c r="F924" s="11">
        <v>24</v>
      </c>
      <c r="G924" s="11"/>
      <c r="H924" s="11">
        <f t="shared" si="198"/>
        <v>24</v>
      </c>
      <c r="I924" s="18">
        <v>0</v>
      </c>
      <c r="J924" s="18">
        <v>0</v>
      </c>
      <c r="K924" s="18">
        <v>0</v>
      </c>
      <c r="L924" s="6">
        <v>1260992.25</v>
      </c>
      <c r="M924" s="6">
        <v>1537229.5</v>
      </c>
      <c r="N924" s="6">
        <v>614920.875</v>
      </c>
      <c r="O924" s="6">
        <v>26596606</v>
      </c>
      <c r="P924" s="6">
        <v>4284.6953125</v>
      </c>
      <c r="Q924" s="6">
        <v>19530.64453125</v>
      </c>
      <c r="R924" s="6">
        <v>4318934.5</v>
      </c>
      <c r="S924" s="6">
        <v>6248163</v>
      </c>
      <c r="T924" s="31">
        <f t="shared" si="199"/>
        <v>4060.0661464843752</v>
      </c>
      <c r="U924" s="37">
        <v>1540</v>
      </c>
      <c r="V924">
        <f t="shared" si="200"/>
        <v>2.6364065886262176</v>
      </c>
      <c r="W924">
        <f t="shared" si="203"/>
        <v>-3.3430254853765905E-2</v>
      </c>
      <c r="X924" s="29">
        <v>1458.4208333333331</v>
      </c>
      <c r="Y924">
        <f t="shared" si="201"/>
        <v>8.1882613636363635E-2</v>
      </c>
      <c r="Z924">
        <f t="shared" si="204"/>
        <v>9.9820097402597396E-2</v>
      </c>
      <c r="AA924">
        <f t="shared" si="205"/>
        <v>3.9929926948051947E-2</v>
      </c>
      <c r="AB924">
        <f t="shared" si="206"/>
        <v>1.7270523376623377</v>
      </c>
      <c r="AC924">
        <f t="shared" si="207"/>
        <v>2.7822696834415585E-4</v>
      </c>
      <c r="AD924">
        <f t="shared" si="208"/>
        <v>1.2682236708603898E-3</v>
      </c>
      <c r="AE924">
        <f t="shared" si="209"/>
        <v>0.28045029220779222</v>
      </c>
      <c r="AF924">
        <f t="shared" si="210"/>
        <v>0.40572487012987013</v>
      </c>
      <c r="AG924">
        <f t="shared" si="202"/>
        <v>2.6364065886262176</v>
      </c>
      <c r="AH924">
        <v>0.39525962424794425</v>
      </c>
      <c r="AI924">
        <v>0.59237875288683606</v>
      </c>
      <c r="AJ924">
        <v>1.5923166736639526E-3</v>
      </c>
      <c r="AK924">
        <v>4.2403263426419972E-3</v>
      </c>
      <c r="AL924">
        <v>0.28805282953040712</v>
      </c>
    </row>
    <row r="925" spans="1:38" x14ac:dyDescent="0.25">
      <c r="A925">
        <v>30</v>
      </c>
      <c r="B925" s="5" t="s">
        <v>18</v>
      </c>
      <c r="C925" s="6" t="s">
        <v>5</v>
      </c>
      <c r="D925" s="6" t="s">
        <v>60</v>
      </c>
      <c r="E925" s="29">
        <v>19125.900000000001</v>
      </c>
      <c r="F925" s="11">
        <v>25</v>
      </c>
      <c r="G925" s="11"/>
      <c r="H925" s="11">
        <f t="shared" si="198"/>
        <v>25</v>
      </c>
      <c r="I925" s="18">
        <v>0</v>
      </c>
      <c r="J925" s="18">
        <v>0</v>
      </c>
      <c r="K925" s="18">
        <v>0</v>
      </c>
      <c r="L925" s="6">
        <v>1259988.75</v>
      </c>
      <c r="M925" s="6">
        <v>1545806.25</v>
      </c>
      <c r="N925" s="6">
        <v>341990.0625</v>
      </c>
      <c r="O925" s="6">
        <v>27860776</v>
      </c>
      <c r="P925" s="6">
        <v>4284.6953125</v>
      </c>
      <c r="Q925" s="6">
        <v>9474.8125</v>
      </c>
      <c r="R925" s="6">
        <v>4343203</v>
      </c>
      <c r="S925" s="6">
        <v>6045773.5</v>
      </c>
      <c r="T925" s="31">
        <f t="shared" si="199"/>
        <v>4141.1297070312503</v>
      </c>
      <c r="U925" s="37">
        <v>1611.5555555555557</v>
      </c>
      <c r="V925">
        <f t="shared" si="200"/>
        <v>2.5696475016051608</v>
      </c>
      <c r="W925">
        <f t="shared" si="203"/>
        <v>-2.5321999766296947E-2</v>
      </c>
      <c r="X925" s="29">
        <v>1548.6908333333331</v>
      </c>
      <c r="Y925">
        <f t="shared" si="201"/>
        <v>7.8184630102040811E-2</v>
      </c>
      <c r="Z925">
        <f t="shared" si="204"/>
        <v>9.5920134100937665E-2</v>
      </c>
      <c r="AA925">
        <f t="shared" si="205"/>
        <v>2.1221115295780472E-2</v>
      </c>
      <c r="AB925">
        <f t="shared" si="206"/>
        <v>1.7288126309983451</v>
      </c>
      <c r="AC925">
        <f t="shared" si="207"/>
        <v>2.6587326125551567E-4</v>
      </c>
      <c r="AD925">
        <f t="shared" si="208"/>
        <v>5.8792962286265853E-4</v>
      </c>
      <c r="AE925">
        <f t="shared" si="209"/>
        <v>0.26950377137341419</v>
      </c>
      <c r="AF925">
        <f t="shared" si="210"/>
        <v>0.375151416850524</v>
      </c>
      <c r="AG925">
        <f t="shared" si="202"/>
        <v>2.5696475016051603</v>
      </c>
      <c r="AH925">
        <v>0.39525962424794425</v>
      </c>
      <c r="AI925">
        <v>0.59237875288683606</v>
      </c>
      <c r="AJ925">
        <v>1.5923166736639526E-3</v>
      </c>
      <c r="AK925">
        <v>4.2403263426419972E-3</v>
      </c>
      <c r="AL925">
        <v>0.28805282953040712</v>
      </c>
    </row>
    <row r="926" spans="1:38" x14ac:dyDescent="0.25">
      <c r="A926">
        <v>30</v>
      </c>
      <c r="B926" s="5" t="s">
        <v>18</v>
      </c>
      <c r="C926" s="6" t="s">
        <v>5</v>
      </c>
      <c r="D926" s="6" t="s">
        <v>61</v>
      </c>
      <c r="E926" s="29">
        <v>19125.900000000001</v>
      </c>
      <c r="F926" s="11">
        <v>26</v>
      </c>
      <c r="G926" s="11"/>
      <c r="H926" s="11">
        <f t="shared" si="198"/>
        <v>26</v>
      </c>
      <c r="I926" s="18">
        <v>0</v>
      </c>
      <c r="J926" s="18">
        <v>0</v>
      </c>
      <c r="K926" s="18">
        <v>0</v>
      </c>
      <c r="L926" s="6">
        <v>1264114.75</v>
      </c>
      <c r="M926" s="6">
        <v>1485190.75</v>
      </c>
      <c r="N926" s="6">
        <v>254584.9375</v>
      </c>
      <c r="O926" s="6">
        <v>31338120</v>
      </c>
      <c r="P926" s="6">
        <v>4284.6953125</v>
      </c>
      <c r="Q926" s="6">
        <v>5628.9404296875</v>
      </c>
      <c r="R926" s="6">
        <v>4170013.75</v>
      </c>
      <c r="S926" s="6">
        <v>5912038</v>
      </c>
      <c r="T926" s="31">
        <f t="shared" si="199"/>
        <v>4443.397582324219</v>
      </c>
      <c r="U926" s="37">
        <v>1683.1111111111113</v>
      </c>
      <c r="V926">
        <f t="shared" si="200"/>
        <v>2.639990641729467</v>
      </c>
      <c r="W926">
        <f t="shared" si="203"/>
        <v>2.7374626317565164E-2</v>
      </c>
      <c r="X926" s="29">
        <v>1638.9608333333335</v>
      </c>
      <c r="Y926">
        <f t="shared" si="201"/>
        <v>7.5105840705043558E-2</v>
      </c>
      <c r="Z926">
        <f t="shared" si="204"/>
        <v>8.824080241616053E-2</v>
      </c>
      <c r="AA926">
        <f t="shared" si="205"/>
        <v>1.5125854485740688E-2</v>
      </c>
      <c r="AB926">
        <f t="shared" si="206"/>
        <v>1.8619162925798785</v>
      </c>
      <c r="AC926">
        <f t="shared" si="207"/>
        <v>2.5456996179363612E-4</v>
      </c>
      <c r="AD926">
        <f t="shared" si="208"/>
        <v>3.3443665082642917E-4</v>
      </c>
      <c r="AE926">
        <f t="shared" si="209"/>
        <v>0.24775629621072084</v>
      </c>
      <c r="AF926">
        <f t="shared" si="210"/>
        <v>0.35125654871930284</v>
      </c>
      <c r="AG926">
        <f t="shared" si="202"/>
        <v>2.6399906417294665</v>
      </c>
      <c r="AH926">
        <v>0.39525962424794425</v>
      </c>
      <c r="AI926">
        <v>0.59237875288683606</v>
      </c>
      <c r="AJ926">
        <v>1.5923166736639526E-3</v>
      </c>
      <c r="AK926">
        <v>4.2403263426419972E-3</v>
      </c>
      <c r="AL926">
        <v>0.28805282953040712</v>
      </c>
    </row>
    <row r="927" spans="1:38" x14ac:dyDescent="0.25">
      <c r="A927">
        <v>30</v>
      </c>
      <c r="B927" s="5" t="s">
        <v>18</v>
      </c>
      <c r="C927" s="6" t="s">
        <v>5</v>
      </c>
      <c r="D927" s="6" t="s">
        <v>62</v>
      </c>
      <c r="E927" s="29">
        <v>19125.900000000001</v>
      </c>
      <c r="F927" s="11">
        <v>27</v>
      </c>
      <c r="G927" s="11"/>
      <c r="H927" s="11">
        <f t="shared" si="198"/>
        <v>27</v>
      </c>
      <c r="I927" s="18">
        <v>0</v>
      </c>
      <c r="J927" s="18">
        <v>0</v>
      </c>
      <c r="K927" s="18">
        <v>0</v>
      </c>
      <c r="L927" s="6">
        <v>1250151.75</v>
      </c>
      <c r="M927" s="6">
        <v>1443875.375</v>
      </c>
      <c r="N927" s="6">
        <v>283053.5</v>
      </c>
      <c r="O927" s="6">
        <v>33348192</v>
      </c>
      <c r="P927" s="6">
        <v>4284.6953125</v>
      </c>
      <c r="Q927" s="6">
        <v>7888.9140625</v>
      </c>
      <c r="R927" s="6">
        <v>4052370.25</v>
      </c>
      <c r="S927" s="6">
        <v>5979296.5</v>
      </c>
      <c r="T927" s="31">
        <f t="shared" si="199"/>
        <v>4636.9112984374997</v>
      </c>
      <c r="U927" s="37">
        <v>1754.6666666666667</v>
      </c>
      <c r="V927">
        <f t="shared" si="200"/>
        <v>2.6426166214499429</v>
      </c>
      <c r="W927">
        <f t="shared" si="203"/>
        <v>9.9469281404560928E-4</v>
      </c>
      <c r="X927" s="29">
        <v>1729.2308333333335</v>
      </c>
      <c r="Y927">
        <f t="shared" si="201"/>
        <v>7.1247250189969594E-2</v>
      </c>
      <c r="Z927">
        <f t="shared" si="204"/>
        <v>8.228773033814589E-2</v>
      </c>
      <c r="AA927">
        <f t="shared" si="205"/>
        <v>1.6131468465045592E-2</v>
      </c>
      <c r="AB927">
        <f t="shared" si="206"/>
        <v>1.9005428571428569</v>
      </c>
      <c r="AC927">
        <f t="shared" si="207"/>
        <v>2.4418856264247721E-4</v>
      </c>
      <c r="AD927">
        <f t="shared" si="208"/>
        <v>4.4959616617591181E-4</v>
      </c>
      <c r="AE927">
        <f t="shared" si="209"/>
        <v>0.2309481525455927</v>
      </c>
      <c r="AF927">
        <f t="shared" si="210"/>
        <v>0.34076537803951362</v>
      </c>
      <c r="AG927">
        <f t="shared" si="202"/>
        <v>2.6426166214499429</v>
      </c>
      <c r="AH927">
        <v>0.39525962424794425</v>
      </c>
      <c r="AI927">
        <v>0.59237875288683606</v>
      </c>
      <c r="AJ927">
        <v>1.5923166736639526E-3</v>
      </c>
      <c r="AK927">
        <v>4.2403263426419972E-3</v>
      </c>
      <c r="AL927">
        <v>0.28805282953040712</v>
      </c>
    </row>
    <row r="928" spans="1:38" x14ac:dyDescent="0.25">
      <c r="A928">
        <v>30</v>
      </c>
      <c r="B928" s="5" t="s">
        <v>18</v>
      </c>
      <c r="C928" s="6" t="s">
        <v>5</v>
      </c>
      <c r="D928" s="6" t="s">
        <v>63</v>
      </c>
      <c r="E928" s="29">
        <v>19125.900000000001</v>
      </c>
      <c r="F928" s="11">
        <v>28</v>
      </c>
      <c r="G928" s="11"/>
      <c r="H928" s="11">
        <f t="shared" si="198"/>
        <v>28</v>
      </c>
      <c r="I928" s="18">
        <v>0</v>
      </c>
      <c r="J928" s="18">
        <v>0</v>
      </c>
      <c r="K928" s="18">
        <v>0</v>
      </c>
      <c r="L928" s="6">
        <v>1246013.125</v>
      </c>
      <c r="M928" s="6">
        <v>1506240.75</v>
      </c>
      <c r="N928" s="6">
        <v>508275.3125</v>
      </c>
      <c r="O928" s="6">
        <v>29114440</v>
      </c>
      <c r="P928" s="6">
        <v>4284.6953125</v>
      </c>
      <c r="Q928" s="6">
        <v>21924.953125</v>
      </c>
      <c r="R928" s="6">
        <v>4228967</v>
      </c>
      <c r="S928" s="6">
        <v>6095033.5</v>
      </c>
      <c r="T928" s="31">
        <f t="shared" si="199"/>
        <v>4272.5179335937501</v>
      </c>
      <c r="U928" s="37">
        <v>1764</v>
      </c>
      <c r="V928">
        <f t="shared" si="200"/>
        <v>2.4220623206313774</v>
      </c>
      <c r="W928">
        <f t="shared" si="203"/>
        <v>-8.3460574276397484E-2</v>
      </c>
      <c r="X928" s="29">
        <v>1819.5008333333335</v>
      </c>
      <c r="Y928">
        <f t="shared" si="201"/>
        <v>7.0635664682539692E-2</v>
      </c>
      <c r="Z928">
        <f t="shared" si="204"/>
        <v>8.538779761904762E-2</v>
      </c>
      <c r="AA928">
        <f t="shared" si="205"/>
        <v>2.8813793225623583E-2</v>
      </c>
      <c r="AB928">
        <f t="shared" si="206"/>
        <v>1.6504784580498866</v>
      </c>
      <c r="AC928">
        <f t="shared" si="207"/>
        <v>2.428965596655329E-4</v>
      </c>
      <c r="AD928">
        <f t="shared" si="208"/>
        <v>1.2429111748866212E-3</v>
      </c>
      <c r="AE928">
        <f t="shared" si="209"/>
        <v>0.239737358276644</v>
      </c>
      <c r="AF928">
        <f t="shared" si="210"/>
        <v>0.34552344104308391</v>
      </c>
      <c r="AG928">
        <f t="shared" si="202"/>
        <v>2.4220623206313774</v>
      </c>
      <c r="AH928">
        <v>0.39525962424794425</v>
      </c>
      <c r="AI928">
        <v>0.59237875288683606</v>
      </c>
      <c r="AJ928">
        <v>1.5923166736639526E-3</v>
      </c>
      <c r="AK928">
        <v>4.2403263426419972E-3</v>
      </c>
      <c r="AL928">
        <v>0.28805282953040712</v>
      </c>
    </row>
    <row r="929" spans="1:38" x14ac:dyDescent="0.25">
      <c r="A929">
        <v>30</v>
      </c>
      <c r="B929" s="5" t="s">
        <v>18</v>
      </c>
      <c r="C929" s="6" t="s">
        <v>5</v>
      </c>
      <c r="D929" s="6" t="s">
        <v>64</v>
      </c>
      <c r="E929" s="29">
        <v>19125.900000000001</v>
      </c>
      <c r="F929" s="11">
        <v>29</v>
      </c>
      <c r="G929" s="11"/>
      <c r="H929" s="11">
        <f t="shared" si="198"/>
        <v>29</v>
      </c>
      <c r="I929" s="18">
        <v>0</v>
      </c>
      <c r="J929" s="18">
        <v>0</v>
      </c>
      <c r="K929" s="18">
        <v>0</v>
      </c>
      <c r="L929" s="6">
        <v>1265088</v>
      </c>
      <c r="M929" s="6">
        <v>1548500</v>
      </c>
      <c r="N929" s="6">
        <v>1157720.375</v>
      </c>
      <c r="O929" s="6">
        <v>28652198</v>
      </c>
      <c r="P929" s="6">
        <v>4284.6953125</v>
      </c>
      <c r="Q929" s="6">
        <v>30245.83203125</v>
      </c>
      <c r="R929" s="6">
        <v>4348929</v>
      </c>
      <c r="S929" s="6">
        <v>6329024</v>
      </c>
      <c r="T929" s="31">
        <f t="shared" si="199"/>
        <v>4333.5989902343754</v>
      </c>
      <c r="U929" s="37">
        <v>1773.3333333333333</v>
      </c>
      <c r="V929">
        <f t="shared" si="200"/>
        <v>2.4437588290795351</v>
      </c>
      <c r="W929">
        <f t="shared" si="203"/>
        <v>8.9578654782515848E-3</v>
      </c>
      <c r="X929" s="29">
        <v>1909.7708333333339</v>
      </c>
      <c r="Y929">
        <f t="shared" si="201"/>
        <v>7.1339548872180455E-2</v>
      </c>
      <c r="Z929">
        <f t="shared" si="204"/>
        <v>8.7321428571428578E-2</v>
      </c>
      <c r="AA929">
        <f t="shared" si="205"/>
        <v>6.5284983552631584E-2</v>
      </c>
      <c r="AB929">
        <f t="shared" si="206"/>
        <v>1.6157254511278196</v>
      </c>
      <c r="AC929">
        <f t="shared" si="207"/>
        <v>2.4161815671992483E-4</v>
      </c>
      <c r="AD929">
        <f t="shared" si="208"/>
        <v>1.7055920318374059E-3</v>
      </c>
      <c r="AE929">
        <f t="shared" si="209"/>
        <v>0.24524035714285713</v>
      </c>
      <c r="AF929">
        <f t="shared" si="210"/>
        <v>0.35689984962406013</v>
      </c>
      <c r="AG929">
        <f t="shared" si="202"/>
        <v>2.4437588290795351</v>
      </c>
      <c r="AH929">
        <v>0.39525962424794425</v>
      </c>
      <c r="AI929">
        <v>0.59237875288683606</v>
      </c>
      <c r="AJ929">
        <v>1.5923166736639526E-3</v>
      </c>
      <c r="AK929">
        <v>4.2403263426419972E-3</v>
      </c>
      <c r="AL929">
        <v>0.28805282953040712</v>
      </c>
    </row>
    <row r="930" spans="1:38" x14ac:dyDescent="0.25">
      <c r="A930">
        <v>30</v>
      </c>
      <c r="B930" s="5" t="s">
        <v>18</v>
      </c>
      <c r="C930" s="6" t="s">
        <v>5</v>
      </c>
      <c r="D930" s="6" t="s">
        <v>65</v>
      </c>
      <c r="E930" s="29">
        <v>19125.900000000001</v>
      </c>
      <c r="F930" s="11">
        <v>30</v>
      </c>
      <c r="G930" s="11"/>
      <c r="H930" s="11">
        <f t="shared" si="198"/>
        <v>30</v>
      </c>
      <c r="I930" s="18">
        <v>0</v>
      </c>
      <c r="J930" s="18">
        <v>0</v>
      </c>
      <c r="K930" s="18">
        <v>0</v>
      </c>
      <c r="L930" s="6">
        <v>1261626.25</v>
      </c>
      <c r="M930" s="6">
        <v>1541825.25</v>
      </c>
      <c r="N930" s="6">
        <v>1710867</v>
      </c>
      <c r="O930" s="6">
        <v>30602730</v>
      </c>
      <c r="P930" s="6">
        <v>4284.6953125</v>
      </c>
      <c r="Q930" s="6">
        <v>19975.51171875</v>
      </c>
      <c r="R930" s="6">
        <v>4333330</v>
      </c>
      <c r="S930" s="6">
        <v>6242004.5</v>
      </c>
      <c r="T930" s="31">
        <f t="shared" si="199"/>
        <v>4571.6643207031248</v>
      </c>
      <c r="U930" s="37">
        <v>1782.6666666666667</v>
      </c>
      <c r="V930">
        <f t="shared" si="200"/>
        <v>2.5645087812470782</v>
      </c>
      <c r="W930">
        <f t="shared" si="203"/>
        <v>4.9411566612334097E-2</v>
      </c>
      <c r="X930" s="29">
        <v>2000.0408333333339</v>
      </c>
      <c r="Y930">
        <f t="shared" si="201"/>
        <v>7.0771853964098727E-2</v>
      </c>
      <c r="Z930">
        <f t="shared" si="204"/>
        <v>8.6489823298429316E-2</v>
      </c>
      <c r="AA930">
        <f t="shared" si="205"/>
        <v>9.5972344801795048E-2</v>
      </c>
      <c r="AB930">
        <f t="shared" si="206"/>
        <v>1.7166826851159311</v>
      </c>
      <c r="AC930">
        <f t="shared" si="207"/>
        <v>2.4035314019259536E-4</v>
      </c>
      <c r="AD930">
        <f t="shared" si="208"/>
        <v>1.1205410463023559E-3</v>
      </c>
      <c r="AE930">
        <f t="shared" si="209"/>
        <v>0.24308133881824978</v>
      </c>
      <c r="AF930">
        <f t="shared" si="210"/>
        <v>0.35014984106207925</v>
      </c>
      <c r="AG930">
        <f t="shared" si="202"/>
        <v>2.5645087812470782</v>
      </c>
      <c r="AH930">
        <v>0.39525962424794425</v>
      </c>
      <c r="AI930">
        <v>0.59237875288683606</v>
      </c>
      <c r="AJ930">
        <v>1.5923166736639526E-3</v>
      </c>
      <c r="AK930">
        <v>4.2403263426419972E-3</v>
      </c>
      <c r="AL930">
        <v>0.28805282953040712</v>
      </c>
    </row>
    <row r="931" spans="1:38" x14ac:dyDescent="0.25">
      <c r="A931">
        <v>30</v>
      </c>
      <c r="B931" s="5" t="s">
        <v>18</v>
      </c>
      <c r="C931" s="6" t="s">
        <v>5</v>
      </c>
      <c r="D931" s="6" t="s">
        <v>66</v>
      </c>
      <c r="E931" s="29">
        <v>19125.900000000001</v>
      </c>
      <c r="F931" s="11">
        <v>31</v>
      </c>
      <c r="G931" s="11"/>
      <c r="H931" s="11">
        <f t="shared" si="198"/>
        <v>31</v>
      </c>
      <c r="I931" s="18">
        <v>0</v>
      </c>
      <c r="J931" s="18">
        <v>0</v>
      </c>
      <c r="K931" s="18">
        <v>0</v>
      </c>
      <c r="L931" s="6">
        <v>1261823.25</v>
      </c>
      <c r="M931" s="6">
        <v>1555261.75</v>
      </c>
      <c r="N931" s="6">
        <v>2595231.5</v>
      </c>
      <c r="O931" s="6">
        <v>34136104</v>
      </c>
      <c r="P931" s="6">
        <v>4286.75146484375</v>
      </c>
      <c r="Q931" s="6">
        <v>9343.232421875</v>
      </c>
      <c r="R931" s="6">
        <v>4372742</v>
      </c>
      <c r="S931" s="6">
        <v>5994595</v>
      </c>
      <c r="T931" s="31">
        <f t="shared" si="199"/>
        <v>4992.9387483886721</v>
      </c>
      <c r="U931" s="37">
        <v>1792.0000000000002</v>
      </c>
      <c r="V931">
        <f t="shared" si="200"/>
        <v>2.7862381408418924</v>
      </c>
      <c r="W931">
        <f t="shared" si="203"/>
        <v>8.6460752724344697E-2</v>
      </c>
      <c r="X931" s="29">
        <v>2090.3108333333339</v>
      </c>
      <c r="Y931">
        <f t="shared" si="201"/>
        <v>7.0414243861607134E-2</v>
      </c>
      <c r="Z931">
        <f t="shared" si="204"/>
        <v>8.6789160156249989E-2</v>
      </c>
      <c r="AA931">
        <f t="shared" si="205"/>
        <v>0.14482318638392855</v>
      </c>
      <c r="AB931">
        <f t="shared" si="206"/>
        <v>1.9049165178571428</v>
      </c>
      <c r="AC931">
        <f t="shared" si="207"/>
        <v>2.3921604156494137E-4</v>
      </c>
      <c r="AD931">
        <f t="shared" si="208"/>
        <v>5.2138573782784588E-4</v>
      </c>
      <c r="AE931">
        <f t="shared" si="209"/>
        <v>0.24401462053571427</v>
      </c>
      <c r="AF931">
        <f t="shared" si="210"/>
        <v>0.3345198102678571</v>
      </c>
      <c r="AG931">
        <f t="shared" si="202"/>
        <v>2.7862381408418924</v>
      </c>
      <c r="AH931">
        <v>0.39525962424794425</v>
      </c>
      <c r="AI931">
        <v>0.59237875288683606</v>
      </c>
      <c r="AJ931">
        <v>1.5923166736639526E-3</v>
      </c>
      <c r="AK931">
        <v>4.2403263426419972E-3</v>
      </c>
      <c r="AL931">
        <v>0.28805282953040712</v>
      </c>
    </row>
  </sheetData>
  <autoFilter ref="B1:B931" xr:uid="{26B43B7D-7B13-43E2-9912-18005F6119CC}"/>
  <sortState xmlns:xlrd2="http://schemas.microsoft.com/office/spreadsheetml/2017/richdata2" ref="A2:X931">
    <sortCondition ref="A1:A931"/>
  </sortState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D1AF-29B1-47FF-AFBC-8F813413EFC1}">
  <dimension ref="A1:D962"/>
  <sheetViews>
    <sheetView workbookViewId="0">
      <selection activeCell="A2" sqref="A1:D962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13</v>
      </c>
      <c r="B2" s="3" t="s">
        <v>5</v>
      </c>
      <c r="C2" s="3" t="s">
        <v>36</v>
      </c>
      <c r="D2" s="3">
        <v>17640908</v>
      </c>
    </row>
    <row r="3" spans="1:4" x14ac:dyDescent="0.25">
      <c r="A3" s="5" t="s">
        <v>13</v>
      </c>
      <c r="B3" s="6" t="s">
        <v>5</v>
      </c>
      <c r="C3" s="6" t="s">
        <v>37</v>
      </c>
      <c r="D3" s="6">
        <v>19161504</v>
      </c>
    </row>
    <row r="4" spans="1:4" x14ac:dyDescent="0.25">
      <c r="A4" s="2" t="s">
        <v>13</v>
      </c>
      <c r="B4" s="3" t="s">
        <v>5</v>
      </c>
      <c r="C4" s="3" t="s">
        <v>38</v>
      </c>
      <c r="D4" s="3">
        <v>19154050</v>
      </c>
    </row>
    <row r="5" spans="1:4" x14ac:dyDescent="0.25">
      <c r="A5" s="5" t="s">
        <v>13</v>
      </c>
      <c r="B5" s="6" t="s">
        <v>5</v>
      </c>
      <c r="C5" s="6" t="s">
        <v>39</v>
      </c>
      <c r="D5" s="6">
        <v>18204920</v>
      </c>
    </row>
    <row r="6" spans="1:4" x14ac:dyDescent="0.25">
      <c r="A6" s="2" t="s">
        <v>13</v>
      </c>
      <c r="B6" s="3" t="s">
        <v>5</v>
      </c>
      <c r="C6" s="3" t="s">
        <v>40</v>
      </c>
      <c r="D6" s="3">
        <v>20629924</v>
      </c>
    </row>
    <row r="7" spans="1:4" x14ac:dyDescent="0.25">
      <c r="A7" s="5" t="s">
        <v>13</v>
      </c>
      <c r="B7" s="6" t="s">
        <v>5</v>
      </c>
      <c r="C7" s="6" t="s">
        <v>41</v>
      </c>
      <c r="D7" s="6">
        <v>21795218</v>
      </c>
    </row>
    <row r="8" spans="1:4" x14ac:dyDescent="0.25">
      <c r="A8" s="2" t="s">
        <v>13</v>
      </c>
      <c r="B8" s="3" t="s">
        <v>5</v>
      </c>
      <c r="C8" s="3" t="s">
        <v>42</v>
      </c>
      <c r="D8" s="3">
        <v>26620378</v>
      </c>
    </row>
    <row r="9" spans="1:4" x14ac:dyDescent="0.25">
      <c r="A9" s="5" t="s">
        <v>13</v>
      </c>
      <c r="B9" s="6" t="s">
        <v>5</v>
      </c>
      <c r="C9" s="6" t="s">
        <v>43</v>
      </c>
      <c r="D9" s="6">
        <v>19232524</v>
      </c>
    </row>
    <row r="10" spans="1:4" x14ac:dyDescent="0.25">
      <c r="A10" s="2" t="s">
        <v>13</v>
      </c>
      <c r="B10" s="3" t="s">
        <v>5</v>
      </c>
      <c r="C10" s="3" t="s">
        <v>44</v>
      </c>
      <c r="D10" s="3">
        <v>19137224</v>
      </c>
    </row>
    <row r="11" spans="1:4" x14ac:dyDescent="0.25">
      <c r="A11" s="5" t="s">
        <v>13</v>
      </c>
      <c r="B11" s="6" t="s">
        <v>5</v>
      </c>
      <c r="C11" s="6" t="s">
        <v>45</v>
      </c>
      <c r="D11" s="6">
        <v>21769558</v>
      </c>
    </row>
    <row r="12" spans="1:4" x14ac:dyDescent="0.25">
      <c r="A12" s="2" t="s">
        <v>13</v>
      </c>
      <c r="B12" s="3" t="s">
        <v>5</v>
      </c>
      <c r="C12" s="3" t="s">
        <v>46</v>
      </c>
      <c r="D12" s="3">
        <v>19690992</v>
      </c>
    </row>
    <row r="13" spans="1:4" x14ac:dyDescent="0.25">
      <c r="A13" s="5" t="s">
        <v>13</v>
      </c>
      <c r="B13" s="6" t="s">
        <v>5</v>
      </c>
      <c r="C13" s="6" t="s">
        <v>47</v>
      </c>
      <c r="D13" s="6">
        <v>19562208</v>
      </c>
    </row>
    <row r="14" spans="1:4" x14ac:dyDescent="0.25">
      <c r="A14" s="2" t="s">
        <v>13</v>
      </c>
      <c r="B14" s="3" t="s">
        <v>5</v>
      </c>
      <c r="C14" s="3" t="s">
        <v>48</v>
      </c>
      <c r="D14" s="3">
        <v>20492026</v>
      </c>
    </row>
    <row r="15" spans="1:4" x14ac:dyDescent="0.25">
      <c r="A15" s="5" t="s">
        <v>13</v>
      </c>
      <c r="B15" s="6" t="s">
        <v>5</v>
      </c>
      <c r="C15" s="6" t="s">
        <v>49</v>
      </c>
      <c r="D15" s="6">
        <v>23049666</v>
      </c>
    </row>
    <row r="16" spans="1:4" x14ac:dyDescent="0.25">
      <c r="A16" s="2" t="s">
        <v>13</v>
      </c>
      <c r="B16" s="3" t="s">
        <v>5</v>
      </c>
      <c r="C16" s="3" t="s">
        <v>50</v>
      </c>
      <c r="D16" s="3">
        <v>24528100</v>
      </c>
    </row>
    <row r="17" spans="1:4" x14ac:dyDescent="0.25">
      <c r="A17" s="5" t="s">
        <v>13</v>
      </c>
      <c r="B17" s="6" t="s">
        <v>5</v>
      </c>
      <c r="C17" s="6" t="s">
        <v>51</v>
      </c>
      <c r="D17" s="6">
        <v>21414114</v>
      </c>
    </row>
    <row r="18" spans="1:4" x14ac:dyDescent="0.25">
      <c r="A18" s="2" t="s">
        <v>13</v>
      </c>
      <c r="B18" s="3" t="s">
        <v>5</v>
      </c>
      <c r="C18" s="3" t="s">
        <v>52</v>
      </c>
      <c r="D18" s="3">
        <v>21074128</v>
      </c>
    </row>
    <row r="19" spans="1:4" x14ac:dyDescent="0.25">
      <c r="A19" s="5" t="s">
        <v>13</v>
      </c>
      <c r="B19" s="6" t="s">
        <v>5</v>
      </c>
      <c r="C19" s="6" t="s">
        <v>53</v>
      </c>
      <c r="D19" s="6">
        <v>22508774</v>
      </c>
    </row>
    <row r="20" spans="1:4" x14ac:dyDescent="0.25">
      <c r="A20" s="2" t="s">
        <v>13</v>
      </c>
      <c r="B20" s="3" t="s">
        <v>5</v>
      </c>
      <c r="C20" s="3" t="s">
        <v>54</v>
      </c>
      <c r="D20" s="3">
        <v>25107626</v>
      </c>
    </row>
    <row r="21" spans="1:4" x14ac:dyDescent="0.25">
      <c r="A21" s="5" t="s">
        <v>13</v>
      </c>
      <c r="B21" s="6" t="s">
        <v>5</v>
      </c>
      <c r="C21" s="6" t="s">
        <v>55</v>
      </c>
      <c r="D21" s="6">
        <v>1986056.5</v>
      </c>
    </row>
    <row r="22" spans="1:4" x14ac:dyDescent="0.25">
      <c r="A22" s="5" t="s">
        <v>13</v>
      </c>
      <c r="B22" s="6" t="s">
        <v>5</v>
      </c>
      <c r="C22" s="6" t="s">
        <v>56</v>
      </c>
      <c r="D22" s="6">
        <v>1919914.75</v>
      </c>
    </row>
    <row r="23" spans="1:4" x14ac:dyDescent="0.25">
      <c r="A23" s="5" t="s">
        <v>13</v>
      </c>
      <c r="B23" s="6" t="s">
        <v>5</v>
      </c>
      <c r="C23" s="6" t="s">
        <v>57</v>
      </c>
      <c r="D23" s="6">
        <v>1897621</v>
      </c>
    </row>
    <row r="24" spans="1:4" x14ac:dyDescent="0.25">
      <c r="A24" s="5" t="s">
        <v>13</v>
      </c>
      <c r="B24" s="6" t="s">
        <v>5</v>
      </c>
      <c r="C24" s="6" t="s">
        <v>58</v>
      </c>
      <c r="D24" s="6">
        <v>1982943</v>
      </c>
    </row>
    <row r="25" spans="1:4" x14ac:dyDescent="0.25">
      <c r="A25" s="5" t="s">
        <v>13</v>
      </c>
      <c r="B25" s="6" t="s">
        <v>5</v>
      </c>
      <c r="C25" s="6" t="s">
        <v>59</v>
      </c>
      <c r="D25" s="6">
        <v>1962560.625</v>
      </c>
    </row>
    <row r="26" spans="1:4" x14ac:dyDescent="0.25">
      <c r="A26" s="5" t="s">
        <v>13</v>
      </c>
      <c r="B26" s="6" t="s">
        <v>5</v>
      </c>
      <c r="C26" s="6" t="s">
        <v>60</v>
      </c>
      <c r="D26" s="6">
        <v>1957500.625</v>
      </c>
    </row>
    <row r="27" spans="1:4" x14ac:dyDescent="0.25">
      <c r="A27" s="5" t="s">
        <v>13</v>
      </c>
      <c r="B27" s="6" t="s">
        <v>5</v>
      </c>
      <c r="C27" s="6" t="s">
        <v>61</v>
      </c>
      <c r="D27" s="6">
        <v>1976561.375</v>
      </c>
    </row>
    <row r="28" spans="1:4" x14ac:dyDescent="0.25">
      <c r="A28" s="5" t="s">
        <v>13</v>
      </c>
      <c r="B28" s="6" t="s">
        <v>5</v>
      </c>
      <c r="C28" s="6" t="s">
        <v>62</v>
      </c>
      <c r="D28" s="6">
        <v>1911842.125</v>
      </c>
    </row>
    <row r="29" spans="1:4" x14ac:dyDescent="0.25">
      <c r="A29" s="5" t="s">
        <v>13</v>
      </c>
      <c r="B29" s="6" t="s">
        <v>5</v>
      </c>
      <c r="C29" s="6" t="s">
        <v>63</v>
      </c>
      <c r="D29" s="6">
        <v>1892915.5</v>
      </c>
    </row>
    <row r="30" spans="1:4" x14ac:dyDescent="0.25">
      <c r="A30" s="5" t="s">
        <v>13</v>
      </c>
      <c r="B30" s="6" t="s">
        <v>5</v>
      </c>
      <c r="C30" s="6" t="s">
        <v>64</v>
      </c>
      <c r="D30" s="6">
        <v>1981810.375</v>
      </c>
    </row>
    <row r="31" spans="1:4" x14ac:dyDescent="0.25">
      <c r="A31" s="5" t="s">
        <v>13</v>
      </c>
      <c r="B31" s="6" t="s">
        <v>5</v>
      </c>
      <c r="C31" s="6" t="s">
        <v>65</v>
      </c>
      <c r="D31" s="6">
        <v>1966249.375</v>
      </c>
    </row>
    <row r="32" spans="1:4" x14ac:dyDescent="0.25">
      <c r="A32" s="5" t="s">
        <v>13</v>
      </c>
      <c r="B32" s="6" t="s">
        <v>5</v>
      </c>
      <c r="C32" s="6" t="s">
        <v>66</v>
      </c>
      <c r="D32" s="6">
        <v>1965709.5</v>
      </c>
    </row>
    <row r="33" spans="1:4" x14ac:dyDescent="0.25">
      <c r="A33" s="5" t="s">
        <v>8</v>
      </c>
      <c r="B33" s="6" t="s">
        <v>5</v>
      </c>
      <c r="C33" s="6" t="s">
        <v>36</v>
      </c>
      <c r="D33" s="6">
        <v>1275541.625</v>
      </c>
    </row>
    <row r="34" spans="1:4" x14ac:dyDescent="0.25">
      <c r="A34" s="2" t="s">
        <v>8</v>
      </c>
      <c r="B34" s="3" t="s">
        <v>5</v>
      </c>
      <c r="C34" s="3" t="s">
        <v>37</v>
      </c>
      <c r="D34" s="3">
        <v>1385489.75</v>
      </c>
    </row>
    <row r="35" spans="1:4" x14ac:dyDescent="0.25">
      <c r="A35" s="5" t="s">
        <v>8</v>
      </c>
      <c r="B35" s="6" t="s">
        <v>5</v>
      </c>
      <c r="C35" s="6" t="s">
        <v>38</v>
      </c>
      <c r="D35" s="6">
        <v>1384950.875</v>
      </c>
    </row>
    <row r="36" spans="1:4" x14ac:dyDescent="0.25">
      <c r="A36" s="2" t="s">
        <v>8</v>
      </c>
      <c r="B36" s="3" t="s">
        <v>5</v>
      </c>
      <c r="C36" s="3" t="s">
        <v>39</v>
      </c>
      <c r="D36" s="3">
        <v>1316323.125</v>
      </c>
    </row>
    <row r="37" spans="1:4" x14ac:dyDescent="0.25">
      <c r="A37" s="5" t="s">
        <v>8</v>
      </c>
      <c r="B37" s="6" t="s">
        <v>5</v>
      </c>
      <c r="C37" s="6" t="s">
        <v>40</v>
      </c>
      <c r="D37" s="6">
        <v>1491665.25</v>
      </c>
    </row>
    <row r="38" spans="1:4" x14ac:dyDescent="0.25">
      <c r="A38" s="2" t="s">
        <v>8</v>
      </c>
      <c r="B38" s="3" t="s">
        <v>5</v>
      </c>
      <c r="C38" s="3" t="s">
        <v>41</v>
      </c>
      <c r="D38" s="3">
        <v>1575922.75</v>
      </c>
    </row>
    <row r="39" spans="1:4" x14ac:dyDescent="0.25">
      <c r="A39" s="5" t="s">
        <v>8</v>
      </c>
      <c r="B39" s="6" t="s">
        <v>5</v>
      </c>
      <c r="C39" s="6" t="s">
        <v>42</v>
      </c>
      <c r="D39" s="6">
        <v>1924810.375</v>
      </c>
    </row>
    <row r="40" spans="1:4" x14ac:dyDescent="0.25">
      <c r="A40" s="2" t="s">
        <v>8</v>
      </c>
      <c r="B40" s="3" t="s">
        <v>5</v>
      </c>
      <c r="C40" s="3" t="s">
        <v>43</v>
      </c>
      <c r="D40" s="3">
        <v>1346399.125</v>
      </c>
    </row>
    <row r="41" spans="1:4" x14ac:dyDescent="0.25">
      <c r="A41" s="5" t="s">
        <v>8</v>
      </c>
      <c r="B41" s="6" t="s">
        <v>5</v>
      </c>
      <c r="C41" s="6" t="s">
        <v>44</v>
      </c>
      <c r="D41" s="6">
        <v>1339727.5</v>
      </c>
    </row>
    <row r="42" spans="1:4" x14ac:dyDescent="0.25">
      <c r="A42" s="2" t="s">
        <v>8</v>
      </c>
      <c r="B42" s="3" t="s">
        <v>5</v>
      </c>
      <c r="C42" s="3" t="s">
        <v>45</v>
      </c>
      <c r="D42" s="3">
        <v>1524007.625</v>
      </c>
    </row>
    <row r="43" spans="1:4" x14ac:dyDescent="0.25">
      <c r="A43" s="5" t="s">
        <v>8</v>
      </c>
      <c r="B43" s="6" t="s">
        <v>5</v>
      </c>
      <c r="C43" s="6" t="s">
        <v>46</v>
      </c>
      <c r="D43" s="6">
        <v>1378494.875</v>
      </c>
    </row>
    <row r="44" spans="1:4" x14ac:dyDescent="0.25">
      <c r="A44" s="2" t="s">
        <v>8</v>
      </c>
      <c r="B44" s="3" t="s">
        <v>5</v>
      </c>
      <c r="C44" s="3" t="s">
        <v>47</v>
      </c>
      <c r="D44" s="3">
        <v>1369479.25</v>
      </c>
    </row>
    <row r="45" spans="1:4" x14ac:dyDescent="0.25">
      <c r="A45" s="5" t="s">
        <v>8</v>
      </c>
      <c r="B45" s="6" t="s">
        <v>5</v>
      </c>
      <c r="C45" s="6" t="s">
        <v>48</v>
      </c>
      <c r="D45" s="6">
        <v>1434572.25</v>
      </c>
    </row>
    <row r="46" spans="1:4" x14ac:dyDescent="0.25">
      <c r="A46" s="2" t="s">
        <v>8</v>
      </c>
      <c r="B46" s="3" t="s">
        <v>5</v>
      </c>
      <c r="C46" s="3" t="s">
        <v>49</v>
      </c>
      <c r="D46" s="3">
        <v>1613623.375</v>
      </c>
    </row>
    <row r="47" spans="1:4" x14ac:dyDescent="0.25">
      <c r="A47" s="5" t="s">
        <v>8</v>
      </c>
      <c r="B47" s="6" t="s">
        <v>5</v>
      </c>
      <c r="C47" s="6" t="s">
        <v>50</v>
      </c>
      <c r="D47" s="6">
        <v>1717123.125</v>
      </c>
    </row>
    <row r="48" spans="1:4" x14ac:dyDescent="0.25">
      <c r="A48" s="2" t="s">
        <v>8</v>
      </c>
      <c r="B48" s="3" t="s">
        <v>5</v>
      </c>
      <c r="C48" s="3" t="s">
        <v>51</v>
      </c>
      <c r="D48" s="3">
        <v>1499124.5</v>
      </c>
    </row>
    <row r="49" spans="1:4" x14ac:dyDescent="0.25">
      <c r="A49" s="5" t="s">
        <v>8</v>
      </c>
      <c r="B49" s="6" t="s">
        <v>5</v>
      </c>
      <c r="C49" s="6" t="s">
        <v>52</v>
      </c>
      <c r="D49" s="6">
        <v>1475323.125</v>
      </c>
    </row>
    <row r="50" spans="1:4" x14ac:dyDescent="0.25">
      <c r="A50" s="2" t="s">
        <v>8</v>
      </c>
      <c r="B50" s="3" t="s">
        <v>5</v>
      </c>
      <c r="C50" s="3" t="s">
        <v>53</v>
      </c>
      <c r="D50" s="3">
        <v>1575757.625</v>
      </c>
    </row>
    <row r="51" spans="1:4" x14ac:dyDescent="0.25">
      <c r="A51" s="5" t="s">
        <v>8</v>
      </c>
      <c r="B51" s="6" t="s">
        <v>5</v>
      </c>
      <c r="C51" s="6" t="s">
        <v>54</v>
      </c>
      <c r="D51" s="6">
        <v>1757693.625</v>
      </c>
    </row>
    <row r="52" spans="1:4" x14ac:dyDescent="0.25">
      <c r="A52" s="5" t="s">
        <v>8</v>
      </c>
      <c r="B52" s="6" t="s">
        <v>5</v>
      </c>
      <c r="C52" s="6" t="s">
        <v>55</v>
      </c>
      <c r="D52" s="6">
        <v>1615440.875</v>
      </c>
    </row>
    <row r="53" spans="1:4" x14ac:dyDescent="0.25">
      <c r="A53" s="5" t="s">
        <v>8</v>
      </c>
      <c r="B53" s="6" t="s">
        <v>5</v>
      </c>
      <c r="C53" s="6" t="s">
        <v>56</v>
      </c>
      <c r="D53" s="6">
        <v>1551490.75</v>
      </c>
    </row>
    <row r="54" spans="1:4" x14ac:dyDescent="0.25">
      <c r="A54" s="5" t="s">
        <v>8</v>
      </c>
      <c r="B54" s="6" t="s">
        <v>5</v>
      </c>
      <c r="C54" s="6" t="s">
        <v>57</v>
      </c>
      <c r="D54" s="6">
        <v>1529155.625</v>
      </c>
    </row>
    <row r="55" spans="1:4" x14ac:dyDescent="0.25">
      <c r="A55" s="5" t="s">
        <v>8</v>
      </c>
      <c r="B55" s="6" t="s">
        <v>5</v>
      </c>
      <c r="C55" s="6" t="s">
        <v>58</v>
      </c>
      <c r="D55" s="6">
        <v>1610194</v>
      </c>
    </row>
    <row r="56" spans="1:4" x14ac:dyDescent="0.25">
      <c r="A56" s="5" t="s">
        <v>8</v>
      </c>
      <c r="B56" s="6" t="s">
        <v>5</v>
      </c>
      <c r="C56" s="6" t="s">
        <v>59</v>
      </c>
      <c r="D56" s="6">
        <v>1589250.875</v>
      </c>
    </row>
    <row r="57" spans="1:4" x14ac:dyDescent="0.25">
      <c r="A57" s="5" t="s">
        <v>8</v>
      </c>
      <c r="B57" s="6" t="s">
        <v>5</v>
      </c>
      <c r="C57" s="6" t="s">
        <v>60</v>
      </c>
      <c r="D57" s="6">
        <v>1583317.25</v>
      </c>
    </row>
    <row r="58" spans="1:4" x14ac:dyDescent="0.25">
      <c r="A58" s="5" t="s">
        <v>8</v>
      </c>
      <c r="B58" s="6" t="s">
        <v>5</v>
      </c>
      <c r="C58" s="6" t="s">
        <v>61</v>
      </c>
      <c r="D58" s="6">
        <v>1601236.625</v>
      </c>
    </row>
    <row r="59" spans="1:4" x14ac:dyDescent="0.25">
      <c r="A59" s="5" t="s">
        <v>8</v>
      </c>
      <c r="B59" s="6" t="s">
        <v>5</v>
      </c>
      <c r="C59" s="6" t="s">
        <v>62</v>
      </c>
      <c r="D59" s="6">
        <v>1539425.75</v>
      </c>
    </row>
    <row r="60" spans="1:4" x14ac:dyDescent="0.25">
      <c r="A60" s="5" t="s">
        <v>8</v>
      </c>
      <c r="B60" s="6" t="s">
        <v>5</v>
      </c>
      <c r="C60" s="6" t="s">
        <v>63</v>
      </c>
      <c r="D60" s="6">
        <v>1522100.125</v>
      </c>
    </row>
    <row r="61" spans="1:4" x14ac:dyDescent="0.25">
      <c r="A61" s="5" t="s">
        <v>8</v>
      </c>
      <c r="B61" s="6" t="s">
        <v>5</v>
      </c>
      <c r="C61" s="6" t="s">
        <v>64</v>
      </c>
      <c r="D61" s="6">
        <v>1608418</v>
      </c>
    </row>
    <row r="62" spans="1:4" x14ac:dyDescent="0.25">
      <c r="A62" s="5" t="s">
        <v>8</v>
      </c>
      <c r="B62" s="6" t="s">
        <v>5</v>
      </c>
      <c r="C62" s="6" t="s">
        <v>65</v>
      </c>
      <c r="D62" s="6">
        <v>1594814</v>
      </c>
    </row>
    <row r="63" spans="1:4" x14ac:dyDescent="0.25">
      <c r="A63" s="5" t="s">
        <v>8</v>
      </c>
      <c r="B63" s="6" t="s">
        <v>5</v>
      </c>
      <c r="C63" s="6" t="s">
        <v>66</v>
      </c>
      <c r="D63" s="6">
        <v>1595270.25</v>
      </c>
    </row>
    <row r="64" spans="1:4" x14ac:dyDescent="0.25">
      <c r="A64" s="5" t="s">
        <v>28</v>
      </c>
      <c r="B64" s="6" t="s">
        <v>5</v>
      </c>
      <c r="C64" s="6" t="s">
        <v>36</v>
      </c>
      <c r="D64" s="6">
        <v>5832719.5</v>
      </c>
    </row>
    <row r="65" spans="1:4" x14ac:dyDescent="0.25">
      <c r="A65" s="2" t="s">
        <v>28</v>
      </c>
      <c r="B65" s="3" t="s">
        <v>5</v>
      </c>
      <c r="C65" s="3" t="s">
        <v>37</v>
      </c>
      <c r="D65" s="3">
        <v>6344546</v>
      </c>
    </row>
    <row r="66" spans="1:4" x14ac:dyDescent="0.25">
      <c r="A66" s="5" t="s">
        <v>28</v>
      </c>
      <c r="B66" s="6" t="s">
        <v>5</v>
      </c>
      <c r="C66" s="6" t="s">
        <v>38</v>
      </c>
      <c r="D66" s="6">
        <v>6356186</v>
      </c>
    </row>
    <row r="67" spans="1:4" x14ac:dyDescent="0.25">
      <c r="A67" s="2" t="s">
        <v>28</v>
      </c>
      <c r="B67" s="3" t="s">
        <v>5</v>
      </c>
      <c r="C67" s="3" t="s">
        <v>39</v>
      </c>
      <c r="D67" s="3">
        <v>6038751</v>
      </c>
    </row>
    <row r="68" spans="1:4" x14ac:dyDescent="0.25">
      <c r="A68" s="5" t="s">
        <v>28</v>
      </c>
      <c r="B68" s="6" t="s">
        <v>5</v>
      </c>
      <c r="C68" s="6" t="s">
        <v>40</v>
      </c>
      <c r="D68" s="6">
        <v>6802948.5</v>
      </c>
    </row>
    <row r="69" spans="1:4" x14ac:dyDescent="0.25">
      <c r="A69" s="2" t="s">
        <v>28</v>
      </c>
      <c r="B69" s="3" t="s">
        <v>5</v>
      </c>
      <c r="C69" s="3" t="s">
        <v>41</v>
      </c>
      <c r="D69" s="3">
        <v>7190247</v>
      </c>
    </row>
    <row r="70" spans="1:4" x14ac:dyDescent="0.25">
      <c r="A70" s="5" t="s">
        <v>28</v>
      </c>
      <c r="B70" s="6" t="s">
        <v>5</v>
      </c>
      <c r="C70" s="6" t="s">
        <v>42</v>
      </c>
      <c r="D70" s="6">
        <v>8759475</v>
      </c>
    </row>
    <row r="71" spans="1:4" x14ac:dyDescent="0.25">
      <c r="A71" s="2" t="s">
        <v>28</v>
      </c>
      <c r="B71" s="3" t="s">
        <v>5</v>
      </c>
      <c r="C71" s="3" t="s">
        <v>43</v>
      </c>
      <c r="D71" s="3">
        <v>6434085.5</v>
      </c>
    </row>
    <row r="72" spans="1:4" x14ac:dyDescent="0.25">
      <c r="A72" s="5" t="s">
        <v>28</v>
      </c>
      <c r="B72" s="6" t="s">
        <v>5</v>
      </c>
      <c r="C72" s="6" t="s">
        <v>44</v>
      </c>
      <c r="D72" s="6">
        <v>6395893</v>
      </c>
    </row>
    <row r="73" spans="1:4" x14ac:dyDescent="0.25">
      <c r="A73" s="2" t="s">
        <v>28</v>
      </c>
      <c r="B73" s="3" t="s">
        <v>5</v>
      </c>
      <c r="C73" s="3" t="s">
        <v>45</v>
      </c>
      <c r="D73" s="3">
        <v>7277086</v>
      </c>
    </row>
    <row r="74" spans="1:4" x14ac:dyDescent="0.25">
      <c r="A74" s="5" t="s">
        <v>28</v>
      </c>
      <c r="B74" s="6" t="s">
        <v>5</v>
      </c>
      <c r="C74" s="6" t="s">
        <v>46</v>
      </c>
      <c r="D74" s="6">
        <v>6577700</v>
      </c>
    </row>
    <row r="75" spans="1:4" x14ac:dyDescent="0.25">
      <c r="A75" s="2" t="s">
        <v>28</v>
      </c>
      <c r="B75" s="3" t="s">
        <v>5</v>
      </c>
      <c r="C75" s="3" t="s">
        <v>47</v>
      </c>
      <c r="D75" s="3">
        <v>6535054.5</v>
      </c>
    </row>
    <row r="76" spans="1:4" x14ac:dyDescent="0.25">
      <c r="A76" s="5" t="s">
        <v>28</v>
      </c>
      <c r="B76" s="6" t="s">
        <v>5</v>
      </c>
      <c r="C76" s="6" t="s">
        <v>48</v>
      </c>
      <c r="D76" s="6">
        <v>6844451</v>
      </c>
    </row>
    <row r="77" spans="1:4" x14ac:dyDescent="0.25">
      <c r="A77" s="2" t="s">
        <v>28</v>
      </c>
      <c r="B77" s="3" t="s">
        <v>5</v>
      </c>
      <c r="C77" s="3" t="s">
        <v>49</v>
      </c>
      <c r="D77" s="3">
        <v>7700150.5</v>
      </c>
    </row>
    <row r="78" spans="1:4" x14ac:dyDescent="0.25">
      <c r="A78" s="5" t="s">
        <v>28</v>
      </c>
      <c r="B78" s="6" t="s">
        <v>5</v>
      </c>
      <c r="C78" s="6" t="s">
        <v>50</v>
      </c>
      <c r="D78" s="6">
        <v>8193895.5</v>
      </c>
    </row>
    <row r="79" spans="1:4" x14ac:dyDescent="0.25">
      <c r="A79" s="2" t="s">
        <v>28</v>
      </c>
      <c r="B79" s="3" t="s">
        <v>5</v>
      </c>
      <c r="C79" s="3" t="s">
        <v>51</v>
      </c>
      <c r="D79" s="3">
        <v>7168436</v>
      </c>
    </row>
    <row r="80" spans="1:4" x14ac:dyDescent="0.25">
      <c r="A80" s="5" t="s">
        <v>28</v>
      </c>
      <c r="B80" s="6" t="s">
        <v>5</v>
      </c>
      <c r="C80" s="6" t="s">
        <v>52</v>
      </c>
      <c r="D80" s="6">
        <v>7047804</v>
      </c>
    </row>
    <row r="81" spans="1:4" x14ac:dyDescent="0.25">
      <c r="A81" s="2" t="s">
        <v>28</v>
      </c>
      <c r="B81" s="3" t="s">
        <v>5</v>
      </c>
      <c r="C81" s="3" t="s">
        <v>53</v>
      </c>
      <c r="D81" s="3">
        <v>7528150</v>
      </c>
    </row>
    <row r="82" spans="1:4" x14ac:dyDescent="0.25">
      <c r="A82" s="5" t="s">
        <v>28</v>
      </c>
      <c r="B82" s="6" t="s">
        <v>5</v>
      </c>
      <c r="C82" s="6" t="s">
        <v>54</v>
      </c>
      <c r="D82" s="6">
        <v>8398531</v>
      </c>
    </row>
    <row r="83" spans="1:4" x14ac:dyDescent="0.25">
      <c r="A83" s="5" t="s">
        <v>28</v>
      </c>
      <c r="B83" s="6" t="s">
        <v>5</v>
      </c>
      <c r="C83" s="6" t="s">
        <v>55</v>
      </c>
      <c r="D83" s="6">
        <v>414254.125</v>
      </c>
    </row>
    <row r="84" spans="1:4" x14ac:dyDescent="0.25">
      <c r="A84" s="5" t="s">
        <v>28</v>
      </c>
      <c r="B84" s="6" t="s">
        <v>5</v>
      </c>
      <c r="C84" s="6" t="s">
        <v>56</v>
      </c>
      <c r="D84" s="6">
        <v>396672.96875</v>
      </c>
    </row>
    <row r="85" spans="1:4" x14ac:dyDescent="0.25">
      <c r="A85" s="5" t="s">
        <v>28</v>
      </c>
      <c r="B85" s="6" t="s">
        <v>5</v>
      </c>
      <c r="C85" s="6" t="s">
        <v>57</v>
      </c>
      <c r="D85" s="6">
        <v>390941.6875</v>
      </c>
    </row>
    <row r="86" spans="1:4" x14ac:dyDescent="0.25">
      <c r="A86" s="5" t="s">
        <v>28</v>
      </c>
      <c r="B86" s="6" t="s">
        <v>5</v>
      </c>
      <c r="C86" s="6" t="s">
        <v>58</v>
      </c>
      <c r="D86" s="6">
        <v>413985.90625</v>
      </c>
    </row>
    <row r="87" spans="1:4" x14ac:dyDescent="0.25">
      <c r="A87" s="5" t="s">
        <v>28</v>
      </c>
      <c r="B87" s="6" t="s">
        <v>5</v>
      </c>
      <c r="C87" s="6" t="s">
        <v>59</v>
      </c>
      <c r="D87" s="6">
        <v>408873.8125</v>
      </c>
    </row>
    <row r="88" spans="1:4" x14ac:dyDescent="0.25">
      <c r="A88" s="5" t="s">
        <v>28</v>
      </c>
      <c r="B88" s="6" t="s">
        <v>5</v>
      </c>
      <c r="C88" s="6" t="s">
        <v>60</v>
      </c>
      <c r="D88" s="6">
        <v>407789.625</v>
      </c>
    </row>
    <row r="89" spans="1:4" x14ac:dyDescent="0.25">
      <c r="A89" s="5" t="s">
        <v>28</v>
      </c>
      <c r="B89" s="6" t="s">
        <v>5</v>
      </c>
      <c r="C89" s="6" t="s">
        <v>61</v>
      </c>
      <c r="D89" s="6">
        <v>412983</v>
      </c>
    </row>
    <row r="90" spans="1:4" x14ac:dyDescent="0.25">
      <c r="A90" s="5" t="s">
        <v>28</v>
      </c>
      <c r="B90" s="6" t="s">
        <v>5</v>
      </c>
      <c r="C90" s="6" t="s">
        <v>62</v>
      </c>
      <c r="D90" s="6">
        <v>395589.46875</v>
      </c>
    </row>
    <row r="91" spans="1:4" x14ac:dyDescent="0.25">
      <c r="A91" s="5" t="s">
        <v>28</v>
      </c>
      <c r="B91" s="6" t="s">
        <v>5</v>
      </c>
      <c r="C91" s="6" t="s">
        <v>63</v>
      </c>
      <c r="D91" s="6">
        <v>390313.3125</v>
      </c>
    </row>
    <row r="92" spans="1:4" x14ac:dyDescent="0.25">
      <c r="A92" s="5" t="s">
        <v>28</v>
      </c>
      <c r="B92" s="6" t="s">
        <v>5</v>
      </c>
      <c r="C92" s="6" t="s">
        <v>64</v>
      </c>
      <c r="D92" s="6">
        <v>413851.25</v>
      </c>
    </row>
    <row r="93" spans="1:4" x14ac:dyDescent="0.25">
      <c r="A93" s="5" t="s">
        <v>28</v>
      </c>
      <c r="B93" s="6" t="s">
        <v>5</v>
      </c>
      <c r="C93" s="6" t="s">
        <v>65</v>
      </c>
      <c r="D93" s="6">
        <v>409357.21875</v>
      </c>
    </row>
    <row r="94" spans="1:4" x14ac:dyDescent="0.25">
      <c r="A94" s="5" t="s">
        <v>28</v>
      </c>
      <c r="B94" s="6" t="s">
        <v>5</v>
      </c>
      <c r="C94" s="6" t="s">
        <v>66</v>
      </c>
      <c r="D94" s="6">
        <v>408880.65625</v>
      </c>
    </row>
    <row r="95" spans="1:4" x14ac:dyDescent="0.25">
      <c r="A95" s="2" t="s">
        <v>27</v>
      </c>
      <c r="B95" s="3" t="s">
        <v>5</v>
      </c>
      <c r="C95" s="3" t="s">
        <v>36</v>
      </c>
      <c r="D95" s="3">
        <v>7592458.5</v>
      </c>
    </row>
    <row r="96" spans="1:4" x14ac:dyDescent="0.25">
      <c r="A96" s="5" t="s">
        <v>27</v>
      </c>
      <c r="B96" s="6" t="s">
        <v>5</v>
      </c>
      <c r="C96" s="6" t="s">
        <v>37</v>
      </c>
      <c r="D96" s="6">
        <v>8246907</v>
      </c>
    </row>
    <row r="97" spans="1:4" x14ac:dyDescent="0.25">
      <c r="A97" s="2" t="s">
        <v>27</v>
      </c>
      <c r="B97" s="3" t="s">
        <v>5</v>
      </c>
      <c r="C97" s="3" t="s">
        <v>38</v>
      </c>
      <c r="D97" s="3">
        <v>8243699</v>
      </c>
    </row>
    <row r="98" spans="1:4" x14ac:dyDescent="0.25">
      <c r="A98" s="5" t="s">
        <v>27</v>
      </c>
      <c r="B98" s="6" t="s">
        <v>5</v>
      </c>
      <c r="C98" s="6" t="s">
        <v>39</v>
      </c>
      <c r="D98" s="6">
        <v>7835203.5</v>
      </c>
    </row>
    <row r="99" spans="1:4" x14ac:dyDescent="0.25">
      <c r="A99" s="2" t="s">
        <v>27</v>
      </c>
      <c r="B99" s="3" t="s">
        <v>5</v>
      </c>
      <c r="C99" s="3" t="s">
        <v>40</v>
      </c>
      <c r="D99" s="3">
        <v>8878899</v>
      </c>
    </row>
    <row r="100" spans="1:4" x14ac:dyDescent="0.25">
      <c r="A100" s="5" t="s">
        <v>27</v>
      </c>
      <c r="B100" s="6" t="s">
        <v>5</v>
      </c>
      <c r="C100" s="6" t="s">
        <v>41</v>
      </c>
      <c r="D100" s="6">
        <v>9380429</v>
      </c>
    </row>
    <row r="101" spans="1:4" x14ac:dyDescent="0.25">
      <c r="A101" s="2" t="s">
        <v>27</v>
      </c>
      <c r="B101" s="3" t="s">
        <v>5</v>
      </c>
      <c r="C101" s="3" t="s">
        <v>42</v>
      </c>
      <c r="D101" s="3">
        <v>11457127</v>
      </c>
    </row>
    <row r="102" spans="1:4" x14ac:dyDescent="0.25">
      <c r="A102" s="5" t="s">
        <v>27</v>
      </c>
      <c r="B102" s="6" t="s">
        <v>5</v>
      </c>
      <c r="C102" s="6" t="s">
        <v>43</v>
      </c>
      <c r="D102" s="6">
        <v>8067819.5</v>
      </c>
    </row>
    <row r="103" spans="1:4" x14ac:dyDescent="0.25">
      <c r="A103" s="2" t="s">
        <v>27</v>
      </c>
      <c r="B103" s="3" t="s">
        <v>5</v>
      </c>
      <c r="C103" s="3" t="s">
        <v>44</v>
      </c>
      <c r="D103" s="3">
        <v>8027842</v>
      </c>
    </row>
    <row r="104" spans="1:4" x14ac:dyDescent="0.25">
      <c r="A104" s="5" t="s">
        <v>27</v>
      </c>
      <c r="B104" s="6" t="s">
        <v>5</v>
      </c>
      <c r="C104" s="6" t="s">
        <v>45</v>
      </c>
      <c r="D104" s="6">
        <v>9132076</v>
      </c>
    </row>
    <row r="105" spans="1:4" x14ac:dyDescent="0.25">
      <c r="A105" s="2" t="s">
        <v>27</v>
      </c>
      <c r="B105" s="3" t="s">
        <v>5</v>
      </c>
      <c r="C105" s="3" t="s">
        <v>46</v>
      </c>
      <c r="D105" s="3">
        <v>8260142</v>
      </c>
    </row>
    <row r="106" spans="1:4" x14ac:dyDescent="0.25">
      <c r="A106" s="5" t="s">
        <v>27</v>
      </c>
      <c r="B106" s="6" t="s">
        <v>5</v>
      </c>
      <c r="C106" s="6" t="s">
        <v>47</v>
      </c>
      <c r="D106" s="6">
        <v>8206118.5</v>
      </c>
    </row>
    <row r="107" spans="1:4" x14ac:dyDescent="0.25">
      <c r="A107" s="2" t="s">
        <v>27</v>
      </c>
      <c r="B107" s="3" t="s">
        <v>5</v>
      </c>
      <c r="C107" s="3" t="s">
        <v>48</v>
      </c>
      <c r="D107" s="3">
        <v>8596166</v>
      </c>
    </row>
    <row r="108" spans="1:4" x14ac:dyDescent="0.25">
      <c r="A108" s="5" t="s">
        <v>27</v>
      </c>
      <c r="B108" s="6" t="s">
        <v>5</v>
      </c>
      <c r="C108" s="6" t="s">
        <v>49</v>
      </c>
      <c r="D108" s="6">
        <v>9669066</v>
      </c>
    </row>
    <row r="109" spans="1:4" x14ac:dyDescent="0.25">
      <c r="A109" s="2" t="s">
        <v>27</v>
      </c>
      <c r="B109" s="3" t="s">
        <v>5</v>
      </c>
      <c r="C109" s="3" t="s">
        <v>50</v>
      </c>
      <c r="D109" s="3">
        <v>10289252</v>
      </c>
    </row>
    <row r="110" spans="1:4" x14ac:dyDescent="0.25">
      <c r="A110" s="5" t="s">
        <v>27</v>
      </c>
      <c r="B110" s="6" t="s">
        <v>5</v>
      </c>
      <c r="C110" s="6" t="s">
        <v>51</v>
      </c>
      <c r="D110" s="6">
        <v>8982972</v>
      </c>
    </row>
    <row r="111" spans="1:4" x14ac:dyDescent="0.25">
      <c r="A111" s="2" t="s">
        <v>27</v>
      </c>
      <c r="B111" s="3" t="s">
        <v>5</v>
      </c>
      <c r="C111" s="3" t="s">
        <v>52</v>
      </c>
      <c r="D111" s="3">
        <v>8840351</v>
      </c>
    </row>
    <row r="112" spans="1:4" x14ac:dyDescent="0.25">
      <c r="A112" s="5" t="s">
        <v>27</v>
      </c>
      <c r="B112" s="6" t="s">
        <v>5</v>
      </c>
      <c r="C112" s="6" t="s">
        <v>53</v>
      </c>
      <c r="D112" s="6">
        <v>9442169</v>
      </c>
    </row>
    <row r="113" spans="1:4" x14ac:dyDescent="0.25">
      <c r="A113" s="2" t="s">
        <v>27</v>
      </c>
      <c r="B113" s="3" t="s">
        <v>5</v>
      </c>
      <c r="C113" s="3" t="s">
        <v>54</v>
      </c>
      <c r="D113" s="3">
        <v>10532356</v>
      </c>
    </row>
    <row r="114" spans="1:4" x14ac:dyDescent="0.25">
      <c r="A114" s="2" t="s">
        <v>27</v>
      </c>
      <c r="B114" s="3" t="s">
        <v>5</v>
      </c>
      <c r="C114" s="3" t="s">
        <v>55</v>
      </c>
      <c r="D114" s="3">
        <v>885842.5</v>
      </c>
    </row>
    <row r="115" spans="1:4" x14ac:dyDescent="0.25">
      <c r="A115" s="2" t="s">
        <v>27</v>
      </c>
      <c r="B115" s="3" t="s">
        <v>5</v>
      </c>
      <c r="C115" s="3" t="s">
        <v>56</v>
      </c>
      <c r="D115" s="3">
        <v>866139.0625</v>
      </c>
    </row>
    <row r="116" spans="1:4" x14ac:dyDescent="0.25">
      <c r="A116" s="2" t="s">
        <v>27</v>
      </c>
      <c r="B116" s="3" t="s">
        <v>5</v>
      </c>
      <c r="C116" s="3" t="s">
        <v>57</v>
      </c>
      <c r="D116" s="3">
        <v>859570.25</v>
      </c>
    </row>
    <row r="117" spans="1:4" x14ac:dyDescent="0.25">
      <c r="A117" s="2" t="s">
        <v>27</v>
      </c>
      <c r="B117" s="3" t="s">
        <v>5</v>
      </c>
      <c r="C117" s="3" t="s">
        <v>58</v>
      </c>
      <c r="D117" s="3">
        <v>885125.5</v>
      </c>
    </row>
    <row r="118" spans="1:4" x14ac:dyDescent="0.25">
      <c r="A118" s="2" t="s">
        <v>27</v>
      </c>
      <c r="B118" s="3" t="s">
        <v>5</v>
      </c>
      <c r="C118" s="3" t="s">
        <v>59</v>
      </c>
      <c r="D118" s="3">
        <v>879163.5</v>
      </c>
    </row>
    <row r="119" spans="1:4" x14ac:dyDescent="0.25">
      <c r="A119" s="2" t="s">
        <v>27</v>
      </c>
      <c r="B119" s="3" t="s">
        <v>5</v>
      </c>
      <c r="C119" s="3" t="s">
        <v>60</v>
      </c>
      <c r="D119" s="3">
        <v>877754.8125</v>
      </c>
    </row>
    <row r="120" spans="1:4" x14ac:dyDescent="0.25">
      <c r="A120" s="2" t="s">
        <v>27</v>
      </c>
      <c r="B120" s="3" t="s">
        <v>5</v>
      </c>
      <c r="C120" s="3" t="s">
        <v>61</v>
      </c>
      <c r="D120" s="3">
        <v>883479.4375</v>
      </c>
    </row>
    <row r="121" spans="1:4" x14ac:dyDescent="0.25">
      <c r="A121" s="2" t="s">
        <v>27</v>
      </c>
      <c r="B121" s="3" t="s">
        <v>5</v>
      </c>
      <c r="C121" s="3" t="s">
        <v>62</v>
      </c>
      <c r="D121" s="3">
        <v>864129</v>
      </c>
    </row>
    <row r="122" spans="1:4" x14ac:dyDescent="0.25">
      <c r="A122" s="2" t="s">
        <v>27</v>
      </c>
      <c r="B122" s="3" t="s">
        <v>5</v>
      </c>
      <c r="C122" s="3" t="s">
        <v>63</v>
      </c>
      <c r="D122" s="3">
        <v>858395.875</v>
      </c>
    </row>
    <row r="123" spans="1:4" x14ac:dyDescent="0.25">
      <c r="A123" s="2" t="s">
        <v>27</v>
      </c>
      <c r="B123" s="3" t="s">
        <v>5</v>
      </c>
      <c r="C123" s="3" t="s">
        <v>64</v>
      </c>
      <c r="D123" s="3">
        <v>884844.6875</v>
      </c>
    </row>
    <row r="124" spans="1:4" x14ac:dyDescent="0.25">
      <c r="A124" s="2" t="s">
        <v>27</v>
      </c>
      <c r="B124" s="3" t="s">
        <v>5</v>
      </c>
      <c r="C124" s="3" t="s">
        <v>65</v>
      </c>
      <c r="D124" s="3">
        <v>880078.6875</v>
      </c>
    </row>
    <row r="125" spans="1:4" x14ac:dyDescent="0.25">
      <c r="A125" s="2" t="s">
        <v>27</v>
      </c>
      <c r="B125" s="3" t="s">
        <v>5</v>
      </c>
      <c r="C125" s="3" t="s">
        <v>66</v>
      </c>
      <c r="D125" s="3">
        <v>879958.625</v>
      </c>
    </row>
    <row r="126" spans="1:4" x14ac:dyDescent="0.25">
      <c r="A126" s="5" t="s">
        <v>16</v>
      </c>
      <c r="B126" s="6" t="s">
        <v>5</v>
      </c>
      <c r="C126" s="6" t="s">
        <v>36</v>
      </c>
      <c r="D126" s="6">
        <v>20904730</v>
      </c>
    </row>
    <row r="127" spans="1:4" x14ac:dyDescent="0.25">
      <c r="A127" s="2" t="s">
        <v>16</v>
      </c>
      <c r="B127" s="3" t="s">
        <v>5</v>
      </c>
      <c r="C127" s="3" t="s">
        <v>37</v>
      </c>
      <c r="D127" s="3">
        <v>22715202</v>
      </c>
    </row>
    <row r="128" spans="1:4" x14ac:dyDescent="0.25">
      <c r="A128" s="5" t="s">
        <v>16</v>
      </c>
      <c r="B128" s="6" t="s">
        <v>5</v>
      </c>
      <c r="C128" s="6" t="s">
        <v>38</v>
      </c>
      <c r="D128" s="6">
        <v>22700190</v>
      </c>
    </row>
    <row r="129" spans="1:4" x14ac:dyDescent="0.25">
      <c r="A129" s="2" t="s">
        <v>16</v>
      </c>
      <c r="B129" s="3" t="s">
        <v>5</v>
      </c>
      <c r="C129" s="3" t="s">
        <v>39</v>
      </c>
      <c r="D129" s="3">
        <v>21565178</v>
      </c>
    </row>
    <row r="130" spans="1:4" x14ac:dyDescent="0.25">
      <c r="A130" s="5" t="s">
        <v>16</v>
      </c>
      <c r="B130" s="6" t="s">
        <v>5</v>
      </c>
      <c r="C130" s="6" t="s">
        <v>40</v>
      </c>
      <c r="D130" s="6">
        <v>24430910</v>
      </c>
    </row>
    <row r="131" spans="1:4" x14ac:dyDescent="0.25">
      <c r="A131" s="2" t="s">
        <v>16</v>
      </c>
      <c r="B131" s="3" t="s">
        <v>5</v>
      </c>
      <c r="C131" s="3" t="s">
        <v>41</v>
      </c>
      <c r="D131" s="3">
        <v>25820808</v>
      </c>
    </row>
    <row r="132" spans="1:4" x14ac:dyDescent="0.25">
      <c r="A132" s="5" t="s">
        <v>16</v>
      </c>
      <c r="B132" s="6" t="s">
        <v>5</v>
      </c>
      <c r="C132" s="6" t="s">
        <v>42</v>
      </c>
      <c r="D132" s="6">
        <v>31545666</v>
      </c>
    </row>
    <row r="133" spans="1:4" x14ac:dyDescent="0.25">
      <c r="A133" s="2" t="s">
        <v>16</v>
      </c>
      <c r="B133" s="3" t="s">
        <v>5</v>
      </c>
      <c r="C133" s="3" t="s">
        <v>43</v>
      </c>
      <c r="D133" s="3">
        <v>22478834</v>
      </c>
    </row>
    <row r="134" spans="1:4" x14ac:dyDescent="0.25">
      <c r="A134" s="5" t="s">
        <v>16</v>
      </c>
      <c r="B134" s="6" t="s">
        <v>5</v>
      </c>
      <c r="C134" s="6" t="s">
        <v>44</v>
      </c>
      <c r="D134" s="6">
        <v>22355604</v>
      </c>
    </row>
    <row r="135" spans="1:4" x14ac:dyDescent="0.25">
      <c r="A135" s="2" t="s">
        <v>16</v>
      </c>
      <c r="B135" s="3" t="s">
        <v>5</v>
      </c>
      <c r="C135" s="3" t="s">
        <v>45</v>
      </c>
      <c r="D135" s="3">
        <v>25411968</v>
      </c>
    </row>
    <row r="136" spans="1:4" x14ac:dyDescent="0.25">
      <c r="A136" s="5" t="s">
        <v>16</v>
      </c>
      <c r="B136" s="6" t="s">
        <v>5</v>
      </c>
      <c r="C136" s="6" t="s">
        <v>46</v>
      </c>
      <c r="D136" s="6">
        <v>22980988</v>
      </c>
    </row>
    <row r="137" spans="1:4" x14ac:dyDescent="0.25">
      <c r="A137" s="2" t="s">
        <v>16</v>
      </c>
      <c r="B137" s="3" t="s">
        <v>5</v>
      </c>
      <c r="C137" s="3" t="s">
        <v>47</v>
      </c>
      <c r="D137" s="3">
        <v>22826066</v>
      </c>
    </row>
    <row r="138" spans="1:4" x14ac:dyDescent="0.25">
      <c r="A138" s="5" t="s">
        <v>16</v>
      </c>
      <c r="B138" s="6" t="s">
        <v>5</v>
      </c>
      <c r="C138" s="6" t="s">
        <v>48</v>
      </c>
      <c r="D138" s="6">
        <v>23910134</v>
      </c>
    </row>
    <row r="139" spans="1:4" x14ac:dyDescent="0.25">
      <c r="A139" s="2" t="s">
        <v>16</v>
      </c>
      <c r="B139" s="3" t="s">
        <v>5</v>
      </c>
      <c r="C139" s="3" t="s">
        <v>49</v>
      </c>
      <c r="D139" s="3">
        <v>26902180</v>
      </c>
    </row>
    <row r="140" spans="1:4" x14ac:dyDescent="0.25">
      <c r="A140" s="5" t="s">
        <v>16</v>
      </c>
      <c r="B140" s="6" t="s">
        <v>5</v>
      </c>
      <c r="C140" s="6" t="s">
        <v>50</v>
      </c>
      <c r="D140" s="6">
        <v>28615562</v>
      </c>
    </row>
    <row r="141" spans="1:4" x14ac:dyDescent="0.25">
      <c r="A141" s="2" t="s">
        <v>16</v>
      </c>
      <c r="B141" s="3" t="s">
        <v>5</v>
      </c>
      <c r="C141" s="3" t="s">
        <v>51</v>
      </c>
      <c r="D141" s="3">
        <v>24978536</v>
      </c>
    </row>
    <row r="142" spans="1:4" x14ac:dyDescent="0.25">
      <c r="A142" s="5" t="s">
        <v>16</v>
      </c>
      <c r="B142" s="6" t="s">
        <v>5</v>
      </c>
      <c r="C142" s="6" t="s">
        <v>52</v>
      </c>
      <c r="D142" s="6">
        <v>24582328</v>
      </c>
    </row>
    <row r="143" spans="1:4" x14ac:dyDescent="0.25">
      <c r="A143" s="2" t="s">
        <v>16</v>
      </c>
      <c r="B143" s="3" t="s">
        <v>5</v>
      </c>
      <c r="C143" s="3" t="s">
        <v>53</v>
      </c>
      <c r="D143" s="3">
        <v>26261480</v>
      </c>
    </row>
    <row r="144" spans="1:4" x14ac:dyDescent="0.25">
      <c r="A144" s="5" t="s">
        <v>16</v>
      </c>
      <c r="B144" s="6" t="s">
        <v>5</v>
      </c>
      <c r="C144" s="6" t="s">
        <v>54</v>
      </c>
      <c r="D144" s="6">
        <v>29324604</v>
      </c>
    </row>
    <row r="145" spans="1:4" x14ac:dyDescent="0.25">
      <c r="A145" s="2" t="s">
        <v>16</v>
      </c>
      <c r="B145" s="3" t="s">
        <v>5</v>
      </c>
      <c r="C145" s="3" t="s">
        <v>55</v>
      </c>
      <c r="D145" s="3">
        <v>2523877.5</v>
      </c>
    </row>
    <row r="146" spans="1:4" x14ac:dyDescent="0.25">
      <c r="A146" s="2" t="s">
        <v>16</v>
      </c>
      <c r="B146" s="3" t="s">
        <v>5</v>
      </c>
      <c r="C146" s="3" t="s">
        <v>56</v>
      </c>
      <c r="D146" s="3">
        <v>2456508.25</v>
      </c>
    </row>
    <row r="147" spans="1:4" x14ac:dyDescent="0.25">
      <c r="A147" s="2" t="s">
        <v>16</v>
      </c>
      <c r="B147" s="3" t="s">
        <v>5</v>
      </c>
      <c r="C147" s="3" t="s">
        <v>57</v>
      </c>
      <c r="D147" s="3">
        <v>2434487</v>
      </c>
    </row>
    <row r="148" spans="1:4" x14ac:dyDescent="0.25">
      <c r="A148" s="2" t="s">
        <v>16</v>
      </c>
      <c r="B148" s="3" t="s">
        <v>5</v>
      </c>
      <c r="C148" s="3" t="s">
        <v>58</v>
      </c>
      <c r="D148" s="3">
        <v>2522672</v>
      </c>
    </row>
    <row r="149" spans="1:4" x14ac:dyDescent="0.25">
      <c r="A149" s="2" t="s">
        <v>16</v>
      </c>
      <c r="B149" s="3" t="s">
        <v>5</v>
      </c>
      <c r="C149" s="3" t="s">
        <v>59</v>
      </c>
      <c r="D149" s="3">
        <v>2503003.5</v>
      </c>
    </row>
    <row r="150" spans="1:4" x14ac:dyDescent="0.25">
      <c r="A150" s="2" t="s">
        <v>16</v>
      </c>
      <c r="B150" s="3" t="s">
        <v>5</v>
      </c>
      <c r="C150" s="3" t="s">
        <v>60</v>
      </c>
      <c r="D150" s="3">
        <v>2498764</v>
      </c>
    </row>
    <row r="151" spans="1:4" x14ac:dyDescent="0.25">
      <c r="A151" s="2" t="s">
        <v>16</v>
      </c>
      <c r="B151" s="3" t="s">
        <v>5</v>
      </c>
      <c r="C151" s="3" t="s">
        <v>61</v>
      </c>
      <c r="D151" s="3">
        <v>2518628.5</v>
      </c>
    </row>
    <row r="152" spans="1:4" x14ac:dyDescent="0.25">
      <c r="A152" s="2" t="s">
        <v>16</v>
      </c>
      <c r="B152" s="3" t="s">
        <v>5</v>
      </c>
      <c r="C152" s="3" t="s">
        <v>62</v>
      </c>
      <c r="D152" s="3">
        <v>2452035.5</v>
      </c>
    </row>
    <row r="153" spans="1:4" x14ac:dyDescent="0.25">
      <c r="A153" s="2" t="s">
        <v>16</v>
      </c>
      <c r="B153" s="3" t="s">
        <v>5</v>
      </c>
      <c r="C153" s="3" t="s">
        <v>63</v>
      </c>
      <c r="D153" s="3">
        <v>2431905.5</v>
      </c>
    </row>
    <row r="154" spans="1:4" x14ac:dyDescent="0.25">
      <c r="A154" s="2" t="s">
        <v>16</v>
      </c>
      <c r="B154" s="3" t="s">
        <v>5</v>
      </c>
      <c r="C154" s="3" t="s">
        <v>64</v>
      </c>
      <c r="D154" s="3">
        <v>2522123.5</v>
      </c>
    </row>
    <row r="155" spans="1:4" x14ac:dyDescent="0.25">
      <c r="A155" s="2" t="s">
        <v>16</v>
      </c>
      <c r="B155" s="3" t="s">
        <v>5</v>
      </c>
      <c r="C155" s="3" t="s">
        <v>65</v>
      </c>
      <c r="D155" s="3">
        <v>2505002</v>
      </c>
    </row>
    <row r="156" spans="1:4" x14ac:dyDescent="0.25">
      <c r="A156" s="2" t="s">
        <v>16</v>
      </c>
      <c r="B156" s="3" t="s">
        <v>5</v>
      </c>
      <c r="C156" s="3" t="s">
        <v>66</v>
      </c>
      <c r="D156" s="3">
        <v>2503699</v>
      </c>
    </row>
    <row r="157" spans="1:4" x14ac:dyDescent="0.25">
      <c r="A157" s="2" t="s">
        <v>17</v>
      </c>
      <c r="B157" s="3" t="s">
        <v>5</v>
      </c>
      <c r="C157" s="3" t="s">
        <v>36</v>
      </c>
      <c r="D157" s="3">
        <v>6097937</v>
      </c>
    </row>
    <row r="158" spans="1:4" x14ac:dyDescent="0.25">
      <c r="A158" s="5" t="s">
        <v>17</v>
      </c>
      <c r="B158" s="6" t="s">
        <v>5</v>
      </c>
      <c r="C158" s="6" t="s">
        <v>37</v>
      </c>
      <c r="D158" s="6">
        <v>6623561.5</v>
      </c>
    </row>
    <row r="159" spans="1:4" x14ac:dyDescent="0.25">
      <c r="A159" s="2" t="s">
        <v>17</v>
      </c>
      <c r="B159" s="3" t="s">
        <v>5</v>
      </c>
      <c r="C159" s="3" t="s">
        <v>38</v>
      </c>
      <c r="D159" s="3">
        <v>6620985</v>
      </c>
    </row>
    <row r="160" spans="1:4" x14ac:dyDescent="0.25">
      <c r="A160" s="5" t="s">
        <v>17</v>
      </c>
      <c r="B160" s="6" t="s">
        <v>5</v>
      </c>
      <c r="C160" s="6" t="s">
        <v>39</v>
      </c>
      <c r="D160" s="6">
        <v>6292899</v>
      </c>
    </row>
    <row r="161" spans="1:4" x14ac:dyDescent="0.25">
      <c r="A161" s="2" t="s">
        <v>17</v>
      </c>
      <c r="B161" s="3" t="s">
        <v>5</v>
      </c>
      <c r="C161" s="3" t="s">
        <v>40</v>
      </c>
      <c r="D161" s="3">
        <v>7131150.5</v>
      </c>
    </row>
    <row r="162" spans="1:4" x14ac:dyDescent="0.25">
      <c r="A162" s="5" t="s">
        <v>17</v>
      </c>
      <c r="B162" s="6" t="s">
        <v>5</v>
      </c>
      <c r="C162" s="6" t="s">
        <v>41</v>
      </c>
      <c r="D162" s="6">
        <v>7533958</v>
      </c>
    </row>
    <row r="163" spans="1:4" x14ac:dyDescent="0.25">
      <c r="A163" s="2" t="s">
        <v>17</v>
      </c>
      <c r="B163" s="3" t="s">
        <v>5</v>
      </c>
      <c r="C163" s="3" t="s">
        <v>42</v>
      </c>
      <c r="D163" s="3">
        <v>9201872</v>
      </c>
    </row>
    <row r="164" spans="1:4" x14ac:dyDescent="0.25">
      <c r="A164" s="5" t="s">
        <v>17</v>
      </c>
      <c r="B164" s="6" t="s">
        <v>5</v>
      </c>
      <c r="C164" s="6" t="s">
        <v>43</v>
      </c>
      <c r="D164" s="6">
        <v>6479299.5</v>
      </c>
    </row>
    <row r="165" spans="1:4" x14ac:dyDescent="0.25">
      <c r="A165" s="2" t="s">
        <v>17</v>
      </c>
      <c r="B165" s="3" t="s">
        <v>5</v>
      </c>
      <c r="C165" s="3" t="s">
        <v>44</v>
      </c>
      <c r="D165" s="3">
        <v>6447193.5</v>
      </c>
    </row>
    <row r="166" spans="1:4" x14ac:dyDescent="0.25">
      <c r="A166" s="5" t="s">
        <v>17</v>
      </c>
      <c r="B166" s="6" t="s">
        <v>5</v>
      </c>
      <c r="C166" s="6" t="s">
        <v>45</v>
      </c>
      <c r="D166" s="6">
        <v>7334008</v>
      </c>
    </row>
    <row r="167" spans="1:4" x14ac:dyDescent="0.25">
      <c r="A167" s="2" t="s">
        <v>17</v>
      </c>
      <c r="B167" s="3" t="s">
        <v>5</v>
      </c>
      <c r="C167" s="3" t="s">
        <v>46</v>
      </c>
      <c r="D167" s="3">
        <v>6633754.5</v>
      </c>
    </row>
    <row r="168" spans="1:4" x14ac:dyDescent="0.25">
      <c r="A168" s="5" t="s">
        <v>17</v>
      </c>
      <c r="B168" s="6" t="s">
        <v>5</v>
      </c>
      <c r="C168" s="6" t="s">
        <v>47</v>
      </c>
      <c r="D168" s="6">
        <v>6590368</v>
      </c>
    </row>
    <row r="169" spans="1:4" x14ac:dyDescent="0.25">
      <c r="A169" s="2" t="s">
        <v>17</v>
      </c>
      <c r="B169" s="3" t="s">
        <v>5</v>
      </c>
      <c r="C169" s="3" t="s">
        <v>48</v>
      </c>
      <c r="D169" s="3">
        <v>6903616.5</v>
      </c>
    </row>
    <row r="170" spans="1:4" x14ac:dyDescent="0.25">
      <c r="A170" s="5" t="s">
        <v>17</v>
      </c>
      <c r="B170" s="6" t="s">
        <v>5</v>
      </c>
      <c r="C170" s="6" t="s">
        <v>49</v>
      </c>
      <c r="D170" s="6">
        <v>7765267.5</v>
      </c>
    </row>
    <row r="171" spans="1:4" x14ac:dyDescent="0.25">
      <c r="A171" s="2" t="s">
        <v>17</v>
      </c>
      <c r="B171" s="3" t="s">
        <v>5</v>
      </c>
      <c r="C171" s="3" t="s">
        <v>50</v>
      </c>
      <c r="D171" s="3">
        <v>8263341</v>
      </c>
    </row>
    <row r="172" spans="1:4" x14ac:dyDescent="0.25">
      <c r="A172" s="5" t="s">
        <v>17</v>
      </c>
      <c r="B172" s="6" t="s">
        <v>5</v>
      </c>
      <c r="C172" s="6" t="s">
        <v>51</v>
      </c>
      <c r="D172" s="6">
        <v>7214262</v>
      </c>
    </row>
    <row r="173" spans="1:4" x14ac:dyDescent="0.25">
      <c r="A173" s="2" t="s">
        <v>17</v>
      </c>
      <c r="B173" s="3" t="s">
        <v>5</v>
      </c>
      <c r="C173" s="3" t="s">
        <v>52</v>
      </c>
      <c r="D173" s="3">
        <v>7099722.5</v>
      </c>
    </row>
    <row r="174" spans="1:4" x14ac:dyDescent="0.25">
      <c r="A174" s="5" t="s">
        <v>17</v>
      </c>
      <c r="B174" s="6" t="s">
        <v>5</v>
      </c>
      <c r="C174" s="6" t="s">
        <v>53</v>
      </c>
      <c r="D174" s="6">
        <v>7583045</v>
      </c>
    </row>
    <row r="175" spans="1:4" x14ac:dyDescent="0.25">
      <c r="A175" s="2" t="s">
        <v>17</v>
      </c>
      <c r="B175" s="3" t="s">
        <v>5</v>
      </c>
      <c r="C175" s="3" t="s">
        <v>54</v>
      </c>
      <c r="D175" s="3">
        <v>8458579</v>
      </c>
    </row>
    <row r="176" spans="1:4" x14ac:dyDescent="0.25">
      <c r="A176" s="5" t="s">
        <v>17</v>
      </c>
      <c r="B176" s="6" t="s">
        <v>5</v>
      </c>
      <c r="C176" s="6" t="s">
        <v>55</v>
      </c>
      <c r="D176" s="6">
        <v>530426.25</v>
      </c>
    </row>
    <row r="177" spans="1:4" x14ac:dyDescent="0.25">
      <c r="A177" s="5" t="s">
        <v>17</v>
      </c>
      <c r="B177" s="6" t="s">
        <v>5</v>
      </c>
      <c r="C177" s="6" t="s">
        <v>56</v>
      </c>
      <c r="D177" s="6">
        <v>508921.59375</v>
      </c>
    </row>
    <row r="178" spans="1:4" x14ac:dyDescent="0.25">
      <c r="A178" s="5" t="s">
        <v>17</v>
      </c>
      <c r="B178" s="6" t="s">
        <v>5</v>
      </c>
      <c r="C178" s="6" t="s">
        <v>57</v>
      </c>
      <c r="D178" s="6">
        <v>501988.9375</v>
      </c>
    </row>
    <row r="179" spans="1:4" x14ac:dyDescent="0.25">
      <c r="A179" s="5" t="s">
        <v>17</v>
      </c>
      <c r="B179" s="6" t="s">
        <v>5</v>
      </c>
      <c r="C179" s="6" t="s">
        <v>58</v>
      </c>
      <c r="D179" s="6">
        <v>530323.1875</v>
      </c>
    </row>
    <row r="180" spans="1:4" x14ac:dyDescent="0.25">
      <c r="A180" s="5" t="s">
        <v>17</v>
      </c>
      <c r="B180" s="6" t="s">
        <v>5</v>
      </c>
      <c r="C180" s="6" t="s">
        <v>59</v>
      </c>
      <c r="D180" s="6">
        <v>524189.21875</v>
      </c>
    </row>
    <row r="181" spans="1:4" x14ac:dyDescent="0.25">
      <c r="A181" s="5" t="s">
        <v>17</v>
      </c>
      <c r="B181" s="6" t="s">
        <v>5</v>
      </c>
      <c r="C181" s="6" t="s">
        <v>60</v>
      </c>
      <c r="D181" s="6">
        <v>522968.25</v>
      </c>
    </row>
    <row r="182" spans="1:4" x14ac:dyDescent="0.25">
      <c r="A182" s="5" t="s">
        <v>17</v>
      </c>
      <c r="B182" s="6" t="s">
        <v>5</v>
      </c>
      <c r="C182" s="6" t="s">
        <v>61</v>
      </c>
      <c r="D182" s="6">
        <v>529370.75</v>
      </c>
    </row>
    <row r="183" spans="1:4" x14ac:dyDescent="0.25">
      <c r="A183" s="5" t="s">
        <v>17</v>
      </c>
      <c r="B183" s="6" t="s">
        <v>5</v>
      </c>
      <c r="C183" s="6" t="s">
        <v>62</v>
      </c>
      <c r="D183" s="6">
        <v>508019.65625</v>
      </c>
    </row>
    <row r="184" spans="1:4" x14ac:dyDescent="0.25">
      <c r="A184" s="5" t="s">
        <v>17</v>
      </c>
      <c r="B184" s="6" t="s">
        <v>5</v>
      </c>
      <c r="C184" s="6" t="s">
        <v>63</v>
      </c>
      <c r="D184" s="6">
        <v>501465.5</v>
      </c>
    </row>
    <row r="185" spans="1:4" x14ac:dyDescent="0.25">
      <c r="A185" s="5" t="s">
        <v>17</v>
      </c>
      <c r="B185" s="6" t="s">
        <v>5</v>
      </c>
      <c r="C185" s="6" t="s">
        <v>64</v>
      </c>
      <c r="D185" s="6">
        <v>530220.75</v>
      </c>
    </row>
    <row r="186" spans="1:4" x14ac:dyDescent="0.25">
      <c r="A186" s="5" t="s">
        <v>17</v>
      </c>
      <c r="B186" s="6" t="s">
        <v>5</v>
      </c>
      <c r="C186" s="6" t="s">
        <v>65</v>
      </c>
      <c r="D186" s="6">
        <v>524583.1875</v>
      </c>
    </row>
    <row r="187" spans="1:4" x14ac:dyDescent="0.25">
      <c r="A187" s="5" t="s">
        <v>17</v>
      </c>
      <c r="B187" s="6" t="s">
        <v>5</v>
      </c>
      <c r="C187" s="6" t="s">
        <v>66</v>
      </c>
      <c r="D187" s="6">
        <v>523902.875</v>
      </c>
    </row>
    <row r="188" spans="1:4" x14ac:dyDescent="0.25">
      <c r="A188" s="5" t="s">
        <v>30</v>
      </c>
      <c r="B188" s="6" t="s">
        <v>5</v>
      </c>
      <c r="C188" s="6" t="s">
        <v>36</v>
      </c>
      <c r="D188" s="6">
        <v>10390215</v>
      </c>
    </row>
    <row r="189" spans="1:4" x14ac:dyDescent="0.25">
      <c r="A189" s="2" t="s">
        <v>30</v>
      </c>
      <c r="B189" s="3" t="s">
        <v>5</v>
      </c>
      <c r="C189" s="3" t="s">
        <v>37</v>
      </c>
      <c r="D189" s="3">
        <v>11285822</v>
      </c>
    </row>
    <row r="190" spans="1:4" x14ac:dyDescent="0.25">
      <c r="A190" s="5" t="s">
        <v>30</v>
      </c>
      <c r="B190" s="6" t="s">
        <v>5</v>
      </c>
      <c r="C190" s="6" t="s">
        <v>38</v>
      </c>
      <c r="D190" s="6">
        <v>11281432</v>
      </c>
    </row>
    <row r="191" spans="1:4" x14ac:dyDescent="0.25">
      <c r="A191" s="2" t="s">
        <v>30</v>
      </c>
      <c r="B191" s="3" t="s">
        <v>5</v>
      </c>
      <c r="C191" s="3" t="s">
        <v>39</v>
      </c>
      <c r="D191" s="3">
        <v>10722409</v>
      </c>
    </row>
    <row r="192" spans="1:4" x14ac:dyDescent="0.25">
      <c r="A192" s="5" t="s">
        <v>30</v>
      </c>
      <c r="B192" s="6" t="s">
        <v>5</v>
      </c>
      <c r="C192" s="6" t="s">
        <v>40</v>
      </c>
      <c r="D192" s="6">
        <v>12150698</v>
      </c>
    </row>
    <row r="193" spans="1:4" x14ac:dyDescent="0.25">
      <c r="A193" s="2" t="s">
        <v>30</v>
      </c>
      <c r="B193" s="3" t="s">
        <v>5</v>
      </c>
      <c r="C193" s="3" t="s">
        <v>41</v>
      </c>
      <c r="D193" s="3">
        <v>12837037</v>
      </c>
    </row>
    <row r="194" spans="1:4" x14ac:dyDescent="0.25">
      <c r="A194" s="5" t="s">
        <v>30</v>
      </c>
      <c r="B194" s="6" t="s">
        <v>5</v>
      </c>
      <c r="C194" s="6" t="s">
        <v>42</v>
      </c>
      <c r="D194" s="6">
        <v>15678980</v>
      </c>
    </row>
    <row r="195" spans="1:4" x14ac:dyDescent="0.25">
      <c r="A195" s="2" t="s">
        <v>30</v>
      </c>
      <c r="B195" s="3" t="s">
        <v>5</v>
      </c>
      <c r="C195" s="3" t="s">
        <v>43</v>
      </c>
      <c r="D195" s="3">
        <v>11040740</v>
      </c>
    </row>
    <row r="196" spans="1:4" x14ac:dyDescent="0.25">
      <c r="A196" s="5" t="s">
        <v>30</v>
      </c>
      <c r="B196" s="6" t="s">
        <v>5</v>
      </c>
      <c r="C196" s="6" t="s">
        <v>44</v>
      </c>
      <c r="D196" s="6">
        <v>10986032</v>
      </c>
    </row>
    <row r="197" spans="1:4" x14ac:dyDescent="0.25">
      <c r="A197" s="2" t="s">
        <v>30</v>
      </c>
      <c r="B197" s="3" t="s">
        <v>5</v>
      </c>
      <c r="C197" s="3" t="s">
        <v>45</v>
      </c>
      <c r="D197" s="3">
        <v>12497166</v>
      </c>
    </row>
    <row r="198" spans="1:4" x14ac:dyDescent="0.25">
      <c r="A198" s="5" t="s">
        <v>30</v>
      </c>
      <c r="B198" s="6" t="s">
        <v>5</v>
      </c>
      <c r="C198" s="6" t="s">
        <v>46</v>
      </c>
      <c r="D198" s="6">
        <v>11303932</v>
      </c>
    </row>
    <row r="199" spans="1:4" x14ac:dyDescent="0.25">
      <c r="A199" s="2" t="s">
        <v>30</v>
      </c>
      <c r="B199" s="3" t="s">
        <v>5</v>
      </c>
      <c r="C199" s="3" t="s">
        <v>47</v>
      </c>
      <c r="D199" s="3">
        <v>11230002</v>
      </c>
    </row>
    <row r="200" spans="1:4" x14ac:dyDescent="0.25">
      <c r="A200" s="5" t="s">
        <v>30</v>
      </c>
      <c r="B200" s="6" t="s">
        <v>5</v>
      </c>
      <c r="C200" s="6" t="s">
        <v>48</v>
      </c>
      <c r="D200" s="6">
        <v>11763778</v>
      </c>
    </row>
    <row r="201" spans="1:4" x14ac:dyDescent="0.25">
      <c r="A201" s="2" t="s">
        <v>30</v>
      </c>
      <c r="B201" s="3" t="s">
        <v>5</v>
      </c>
      <c r="C201" s="3" t="s">
        <v>49</v>
      </c>
      <c r="D201" s="3">
        <v>13232033</v>
      </c>
    </row>
    <row r="202" spans="1:4" x14ac:dyDescent="0.25">
      <c r="A202" s="5" t="s">
        <v>30</v>
      </c>
      <c r="B202" s="6" t="s">
        <v>5</v>
      </c>
      <c r="C202" s="6" t="s">
        <v>50</v>
      </c>
      <c r="D202" s="6">
        <v>14080752</v>
      </c>
    </row>
    <row r="203" spans="1:4" x14ac:dyDescent="0.25">
      <c r="A203" s="2" t="s">
        <v>30</v>
      </c>
      <c r="B203" s="3" t="s">
        <v>5</v>
      </c>
      <c r="C203" s="3" t="s">
        <v>51</v>
      </c>
      <c r="D203" s="3">
        <v>12293119</v>
      </c>
    </row>
    <row r="204" spans="1:4" x14ac:dyDescent="0.25">
      <c r="A204" s="5" t="s">
        <v>30</v>
      </c>
      <c r="B204" s="6" t="s">
        <v>5</v>
      </c>
      <c r="C204" s="6" t="s">
        <v>52</v>
      </c>
      <c r="D204" s="6">
        <v>12097943</v>
      </c>
    </row>
    <row r="205" spans="1:4" x14ac:dyDescent="0.25">
      <c r="A205" s="2" t="s">
        <v>30</v>
      </c>
      <c r="B205" s="3" t="s">
        <v>5</v>
      </c>
      <c r="C205" s="3" t="s">
        <v>53</v>
      </c>
      <c r="D205" s="3">
        <v>12921525</v>
      </c>
    </row>
    <row r="206" spans="1:4" x14ac:dyDescent="0.25">
      <c r="A206" s="5" t="s">
        <v>30</v>
      </c>
      <c r="B206" s="6" t="s">
        <v>5</v>
      </c>
      <c r="C206" s="6" t="s">
        <v>54</v>
      </c>
      <c r="D206" s="6">
        <v>14413437</v>
      </c>
    </row>
    <row r="207" spans="1:4" x14ac:dyDescent="0.25">
      <c r="A207" s="5" t="s">
        <v>30</v>
      </c>
      <c r="B207" s="6" t="s">
        <v>5</v>
      </c>
      <c r="C207" s="6" t="s">
        <v>55</v>
      </c>
      <c r="D207" s="6">
        <v>357085.8125</v>
      </c>
    </row>
    <row r="208" spans="1:4" x14ac:dyDescent="0.25">
      <c r="A208" s="5" t="s">
        <v>30</v>
      </c>
      <c r="B208" s="6" t="s">
        <v>5</v>
      </c>
      <c r="C208" s="6" t="s">
        <v>56</v>
      </c>
      <c r="D208" s="6">
        <v>344261.1875</v>
      </c>
    </row>
    <row r="209" spans="1:4" x14ac:dyDescent="0.25">
      <c r="A209" s="5" t="s">
        <v>30</v>
      </c>
      <c r="B209" s="6" t="s">
        <v>5</v>
      </c>
      <c r="C209" s="6" t="s">
        <v>57</v>
      </c>
      <c r="D209" s="6">
        <v>340153.875</v>
      </c>
    </row>
    <row r="210" spans="1:4" x14ac:dyDescent="0.25">
      <c r="A210" s="5" t="s">
        <v>30</v>
      </c>
      <c r="B210" s="6" t="s">
        <v>5</v>
      </c>
      <c r="C210" s="6" t="s">
        <v>58</v>
      </c>
      <c r="D210" s="6">
        <v>357104.09375</v>
      </c>
    </row>
    <row r="211" spans="1:4" x14ac:dyDescent="0.25">
      <c r="A211" s="5" t="s">
        <v>30</v>
      </c>
      <c r="B211" s="6" t="s">
        <v>5</v>
      </c>
      <c r="C211" s="6" t="s">
        <v>59</v>
      </c>
      <c r="D211" s="6">
        <v>353484.21875</v>
      </c>
    </row>
    <row r="212" spans="1:4" x14ac:dyDescent="0.25">
      <c r="A212" s="5" t="s">
        <v>30</v>
      </c>
      <c r="B212" s="6" t="s">
        <v>5</v>
      </c>
      <c r="C212" s="6" t="s">
        <v>60</v>
      </c>
      <c r="D212" s="6">
        <v>352793.8125</v>
      </c>
    </row>
    <row r="213" spans="1:4" x14ac:dyDescent="0.25">
      <c r="A213" s="5" t="s">
        <v>30</v>
      </c>
      <c r="B213" s="6" t="s">
        <v>5</v>
      </c>
      <c r="C213" s="6" t="s">
        <v>61</v>
      </c>
      <c r="D213" s="6">
        <v>356628.9375</v>
      </c>
    </row>
    <row r="214" spans="1:4" x14ac:dyDescent="0.25">
      <c r="A214" s="5" t="s">
        <v>30</v>
      </c>
      <c r="B214" s="6" t="s">
        <v>5</v>
      </c>
      <c r="C214" s="6" t="s">
        <v>62</v>
      </c>
      <c r="D214" s="6">
        <v>343869.65625</v>
      </c>
    </row>
    <row r="215" spans="1:4" x14ac:dyDescent="0.25">
      <c r="A215" s="5" t="s">
        <v>30</v>
      </c>
      <c r="B215" s="6" t="s">
        <v>5</v>
      </c>
      <c r="C215" s="6" t="s">
        <v>63</v>
      </c>
      <c r="D215" s="6">
        <v>339923.375</v>
      </c>
    </row>
    <row r="216" spans="1:4" x14ac:dyDescent="0.25">
      <c r="A216" s="5" t="s">
        <v>30</v>
      </c>
      <c r="B216" s="6" t="s">
        <v>5</v>
      </c>
      <c r="C216" s="6" t="s">
        <v>64</v>
      </c>
      <c r="D216" s="6">
        <v>357060.5</v>
      </c>
    </row>
    <row r="217" spans="1:4" x14ac:dyDescent="0.25">
      <c r="A217" s="5" t="s">
        <v>30</v>
      </c>
      <c r="B217" s="6" t="s">
        <v>5</v>
      </c>
      <c r="C217" s="6" t="s">
        <v>65</v>
      </c>
      <c r="D217" s="6">
        <v>353651.84375</v>
      </c>
    </row>
    <row r="218" spans="1:4" x14ac:dyDescent="0.25">
      <c r="A218" s="5" t="s">
        <v>30</v>
      </c>
      <c r="B218" s="6" t="s">
        <v>5</v>
      </c>
      <c r="C218" s="6" t="s">
        <v>66</v>
      </c>
      <c r="D218" s="6">
        <v>353230.375</v>
      </c>
    </row>
    <row r="219" spans="1:4" x14ac:dyDescent="0.25">
      <c r="A219" s="5" t="s">
        <v>24</v>
      </c>
      <c r="B219" s="6" t="s">
        <v>5</v>
      </c>
      <c r="C219" s="6" t="s">
        <v>36</v>
      </c>
      <c r="D219" s="6">
        <v>716048.875</v>
      </c>
    </row>
    <row r="220" spans="1:4" x14ac:dyDescent="0.25">
      <c r="A220" s="2" t="s">
        <v>24</v>
      </c>
      <c r="B220" s="3" t="s">
        <v>5</v>
      </c>
      <c r="C220" s="3" t="s">
        <v>37</v>
      </c>
      <c r="D220" s="3">
        <v>777770.25</v>
      </c>
    </row>
    <row r="221" spans="1:4" x14ac:dyDescent="0.25">
      <c r="A221" s="5" t="s">
        <v>24</v>
      </c>
      <c r="B221" s="6" t="s">
        <v>5</v>
      </c>
      <c r="C221" s="6" t="s">
        <v>38</v>
      </c>
      <c r="D221" s="6">
        <v>777467.6875</v>
      </c>
    </row>
    <row r="222" spans="1:4" x14ac:dyDescent="0.25">
      <c r="A222" s="2" t="s">
        <v>24</v>
      </c>
      <c r="B222" s="3" t="s">
        <v>5</v>
      </c>
      <c r="C222" s="3" t="s">
        <v>39</v>
      </c>
      <c r="D222" s="3">
        <v>738942.25</v>
      </c>
    </row>
    <row r="223" spans="1:4" x14ac:dyDescent="0.25">
      <c r="A223" s="5" t="s">
        <v>24</v>
      </c>
      <c r="B223" s="6" t="s">
        <v>5</v>
      </c>
      <c r="C223" s="6" t="s">
        <v>40</v>
      </c>
      <c r="D223" s="6">
        <v>837373.75</v>
      </c>
    </row>
    <row r="224" spans="1:4" x14ac:dyDescent="0.25">
      <c r="A224" s="2" t="s">
        <v>24</v>
      </c>
      <c r="B224" s="3" t="s">
        <v>5</v>
      </c>
      <c r="C224" s="3" t="s">
        <v>41</v>
      </c>
      <c r="D224" s="3">
        <v>884673.3125</v>
      </c>
    </row>
    <row r="225" spans="1:4" x14ac:dyDescent="0.25">
      <c r="A225" s="5" t="s">
        <v>24</v>
      </c>
      <c r="B225" s="6" t="s">
        <v>5</v>
      </c>
      <c r="C225" s="6" t="s">
        <v>42</v>
      </c>
      <c r="D225" s="6">
        <v>1080527.875</v>
      </c>
    </row>
    <row r="226" spans="1:4" x14ac:dyDescent="0.25">
      <c r="A226" s="2" t="s">
        <v>24</v>
      </c>
      <c r="B226" s="3" t="s">
        <v>5</v>
      </c>
      <c r="C226" s="3" t="s">
        <v>43</v>
      </c>
      <c r="D226" s="3">
        <v>804987.375</v>
      </c>
    </row>
    <row r="227" spans="1:4" x14ac:dyDescent="0.25">
      <c r="A227" s="5" t="s">
        <v>24</v>
      </c>
      <c r="B227" s="6" t="s">
        <v>5</v>
      </c>
      <c r="C227" s="6" t="s">
        <v>44</v>
      </c>
      <c r="D227" s="6">
        <v>800998.5</v>
      </c>
    </row>
    <row r="228" spans="1:4" x14ac:dyDescent="0.25">
      <c r="A228" s="2" t="s">
        <v>24</v>
      </c>
      <c r="B228" s="3" t="s">
        <v>5</v>
      </c>
      <c r="C228" s="3" t="s">
        <v>45</v>
      </c>
      <c r="D228" s="3">
        <v>911176.25</v>
      </c>
    </row>
    <row r="229" spans="1:4" x14ac:dyDescent="0.25">
      <c r="A229" s="5" t="s">
        <v>24</v>
      </c>
      <c r="B229" s="6" t="s">
        <v>5</v>
      </c>
      <c r="C229" s="6" t="s">
        <v>46</v>
      </c>
      <c r="D229" s="6">
        <v>824176.8125</v>
      </c>
    </row>
    <row r="230" spans="1:4" x14ac:dyDescent="0.25">
      <c r="A230" s="2" t="s">
        <v>24</v>
      </c>
      <c r="B230" s="3" t="s">
        <v>5</v>
      </c>
      <c r="C230" s="3" t="s">
        <v>47</v>
      </c>
      <c r="D230" s="3">
        <v>818786.5</v>
      </c>
    </row>
    <row r="231" spans="1:4" x14ac:dyDescent="0.25">
      <c r="A231" s="5" t="s">
        <v>24</v>
      </c>
      <c r="B231" s="6" t="s">
        <v>5</v>
      </c>
      <c r="C231" s="6" t="s">
        <v>48</v>
      </c>
      <c r="D231" s="6">
        <v>857704.5</v>
      </c>
    </row>
    <row r="232" spans="1:4" x14ac:dyDescent="0.25">
      <c r="A232" s="2" t="s">
        <v>24</v>
      </c>
      <c r="B232" s="3" t="s">
        <v>5</v>
      </c>
      <c r="C232" s="3" t="s">
        <v>49</v>
      </c>
      <c r="D232" s="3">
        <v>964755.8125</v>
      </c>
    </row>
    <row r="233" spans="1:4" x14ac:dyDescent="0.25">
      <c r="A233" s="5" t="s">
        <v>24</v>
      </c>
      <c r="B233" s="6" t="s">
        <v>5</v>
      </c>
      <c r="C233" s="6" t="s">
        <v>50</v>
      </c>
      <c r="D233" s="6">
        <v>1026636.4375</v>
      </c>
    </row>
    <row r="234" spans="1:4" x14ac:dyDescent="0.25">
      <c r="A234" s="2" t="s">
        <v>24</v>
      </c>
      <c r="B234" s="3" t="s">
        <v>5</v>
      </c>
      <c r="C234" s="3" t="s">
        <v>51</v>
      </c>
      <c r="D234" s="3">
        <v>896299</v>
      </c>
    </row>
    <row r="235" spans="1:4" x14ac:dyDescent="0.25">
      <c r="A235" s="5" t="s">
        <v>24</v>
      </c>
      <c r="B235" s="6" t="s">
        <v>5</v>
      </c>
      <c r="C235" s="6" t="s">
        <v>52</v>
      </c>
      <c r="D235" s="6">
        <v>882068.625</v>
      </c>
    </row>
    <row r="236" spans="1:4" x14ac:dyDescent="0.25">
      <c r="A236" s="2" t="s">
        <v>24</v>
      </c>
      <c r="B236" s="3" t="s">
        <v>5</v>
      </c>
      <c r="C236" s="3" t="s">
        <v>53</v>
      </c>
      <c r="D236" s="3">
        <v>942116.5625</v>
      </c>
    </row>
    <row r="237" spans="1:4" x14ac:dyDescent="0.25">
      <c r="A237" s="5" t="s">
        <v>24</v>
      </c>
      <c r="B237" s="6" t="s">
        <v>5</v>
      </c>
      <c r="C237" s="6" t="s">
        <v>54</v>
      </c>
      <c r="D237" s="6">
        <v>1050892.875</v>
      </c>
    </row>
    <row r="238" spans="1:4" x14ac:dyDescent="0.25">
      <c r="A238" s="2" t="s">
        <v>24</v>
      </c>
      <c r="B238" s="3" t="s">
        <v>5</v>
      </c>
      <c r="C238" s="3" t="s">
        <v>55</v>
      </c>
      <c r="D238" s="3">
        <v>76513.828125</v>
      </c>
    </row>
    <row r="239" spans="1:4" x14ac:dyDescent="0.25">
      <c r="A239" s="2" t="s">
        <v>24</v>
      </c>
      <c r="B239" s="3" t="s">
        <v>5</v>
      </c>
      <c r="C239" s="3" t="s">
        <v>56</v>
      </c>
      <c r="D239" s="3">
        <v>73144.609375</v>
      </c>
    </row>
    <row r="240" spans="1:4" x14ac:dyDescent="0.25">
      <c r="A240" s="2" t="s">
        <v>24</v>
      </c>
      <c r="B240" s="3" t="s">
        <v>5</v>
      </c>
      <c r="C240" s="3" t="s">
        <v>57</v>
      </c>
      <c r="D240" s="3">
        <v>72062.828125</v>
      </c>
    </row>
    <row r="241" spans="1:4" x14ac:dyDescent="0.25">
      <c r="A241" s="2" t="s">
        <v>24</v>
      </c>
      <c r="B241" s="3" t="s">
        <v>5</v>
      </c>
      <c r="C241" s="3" t="s">
        <v>58</v>
      </c>
      <c r="D241" s="3">
        <v>76510.578125</v>
      </c>
    </row>
    <row r="242" spans="1:4" x14ac:dyDescent="0.25">
      <c r="A242" s="2" t="s">
        <v>24</v>
      </c>
      <c r="B242" s="3" t="s">
        <v>5</v>
      </c>
      <c r="C242" s="3" t="s">
        <v>59</v>
      </c>
      <c r="D242" s="3">
        <v>75555.734375</v>
      </c>
    </row>
    <row r="243" spans="1:4" x14ac:dyDescent="0.25">
      <c r="A243" s="2" t="s">
        <v>24</v>
      </c>
      <c r="B243" s="3" t="s">
        <v>5</v>
      </c>
      <c r="C243" s="3" t="s">
        <v>60</v>
      </c>
      <c r="D243" s="3">
        <v>75370.546875</v>
      </c>
    </row>
    <row r="244" spans="1:4" x14ac:dyDescent="0.25">
      <c r="A244" s="2" t="s">
        <v>24</v>
      </c>
      <c r="B244" s="3" t="s">
        <v>5</v>
      </c>
      <c r="C244" s="3" t="s">
        <v>61</v>
      </c>
      <c r="D244" s="3">
        <v>76376.390625</v>
      </c>
    </row>
    <row r="245" spans="1:4" x14ac:dyDescent="0.25">
      <c r="A245" s="2" t="s">
        <v>24</v>
      </c>
      <c r="B245" s="3" t="s">
        <v>5</v>
      </c>
      <c r="C245" s="3" t="s">
        <v>62</v>
      </c>
      <c r="D245" s="3">
        <v>73026.984375</v>
      </c>
    </row>
    <row r="246" spans="1:4" x14ac:dyDescent="0.25">
      <c r="A246" s="2" t="s">
        <v>24</v>
      </c>
      <c r="B246" s="3" t="s">
        <v>5</v>
      </c>
      <c r="C246" s="3" t="s">
        <v>63</v>
      </c>
      <c r="D246" s="3">
        <v>71994.03125</v>
      </c>
    </row>
    <row r="247" spans="1:4" x14ac:dyDescent="0.25">
      <c r="A247" s="2" t="s">
        <v>24</v>
      </c>
      <c r="B247" s="3" t="s">
        <v>5</v>
      </c>
      <c r="C247" s="3" t="s">
        <v>64</v>
      </c>
      <c r="D247" s="3">
        <v>76497.375</v>
      </c>
    </row>
    <row r="248" spans="1:4" x14ac:dyDescent="0.25">
      <c r="A248" s="2" t="s">
        <v>24</v>
      </c>
      <c r="B248" s="3" t="s">
        <v>5</v>
      </c>
      <c r="C248" s="3" t="s">
        <v>65</v>
      </c>
      <c r="D248" s="3">
        <v>75606.5625</v>
      </c>
    </row>
    <row r="249" spans="1:4" x14ac:dyDescent="0.25">
      <c r="A249" s="2" t="s">
        <v>24</v>
      </c>
      <c r="B249" s="3" t="s">
        <v>5</v>
      </c>
      <c r="C249" s="3" t="s">
        <v>66</v>
      </c>
      <c r="D249" s="3">
        <v>75491.109375</v>
      </c>
    </row>
    <row r="250" spans="1:4" x14ac:dyDescent="0.25">
      <c r="A250" s="2" t="s">
        <v>21</v>
      </c>
      <c r="B250" s="3" t="s">
        <v>5</v>
      </c>
      <c r="C250" s="3" t="s">
        <v>36</v>
      </c>
      <c r="D250" s="3">
        <v>15698599</v>
      </c>
    </row>
    <row r="251" spans="1:4" x14ac:dyDescent="0.25">
      <c r="A251" s="5" t="s">
        <v>21</v>
      </c>
      <c r="B251" s="6" t="s">
        <v>5</v>
      </c>
      <c r="C251" s="6" t="s">
        <v>37</v>
      </c>
      <c r="D251" s="6">
        <v>17051774</v>
      </c>
    </row>
    <row r="252" spans="1:4" x14ac:dyDescent="0.25">
      <c r="A252" s="2" t="s">
        <v>21</v>
      </c>
      <c r="B252" s="3" t="s">
        <v>5</v>
      </c>
      <c r="C252" s="3" t="s">
        <v>38</v>
      </c>
      <c r="D252" s="3">
        <v>17045140</v>
      </c>
    </row>
    <row r="253" spans="1:4" x14ac:dyDescent="0.25">
      <c r="A253" s="5" t="s">
        <v>21</v>
      </c>
      <c r="B253" s="6" t="s">
        <v>5</v>
      </c>
      <c r="C253" s="6" t="s">
        <v>39</v>
      </c>
      <c r="D253" s="6">
        <v>16200512</v>
      </c>
    </row>
    <row r="254" spans="1:4" x14ac:dyDescent="0.25">
      <c r="A254" s="2" t="s">
        <v>21</v>
      </c>
      <c r="B254" s="3" t="s">
        <v>5</v>
      </c>
      <c r="C254" s="3" t="s">
        <v>40</v>
      </c>
      <c r="D254" s="3">
        <v>18358516</v>
      </c>
    </row>
    <row r="255" spans="1:4" x14ac:dyDescent="0.25">
      <c r="A255" s="5" t="s">
        <v>21</v>
      </c>
      <c r="B255" s="6" t="s">
        <v>5</v>
      </c>
      <c r="C255" s="6" t="s">
        <v>41</v>
      </c>
      <c r="D255" s="6">
        <v>19395508</v>
      </c>
    </row>
    <row r="256" spans="1:4" x14ac:dyDescent="0.25">
      <c r="A256" s="2" t="s">
        <v>21</v>
      </c>
      <c r="B256" s="3" t="s">
        <v>5</v>
      </c>
      <c r="C256" s="3" t="s">
        <v>42</v>
      </c>
      <c r="D256" s="3">
        <v>23689406</v>
      </c>
    </row>
    <row r="257" spans="1:4" x14ac:dyDescent="0.25">
      <c r="A257" s="5" t="s">
        <v>21</v>
      </c>
      <c r="B257" s="6" t="s">
        <v>5</v>
      </c>
      <c r="C257" s="6" t="s">
        <v>43</v>
      </c>
      <c r="D257" s="6">
        <v>16530363</v>
      </c>
    </row>
    <row r="258" spans="1:4" x14ac:dyDescent="0.25">
      <c r="A258" s="2" t="s">
        <v>21</v>
      </c>
      <c r="B258" s="3" t="s">
        <v>5</v>
      </c>
      <c r="C258" s="3" t="s">
        <v>44</v>
      </c>
      <c r="D258" s="3">
        <v>16448453</v>
      </c>
    </row>
    <row r="259" spans="1:4" x14ac:dyDescent="0.25">
      <c r="A259" s="5" t="s">
        <v>21</v>
      </c>
      <c r="B259" s="6" t="s">
        <v>5</v>
      </c>
      <c r="C259" s="6" t="s">
        <v>45</v>
      </c>
      <c r="D259" s="6">
        <v>18710946</v>
      </c>
    </row>
    <row r="260" spans="1:4" x14ac:dyDescent="0.25">
      <c r="A260" s="2" t="s">
        <v>21</v>
      </c>
      <c r="B260" s="3" t="s">
        <v>5</v>
      </c>
      <c r="C260" s="3" t="s">
        <v>46</v>
      </c>
      <c r="D260" s="3">
        <v>16924418</v>
      </c>
    </row>
    <row r="261" spans="1:4" x14ac:dyDescent="0.25">
      <c r="A261" s="5" t="s">
        <v>21</v>
      </c>
      <c r="B261" s="6" t="s">
        <v>5</v>
      </c>
      <c r="C261" s="6" t="s">
        <v>47</v>
      </c>
      <c r="D261" s="6">
        <v>16813728</v>
      </c>
    </row>
    <row r="262" spans="1:4" x14ac:dyDescent="0.25">
      <c r="A262" s="2" t="s">
        <v>21</v>
      </c>
      <c r="B262" s="3" t="s">
        <v>5</v>
      </c>
      <c r="C262" s="3" t="s">
        <v>48</v>
      </c>
      <c r="D262" s="3">
        <v>17612906</v>
      </c>
    </row>
    <row r="263" spans="1:4" x14ac:dyDescent="0.25">
      <c r="A263" s="5" t="s">
        <v>21</v>
      </c>
      <c r="B263" s="6" t="s">
        <v>5</v>
      </c>
      <c r="C263" s="6" t="s">
        <v>49</v>
      </c>
      <c r="D263" s="6">
        <v>19811198</v>
      </c>
    </row>
    <row r="264" spans="1:4" x14ac:dyDescent="0.25">
      <c r="A264" s="2" t="s">
        <v>21</v>
      </c>
      <c r="B264" s="3" t="s">
        <v>5</v>
      </c>
      <c r="C264" s="3" t="s">
        <v>50</v>
      </c>
      <c r="D264" s="3">
        <v>21081914</v>
      </c>
    </row>
    <row r="265" spans="1:4" x14ac:dyDescent="0.25">
      <c r="A265" s="5" t="s">
        <v>21</v>
      </c>
      <c r="B265" s="6" t="s">
        <v>5</v>
      </c>
      <c r="C265" s="6" t="s">
        <v>51</v>
      </c>
      <c r="D265" s="6">
        <v>18405442</v>
      </c>
    </row>
    <row r="266" spans="1:4" x14ac:dyDescent="0.25">
      <c r="A266" s="2" t="s">
        <v>21</v>
      </c>
      <c r="B266" s="3" t="s">
        <v>5</v>
      </c>
      <c r="C266" s="3" t="s">
        <v>52</v>
      </c>
      <c r="D266" s="3">
        <v>18113222</v>
      </c>
    </row>
    <row r="267" spans="1:4" x14ac:dyDescent="0.25">
      <c r="A267" s="5" t="s">
        <v>21</v>
      </c>
      <c r="B267" s="6" t="s">
        <v>5</v>
      </c>
      <c r="C267" s="6" t="s">
        <v>53</v>
      </c>
      <c r="D267" s="6">
        <v>19346302</v>
      </c>
    </row>
    <row r="268" spans="1:4" x14ac:dyDescent="0.25">
      <c r="A268" s="2" t="s">
        <v>21</v>
      </c>
      <c r="B268" s="3" t="s">
        <v>5</v>
      </c>
      <c r="C268" s="3" t="s">
        <v>54</v>
      </c>
      <c r="D268" s="3">
        <v>21580016</v>
      </c>
    </row>
    <row r="269" spans="1:4" x14ac:dyDescent="0.25">
      <c r="A269" s="5" t="s">
        <v>21</v>
      </c>
      <c r="B269" s="6" t="s">
        <v>5</v>
      </c>
      <c r="C269" s="6" t="s">
        <v>55</v>
      </c>
      <c r="D269" s="6">
        <v>2214109</v>
      </c>
    </row>
    <row r="270" spans="1:4" x14ac:dyDescent="0.25">
      <c r="A270" s="5" t="s">
        <v>21</v>
      </c>
      <c r="B270" s="6" t="s">
        <v>5</v>
      </c>
      <c r="C270" s="6" t="s">
        <v>56</v>
      </c>
      <c r="D270" s="6">
        <v>2142508</v>
      </c>
    </row>
    <row r="271" spans="1:4" x14ac:dyDescent="0.25">
      <c r="A271" s="5" t="s">
        <v>21</v>
      </c>
      <c r="B271" s="6" t="s">
        <v>5</v>
      </c>
      <c r="C271" s="6" t="s">
        <v>57</v>
      </c>
      <c r="D271" s="6">
        <v>2118630.5</v>
      </c>
    </row>
    <row r="272" spans="1:4" x14ac:dyDescent="0.25">
      <c r="A272" s="5" t="s">
        <v>21</v>
      </c>
      <c r="B272" s="6" t="s">
        <v>5</v>
      </c>
      <c r="C272" s="6" t="s">
        <v>58</v>
      </c>
      <c r="D272" s="6">
        <v>2211474.5</v>
      </c>
    </row>
    <row r="273" spans="1:4" x14ac:dyDescent="0.25">
      <c r="A273" s="5" t="s">
        <v>21</v>
      </c>
      <c r="B273" s="6" t="s">
        <v>5</v>
      </c>
      <c r="C273" s="6" t="s">
        <v>59</v>
      </c>
      <c r="D273" s="6">
        <v>2189815.5</v>
      </c>
    </row>
    <row r="274" spans="1:4" x14ac:dyDescent="0.25">
      <c r="A274" s="5" t="s">
        <v>21</v>
      </c>
      <c r="B274" s="6" t="s">
        <v>5</v>
      </c>
      <c r="C274" s="6" t="s">
        <v>60</v>
      </c>
      <c r="D274" s="6">
        <v>2184680.5</v>
      </c>
    </row>
    <row r="275" spans="1:4" x14ac:dyDescent="0.25">
      <c r="A275" s="5" t="s">
        <v>21</v>
      </c>
      <c r="B275" s="6" t="s">
        <v>5</v>
      </c>
      <c r="C275" s="6" t="s">
        <v>61</v>
      </c>
      <c r="D275" s="6">
        <v>2205482</v>
      </c>
    </row>
    <row r="276" spans="1:4" x14ac:dyDescent="0.25">
      <c r="A276" s="5" t="s">
        <v>21</v>
      </c>
      <c r="B276" s="6" t="s">
        <v>5</v>
      </c>
      <c r="C276" s="6" t="s">
        <v>62</v>
      </c>
      <c r="D276" s="6">
        <v>2135170</v>
      </c>
    </row>
    <row r="277" spans="1:4" x14ac:dyDescent="0.25">
      <c r="A277" s="5" t="s">
        <v>21</v>
      </c>
      <c r="B277" s="6" t="s">
        <v>5</v>
      </c>
      <c r="C277" s="6" t="s">
        <v>63</v>
      </c>
      <c r="D277" s="6">
        <v>2114360</v>
      </c>
    </row>
    <row r="278" spans="1:4" x14ac:dyDescent="0.25">
      <c r="A278" s="5" t="s">
        <v>21</v>
      </c>
      <c r="B278" s="6" t="s">
        <v>5</v>
      </c>
      <c r="C278" s="6" t="s">
        <v>64</v>
      </c>
      <c r="D278" s="6">
        <v>2210471.25</v>
      </c>
    </row>
    <row r="279" spans="1:4" x14ac:dyDescent="0.25">
      <c r="A279" s="5" t="s">
        <v>21</v>
      </c>
      <c r="B279" s="6" t="s">
        <v>5</v>
      </c>
      <c r="C279" s="6" t="s">
        <v>65</v>
      </c>
      <c r="D279" s="6">
        <v>2193152.25</v>
      </c>
    </row>
    <row r="280" spans="1:4" x14ac:dyDescent="0.25">
      <c r="A280" s="5" t="s">
        <v>21</v>
      </c>
      <c r="B280" s="6" t="s">
        <v>5</v>
      </c>
      <c r="C280" s="6" t="s">
        <v>66</v>
      </c>
      <c r="D280" s="6">
        <v>2192229.5</v>
      </c>
    </row>
    <row r="281" spans="1:4" x14ac:dyDescent="0.25">
      <c r="A281" s="5" t="s">
        <v>22</v>
      </c>
      <c r="B281" s="6" t="s">
        <v>5</v>
      </c>
      <c r="C281" s="6" t="s">
        <v>36</v>
      </c>
      <c r="D281" s="6">
        <v>23105984</v>
      </c>
    </row>
    <row r="282" spans="1:4" x14ac:dyDescent="0.25">
      <c r="A282" s="2" t="s">
        <v>22</v>
      </c>
      <c r="B282" s="3" t="s">
        <v>5</v>
      </c>
      <c r="C282" s="3" t="s">
        <v>37</v>
      </c>
      <c r="D282" s="3">
        <v>25097654</v>
      </c>
    </row>
    <row r="283" spans="1:4" x14ac:dyDescent="0.25">
      <c r="A283" s="5" t="s">
        <v>22</v>
      </c>
      <c r="B283" s="6" t="s">
        <v>5</v>
      </c>
      <c r="C283" s="6" t="s">
        <v>38</v>
      </c>
      <c r="D283" s="6">
        <v>25087892</v>
      </c>
    </row>
    <row r="284" spans="1:4" x14ac:dyDescent="0.25">
      <c r="A284" s="2" t="s">
        <v>22</v>
      </c>
      <c r="B284" s="3" t="s">
        <v>5</v>
      </c>
      <c r="C284" s="3" t="s">
        <v>39</v>
      </c>
      <c r="D284" s="3">
        <v>23844724</v>
      </c>
    </row>
    <row r="285" spans="1:4" x14ac:dyDescent="0.25">
      <c r="A285" s="5" t="s">
        <v>22</v>
      </c>
      <c r="B285" s="6" t="s">
        <v>5</v>
      </c>
      <c r="C285" s="6" t="s">
        <v>40</v>
      </c>
      <c r="D285" s="6">
        <v>27020984</v>
      </c>
    </row>
    <row r="286" spans="1:4" x14ac:dyDescent="0.25">
      <c r="A286" s="2" t="s">
        <v>22</v>
      </c>
      <c r="B286" s="3" t="s">
        <v>5</v>
      </c>
      <c r="C286" s="3" t="s">
        <v>41</v>
      </c>
      <c r="D286" s="3">
        <v>28547280</v>
      </c>
    </row>
    <row r="287" spans="1:4" x14ac:dyDescent="0.25">
      <c r="A287" s="5" t="s">
        <v>22</v>
      </c>
      <c r="B287" s="6" t="s">
        <v>5</v>
      </c>
      <c r="C287" s="6" t="s">
        <v>42</v>
      </c>
      <c r="D287" s="6">
        <v>34867256</v>
      </c>
    </row>
    <row r="288" spans="1:4" x14ac:dyDescent="0.25">
      <c r="A288" s="2" t="s">
        <v>22</v>
      </c>
      <c r="B288" s="3" t="s">
        <v>5</v>
      </c>
      <c r="C288" s="3" t="s">
        <v>43</v>
      </c>
      <c r="D288" s="3">
        <v>24113596</v>
      </c>
    </row>
    <row r="289" spans="1:4" x14ac:dyDescent="0.25">
      <c r="A289" s="5" t="s">
        <v>22</v>
      </c>
      <c r="B289" s="6" t="s">
        <v>5</v>
      </c>
      <c r="C289" s="6" t="s">
        <v>44</v>
      </c>
      <c r="D289" s="6">
        <v>23994110</v>
      </c>
    </row>
    <row r="290" spans="1:4" x14ac:dyDescent="0.25">
      <c r="A290" s="2" t="s">
        <v>22</v>
      </c>
      <c r="B290" s="3" t="s">
        <v>5</v>
      </c>
      <c r="C290" s="3" t="s">
        <v>45</v>
      </c>
      <c r="D290" s="3">
        <v>27294510</v>
      </c>
    </row>
    <row r="291" spans="1:4" x14ac:dyDescent="0.25">
      <c r="A291" s="5" t="s">
        <v>22</v>
      </c>
      <c r="B291" s="6" t="s">
        <v>5</v>
      </c>
      <c r="C291" s="6" t="s">
        <v>46</v>
      </c>
      <c r="D291" s="6">
        <v>24688422</v>
      </c>
    </row>
    <row r="292" spans="1:4" x14ac:dyDescent="0.25">
      <c r="A292" s="2" t="s">
        <v>22</v>
      </c>
      <c r="B292" s="3" t="s">
        <v>5</v>
      </c>
      <c r="C292" s="3" t="s">
        <v>47</v>
      </c>
      <c r="D292" s="3">
        <v>24526954</v>
      </c>
    </row>
    <row r="293" spans="1:4" x14ac:dyDescent="0.25">
      <c r="A293" s="5" t="s">
        <v>22</v>
      </c>
      <c r="B293" s="6" t="s">
        <v>5</v>
      </c>
      <c r="C293" s="6" t="s">
        <v>48</v>
      </c>
      <c r="D293" s="6">
        <v>25692750</v>
      </c>
    </row>
    <row r="294" spans="1:4" x14ac:dyDescent="0.25">
      <c r="A294" s="2" t="s">
        <v>22</v>
      </c>
      <c r="B294" s="3" t="s">
        <v>5</v>
      </c>
      <c r="C294" s="3" t="s">
        <v>49</v>
      </c>
      <c r="D294" s="3">
        <v>28899500</v>
      </c>
    </row>
    <row r="295" spans="1:4" x14ac:dyDescent="0.25">
      <c r="A295" s="5" t="s">
        <v>22</v>
      </c>
      <c r="B295" s="6" t="s">
        <v>5</v>
      </c>
      <c r="C295" s="6" t="s">
        <v>50</v>
      </c>
      <c r="D295" s="6">
        <v>30753150</v>
      </c>
    </row>
    <row r="296" spans="1:4" x14ac:dyDescent="0.25">
      <c r="A296" s="2" t="s">
        <v>22</v>
      </c>
      <c r="B296" s="3" t="s">
        <v>5</v>
      </c>
      <c r="C296" s="3" t="s">
        <v>51</v>
      </c>
      <c r="D296" s="3">
        <v>26848860</v>
      </c>
    </row>
    <row r="297" spans="1:4" x14ac:dyDescent="0.25">
      <c r="A297" s="5" t="s">
        <v>22</v>
      </c>
      <c r="B297" s="6" t="s">
        <v>5</v>
      </c>
      <c r="C297" s="6" t="s">
        <v>52</v>
      </c>
      <c r="D297" s="6">
        <v>26422584</v>
      </c>
    </row>
    <row r="298" spans="1:4" x14ac:dyDescent="0.25">
      <c r="A298" s="2" t="s">
        <v>22</v>
      </c>
      <c r="B298" s="3" t="s">
        <v>5</v>
      </c>
      <c r="C298" s="3" t="s">
        <v>53</v>
      </c>
      <c r="D298" s="3">
        <v>28221336</v>
      </c>
    </row>
    <row r="299" spans="1:4" x14ac:dyDescent="0.25">
      <c r="A299" s="5" t="s">
        <v>22</v>
      </c>
      <c r="B299" s="6" t="s">
        <v>5</v>
      </c>
      <c r="C299" s="6" t="s">
        <v>54</v>
      </c>
      <c r="D299" s="6">
        <v>31479756</v>
      </c>
    </row>
    <row r="300" spans="1:4" x14ac:dyDescent="0.25">
      <c r="A300" s="2" t="s">
        <v>22</v>
      </c>
      <c r="B300" s="3" t="s">
        <v>5</v>
      </c>
      <c r="C300" s="3" t="s">
        <v>55</v>
      </c>
      <c r="D300" s="3">
        <v>1665745</v>
      </c>
    </row>
    <row r="301" spans="1:4" x14ac:dyDescent="0.25">
      <c r="A301" s="2" t="s">
        <v>22</v>
      </c>
      <c r="B301" s="3" t="s">
        <v>5</v>
      </c>
      <c r="C301" s="3" t="s">
        <v>56</v>
      </c>
      <c r="D301" s="3">
        <v>1612888</v>
      </c>
    </row>
    <row r="302" spans="1:4" x14ac:dyDescent="0.25">
      <c r="A302" s="2" t="s">
        <v>22</v>
      </c>
      <c r="B302" s="3" t="s">
        <v>5</v>
      </c>
      <c r="C302" s="3" t="s">
        <v>57</v>
      </c>
      <c r="D302" s="3">
        <v>1595697</v>
      </c>
    </row>
    <row r="303" spans="1:4" x14ac:dyDescent="0.25">
      <c r="A303" s="2" t="s">
        <v>22</v>
      </c>
      <c r="B303" s="3" t="s">
        <v>5</v>
      </c>
      <c r="C303" s="3" t="s">
        <v>58</v>
      </c>
      <c r="D303" s="3">
        <v>1665049.5</v>
      </c>
    </row>
    <row r="304" spans="1:4" x14ac:dyDescent="0.25">
      <c r="A304" s="2" t="s">
        <v>22</v>
      </c>
      <c r="B304" s="3" t="s">
        <v>5</v>
      </c>
      <c r="C304" s="3" t="s">
        <v>59</v>
      </c>
      <c r="D304" s="3">
        <v>1649751.875</v>
      </c>
    </row>
    <row r="305" spans="1:4" x14ac:dyDescent="0.25">
      <c r="A305" s="2" t="s">
        <v>22</v>
      </c>
      <c r="B305" s="3" t="s">
        <v>5</v>
      </c>
      <c r="C305" s="3" t="s">
        <v>60</v>
      </c>
      <c r="D305" s="3">
        <v>1646542.75</v>
      </c>
    </row>
    <row r="306" spans="1:4" x14ac:dyDescent="0.25">
      <c r="A306" s="2" t="s">
        <v>22</v>
      </c>
      <c r="B306" s="3" t="s">
        <v>5</v>
      </c>
      <c r="C306" s="3" t="s">
        <v>61</v>
      </c>
      <c r="D306" s="3">
        <v>1662184</v>
      </c>
    </row>
    <row r="307" spans="1:4" x14ac:dyDescent="0.25">
      <c r="A307" s="2" t="s">
        <v>22</v>
      </c>
      <c r="B307" s="3" t="s">
        <v>5</v>
      </c>
      <c r="C307" s="3" t="s">
        <v>62</v>
      </c>
      <c r="D307" s="3">
        <v>1609851.25</v>
      </c>
    </row>
    <row r="308" spans="1:4" x14ac:dyDescent="0.25">
      <c r="A308" s="2" t="s">
        <v>22</v>
      </c>
      <c r="B308" s="3" t="s">
        <v>5</v>
      </c>
      <c r="C308" s="3" t="s">
        <v>63</v>
      </c>
      <c r="D308" s="3">
        <v>1593945.75</v>
      </c>
    </row>
    <row r="309" spans="1:4" x14ac:dyDescent="0.25">
      <c r="A309" s="2" t="s">
        <v>22</v>
      </c>
      <c r="B309" s="3" t="s">
        <v>5</v>
      </c>
      <c r="C309" s="3" t="s">
        <v>64</v>
      </c>
      <c r="D309" s="3">
        <v>1664690.375</v>
      </c>
    </row>
    <row r="310" spans="1:4" x14ac:dyDescent="0.25">
      <c r="A310" s="2" t="s">
        <v>22</v>
      </c>
      <c r="B310" s="3" t="s">
        <v>5</v>
      </c>
      <c r="C310" s="3" t="s">
        <v>65</v>
      </c>
      <c r="D310" s="3">
        <v>1651099.25</v>
      </c>
    </row>
    <row r="311" spans="1:4" x14ac:dyDescent="0.25">
      <c r="A311" s="2" t="s">
        <v>22</v>
      </c>
      <c r="B311" s="3" t="s">
        <v>5</v>
      </c>
      <c r="C311" s="3" t="s">
        <v>66</v>
      </c>
      <c r="D311" s="3">
        <v>1649804.25</v>
      </c>
    </row>
    <row r="312" spans="1:4" x14ac:dyDescent="0.25">
      <c r="A312" s="2" t="s">
        <v>35</v>
      </c>
      <c r="B312" s="3" t="s">
        <v>5</v>
      </c>
      <c r="C312" s="3" t="s">
        <v>36</v>
      </c>
      <c r="D312" s="3">
        <v>6782629</v>
      </c>
    </row>
    <row r="313" spans="1:4" x14ac:dyDescent="0.25">
      <c r="A313" s="5" t="s">
        <v>35</v>
      </c>
      <c r="B313" s="6" t="s">
        <v>5</v>
      </c>
      <c r="C313" s="6" t="s">
        <v>37</v>
      </c>
      <c r="D313" s="6">
        <v>7360901.5</v>
      </c>
    </row>
    <row r="314" spans="1:4" x14ac:dyDescent="0.25">
      <c r="A314" s="2" t="s">
        <v>35</v>
      </c>
      <c r="B314" s="3" t="s">
        <v>5</v>
      </c>
      <c r="C314" s="3" t="s">
        <v>38</v>
      </c>
      <c r="D314" s="3">
        <v>7368553</v>
      </c>
    </row>
    <row r="315" spans="1:4" x14ac:dyDescent="0.25">
      <c r="A315" s="5" t="s">
        <v>35</v>
      </c>
      <c r="B315" s="6" t="s">
        <v>5</v>
      </c>
      <c r="C315" s="6" t="s">
        <v>39</v>
      </c>
      <c r="D315" s="6">
        <v>7007122.5</v>
      </c>
    </row>
    <row r="316" spans="1:4" x14ac:dyDescent="0.25">
      <c r="A316" s="2" t="s">
        <v>35</v>
      </c>
      <c r="B316" s="3" t="s">
        <v>5</v>
      </c>
      <c r="C316" s="3" t="s">
        <v>40</v>
      </c>
      <c r="D316" s="3">
        <v>7926282.5</v>
      </c>
    </row>
    <row r="317" spans="1:4" x14ac:dyDescent="0.25">
      <c r="A317" s="5" t="s">
        <v>35</v>
      </c>
      <c r="B317" s="6" t="s">
        <v>5</v>
      </c>
      <c r="C317" s="6" t="s">
        <v>41</v>
      </c>
      <c r="D317" s="6">
        <v>8373601</v>
      </c>
    </row>
    <row r="318" spans="1:4" x14ac:dyDescent="0.25">
      <c r="A318" s="2" t="s">
        <v>35</v>
      </c>
      <c r="B318" s="3" t="s">
        <v>5</v>
      </c>
      <c r="C318" s="3" t="s">
        <v>42</v>
      </c>
      <c r="D318" s="3">
        <v>10240033</v>
      </c>
    </row>
    <row r="319" spans="1:4" x14ac:dyDescent="0.25">
      <c r="A319" s="5" t="s">
        <v>35</v>
      </c>
      <c r="B319" s="6" t="s">
        <v>5</v>
      </c>
      <c r="C319" s="6" t="s">
        <v>43</v>
      </c>
      <c r="D319" s="6">
        <v>7230134</v>
      </c>
    </row>
    <row r="320" spans="1:4" x14ac:dyDescent="0.25">
      <c r="A320" s="2" t="s">
        <v>35</v>
      </c>
      <c r="B320" s="3" t="s">
        <v>5</v>
      </c>
      <c r="C320" s="3" t="s">
        <v>44</v>
      </c>
      <c r="D320" s="3">
        <v>7197173.5</v>
      </c>
    </row>
    <row r="321" spans="1:4" x14ac:dyDescent="0.25">
      <c r="A321" s="5" t="s">
        <v>35</v>
      </c>
      <c r="B321" s="6" t="s">
        <v>5</v>
      </c>
      <c r="C321" s="6" t="s">
        <v>45</v>
      </c>
      <c r="D321" s="6">
        <v>8167534</v>
      </c>
    </row>
    <row r="322" spans="1:4" x14ac:dyDescent="0.25">
      <c r="A322" s="2" t="s">
        <v>35</v>
      </c>
      <c r="B322" s="3" t="s">
        <v>5</v>
      </c>
      <c r="C322" s="3" t="s">
        <v>46</v>
      </c>
      <c r="D322" s="3">
        <v>7400422</v>
      </c>
    </row>
    <row r="323" spans="1:4" x14ac:dyDescent="0.25">
      <c r="A323" s="5" t="s">
        <v>35</v>
      </c>
      <c r="B323" s="6" t="s">
        <v>5</v>
      </c>
      <c r="C323" s="6" t="s">
        <v>47</v>
      </c>
      <c r="D323" s="6">
        <v>7347818</v>
      </c>
    </row>
    <row r="324" spans="1:4" x14ac:dyDescent="0.25">
      <c r="A324" s="2" t="s">
        <v>35</v>
      </c>
      <c r="B324" s="3" t="s">
        <v>5</v>
      </c>
      <c r="C324" s="3" t="s">
        <v>48</v>
      </c>
      <c r="D324" s="3">
        <v>7674637.5</v>
      </c>
    </row>
    <row r="325" spans="1:4" x14ac:dyDescent="0.25">
      <c r="A325" s="5" t="s">
        <v>35</v>
      </c>
      <c r="B325" s="6" t="s">
        <v>5</v>
      </c>
      <c r="C325" s="6" t="s">
        <v>49</v>
      </c>
      <c r="D325" s="6">
        <v>8633085</v>
      </c>
    </row>
    <row r="326" spans="1:4" x14ac:dyDescent="0.25">
      <c r="A326" s="2" t="s">
        <v>35</v>
      </c>
      <c r="B326" s="3" t="s">
        <v>5</v>
      </c>
      <c r="C326" s="3" t="s">
        <v>50</v>
      </c>
      <c r="D326" s="3">
        <v>9181756</v>
      </c>
    </row>
    <row r="327" spans="1:4" x14ac:dyDescent="0.25">
      <c r="A327" s="5" t="s">
        <v>35</v>
      </c>
      <c r="B327" s="6" t="s">
        <v>5</v>
      </c>
      <c r="C327" s="6" t="s">
        <v>51</v>
      </c>
      <c r="D327" s="6">
        <v>8016427</v>
      </c>
    </row>
    <row r="328" spans="1:4" x14ac:dyDescent="0.25">
      <c r="A328" s="2" t="s">
        <v>35</v>
      </c>
      <c r="B328" s="3" t="s">
        <v>5</v>
      </c>
      <c r="C328" s="3" t="s">
        <v>52</v>
      </c>
      <c r="D328" s="3">
        <v>7914785</v>
      </c>
    </row>
    <row r="329" spans="1:4" x14ac:dyDescent="0.25">
      <c r="A329" s="5" t="s">
        <v>35</v>
      </c>
      <c r="B329" s="6" t="s">
        <v>5</v>
      </c>
      <c r="C329" s="6" t="s">
        <v>53</v>
      </c>
      <c r="D329" s="6">
        <v>8438850</v>
      </c>
    </row>
    <row r="330" spans="1:4" x14ac:dyDescent="0.25">
      <c r="A330" s="2" t="s">
        <v>35</v>
      </c>
      <c r="B330" s="3" t="s">
        <v>5</v>
      </c>
      <c r="C330" s="3" t="s">
        <v>54</v>
      </c>
      <c r="D330" s="3">
        <v>9404651</v>
      </c>
    </row>
    <row r="331" spans="1:4" x14ac:dyDescent="0.25">
      <c r="A331" s="5" t="s">
        <v>35</v>
      </c>
      <c r="B331" s="6" t="s">
        <v>5</v>
      </c>
      <c r="C331" s="6" t="s">
        <v>55</v>
      </c>
      <c r="D331" s="6">
        <v>1692726.5</v>
      </c>
    </row>
    <row r="332" spans="1:4" x14ac:dyDescent="0.25">
      <c r="A332" s="5" t="s">
        <v>35</v>
      </c>
      <c r="B332" s="6" t="s">
        <v>5</v>
      </c>
      <c r="C332" s="6" t="s">
        <v>56</v>
      </c>
      <c r="D332" s="6">
        <v>1658431.375</v>
      </c>
    </row>
    <row r="333" spans="1:4" x14ac:dyDescent="0.25">
      <c r="A333" s="5" t="s">
        <v>35</v>
      </c>
      <c r="B333" s="6" t="s">
        <v>5</v>
      </c>
      <c r="C333" s="6" t="s">
        <v>57</v>
      </c>
      <c r="D333" s="6">
        <v>1646289.75</v>
      </c>
    </row>
    <row r="334" spans="1:4" x14ac:dyDescent="0.25">
      <c r="A334" s="5" t="s">
        <v>35</v>
      </c>
      <c r="B334" s="6" t="s">
        <v>5</v>
      </c>
      <c r="C334" s="6" t="s">
        <v>58</v>
      </c>
      <c r="D334" s="6">
        <v>1689486.125</v>
      </c>
    </row>
    <row r="335" spans="1:4" x14ac:dyDescent="0.25">
      <c r="A335" s="5" t="s">
        <v>35</v>
      </c>
      <c r="B335" s="6" t="s">
        <v>5</v>
      </c>
      <c r="C335" s="6" t="s">
        <v>59</v>
      </c>
      <c r="D335" s="6">
        <v>1678034.375</v>
      </c>
    </row>
    <row r="336" spans="1:4" x14ac:dyDescent="0.25">
      <c r="A336" s="5" t="s">
        <v>35</v>
      </c>
      <c r="B336" s="6" t="s">
        <v>5</v>
      </c>
      <c r="C336" s="6" t="s">
        <v>60</v>
      </c>
      <c r="D336" s="6">
        <v>1674611</v>
      </c>
    </row>
    <row r="337" spans="1:4" x14ac:dyDescent="0.25">
      <c r="A337" s="5" t="s">
        <v>35</v>
      </c>
      <c r="B337" s="6" t="s">
        <v>5</v>
      </c>
      <c r="C337" s="6" t="s">
        <v>61</v>
      </c>
      <c r="D337" s="6">
        <v>1684066.75</v>
      </c>
    </row>
    <row r="338" spans="1:4" x14ac:dyDescent="0.25">
      <c r="A338" s="5" t="s">
        <v>35</v>
      </c>
      <c r="B338" s="6" t="s">
        <v>5</v>
      </c>
      <c r="C338" s="6" t="s">
        <v>62</v>
      </c>
      <c r="D338" s="6">
        <v>1651020.25</v>
      </c>
    </row>
    <row r="339" spans="1:4" x14ac:dyDescent="0.25">
      <c r="A339" s="5" t="s">
        <v>35</v>
      </c>
      <c r="B339" s="6" t="s">
        <v>5</v>
      </c>
      <c r="C339" s="6" t="s">
        <v>63</v>
      </c>
      <c r="D339" s="6">
        <v>1641967</v>
      </c>
    </row>
    <row r="340" spans="1:4" x14ac:dyDescent="0.25">
      <c r="A340" s="5" t="s">
        <v>35</v>
      </c>
      <c r="B340" s="6" t="s">
        <v>5</v>
      </c>
      <c r="C340" s="6" t="s">
        <v>64</v>
      </c>
      <c r="D340" s="6">
        <v>1688452.125</v>
      </c>
    </row>
    <row r="341" spans="1:4" x14ac:dyDescent="0.25">
      <c r="A341" s="5" t="s">
        <v>35</v>
      </c>
      <c r="B341" s="6" t="s">
        <v>5</v>
      </c>
      <c r="C341" s="6" t="s">
        <v>65</v>
      </c>
      <c r="D341" s="6">
        <v>1681387.125</v>
      </c>
    </row>
    <row r="342" spans="1:4" x14ac:dyDescent="0.25">
      <c r="A342" s="5" t="s">
        <v>35</v>
      </c>
      <c r="B342" s="6" t="s">
        <v>5</v>
      </c>
      <c r="C342" s="6" t="s">
        <v>66</v>
      </c>
      <c r="D342" s="6">
        <v>1682235.25</v>
      </c>
    </row>
    <row r="343" spans="1:4" x14ac:dyDescent="0.25">
      <c r="A343" s="2" t="s">
        <v>25</v>
      </c>
      <c r="B343" s="3" t="s">
        <v>5</v>
      </c>
      <c r="C343" s="3" t="s">
        <v>36</v>
      </c>
      <c r="D343" s="3">
        <v>12672364</v>
      </c>
    </row>
    <row r="344" spans="1:4" x14ac:dyDescent="0.25">
      <c r="A344" s="5" t="s">
        <v>25</v>
      </c>
      <c r="B344" s="6" t="s">
        <v>5</v>
      </c>
      <c r="C344" s="6" t="s">
        <v>37</v>
      </c>
      <c r="D344" s="6">
        <v>13764686</v>
      </c>
    </row>
    <row r="345" spans="1:4" x14ac:dyDescent="0.25">
      <c r="A345" s="2" t="s">
        <v>25</v>
      </c>
      <c r="B345" s="3" t="s">
        <v>5</v>
      </c>
      <c r="C345" s="3" t="s">
        <v>38</v>
      </c>
      <c r="D345" s="3">
        <v>13759332</v>
      </c>
    </row>
    <row r="346" spans="1:4" x14ac:dyDescent="0.25">
      <c r="A346" s="5" t="s">
        <v>25</v>
      </c>
      <c r="B346" s="6" t="s">
        <v>5</v>
      </c>
      <c r="C346" s="6" t="s">
        <v>39</v>
      </c>
      <c r="D346" s="6">
        <v>13077523</v>
      </c>
    </row>
    <row r="347" spans="1:4" x14ac:dyDescent="0.25">
      <c r="A347" s="2" t="s">
        <v>25</v>
      </c>
      <c r="B347" s="3" t="s">
        <v>5</v>
      </c>
      <c r="C347" s="3" t="s">
        <v>40</v>
      </c>
      <c r="D347" s="3">
        <v>14819527</v>
      </c>
    </row>
    <row r="348" spans="1:4" x14ac:dyDescent="0.25">
      <c r="A348" s="5" t="s">
        <v>25</v>
      </c>
      <c r="B348" s="6" t="s">
        <v>5</v>
      </c>
      <c r="C348" s="6" t="s">
        <v>41</v>
      </c>
      <c r="D348" s="6">
        <v>15656617</v>
      </c>
    </row>
    <row r="349" spans="1:4" x14ac:dyDescent="0.25">
      <c r="A349" s="2" t="s">
        <v>25</v>
      </c>
      <c r="B349" s="3" t="s">
        <v>5</v>
      </c>
      <c r="C349" s="3" t="s">
        <v>42</v>
      </c>
      <c r="D349" s="3">
        <v>19122776</v>
      </c>
    </row>
    <row r="350" spans="1:4" x14ac:dyDescent="0.25">
      <c r="A350" s="5" t="s">
        <v>25</v>
      </c>
      <c r="B350" s="6" t="s">
        <v>5</v>
      </c>
      <c r="C350" s="6" t="s">
        <v>43</v>
      </c>
      <c r="D350" s="6">
        <v>13432709</v>
      </c>
    </row>
    <row r="351" spans="1:4" x14ac:dyDescent="0.25">
      <c r="A351" s="2" t="s">
        <v>25</v>
      </c>
      <c r="B351" s="3" t="s">
        <v>5</v>
      </c>
      <c r="C351" s="3" t="s">
        <v>44</v>
      </c>
      <c r="D351" s="3">
        <v>13366148</v>
      </c>
    </row>
    <row r="352" spans="1:4" x14ac:dyDescent="0.25">
      <c r="A352" s="5" t="s">
        <v>25</v>
      </c>
      <c r="B352" s="6" t="s">
        <v>5</v>
      </c>
      <c r="C352" s="6" t="s">
        <v>45</v>
      </c>
      <c r="D352" s="6">
        <v>15204668</v>
      </c>
    </row>
    <row r="353" spans="1:4" x14ac:dyDescent="0.25">
      <c r="A353" s="2" t="s">
        <v>25</v>
      </c>
      <c r="B353" s="3" t="s">
        <v>5</v>
      </c>
      <c r="C353" s="3" t="s">
        <v>46</v>
      </c>
      <c r="D353" s="3">
        <v>13752921</v>
      </c>
    </row>
    <row r="354" spans="1:4" x14ac:dyDescent="0.25">
      <c r="A354" s="5" t="s">
        <v>25</v>
      </c>
      <c r="B354" s="6" t="s">
        <v>5</v>
      </c>
      <c r="C354" s="6" t="s">
        <v>47</v>
      </c>
      <c r="D354" s="6">
        <v>13662973</v>
      </c>
    </row>
    <row r="355" spans="1:4" x14ac:dyDescent="0.25">
      <c r="A355" s="2" t="s">
        <v>25</v>
      </c>
      <c r="B355" s="3" t="s">
        <v>5</v>
      </c>
      <c r="C355" s="3" t="s">
        <v>48</v>
      </c>
      <c r="D355" s="3">
        <v>14312392</v>
      </c>
    </row>
    <row r="356" spans="1:4" x14ac:dyDescent="0.25">
      <c r="A356" s="5" t="s">
        <v>25</v>
      </c>
      <c r="B356" s="6" t="s">
        <v>5</v>
      </c>
      <c r="C356" s="6" t="s">
        <v>49</v>
      </c>
      <c r="D356" s="6">
        <v>16098742</v>
      </c>
    </row>
    <row r="357" spans="1:4" x14ac:dyDescent="0.25">
      <c r="A357" s="2" t="s">
        <v>25</v>
      </c>
      <c r="B357" s="3" t="s">
        <v>5</v>
      </c>
      <c r="C357" s="3" t="s">
        <v>50</v>
      </c>
      <c r="D357" s="3">
        <v>17131336</v>
      </c>
    </row>
    <row r="358" spans="1:4" x14ac:dyDescent="0.25">
      <c r="A358" s="5" t="s">
        <v>25</v>
      </c>
      <c r="B358" s="6" t="s">
        <v>5</v>
      </c>
      <c r="C358" s="6" t="s">
        <v>51</v>
      </c>
      <c r="D358" s="6">
        <v>14956414</v>
      </c>
    </row>
    <row r="359" spans="1:4" x14ac:dyDescent="0.25">
      <c r="A359" s="2" t="s">
        <v>25</v>
      </c>
      <c r="B359" s="3" t="s">
        <v>5</v>
      </c>
      <c r="C359" s="3" t="s">
        <v>52</v>
      </c>
      <c r="D359" s="3">
        <v>14718953</v>
      </c>
    </row>
    <row r="360" spans="1:4" x14ac:dyDescent="0.25">
      <c r="A360" s="5" t="s">
        <v>25</v>
      </c>
      <c r="B360" s="6" t="s">
        <v>5</v>
      </c>
      <c r="C360" s="6" t="s">
        <v>53</v>
      </c>
      <c r="D360" s="6">
        <v>15720964</v>
      </c>
    </row>
    <row r="361" spans="1:4" x14ac:dyDescent="0.25">
      <c r="A361" s="2" t="s">
        <v>25</v>
      </c>
      <c r="B361" s="3" t="s">
        <v>5</v>
      </c>
      <c r="C361" s="3" t="s">
        <v>54</v>
      </c>
      <c r="D361" s="3">
        <v>17536098</v>
      </c>
    </row>
    <row r="362" spans="1:4" x14ac:dyDescent="0.25">
      <c r="A362" s="5" t="s">
        <v>25</v>
      </c>
      <c r="B362" s="6" t="s">
        <v>5</v>
      </c>
      <c r="C362" s="6" t="s">
        <v>55</v>
      </c>
      <c r="D362" s="6">
        <v>6232082</v>
      </c>
    </row>
    <row r="363" spans="1:4" x14ac:dyDescent="0.25">
      <c r="A363" s="5" t="s">
        <v>25</v>
      </c>
      <c r="B363" s="6" t="s">
        <v>5</v>
      </c>
      <c r="C363" s="6" t="s">
        <v>56</v>
      </c>
      <c r="D363" s="6">
        <v>5915765</v>
      </c>
    </row>
    <row r="364" spans="1:4" x14ac:dyDescent="0.25">
      <c r="A364" s="5" t="s">
        <v>25</v>
      </c>
      <c r="B364" s="6" t="s">
        <v>5</v>
      </c>
      <c r="C364" s="6" t="s">
        <v>57</v>
      </c>
      <c r="D364" s="6">
        <v>5803604.5</v>
      </c>
    </row>
    <row r="365" spans="1:4" x14ac:dyDescent="0.25">
      <c r="A365" s="5" t="s">
        <v>25</v>
      </c>
      <c r="B365" s="6" t="s">
        <v>5</v>
      </c>
      <c r="C365" s="6" t="s">
        <v>58</v>
      </c>
      <c r="D365" s="6">
        <v>6201301.5</v>
      </c>
    </row>
    <row r="366" spans="1:4" x14ac:dyDescent="0.25">
      <c r="A366" s="5" t="s">
        <v>25</v>
      </c>
      <c r="B366" s="6" t="s">
        <v>5</v>
      </c>
      <c r="C366" s="6" t="s">
        <v>59</v>
      </c>
      <c r="D366" s="6">
        <v>6095023.5</v>
      </c>
    </row>
    <row r="367" spans="1:4" x14ac:dyDescent="0.25">
      <c r="A367" s="5" t="s">
        <v>25</v>
      </c>
      <c r="B367" s="6" t="s">
        <v>5</v>
      </c>
      <c r="C367" s="6" t="s">
        <v>60</v>
      </c>
      <c r="D367" s="6">
        <v>6063429</v>
      </c>
    </row>
    <row r="368" spans="1:4" x14ac:dyDescent="0.25">
      <c r="A368" s="5" t="s">
        <v>25</v>
      </c>
      <c r="B368" s="6" t="s">
        <v>5</v>
      </c>
      <c r="C368" s="6" t="s">
        <v>61</v>
      </c>
      <c r="D368" s="6">
        <v>6150957</v>
      </c>
    </row>
    <row r="369" spans="1:4" x14ac:dyDescent="0.25">
      <c r="A369" s="5" t="s">
        <v>25</v>
      </c>
      <c r="B369" s="6" t="s">
        <v>5</v>
      </c>
      <c r="C369" s="6" t="s">
        <v>62</v>
      </c>
      <c r="D369" s="6">
        <v>5846875</v>
      </c>
    </row>
    <row r="370" spans="1:4" x14ac:dyDescent="0.25">
      <c r="A370" s="5" t="s">
        <v>25</v>
      </c>
      <c r="B370" s="6" t="s">
        <v>5</v>
      </c>
      <c r="C370" s="6" t="s">
        <v>63</v>
      </c>
      <c r="D370" s="6">
        <v>5763270</v>
      </c>
    </row>
    <row r="371" spans="1:4" x14ac:dyDescent="0.25">
      <c r="A371" s="5" t="s">
        <v>25</v>
      </c>
      <c r="B371" s="6" t="s">
        <v>5</v>
      </c>
      <c r="C371" s="6" t="s">
        <v>64</v>
      </c>
      <c r="D371" s="6">
        <v>6191024</v>
      </c>
    </row>
    <row r="372" spans="1:4" x14ac:dyDescent="0.25">
      <c r="A372" s="5" t="s">
        <v>25</v>
      </c>
      <c r="B372" s="6" t="s">
        <v>5</v>
      </c>
      <c r="C372" s="6" t="s">
        <v>65</v>
      </c>
      <c r="D372" s="6">
        <v>6126862</v>
      </c>
    </row>
    <row r="373" spans="1:4" x14ac:dyDescent="0.25">
      <c r="A373" s="5" t="s">
        <v>25</v>
      </c>
      <c r="B373" s="6" t="s">
        <v>5</v>
      </c>
      <c r="C373" s="6" t="s">
        <v>66</v>
      </c>
      <c r="D373" s="6">
        <v>6130719</v>
      </c>
    </row>
    <row r="374" spans="1:4" x14ac:dyDescent="0.25">
      <c r="A374" s="5" t="s">
        <v>26</v>
      </c>
      <c r="B374" s="6" t="s">
        <v>5</v>
      </c>
      <c r="C374" s="6" t="s">
        <v>36</v>
      </c>
      <c r="D374" s="6">
        <v>7180870</v>
      </c>
    </row>
    <row r="375" spans="1:4" x14ac:dyDescent="0.25">
      <c r="A375" s="2" t="s">
        <v>26</v>
      </c>
      <c r="B375" s="3" t="s">
        <v>5</v>
      </c>
      <c r="C375" s="3" t="s">
        <v>37</v>
      </c>
      <c r="D375" s="3">
        <v>7799840.5</v>
      </c>
    </row>
    <row r="376" spans="1:4" x14ac:dyDescent="0.25">
      <c r="A376" s="5" t="s">
        <v>26</v>
      </c>
      <c r="B376" s="6" t="s">
        <v>5</v>
      </c>
      <c r="C376" s="6" t="s">
        <v>38</v>
      </c>
      <c r="D376" s="6">
        <v>7796806.5</v>
      </c>
    </row>
    <row r="377" spans="1:4" x14ac:dyDescent="0.25">
      <c r="A377" s="2" t="s">
        <v>26</v>
      </c>
      <c r="B377" s="3" t="s">
        <v>5</v>
      </c>
      <c r="C377" s="3" t="s">
        <v>39</v>
      </c>
      <c r="D377" s="3">
        <v>7410455.5</v>
      </c>
    </row>
    <row r="378" spans="1:4" x14ac:dyDescent="0.25">
      <c r="A378" s="5" t="s">
        <v>26</v>
      </c>
      <c r="B378" s="6" t="s">
        <v>5</v>
      </c>
      <c r="C378" s="6" t="s">
        <v>40</v>
      </c>
      <c r="D378" s="6">
        <v>8397572</v>
      </c>
    </row>
    <row r="379" spans="1:4" x14ac:dyDescent="0.25">
      <c r="A379" s="2" t="s">
        <v>26</v>
      </c>
      <c r="B379" s="3" t="s">
        <v>5</v>
      </c>
      <c r="C379" s="3" t="s">
        <v>41</v>
      </c>
      <c r="D379" s="3">
        <v>8871914</v>
      </c>
    </row>
    <row r="380" spans="1:4" x14ac:dyDescent="0.25">
      <c r="A380" s="5" t="s">
        <v>26</v>
      </c>
      <c r="B380" s="6" t="s">
        <v>5</v>
      </c>
      <c r="C380" s="6" t="s">
        <v>42</v>
      </c>
      <c r="D380" s="6">
        <v>10836033</v>
      </c>
    </row>
    <row r="381" spans="1:4" x14ac:dyDescent="0.25">
      <c r="A381" s="2" t="s">
        <v>26</v>
      </c>
      <c r="B381" s="3" t="s">
        <v>5</v>
      </c>
      <c r="C381" s="3" t="s">
        <v>43</v>
      </c>
      <c r="D381" s="3">
        <v>7557396.5</v>
      </c>
    </row>
    <row r="382" spans="1:4" x14ac:dyDescent="0.25">
      <c r="A382" s="5" t="s">
        <v>26</v>
      </c>
      <c r="B382" s="6" t="s">
        <v>5</v>
      </c>
      <c r="C382" s="6" t="s">
        <v>44</v>
      </c>
      <c r="D382" s="6">
        <v>7519949</v>
      </c>
    </row>
    <row r="383" spans="1:4" x14ac:dyDescent="0.25">
      <c r="A383" s="2" t="s">
        <v>26</v>
      </c>
      <c r="B383" s="3" t="s">
        <v>5</v>
      </c>
      <c r="C383" s="3" t="s">
        <v>45</v>
      </c>
      <c r="D383" s="3">
        <v>8554321</v>
      </c>
    </row>
    <row r="384" spans="1:4" x14ac:dyDescent="0.25">
      <c r="A384" s="5" t="s">
        <v>26</v>
      </c>
      <c r="B384" s="6" t="s">
        <v>5</v>
      </c>
      <c r="C384" s="6" t="s">
        <v>46</v>
      </c>
      <c r="D384" s="6">
        <v>7737551.5</v>
      </c>
    </row>
    <row r="385" spans="1:4" x14ac:dyDescent="0.25">
      <c r="A385" s="2" t="s">
        <v>26</v>
      </c>
      <c r="B385" s="3" t="s">
        <v>5</v>
      </c>
      <c r="C385" s="3" t="s">
        <v>47</v>
      </c>
      <c r="D385" s="3">
        <v>7686946.5</v>
      </c>
    </row>
    <row r="386" spans="1:4" x14ac:dyDescent="0.25">
      <c r="A386" s="5" t="s">
        <v>26</v>
      </c>
      <c r="B386" s="6" t="s">
        <v>5</v>
      </c>
      <c r="C386" s="6" t="s">
        <v>48</v>
      </c>
      <c r="D386" s="6">
        <v>8052316.5</v>
      </c>
    </row>
    <row r="387" spans="1:4" x14ac:dyDescent="0.25">
      <c r="A387" s="2" t="s">
        <v>26</v>
      </c>
      <c r="B387" s="3" t="s">
        <v>5</v>
      </c>
      <c r="C387" s="3" t="s">
        <v>49</v>
      </c>
      <c r="D387" s="3">
        <v>9057338</v>
      </c>
    </row>
    <row r="388" spans="1:4" x14ac:dyDescent="0.25">
      <c r="A388" s="5" t="s">
        <v>26</v>
      </c>
      <c r="B388" s="6" t="s">
        <v>5</v>
      </c>
      <c r="C388" s="6" t="s">
        <v>50</v>
      </c>
      <c r="D388" s="6">
        <v>9638287</v>
      </c>
    </row>
    <row r="389" spans="1:4" x14ac:dyDescent="0.25">
      <c r="A389" s="2" t="s">
        <v>26</v>
      </c>
      <c r="B389" s="3" t="s">
        <v>5</v>
      </c>
      <c r="C389" s="3" t="s">
        <v>51</v>
      </c>
      <c r="D389" s="3">
        <v>8414651</v>
      </c>
    </row>
    <row r="390" spans="1:4" x14ac:dyDescent="0.25">
      <c r="A390" s="5" t="s">
        <v>26</v>
      </c>
      <c r="B390" s="6" t="s">
        <v>5</v>
      </c>
      <c r="C390" s="6" t="s">
        <v>52</v>
      </c>
      <c r="D390" s="6">
        <v>8281052.5</v>
      </c>
    </row>
    <row r="391" spans="1:4" x14ac:dyDescent="0.25">
      <c r="A391" s="2" t="s">
        <v>26</v>
      </c>
      <c r="B391" s="3" t="s">
        <v>5</v>
      </c>
      <c r="C391" s="3" t="s">
        <v>53</v>
      </c>
      <c r="D391" s="3">
        <v>8844796</v>
      </c>
    </row>
    <row r="392" spans="1:4" x14ac:dyDescent="0.25">
      <c r="A392" s="5" t="s">
        <v>26</v>
      </c>
      <c r="B392" s="6" t="s">
        <v>5</v>
      </c>
      <c r="C392" s="6" t="s">
        <v>54</v>
      </c>
      <c r="D392" s="6">
        <v>9866011</v>
      </c>
    </row>
    <row r="393" spans="1:4" x14ac:dyDescent="0.25">
      <c r="A393" s="2" t="s">
        <v>26</v>
      </c>
      <c r="B393" s="3" t="s">
        <v>5</v>
      </c>
      <c r="C393" s="3" t="s">
        <v>55</v>
      </c>
      <c r="D393" s="3">
        <v>936763.125</v>
      </c>
    </row>
    <row r="394" spans="1:4" x14ac:dyDescent="0.25">
      <c r="A394" s="2" t="s">
        <v>26</v>
      </c>
      <c r="B394" s="3" t="s">
        <v>5</v>
      </c>
      <c r="C394" s="3" t="s">
        <v>56</v>
      </c>
      <c r="D394" s="3">
        <v>902526.625</v>
      </c>
    </row>
    <row r="395" spans="1:4" x14ac:dyDescent="0.25">
      <c r="A395" s="2" t="s">
        <v>26</v>
      </c>
      <c r="B395" s="3" t="s">
        <v>5</v>
      </c>
      <c r="C395" s="3" t="s">
        <v>57</v>
      </c>
      <c r="D395" s="3">
        <v>891209.875</v>
      </c>
    </row>
    <row r="396" spans="1:4" x14ac:dyDescent="0.25">
      <c r="A396" s="2" t="s">
        <v>26</v>
      </c>
      <c r="B396" s="3" t="s">
        <v>5</v>
      </c>
      <c r="C396" s="3" t="s">
        <v>58</v>
      </c>
      <c r="D396" s="3">
        <v>935797.875</v>
      </c>
    </row>
    <row r="397" spans="1:4" x14ac:dyDescent="0.25">
      <c r="A397" s="2" t="s">
        <v>26</v>
      </c>
      <c r="B397" s="3" t="s">
        <v>5</v>
      </c>
      <c r="C397" s="3" t="s">
        <v>59</v>
      </c>
      <c r="D397" s="3">
        <v>925586.125</v>
      </c>
    </row>
    <row r="398" spans="1:4" x14ac:dyDescent="0.25">
      <c r="A398" s="2" t="s">
        <v>26</v>
      </c>
      <c r="B398" s="3" t="s">
        <v>5</v>
      </c>
      <c r="C398" s="3" t="s">
        <v>60</v>
      </c>
      <c r="D398" s="3">
        <v>923269.75</v>
      </c>
    </row>
    <row r="399" spans="1:4" x14ac:dyDescent="0.25">
      <c r="A399" s="2" t="s">
        <v>26</v>
      </c>
      <c r="B399" s="3" t="s">
        <v>5</v>
      </c>
      <c r="C399" s="3" t="s">
        <v>61</v>
      </c>
      <c r="D399" s="3">
        <v>933279.375</v>
      </c>
    </row>
    <row r="400" spans="1:4" x14ac:dyDescent="0.25">
      <c r="A400" s="2" t="s">
        <v>26</v>
      </c>
      <c r="B400" s="3" t="s">
        <v>5</v>
      </c>
      <c r="C400" s="3" t="s">
        <v>62</v>
      </c>
      <c r="D400" s="3">
        <v>899561.625</v>
      </c>
    </row>
    <row r="401" spans="1:4" x14ac:dyDescent="0.25">
      <c r="A401" s="2" t="s">
        <v>26</v>
      </c>
      <c r="B401" s="3" t="s">
        <v>5</v>
      </c>
      <c r="C401" s="3" t="s">
        <v>63</v>
      </c>
      <c r="D401" s="3">
        <v>889474.3125</v>
      </c>
    </row>
    <row r="402" spans="1:4" x14ac:dyDescent="0.25">
      <c r="A402" s="2" t="s">
        <v>26</v>
      </c>
      <c r="B402" s="3" t="s">
        <v>5</v>
      </c>
      <c r="C402" s="3" t="s">
        <v>64</v>
      </c>
      <c r="D402" s="3">
        <v>935386.9375</v>
      </c>
    </row>
    <row r="403" spans="1:4" x14ac:dyDescent="0.25">
      <c r="A403" s="2" t="s">
        <v>26</v>
      </c>
      <c r="B403" s="3" t="s">
        <v>5</v>
      </c>
      <c r="C403" s="3" t="s">
        <v>65</v>
      </c>
      <c r="D403" s="3">
        <v>926930.75</v>
      </c>
    </row>
    <row r="404" spans="1:4" x14ac:dyDescent="0.25">
      <c r="A404" s="2" t="s">
        <v>26</v>
      </c>
      <c r="B404" s="3" t="s">
        <v>5</v>
      </c>
      <c r="C404" s="3" t="s">
        <v>66</v>
      </c>
      <c r="D404" s="3">
        <v>926297.6875</v>
      </c>
    </row>
    <row r="405" spans="1:4" x14ac:dyDescent="0.25">
      <c r="A405" s="2" t="s">
        <v>9</v>
      </c>
      <c r="B405" s="3" t="s">
        <v>5</v>
      </c>
      <c r="C405" s="3" t="s">
        <v>36</v>
      </c>
      <c r="D405" s="3">
        <v>5285192.5</v>
      </c>
    </row>
    <row r="406" spans="1:4" x14ac:dyDescent="0.25">
      <c r="A406" s="5" t="s">
        <v>9</v>
      </c>
      <c r="B406" s="6" t="s">
        <v>5</v>
      </c>
      <c r="C406" s="6" t="s">
        <v>37</v>
      </c>
      <c r="D406" s="6">
        <v>5740761</v>
      </c>
    </row>
    <row r="407" spans="1:4" x14ac:dyDescent="0.25">
      <c r="A407" s="2" t="s">
        <v>9</v>
      </c>
      <c r="B407" s="3" t="s">
        <v>5</v>
      </c>
      <c r="C407" s="3" t="s">
        <v>38</v>
      </c>
      <c r="D407" s="3">
        <v>5738528</v>
      </c>
    </row>
    <row r="408" spans="1:4" x14ac:dyDescent="0.25">
      <c r="A408" s="5" t="s">
        <v>9</v>
      </c>
      <c r="B408" s="6" t="s">
        <v>5</v>
      </c>
      <c r="C408" s="6" t="s">
        <v>39</v>
      </c>
      <c r="D408" s="6">
        <v>5454169.5</v>
      </c>
    </row>
    <row r="409" spans="1:4" x14ac:dyDescent="0.25">
      <c r="A409" s="2" t="s">
        <v>9</v>
      </c>
      <c r="B409" s="3" t="s">
        <v>5</v>
      </c>
      <c r="C409" s="3" t="s">
        <v>40</v>
      </c>
      <c r="D409" s="3">
        <v>6180697.5</v>
      </c>
    </row>
    <row r="410" spans="1:4" x14ac:dyDescent="0.25">
      <c r="A410" s="5" t="s">
        <v>9</v>
      </c>
      <c r="B410" s="6" t="s">
        <v>5</v>
      </c>
      <c r="C410" s="6" t="s">
        <v>41</v>
      </c>
      <c r="D410" s="6">
        <v>6529818</v>
      </c>
    </row>
    <row r="411" spans="1:4" x14ac:dyDescent="0.25">
      <c r="A411" s="2" t="s">
        <v>9</v>
      </c>
      <c r="B411" s="3" t="s">
        <v>5</v>
      </c>
      <c r="C411" s="3" t="s">
        <v>42</v>
      </c>
      <c r="D411" s="3">
        <v>7975429.5</v>
      </c>
    </row>
    <row r="412" spans="1:4" x14ac:dyDescent="0.25">
      <c r="A412" s="5" t="s">
        <v>9</v>
      </c>
      <c r="B412" s="6" t="s">
        <v>5</v>
      </c>
      <c r="C412" s="6" t="s">
        <v>43</v>
      </c>
      <c r="D412" s="6">
        <v>5616081</v>
      </c>
    </row>
    <row r="413" spans="1:4" x14ac:dyDescent="0.25">
      <c r="A413" s="2" t="s">
        <v>9</v>
      </c>
      <c r="B413" s="3" t="s">
        <v>5</v>
      </c>
      <c r="C413" s="3" t="s">
        <v>44</v>
      </c>
      <c r="D413" s="3">
        <v>5588252.5</v>
      </c>
    </row>
    <row r="414" spans="1:4" x14ac:dyDescent="0.25">
      <c r="A414" s="5" t="s">
        <v>9</v>
      </c>
      <c r="B414" s="6" t="s">
        <v>5</v>
      </c>
      <c r="C414" s="6" t="s">
        <v>45</v>
      </c>
      <c r="D414" s="6">
        <v>6356919</v>
      </c>
    </row>
    <row r="415" spans="1:4" x14ac:dyDescent="0.25">
      <c r="A415" s="2" t="s">
        <v>9</v>
      </c>
      <c r="B415" s="3" t="s">
        <v>5</v>
      </c>
      <c r="C415" s="3" t="s">
        <v>46</v>
      </c>
      <c r="D415" s="3">
        <v>5749958</v>
      </c>
    </row>
    <row r="416" spans="1:4" x14ac:dyDescent="0.25">
      <c r="A416" s="5" t="s">
        <v>9</v>
      </c>
      <c r="B416" s="6" t="s">
        <v>5</v>
      </c>
      <c r="C416" s="6" t="s">
        <v>47</v>
      </c>
      <c r="D416" s="6">
        <v>5712352</v>
      </c>
    </row>
    <row r="417" spans="1:4" x14ac:dyDescent="0.25">
      <c r="A417" s="2" t="s">
        <v>9</v>
      </c>
      <c r="B417" s="3" t="s">
        <v>5</v>
      </c>
      <c r="C417" s="3" t="s">
        <v>48</v>
      </c>
      <c r="D417" s="3">
        <v>5983867.5</v>
      </c>
    </row>
    <row r="418" spans="1:4" x14ac:dyDescent="0.25">
      <c r="A418" s="5" t="s">
        <v>9</v>
      </c>
      <c r="B418" s="6" t="s">
        <v>5</v>
      </c>
      <c r="C418" s="6" t="s">
        <v>49</v>
      </c>
      <c r="D418" s="6">
        <v>6730723</v>
      </c>
    </row>
    <row r="419" spans="1:4" x14ac:dyDescent="0.25">
      <c r="A419" s="2" t="s">
        <v>9</v>
      </c>
      <c r="B419" s="3" t="s">
        <v>5</v>
      </c>
      <c r="C419" s="3" t="s">
        <v>50</v>
      </c>
      <c r="D419" s="3">
        <v>7162439.5</v>
      </c>
    </row>
    <row r="420" spans="1:4" x14ac:dyDescent="0.25">
      <c r="A420" s="5" t="s">
        <v>9</v>
      </c>
      <c r="B420" s="6" t="s">
        <v>5</v>
      </c>
      <c r="C420" s="6" t="s">
        <v>51</v>
      </c>
      <c r="D420" s="6">
        <v>6253126.5</v>
      </c>
    </row>
    <row r="421" spans="1:4" x14ac:dyDescent="0.25">
      <c r="A421" s="2" t="s">
        <v>9</v>
      </c>
      <c r="B421" s="3" t="s">
        <v>5</v>
      </c>
      <c r="C421" s="3" t="s">
        <v>52</v>
      </c>
      <c r="D421" s="3">
        <v>6153846.5</v>
      </c>
    </row>
    <row r="422" spans="1:4" x14ac:dyDescent="0.25">
      <c r="A422" s="5" t="s">
        <v>9</v>
      </c>
      <c r="B422" s="6" t="s">
        <v>5</v>
      </c>
      <c r="C422" s="6" t="s">
        <v>53</v>
      </c>
      <c r="D422" s="6">
        <v>6572777.5</v>
      </c>
    </row>
    <row r="423" spans="1:4" x14ac:dyDescent="0.25">
      <c r="A423" s="2" t="s">
        <v>9</v>
      </c>
      <c r="B423" s="3" t="s">
        <v>5</v>
      </c>
      <c r="C423" s="3" t="s">
        <v>54</v>
      </c>
      <c r="D423" s="3">
        <v>7331667</v>
      </c>
    </row>
    <row r="424" spans="1:4" x14ac:dyDescent="0.25">
      <c r="A424" s="5" t="s">
        <v>9</v>
      </c>
      <c r="B424" s="6" t="s">
        <v>5</v>
      </c>
      <c r="C424" s="6" t="s">
        <v>55</v>
      </c>
      <c r="D424" s="6">
        <v>804334.1875</v>
      </c>
    </row>
    <row r="425" spans="1:4" x14ac:dyDescent="0.25">
      <c r="A425" s="5" t="s">
        <v>9</v>
      </c>
      <c r="B425" s="6" t="s">
        <v>5</v>
      </c>
      <c r="C425" s="6" t="s">
        <v>56</v>
      </c>
      <c r="D425" s="6">
        <v>784332.0625</v>
      </c>
    </row>
    <row r="426" spans="1:4" x14ac:dyDescent="0.25">
      <c r="A426" s="5" t="s">
        <v>9</v>
      </c>
      <c r="B426" s="6" t="s">
        <v>5</v>
      </c>
      <c r="C426" s="6" t="s">
        <v>57</v>
      </c>
      <c r="D426" s="6">
        <v>777855.75</v>
      </c>
    </row>
    <row r="427" spans="1:4" x14ac:dyDescent="0.25">
      <c r="A427" s="5" t="s">
        <v>9</v>
      </c>
      <c r="B427" s="6" t="s">
        <v>5</v>
      </c>
      <c r="C427" s="6" t="s">
        <v>58</v>
      </c>
      <c r="D427" s="6">
        <v>804155.1875</v>
      </c>
    </row>
    <row r="428" spans="1:4" x14ac:dyDescent="0.25">
      <c r="A428" s="5" t="s">
        <v>9</v>
      </c>
      <c r="B428" s="6" t="s">
        <v>5</v>
      </c>
      <c r="C428" s="6" t="s">
        <v>59</v>
      </c>
      <c r="D428" s="6">
        <v>798410.125</v>
      </c>
    </row>
    <row r="429" spans="1:4" x14ac:dyDescent="0.25">
      <c r="A429" s="5" t="s">
        <v>9</v>
      </c>
      <c r="B429" s="6" t="s">
        <v>5</v>
      </c>
      <c r="C429" s="6" t="s">
        <v>60</v>
      </c>
      <c r="D429" s="6">
        <v>797235.25</v>
      </c>
    </row>
    <row r="430" spans="1:4" x14ac:dyDescent="0.25">
      <c r="A430" s="5" t="s">
        <v>9</v>
      </c>
      <c r="B430" s="6" t="s">
        <v>5</v>
      </c>
      <c r="C430" s="6" t="s">
        <v>61</v>
      </c>
      <c r="D430" s="6">
        <v>803172.875</v>
      </c>
    </row>
    <row r="431" spans="1:4" x14ac:dyDescent="0.25">
      <c r="A431" s="5" t="s">
        <v>9</v>
      </c>
      <c r="B431" s="6" t="s">
        <v>5</v>
      </c>
      <c r="C431" s="6" t="s">
        <v>62</v>
      </c>
      <c r="D431" s="6">
        <v>783340.875</v>
      </c>
    </row>
    <row r="432" spans="1:4" x14ac:dyDescent="0.25">
      <c r="A432" s="5" t="s">
        <v>9</v>
      </c>
      <c r="B432" s="6" t="s">
        <v>5</v>
      </c>
      <c r="C432" s="6" t="s">
        <v>63</v>
      </c>
      <c r="D432" s="6">
        <v>777283.8125</v>
      </c>
    </row>
    <row r="433" spans="1:4" x14ac:dyDescent="0.25">
      <c r="A433" s="5" t="s">
        <v>9</v>
      </c>
      <c r="B433" s="6" t="s">
        <v>5</v>
      </c>
      <c r="C433" s="6" t="s">
        <v>64</v>
      </c>
      <c r="D433" s="6">
        <v>804041.75</v>
      </c>
    </row>
    <row r="434" spans="1:4" x14ac:dyDescent="0.25">
      <c r="A434" s="5" t="s">
        <v>9</v>
      </c>
      <c r="B434" s="6" t="s">
        <v>5</v>
      </c>
      <c r="C434" s="6" t="s">
        <v>65</v>
      </c>
      <c r="D434" s="6">
        <v>798846.625</v>
      </c>
    </row>
    <row r="435" spans="1:4" x14ac:dyDescent="0.25">
      <c r="A435" s="5" t="s">
        <v>9</v>
      </c>
      <c r="B435" s="6" t="s">
        <v>5</v>
      </c>
      <c r="C435" s="6" t="s">
        <v>66</v>
      </c>
      <c r="D435" s="6">
        <v>798399.875</v>
      </c>
    </row>
    <row r="436" spans="1:4" x14ac:dyDescent="0.25">
      <c r="A436" s="2" t="s">
        <v>19</v>
      </c>
      <c r="B436" s="3" t="s">
        <v>5</v>
      </c>
      <c r="C436" s="3" t="s">
        <v>36</v>
      </c>
      <c r="D436" s="3">
        <v>26416578</v>
      </c>
    </row>
    <row r="437" spans="1:4" x14ac:dyDescent="0.25">
      <c r="A437" s="5" t="s">
        <v>19</v>
      </c>
      <c r="B437" s="6" t="s">
        <v>5</v>
      </c>
      <c r="C437" s="6" t="s">
        <v>37</v>
      </c>
      <c r="D437" s="6">
        <v>28693612</v>
      </c>
    </row>
    <row r="438" spans="1:4" x14ac:dyDescent="0.25">
      <c r="A438" s="2" t="s">
        <v>19</v>
      </c>
      <c r="B438" s="3" t="s">
        <v>5</v>
      </c>
      <c r="C438" s="3" t="s">
        <v>38</v>
      </c>
      <c r="D438" s="3">
        <v>28682450</v>
      </c>
    </row>
    <row r="439" spans="1:4" x14ac:dyDescent="0.25">
      <c r="A439" s="5" t="s">
        <v>19</v>
      </c>
      <c r="B439" s="6" t="s">
        <v>5</v>
      </c>
      <c r="C439" s="6" t="s">
        <v>39</v>
      </c>
      <c r="D439" s="6">
        <v>27261164</v>
      </c>
    </row>
    <row r="440" spans="1:4" x14ac:dyDescent="0.25">
      <c r="A440" s="2" t="s">
        <v>19</v>
      </c>
      <c r="B440" s="3" t="s">
        <v>5</v>
      </c>
      <c r="C440" s="3" t="s">
        <v>40</v>
      </c>
      <c r="D440" s="3">
        <v>30892514</v>
      </c>
    </row>
    <row r="441" spans="1:4" x14ac:dyDescent="0.25">
      <c r="A441" s="5" t="s">
        <v>19</v>
      </c>
      <c r="B441" s="6" t="s">
        <v>5</v>
      </c>
      <c r="C441" s="6" t="s">
        <v>41</v>
      </c>
      <c r="D441" s="6">
        <v>32637496</v>
      </c>
    </row>
    <row r="442" spans="1:4" x14ac:dyDescent="0.25">
      <c r="A442" s="2" t="s">
        <v>19</v>
      </c>
      <c r="B442" s="3" t="s">
        <v>5</v>
      </c>
      <c r="C442" s="3" t="s">
        <v>42</v>
      </c>
      <c r="D442" s="3">
        <v>39862988</v>
      </c>
    </row>
    <row r="443" spans="1:4" x14ac:dyDescent="0.25">
      <c r="A443" s="5" t="s">
        <v>19</v>
      </c>
      <c r="B443" s="6" t="s">
        <v>5</v>
      </c>
      <c r="C443" s="6" t="s">
        <v>43</v>
      </c>
      <c r="D443" s="6">
        <v>27958330</v>
      </c>
    </row>
    <row r="444" spans="1:4" x14ac:dyDescent="0.25">
      <c r="A444" s="2" t="s">
        <v>19</v>
      </c>
      <c r="B444" s="3" t="s">
        <v>5</v>
      </c>
      <c r="C444" s="3" t="s">
        <v>44</v>
      </c>
      <c r="D444" s="3">
        <v>27819792</v>
      </c>
    </row>
    <row r="445" spans="1:4" x14ac:dyDescent="0.25">
      <c r="A445" s="5" t="s">
        <v>19</v>
      </c>
      <c r="B445" s="6" t="s">
        <v>5</v>
      </c>
      <c r="C445" s="6" t="s">
        <v>45</v>
      </c>
      <c r="D445" s="6">
        <v>31646418</v>
      </c>
    </row>
    <row r="446" spans="1:4" x14ac:dyDescent="0.25">
      <c r="A446" s="2" t="s">
        <v>19</v>
      </c>
      <c r="B446" s="3" t="s">
        <v>5</v>
      </c>
      <c r="C446" s="3" t="s">
        <v>46</v>
      </c>
      <c r="D446" s="3">
        <v>28624806</v>
      </c>
    </row>
    <row r="447" spans="1:4" x14ac:dyDescent="0.25">
      <c r="A447" s="5" t="s">
        <v>19</v>
      </c>
      <c r="B447" s="6" t="s">
        <v>5</v>
      </c>
      <c r="C447" s="6" t="s">
        <v>47</v>
      </c>
      <c r="D447" s="6">
        <v>28437594</v>
      </c>
    </row>
    <row r="448" spans="1:4" x14ac:dyDescent="0.25">
      <c r="A448" s="2" t="s">
        <v>19</v>
      </c>
      <c r="B448" s="3" t="s">
        <v>5</v>
      </c>
      <c r="C448" s="3" t="s">
        <v>48</v>
      </c>
      <c r="D448" s="3">
        <v>29789268</v>
      </c>
    </row>
    <row r="449" spans="1:4" x14ac:dyDescent="0.25">
      <c r="A449" s="5" t="s">
        <v>19</v>
      </c>
      <c r="B449" s="6" t="s">
        <v>5</v>
      </c>
      <c r="C449" s="6" t="s">
        <v>49</v>
      </c>
      <c r="D449" s="6">
        <v>33507310</v>
      </c>
    </row>
    <row r="450" spans="1:4" x14ac:dyDescent="0.25">
      <c r="A450" s="2" t="s">
        <v>19</v>
      </c>
      <c r="B450" s="3" t="s">
        <v>5</v>
      </c>
      <c r="C450" s="3" t="s">
        <v>50</v>
      </c>
      <c r="D450" s="3">
        <v>35656512</v>
      </c>
    </row>
    <row r="451" spans="1:4" x14ac:dyDescent="0.25">
      <c r="A451" s="5" t="s">
        <v>19</v>
      </c>
      <c r="B451" s="6" t="s">
        <v>5</v>
      </c>
      <c r="C451" s="6" t="s">
        <v>51</v>
      </c>
      <c r="D451" s="6">
        <v>31129710</v>
      </c>
    </row>
    <row r="452" spans="1:4" x14ac:dyDescent="0.25">
      <c r="A452" s="2" t="s">
        <v>19</v>
      </c>
      <c r="B452" s="3" t="s">
        <v>5</v>
      </c>
      <c r="C452" s="3" t="s">
        <v>52</v>
      </c>
      <c r="D452" s="3">
        <v>30635470</v>
      </c>
    </row>
    <row r="453" spans="1:4" x14ac:dyDescent="0.25">
      <c r="A453" s="5" t="s">
        <v>19</v>
      </c>
      <c r="B453" s="6" t="s">
        <v>5</v>
      </c>
      <c r="C453" s="6" t="s">
        <v>53</v>
      </c>
      <c r="D453" s="6">
        <v>32721018</v>
      </c>
    </row>
    <row r="454" spans="1:4" x14ac:dyDescent="0.25">
      <c r="A454" s="2" t="s">
        <v>19</v>
      </c>
      <c r="B454" s="3" t="s">
        <v>5</v>
      </c>
      <c r="C454" s="3" t="s">
        <v>54</v>
      </c>
      <c r="D454" s="3">
        <v>36498968</v>
      </c>
    </row>
    <row r="455" spans="1:4" x14ac:dyDescent="0.25">
      <c r="A455" s="5" t="s">
        <v>19</v>
      </c>
      <c r="B455" s="6" t="s">
        <v>5</v>
      </c>
      <c r="C455" s="6" t="s">
        <v>55</v>
      </c>
      <c r="D455" s="6">
        <v>3951961.25</v>
      </c>
    </row>
    <row r="456" spans="1:4" x14ac:dyDescent="0.25">
      <c r="A456" s="5" t="s">
        <v>19</v>
      </c>
      <c r="B456" s="6" t="s">
        <v>5</v>
      </c>
      <c r="C456" s="6" t="s">
        <v>56</v>
      </c>
      <c r="D456" s="6">
        <v>3826040</v>
      </c>
    </row>
    <row r="457" spans="1:4" x14ac:dyDescent="0.25">
      <c r="A457" s="5" t="s">
        <v>19</v>
      </c>
      <c r="B457" s="6" t="s">
        <v>5</v>
      </c>
      <c r="C457" s="6" t="s">
        <v>57</v>
      </c>
      <c r="D457" s="6">
        <v>3784045</v>
      </c>
    </row>
    <row r="458" spans="1:4" x14ac:dyDescent="0.25">
      <c r="A458" s="5" t="s">
        <v>19</v>
      </c>
      <c r="B458" s="6" t="s">
        <v>5</v>
      </c>
      <c r="C458" s="6" t="s">
        <v>58</v>
      </c>
      <c r="D458" s="6">
        <v>3947311.5</v>
      </c>
    </row>
    <row r="459" spans="1:4" x14ac:dyDescent="0.25">
      <c r="A459" s="5" t="s">
        <v>19</v>
      </c>
      <c r="B459" s="6" t="s">
        <v>5</v>
      </c>
      <c r="C459" s="6" t="s">
        <v>59</v>
      </c>
      <c r="D459" s="6">
        <v>3909233.5</v>
      </c>
    </row>
    <row r="460" spans="1:4" x14ac:dyDescent="0.25">
      <c r="A460" s="5" t="s">
        <v>19</v>
      </c>
      <c r="B460" s="6" t="s">
        <v>5</v>
      </c>
      <c r="C460" s="6" t="s">
        <v>60</v>
      </c>
      <c r="D460" s="6">
        <v>3900193</v>
      </c>
    </row>
    <row r="461" spans="1:4" x14ac:dyDescent="0.25">
      <c r="A461" s="5" t="s">
        <v>19</v>
      </c>
      <c r="B461" s="6" t="s">
        <v>5</v>
      </c>
      <c r="C461" s="6" t="s">
        <v>61</v>
      </c>
      <c r="D461" s="6">
        <v>3936776.75</v>
      </c>
    </row>
    <row r="462" spans="1:4" x14ac:dyDescent="0.25">
      <c r="A462" s="5" t="s">
        <v>19</v>
      </c>
      <c r="B462" s="6" t="s">
        <v>5</v>
      </c>
      <c r="C462" s="6" t="s">
        <v>62</v>
      </c>
      <c r="D462" s="6">
        <v>3813124.5</v>
      </c>
    </row>
    <row r="463" spans="1:4" x14ac:dyDescent="0.25">
      <c r="A463" s="5" t="s">
        <v>19</v>
      </c>
      <c r="B463" s="6" t="s">
        <v>5</v>
      </c>
      <c r="C463" s="6" t="s">
        <v>63</v>
      </c>
      <c r="D463" s="6">
        <v>3776545.25</v>
      </c>
    </row>
    <row r="464" spans="1:4" x14ac:dyDescent="0.25">
      <c r="A464" s="5" t="s">
        <v>19</v>
      </c>
      <c r="B464" s="6" t="s">
        <v>5</v>
      </c>
      <c r="C464" s="6" t="s">
        <v>64</v>
      </c>
      <c r="D464" s="6">
        <v>3945567.5</v>
      </c>
    </row>
    <row r="465" spans="1:4" x14ac:dyDescent="0.25">
      <c r="A465" s="5" t="s">
        <v>19</v>
      </c>
      <c r="B465" s="6" t="s">
        <v>5</v>
      </c>
      <c r="C465" s="6" t="s">
        <v>65</v>
      </c>
      <c r="D465" s="6">
        <v>3915102</v>
      </c>
    </row>
    <row r="466" spans="1:4" x14ac:dyDescent="0.25">
      <c r="A466" s="5" t="s">
        <v>19</v>
      </c>
      <c r="B466" s="6" t="s">
        <v>5</v>
      </c>
      <c r="C466" s="6" t="s">
        <v>66</v>
      </c>
      <c r="D466" s="6">
        <v>3913497.5</v>
      </c>
    </row>
    <row r="467" spans="1:4" x14ac:dyDescent="0.25">
      <c r="A467" s="5" t="s">
        <v>20</v>
      </c>
      <c r="B467" s="6" t="s">
        <v>5</v>
      </c>
      <c r="C467" s="6" t="s">
        <v>36</v>
      </c>
      <c r="D467" s="6">
        <v>7253981</v>
      </c>
    </row>
    <row r="468" spans="1:4" x14ac:dyDescent="0.25">
      <c r="A468" s="2" t="s">
        <v>20</v>
      </c>
      <c r="B468" s="3" t="s">
        <v>5</v>
      </c>
      <c r="C468" s="3" t="s">
        <v>37</v>
      </c>
      <c r="D468" s="3">
        <v>7879253.5</v>
      </c>
    </row>
    <row r="469" spans="1:4" x14ac:dyDescent="0.25">
      <c r="A469" s="5" t="s">
        <v>20</v>
      </c>
      <c r="B469" s="6" t="s">
        <v>5</v>
      </c>
      <c r="C469" s="6" t="s">
        <v>38</v>
      </c>
      <c r="D469" s="6">
        <v>7876188.5</v>
      </c>
    </row>
    <row r="470" spans="1:4" x14ac:dyDescent="0.25">
      <c r="A470" s="2" t="s">
        <v>20</v>
      </c>
      <c r="B470" s="3" t="s">
        <v>5</v>
      </c>
      <c r="C470" s="3" t="s">
        <v>39</v>
      </c>
      <c r="D470" s="3">
        <v>7485903.5</v>
      </c>
    </row>
    <row r="471" spans="1:4" x14ac:dyDescent="0.25">
      <c r="A471" s="5" t="s">
        <v>20</v>
      </c>
      <c r="B471" s="6" t="s">
        <v>5</v>
      </c>
      <c r="C471" s="6" t="s">
        <v>40</v>
      </c>
      <c r="D471" s="6">
        <v>8483071</v>
      </c>
    </row>
    <row r="472" spans="1:4" x14ac:dyDescent="0.25">
      <c r="A472" s="2" t="s">
        <v>20</v>
      </c>
      <c r="B472" s="3" t="s">
        <v>5</v>
      </c>
      <c r="C472" s="3" t="s">
        <v>41</v>
      </c>
      <c r="D472" s="3">
        <v>8962242</v>
      </c>
    </row>
    <row r="473" spans="1:4" x14ac:dyDescent="0.25">
      <c r="A473" s="5" t="s">
        <v>20</v>
      </c>
      <c r="B473" s="6" t="s">
        <v>5</v>
      </c>
      <c r="C473" s="6" t="s">
        <v>42</v>
      </c>
      <c r="D473" s="6">
        <v>10946359</v>
      </c>
    </row>
    <row r="474" spans="1:4" x14ac:dyDescent="0.25">
      <c r="A474" s="2" t="s">
        <v>20</v>
      </c>
      <c r="B474" s="3" t="s">
        <v>5</v>
      </c>
      <c r="C474" s="3" t="s">
        <v>43</v>
      </c>
      <c r="D474" s="3">
        <v>8190419</v>
      </c>
    </row>
    <row r="475" spans="1:4" x14ac:dyDescent="0.25">
      <c r="A475" s="5" t="s">
        <v>20</v>
      </c>
      <c r="B475" s="6" t="s">
        <v>5</v>
      </c>
      <c r="C475" s="6" t="s">
        <v>44</v>
      </c>
      <c r="D475" s="6">
        <v>8149834.5</v>
      </c>
    </row>
    <row r="476" spans="1:4" x14ac:dyDescent="0.25">
      <c r="A476" s="2" t="s">
        <v>20</v>
      </c>
      <c r="B476" s="3" t="s">
        <v>5</v>
      </c>
      <c r="C476" s="3" t="s">
        <v>45</v>
      </c>
      <c r="D476" s="3">
        <v>9270848</v>
      </c>
    </row>
    <row r="477" spans="1:4" x14ac:dyDescent="0.25">
      <c r="A477" s="5" t="s">
        <v>20</v>
      </c>
      <c r="B477" s="6" t="s">
        <v>5</v>
      </c>
      <c r="C477" s="6" t="s">
        <v>46</v>
      </c>
      <c r="D477" s="6">
        <v>8385664.5</v>
      </c>
    </row>
    <row r="478" spans="1:4" x14ac:dyDescent="0.25">
      <c r="A478" s="2" t="s">
        <v>20</v>
      </c>
      <c r="B478" s="3" t="s">
        <v>5</v>
      </c>
      <c r="C478" s="3" t="s">
        <v>47</v>
      </c>
      <c r="D478" s="3">
        <v>8330820</v>
      </c>
    </row>
    <row r="479" spans="1:4" x14ac:dyDescent="0.25">
      <c r="A479" s="5" t="s">
        <v>20</v>
      </c>
      <c r="B479" s="6" t="s">
        <v>5</v>
      </c>
      <c r="C479" s="6" t="s">
        <v>48</v>
      </c>
      <c r="D479" s="6">
        <v>8726795</v>
      </c>
    </row>
    <row r="480" spans="1:4" x14ac:dyDescent="0.25">
      <c r="A480" s="2" t="s">
        <v>20</v>
      </c>
      <c r="B480" s="3" t="s">
        <v>5</v>
      </c>
      <c r="C480" s="3" t="s">
        <v>49</v>
      </c>
      <c r="D480" s="3">
        <v>9815999</v>
      </c>
    </row>
    <row r="481" spans="1:4" x14ac:dyDescent="0.25">
      <c r="A481" s="5" t="s">
        <v>20</v>
      </c>
      <c r="B481" s="6" t="s">
        <v>5</v>
      </c>
      <c r="C481" s="6" t="s">
        <v>50</v>
      </c>
      <c r="D481" s="6">
        <v>10445609</v>
      </c>
    </row>
    <row r="482" spans="1:4" x14ac:dyDescent="0.25">
      <c r="A482" s="2" t="s">
        <v>20</v>
      </c>
      <c r="B482" s="3" t="s">
        <v>5</v>
      </c>
      <c r="C482" s="3" t="s">
        <v>51</v>
      </c>
      <c r="D482" s="3">
        <v>9119478</v>
      </c>
    </row>
    <row r="483" spans="1:4" x14ac:dyDescent="0.25">
      <c r="A483" s="5" t="s">
        <v>20</v>
      </c>
      <c r="B483" s="6" t="s">
        <v>5</v>
      </c>
      <c r="C483" s="6" t="s">
        <v>52</v>
      </c>
      <c r="D483" s="6">
        <v>8974690</v>
      </c>
    </row>
    <row r="484" spans="1:4" x14ac:dyDescent="0.25">
      <c r="A484" s="2" t="s">
        <v>20</v>
      </c>
      <c r="B484" s="3" t="s">
        <v>5</v>
      </c>
      <c r="C484" s="3" t="s">
        <v>53</v>
      </c>
      <c r="D484" s="3">
        <v>9585653</v>
      </c>
    </row>
    <row r="485" spans="1:4" x14ac:dyDescent="0.25">
      <c r="A485" s="5" t="s">
        <v>20</v>
      </c>
      <c r="B485" s="6" t="s">
        <v>5</v>
      </c>
      <c r="C485" s="6" t="s">
        <v>54</v>
      </c>
      <c r="D485" s="6">
        <v>10692408</v>
      </c>
    </row>
    <row r="486" spans="1:4" x14ac:dyDescent="0.25">
      <c r="A486" s="2" t="s">
        <v>20</v>
      </c>
      <c r="B486" s="3" t="s">
        <v>5</v>
      </c>
      <c r="C486" s="3" t="s">
        <v>55</v>
      </c>
      <c r="D486" s="3">
        <v>715588</v>
      </c>
    </row>
    <row r="487" spans="1:4" x14ac:dyDescent="0.25">
      <c r="A487" s="2" t="s">
        <v>20</v>
      </c>
      <c r="B487" s="3" t="s">
        <v>5</v>
      </c>
      <c r="C487" s="3" t="s">
        <v>56</v>
      </c>
      <c r="D487" s="3">
        <v>693406.875</v>
      </c>
    </row>
    <row r="488" spans="1:4" x14ac:dyDescent="0.25">
      <c r="A488" s="2" t="s">
        <v>20</v>
      </c>
      <c r="B488" s="3" t="s">
        <v>5</v>
      </c>
      <c r="C488" s="3" t="s">
        <v>57</v>
      </c>
      <c r="D488" s="3">
        <v>686205.375</v>
      </c>
    </row>
    <row r="489" spans="1:4" x14ac:dyDescent="0.25">
      <c r="A489" s="2" t="s">
        <v>20</v>
      </c>
      <c r="B489" s="3" t="s">
        <v>5</v>
      </c>
      <c r="C489" s="3" t="s">
        <v>58</v>
      </c>
      <c r="D489" s="3">
        <v>715335.25</v>
      </c>
    </row>
    <row r="490" spans="1:4" x14ac:dyDescent="0.25">
      <c r="A490" s="2" t="s">
        <v>20</v>
      </c>
      <c r="B490" s="3" t="s">
        <v>5</v>
      </c>
      <c r="C490" s="3" t="s">
        <v>59</v>
      </c>
      <c r="D490" s="3">
        <v>708929</v>
      </c>
    </row>
    <row r="491" spans="1:4" x14ac:dyDescent="0.25">
      <c r="A491" s="2" t="s">
        <v>20</v>
      </c>
      <c r="B491" s="3" t="s">
        <v>5</v>
      </c>
      <c r="C491" s="3" t="s">
        <v>60</v>
      </c>
      <c r="D491" s="3">
        <v>707601.25</v>
      </c>
    </row>
    <row r="492" spans="1:4" x14ac:dyDescent="0.25">
      <c r="A492" s="2" t="s">
        <v>20</v>
      </c>
      <c r="B492" s="3" t="s">
        <v>5</v>
      </c>
      <c r="C492" s="3" t="s">
        <v>61</v>
      </c>
      <c r="D492" s="3">
        <v>714172.1875</v>
      </c>
    </row>
    <row r="493" spans="1:4" x14ac:dyDescent="0.25">
      <c r="A493" s="2" t="s">
        <v>20</v>
      </c>
      <c r="B493" s="3" t="s">
        <v>5</v>
      </c>
      <c r="C493" s="3" t="s">
        <v>62</v>
      </c>
      <c r="D493" s="3">
        <v>692199.125</v>
      </c>
    </row>
    <row r="494" spans="1:4" x14ac:dyDescent="0.25">
      <c r="A494" s="2" t="s">
        <v>20</v>
      </c>
      <c r="B494" s="3" t="s">
        <v>5</v>
      </c>
      <c r="C494" s="3" t="s">
        <v>63</v>
      </c>
      <c r="D494" s="3">
        <v>685503.375</v>
      </c>
    </row>
    <row r="495" spans="1:4" x14ac:dyDescent="0.25">
      <c r="A495" s="2" t="s">
        <v>20</v>
      </c>
      <c r="B495" s="3" t="s">
        <v>5</v>
      </c>
      <c r="C495" s="3" t="s">
        <v>64</v>
      </c>
      <c r="D495" s="3">
        <v>715186.875</v>
      </c>
    </row>
    <row r="496" spans="1:4" x14ac:dyDescent="0.25">
      <c r="A496" s="2" t="s">
        <v>20</v>
      </c>
      <c r="B496" s="3" t="s">
        <v>5</v>
      </c>
      <c r="C496" s="3" t="s">
        <v>65</v>
      </c>
      <c r="D496" s="3">
        <v>709465</v>
      </c>
    </row>
    <row r="497" spans="1:4" x14ac:dyDescent="0.25">
      <c r="A497" s="2" t="s">
        <v>20</v>
      </c>
      <c r="B497" s="3" t="s">
        <v>5</v>
      </c>
      <c r="C497" s="3" t="s">
        <v>66</v>
      </c>
      <c r="D497" s="3">
        <v>708916.5</v>
      </c>
    </row>
    <row r="498" spans="1:4" x14ac:dyDescent="0.25">
      <c r="A498" s="2" t="s">
        <v>31</v>
      </c>
      <c r="B498" s="3" t="s">
        <v>5</v>
      </c>
      <c r="C498" s="3" t="s">
        <v>36</v>
      </c>
      <c r="D498" s="3">
        <v>8775816</v>
      </c>
    </row>
    <row r="499" spans="1:4" x14ac:dyDescent="0.25">
      <c r="A499" s="5" t="s">
        <v>31</v>
      </c>
      <c r="B499" s="6" t="s">
        <v>5</v>
      </c>
      <c r="C499" s="6" t="s">
        <v>37</v>
      </c>
      <c r="D499" s="6">
        <v>9532266</v>
      </c>
    </row>
    <row r="500" spans="1:4" x14ac:dyDescent="0.25">
      <c r="A500" s="2" t="s">
        <v>31</v>
      </c>
      <c r="B500" s="3" t="s">
        <v>5</v>
      </c>
      <c r="C500" s="3" t="s">
        <v>38</v>
      </c>
      <c r="D500" s="3">
        <v>9528558</v>
      </c>
    </row>
    <row r="501" spans="1:4" x14ac:dyDescent="0.25">
      <c r="A501" s="5" t="s">
        <v>31</v>
      </c>
      <c r="B501" s="6" t="s">
        <v>5</v>
      </c>
      <c r="C501" s="6" t="s">
        <v>39</v>
      </c>
      <c r="D501" s="6">
        <v>9056394</v>
      </c>
    </row>
    <row r="502" spans="1:4" x14ac:dyDescent="0.25">
      <c r="A502" s="2" t="s">
        <v>31</v>
      </c>
      <c r="B502" s="3" t="s">
        <v>5</v>
      </c>
      <c r="C502" s="3" t="s">
        <v>40</v>
      </c>
      <c r="D502" s="3">
        <v>10262760</v>
      </c>
    </row>
    <row r="503" spans="1:4" x14ac:dyDescent="0.25">
      <c r="A503" s="5" t="s">
        <v>31</v>
      </c>
      <c r="B503" s="6" t="s">
        <v>5</v>
      </c>
      <c r="C503" s="6" t="s">
        <v>41</v>
      </c>
      <c r="D503" s="6">
        <v>10842458</v>
      </c>
    </row>
    <row r="504" spans="1:4" x14ac:dyDescent="0.25">
      <c r="A504" s="2" t="s">
        <v>31</v>
      </c>
      <c r="B504" s="3" t="s">
        <v>5</v>
      </c>
      <c r="C504" s="3" t="s">
        <v>42</v>
      </c>
      <c r="D504" s="3">
        <v>13242829</v>
      </c>
    </row>
    <row r="505" spans="1:4" x14ac:dyDescent="0.25">
      <c r="A505" s="5" t="s">
        <v>31</v>
      </c>
      <c r="B505" s="6" t="s">
        <v>5</v>
      </c>
      <c r="C505" s="6" t="s">
        <v>43</v>
      </c>
      <c r="D505" s="6">
        <v>9336071</v>
      </c>
    </row>
    <row r="506" spans="1:4" x14ac:dyDescent="0.25">
      <c r="A506" s="2" t="s">
        <v>31</v>
      </c>
      <c r="B506" s="3" t="s">
        <v>5</v>
      </c>
      <c r="C506" s="3" t="s">
        <v>44</v>
      </c>
      <c r="D506" s="3">
        <v>9289809</v>
      </c>
    </row>
    <row r="507" spans="1:4" x14ac:dyDescent="0.25">
      <c r="A507" s="5" t="s">
        <v>31</v>
      </c>
      <c r="B507" s="6" t="s">
        <v>5</v>
      </c>
      <c r="C507" s="6" t="s">
        <v>45</v>
      </c>
      <c r="D507" s="6">
        <v>10567627</v>
      </c>
    </row>
    <row r="508" spans="1:4" x14ac:dyDescent="0.25">
      <c r="A508" s="2" t="s">
        <v>31</v>
      </c>
      <c r="B508" s="3" t="s">
        <v>5</v>
      </c>
      <c r="C508" s="3" t="s">
        <v>46</v>
      </c>
      <c r="D508" s="3">
        <v>9558626</v>
      </c>
    </row>
    <row r="509" spans="1:4" x14ac:dyDescent="0.25">
      <c r="A509" s="5" t="s">
        <v>31</v>
      </c>
      <c r="B509" s="6" t="s">
        <v>5</v>
      </c>
      <c r="C509" s="6" t="s">
        <v>47</v>
      </c>
      <c r="D509" s="6">
        <v>9496110</v>
      </c>
    </row>
    <row r="510" spans="1:4" x14ac:dyDescent="0.25">
      <c r="A510" s="2" t="s">
        <v>31</v>
      </c>
      <c r="B510" s="3" t="s">
        <v>5</v>
      </c>
      <c r="C510" s="3" t="s">
        <v>48</v>
      </c>
      <c r="D510" s="3">
        <v>9947472</v>
      </c>
    </row>
    <row r="511" spans="1:4" x14ac:dyDescent="0.25">
      <c r="A511" s="5" t="s">
        <v>31</v>
      </c>
      <c r="B511" s="6" t="s">
        <v>5</v>
      </c>
      <c r="C511" s="6" t="s">
        <v>49</v>
      </c>
      <c r="D511" s="6">
        <v>11189031</v>
      </c>
    </row>
    <row r="512" spans="1:4" x14ac:dyDescent="0.25">
      <c r="A512" s="2" t="s">
        <v>31</v>
      </c>
      <c r="B512" s="3" t="s">
        <v>5</v>
      </c>
      <c r="C512" s="3" t="s">
        <v>50</v>
      </c>
      <c r="D512" s="3">
        <v>11906710</v>
      </c>
    </row>
    <row r="513" spans="1:4" x14ac:dyDescent="0.25">
      <c r="A513" s="5" t="s">
        <v>31</v>
      </c>
      <c r="B513" s="6" t="s">
        <v>5</v>
      </c>
      <c r="C513" s="6" t="s">
        <v>51</v>
      </c>
      <c r="D513" s="6">
        <v>10395084</v>
      </c>
    </row>
    <row r="514" spans="1:4" x14ac:dyDescent="0.25">
      <c r="A514" s="2" t="s">
        <v>31</v>
      </c>
      <c r="B514" s="3" t="s">
        <v>5</v>
      </c>
      <c r="C514" s="3" t="s">
        <v>52</v>
      </c>
      <c r="D514" s="3">
        <v>10230043</v>
      </c>
    </row>
    <row r="515" spans="1:4" x14ac:dyDescent="0.25">
      <c r="A515" s="5" t="s">
        <v>31</v>
      </c>
      <c r="B515" s="6" t="s">
        <v>5</v>
      </c>
      <c r="C515" s="6" t="s">
        <v>53</v>
      </c>
      <c r="D515" s="6">
        <v>10926466</v>
      </c>
    </row>
    <row r="516" spans="1:4" x14ac:dyDescent="0.25">
      <c r="A516" s="2" t="s">
        <v>31</v>
      </c>
      <c r="B516" s="3" t="s">
        <v>5</v>
      </c>
      <c r="C516" s="3" t="s">
        <v>54</v>
      </c>
      <c r="D516" s="3">
        <v>12188029</v>
      </c>
    </row>
    <row r="517" spans="1:4" x14ac:dyDescent="0.25">
      <c r="A517" s="2" t="s">
        <v>31</v>
      </c>
      <c r="B517" s="3" t="s">
        <v>5</v>
      </c>
      <c r="C517" s="3" t="s">
        <v>55</v>
      </c>
      <c r="D517" s="3">
        <v>8435764</v>
      </c>
    </row>
    <row r="518" spans="1:4" x14ac:dyDescent="0.25">
      <c r="A518" s="2" t="s">
        <v>31</v>
      </c>
      <c r="B518" s="3" t="s">
        <v>5</v>
      </c>
      <c r="C518" s="3" t="s">
        <v>56</v>
      </c>
      <c r="D518" s="3">
        <v>8097263.5</v>
      </c>
    </row>
    <row r="519" spans="1:4" x14ac:dyDescent="0.25">
      <c r="A519" s="2" t="s">
        <v>31</v>
      </c>
      <c r="B519" s="3" t="s">
        <v>5</v>
      </c>
      <c r="C519" s="3" t="s">
        <v>57</v>
      </c>
      <c r="D519" s="3">
        <v>7977276</v>
      </c>
    </row>
    <row r="520" spans="1:4" x14ac:dyDescent="0.25">
      <c r="A520" s="2" t="s">
        <v>31</v>
      </c>
      <c r="B520" s="3" t="s">
        <v>5</v>
      </c>
      <c r="C520" s="3" t="s">
        <v>58</v>
      </c>
      <c r="D520" s="3">
        <v>8402940</v>
      </c>
    </row>
    <row r="521" spans="1:4" x14ac:dyDescent="0.25">
      <c r="A521" s="2" t="s">
        <v>31</v>
      </c>
      <c r="B521" s="3" t="s">
        <v>5</v>
      </c>
      <c r="C521" s="3" t="s">
        <v>59</v>
      </c>
      <c r="D521" s="3">
        <v>8289266.5</v>
      </c>
    </row>
    <row r="522" spans="1:4" x14ac:dyDescent="0.25">
      <c r="A522" s="2" t="s">
        <v>31</v>
      </c>
      <c r="B522" s="3" t="s">
        <v>5</v>
      </c>
      <c r="C522" s="3" t="s">
        <v>60</v>
      </c>
      <c r="D522" s="3">
        <v>8255510.5</v>
      </c>
    </row>
    <row r="523" spans="1:4" x14ac:dyDescent="0.25">
      <c r="A523" s="2" t="s">
        <v>31</v>
      </c>
      <c r="B523" s="3" t="s">
        <v>5</v>
      </c>
      <c r="C523" s="3" t="s">
        <v>61</v>
      </c>
      <c r="D523" s="3">
        <v>8349201.5</v>
      </c>
    </row>
    <row r="524" spans="1:4" x14ac:dyDescent="0.25">
      <c r="A524" s="2" t="s">
        <v>31</v>
      </c>
      <c r="B524" s="3" t="s">
        <v>5</v>
      </c>
      <c r="C524" s="3" t="s">
        <v>62</v>
      </c>
      <c r="D524" s="3">
        <v>8023755.5</v>
      </c>
    </row>
    <row r="525" spans="1:4" x14ac:dyDescent="0.25">
      <c r="A525" s="2" t="s">
        <v>31</v>
      </c>
      <c r="B525" s="3" t="s">
        <v>5</v>
      </c>
      <c r="C525" s="3" t="s">
        <v>63</v>
      </c>
      <c r="D525" s="3">
        <v>7934233.5</v>
      </c>
    </row>
    <row r="526" spans="1:4" x14ac:dyDescent="0.25">
      <c r="A526" s="2" t="s">
        <v>31</v>
      </c>
      <c r="B526" s="3" t="s">
        <v>5</v>
      </c>
      <c r="C526" s="3" t="s">
        <v>64</v>
      </c>
      <c r="D526" s="3">
        <v>8391970</v>
      </c>
    </row>
    <row r="527" spans="1:4" x14ac:dyDescent="0.25">
      <c r="A527" s="2" t="s">
        <v>31</v>
      </c>
      <c r="B527" s="3" t="s">
        <v>5</v>
      </c>
      <c r="C527" s="3" t="s">
        <v>65</v>
      </c>
      <c r="D527" s="3">
        <v>8323240</v>
      </c>
    </row>
    <row r="528" spans="1:4" x14ac:dyDescent="0.25">
      <c r="A528" s="2" t="s">
        <v>31</v>
      </c>
      <c r="B528" s="3" t="s">
        <v>5</v>
      </c>
      <c r="C528" s="3" t="s">
        <v>66</v>
      </c>
      <c r="D528" s="3">
        <v>8328161</v>
      </c>
    </row>
    <row r="529" spans="1:4" x14ac:dyDescent="0.25">
      <c r="A529" s="2" t="s">
        <v>7</v>
      </c>
      <c r="B529" s="3" t="s">
        <v>5</v>
      </c>
      <c r="C529" s="3" t="s">
        <v>36</v>
      </c>
      <c r="D529" s="3">
        <v>34475668</v>
      </c>
    </row>
    <row r="530" spans="1:4" x14ac:dyDescent="0.25">
      <c r="A530" s="5" t="s">
        <v>7</v>
      </c>
      <c r="B530" s="6" t="s">
        <v>5</v>
      </c>
      <c r="C530" s="6" t="s">
        <v>37</v>
      </c>
      <c r="D530" s="6">
        <v>37444708</v>
      </c>
    </row>
    <row r="531" spans="1:4" x14ac:dyDescent="0.25">
      <c r="A531" s="2" t="s">
        <v>7</v>
      </c>
      <c r="B531" s="3" t="s">
        <v>5</v>
      </c>
      <c r="C531" s="3" t="s">
        <v>38</v>
      </c>
      <c r="D531" s="3">
        <v>37434544</v>
      </c>
    </row>
    <row r="532" spans="1:4" x14ac:dyDescent="0.25">
      <c r="A532" s="5" t="s">
        <v>7</v>
      </c>
      <c r="B532" s="6" t="s">
        <v>5</v>
      </c>
      <c r="C532" s="6" t="s">
        <v>39</v>
      </c>
      <c r="D532" s="6">
        <v>35581120</v>
      </c>
    </row>
    <row r="533" spans="1:4" x14ac:dyDescent="0.25">
      <c r="A533" s="2" t="s">
        <v>7</v>
      </c>
      <c r="B533" s="3" t="s">
        <v>5</v>
      </c>
      <c r="C533" s="3" t="s">
        <v>40</v>
      </c>
      <c r="D533" s="3">
        <v>40314776</v>
      </c>
    </row>
    <row r="534" spans="1:4" x14ac:dyDescent="0.25">
      <c r="A534" s="5" t="s">
        <v>7</v>
      </c>
      <c r="B534" s="6" t="s">
        <v>5</v>
      </c>
      <c r="C534" s="6" t="s">
        <v>41</v>
      </c>
      <c r="D534" s="6">
        <v>42591812</v>
      </c>
    </row>
    <row r="535" spans="1:4" x14ac:dyDescent="0.25">
      <c r="A535" s="2" t="s">
        <v>7</v>
      </c>
      <c r="B535" s="3" t="s">
        <v>5</v>
      </c>
      <c r="C535" s="3" t="s">
        <v>42</v>
      </c>
      <c r="D535" s="3">
        <v>52026344</v>
      </c>
    </row>
    <row r="536" spans="1:4" x14ac:dyDescent="0.25">
      <c r="A536" s="5" t="s">
        <v>7</v>
      </c>
      <c r="B536" s="6" t="s">
        <v>5</v>
      </c>
      <c r="C536" s="6" t="s">
        <v>43</v>
      </c>
      <c r="D536" s="6">
        <v>36640576</v>
      </c>
    </row>
    <row r="537" spans="1:4" x14ac:dyDescent="0.25">
      <c r="A537" s="2" t="s">
        <v>7</v>
      </c>
      <c r="B537" s="3" t="s">
        <v>5</v>
      </c>
      <c r="C537" s="3" t="s">
        <v>44</v>
      </c>
      <c r="D537" s="3">
        <v>36460144</v>
      </c>
    </row>
    <row r="538" spans="1:4" x14ac:dyDescent="0.25">
      <c r="A538" s="5" t="s">
        <v>7</v>
      </c>
      <c r="B538" s="6" t="s">
        <v>5</v>
      </c>
      <c r="C538" s="6" t="s">
        <v>45</v>
      </c>
      <c r="D538" s="6">
        <v>41467544</v>
      </c>
    </row>
    <row r="539" spans="1:4" x14ac:dyDescent="0.25">
      <c r="A539" s="2" t="s">
        <v>7</v>
      </c>
      <c r="B539" s="3" t="s">
        <v>5</v>
      </c>
      <c r="C539" s="3" t="s">
        <v>46</v>
      </c>
      <c r="D539" s="3">
        <v>37513208</v>
      </c>
    </row>
    <row r="540" spans="1:4" x14ac:dyDescent="0.25">
      <c r="A540" s="5" t="s">
        <v>7</v>
      </c>
      <c r="B540" s="6" t="s">
        <v>5</v>
      </c>
      <c r="C540" s="6" t="s">
        <v>47</v>
      </c>
      <c r="D540" s="6">
        <v>37266212</v>
      </c>
    </row>
    <row r="541" spans="1:4" x14ac:dyDescent="0.25">
      <c r="A541" s="2" t="s">
        <v>7</v>
      </c>
      <c r="B541" s="3" t="s">
        <v>5</v>
      </c>
      <c r="C541" s="3" t="s">
        <v>48</v>
      </c>
      <c r="D541" s="3">
        <v>39028708</v>
      </c>
    </row>
    <row r="542" spans="1:4" x14ac:dyDescent="0.25">
      <c r="A542" s="5" t="s">
        <v>7</v>
      </c>
      <c r="B542" s="6" t="s">
        <v>5</v>
      </c>
      <c r="C542" s="6" t="s">
        <v>49</v>
      </c>
      <c r="D542" s="6">
        <v>43900160</v>
      </c>
    </row>
    <row r="543" spans="1:4" x14ac:dyDescent="0.25">
      <c r="A543" s="2" t="s">
        <v>7</v>
      </c>
      <c r="B543" s="3" t="s">
        <v>5</v>
      </c>
      <c r="C543" s="3" t="s">
        <v>50</v>
      </c>
      <c r="D543" s="3">
        <v>46713980</v>
      </c>
    </row>
    <row r="544" spans="1:4" x14ac:dyDescent="0.25">
      <c r="A544" s="5" t="s">
        <v>7</v>
      </c>
      <c r="B544" s="6" t="s">
        <v>5</v>
      </c>
      <c r="C544" s="6" t="s">
        <v>51</v>
      </c>
      <c r="D544" s="6">
        <v>40783508</v>
      </c>
    </row>
    <row r="545" spans="1:4" x14ac:dyDescent="0.25">
      <c r="A545" s="2" t="s">
        <v>7</v>
      </c>
      <c r="B545" s="3" t="s">
        <v>5</v>
      </c>
      <c r="C545" s="3" t="s">
        <v>52</v>
      </c>
      <c r="D545" s="3">
        <v>40146068</v>
      </c>
    </row>
    <row r="546" spans="1:4" x14ac:dyDescent="0.25">
      <c r="A546" s="5" t="s">
        <v>7</v>
      </c>
      <c r="B546" s="6" t="s">
        <v>5</v>
      </c>
      <c r="C546" s="6" t="s">
        <v>53</v>
      </c>
      <c r="D546" s="6">
        <v>42873268</v>
      </c>
    </row>
    <row r="547" spans="1:4" x14ac:dyDescent="0.25">
      <c r="A547" s="2" t="s">
        <v>7</v>
      </c>
      <c r="B547" s="3" t="s">
        <v>5</v>
      </c>
      <c r="C547" s="3" t="s">
        <v>54</v>
      </c>
      <c r="D547" s="3">
        <v>47820032</v>
      </c>
    </row>
    <row r="548" spans="1:4" x14ac:dyDescent="0.25">
      <c r="A548" s="2" t="s">
        <v>7</v>
      </c>
      <c r="B548" s="3" t="s">
        <v>5</v>
      </c>
      <c r="C548" s="3" t="s">
        <v>55</v>
      </c>
      <c r="D548" s="3">
        <v>2022506.75</v>
      </c>
    </row>
    <row r="549" spans="1:4" x14ac:dyDescent="0.25">
      <c r="A549" s="2" t="s">
        <v>7</v>
      </c>
      <c r="B549" s="3" t="s">
        <v>5</v>
      </c>
      <c r="C549" s="3" t="s">
        <v>56</v>
      </c>
      <c r="D549" s="3">
        <v>1973879.125</v>
      </c>
    </row>
    <row r="550" spans="1:4" x14ac:dyDescent="0.25">
      <c r="A550" s="2" t="s">
        <v>7</v>
      </c>
      <c r="B550" s="3" t="s">
        <v>5</v>
      </c>
      <c r="C550" s="3" t="s">
        <v>57</v>
      </c>
      <c r="D550" s="3">
        <v>1957307.25</v>
      </c>
    </row>
    <row r="551" spans="1:4" x14ac:dyDescent="0.25">
      <c r="A551" s="2" t="s">
        <v>7</v>
      </c>
      <c r="B551" s="3" t="s">
        <v>5</v>
      </c>
      <c r="C551" s="3" t="s">
        <v>58</v>
      </c>
      <c r="D551" s="3">
        <v>2019705.75</v>
      </c>
    </row>
    <row r="552" spans="1:4" x14ac:dyDescent="0.25">
      <c r="A552" s="2" t="s">
        <v>7</v>
      </c>
      <c r="B552" s="3" t="s">
        <v>5</v>
      </c>
      <c r="C552" s="3" t="s">
        <v>59</v>
      </c>
      <c r="D552" s="3">
        <v>2004427.5</v>
      </c>
    </row>
    <row r="553" spans="1:4" x14ac:dyDescent="0.25">
      <c r="A553" s="2" t="s">
        <v>7</v>
      </c>
      <c r="B553" s="3" t="s">
        <v>5</v>
      </c>
      <c r="C553" s="3" t="s">
        <v>60</v>
      </c>
      <c r="D553" s="3">
        <v>2000468.375</v>
      </c>
    </row>
    <row r="554" spans="1:4" x14ac:dyDescent="0.25">
      <c r="A554" s="2" t="s">
        <v>7</v>
      </c>
      <c r="B554" s="3" t="s">
        <v>5</v>
      </c>
      <c r="C554" s="3" t="s">
        <v>61</v>
      </c>
      <c r="D554" s="3">
        <v>2014360.625</v>
      </c>
    </row>
    <row r="555" spans="1:4" x14ac:dyDescent="0.25">
      <c r="A555" s="2" t="s">
        <v>7</v>
      </c>
      <c r="B555" s="3" t="s">
        <v>5</v>
      </c>
      <c r="C555" s="3" t="s">
        <v>62</v>
      </c>
      <c r="D555" s="3">
        <v>1966953.875</v>
      </c>
    </row>
    <row r="556" spans="1:4" x14ac:dyDescent="0.25">
      <c r="A556" s="2" t="s">
        <v>7</v>
      </c>
      <c r="B556" s="3" t="s">
        <v>5</v>
      </c>
      <c r="C556" s="3" t="s">
        <v>63</v>
      </c>
      <c r="D556" s="3">
        <v>1953258.375</v>
      </c>
    </row>
    <row r="557" spans="1:4" x14ac:dyDescent="0.25">
      <c r="A557" s="2" t="s">
        <v>7</v>
      </c>
      <c r="B557" s="3" t="s">
        <v>5</v>
      </c>
      <c r="C557" s="3" t="s">
        <v>64</v>
      </c>
      <c r="D557" s="3">
        <v>2018706.5</v>
      </c>
    </row>
    <row r="558" spans="1:4" x14ac:dyDescent="0.25">
      <c r="A558" s="2" t="s">
        <v>7</v>
      </c>
      <c r="B558" s="3" t="s">
        <v>5</v>
      </c>
      <c r="C558" s="3" t="s">
        <v>65</v>
      </c>
      <c r="D558" s="3">
        <v>2007602.75</v>
      </c>
    </row>
    <row r="559" spans="1:4" x14ac:dyDescent="0.25">
      <c r="A559" s="2" t="s">
        <v>7</v>
      </c>
      <c r="B559" s="3" t="s">
        <v>5</v>
      </c>
      <c r="C559" s="3" t="s">
        <v>66</v>
      </c>
      <c r="D559" s="3">
        <v>2007741.5</v>
      </c>
    </row>
    <row r="560" spans="1:4" x14ac:dyDescent="0.25">
      <c r="A560" s="5" t="s">
        <v>12</v>
      </c>
      <c r="B560" s="6" t="s">
        <v>5</v>
      </c>
      <c r="C560" s="6" t="s">
        <v>36</v>
      </c>
      <c r="D560" s="6">
        <v>10024452</v>
      </c>
    </row>
    <row r="561" spans="1:4" x14ac:dyDescent="0.25">
      <c r="A561" s="2" t="s">
        <v>12</v>
      </c>
      <c r="B561" s="3" t="s">
        <v>5</v>
      </c>
      <c r="C561" s="3" t="s">
        <v>37</v>
      </c>
      <c r="D561" s="3">
        <v>10888531</v>
      </c>
    </row>
    <row r="562" spans="1:4" x14ac:dyDescent="0.25">
      <c r="A562" s="5" t="s">
        <v>12</v>
      </c>
      <c r="B562" s="6" t="s">
        <v>5</v>
      </c>
      <c r="C562" s="6" t="s">
        <v>38</v>
      </c>
      <c r="D562" s="6">
        <v>10884296</v>
      </c>
    </row>
    <row r="563" spans="1:4" x14ac:dyDescent="0.25">
      <c r="A563" s="2" t="s">
        <v>12</v>
      </c>
      <c r="B563" s="3" t="s">
        <v>5</v>
      </c>
      <c r="C563" s="3" t="s">
        <v>39</v>
      </c>
      <c r="D563" s="3">
        <v>10344952</v>
      </c>
    </row>
    <row r="564" spans="1:4" x14ac:dyDescent="0.25">
      <c r="A564" s="5" t="s">
        <v>12</v>
      </c>
      <c r="B564" s="6" t="s">
        <v>5</v>
      </c>
      <c r="C564" s="6" t="s">
        <v>40</v>
      </c>
      <c r="D564" s="6">
        <v>11722961</v>
      </c>
    </row>
    <row r="565" spans="1:4" x14ac:dyDescent="0.25">
      <c r="A565" s="2" t="s">
        <v>12</v>
      </c>
      <c r="B565" s="3" t="s">
        <v>5</v>
      </c>
      <c r="C565" s="3" t="s">
        <v>41</v>
      </c>
      <c r="D565" s="3">
        <v>12385140</v>
      </c>
    </row>
    <row r="566" spans="1:4" x14ac:dyDescent="0.25">
      <c r="A566" s="5" t="s">
        <v>12</v>
      </c>
      <c r="B566" s="6" t="s">
        <v>5</v>
      </c>
      <c r="C566" s="6" t="s">
        <v>42</v>
      </c>
      <c r="D566" s="6">
        <v>15127039</v>
      </c>
    </row>
    <row r="567" spans="1:4" x14ac:dyDescent="0.25">
      <c r="A567" s="2" t="s">
        <v>12</v>
      </c>
      <c r="B567" s="3" t="s">
        <v>5</v>
      </c>
      <c r="C567" s="3" t="s">
        <v>43</v>
      </c>
      <c r="D567" s="3">
        <v>10779190</v>
      </c>
    </row>
    <row r="568" spans="1:4" x14ac:dyDescent="0.25">
      <c r="A568" s="5" t="s">
        <v>12</v>
      </c>
      <c r="B568" s="6" t="s">
        <v>5</v>
      </c>
      <c r="C568" s="6" t="s">
        <v>44</v>
      </c>
      <c r="D568" s="6">
        <v>10725778</v>
      </c>
    </row>
    <row r="569" spans="1:4" x14ac:dyDescent="0.25">
      <c r="A569" s="2" t="s">
        <v>12</v>
      </c>
      <c r="B569" s="3" t="s">
        <v>5</v>
      </c>
      <c r="C569" s="3" t="s">
        <v>45</v>
      </c>
      <c r="D569" s="3">
        <v>12201113</v>
      </c>
    </row>
    <row r="570" spans="1:4" x14ac:dyDescent="0.25">
      <c r="A570" s="5" t="s">
        <v>12</v>
      </c>
      <c r="B570" s="6" t="s">
        <v>5</v>
      </c>
      <c r="C570" s="6" t="s">
        <v>46</v>
      </c>
      <c r="D570" s="6">
        <v>11036147</v>
      </c>
    </row>
    <row r="571" spans="1:4" x14ac:dyDescent="0.25">
      <c r="A571" s="2" t="s">
        <v>12</v>
      </c>
      <c r="B571" s="3" t="s">
        <v>5</v>
      </c>
      <c r="C571" s="3" t="s">
        <v>47</v>
      </c>
      <c r="D571" s="3">
        <v>10963968</v>
      </c>
    </row>
    <row r="572" spans="1:4" x14ac:dyDescent="0.25">
      <c r="A572" s="5" t="s">
        <v>12</v>
      </c>
      <c r="B572" s="6" t="s">
        <v>5</v>
      </c>
      <c r="C572" s="6" t="s">
        <v>48</v>
      </c>
      <c r="D572" s="6">
        <v>11485099</v>
      </c>
    </row>
    <row r="573" spans="1:4" x14ac:dyDescent="0.25">
      <c r="A573" s="2" t="s">
        <v>12</v>
      </c>
      <c r="B573" s="3" t="s">
        <v>5</v>
      </c>
      <c r="C573" s="3" t="s">
        <v>49</v>
      </c>
      <c r="D573" s="3">
        <v>12918571</v>
      </c>
    </row>
    <row r="574" spans="1:4" x14ac:dyDescent="0.25">
      <c r="A574" s="5" t="s">
        <v>12</v>
      </c>
      <c r="B574" s="6" t="s">
        <v>5</v>
      </c>
      <c r="C574" s="6" t="s">
        <v>50</v>
      </c>
      <c r="D574" s="6">
        <v>13747185</v>
      </c>
    </row>
    <row r="575" spans="1:4" x14ac:dyDescent="0.25">
      <c r="A575" s="2" t="s">
        <v>12</v>
      </c>
      <c r="B575" s="3" t="s">
        <v>5</v>
      </c>
      <c r="C575" s="3" t="s">
        <v>51</v>
      </c>
      <c r="D575" s="3">
        <v>12001900</v>
      </c>
    </row>
    <row r="576" spans="1:4" x14ac:dyDescent="0.25">
      <c r="A576" s="5" t="s">
        <v>12</v>
      </c>
      <c r="B576" s="6" t="s">
        <v>5</v>
      </c>
      <c r="C576" s="6" t="s">
        <v>52</v>
      </c>
      <c r="D576" s="6">
        <v>11811348</v>
      </c>
    </row>
    <row r="577" spans="1:4" x14ac:dyDescent="0.25">
      <c r="A577" s="2" t="s">
        <v>12</v>
      </c>
      <c r="B577" s="3" t="s">
        <v>5</v>
      </c>
      <c r="C577" s="3" t="s">
        <v>53</v>
      </c>
      <c r="D577" s="3">
        <v>12615420</v>
      </c>
    </row>
    <row r="578" spans="1:4" x14ac:dyDescent="0.25">
      <c r="A578" s="5" t="s">
        <v>12</v>
      </c>
      <c r="B578" s="6" t="s">
        <v>5</v>
      </c>
      <c r="C578" s="6" t="s">
        <v>54</v>
      </c>
      <c r="D578" s="6">
        <v>14071989</v>
      </c>
    </row>
    <row r="579" spans="1:4" x14ac:dyDescent="0.25">
      <c r="A579" s="2" t="s">
        <v>12</v>
      </c>
      <c r="B579" s="3" t="s">
        <v>5</v>
      </c>
      <c r="C579" s="3" t="s">
        <v>55</v>
      </c>
      <c r="D579" s="3">
        <v>461601.25</v>
      </c>
    </row>
    <row r="580" spans="1:4" x14ac:dyDescent="0.25">
      <c r="A580" s="2" t="s">
        <v>12</v>
      </c>
      <c r="B580" s="3" t="s">
        <v>5</v>
      </c>
      <c r="C580" s="3" t="s">
        <v>56</v>
      </c>
      <c r="D580" s="3">
        <v>454637.875</v>
      </c>
    </row>
    <row r="581" spans="1:4" x14ac:dyDescent="0.25">
      <c r="A581" s="2" t="s">
        <v>12</v>
      </c>
      <c r="B581" s="3" t="s">
        <v>5</v>
      </c>
      <c r="C581" s="3" t="s">
        <v>57</v>
      </c>
      <c r="D581" s="3">
        <v>452382</v>
      </c>
    </row>
    <row r="582" spans="1:4" x14ac:dyDescent="0.25">
      <c r="A582" s="2" t="s">
        <v>12</v>
      </c>
      <c r="B582" s="3" t="s">
        <v>5</v>
      </c>
      <c r="C582" s="3" t="s">
        <v>58</v>
      </c>
      <c r="D582" s="3">
        <v>461535.3125</v>
      </c>
    </row>
    <row r="583" spans="1:4" x14ac:dyDescent="0.25">
      <c r="A583" s="2" t="s">
        <v>12</v>
      </c>
      <c r="B583" s="3" t="s">
        <v>5</v>
      </c>
      <c r="C583" s="3" t="s">
        <v>59</v>
      </c>
      <c r="D583" s="3">
        <v>459533.5</v>
      </c>
    </row>
    <row r="584" spans="1:4" x14ac:dyDescent="0.25">
      <c r="A584" s="2" t="s">
        <v>12</v>
      </c>
      <c r="B584" s="3" t="s">
        <v>5</v>
      </c>
      <c r="C584" s="3" t="s">
        <v>60</v>
      </c>
      <c r="D584" s="3">
        <v>459122.75</v>
      </c>
    </row>
    <row r="585" spans="1:4" x14ac:dyDescent="0.25">
      <c r="A585" s="2" t="s">
        <v>12</v>
      </c>
      <c r="B585" s="3" t="s">
        <v>5</v>
      </c>
      <c r="C585" s="3" t="s">
        <v>61</v>
      </c>
      <c r="D585" s="3">
        <v>461189.0625</v>
      </c>
    </row>
    <row r="586" spans="1:4" x14ac:dyDescent="0.25">
      <c r="A586" s="2" t="s">
        <v>12</v>
      </c>
      <c r="B586" s="3" t="s">
        <v>5</v>
      </c>
      <c r="C586" s="3" t="s">
        <v>62</v>
      </c>
      <c r="D586" s="3">
        <v>454286.125</v>
      </c>
    </row>
    <row r="587" spans="1:4" x14ac:dyDescent="0.25">
      <c r="A587" s="2" t="s">
        <v>12</v>
      </c>
      <c r="B587" s="3" t="s">
        <v>5</v>
      </c>
      <c r="C587" s="3" t="s">
        <v>63</v>
      </c>
      <c r="D587" s="3">
        <v>452179.15625</v>
      </c>
    </row>
    <row r="588" spans="1:4" x14ac:dyDescent="0.25">
      <c r="A588" s="2" t="s">
        <v>12</v>
      </c>
      <c r="B588" s="3" t="s">
        <v>5</v>
      </c>
      <c r="C588" s="3" t="s">
        <v>64</v>
      </c>
      <c r="D588" s="3">
        <v>461495.0625</v>
      </c>
    </row>
    <row r="589" spans="1:4" x14ac:dyDescent="0.25">
      <c r="A589" s="2" t="s">
        <v>12</v>
      </c>
      <c r="B589" s="3" t="s">
        <v>5</v>
      </c>
      <c r="C589" s="3" t="s">
        <v>65</v>
      </c>
      <c r="D589" s="3">
        <v>459688.53125</v>
      </c>
    </row>
    <row r="590" spans="1:4" x14ac:dyDescent="0.25">
      <c r="A590" s="2" t="s">
        <v>12</v>
      </c>
      <c r="B590" s="3" t="s">
        <v>5</v>
      </c>
      <c r="C590" s="3" t="s">
        <v>66</v>
      </c>
      <c r="D590" s="3">
        <v>459621.78125</v>
      </c>
    </row>
    <row r="591" spans="1:4" x14ac:dyDescent="0.25">
      <c r="A591" s="5" t="s">
        <v>34</v>
      </c>
      <c r="B591" s="6" t="s">
        <v>5</v>
      </c>
      <c r="C591" s="6" t="s">
        <v>36</v>
      </c>
      <c r="D591" s="6">
        <v>1090506.375</v>
      </c>
    </row>
    <row r="592" spans="1:4" x14ac:dyDescent="0.25">
      <c r="A592" s="2" t="s">
        <v>34</v>
      </c>
      <c r="B592" s="3" t="s">
        <v>5</v>
      </c>
      <c r="C592" s="3" t="s">
        <v>37</v>
      </c>
      <c r="D592" s="3">
        <v>1184504.875</v>
      </c>
    </row>
    <row r="593" spans="1:4" x14ac:dyDescent="0.25">
      <c r="A593" s="5" t="s">
        <v>34</v>
      </c>
      <c r="B593" s="6" t="s">
        <v>5</v>
      </c>
      <c r="C593" s="6" t="s">
        <v>38</v>
      </c>
      <c r="D593" s="6">
        <v>1184044.125</v>
      </c>
    </row>
    <row r="594" spans="1:4" x14ac:dyDescent="0.25">
      <c r="A594" s="2" t="s">
        <v>34</v>
      </c>
      <c r="B594" s="3" t="s">
        <v>5</v>
      </c>
      <c r="C594" s="3" t="s">
        <v>39</v>
      </c>
      <c r="D594" s="3">
        <v>1125371.75</v>
      </c>
    </row>
    <row r="595" spans="1:4" x14ac:dyDescent="0.25">
      <c r="A595" s="5" t="s">
        <v>34</v>
      </c>
      <c r="B595" s="6" t="s">
        <v>5</v>
      </c>
      <c r="C595" s="6" t="s">
        <v>40</v>
      </c>
      <c r="D595" s="6">
        <v>1275278.125</v>
      </c>
    </row>
    <row r="596" spans="1:4" x14ac:dyDescent="0.25">
      <c r="A596" s="2" t="s">
        <v>34</v>
      </c>
      <c r="B596" s="3" t="s">
        <v>5</v>
      </c>
      <c r="C596" s="3" t="s">
        <v>41</v>
      </c>
      <c r="D596" s="3">
        <v>1347312.875</v>
      </c>
    </row>
    <row r="597" spans="1:4" x14ac:dyDescent="0.25">
      <c r="A597" s="5" t="s">
        <v>34</v>
      </c>
      <c r="B597" s="6" t="s">
        <v>5</v>
      </c>
      <c r="C597" s="6" t="s">
        <v>42</v>
      </c>
      <c r="D597" s="6">
        <v>1645589.375</v>
      </c>
    </row>
    <row r="598" spans="1:4" x14ac:dyDescent="0.25">
      <c r="A598" s="2" t="s">
        <v>34</v>
      </c>
      <c r="B598" s="3" t="s">
        <v>5</v>
      </c>
      <c r="C598" s="3" t="s">
        <v>43</v>
      </c>
      <c r="D598" s="3">
        <v>1158782</v>
      </c>
    </row>
    <row r="599" spans="1:4" x14ac:dyDescent="0.25">
      <c r="A599" s="5" t="s">
        <v>34</v>
      </c>
      <c r="B599" s="6" t="s">
        <v>5</v>
      </c>
      <c r="C599" s="6" t="s">
        <v>44</v>
      </c>
      <c r="D599" s="6">
        <v>1153040</v>
      </c>
    </row>
    <row r="600" spans="1:4" x14ac:dyDescent="0.25">
      <c r="A600" s="2" t="s">
        <v>34</v>
      </c>
      <c r="B600" s="3" t="s">
        <v>5</v>
      </c>
      <c r="C600" s="3" t="s">
        <v>45</v>
      </c>
      <c r="D600" s="3">
        <v>1311641.25</v>
      </c>
    </row>
    <row r="601" spans="1:4" x14ac:dyDescent="0.25">
      <c r="A601" s="5" t="s">
        <v>34</v>
      </c>
      <c r="B601" s="6" t="s">
        <v>5</v>
      </c>
      <c r="C601" s="6" t="s">
        <v>46</v>
      </c>
      <c r="D601" s="6">
        <v>1186405.25</v>
      </c>
    </row>
    <row r="602" spans="1:4" x14ac:dyDescent="0.25">
      <c r="A602" s="2" t="s">
        <v>34</v>
      </c>
      <c r="B602" s="3" t="s">
        <v>5</v>
      </c>
      <c r="C602" s="3" t="s">
        <v>47</v>
      </c>
      <c r="D602" s="3">
        <v>1178645.875</v>
      </c>
    </row>
    <row r="603" spans="1:4" x14ac:dyDescent="0.25">
      <c r="A603" s="5" t="s">
        <v>34</v>
      </c>
      <c r="B603" s="6" t="s">
        <v>5</v>
      </c>
      <c r="C603" s="6" t="s">
        <v>48</v>
      </c>
      <c r="D603" s="6">
        <v>1234668.5</v>
      </c>
    </row>
    <row r="604" spans="1:4" x14ac:dyDescent="0.25">
      <c r="A604" s="2" t="s">
        <v>34</v>
      </c>
      <c r="B604" s="3" t="s">
        <v>5</v>
      </c>
      <c r="C604" s="3" t="s">
        <v>49</v>
      </c>
      <c r="D604" s="3">
        <v>1388769.25</v>
      </c>
    </row>
    <row r="605" spans="1:4" x14ac:dyDescent="0.25">
      <c r="A605" s="5" t="s">
        <v>34</v>
      </c>
      <c r="B605" s="6" t="s">
        <v>5</v>
      </c>
      <c r="C605" s="6" t="s">
        <v>50</v>
      </c>
      <c r="D605" s="6">
        <v>1477846.625</v>
      </c>
    </row>
    <row r="606" spans="1:4" x14ac:dyDescent="0.25">
      <c r="A606" s="2" t="s">
        <v>34</v>
      </c>
      <c r="B606" s="3" t="s">
        <v>5</v>
      </c>
      <c r="C606" s="3" t="s">
        <v>51</v>
      </c>
      <c r="D606" s="3">
        <v>1290225.375</v>
      </c>
    </row>
    <row r="607" spans="1:4" x14ac:dyDescent="0.25">
      <c r="A607" s="5" t="s">
        <v>34</v>
      </c>
      <c r="B607" s="6" t="s">
        <v>5</v>
      </c>
      <c r="C607" s="6" t="s">
        <v>52</v>
      </c>
      <c r="D607" s="6">
        <v>1269740.75</v>
      </c>
    </row>
    <row r="608" spans="1:4" x14ac:dyDescent="0.25">
      <c r="A608" s="2" t="s">
        <v>34</v>
      </c>
      <c r="B608" s="3" t="s">
        <v>5</v>
      </c>
      <c r="C608" s="3" t="s">
        <v>53</v>
      </c>
      <c r="D608" s="3">
        <v>1356179.875</v>
      </c>
    </row>
    <row r="609" spans="1:4" x14ac:dyDescent="0.25">
      <c r="A609" s="5" t="s">
        <v>34</v>
      </c>
      <c r="B609" s="6" t="s">
        <v>5</v>
      </c>
      <c r="C609" s="6" t="s">
        <v>54</v>
      </c>
      <c r="D609" s="6">
        <v>1512763.75</v>
      </c>
    </row>
    <row r="610" spans="1:4" x14ac:dyDescent="0.25">
      <c r="A610" s="5" t="s">
        <v>34</v>
      </c>
      <c r="B610" s="6" t="s">
        <v>5</v>
      </c>
      <c r="C610" s="6" t="s">
        <v>55</v>
      </c>
      <c r="D610" s="6">
        <v>156433.71875</v>
      </c>
    </row>
    <row r="611" spans="1:4" x14ac:dyDescent="0.25">
      <c r="A611" s="5" t="s">
        <v>34</v>
      </c>
      <c r="B611" s="6" t="s">
        <v>5</v>
      </c>
      <c r="C611" s="6" t="s">
        <v>56</v>
      </c>
      <c r="D611" s="6">
        <v>151902.21875</v>
      </c>
    </row>
    <row r="612" spans="1:4" x14ac:dyDescent="0.25">
      <c r="A612" s="5" t="s">
        <v>34</v>
      </c>
      <c r="B612" s="6" t="s">
        <v>5</v>
      </c>
      <c r="C612" s="6" t="s">
        <v>57</v>
      </c>
      <c r="D612" s="6">
        <v>150436.71875</v>
      </c>
    </row>
    <row r="613" spans="1:4" x14ac:dyDescent="0.25">
      <c r="A613" s="5" t="s">
        <v>34</v>
      </c>
      <c r="B613" s="6" t="s">
        <v>5</v>
      </c>
      <c r="C613" s="6" t="s">
        <v>58</v>
      </c>
      <c r="D613" s="6">
        <v>156399.53125</v>
      </c>
    </row>
    <row r="614" spans="1:4" x14ac:dyDescent="0.25">
      <c r="A614" s="5" t="s">
        <v>34</v>
      </c>
      <c r="B614" s="6" t="s">
        <v>5</v>
      </c>
      <c r="C614" s="6" t="s">
        <v>59</v>
      </c>
      <c r="D614" s="6">
        <v>155097.6875</v>
      </c>
    </row>
    <row r="615" spans="1:4" x14ac:dyDescent="0.25">
      <c r="A615" s="5" t="s">
        <v>34</v>
      </c>
      <c r="B615" s="6" t="s">
        <v>5</v>
      </c>
      <c r="C615" s="6" t="s">
        <v>60</v>
      </c>
      <c r="D615" s="6">
        <v>154834.859375</v>
      </c>
    </row>
    <row r="616" spans="1:4" x14ac:dyDescent="0.25">
      <c r="A616" s="5" t="s">
        <v>34</v>
      </c>
      <c r="B616" s="6" t="s">
        <v>5</v>
      </c>
      <c r="C616" s="6" t="s">
        <v>61</v>
      </c>
      <c r="D616" s="6">
        <v>156180.625</v>
      </c>
    </row>
    <row r="617" spans="1:4" x14ac:dyDescent="0.25">
      <c r="A617" s="5" t="s">
        <v>34</v>
      </c>
      <c r="B617" s="6" t="s">
        <v>5</v>
      </c>
      <c r="C617" s="6" t="s">
        <v>62</v>
      </c>
      <c r="D617" s="6">
        <v>151686.171875</v>
      </c>
    </row>
    <row r="618" spans="1:4" x14ac:dyDescent="0.25">
      <c r="A618" s="5" t="s">
        <v>34</v>
      </c>
      <c r="B618" s="6" t="s">
        <v>5</v>
      </c>
      <c r="C618" s="6" t="s">
        <v>63</v>
      </c>
      <c r="D618" s="6">
        <v>150309.328125</v>
      </c>
    </row>
    <row r="619" spans="1:4" x14ac:dyDescent="0.25">
      <c r="A619" s="5" t="s">
        <v>34</v>
      </c>
      <c r="B619" s="6" t="s">
        <v>5</v>
      </c>
      <c r="C619" s="6" t="s">
        <v>64</v>
      </c>
      <c r="D619" s="6">
        <v>156371.390625</v>
      </c>
    </row>
    <row r="620" spans="1:4" x14ac:dyDescent="0.25">
      <c r="A620" s="5" t="s">
        <v>34</v>
      </c>
      <c r="B620" s="6" t="s">
        <v>5</v>
      </c>
      <c r="C620" s="6" t="s">
        <v>65</v>
      </c>
      <c r="D620" s="6">
        <v>155193.40625</v>
      </c>
    </row>
    <row r="621" spans="1:4" x14ac:dyDescent="0.25">
      <c r="A621" s="5" t="s">
        <v>34</v>
      </c>
      <c r="B621" s="6" t="s">
        <v>5</v>
      </c>
      <c r="C621" s="6" t="s">
        <v>66</v>
      </c>
      <c r="D621" s="6">
        <v>155079.71875</v>
      </c>
    </row>
    <row r="622" spans="1:4" x14ac:dyDescent="0.25">
      <c r="A622" s="5" t="s">
        <v>14</v>
      </c>
      <c r="B622" s="6" t="s">
        <v>5</v>
      </c>
      <c r="C622" s="6" t="s">
        <v>36</v>
      </c>
      <c r="D622" s="6">
        <v>30080934</v>
      </c>
    </row>
    <row r="623" spans="1:4" x14ac:dyDescent="0.25">
      <c r="A623" s="2" t="s">
        <v>14</v>
      </c>
      <c r="B623" s="3" t="s">
        <v>5</v>
      </c>
      <c r="C623" s="3" t="s">
        <v>37</v>
      </c>
      <c r="D623" s="3">
        <v>32673826</v>
      </c>
    </row>
    <row r="624" spans="1:4" x14ac:dyDescent="0.25">
      <c r="A624" s="5" t="s">
        <v>14</v>
      </c>
      <c r="B624" s="6" t="s">
        <v>5</v>
      </c>
      <c r="C624" s="6" t="s">
        <v>38</v>
      </c>
      <c r="D624" s="6">
        <v>32661116</v>
      </c>
    </row>
    <row r="625" spans="1:4" x14ac:dyDescent="0.25">
      <c r="A625" s="2" t="s">
        <v>14</v>
      </c>
      <c r="B625" s="3" t="s">
        <v>5</v>
      </c>
      <c r="C625" s="3" t="s">
        <v>39</v>
      </c>
      <c r="D625" s="3">
        <v>31042676</v>
      </c>
    </row>
    <row r="626" spans="1:4" x14ac:dyDescent="0.25">
      <c r="A626" s="5" t="s">
        <v>14</v>
      </c>
      <c r="B626" s="6" t="s">
        <v>5</v>
      </c>
      <c r="C626" s="6" t="s">
        <v>40</v>
      </c>
      <c r="D626" s="6">
        <v>35177744</v>
      </c>
    </row>
    <row r="627" spans="1:4" x14ac:dyDescent="0.25">
      <c r="A627" s="2" t="s">
        <v>14</v>
      </c>
      <c r="B627" s="3" t="s">
        <v>5</v>
      </c>
      <c r="C627" s="3" t="s">
        <v>41</v>
      </c>
      <c r="D627" s="3">
        <v>37164780</v>
      </c>
    </row>
    <row r="628" spans="1:4" x14ac:dyDescent="0.25">
      <c r="A628" s="5" t="s">
        <v>14</v>
      </c>
      <c r="B628" s="6" t="s">
        <v>5</v>
      </c>
      <c r="C628" s="6" t="s">
        <v>42</v>
      </c>
      <c r="D628" s="6">
        <v>45392552</v>
      </c>
    </row>
    <row r="629" spans="1:4" x14ac:dyDescent="0.25">
      <c r="A629" s="2" t="s">
        <v>14</v>
      </c>
      <c r="B629" s="3" t="s">
        <v>5</v>
      </c>
      <c r="C629" s="3" t="s">
        <v>43</v>
      </c>
      <c r="D629" s="3">
        <v>31359668</v>
      </c>
    </row>
    <row r="630" spans="1:4" x14ac:dyDescent="0.25">
      <c r="A630" s="5" t="s">
        <v>14</v>
      </c>
      <c r="B630" s="6" t="s">
        <v>5</v>
      </c>
      <c r="C630" s="6" t="s">
        <v>44</v>
      </c>
      <c r="D630" s="6">
        <v>31204276</v>
      </c>
    </row>
    <row r="631" spans="1:4" x14ac:dyDescent="0.25">
      <c r="A631" s="2" t="s">
        <v>14</v>
      </c>
      <c r="B631" s="3" t="s">
        <v>5</v>
      </c>
      <c r="C631" s="3" t="s">
        <v>45</v>
      </c>
      <c r="D631" s="3">
        <v>35496440</v>
      </c>
    </row>
    <row r="632" spans="1:4" x14ac:dyDescent="0.25">
      <c r="A632" s="5" t="s">
        <v>14</v>
      </c>
      <c r="B632" s="6" t="s">
        <v>5</v>
      </c>
      <c r="C632" s="6" t="s">
        <v>46</v>
      </c>
      <c r="D632" s="6">
        <v>32107226</v>
      </c>
    </row>
    <row r="633" spans="1:4" x14ac:dyDescent="0.25">
      <c r="A633" s="2" t="s">
        <v>14</v>
      </c>
      <c r="B633" s="3" t="s">
        <v>5</v>
      </c>
      <c r="C633" s="3" t="s">
        <v>47</v>
      </c>
      <c r="D633" s="3">
        <v>31897238</v>
      </c>
    </row>
    <row r="634" spans="1:4" x14ac:dyDescent="0.25">
      <c r="A634" s="5" t="s">
        <v>14</v>
      </c>
      <c r="B634" s="6" t="s">
        <v>5</v>
      </c>
      <c r="C634" s="6" t="s">
        <v>48</v>
      </c>
      <c r="D634" s="6">
        <v>33413354</v>
      </c>
    </row>
    <row r="635" spans="1:4" x14ac:dyDescent="0.25">
      <c r="A635" s="2" t="s">
        <v>14</v>
      </c>
      <c r="B635" s="3" t="s">
        <v>5</v>
      </c>
      <c r="C635" s="3" t="s">
        <v>49</v>
      </c>
      <c r="D635" s="3">
        <v>37583724</v>
      </c>
    </row>
    <row r="636" spans="1:4" x14ac:dyDescent="0.25">
      <c r="A636" s="5" t="s">
        <v>14</v>
      </c>
      <c r="B636" s="6" t="s">
        <v>5</v>
      </c>
      <c r="C636" s="6" t="s">
        <v>50</v>
      </c>
      <c r="D636" s="6">
        <v>39994392</v>
      </c>
    </row>
    <row r="637" spans="1:4" x14ac:dyDescent="0.25">
      <c r="A637" s="2" t="s">
        <v>14</v>
      </c>
      <c r="B637" s="3" t="s">
        <v>5</v>
      </c>
      <c r="C637" s="3" t="s">
        <v>51</v>
      </c>
      <c r="D637" s="3">
        <v>34916872</v>
      </c>
    </row>
    <row r="638" spans="1:4" x14ac:dyDescent="0.25">
      <c r="A638" s="5" t="s">
        <v>14</v>
      </c>
      <c r="B638" s="6" t="s">
        <v>5</v>
      </c>
      <c r="C638" s="6" t="s">
        <v>52</v>
      </c>
      <c r="D638" s="6">
        <v>34362500</v>
      </c>
    </row>
    <row r="639" spans="1:4" x14ac:dyDescent="0.25">
      <c r="A639" s="2" t="s">
        <v>14</v>
      </c>
      <c r="B639" s="3" t="s">
        <v>5</v>
      </c>
      <c r="C639" s="3" t="s">
        <v>53</v>
      </c>
      <c r="D639" s="3">
        <v>36701772</v>
      </c>
    </row>
    <row r="640" spans="1:4" x14ac:dyDescent="0.25">
      <c r="A640" s="5" t="s">
        <v>14</v>
      </c>
      <c r="B640" s="6" t="s">
        <v>5</v>
      </c>
      <c r="C640" s="6" t="s">
        <v>54</v>
      </c>
      <c r="D640" s="6">
        <v>40939340</v>
      </c>
    </row>
    <row r="641" spans="1:4" x14ac:dyDescent="0.25">
      <c r="A641" s="2" t="s">
        <v>14</v>
      </c>
      <c r="B641" s="3" t="s">
        <v>5</v>
      </c>
      <c r="C641" s="3" t="s">
        <v>55</v>
      </c>
      <c r="D641" s="3">
        <v>3937748.25</v>
      </c>
    </row>
    <row r="642" spans="1:4" x14ac:dyDescent="0.25">
      <c r="A642" s="2" t="s">
        <v>14</v>
      </c>
      <c r="B642" s="3" t="s">
        <v>5</v>
      </c>
      <c r="C642" s="3" t="s">
        <v>56</v>
      </c>
      <c r="D642" s="3">
        <v>3825800.25</v>
      </c>
    </row>
    <row r="643" spans="1:4" x14ac:dyDescent="0.25">
      <c r="A643" s="2" t="s">
        <v>14</v>
      </c>
      <c r="B643" s="3" t="s">
        <v>5</v>
      </c>
      <c r="C643" s="3" t="s">
        <v>57</v>
      </c>
      <c r="D643" s="3">
        <v>3789283.5</v>
      </c>
    </row>
    <row r="644" spans="1:4" x14ac:dyDescent="0.25">
      <c r="A644" s="2" t="s">
        <v>14</v>
      </c>
      <c r="B644" s="3" t="s">
        <v>5</v>
      </c>
      <c r="C644" s="3" t="s">
        <v>58</v>
      </c>
      <c r="D644" s="3">
        <v>3935960.5</v>
      </c>
    </row>
    <row r="645" spans="1:4" x14ac:dyDescent="0.25">
      <c r="A645" s="2" t="s">
        <v>14</v>
      </c>
      <c r="B645" s="3" t="s">
        <v>5</v>
      </c>
      <c r="C645" s="3" t="s">
        <v>59</v>
      </c>
      <c r="D645" s="3">
        <v>3903405.75</v>
      </c>
    </row>
    <row r="646" spans="1:4" x14ac:dyDescent="0.25">
      <c r="A646" s="2" t="s">
        <v>14</v>
      </c>
      <c r="B646" s="3" t="s">
        <v>5</v>
      </c>
      <c r="C646" s="3" t="s">
        <v>60</v>
      </c>
      <c r="D646" s="3">
        <v>3896460.5</v>
      </c>
    </row>
    <row r="647" spans="1:4" x14ac:dyDescent="0.25">
      <c r="A647" s="2" t="s">
        <v>14</v>
      </c>
      <c r="B647" s="3" t="s">
        <v>5</v>
      </c>
      <c r="C647" s="3" t="s">
        <v>61</v>
      </c>
      <c r="D647" s="3">
        <v>3929520</v>
      </c>
    </row>
    <row r="648" spans="1:4" x14ac:dyDescent="0.25">
      <c r="A648" s="2" t="s">
        <v>14</v>
      </c>
      <c r="B648" s="3" t="s">
        <v>5</v>
      </c>
      <c r="C648" s="3" t="s">
        <v>62</v>
      </c>
      <c r="D648" s="3">
        <v>3818787.5</v>
      </c>
    </row>
    <row r="649" spans="1:4" x14ac:dyDescent="0.25">
      <c r="A649" s="2" t="s">
        <v>14</v>
      </c>
      <c r="B649" s="3" t="s">
        <v>5</v>
      </c>
      <c r="C649" s="3" t="s">
        <v>63</v>
      </c>
      <c r="D649" s="3">
        <v>3785246.5</v>
      </c>
    </row>
    <row r="650" spans="1:4" x14ac:dyDescent="0.25">
      <c r="A650" s="2" t="s">
        <v>14</v>
      </c>
      <c r="B650" s="3" t="s">
        <v>5</v>
      </c>
      <c r="C650" s="3" t="s">
        <v>64</v>
      </c>
      <c r="D650" s="3">
        <v>3935125.5</v>
      </c>
    </row>
    <row r="651" spans="1:4" x14ac:dyDescent="0.25">
      <c r="A651" s="2" t="s">
        <v>14</v>
      </c>
      <c r="B651" s="3" t="s">
        <v>5</v>
      </c>
      <c r="C651" s="3" t="s">
        <v>65</v>
      </c>
      <c r="D651" s="3">
        <v>3906528.5</v>
      </c>
    </row>
    <row r="652" spans="1:4" x14ac:dyDescent="0.25">
      <c r="A652" s="2" t="s">
        <v>14</v>
      </c>
      <c r="B652" s="3" t="s">
        <v>5</v>
      </c>
      <c r="C652" s="3" t="s">
        <v>66</v>
      </c>
      <c r="D652" s="3">
        <v>3904124.5</v>
      </c>
    </row>
    <row r="653" spans="1:4" x14ac:dyDescent="0.25">
      <c r="A653" s="2" t="s">
        <v>15</v>
      </c>
      <c r="B653" s="3" t="s">
        <v>5</v>
      </c>
      <c r="C653" s="3" t="s">
        <v>36</v>
      </c>
      <c r="D653" s="3">
        <v>23018734</v>
      </c>
    </row>
    <row r="654" spans="1:4" x14ac:dyDescent="0.25">
      <c r="A654" s="5" t="s">
        <v>15</v>
      </c>
      <c r="B654" s="6" t="s">
        <v>5</v>
      </c>
      <c r="C654" s="6" t="s">
        <v>37</v>
      </c>
      <c r="D654" s="6">
        <v>25002882</v>
      </c>
    </row>
    <row r="655" spans="1:4" x14ac:dyDescent="0.25">
      <c r="A655" s="2" t="s">
        <v>15</v>
      </c>
      <c r="B655" s="3" t="s">
        <v>5</v>
      </c>
      <c r="C655" s="3" t="s">
        <v>38</v>
      </c>
      <c r="D655" s="3">
        <v>24993156</v>
      </c>
    </row>
    <row r="656" spans="1:4" x14ac:dyDescent="0.25">
      <c r="A656" s="5" t="s">
        <v>15</v>
      </c>
      <c r="B656" s="6" t="s">
        <v>5</v>
      </c>
      <c r="C656" s="6" t="s">
        <v>39</v>
      </c>
      <c r="D656" s="6">
        <v>23754684</v>
      </c>
    </row>
    <row r="657" spans="1:4" x14ac:dyDescent="0.25">
      <c r="A657" s="2" t="s">
        <v>15</v>
      </c>
      <c r="B657" s="3" t="s">
        <v>5</v>
      </c>
      <c r="C657" s="3" t="s">
        <v>40</v>
      </c>
      <c r="D657" s="3">
        <v>26918950</v>
      </c>
    </row>
    <row r="658" spans="1:4" x14ac:dyDescent="0.25">
      <c r="A658" s="5" t="s">
        <v>15</v>
      </c>
      <c r="B658" s="6" t="s">
        <v>5</v>
      </c>
      <c r="C658" s="6" t="s">
        <v>41</v>
      </c>
      <c r="D658" s="6">
        <v>28439482</v>
      </c>
    </row>
    <row r="659" spans="1:4" x14ac:dyDescent="0.25">
      <c r="A659" s="2" t="s">
        <v>15</v>
      </c>
      <c r="B659" s="3" t="s">
        <v>5</v>
      </c>
      <c r="C659" s="3" t="s">
        <v>42</v>
      </c>
      <c r="D659" s="3">
        <v>34735592</v>
      </c>
    </row>
    <row r="660" spans="1:4" x14ac:dyDescent="0.25">
      <c r="A660" s="5" t="s">
        <v>15</v>
      </c>
      <c r="B660" s="6" t="s">
        <v>5</v>
      </c>
      <c r="C660" s="6" t="s">
        <v>43</v>
      </c>
      <c r="D660" s="6">
        <v>24787074</v>
      </c>
    </row>
    <row r="661" spans="1:4" x14ac:dyDescent="0.25">
      <c r="A661" s="2" t="s">
        <v>15</v>
      </c>
      <c r="B661" s="3" t="s">
        <v>5</v>
      </c>
      <c r="C661" s="3" t="s">
        <v>44</v>
      </c>
      <c r="D661" s="3">
        <v>24664250</v>
      </c>
    </row>
    <row r="662" spans="1:4" x14ac:dyDescent="0.25">
      <c r="A662" s="5" t="s">
        <v>15</v>
      </c>
      <c r="B662" s="6" t="s">
        <v>5</v>
      </c>
      <c r="C662" s="6" t="s">
        <v>45</v>
      </c>
      <c r="D662" s="6">
        <v>28056830</v>
      </c>
    </row>
    <row r="663" spans="1:4" x14ac:dyDescent="0.25">
      <c r="A663" s="2" t="s">
        <v>15</v>
      </c>
      <c r="B663" s="3" t="s">
        <v>5</v>
      </c>
      <c r="C663" s="3" t="s">
        <v>46</v>
      </c>
      <c r="D663" s="3">
        <v>25377954</v>
      </c>
    </row>
    <row r="664" spans="1:4" x14ac:dyDescent="0.25">
      <c r="A664" s="5" t="s">
        <v>15</v>
      </c>
      <c r="B664" s="6" t="s">
        <v>5</v>
      </c>
      <c r="C664" s="6" t="s">
        <v>47</v>
      </c>
      <c r="D664" s="6">
        <v>25211976</v>
      </c>
    </row>
    <row r="665" spans="1:4" x14ac:dyDescent="0.25">
      <c r="A665" s="2" t="s">
        <v>15</v>
      </c>
      <c r="B665" s="3" t="s">
        <v>5</v>
      </c>
      <c r="C665" s="3" t="s">
        <v>48</v>
      </c>
      <c r="D665" s="3">
        <v>26410334</v>
      </c>
    </row>
    <row r="666" spans="1:4" x14ac:dyDescent="0.25">
      <c r="A666" s="5" t="s">
        <v>15</v>
      </c>
      <c r="B666" s="6" t="s">
        <v>5</v>
      </c>
      <c r="C666" s="6" t="s">
        <v>49</v>
      </c>
      <c r="D666" s="6">
        <v>29706646</v>
      </c>
    </row>
    <row r="667" spans="1:4" x14ac:dyDescent="0.25">
      <c r="A667" s="2" t="s">
        <v>15</v>
      </c>
      <c r="B667" s="3" t="s">
        <v>5</v>
      </c>
      <c r="C667" s="3" t="s">
        <v>50</v>
      </c>
      <c r="D667" s="3">
        <v>31612066</v>
      </c>
    </row>
    <row r="668" spans="1:4" x14ac:dyDescent="0.25">
      <c r="A668" s="5" t="s">
        <v>15</v>
      </c>
      <c r="B668" s="6" t="s">
        <v>5</v>
      </c>
      <c r="C668" s="6" t="s">
        <v>51</v>
      </c>
      <c r="D668" s="6">
        <v>27598732</v>
      </c>
    </row>
    <row r="669" spans="1:4" x14ac:dyDescent="0.25">
      <c r="A669" s="2" t="s">
        <v>15</v>
      </c>
      <c r="B669" s="3" t="s">
        <v>5</v>
      </c>
      <c r="C669" s="3" t="s">
        <v>52</v>
      </c>
      <c r="D669" s="3">
        <v>27160552</v>
      </c>
    </row>
    <row r="670" spans="1:4" x14ac:dyDescent="0.25">
      <c r="A670" s="5" t="s">
        <v>15</v>
      </c>
      <c r="B670" s="6" t="s">
        <v>5</v>
      </c>
      <c r="C670" s="6" t="s">
        <v>53</v>
      </c>
      <c r="D670" s="6">
        <v>29009540</v>
      </c>
    </row>
    <row r="671" spans="1:4" x14ac:dyDescent="0.25">
      <c r="A671" s="2" t="s">
        <v>15</v>
      </c>
      <c r="B671" s="3" t="s">
        <v>5</v>
      </c>
      <c r="C671" s="3" t="s">
        <v>54</v>
      </c>
      <c r="D671" s="3">
        <v>32358966</v>
      </c>
    </row>
    <row r="672" spans="1:4" x14ac:dyDescent="0.25">
      <c r="A672" s="5" t="s">
        <v>15</v>
      </c>
      <c r="B672" s="6" t="s">
        <v>5</v>
      </c>
      <c r="C672" s="6" t="s">
        <v>55</v>
      </c>
      <c r="D672" s="6">
        <v>3296284</v>
      </c>
    </row>
    <row r="673" spans="1:4" x14ac:dyDescent="0.25">
      <c r="A673" s="5" t="s">
        <v>15</v>
      </c>
      <c r="B673" s="6" t="s">
        <v>5</v>
      </c>
      <c r="C673" s="6" t="s">
        <v>56</v>
      </c>
      <c r="D673" s="6">
        <v>3216605</v>
      </c>
    </row>
    <row r="674" spans="1:4" x14ac:dyDescent="0.25">
      <c r="A674" s="5" t="s">
        <v>15</v>
      </c>
      <c r="B674" s="6" t="s">
        <v>5</v>
      </c>
      <c r="C674" s="6" t="s">
        <v>57</v>
      </c>
      <c r="D674" s="6">
        <v>3190470.25</v>
      </c>
    </row>
    <row r="675" spans="1:4" x14ac:dyDescent="0.25">
      <c r="A675" s="5" t="s">
        <v>15</v>
      </c>
      <c r="B675" s="6" t="s">
        <v>5</v>
      </c>
      <c r="C675" s="6" t="s">
        <v>58</v>
      </c>
      <c r="D675" s="6">
        <v>3294635</v>
      </c>
    </row>
    <row r="676" spans="1:4" x14ac:dyDescent="0.25">
      <c r="A676" s="5" t="s">
        <v>15</v>
      </c>
      <c r="B676" s="6" t="s">
        <v>5</v>
      </c>
      <c r="C676" s="6" t="s">
        <v>59</v>
      </c>
      <c r="D676" s="6">
        <v>3271156.5</v>
      </c>
    </row>
    <row r="677" spans="1:4" x14ac:dyDescent="0.25">
      <c r="A677" s="5" t="s">
        <v>15</v>
      </c>
      <c r="B677" s="6" t="s">
        <v>5</v>
      </c>
      <c r="C677" s="6" t="s">
        <v>60</v>
      </c>
      <c r="D677" s="6">
        <v>3266048</v>
      </c>
    </row>
    <row r="678" spans="1:4" x14ac:dyDescent="0.25">
      <c r="A678" s="5" t="s">
        <v>15</v>
      </c>
      <c r="B678" s="6" t="s">
        <v>5</v>
      </c>
      <c r="C678" s="6" t="s">
        <v>61</v>
      </c>
      <c r="D678" s="6">
        <v>3289470.5</v>
      </c>
    </row>
    <row r="679" spans="1:4" x14ac:dyDescent="0.25">
      <c r="A679" s="5" t="s">
        <v>15</v>
      </c>
      <c r="B679" s="6" t="s">
        <v>5</v>
      </c>
      <c r="C679" s="6" t="s">
        <v>62</v>
      </c>
      <c r="D679" s="6">
        <v>3210802</v>
      </c>
    </row>
    <row r="680" spans="1:4" x14ac:dyDescent="0.25">
      <c r="A680" s="5" t="s">
        <v>15</v>
      </c>
      <c r="B680" s="6" t="s">
        <v>5</v>
      </c>
      <c r="C680" s="6" t="s">
        <v>63</v>
      </c>
      <c r="D680" s="6">
        <v>3187044.5</v>
      </c>
    </row>
    <row r="681" spans="1:4" x14ac:dyDescent="0.25">
      <c r="A681" s="5" t="s">
        <v>15</v>
      </c>
      <c r="B681" s="6" t="s">
        <v>5</v>
      </c>
      <c r="C681" s="6" t="s">
        <v>64</v>
      </c>
      <c r="D681" s="6">
        <v>3293811.25</v>
      </c>
    </row>
    <row r="682" spans="1:4" x14ac:dyDescent="0.25">
      <c r="A682" s="5" t="s">
        <v>15</v>
      </c>
      <c r="B682" s="6" t="s">
        <v>5</v>
      </c>
      <c r="C682" s="6" t="s">
        <v>65</v>
      </c>
      <c r="D682" s="6">
        <v>3273781</v>
      </c>
    </row>
    <row r="683" spans="1:4" x14ac:dyDescent="0.25">
      <c r="A683" s="5" t="s">
        <v>15</v>
      </c>
      <c r="B683" s="6" t="s">
        <v>5</v>
      </c>
      <c r="C683" s="6" t="s">
        <v>66</v>
      </c>
      <c r="D683" s="6">
        <v>3272577.5</v>
      </c>
    </row>
    <row r="684" spans="1:4" x14ac:dyDescent="0.25">
      <c r="A684" s="2" t="s">
        <v>33</v>
      </c>
      <c r="B684" s="3" t="s">
        <v>5</v>
      </c>
      <c r="C684" s="3" t="s">
        <v>36</v>
      </c>
      <c r="D684" s="3">
        <v>15751734</v>
      </c>
    </row>
    <row r="685" spans="1:4" x14ac:dyDescent="0.25">
      <c r="A685" s="5" t="s">
        <v>33</v>
      </c>
      <c r="B685" s="6" t="s">
        <v>5</v>
      </c>
      <c r="C685" s="6" t="s">
        <v>37</v>
      </c>
      <c r="D685" s="6">
        <v>17109490</v>
      </c>
    </row>
    <row r="686" spans="1:4" x14ac:dyDescent="0.25">
      <c r="A686" s="2" t="s">
        <v>33</v>
      </c>
      <c r="B686" s="3" t="s">
        <v>5</v>
      </c>
      <c r="C686" s="3" t="s">
        <v>38</v>
      </c>
      <c r="D686" s="3">
        <v>17102834</v>
      </c>
    </row>
    <row r="687" spans="1:4" x14ac:dyDescent="0.25">
      <c r="A687" s="5" t="s">
        <v>33</v>
      </c>
      <c r="B687" s="6" t="s">
        <v>5</v>
      </c>
      <c r="C687" s="6" t="s">
        <v>39</v>
      </c>
      <c r="D687" s="6">
        <v>16255346</v>
      </c>
    </row>
    <row r="688" spans="1:4" x14ac:dyDescent="0.25">
      <c r="A688" s="2" t="s">
        <v>33</v>
      </c>
      <c r="B688" s="3" t="s">
        <v>5</v>
      </c>
      <c r="C688" s="3" t="s">
        <v>40</v>
      </c>
      <c r="D688" s="3">
        <v>18420654</v>
      </c>
    </row>
    <row r="689" spans="1:4" x14ac:dyDescent="0.25">
      <c r="A689" s="5" t="s">
        <v>33</v>
      </c>
      <c r="B689" s="6" t="s">
        <v>5</v>
      </c>
      <c r="C689" s="6" t="s">
        <v>41</v>
      </c>
      <c r="D689" s="6">
        <v>19461156</v>
      </c>
    </row>
    <row r="690" spans="1:4" x14ac:dyDescent="0.25">
      <c r="A690" s="2" t="s">
        <v>33</v>
      </c>
      <c r="B690" s="3" t="s">
        <v>5</v>
      </c>
      <c r="C690" s="3" t="s">
        <v>42</v>
      </c>
      <c r="D690" s="3">
        <v>23769588</v>
      </c>
    </row>
    <row r="691" spans="1:4" x14ac:dyDescent="0.25">
      <c r="A691" s="5" t="s">
        <v>33</v>
      </c>
      <c r="B691" s="6" t="s">
        <v>5</v>
      </c>
      <c r="C691" s="6" t="s">
        <v>43</v>
      </c>
      <c r="D691" s="6">
        <v>16957062</v>
      </c>
    </row>
    <row r="692" spans="1:4" x14ac:dyDescent="0.25">
      <c r="A692" s="2" t="s">
        <v>33</v>
      </c>
      <c r="B692" s="3" t="s">
        <v>5</v>
      </c>
      <c r="C692" s="3" t="s">
        <v>44</v>
      </c>
      <c r="D692" s="3">
        <v>16873038</v>
      </c>
    </row>
    <row r="693" spans="1:4" x14ac:dyDescent="0.25">
      <c r="A693" s="5" t="s">
        <v>33</v>
      </c>
      <c r="B693" s="6" t="s">
        <v>5</v>
      </c>
      <c r="C693" s="6" t="s">
        <v>45</v>
      </c>
      <c r="D693" s="6">
        <v>19193932</v>
      </c>
    </row>
    <row r="694" spans="1:4" x14ac:dyDescent="0.25">
      <c r="A694" s="2" t="s">
        <v>33</v>
      </c>
      <c r="B694" s="3" t="s">
        <v>5</v>
      </c>
      <c r="C694" s="3" t="s">
        <v>46</v>
      </c>
      <c r="D694" s="3">
        <v>17361288</v>
      </c>
    </row>
    <row r="695" spans="1:4" x14ac:dyDescent="0.25">
      <c r="A695" s="5" t="s">
        <v>33</v>
      </c>
      <c r="B695" s="6" t="s">
        <v>5</v>
      </c>
      <c r="C695" s="6" t="s">
        <v>47</v>
      </c>
      <c r="D695" s="6">
        <v>17247742</v>
      </c>
    </row>
    <row r="696" spans="1:4" x14ac:dyDescent="0.25">
      <c r="A696" s="2" t="s">
        <v>33</v>
      </c>
      <c r="B696" s="3" t="s">
        <v>5</v>
      </c>
      <c r="C696" s="3" t="s">
        <v>48</v>
      </c>
      <c r="D696" s="3">
        <v>18067548</v>
      </c>
    </row>
    <row r="697" spans="1:4" x14ac:dyDescent="0.25">
      <c r="A697" s="5" t="s">
        <v>33</v>
      </c>
      <c r="B697" s="6" t="s">
        <v>5</v>
      </c>
      <c r="C697" s="6" t="s">
        <v>49</v>
      </c>
      <c r="D697" s="6">
        <v>20322586</v>
      </c>
    </row>
    <row r="698" spans="1:4" x14ac:dyDescent="0.25">
      <c r="A698" s="2" t="s">
        <v>33</v>
      </c>
      <c r="B698" s="3" t="s">
        <v>5</v>
      </c>
      <c r="C698" s="3" t="s">
        <v>50</v>
      </c>
      <c r="D698" s="3">
        <v>21626102</v>
      </c>
    </row>
    <row r="699" spans="1:4" x14ac:dyDescent="0.25">
      <c r="A699" s="5" t="s">
        <v>33</v>
      </c>
      <c r="B699" s="6" t="s">
        <v>5</v>
      </c>
      <c r="C699" s="6" t="s">
        <v>51</v>
      </c>
      <c r="D699" s="6">
        <v>18880542</v>
      </c>
    </row>
    <row r="700" spans="1:4" x14ac:dyDescent="0.25">
      <c r="A700" s="2" t="s">
        <v>33</v>
      </c>
      <c r="B700" s="3" t="s">
        <v>5</v>
      </c>
      <c r="C700" s="3" t="s">
        <v>52</v>
      </c>
      <c r="D700" s="3">
        <v>18580780</v>
      </c>
    </row>
    <row r="701" spans="1:4" x14ac:dyDescent="0.25">
      <c r="A701" s="5" t="s">
        <v>33</v>
      </c>
      <c r="B701" s="6" t="s">
        <v>5</v>
      </c>
      <c r="C701" s="6" t="s">
        <v>53</v>
      </c>
      <c r="D701" s="6">
        <v>19845690</v>
      </c>
    </row>
    <row r="702" spans="1:4" x14ac:dyDescent="0.25">
      <c r="A702" s="2" t="s">
        <v>33</v>
      </c>
      <c r="B702" s="3" t="s">
        <v>5</v>
      </c>
      <c r="C702" s="3" t="s">
        <v>54</v>
      </c>
      <c r="D702" s="3">
        <v>22137062</v>
      </c>
    </row>
    <row r="703" spans="1:4" x14ac:dyDescent="0.25">
      <c r="A703" s="2" t="s">
        <v>33</v>
      </c>
      <c r="B703" s="3" t="s">
        <v>5</v>
      </c>
      <c r="C703" s="3" t="s">
        <v>55</v>
      </c>
      <c r="D703" s="3">
        <v>1992429.875</v>
      </c>
    </row>
    <row r="704" spans="1:4" x14ac:dyDescent="0.25">
      <c r="A704" s="2" t="s">
        <v>33</v>
      </c>
      <c r="B704" s="3" t="s">
        <v>5</v>
      </c>
      <c r="C704" s="3" t="s">
        <v>56</v>
      </c>
      <c r="D704" s="3">
        <v>1971105.625</v>
      </c>
    </row>
    <row r="705" spans="1:4" x14ac:dyDescent="0.25">
      <c r="A705" s="2" t="s">
        <v>33</v>
      </c>
      <c r="B705" s="3" t="s">
        <v>5</v>
      </c>
      <c r="C705" s="3" t="s">
        <v>57</v>
      </c>
      <c r="D705" s="3">
        <v>1964215.5</v>
      </c>
    </row>
    <row r="706" spans="1:4" x14ac:dyDescent="0.25">
      <c r="A706" s="2" t="s">
        <v>33</v>
      </c>
      <c r="B706" s="3" t="s">
        <v>5</v>
      </c>
      <c r="C706" s="3" t="s">
        <v>58</v>
      </c>
      <c r="D706" s="3">
        <v>1992281.5</v>
      </c>
    </row>
    <row r="707" spans="1:4" x14ac:dyDescent="0.25">
      <c r="A707" s="2" t="s">
        <v>33</v>
      </c>
      <c r="B707" s="3" t="s">
        <v>5</v>
      </c>
      <c r="C707" s="3" t="s">
        <v>59</v>
      </c>
      <c r="D707" s="3">
        <v>1986176.875</v>
      </c>
    </row>
    <row r="708" spans="1:4" x14ac:dyDescent="0.25">
      <c r="A708" s="2" t="s">
        <v>33</v>
      </c>
      <c r="B708" s="3" t="s">
        <v>5</v>
      </c>
      <c r="C708" s="3" t="s">
        <v>60</v>
      </c>
      <c r="D708" s="3">
        <v>1984944.25</v>
      </c>
    </row>
    <row r="709" spans="1:4" x14ac:dyDescent="0.25">
      <c r="A709" s="2" t="s">
        <v>33</v>
      </c>
      <c r="B709" s="3" t="s">
        <v>5</v>
      </c>
      <c r="C709" s="3" t="s">
        <v>61</v>
      </c>
      <c r="D709" s="3">
        <v>1991283.5</v>
      </c>
    </row>
    <row r="710" spans="1:4" x14ac:dyDescent="0.25">
      <c r="A710" s="2" t="s">
        <v>33</v>
      </c>
      <c r="B710" s="3" t="s">
        <v>5</v>
      </c>
      <c r="C710" s="3" t="s">
        <v>62</v>
      </c>
      <c r="D710" s="3">
        <v>1970126.75</v>
      </c>
    </row>
    <row r="711" spans="1:4" x14ac:dyDescent="0.25">
      <c r="A711" s="2" t="s">
        <v>33</v>
      </c>
      <c r="B711" s="3" t="s">
        <v>5</v>
      </c>
      <c r="C711" s="3" t="s">
        <v>63</v>
      </c>
      <c r="D711" s="3">
        <v>1963649.25</v>
      </c>
    </row>
    <row r="712" spans="1:4" x14ac:dyDescent="0.25">
      <c r="A712" s="2" t="s">
        <v>33</v>
      </c>
      <c r="B712" s="3" t="s">
        <v>5</v>
      </c>
      <c r="C712" s="3" t="s">
        <v>64</v>
      </c>
      <c r="D712" s="3">
        <v>1992169.75</v>
      </c>
    </row>
    <row r="713" spans="1:4" x14ac:dyDescent="0.25">
      <c r="A713" s="2" t="s">
        <v>33</v>
      </c>
      <c r="B713" s="3" t="s">
        <v>5</v>
      </c>
      <c r="C713" s="3" t="s">
        <v>65</v>
      </c>
      <c r="D713" s="3">
        <v>1986606.5</v>
      </c>
    </row>
    <row r="714" spans="1:4" x14ac:dyDescent="0.25">
      <c r="A714" s="2" t="s">
        <v>33</v>
      </c>
      <c r="B714" s="3" t="s">
        <v>5</v>
      </c>
      <c r="C714" s="3" t="s">
        <v>66</v>
      </c>
      <c r="D714" s="3">
        <v>1986656.25</v>
      </c>
    </row>
    <row r="715" spans="1:4" x14ac:dyDescent="0.25">
      <c r="A715" s="2" t="s">
        <v>4</v>
      </c>
      <c r="B715" s="3" t="s">
        <v>5</v>
      </c>
      <c r="C715" s="3" t="s">
        <v>36</v>
      </c>
      <c r="D715" s="3">
        <v>2955987.5</v>
      </c>
    </row>
    <row r="716" spans="1:4" x14ac:dyDescent="0.25">
      <c r="A716" s="5" t="s">
        <v>4</v>
      </c>
      <c r="B716" s="6" t="s">
        <v>5</v>
      </c>
      <c r="C716" s="6" t="s">
        <v>37</v>
      </c>
      <c r="D716" s="6">
        <v>3210785.25</v>
      </c>
    </row>
    <row r="717" spans="1:4" x14ac:dyDescent="0.25">
      <c r="A717" s="2" t="s">
        <v>4</v>
      </c>
      <c r="B717" s="3" t="s">
        <v>5</v>
      </c>
      <c r="C717" s="3" t="s">
        <v>38</v>
      </c>
      <c r="D717" s="3">
        <v>3209536.25</v>
      </c>
    </row>
    <row r="718" spans="1:4" x14ac:dyDescent="0.25">
      <c r="A718" s="5" t="s">
        <v>4</v>
      </c>
      <c r="B718" s="6" t="s">
        <v>5</v>
      </c>
      <c r="C718" s="6" t="s">
        <v>39</v>
      </c>
      <c r="D718" s="6">
        <v>3050495.75</v>
      </c>
    </row>
    <row r="719" spans="1:4" x14ac:dyDescent="0.25">
      <c r="A719" s="2" t="s">
        <v>4</v>
      </c>
      <c r="B719" s="3" t="s">
        <v>5</v>
      </c>
      <c r="C719" s="3" t="s">
        <v>40</v>
      </c>
      <c r="D719" s="3">
        <v>3456839.75</v>
      </c>
    </row>
    <row r="720" spans="1:4" x14ac:dyDescent="0.25">
      <c r="A720" s="5" t="s">
        <v>4</v>
      </c>
      <c r="B720" s="6" t="s">
        <v>5</v>
      </c>
      <c r="C720" s="6" t="s">
        <v>41</v>
      </c>
      <c r="D720" s="6">
        <v>3652101.5</v>
      </c>
    </row>
    <row r="721" spans="1:4" x14ac:dyDescent="0.25">
      <c r="A721" s="2" t="s">
        <v>4</v>
      </c>
      <c r="B721" s="3" t="s">
        <v>5</v>
      </c>
      <c r="C721" s="3" t="s">
        <v>42</v>
      </c>
      <c r="D721" s="3">
        <v>4460626.5</v>
      </c>
    </row>
    <row r="722" spans="1:4" x14ac:dyDescent="0.25">
      <c r="A722" s="5" t="s">
        <v>4</v>
      </c>
      <c r="B722" s="6" t="s">
        <v>5</v>
      </c>
      <c r="C722" s="6" t="s">
        <v>43</v>
      </c>
      <c r="D722" s="6">
        <v>3136607.5</v>
      </c>
    </row>
    <row r="723" spans="1:4" x14ac:dyDescent="0.25">
      <c r="A723" s="2" t="s">
        <v>4</v>
      </c>
      <c r="B723" s="3" t="s">
        <v>5</v>
      </c>
      <c r="C723" s="3" t="s">
        <v>44</v>
      </c>
      <c r="D723" s="3">
        <v>3121065.25</v>
      </c>
    </row>
    <row r="724" spans="1:4" x14ac:dyDescent="0.25">
      <c r="A724" s="5" t="s">
        <v>4</v>
      </c>
      <c r="B724" s="6" t="s">
        <v>5</v>
      </c>
      <c r="C724" s="6" t="s">
        <v>45</v>
      </c>
      <c r="D724" s="6">
        <v>3550369.25</v>
      </c>
    </row>
    <row r="725" spans="1:4" x14ac:dyDescent="0.25">
      <c r="A725" s="2" t="s">
        <v>4</v>
      </c>
      <c r="B725" s="3" t="s">
        <v>5</v>
      </c>
      <c r="C725" s="3" t="s">
        <v>46</v>
      </c>
      <c r="D725" s="3">
        <v>3211378.5</v>
      </c>
    </row>
    <row r="726" spans="1:4" x14ac:dyDescent="0.25">
      <c r="A726" s="5" t="s">
        <v>4</v>
      </c>
      <c r="B726" s="6" t="s">
        <v>5</v>
      </c>
      <c r="C726" s="6" t="s">
        <v>47</v>
      </c>
      <c r="D726" s="6">
        <v>3190375.5</v>
      </c>
    </row>
    <row r="727" spans="1:4" x14ac:dyDescent="0.25">
      <c r="A727" s="2" t="s">
        <v>4</v>
      </c>
      <c r="B727" s="3" t="s">
        <v>5</v>
      </c>
      <c r="C727" s="3" t="s">
        <v>48</v>
      </c>
      <c r="D727" s="3">
        <v>3342018</v>
      </c>
    </row>
    <row r="728" spans="1:4" x14ac:dyDescent="0.25">
      <c r="A728" s="5" t="s">
        <v>4</v>
      </c>
      <c r="B728" s="6" t="s">
        <v>5</v>
      </c>
      <c r="C728" s="6" t="s">
        <v>49</v>
      </c>
      <c r="D728" s="6">
        <v>3759140.25</v>
      </c>
    </row>
    <row r="729" spans="1:4" x14ac:dyDescent="0.25">
      <c r="A729" s="2" t="s">
        <v>4</v>
      </c>
      <c r="B729" s="3" t="s">
        <v>5</v>
      </c>
      <c r="C729" s="3" t="s">
        <v>50</v>
      </c>
      <c r="D729" s="3">
        <v>4000256.25</v>
      </c>
    </row>
    <row r="730" spans="1:4" x14ac:dyDescent="0.25">
      <c r="A730" s="5" t="s">
        <v>4</v>
      </c>
      <c r="B730" s="6" t="s">
        <v>5</v>
      </c>
      <c r="C730" s="6" t="s">
        <v>51</v>
      </c>
      <c r="D730" s="6">
        <v>3492400.5</v>
      </c>
    </row>
    <row r="731" spans="1:4" x14ac:dyDescent="0.25">
      <c r="A731" s="2" t="s">
        <v>4</v>
      </c>
      <c r="B731" s="3" t="s">
        <v>5</v>
      </c>
      <c r="C731" s="3" t="s">
        <v>52</v>
      </c>
      <c r="D731" s="3">
        <v>3436952.25</v>
      </c>
    </row>
    <row r="732" spans="1:4" x14ac:dyDescent="0.25">
      <c r="A732" s="5" t="s">
        <v>4</v>
      </c>
      <c r="B732" s="6" t="s">
        <v>5</v>
      </c>
      <c r="C732" s="6" t="s">
        <v>53</v>
      </c>
      <c r="D732" s="6">
        <v>3670927.25</v>
      </c>
    </row>
    <row r="733" spans="1:4" x14ac:dyDescent="0.25">
      <c r="A733" s="2" t="s">
        <v>4</v>
      </c>
      <c r="B733" s="3" t="s">
        <v>5</v>
      </c>
      <c r="C733" s="3" t="s">
        <v>54</v>
      </c>
      <c r="D733" s="3">
        <v>4094770.25</v>
      </c>
    </row>
    <row r="734" spans="1:4" x14ac:dyDescent="0.25">
      <c r="A734" s="2" t="s">
        <v>4</v>
      </c>
      <c r="B734" s="3" t="s">
        <v>5</v>
      </c>
      <c r="C734" s="3" t="s">
        <v>55</v>
      </c>
      <c r="D734" s="3">
        <v>5116833</v>
      </c>
    </row>
    <row r="735" spans="1:4" x14ac:dyDescent="0.25">
      <c r="A735" s="2" t="s">
        <v>4</v>
      </c>
      <c r="B735" s="3" t="s">
        <v>5</v>
      </c>
      <c r="C735" s="3" t="s">
        <v>56</v>
      </c>
      <c r="D735" s="3">
        <v>4837306</v>
      </c>
    </row>
    <row r="736" spans="1:4" x14ac:dyDescent="0.25">
      <c r="A736" s="2" t="s">
        <v>4</v>
      </c>
      <c r="B736" s="3" t="s">
        <v>5</v>
      </c>
      <c r="C736" s="3" t="s">
        <v>57</v>
      </c>
      <c r="D736" s="3">
        <v>4737775</v>
      </c>
    </row>
    <row r="737" spans="1:4" x14ac:dyDescent="0.25">
      <c r="A737" s="2" t="s">
        <v>4</v>
      </c>
      <c r="B737" s="3" t="s">
        <v>5</v>
      </c>
      <c r="C737" s="3" t="s">
        <v>58</v>
      </c>
      <c r="D737" s="3">
        <v>5088438.5</v>
      </c>
    </row>
    <row r="738" spans="1:4" x14ac:dyDescent="0.25">
      <c r="A738" s="2" t="s">
        <v>4</v>
      </c>
      <c r="B738" s="3" t="s">
        <v>5</v>
      </c>
      <c r="C738" s="3" t="s">
        <v>59</v>
      </c>
      <c r="D738" s="3">
        <v>4993868.5</v>
      </c>
    </row>
    <row r="739" spans="1:4" x14ac:dyDescent="0.25">
      <c r="A739" s="2" t="s">
        <v>4</v>
      </c>
      <c r="B739" s="3" t="s">
        <v>5</v>
      </c>
      <c r="C739" s="3" t="s">
        <v>60</v>
      </c>
      <c r="D739" s="3">
        <v>4965392.5</v>
      </c>
    </row>
    <row r="740" spans="1:4" x14ac:dyDescent="0.25">
      <c r="A740" s="2" t="s">
        <v>4</v>
      </c>
      <c r="B740" s="3" t="s">
        <v>5</v>
      </c>
      <c r="C740" s="3" t="s">
        <v>61</v>
      </c>
      <c r="D740" s="3">
        <v>5042469</v>
      </c>
    </row>
    <row r="741" spans="1:4" x14ac:dyDescent="0.25">
      <c r="A741" s="2" t="s">
        <v>4</v>
      </c>
      <c r="B741" s="3" t="s">
        <v>5</v>
      </c>
      <c r="C741" s="3" t="s">
        <v>62</v>
      </c>
      <c r="D741" s="3">
        <v>4774161.5</v>
      </c>
    </row>
    <row r="742" spans="1:4" x14ac:dyDescent="0.25">
      <c r="A742" s="2" t="s">
        <v>4</v>
      </c>
      <c r="B742" s="3" t="s">
        <v>5</v>
      </c>
      <c r="C742" s="3" t="s">
        <v>63</v>
      </c>
      <c r="D742" s="3">
        <v>4700802.5</v>
      </c>
    </row>
    <row r="743" spans="1:4" x14ac:dyDescent="0.25">
      <c r="A743" s="2" t="s">
        <v>4</v>
      </c>
      <c r="B743" s="3" t="s">
        <v>5</v>
      </c>
      <c r="C743" s="3" t="s">
        <v>64</v>
      </c>
      <c r="D743" s="3">
        <v>5079000</v>
      </c>
    </row>
    <row r="744" spans="1:4" x14ac:dyDescent="0.25">
      <c r="A744" s="2" t="s">
        <v>4</v>
      </c>
      <c r="B744" s="3" t="s">
        <v>5</v>
      </c>
      <c r="C744" s="3" t="s">
        <v>65</v>
      </c>
      <c r="D744" s="3">
        <v>5023065</v>
      </c>
    </row>
    <row r="745" spans="1:4" x14ac:dyDescent="0.25">
      <c r="A745" s="2" t="s">
        <v>4</v>
      </c>
      <c r="B745" s="3" t="s">
        <v>5</v>
      </c>
      <c r="C745" s="3" t="s">
        <v>66</v>
      </c>
      <c r="D745" s="3">
        <v>5026880</v>
      </c>
    </row>
    <row r="746" spans="1:4" x14ac:dyDescent="0.25">
      <c r="A746" s="5" t="s">
        <v>10</v>
      </c>
      <c r="B746" s="6" t="s">
        <v>5</v>
      </c>
      <c r="C746" s="6" t="s">
        <v>36</v>
      </c>
      <c r="D746" s="6">
        <v>4596486</v>
      </c>
    </row>
    <row r="747" spans="1:4" x14ac:dyDescent="0.25">
      <c r="A747" s="2" t="s">
        <v>10</v>
      </c>
      <c r="B747" s="3" t="s">
        <v>5</v>
      </c>
      <c r="C747" s="3" t="s">
        <v>37</v>
      </c>
      <c r="D747" s="3">
        <v>4992690</v>
      </c>
    </row>
    <row r="748" spans="1:4" x14ac:dyDescent="0.25">
      <c r="A748" s="5" t="s">
        <v>10</v>
      </c>
      <c r="B748" s="6" t="s">
        <v>5</v>
      </c>
      <c r="C748" s="6" t="s">
        <v>38</v>
      </c>
      <c r="D748" s="6">
        <v>4990748</v>
      </c>
    </row>
    <row r="749" spans="1:4" x14ac:dyDescent="0.25">
      <c r="A749" s="2" t="s">
        <v>10</v>
      </c>
      <c r="B749" s="3" t="s">
        <v>5</v>
      </c>
      <c r="C749" s="3" t="s">
        <v>39</v>
      </c>
      <c r="D749" s="3">
        <v>4743444</v>
      </c>
    </row>
    <row r="750" spans="1:4" x14ac:dyDescent="0.25">
      <c r="A750" s="5" t="s">
        <v>10</v>
      </c>
      <c r="B750" s="6" t="s">
        <v>5</v>
      </c>
      <c r="C750" s="6" t="s">
        <v>40</v>
      </c>
      <c r="D750" s="6">
        <v>5375299</v>
      </c>
    </row>
    <row r="751" spans="1:4" x14ac:dyDescent="0.25">
      <c r="A751" s="2" t="s">
        <v>10</v>
      </c>
      <c r="B751" s="3" t="s">
        <v>5</v>
      </c>
      <c r="C751" s="3" t="s">
        <v>41</v>
      </c>
      <c r="D751" s="3">
        <v>5678926</v>
      </c>
    </row>
    <row r="752" spans="1:4" x14ac:dyDescent="0.25">
      <c r="A752" s="5" t="s">
        <v>10</v>
      </c>
      <c r="B752" s="6" t="s">
        <v>5</v>
      </c>
      <c r="C752" s="6" t="s">
        <v>42</v>
      </c>
      <c r="D752" s="6">
        <v>6936162</v>
      </c>
    </row>
    <row r="753" spans="1:4" x14ac:dyDescent="0.25">
      <c r="A753" s="2" t="s">
        <v>10</v>
      </c>
      <c r="B753" s="3" t="s">
        <v>5</v>
      </c>
      <c r="C753" s="3" t="s">
        <v>43</v>
      </c>
      <c r="D753" s="3">
        <v>4883650.5</v>
      </c>
    </row>
    <row r="754" spans="1:4" x14ac:dyDescent="0.25">
      <c r="A754" s="5" t="s">
        <v>10</v>
      </c>
      <c r="B754" s="6" t="s">
        <v>5</v>
      </c>
      <c r="C754" s="6" t="s">
        <v>44</v>
      </c>
      <c r="D754" s="6">
        <v>4859451</v>
      </c>
    </row>
    <row r="755" spans="1:4" x14ac:dyDescent="0.25">
      <c r="A755" s="2" t="s">
        <v>10</v>
      </c>
      <c r="B755" s="3" t="s">
        <v>5</v>
      </c>
      <c r="C755" s="3" t="s">
        <v>45</v>
      </c>
      <c r="D755" s="3">
        <v>5527871</v>
      </c>
    </row>
    <row r="756" spans="1:4" x14ac:dyDescent="0.25">
      <c r="A756" s="5" t="s">
        <v>10</v>
      </c>
      <c r="B756" s="6" t="s">
        <v>5</v>
      </c>
      <c r="C756" s="6" t="s">
        <v>46</v>
      </c>
      <c r="D756" s="6">
        <v>5000068</v>
      </c>
    </row>
    <row r="757" spans="1:4" x14ac:dyDescent="0.25">
      <c r="A757" s="2" t="s">
        <v>10</v>
      </c>
      <c r="B757" s="3" t="s">
        <v>5</v>
      </c>
      <c r="C757" s="3" t="s">
        <v>47</v>
      </c>
      <c r="D757" s="3">
        <v>4967366.5</v>
      </c>
    </row>
    <row r="758" spans="1:4" x14ac:dyDescent="0.25">
      <c r="A758" s="5" t="s">
        <v>10</v>
      </c>
      <c r="B758" s="6" t="s">
        <v>5</v>
      </c>
      <c r="C758" s="6" t="s">
        <v>48</v>
      </c>
      <c r="D758" s="6">
        <v>5203471.5</v>
      </c>
    </row>
    <row r="759" spans="1:4" x14ac:dyDescent="0.25">
      <c r="A759" s="2" t="s">
        <v>10</v>
      </c>
      <c r="B759" s="3" t="s">
        <v>5</v>
      </c>
      <c r="C759" s="3" t="s">
        <v>49</v>
      </c>
      <c r="D759" s="3">
        <v>5852924.5</v>
      </c>
    </row>
    <row r="760" spans="1:4" x14ac:dyDescent="0.25">
      <c r="A760" s="5" t="s">
        <v>10</v>
      </c>
      <c r="B760" s="6" t="s">
        <v>5</v>
      </c>
      <c r="C760" s="6" t="s">
        <v>50</v>
      </c>
      <c r="D760" s="6">
        <v>6228338.5</v>
      </c>
    </row>
    <row r="761" spans="1:4" x14ac:dyDescent="0.25">
      <c r="A761" s="2" t="s">
        <v>10</v>
      </c>
      <c r="B761" s="3" t="s">
        <v>5</v>
      </c>
      <c r="C761" s="3" t="s">
        <v>51</v>
      </c>
      <c r="D761" s="3">
        <v>5437614.5</v>
      </c>
    </row>
    <row r="762" spans="1:4" x14ac:dyDescent="0.25">
      <c r="A762" s="5" t="s">
        <v>10</v>
      </c>
      <c r="B762" s="6" t="s">
        <v>5</v>
      </c>
      <c r="C762" s="6" t="s">
        <v>52</v>
      </c>
      <c r="D762" s="6">
        <v>5351282.5</v>
      </c>
    </row>
    <row r="763" spans="1:4" x14ac:dyDescent="0.25">
      <c r="A763" s="2" t="s">
        <v>10</v>
      </c>
      <c r="B763" s="3" t="s">
        <v>5</v>
      </c>
      <c r="C763" s="3" t="s">
        <v>53</v>
      </c>
      <c r="D763" s="3">
        <v>5715578</v>
      </c>
    </row>
    <row r="764" spans="1:4" x14ac:dyDescent="0.25">
      <c r="A764" s="5" t="s">
        <v>10</v>
      </c>
      <c r="B764" s="6" t="s">
        <v>5</v>
      </c>
      <c r="C764" s="6" t="s">
        <v>54</v>
      </c>
      <c r="D764" s="6">
        <v>6375495</v>
      </c>
    </row>
    <row r="765" spans="1:4" x14ac:dyDescent="0.25">
      <c r="A765" s="2" t="s">
        <v>10</v>
      </c>
      <c r="B765" s="3" t="s">
        <v>5</v>
      </c>
      <c r="C765" s="3" t="s">
        <v>55</v>
      </c>
      <c r="D765" s="3">
        <v>1045404.75</v>
      </c>
    </row>
    <row r="766" spans="1:4" x14ac:dyDescent="0.25">
      <c r="A766" s="2" t="s">
        <v>10</v>
      </c>
      <c r="B766" s="3" t="s">
        <v>5</v>
      </c>
      <c r="C766" s="3" t="s">
        <v>56</v>
      </c>
      <c r="D766" s="3">
        <v>999425.25</v>
      </c>
    </row>
    <row r="767" spans="1:4" x14ac:dyDescent="0.25">
      <c r="A767" s="2" t="s">
        <v>10</v>
      </c>
      <c r="B767" s="3" t="s">
        <v>5</v>
      </c>
      <c r="C767" s="3" t="s">
        <v>57</v>
      </c>
      <c r="D767" s="3">
        <v>984177.9375</v>
      </c>
    </row>
    <row r="768" spans="1:4" x14ac:dyDescent="0.25">
      <c r="A768" s="2" t="s">
        <v>10</v>
      </c>
      <c r="B768" s="3" t="s">
        <v>5</v>
      </c>
      <c r="C768" s="3" t="s">
        <v>58</v>
      </c>
      <c r="D768" s="3">
        <v>1043963.5625</v>
      </c>
    </row>
    <row r="769" spans="1:4" x14ac:dyDescent="0.25">
      <c r="A769" s="2" t="s">
        <v>10</v>
      </c>
      <c r="B769" s="3" t="s">
        <v>5</v>
      </c>
      <c r="C769" s="3" t="s">
        <v>59</v>
      </c>
      <c r="D769" s="3">
        <v>1030181.375</v>
      </c>
    </row>
    <row r="770" spans="1:4" x14ac:dyDescent="0.25">
      <c r="A770" s="2" t="s">
        <v>10</v>
      </c>
      <c r="B770" s="3" t="s">
        <v>5</v>
      </c>
      <c r="C770" s="3" t="s">
        <v>60</v>
      </c>
      <c r="D770" s="3">
        <v>1027001.9375</v>
      </c>
    </row>
    <row r="771" spans="1:4" x14ac:dyDescent="0.25">
      <c r="A771" s="2" t="s">
        <v>10</v>
      </c>
      <c r="B771" s="3" t="s">
        <v>5</v>
      </c>
      <c r="C771" s="3" t="s">
        <v>61</v>
      </c>
      <c r="D771" s="3">
        <v>1040414.375</v>
      </c>
    </row>
    <row r="772" spans="1:4" x14ac:dyDescent="0.25">
      <c r="A772" s="2" t="s">
        <v>10</v>
      </c>
      <c r="B772" s="3" t="s">
        <v>5</v>
      </c>
      <c r="C772" s="3" t="s">
        <v>62</v>
      </c>
      <c r="D772" s="3">
        <v>995179</v>
      </c>
    </row>
    <row r="773" spans="1:4" x14ac:dyDescent="0.25">
      <c r="A773" s="2" t="s">
        <v>10</v>
      </c>
      <c r="B773" s="3" t="s">
        <v>5</v>
      </c>
      <c r="C773" s="3" t="s">
        <v>63</v>
      </c>
      <c r="D773" s="3">
        <v>981700.6875</v>
      </c>
    </row>
    <row r="774" spans="1:4" x14ac:dyDescent="0.25">
      <c r="A774" s="2" t="s">
        <v>10</v>
      </c>
      <c r="B774" s="3" t="s">
        <v>5</v>
      </c>
      <c r="C774" s="3" t="s">
        <v>64</v>
      </c>
      <c r="D774" s="3">
        <v>1043381.625</v>
      </c>
    </row>
    <row r="775" spans="1:4" x14ac:dyDescent="0.25">
      <c r="A775" s="2" t="s">
        <v>10</v>
      </c>
      <c r="B775" s="3" t="s">
        <v>5</v>
      </c>
      <c r="C775" s="3" t="s">
        <v>65</v>
      </c>
      <c r="D775" s="3">
        <v>1032108.4375</v>
      </c>
    </row>
    <row r="776" spans="1:4" x14ac:dyDescent="0.25">
      <c r="A776" s="2" t="s">
        <v>10</v>
      </c>
      <c r="B776" s="3" t="s">
        <v>5</v>
      </c>
      <c r="C776" s="3" t="s">
        <v>66</v>
      </c>
      <c r="D776" s="3">
        <v>1031219.0625</v>
      </c>
    </row>
    <row r="777" spans="1:4" x14ac:dyDescent="0.25">
      <c r="A777" s="2" t="s">
        <v>11</v>
      </c>
      <c r="B777" s="3" t="s">
        <v>5</v>
      </c>
      <c r="C777" s="3" t="s">
        <v>36</v>
      </c>
      <c r="D777" s="3">
        <v>4405209</v>
      </c>
    </row>
    <row r="778" spans="1:4" x14ac:dyDescent="0.25">
      <c r="A778" s="5" t="s">
        <v>11</v>
      </c>
      <c r="B778" s="6" t="s">
        <v>5</v>
      </c>
      <c r="C778" s="6" t="s">
        <v>37</v>
      </c>
      <c r="D778" s="6">
        <v>4784925.5</v>
      </c>
    </row>
    <row r="779" spans="1:4" x14ac:dyDescent="0.25">
      <c r="A779" s="2" t="s">
        <v>11</v>
      </c>
      <c r="B779" s="3" t="s">
        <v>5</v>
      </c>
      <c r="C779" s="3" t="s">
        <v>38</v>
      </c>
      <c r="D779" s="3">
        <v>4783064</v>
      </c>
    </row>
    <row r="780" spans="1:4" x14ac:dyDescent="0.25">
      <c r="A780" s="5" t="s">
        <v>11</v>
      </c>
      <c r="B780" s="6" t="s">
        <v>5</v>
      </c>
      <c r="C780" s="6" t="s">
        <v>39</v>
      </c>
      <c r="D780" s="6">
        <v>4546051.5</v>
      </c>
    </row>
    <row r="781" spans="1:4" x14ac:dyDescent="0.25">
      <c r="A781" s="2" t="s">
        <v>11</v>
      </c>
      <c r="B781" s="3" t="s">
        <v>5</v>
      </c>
      <c r="C781" s="3" t="s">
        <v>40</v>
      </c>
      <c r="D781" s="3">
        <v>5151612.5</v>
      </c>
    </row>
    <row r="782" spans="1:4" x14ac:dyDescent="0.25">
      <c r="A782" s="5" t="s">
        <v>11</v>
      </c>
      <c r="B782" s="6" t="s">
        <v>5</v>
      </c>
      <c r="C782" s="6" t="s">
        <v>41</v>
      </c>
      <c r="D782" s="6">
        <v>5442604.5</v>
      </c>
    </row>
    <row r="783" spans="1:4" x14ac:dyDescent="0.25">
      <c r="A783" s="2" t="s">
        <v>11</v>
      </c>
      <c r="B783" s="3" t="s">
        <v>5</v>
      </c>
      <c r="C783" s="3" t="s">
        <v>42</v>
      </c>
      <c r="D783" s="3">
        <v>6647522.5</v>
      </c>
    </row>
    <row r="784" spans="1:4" x14ac:dyDescent="0.25">
      <c r="A784" s="5" t="s">
        <v>11</v>
      </c>
      <c r="B784" s="6" t="s">
        <v>5</v>
      </c>
      <c r="C784" s="6" t="s">
        <v>43</v>
      </c>
      <c r="D784" s="6">
        <v>4677156.5</v>
      </c>
    </row>
    <row r="785" spans="1:4" x14ac:dyDescent="0.25">
      <c r="A785" s="2" t="s">
        <v>11</v>
      </c>
      <c r="B785" s="3" t="s">
        <v>5</v>
      </c>
      <c r="C785" s="3" t="s">
        <v>44</v>
      </c>
      <c r="D785" s="3">
        <v>4653980.5</v>
      </c>
    </row>
    <row r="786" spans="1:4" x14ac:dyDescent="0.25">
      <c r="A786" s="5" t="s">
        <v>11</v>
      </c>
      <c r="B786" s="6" t="s">
        <v>5</v>
      </c>
      <c r="C786" s="6" t="s">
        <v>45</v>
      </c>
      <c r="D786" s="6">
        <v>5294137.5</v>
      </c>
    </row>
    <row r="787" spans="1:4" x14ac:dyDescent="0.25">
      <c r="A787" s="2" t="s">
        <v>11</v>
      </c>
      <c r="B787" s="3" t="s">
        <v>5</v>
      </c>
      <c r="C787" s="3" t="s">
        <v>46</v>
      </c>
      <c r="D787" s="3">
        <v>4788651.5</v>
      </c>
    </row>
    <row r="788" spans="1:4" x14ac:dyDescent="0.25">
      <c r="A788" s="5" t="s">
        <v>11</v>
      </c>
      <c r="B788" s="6" t="s">
        <v>5</v>
      </c>
      <c r="C788" s="6" t="s">
        <v>47</v>
      </c>
      <c r="D788" s="6">
        <v>4757332.5</v>
      </c>
    </row>
    <row r="789" spans="1:4" x14ac:dyDescent="0.25">
      <c r="A789" s="2" t="s">
        <v>11</v>
      </c>
      <c r="B789" s="3" t="s">
        <v>5</v>
      </c>
      <c r="C789" s="3" t="s">
        <v>48</v>
      </c>
      <c r="D789" s="3">
        <v>4983454.5</v>
      </c>
    </row>
    <row r="790" spans="1:4" x14ac:dyDescent="0.25">
      <c r="A790" s="5" t="s">
        <v>11</v>
      </c>
      <c r="B790" s="6" t="s">
        <v>5</v>
      </c>
      <c r="C790" s="6" t="s">
        <v>49</v>
      </c>
      <c r="D790" s="6">
        <v>5605447</v>
      </c>
    </row>
    <row r="791" spans="1:4" x14ac:dyDescent="0.25">
      <c r="A791" s="2" t="s">
        <v>11</v>
      </c>
      <c r="B791" s="3" t="s">
        <v>5</v>
      </c>
      <c r="C791" s="3" t="s">
        <v>50</v>
      </c>
      <c r="D791" s="3">
        <v>5964987</v>
      </c>
    </row>
    <row r="792" spans="1:4" x14ac:dyDescent="0.25">
      <c r="A792" s="5" t="s">
        <v>11</v>
      </c>
      <c r="B792" s="6" t="s">
        <v>5</v>
      </c>
      <c r="C792" s="6" t="s">
        <v>51</v>
      </c>
      <c r="D792" s="6">
        <v>5207697.5</v>
      </c>
    </row>
    <row r="793" spans="1:4" x14ac:dyDescent="0.25">
      <c r="A793" s="2" t="s">
        <v>11</v>
      </c>
      <c r="B793" s="3" t="s">
        <v>5</v>
      </c>
      <c r="C793" s="3" t="s">
        <v>52</v>
      </c>
      <c r="D793" s="3">
        <v>5125016</v>
      </c>
    </row>
    <row r="794" spans="1:4" x14ac:dyDescent="0.25">
      <c r="A794" s="5" t="s">
        <v>11</v>
      </c>
      <c r="B794" s="6" t="s">
        <v>5</v>
      </c>
      <c r="C794" s="6" t="s">
        <v>53</v>
      </c>
      <c r="D794" s="6">
        <v>5473907.5</v>
      </c>
    </row>
    <row r="795" spans="1:4" x14ac:dyDescent="0.25">
      <c r="A795" s="2" t="s">
        <v>11</v>
      </c>
      <c r="B795" s="3" t="s">
        <v>5</v>
      </c>
      <c r="C795" s="3" t="s">
        <v>54</v>
      </c>
      <c r="D795" s="3">
        <v>6105922</v>
      </c>
    </row>
    <row r="796" spans="1:4" x14ac:dyDescent="0.25">
      <c r="A796" s="5" t="s">
        <v>11</v>
      </c>
      <c r="B796" s="6" t="s">
        <v>5</v>
      </c>
      <c r="C796" s="6" t="s">
        <v>55</v>
      </c>
      <c r="D796" s="6">
        <v>695855.6875</v>
      </c>
    </row>
    <row r="797" spans="1:4" x14ac:dyDescent="0.25">
      <c r="A797" s="5" t="s">
        <v>11</v>
      </c>
      <c r="B797" s="6" t="s">
        <v>5</v>
      </c>
      <c r="C797" s="6" t="s">
        <v>56</v>
      </c>
      <c r="D797" s="6">
        <v>674495.1875</v>
      </c>
    </row>
    <row r="798" spans="1:4" x14ac:dyDescent="0.25">
      <c r="A798" s="5" t="s">
        <v>11</v>
      </c>
      <c r="B798" s="6" t="s">
        <v>5</v>
      </c>
      <c r="C798" s="6" t="s">
        <v>57</v>
      </c>
      <c r="D798" s="6">
        <v>667266.8125</v>
      </c>
    </row>
    <row r="799" spans="1:4" x14ac:dyDescent="0.25">
      <c r="A799" s="5" t="s">
        <v>11</v>
      </c>
      <c r="B799" s="6" t="s">
        <v>5</v>
      </c>
      <c r="C799" s="6" t="s">
        <v>58</v>
      </c>
      <c r="D799" s="6">
        <v>694767.1875</v>
      </c>
    </row>
    <row r="800" spans="1:4" x14ac:dyDescent="0.25">
      <c r="A800" s="5" t="s">
        <v>11</v>
      </c>
      <c r="B800" s="6" t="s">
        <v>5</v>
      </c>
      <c r="C800" s="6" t="s">
        <v>59</v>
      </c>
      <c r="D800" s="6">
        <v>688142.1875</v>
      </c>
    </row>
    <row r="801" spans="1:4" x14ac:dyDescent="0.25">
      <c r="A801" s="5" t="s">
        <v>11</v>
      </c>
      <c r="B801" s="6" t="s">
        <v>5</v>
      </c>
      <c r="C801" s="6" t="s">
        <v>60</v>
      </c>
      <c r="D801" s="6">
        <v>686469.0625</v>
      </c>
    </row>
    <row r="802" spans="1:4" x14ac:dyDescent="0.25">
      <c r="A802" s="5" t="s">
        <v>11</v>
      </c>
      <c r="B802" s="6" t="s">
        <v>5</v>
      </c>
      <c r="C802" s="6" t="s">
        <v>61</v>
      </c>
      <c r="D802" s="6">
        <v>692606.5625</v>
      </c>
    </row>
    <row r="803" spans="1:4" x14ac:dyDescent="0.25">
      <c r="A803" s="5" t="s">
        <v>11</v>
      </c>
      <c r="B803" s="6" t="s">
        <v>5</v>
      </c>
      <c r="C803" s="6" t="s">
        <v>62</v>
      </c>
      <c r="D803" s="6">
        <v>671733.1875</v>
      </c>
    </row>
    <row r="804" spans="1:4" x14ac:dyDescent="0.25">
      <c r="A804" s="5" t="s">
        <v>11</v>
      </c>
      <c r="B804" s="6" t="s">
        <v>5</v>
      </c>
      <c r="C804" s="6" t="s">
        <v>63</v>
      </c>
      <c r="D804" s="6">
        <v>665658.625</v>
      </c>
    </row>
    <row r="805" spans="1:4" x14ac:dyDescent="0.25">
      <c r="A805" s="5" t="s">
        <v>11</v>
      </c>
      <c r="B805" s="6" t="s">
        <v>5</v>
      </c>
      <c r="C805" s="6" t="s">
        <v>64</v>
      </c>
      <c r="D805" s="6">
        <v>694380</v>
      </c>
    </row>
    <row r="806" spans="1:4" x14ac:dyDescent="0.25">
      <c r="A806" s="5" t="s">
        <v>11</v>
      </c>
      <c r="B806" s="6" t="s">
        <v>5</v>
      </c>
      <c r="C806" s="6" t="s">
        <v>65</v>
      </c>
      <c r="D806" s="6">
        <v>689405.375</v>
      </c>
    </row>
    <row r="807" spans="1:4" x14ac:dyDescent="0.25">
      <c r="A807" s="5" t="s">
        <v>11</v>
      </c>
      <c r="B807" s="6" t="s">
        <v>5</v>
      </c>
      <c r="C807" s="6" t="s">
        <v>66</v>
      </c>
      <c r="D807" s="6">
        <v>689296.0625</v>
      </c>
    </row>
    <row r="808" spans="1:4" x14ac:dyDescent="0.25">
      <c r="A808" s="2" t="s">
        <v>29</v>
      </c>
      <c r="B808" s="3" t="s">
        <v>5</v>
      </c>
      <c r="C808" s="3" t="s">
        <v>36</v>
      </c>
      <c r="D808" s="3">
        <v>19967.984375</v>
      </c>
    </row>
    <row r="809" spans="1:4" x14ac:dyDescent="0.25">
      <c r="A809" s="5" t="s">
        <v>29</v>
      </c>
      <c r="B809" s="6" t="s">
        <v>5</v>
      </c>
      <c r="C809" s="6" t="s">
        <v>37</v>
      </c>
      <c r="D809" s="6">
        <v>21689.166015625</v>
      </c>
    </row>
    <row r="810" spans="1:4" x14ac:dyDescent="0.25">
      <c r="A810" s="2" t="s">
        <v>29</v>
      </c>
      <c r="B810" s="3" t="s">
        <v>5</v>
      </c>
      <c r="C810" s="3" t="s">
        <v>38</v>
      </c>
      <c r="D810" s="3">
        <v>21680.728515625</v>
      </c>
    </row>
    <row r="811" spans="1:4" x14ac:dyDescent="0.25">
      <c r="A811" s="5" t="s">
        <v>29</v>
      </c>
      <c r="B811" s="6" t="s">
        <v>5</v>
      </c>
      <c r="C811" s="6" t="s">
        <v>39</v>
      </c>
      <c r="D811" s="6">
        <v>20606.39453125</v>
      </c>
    </row>
    <row r="812" spans="1:4" x14ac:dyDescent="0.25">
      <c r="A812" s="2" t="s">
        <v>29</v>
      </c>
      <c r="B812" s="3" t="s">
        <v>5</v>
      </c>
      <c r="C812" s="3" t="s">
        <v>40</v>
      </c>
      <c r="D812" s="3">
        <v>23351.291015625</v>
      </c>
    </row>
    <row r="813" spans="1:4" x14ac:dyDescent="0.25">
      <c r="A813" s="5" t="s">
        <v>29</v>
      </c>
      <c r="B813" s="6" t="s">
        <v>5</v>
      </c>
      <c r="C813" s="6" t="s">
        <v>41</v>
      </c>
      <c r="D813" s="6">
        <v>24670.302734375</v>
      </c>
    </row>
    <row r="814" spans="1:4" x14ac:dyDescent="0.25">
      <c r="A814" s="2" t="s">
        <v>29</v>
      </c>
      <c r="B814" s="3" t="s">
        <v>5</v>
      </c>
      <c r="C814" s="3" t="s">
        <v>42</v>
      </c>
      <c r="D814" s="3">
        <v>30131.96875</v>
      </c>
    </row>
    <row r="815" spans="1:4" x14ac:dyDescent="0.25">
      <c r="A815" s="5" t="s">
        <v>29</v>
      </c>
      <c r="B815" s="6" t="s">
        <v>5</v>
      </c>
      <c r="C815" s="6" t="s">
        <v>43</v>
      </c>
      <c r="D815" s="6">
        <v>21056.681640625</v>
      </c>
    </row>
    <row r="816" spans="1:4" x14ac:dyDescent="0.25">
      <c r="A816" s="2" t="s">
        <v>29</v>
      </c>
      <c r="B816" s="3" t="s">
        <v>5</v>
      </c>
      <c r="C816" s="3" t="s">
        <v>44</v>
      </c>
      <c r="D816" s="3">
        <v>20952.345703125</v>
      </c>
    </row>
    <row r="817" spans="1:4" x14ac:dyDescent="0.25">
      <c r="A817" s="5" t="s">
        <v>29</v>
      </c>
      <c r="B817" s="6" t="s">
        <v>5</v>
      </c>
      <c r="C817" s="6" t="s">
        <v>45</v>
      </c>
      <c r="D817" s="6">
        <v>23834.34765625</v>
      </c>
    </row>
    <row r="818" spans="1:4" x14ac:dyDescent="0.25">
      <c r="A818" s="2" t="s">
        <v>29</v>
      </c>
      <c r="B818" s="3" t="s">
        <v>5</v>
      </c>
      <c r="C818" s="3" t="s">
        <v>46</v>
      </c>
      <c r="D818" s="3">
        <v>21558.63671875</v>
      </c>
    </row>
    <row r="819" spans="1:4" x14ac:dyDescent="0.25">
      <c r="A819" s="5" t="s">
        <v>29</v>
      </c>
      <c r="B819" s="6" t="s">
        <v>5</v>
      </c>
      <c r="C819" s="6" t="s">
        <v>47</v>
      </c>
      <c r="D819" s="6">
        <v>21417.638671875</v>
      </c>
    </row>
    <row r="820" spans="1:4" x14ac:dyDescent="0.25">
      <c r="A820" s="2" t="s">
        <v>29</v>
      </c>
      <c r="B820" s="3" t="s">
        <v>5</v>
      </c>
      <c r="C820" s="3" t="s">
        <v>48</v>
      </c>
      <c r="D820" s="3">
        <v>22435.646484375</v>
      </c>
    </row>
    <row r="821" spans="1:4" x14ac:dyDescent="0.25">
      <c r="A821" s="5" t="s">
        <v>29</v>
      </c>
      <c r="B821" s="6" t="s">
        <v>5</v>
      </c>
      <c r="C821" s="6" t="s">
        <v>49</v>
      </c>
      <c r="D821" s="6">
        <v>25235.873046875</v>
      </c>
    </row>
    <row r="822" spans="1:4" x14ac:dyDescent="0.25">
      <c r="A822" s="2" t="s">
        <v>29</v>
      </c>
      <c r="B822" s="3" t="s">
        <v>5</v>
      </c>
      <c r="C822" s="3" t="s">
        <v>50</v>
      </c>
      <c r="D822" s="3">
        <v>26854.533203125</v>
      </c>
    </row>
    <row r="823" spans="1:4" x14ac:dyDescent="0.25">
      <c r="A823" s="5" t="s">
        <v>29</v>
      </c>
      <c r="B823" s="6" t="s">
        <v>5</v>
      </c>
      <c r="C823" s="6" t="s">
        <v>51</v>
      </c>
      <c r="D823" s="6">
        <v>23445.1953125</v>
      </c>
    </row>
    <row r="824" spans="1:4" x14ac:dyDescent="0.25">
      <c r="A824" s="2" t="s">
        <v>29</v>
      </c>
      <c r="B824" s="3" t="s">
        <v>5</v>
      </c>
      <c r="C824" s="3" t="s">
        <v>52</v>
      </c>
      <c r="D824" s="3">
        <v>23072.958984375</v>
      </c>
    </row>
    <row r="825" spans="1:4" x14ac:dyDescent="0.25">
      <c r="A825" s="5" t="s">
        <v>29</v>
      </c>
      <c r="B825" s="6" t="s">
        <v>5</v>
      </c>
      <c r="C825" s="6" t="s">
        <v>53</v>
      </c>
      <c r="D825" s="6">
        <v>24643.6796875</v>
      </c>
    </row>
    <row r="826" spans="1:4" x14ac:dyDescent="0.25">
      <c r="A826" s="2" t="s">
        <v>29</v>
      </c>
      <c r="B826" s="3" t="s">
        <v>5</v>
      </c>
      <c r="C826" s="3" t="s">
        <v>54</v>
      </c>
      <c r="D826" s="3">
        <v>27489.025390625</v>
      </c>
    </row>
    <row r="827" spans="1:4" x14ac:dyDescent="0.25">
      <c r="A827" s="2" t="s">
        <v>29</v>
      </c>
      <c r="B827" s="3" t="s">
        <v>5</v>
      </c>
      <c r="C827" s="3" t="s">
        <v>55</v>
      </c>
      <c r="D827" s="3">
        <v>45150.20703125</v>
      </c>
    </row>
    <row r="828" spans="1:4" x14ac:dyDescent="0.25">
      <c r="A828" s="2" t="s">
        <v>29</v>
      </c>
      <c r="B828" s="3" t="s">
        <v>5</v>
      </c>
      <c r="C828" s="3" t="s">
        <v>56</v>
      </c>
      <c r="D828" s="3">
        <v>43081.4296875</v>
      </c>
    </row>
    <row r="829" spans="1:4" x14ac:dyDescent="0.25">
      <c r="A829" s="2" t="s">
        <v>29</v>
      </c>
      <c r="B829" s="3" t="s">
        <v>5</v>
      </c>
      <c r="C829" s="3" t="s">
        <v>57</v>
      </c>
      <c r="D829" s="3">
        <v>42425.34375</v>
      </c>
    </row>
    <row r="830" spans="1:4" x14ac:dyDescent="0.25">
      <c r="A830" s="2" t="s">
        <v>29</v>
      </c>
      <c r="B830" s="3" t="s">
        <v>5</v>
      </c>
      <c r="C830" s="3" t="s">
        <v>58</v>
      </c>
      <c r="D830" s="3">
        <v>45172.19140625</v>
      </c>
    </row>
    <row r="831" spans="1:4" x14ac:dyDescent="0.25">
      <c r="A831" s="2" t="s">
        <v>29</v>
      </c>
      <c r="B831" s="3" t="s">
        <v>5</v>
      </c>
      <c r="C831" s="3" t="s">
        <v>59</v>
      </c>
      <c r="D831" s="3">
        <v>44597.3828125</v>
      </c>
    </row>
    <row r="832" spans="1:4" x14ac:dyDescent="0.25">
      <c r="A832" s="2" t="s">
        <v>29</v>
      </c>
      <c r="B832" s="3" t="s">
        <v>5</v>
      </c>
      <c r="C832" s="3" t="s">
        <v>60</v>
      </c>
      <c r="D832" s="3">
        <v>44495.015625</v>
      </c>
    </row>
    <row r="833" spans="1:4" x14ac:dyDescent="0.25">
      <c r="A833" s="2" t="s">
        <v>29</v>
      </c>
      <c r="B833" s="3" t="s">
        <v>5</v>
      </c>
      <c r="C833" s="3" t="s">
        <v>61</v>
      </c>
      <c r="D833" s="3">
        <v>45117.7109375</v>
      </c>
    </row>
    <row r="834" spans="1:4" x14ac:dyDescent="0.25">
      <c r="A834" s="2" t="s">
        <v>29</v>
      </c>
      <c r="B834" s="3" t="s">
        <v>5</v>
      </c>
      <c r="C834" s="3" t="s">
        <v>62</v>
      </c>
      <c r="D834" s="3">
        <v>43053.2109375</v>
      </c>
    </row>
    <row r="835" spans="1:4" x14ac:dyDescent="0.25">
      <c r="A835" s="2" t="s">
        <v>29</v>
      </c>
      <c r="B835" s="3" t="s">
        <v>5</v>
      </c>
      <c r="C835" s="3" t="s">
        <v>63</v>
      </c>
      <c r="D835" s="3">
        <v>42407.6640625</v>
      </c>
    </row>
    <row r="836" spans="1:4" x14ac:dyDescent="0.25">
      <c r="A836" s="2" t="s">
        <v>29</v>
      </c>
      <c r="B836" s="3" t="s">
        <v>5</v>
      </c>
      <c r="C836" s="3" t="s">
        <v>64</v>
      </c>
      <c r="D836" s="3">
        <v>45169.34375</v>
      </c>
    </row>
    <row r="837" spans="1:4" x14ac:dyDescent="0.25">
      <c r="A837" s="2" t="s">
        <v>29</v>
      </c>
      <c r="B837" s="3" t="s">
        <v>5</v>
      </c>
      <c r="C837" s="3" t="s">
        <v>65</v>
      </c>
      <c r="D837" s="3">
        <v>44608.3515625</v>
      </c>
    </row>
    <row r="838" spans="1:4" x14ac:dyDescent="0.25">
      <c r="A838" s="2" t="s">
        <v>29</v>
      </c>
      <c r="B838" s="3" t="s">
        <v>5</v>
      </c>
      <c r="C838" s="3" t="s">
        <v>66</v>
      </c>
      <c r="D838" s="3">
        <v>44525.9609375</v>
      </c>
    </row>
    <row r="839" spans="1:4" x14ac:dyDescent="0.25">
      <c r="A839" s="5" t="s">
        <v>18</v>
      </c>
      <c r="B839" s="6" t="s">
        <v>5</v>
      </c>
      <c r="C839" s="6" t="s">
        <v>36</v>
      </c>
      <c r="D839" s="6">
        <v>22002202</v>
      </c>
    </row>
    <row r="840" spans="1:4" x14ac:dyDescent="0.25">
      <c r="A840" s="2" t="s">
        <v>18</v>
      </c>
      <c r="B840" s="3" t="s">
        <v>5</v>
      </c>
      <c r="C840" s="3" t="s">
        <v>37</v>
      </c>
      <c r="D840" s="3">
        <v>23898728</v>
      </c>
    </row>
    <row r="841" spans="1:4" x14ac:dyDescent="0.25">
      <c r="A841" s="5" t="s">
        <v>18</v>
      </c>
      <c r="B841" s="6" t="s">
        <v>5</v>
      </c>
      <c r="C841" s="6" t="s">
        <v>38</v>
      </c>
      <c r="D841" s="6">
        <v>23889432</v>
      </c>
    </row>
    <row r="842" spans="1:4" x14ac:dyDescent="0.25">
      <c r="A842" s="2" t="s">
        <v>18</v>
      </c>
      <c r="B842" s="3" t="s">
        <v>5</v>
      </c>
      <c r="C842" s="3" t="s">
        <v>39</v>
      </c>
      <c r="D842" s="3">
        <v>22705652</v>
      </c>
    </row>
    <row r="843" spans="1:4" x14ac:dyDescent="0.25">
      <c r="A843" s="5" t="s">
        <v>18</v>
      </c>
      <c r="B843" s="6" t="s">
        <v>5</v>
      </c>
      <c r="C843" s="6" t="s">
        <v>40</v>
      </c>
      <c r="D843" s="6">
        <v>25730180</v>
      </c>
    </row>
    <row r="844" spans="1:4" x14ac:dyDescent="0.25">
      <c r="A844" s="2" t="s">
        <v>18</v>
      </c>
      <c r="B844" s="3" t="s">
        <v>5</v>
      </c>
      <c r="C844" s="3" t="s">
        <v>41</v>
      </c>
      <c r="D844" s="3">
        <v>27183564</v>
      </c>
    </row>
    <row r="845" spans="1:4" x14ac:dyDescent="0.25">
      <c r="A845" s="5" t="s">
        <v>18</v>
      </c>
      <c r="B845" s="6" t="s">
        <v>5</v>
      </c>
      <c r="C845" s="6" t="s">
        <v>42</v>
      </c>
      <c r="D845" s="6">
        <v>33201632</v>
      </c>
    </row>
    <row r="846" spans="1:4" x14ac:dyDescent="0.25">
      <c r="A846" s="2" t="s">
        <v>18</v>
      </c>
      <c r="B846" s="3" t="s">
        <v>5</v>
      </c>
      <c r="C846" s="3" t="s">
        <v>43</v>
      </c>
      <c r="D846" s="3">
        <v>23620590</v>
      </c>
    </row>
    <row r="847" spans="1:4" x14ac:dyDescent="0.25">
      <c r="A847" s="5" t="s">
        <v>18</v>
      </c>
      <c r="B847" s="6" t="s">
        <v>5</v>
      </c>
      <c r="C847" s="6" t="s">
        <v>44</v>
      </c>
      <c r="D847" s="6">
        <v>23503548</v>
      </c>
    </row>
    <row r="848" spans="1:4" x14ac:dyDescent="0.25">
      <c r="A848" s="2" t="s">
        <v>18</v>
      </c>
      <c r="B848" s="3" t="s">
        <v>5</v>
      </c>
      <c r="C848" s="3" t="s">
        <v>45</v>
      </c>
      <c r="D848" s="3">
        <v>26736472</v>
      </c>
    </row>
    <row r="849" spans="1:4" x14ac:dyDescent="0.25">
      <c r="A849" s="5" t="s">
        <v>18</v>
      </c>
      <c r="B849" s="6" t="s">
        <v>5</v>
      </c>
      <c r="C849" s="6" t="s">
        <v>46</v>
      </c>
      <c r="D849" s="6">
        <v>24183664</v>
      </c>
    </row>
    <row r="850" spans="1:4" x14ac:dyDescent="0.25">
      <c r="A850" s="2" t="s">
        <v>18</v>
      </c>
      <c r="B850" s="3" t="s">
        <v>5</v>
      </c>
      <c r="C850" s="3" t="s">
        <v>47</v>
      </c>
      <c r="D850" s="3">
        <v>24025498</v>
      </c>
    </row>
    <row r="851" spans="1:4" x14ac:dyDescent="0.25">
      <c r="A851" s="5" t="s">
        <v>18</v>
      </c>
      <c r="B851" s="6" t="s">
        <v>5</v>
      </c>
      <c r="C851" s="6" t="s">
        <v>48</v>
      </c>
      <c r="D851" s="6">
        <v>25167460</v>
      </c>
    </row>
    <row r="852" spans="1:4" x14ac:dyDescent="0.25">
      <c r="A852" s="2" t="s">
        <v>18</v>
      </c>
      <c r="B852" s="3" t="s">
        <v>5</v>
      </c>
      <c r="C852" s="3" t="s">
        <v>49</v>
      </c>
      <c r="D852" s="3">
        <v>28308648</v>
      </c>
    </row>
    <row r="853" spans="1:4" x14ac:dyDescent="0.25">
      <c r="A853" s="5" t="s">
        <v>18</v>
      </c>
      <c r="B853" s="6" t="s">
        <v>5</v>
      </c>
      <c r="C853" s="6" t="s">
        <v>50</v>
      </c>
      <c r="D853" s="6">
        <v>30124398</v>
      </c>
    </row>
    <row r="854" spans="1:4" x14ac:dyDescent="0.25">
      <c r="A854" s="2" t="s">
        <v>18</v>
      </c>
      <c r="B854" s="3" t="s">
        <v>5</v>
      </c>
      <c r="C854" s="3" t="s">
        <v>51</v>
      </c>
      <c r="D854" s="3">
        <v>26299932</v>
      </c>
    </row>
    <row r="855" spans="1:4" x14ac:dyDescent="0.25">
      <c r="A855" s="5" t="s">
        <v>18</v>
      </c>
      <c r="B855" s="6" t="s">
        <v>5</v>
      </c>
      <c r="C855" s="6" t="s">
        <v>52</v>
      </c>
      <c r="D855" s="6">
        <v>25882372</v>
      </c>
    </row>
    <row r="856" spans="1:4" x14ac:dyDescent="0.25">
      <c r="A856" s="2" t="s">
        <v>18</v>
      </c>
      <c r="B856" s="3" t="s">
        <v>5</v>
      </c>
      <c r="C856" s="3" t="s">
        <v>53</v>
      </c>
      <c r="D856" s="3">
        <v>27644348</v>
      </c>
    </row>
    <row r="857" spans="1:4" x14ac:dyDescent="0.25">
      <c r="A857" s="5" t="s">
        <v>18</v>
      </c>
      <c r="B857" s="6" t="s">
        <v>5</v>
      </c>
      <c r="C857" s="6" t="s">
        <v>54</v>
      </c>
      <c r="D857" s="6">
        <v>30836148</v>
      </c>
    </row>
    <row r="858" spans="1:4" x14ac:dyDescent="0.25">
      <c r="A858" s="2" t="s">
        <v>18</v>
      </c>
      <c r="B858" s="3" t="s">
        <v>5</v>
      </c>
      <c r="C858" s="3" t="s">
        <v>55</v>
      </c>
      <c r="D858" s="3">
        <v>1265760</v>
      </c>
    </row>
    <row r="859" spans="1:4" x14ac:dyDescent="0.25">
      <c r="A859" s="2" t="s">
        <v>18</v>
      </c>
      <c r="B859" s="3" t="s">
        <v>5</v>
      </c>
      <c r="C859" s="3" t="s">
        <v>56</v>
      </c>
      <c r="D859" s="3">
        <v>1251556.875</v>
      </c>
    </row>
    <row r="860" spans="1:4" x14ac:dyDescent="0.25">
      <c r="A860" s="2" t="s">
        <v>18</v>
      </c>
      <c r="B860" s="3" t="s">
        <v>5</v>
      </c>
      <c r="C860" s="3" t="s">
        <v>57</v>
      </c>
      <c r="D860" s="3">
        <v>1246829.625</v>
      </c>
    </row>
    <row r="861" spans="1:4" x14ac:dyDescent="0.25">
      <c r="A861" s="2" t="s">
        <v>18</v>
      </c>
      <c r="B861" s="3" t="s">
        <v>5</v>
      </c>
      <c r="C861" s="3" t="s">
        <v>58</v>
      </c>
      <c r="D861" s="3">
        <v>1265268.625</v>
      </c>
    </row>
    <row r="862" spans="1:4" x14ac:dyDescent="0.25">
      <c r="A862" s="2" t="s">
        <v>18</v>
      </c>
      <c r="B862" s="3" t="s">
        <v>5</v>
      </c>
      <c r="C862" s="3" t="s">
        <v>59</v>
      </c>
      <c r="D862" s="3">
        <v>1260992.25</v>
      </c>
    </row>
    <row r="863" spans="1:4" x14ac:dyDescent="0.25">
      <c r="A863" s="2" t="s">
        <v>18</v>
      </c>
      <c r="B863" s="3" t="s">
        <v>5</v>
      </c>
      <c r="C863" s="3" t="s">
        <v>60</v>
      </c>
      <c r="D863" s="3">
        <v>1259988.75</v>
      </c>
    </row>
    <row r="864" spans="1:4" x14ac:dyDescent="0.25">
      <c r="A864" s="2" t="s">
        <v>18</v>
      </c>
      <c r="B864" s="3" t="s">
        <v>5</v>
      </c>
      <c r="C864" s="3" t="s">
        <v>61</v>
      </c>
      <c r="D864" s="3">
        <v>1264114.75</v>
      </c>
    </row>
    <row r="865" spans="1:4" x14ac:dyDescent="0.25">
      <c r="A865" s="2" t="s">
        <v>18</v>
      </c>
      <c r="B865" s="3" t="s">
        <v>5</v>
      </c>
      <c r="C865" s="3" t="s">
        <v>62</v>
      </c>
      <c r="D865" s="3">
        <v>1250151.75</v>
      </c>
    </row>
    <row r="866" spans="1:4" x14ac:dyDescent="0.25">
      <c r="A866" s="2" t="s">
        <v>18</v>
      </c>
      <c r="B866" s="3" t="s">
        <v>5</v>
      </c>
      <c r="C866" s="3" t="s">
        <v>63</v>
      </c>
      <c r="D866" s="3">
        <v>1246013.125</v>
      </c>
    </row>
    <row r="867" spans="1:4" x14ac:dyDescent="0.25">
      <c r="A867" s="2" t="s">
        <v>18</v>
      </c>
      <c r="B867" s="3" t="s">
        <v>5</v>
      </c>
      <c r="C867" s="3" t="s">
        <v>64</v>
      </c>
      <c r="D867" s="3">
        <v>1265088</v>
      </c>
    </row>
    <row r="868" spans="1:4" x14ac:dyDescent="0.25">
      <c r="A868" s="2" t="s">
        <v>18</v>
      </c>
      <c r="B868" s="3" t="s">
        <v>5</v>
      </c>
      <c r="C868" s="3" t="s">
        <v>65</v>
      </c>
      <c r="D868" s="3">
        <v>1261626.25</v>
      </c>
    </row>
    <row r="869" spans="1:4" x14ac:dyDescent="0.25">
      <c r="A869" s="2" t="s">
        <v>18</v>
      </c>
      <c r="B869" s="3" t="s">
        <v>5</v>
      </c>
      <c r="C869" s="3" t="s">
        <v>66</v>
      </c>
      <c r="D869" s="3">
        <v>1261823.25</v>
      </c>
    </row>
    <row r="870" spans="1:4" x14ac:dyDescent="0.25">
      <c r="A870" s="5" t="s">
        <v>6</v>
      </c>
      <c r="B870" s="6" t="s">
        <v>5</v>
      </c>
      <c r="C870" s="6" t="s">
        <v>36</v>
      </c>
      <c r="D870" s="6">
        <v>4310336.5</v>
      </c>
    </row>
    <row r="871" spans="1:4" x14ac:dyDescent="0.25">
      <c r="A871" s="2" t="s">
        <v>6</v>
      </c>
      <c r="B871" s="3" t="s">
        <v>5</v>
      </c>
      <c r="C871" s="3" t="s">
        <v>37</v>
      </c>
      <c r="D871" s="3">
        <v>4681875</v>
      </c>
    </row>
    <row r="872" spans="1:4" x14ac:dyDescent="0.25">
      <c r="A872" s="5" t="s">
        <v>6</v>
      </c>
      <c r="B872" s="6" t="s">
        <v>5</v>
      </c>
      <c r="C872" s="6" t="s">
        <v>38</v>
      </c>
      <c r="D872" s="6">
        <v>4680054</v>
      </c>
    </row>
    <row r="873" spans="1:4" x14ac:dyDescent="0.25">
      <c r="A873" s="2" t="s">
        <v>6</v>
      </c>
      <c r="B873" s="3" t="s">
        <v>5</v>
      </c>
      <c r="C873" s="3" t="s">
        <v>39</v>
      </c>
      <c r="D873" s="3">
        <v>4448146</v>
      </c>
    </row>
    <row r="874" spans="1:4" x14ac:dyDescent="0.25">
      <c r="A874" s="5" t="s">
        <v>6</v>
      </c>
      <c r="B874" s="6" t="s">
        <v>5</v>
      </c>
      <c r="C874" s="6" t="s">
        <v>40</v>
      </c>
      <c r="D874" s="6">
        <v>5040665.5</v>
      </c>
    </row>
    <row r="875" spans="1:4" x14ac:dyDescent="0.25">
      <c r="A875" s="2" t="s">
        <v>6</v>
      </c>
      <c r="B875" s="3" t="s">
        <v>5</v>
      </c>
      <c r="C875" s="3" t="s">
        <v>41</v>
      </c>
      <c r="D875" s="3">
        <v>5325390.5</v>
      </c>
    </row>
    <row r="876" spans="1:4" x14ac:dyDescent="0.25">
      <c r="A876" s="5" t="s">
        <v>6</v>
      </c>
      <c r="B876" s="6" t="s">
        <v>5</v>
      </c>
      <c r="C876" s="6" t="s">
        <v>42</v>
      </c>
      <c r="D876" s="6">
        <v>6504358.5</v>
      </c>
    </row>
    <row r="877" spans="1:4" x14ac:dyDescent="0.25">
      <c r="A877" s="2" t="s">
        <v>6</v>
      </c>
      <c r="B877" s="3" t="s">
        <v>5</v>
      </c>
      <c r="C877" s="3" t="s">
        <v>43</v>
      </c>
      <c r="D877" s="3">
        <v>4530886.5</v>
      </c>
    </row>
    <row r="878" spans="1:4" x14ac:dyDescent="0.25">
      <c r="A878" s="5" t="s">
        <v>6</v>
      </c>
      <c r="B878" s="6" t="s">
        <v>5</v>
      </c>
      <c r="C878" s="6" t="s">
        <v>44</v>
      </c>
      <c r="D878" s="6">
        <v>4508435.5</v>
      </c>
    </row>
    <row r="879" spans="1:4" x14ac:dyDescent="0.25">
      <c r="A879" s="2" t="s">
        <v>6</v>
      </c>
      <c r="B879" s="3" t="s">
        <v>5</v>
      </c>
      <c r="C879" s="3" t="s">
        <v>45</v>
      </c>
      <c r="D879" s="3">
        <v>5128572.5</v>
      </c>
    </row>
    <row r="880" spans="1:4" x14ac:dyDescent="0.25">
      <c r="A880" s="5" t="s">
        <v>6</v>
      </c>
      <c r="B880" s="6" t="s">
        <v>5</v>
      </c>
      <c r="C880" s="6" t="s">
        <v>46</v>
      </c>
      <c r="D880" s="6">
        <v>4638894.5</v>
      </c>
    </row>
    <row r="881" spans="1:4" x14ac:dyDescent="0.25">
      <c r="A881" s="2" t="s">
        <v>6</v>
      </c>
      <c r="B881" s="3" t="s">
        <v>5</v>
      </c>
      <c r="C881" s="3" t="s">
        <v>47</v>
      </c>
      <c r="D881" s="3">
        <v>4608555.5</v>
      </c>
    </row>
    <row r="882" spans="1:4" x14ac:dyDescent="0.25">
      <c r="A882" s="5" t="s">
        <v>6</v>
      </c>
      <c r="B882" s="6" t="s">
        <v>5</v>
      </c>
      <c r="C882" s="6" t="s">
        <v>48</v>
      </c>
      <c r="D882" s="6">
        <v>4827605.5</v>
      </c>
    </row>
    <row r="883" spans="1:4" x14ac:dyDescent="0.25">
      <c r="A883" s="2" t="s">
        <v>6</v>
      </c>
      <c r="B883" s="3" t="s">
        <v>5</v>
      </c>
      <c r="C883" s="3" t="s">
        <v>49</v>
      </c>
      <c r="D883" s="3">
        <v>5430146.5</v>
      </c>
    </row>
    <row r="884" spans="1:4" x14ac:dyDescent="0.25">
      <c r="A884" s="5" t="s">
        <v>6</v>
      </c>
      <c r="B884" s="6" t="s">
        <v>5</v>
      </c>
      <c r="C884" s="6" t="s">
        <v>50</v>
      </c>
      <c r="D884" s="6">
        <v>5778442.5</v>
      </c>
    </row>
    <row r="885" spans="1:4" x14ac:dyDescent="0.25">
      <c r="A885" s="2" t="s">
        <v>6</v>
      </c>
      <c r="B885" s="3" t="s">
        <v>5</v>
      </c>
      <c r="C885" s="3" t="s">
        <v>51</v>
      </c>
      <c r="D885" s="3">
        <v>5044836</v>
      </c>
    </row>
    <row r="886" spans="1:4" x14ac:dyDescent="0.25">
      <c r="A886" s="5" t="s">
        <v>6</v>
      </c>
      <c r="B886" s="6" t="s">
        <v>5</v>
      </c>
      <c r="C886" s="6" t="s">
        <v>52</v>
      </c>
      <c r="D886" s="6">
        <v>4964740</v>
      </c>
    </row>
    <row r="887" spans="1:4" x14ac:dyDescent="0.25">
      <c r="A887" s="2" t="s">
        <v>6</v>
      </c>
      <c r="B887" s="3" t="s">
        <v>5</v>
      </c>
      <c r="C887" s="3" t="s">
        <v>53</v>
      </c>
      <c r="D887" s="3">
        <v>5302721</v>
      </c>
    </row>
    <row r="888" spans="1:4" x14ac:dyDescent="0.25">
      <c r="A888" s="5" t="s">
        <v>6</v>
      </c>
      <c r="B888" s="6" t="s">
        <v>5</v>
      </c>
      <c r="C888" s="6" t="s">
        <v>54</v>
      </c>
      <c r="D888" s="6">
        <v>5914969.5</v>
      </c>
    </row>
    <row r="889" spans="1:4" x14ac:dyDescent="0.25">
      <c r="A889" s="5" t="s">
        <v>6</v>
      </c>
      <c r="B889" s="6" t="s">
        <v>5</v>
      </c>
      <c r="C889" s="6" t="s">
        <v>55</v>
      </c>
      <c r="D889" s="6">
        <v>916990.5</v>
      </c>
    </row>
    <row r="890" spans="1:4" x14ac:dyDescent="0.25">
      <c r="A890" s="5" t="s">
        <v>6</v>
      </c>
      <c r="B890" s="6" t="s">
        <v>5</v>
      </c>
      <c r="C890" s="6" t="s">
        <v>56</v>
      </c>
      <c r="D890" s="6">
        <v>870580.5625</v>
      </c>
    </row>
    <row r="891" spans="1:4" x14ac:dyDescent="0.25">
      <c r="A891" s="5" t="s">
        <v>6</v>
      </c>
      <c r="B891" s="6" t="s">
        <v>5</v>
      </c>
      <c r="C891" s="6" t="s">
        <v>57</v>
      </c>
      <c r="D891" s="6">
        <v>854702.625</v>
      </c>
    </row>
    <row r="892" spans="1:4" x14ac:dyDescent="0.25">
      <c r="A892" s="5" t="s">
        <v>6</v>
      </c>
      <c r="B892" s="6" t="s">
        <v>5</v>
      </c>
      <c r="C892" s="6" t="s">
        <v>58</v>
      </c>
      <c r="D892" s="6">
        <v>914139.5</v>
      </c>
    </row>
    <row r="893" spans="1:4" x14ac:dyDescent="0.25">
      <c r="A893" s="5" t="s">
        <v>6</v>
      </c>
      <c r="B893" s="6" t="s">
        <v>5</v>
      </c>
      <c r="C893" s="6" t="s">
        <v>59</v>
      </c>
      <c r="D893" s="6">
        <v>899448.5625</v>
      </c>
    </row>
    <row r="894" spans="1:4" x14ac:dyDescent="0.25">
      <c r="A894" s="5" t="s">
        <v>6</v>
      </c>
      <c r="B894" s="6" t="s">
        <v>5</v>
      </c>
      <c r="C894" s="6" t="s">
        <v>60</v>
      </c>
      <c r="D894" s="6">
        <v>895590.125</v>
      </c>
    </row>
    <row r="895" spans="1:4" x14ac:dyDescent="0.25">
      <c r="A895" s="5" t="s">
        <v>6</v>
      </c>
      <c r="B895" s="6" t="s">
        <v>5</v>
      </c>
      <c r="C895" s="6" t="s">
        <v>61</v>
      </c>
      <c r="D895" s="6">
        <v>908807.875</v>
      </c>
    </row>
    <row r="896" spans="1:4" x14ac:dyDescent="0.25">
      <c r="A896" s="5" t="s">
        <v>6</v>
      </c>
      <c r="B896" s="6" t="s">
        <v>5</v>
      </c>
      <c r="C896" s="6" t="s">
        <v>62</v>
      </c>
      <c r="D896" s="6">
        <v>863627.375</v>
      </c>
    </row>
    <row r="897" spans="1:4" x14ac:dyDescent="0.25">
      <c r="A897" s="5" t="s">
        <v>6</v>
      </c>
      <c r="B897" s="6" t="s">
        <v>5</v>
      </c>
      <c r="C897" s="6" t="s">
        <v>63</v>
      </c>
      <c r="D897" s="6">
        <v>850627</v>
      </c>
    </row>
    <row r="898" spans="1:4" x14ac:dyDescent="0.25">
      <c r="A898" s="5" t="s">
        <v>6</v>
      </c>
      <c r="B898" s="6" t="s">
        <v>5</v>
      </c>
      <c r="C898" s="6" t="s">
        <v>64</v>
      </c>
      <c r="D898" s="6">
        <v>913117.875</v>
      </c>
    </row>
    <row r="899" spans="1:4" x14ac:dyDescent="0.25">
      <c r="A899" s="5" t="s">
        <v>6</v>
      </c>
      <c r="B899" s="6" t="s">
        <v>5</v>
      </c>
      <c r="C899" s="6" t="s">
        <v>65</v>
      </c>
      <c r="D899" s="6">
        <v>902645.5</v>
      </c>
    </row>
    <row r="900" spans="1:4" x14ac:dyDescent="0.25">
      <c r="A900" s="5" t="s">
        <v>6</v>
      </c>
      <c r="B900" s="6" t="s">
        <v>5</v>
      </c>
      <c r="C900" s="6" t="s">
        <v>66</v>
      </c>
      <c r="D900" s="6">
        <v>902390.0625</v>
      </c>
    </row>
    <row r="901" spans="1:4" x14ac:dyDescent="0.25">
      <c r="A901" s="2" t="s">
        <v>23</v>
      </c>
      <c r="B901" s="3" t="s">
        <v>5</v>
      </c>
      <c r="C901" s="3" t="s">
        <v>36</v>
      </c>
      <c r="D901" s="3">
        <v>11165468</v>
      </c>
    </row>
    <row r="902" spans="1:4" x14ac:dyDescent="0.25">
      <c r="A902" s="5" t="s">
        <v>23</v>
      </c>
      <c r="B902" s="6" t="s">
        <v>5</v>
      </c>
      <c r="C902" s="6" t="s">
        <v>37</v>
      </c>
      <c r="D902" s="6">
        <v>12127899</v>
      </c>
    </row>
    <row r="903" spans="1:4" x14ac:dyDescent="0.25">
      <c r="A903" s="2" t="s">
        <v>23</v>
      </c>
      <c r="B903" s="3" t="s">
        <v>5</v>
      </c>
      <c r="C903" s="3" t="s">
        <v>38</v>
      </c>
      <c r="D903" s="3">
        <v>12123182</v>
      </c>
    </row>
    <row r="904" spans="1:4" x14ac:dyDescent="0.25">
      <c r="A904" s="5" t="s">
        <v>23</v>
      </c>
      <c r="B904" s="6" t="s">
        <v>5</v>
      </c>
      <c r="C904" s="6" t="s">
        <v>39</v>
      </c>
      <c r="D904" s="6">
        <v>11522448</v>
      </c>
    </row>
    <row r="905" spans="1:4" x14ac:dyDescent="0.25">
      <c r="A905" s="2" t="s">
        <v>23</v>
      </c>
      <c r="B905" s="3" t="s">
        <v>5</v>
      </c>
      <c r="C905" s="3" t="s">
        <v>40</v>
      </c>
      <c r="D905" s="3">
        <v>13057307</v>
      </c>
    </row>
    <row r="906" spans="1:4" x14ac:dyDescent="0.25">
      <c r="A906" s="5" t="s">
        <v>23</v>
      </c>
      <c r="B906" s="6" t="s">
        <v>5</v>
      </c>
      <c r="C906" s="6" t="s">
        <v>41</v>
      </c>
      <c r="D906" s="6">
        <v>13794857</v>
      </c>
    </row>
    <row r="907" spans="1:4" x14ac:dyDescent="0.25">
      <c r="A907" s="2" t="s">
        <v>23</v>
      </c>
      <c r="B907" s="3" t="s">
        <v>5</v>
      </c>
      <c r="C907" s="3" t="s">
        <v>42</v>
      </c>
      <c r="D907" s="3">
        <v>16848848</v>
      </c>
    </row>
    <row r="908" spans="1:4" x14ac:dyDescent="0.25">
      <c r="A908" s="5" t="s">
        <v>23</v>
      </c>
      <c r="B908" s="6" t="s">
        <v>5</v>
      </c>
      <c r="C908" s="6" t="s">
        <v>43</v>
      </c>
      <c r="D908" s="6">
        <v>11769941</v>
      </c>
    </row>
    <row r="909" spans="1:4" x14ac:dyDescent="0.25">
      <c r="A909" s="2" t="s">
        <v>23</v>
      </c>
      <c r="B909" s="3" t="s">
        <v>5</v>
      </c>
      <c r="C909" s="3" t="s">
        <v>44</v>
      </c>
      <c r="D909" s="3">
        <v>11711620</v>
      </c>
    </row>
    <row r="910" spans="1:4" x14ac:dyDescent="0.25">
      <c r="A910" s="5" t="s">
        <v>23</v>
      </c>
      <c r="B910" s="6" t="s">
        <v>5</v>
      </c>
      <c r="C910" s="6" t="s">
        <v>45</v>
      </c>
      <c r="D910" s="6">
        <v>13322559</v>
      </c>
    </row>
    <row r="911" spans="1:4" x14ac:dyDescent="0.25">
      <c r="A911" s="2" t="s">
        <v>23</v>
      </c>
      <c r="B911" s="3" t="s">
        <v>5</v>
      </c>
      <c r="C911" s="3" t="s">
        <v>46</v>
      </c>
      <c r="D911" s="3">
        <v>12050516</v>
      </c>
    </row>
    <row r="912" spans="1:4" x14ac:dyDescent="0.25">
      <c r="A912" s="5" t="s">
        <v>23</v>
      </c>
      <c r="B912" s="6" t="s">
        <v>5</v>
      </c>
      <c r="C912" s="6" t="s">
        <v>47</v>
      </c>
      <c r="D912" s="6">
        <v>11971703</v>
      </c>
    </row>
    <row r="913" spans="1:4" x14ac:dyDescent="0.25">
      <c r="A913" s="2" t="s">
        <v>23</v>
      </c>
      <c r="B913" s="3" t="s">
        <v>5</v>
      </c>
      <c r="C913" s="3" t="s">
        <v>48</v>
      </c>
      <c r="D913" s="3">
        <v>12540733</v>
      </c>
    </row>
    <row r="914" spans="1:4" x14ac:dyDescent="0.25">
      <c r="A914" s="5" t="s">
        <v>23</v>
      </c>
      <c r="B914" s="6" t="s">
        <v>5</v>
      </c>
      <c r="C914" s="6" t="s">
        <v>49</v>
      </c>
      <c r="D914" s="6">
        <v>14105960</v>
      </c>
    </row>
    <row r="915" spans="1:4" x14ac:dyDescent="0.25">
      <c r="A915" s="2" t="s">
        <v>23</v>
      </c>
      <c r="B915" s="3" t="s">
        <v>5</v>
      </c>
      <c r="C915" s="3" t="s">
        <v>50</v>
      </c>
      <c r="D915" s="3">
        <v>15010734</v>
      </c>
    </row>
    <row r="916" spans="1:4" x14ac:dyDescent="0.25">
      <c r="A916" s="5" t="s">
        <v>23</v>
      </c>
      <c r="B916" s="6" t="s">
        <v>5</v>
      </c>
      <c r="C916" s="6" t="s">
        <v>51</v>
      </c>
      <c r="D916" s="6">
        <v>13105034</v>
      </c>
    </row>
    <row r="917" spans="1:4" x14ac:dyDescent="0.25">
      <c r="A917" s="2" t="s">
        <v>23</v>
      </c>
      <c r="B917" s="3" t="s">
        <v>5</v>
      </c>
      <c r="C917" s="3" t="s">
        <v>52</v>
      </c>
      <c r="D917" s="3">
        <v>12896968</v>
      </c>
    </row>
    <row r="918" spans="1:4" x14ac:dyDescent="0.25">
      <c r="A918" s="5" t="s">
        <v>23</v>
      </c>
      <c r="B918" s="6" t="s">
        <v>5</v>
      </c>
      <c r="C918" s="6" t="s">
        <v>53</v>
      </c>
      <c r="D918" s="6">
        <v>13774945</v>
      </c>
    </row>
    <row r="919" spans="1:4" x14ac:dyDescent="0.25">
      <c r="A919" s="2" t="s">
        <v>23</v>
      </c>
      <c r="B919" s="3" t="s">
        <v>5</v>
      </c>
      <c r="C919" s="3" t="s">
        <v>54</v>
      </c>
      <c r="D919" s="3">
        <v>15365393</v>
      </c>
    </row>
    <row r="920" spans="1:4" x14ac:dyDescent="0.25">
      <c r="A920" s="5" t="s">
        <v>23</v>
      </c>
      <c r="B920" s="6" t="s">
        <v>5</v>
      </c>
      <c r="C920" s="6" t="s">
        <v>55</v>
      </c>
      <c r="D920" s="6">
        <v>2556319.25</v>
      </c>
    </row>
    <row r="921" spans="1:4" x14ac:dyDescent="0.25">
      <c r="A921" s="5" t="s">
        <v>23</v>
      </c>
      <c r="B921" s="6" t="s">
        <v>5</v>
      </c>
      <c r="C921" s="6" t="s">
        <v>56</v>
      </c>
      <c r="D921" s="6">
        <v>2506463.75</v>
      </c>
    </row>
    <row r="922" spans="1:4" x14ac:dyDescent="0.25">
      <c r="A922" s="5" t="s">
        <v>23</v>
      </c>
      <c r="B922" s="6" t="s">
        <v>5</v>
      </c>
      <c r="C922" s="6" t="s">
        <v>57</v>
      </c>
      <c r="D922" s="6">
        <v>2489777.5</v>
      </c>
    </row>
    <row r="923" spans="1:4" x14ac:dyDescent="0.25">
      <c r="A923" s="5" t="s">
        <v>23</v>
      </c>
      <c r="B923" s="6" t="s">
        <v>5</v>
      </c>
      <c r="C923" s="6" t="s">
        <v>58</v>
      </c>
      <c r="D923" s="6">
        <v>2554309</v>
      </c>
    </row>
    <row r="924" spans="1:4" x14ac:dyDescent="0.25">
      <c r="A924" s="5" t="s">
        <v>23</v>
      </c>
      <c r="B924" s="6" t="s">
        <v>5</v>
      </c>
      <c r="C924" s="6" t="s">
        <v>59</v>
      </c>
      <c r="D924" s="6">
        <v>2539136.25</v>
      </c>
    </row>
    <row r="925" spans="1:4" x14ac:dyDescent="0.25">
      <c r="A925" s="5" t="s">
        <v>23</v>
      </c>
      <c r="B925" s="6" t="s">
        <v>5</v>
      </c>
      <c r="C925" s="6" t="s">
        <v>60</v>
      </c>
      <c r="D925" s="6">
        <v>2535478.5</v>
      </c>
    </row>
    <row r="926" spans="1:4" x14ac:dyDescent="0.25">
      <c r="A926" s="5" t="s">
        <v>23</v>
      </c>
      <c r="B926" s="6" t="s">
        <v>5</v>
      </c>
      <c r="C926" s="6" t="s">
        <v>61</v>
      </c>
      <c r="D926" s="6">
        <v>2549923.5</v>
      </c>
    </row>
    <row r="927" spans="1:4" x14ac:dyDescent="0.25">
      <c r="A927" s="5" t="s">
        <v>23</v>
      </c>
      <c r="B927" s="6" t="s">
        <v>5</v>
      </c>
      <c r="C927" s="6" t="s">
        <v>62</v>
      </c>
      <c r="D927" s="6">
        <v>2501025</v>
      </c>
    </row>
    <row r="928" spans="1:4" x14ac:dyDescent="0.25">
      <c r="A928" s="5" t="s">
        <v>23</v>
      </c>
      <c r="B928" s="6" t="s">
        <v>5</v>
      </c>
      <c r="C928" s="6" t="s">
        <v>63</v>
      </c>
      <c r="D928" s="6">
        <v>2486614.25</v>
      </c>
    </row>
    <row r="929" spans="1:4" x14ac:dyDescent="0.25">
      <c r="A929" s="5" t="s">
        <v>23</v>
      </c>
      <c r="B929" s="6" t="s">
        <v>5</v>
      </c>
      <c r="C929" s="6" t="s">
        <v>64</v>
      </c>
      <c r="D929" s="6">
        <v>2553563.25</v>
      </c>
    </row>
    <row r="930" spans="1:4" x14ac:dyDescent="0.25">
      <c r="A930" s="5" t="s">
        <v>23</v>
      </c>
      <c r="B930" s="6" t="s">
        <v>5</v>
      </c>
      <c r="C930" s="6" t="s">
        <v>65</v>
      </c>
      <c r="D930" s="6">
        <v>2541613.25</v>
      </c>
    </row>
    <row r="931" spans="1:4" x14ac:dyDescent="0.25">
      <c r="A931" s="5" t="s">
        <v>23</v>
      </c>
      <c r="B931" s="6" t="s">
        <v>5</v>
      </c>
      <c r="C931" s="6" t="s">
        <v>66</v>
      </c>
      <c r="D931" s="6">
        <v>2541541.5</v>
      </c>
    </row>
    <row r="932" spans="1:4" x14ac:dyDescent="0.25">
      <c r="A932" s="5" t="s">
        <v>32</v>
      </c>
      <c r="B932" s="6" t="s">
        <v>5</v>
      </c>
      <c r="C932" s="6" t="s">
        <v>36</v>
      </c>
      <c r="D932" s="6">
        <v>4631768.5</v>
      </c>
    </row>
    <row r="933" spans="1:4" x14ac:dyDescent="0.25">
      <c r="A933" s="2" t="s">
        <v>32</v>
      </c>
      <c r="B933" s="3" t="s">
        <v>5</v>
      </c>
      <c r="C933" s="3" t="s">
        <v>37</v>
      </c>
      <c r="D933" s="3">
        <v>5031013.5</v>
      </c>
    </row>
    <row r="934" spans="1:4" x14ac:dyDescent="0.25">
      <c r="A934" s="5" t="s">
        <v>32</v>
      </c>
      <c r="B934" s="6" t="s">
        <v>5</v>
      </c>
      <c r="C934" s="6" t="s">
        <v>38</v>
      </c>
      <c r="D934" s="6">
        <v>5029056.5</v>
      </c>
    </row>
    <row r="935" spans="1:4" x14ac:dyDescent="0.25">
      <c r="A935" s="2" t="s">
        <v>32</v>
      </c>
      <c r="B935" s="3" t="s">
        <v>5</v>
      </c>
      <c r="C935" s="3" t="s">
        <v>39</v>
      </c>
      <c r="D935" s="3">
        <v>4779854.5</v>
      </c>
    </row>
    <row r="936" spans="1:4" x14ac:dyDescent="0.25">
      <c r="A936" s="5" t="s">
        <v>32</v>
      </c>
      <c r="B936" s="6" t="s">
        <v>5</v>
      </c>
      <c r="C936" s="6" t="s">
        <v>40</v>
      </c>
      <c r="D936" s="6">
        <v>5416559.5</v>
      </c>
    </row>
    <row r="937" spans="1:4" x14ac:dyDescent="0.25">
      <c r="A937" s="2" t="s">
        <v>32</v>
      </c>
      <c r="B937" s="3" t="s">
        <v>5</v>
      </c>
      <c r="C937" s="3" t="s">
        <v>41</v>
      </c>
      <c r="D937" s="3">
        <v>5722517</v>
      </c>
    </row>
    <row r="938" spans="1:4" x14ac:dyDescent="0.25">
      <c r="A938" s="5" t="s">
        <v>32</v>
      </c>
      <c r="B938" s="6" t="s">
        <v>5</v>
      </c>
      <c r="C938" s="6" t="s">
        <v>42</v>
      </c>
      <c r="D938" s="6">
        <v>6989403.5</v>
      </c>
    </row>
    <row r="939" spans="1:4" x14ac:dyDescent="0.25">
      <c r="A939" s="2" t="s">
        <v>32</v>
      </c>
      <c r="B939" s="3" t="s">
        <v>5</v>
      </c>
      <c r="C939" s="3" t="s">
        <v>43</v>
      </c>
      <c r="D939" s="3">
        <v>4942843</v>
      </c>
    </row>
    <row r="940" spans="1:4" x14ac:dyDescent="0.25">
      <c r="A940" s="5" t="s">
        <v>32</v>
      </c>
      <c r="B940" s="6" t="s">
        <v>5</v>
      </c>
      <c r="C940" s="6" t="s">
        <v>44</v>
      </c>
      <c r="D940" s="6">
        <v>4918350.5</v>
      </c>
    </row>
    <row r="941" spans="1:4" x14ac:dyDescent="0.25">
      <c r="A941" s="2" t="s">
        <v>32</v>
      </c>
      <c r="B941" s="3" t="s">
        <v>5</v>
      </c>
      <c r="C941" s="3" t="s">
        <v>45</v>
      </c>
      <c r="D941" s="3">
        <v>5594871.5</v>
      </c>
    </row>
    <row r="942" spans="1:4" x14ac:dyDescent="0.25">
      <c r="A942" s="5" t="s">
        <v>32</v>
      </c>
      <c r="B942" s="6" t="s">
        <v>5</v>
      </c>
      <c r="C942" s="6" t="s">
        <v>46</v>
      </c>
      <c r="D942" s="6">
        <v>5060671.5</v>
      </c>
    </row>
    <row r="943" spans="1:4" x14ac:dyDescent="0.25">
      <c r="A943" s="2" t="s">
        <v>32</v>
      </c>
      <c r="B943" s="3" t="s">
        <v>5</v>
      </c>
      <c r="C943" s="3" t="s">
        <v>47</v>
      </c>
      <c r="D943" s="3">
        <v>5027573.5</v>
      </c>
    </row>
    <row r="944" spans="1:4" x14ac:dyDescent="0.25">
      <c r="A944" s="5" t="s">
        <v>32</v>
      </c>
      <c r="B944" s="6" t="s">
        <v>5</v>
      </c>
      <c r="C944" s="6" t="s">
        <v>48</v>
      </c>
      <c r="D944" s="6">
        <v>5266540.5</v>
      </c>
    </row>
    <row r="945" spans="1:4" x14ac:dyDescent="0.25">
      <c r="A945" s="2" t="s">
        <v>32</v>
      </c>
      <c r="B945" s="3" t="s">
        <v>5</v>
      </c>
      <c r="C945" s="3" t="s">
        <v>49</v>
      </c>
      <c r="D945" s="3">
        <v>5923865</v>
      </c>
    </row>
    <row r="946" spans="1:4" x14ac:dyDescent="0.25">
      <c r="A946" s="5" t="s">
        <v>32</v>
      </c>
      <c r="B946" s="6" t="s">
        <v>5</v>
      </c>
      <c r="C946" s="6" t="s">
        <v>50</v>
      </c>
      <c r="D946" s="6">
        <v>6303829</v>
      </c>
    </row>
    <row r="947" spans="1:4" x14ac:dyDescent="0.25">
      <c r="A947" s="2" t="s">
        <v>32</v>
      </c>
      <c r="B947" s="3" t="s">
        <v>5</v>
      </c>
      <c r="C947" s="3" t="s">
        <v>51</v>
      </c>
      <c r="D947" s="3">
        <v>5503521.5</v>
      </c>
    </row>
    <row r="948" spans="1:4" x14ac:dyDescent="0.25">
      <c r="A948" s="5" t="s">
        <v>32</v>
      </c>
      <c r="B948" s="6" t="s">
        <v>5</v>
      </c>
      <c r="C948" s="6" t="s">
        <v>52</v>
      </c>
      <c r="D948" s="6">
        <v>5416143</v>
      </c>
    </row>
    <row r="949" spans="1:4" x14ac:dyDescent="0.25">
      <c r="A949" s="2" t="s">
        <v>32</v>
      </c>
      <c r="B949" s="3" t="s">
        <v>5</v>
      </c>
      <c r="C949" s="3" t="s">
        <v>53</v>
      </c>
      <c r="D949" s="3">
        <v>5784854</v>
      </c>
    </row>
    <row r="950" spans="1:4" x14ac:dyDescent="0.25">
      <c r="A950" s="5" t="s">
        <v>32</v>
      </c>
      <c r="B950" s="6" t="s">
        <v>5</v>
      </c>
      <c r="C950" s="6" t="s">
        <v>54</v>
      </c>
      <c r="D950" s="6">
        <v>6452770</v>
      </c>
    </row>
    <row r="951" spans="1:4" x14ac:dyDescent="0.25">
      <c r="A951" s="5" t="s">
        <v>32</v>
      </c>
      <c r="B951" s="6" t="s">
        <v>5</v>
      </c>
      <c r="C951" s="6" t="s">
        <v>55</v>
      </c>
      <c r="D951" s="6">
        <v>410641.71875</v>
      </c>
    </row>
    <row r="952" spans="1:4" x14ac:dyDescent="0.25">
      <c r="A952" s="5" t="s">
        <v>32</v>
      </c>
      <c r="B952" s="6" t="s">
        <v>5</v>
      </c>
      <c r="C952" s="6" t="s">
        <v>56</v>
      </c>
      <c r="D952" s="6">
        <v>392290.65625</v>
      </c>
    </row>
    <row r="953" spans="1:4" x14ac:dyDescent="0.25">
      <c r="A953" s="5" t="s">
        <v>32</v>
      </c>
      <c r="B953" s="6" t="s">
        <v>5</v>
      </c>
      <c r="C953" s="6" t="s">
        <v>57</v>
      </c>
      <c r="D953" s="6">
        <v>386152.25</v>
      </c>
    </row>
    <row r="954" spans="1:4" x14ac:dyDescent="0.25">
      <c r="A954" s="5" t="s">
        <v>32</v>
      </c>
      <c r="B954" s="6" t="s">
        <v>5</v>
      </c>
      <c r="C954" s="6" t="s">
        <v>58</v>
      </c>
      <c r="D954" s="6">
        <v>409913.3125</v>
      </c>
    </row>
    <row r="955" spans="1:4" x14ac:dyDescent="0.25">
      <c r="A955" s="5" t="s">
        <v>32</v>
      </c>
      <c r="B955" s="6" t="s">
        <v>5</v>
      </c>
      <c r="C955" s="6" t="s">
        <v>59</v>
      </c>
      <c r="D955" s="6">
        <v>404331.75</v>
      </c>
    </row>
    <row r="956" spans="1:4" x14ac:dyDescent="0.25">
      <c r="A956" s="5" t="s">
        <v>32</v>
      </c>
      <c r="B956" s="6" t="s">
        <v>5</v>
      </c>
      <c r="C956" s="6" t="s">
        <v>60</v>
      </c>
      <c r="D956" s="6">
        <v>402991.0625</v>
      </c>
    </row>
    <row r="957" spans="1:4" x14ac:dyDescent="0.25">
      <c r="A957" s="5" t="s">
        <v>32</v>
      </c>
      <c r="B957" s="6" t="s">
        <v>5</v>
      </c>
      <c r="C957" s="6" t="s">
        <v>61</v>
      </c>
      <c r="D957" s="6">
        <v>408310.09375</v>
      </c>
    </row>
    <row r="958" spans="1:4" x14ac:dyDescent="0.25">
      <c r="A958" s="5" t="s">
        <v>32</v>
      </c>
      <c r="B958" s="6" t="s">
        <v>5</v>
      </c>
      <c r="C958" s="6" t="s">
        <v>62</v>
      </c>
      <c r="D958" s="6">
        <v>390307.65625</v>
      </c>
    </row>
    <row r="959" spans="1:4" x14ac:dyDescent="0.25">
      <c r="A959" s="5" t="s">
        <v>32</v>
      </c>
      <c r="B959" s="6" t="s">
        <v>5</v>
      </c>
      <c r="C959" s="6" t="s">
        <v>63</v>
      </c>
      <c r="D959" s="6">
        <v>384996.84375</v>
      </c>
    </row>
    <row r="960" spans="1:4" x14ac:dyDescent="0.25">
      <c r="A960" s="5" t="s">
        <v>32</v>
      </c>
      <c r="B960" s="6" t="s">
        <v>5</v>
      </c>
      <c r="C960" s="6" t="s">
        <v>64</v>
      </c>
      <c r="D960" s="6">
        <v>409638.8125</v>
      </c>
    </row>
    <row r="961" spans="1:4" x14ac:dyDescent="0.25">
      <c r="A961" s="5" t="s">
        <v>32</v>
      </c>
      <c r="B961" s="6" t="s">
        <v>5</v>
      </c>
      <c r="C961" s="6" t="s">
        <v>65</v>
      </c>
      <c r="D961" s="6">
        <v>405235.15625</v>
      </c>
    </row>
    <row r="962" spans="1:4" x14ac:dyDescent="0.25">
      <c r="A962" s="5" t="s">
        <v>32</v>
      </c>
      <c r="B962" s="6" t="s">
        <v>5</v>
      </c>
      <c r="C962" s="6" t="s">
        <v>66</v>
      </c>
      <c r="D962" s="6">
        <v>404950.9375</v>
      </c>
    </row>
  </sheetData>
  <sortState xmlns:xlrd2="http://schemas.microsoft.com/office/spreadsheetml/2017/richdata2" ref="A2:D962">
    <sortCondition ref="A1:A962"/>
  </sortState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9D5C-A483-4BBA-9F17-15261C9BA748}">
  <dimension ref="A1:D962"/>
  <sheetViews>
    <sheetView workbookViewId="0">
      <selection activeCell="D1" sqref="D1:D1048576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13</v>
      </c>
      <c r="B2" s="3" t="s">
        <v>5</v>
      </c>
      <c r="C2" s="3" t="s">
        <v>36</v>
      </c>
      <c r="D2" s="4">
        <v>6022795.5</v>
      </c>
    </row>
    <row r="3" spans="1:4" x14ac:dyDescent="0.25">
      <c r="A3" s="5" t="s">
        <v>13</v>
      </c>
      <c r="B3" s="6" t="s">
        <v>5</v>
      </c>
      <c r="C3" s="6" t="s">
        <v>37</v>
      </c>
      <c r="D3" s="7">
        <v>5783524.5</v>
      </c>
    </row>
    <row r="4" spans="1:4" x14ac:dyDescent="0.25">
      <c r="A4" s="2" t="s">
        <v>13</v>
      </c>
      <c r="B4" s="3" t="s">
        <v>5</v>
      </c>
      <c r="C4" s="3" t="s">
        <v>38</v>
      </c>
      <c r="D4" s="4">
        <v>5618613</v>
      </c>
    </row>
    <row r="5" spans="1:4" x14ac:dyDescent="0.25">
      <c r="A5" s="5" t="s">
        <v>13</v>
      </c>
      <c r="B5" s="6" t="s">
        <v>5</v>
      </c>
      <c r="C5" s="6" t="s">
        <v>39</v>
      </c>
      <c r="D5" s="7">
        <v>5863526</v>
      </c>
    </row>
    <row r="6" spans="1:4" x14ac:dyDescent="0.25">
      <c r="A6" s="2" t="s">
        <v>13</v>
      </c>
      <c r="B6" s="3" t="s">
        <v>5</v>
      </c>
      <c r="C6" s="3" t="s">
        <v>40</v>
      </c>
      <c r="D6" s="4">
        <v>6033733.5</v>
      </c>
    </row>
    <row r="7" spans="1:4" x14ac:dyDescent="0.25">
      <c r="A7" s="5" t="s">
        <v>13</v>
      </c>
      <c r="B7" s="6" t="s">
        <v>5</v>
      </c>
      <c r="C7" s="6" t="s">
        <v>41</v>
      </c>
      <c r="D7" s="7">
        <v>6011656</v>
      </c>
    </row>
    <row r="8" spans="1:4" x14ac:dyDescent="0.25">
      <c r="A8" s="2" t="s">
        <v>13</v>
      </c>
      <c r="B8" s="3" t="s">
        <v>5</v>
      </c>
      <c r="C8" s="3" t="s">
        <v>42</v>
      </c>
      <c r="D8" s="4">
        <v>6065861</v>
      </c>
    </row>
    <row r="9" spans="1:4" x14ac:dyDescent="0.25">
      <c r="A9" s="5" t="s">
        <v>13</v>
      </c>
      <c r="B9" s="6" t="s">
        <v>5</v>
      </c>
      <c r="C9" s="6" t="s">
        <v>43</v>
      </c>
      <c r="D9" s="7">
        <v>5505212</v>
      </c>
    </row>
    <row r="10" spans="1:4" x14ac:dyDescent="0.25">
      <c r="A10" s="2" t="s">
        <v>13</v>
      </c>
      <c r="B10" s="3" t="s">
        <v>5</v>
      </c>
      <c r="C10" s="3" t="s">
        <v>44</v>
      </c>
      <c r="D10" s="4">
        <v>5396344.5</v>
      </c>
    </row>
    <row r="11" spans="1:4" x14ac:dyDescent="0.25">
      <c r="A11" s="5" t="s">
        <v>13</v>
      </c>
      <c r="B11" s="6" t="s">
        <v>5</v>
      </c>
      <c r="C11" s="6" t="s">
        <v>45</v>
      </c>
      <c r="D11" s="7">
        <v>5601675.5</v>
      </c>
    </row>
    <row r="12" spans="1:4" x14ac:dyDescent="0.25">
      <c r="A12" s="2" t="s">
        <v>13</v>
      </c>
      <c r="B12" s="3" t="s">
        <v>5</v>
      </c>
      <c r="C12" s="3" t="s">
        <v>46</v>
      </c>
      <c r="D12" s="4">
        <v>5691845</v>
      </c>
    </row>
    <row r="13" spans="1:4" x14ac:dyDescent="0.25">
      <c r="A13" s="5" t="s">
        <v>13</v>
      </c>
      <c r="B13" s="6" t="s">
        <v>5</v>
      </c>
      <c r="C13" s="6" t="s">
        <v>47</v>
      </c>
      <c r="D13" s="7">
        <v>5631209.5</v>
      </c>
    </row>
    <row r="14" spans="1:4" x14ac:dyDescent="0.25">
      <c r="A14" s="2" t="s">
        <v>13</v>
      </c>
      <c r="B14" s="3" t="s">
        <v>5</v>
      </c>
      <c r="C14" s="3" t="s">
        <v>48</v>
      </c>
      <c r="D14" s="4">
        <v>5661430</v>
      </c>
    </row>
    <row r="15" spans="1:4" x14ac:dyDescent="0.25">
      <c r="A15" s="5" t="s">
        <v>13</v>
      </c>
      <c r="B15" s="6" t="s">
        <v>5</v>
      </c>
      <c r="C15" s="6" t="s">
        <v>49</v>
      </c>
      <c r="D15" s="7">
        <v>5436944</v>
      </c>
    </row>
    <row r="16" spans="1:4" x14ac:dyDescent="0.25">
      <c r="A16" s="2" t="s">
        <v>13</v>
      </c>
      <c r="B16" s="3" t="s">
        <v>5</v>
      </c>
      <c r="C16" s="3" t="s">
        <v>50</v>
      </c>
      <c r="D16" s="4">
        <v>5282308.5</v>
      </c>
    </row>
    <row r="17" spans="1:4" x14ac:dyDescent="0.25">
      <c r="A17" s="5" t="s">
        <v>13</v>
      </c>
      <c r="B17" s="6" t="s">
        <v>5</v>
      </c>
      <c r="C17" s="6" t="s">
        <v>51</v>
      </c>
      <c r="D17" s="7">
        <v>5512217.5</v>
      </c>
    </row>
    <row r="18" spans="1:4" x14ac:dyDescent="0.25">
      <c r="A18" s="2" t="s">
        <v>13</v>
      </c>
      <c r="B18" s="3" t="s">
        <v>5</v>
      </c>
      <c r="C18" s="3" t="s">
        <v>52</v>
      </c>
      <c r="D18" s="4">
        <v>5671688.5</v>
      </c>
    </row>
    <row r="19" spans="1:4" x14ac:dyDescent="0.25">
      <c r="A19" s="5" t="s">
        <v>13</v>
      </c>
      <c r="B19" s="6" t="s">
        <v>5</v>
      </c>
      <c r="C19" s="6" t="s">
        <v>53</v>
      </c>
      <c r="D19" s="7">
        <v>5650527</v>
      </c>
    </row>
    <row r="20" spans="1:4" x14ac:dyDescent="0.25">
      <c r="A20" s="2" t="s">
        <v>13</v>
      </c>
      <c r="B20" s="3" t="s">
        <v>5</v>
      </c>
      <c r="C20" s="3" t="s">
        <v>54</v>
      </c>
      <c r="D20" s="4">
        <v>5701266.5</v>
      </c>
    </row>
    <row r="21" spans="1:4" x14ac:dyDescent="0.25">
      <c r="A21" s="5" t="s">
        <v>13</v>
      </c>
      <c r="B21" s="6" t="s">
        <v>5</v>
      </c>
      <c r="C21" s="6" t="s">
        <v>55</v>
      </c>
      <c r="D21" s="7">
        <v>5492366</v>
      </c>
    </row>
    <row r="22" spans="1:4" x14ac:dyDescent="0.25">
      <c r="A22" s="5" t="s">
        <v>13</v>
      </c>
      <c r="B22" s="6" t="s">
        <v>5</v>
      </c>
      <c r="C22" s="6" t="s">
        <v>56</v>
      </c>
      <c r="D22" s="7">
        <v>5383635.5</v>
      </c>
    </row>
    <row r="23" spans="1:4" x14ac:dyDescent="0.25">
      <c r="A23" s="5" t="s">
        <v>13</v>
      </c>
      <c r="B23" s="6" t="s">
        <v>5</v>
      </c>
      <c r="C23" s="6" t="s">
        <v>57</v>
      </c>
      <c r="D23" s="7">
        <v>5588696</v>
      </c>
    </row>
    <row r="24" spans="1:4" x14ac:dyDescent="0.25">
      <c r="A24" s="5" t="s">
        <v>13</v>
      </c>
      <c r="B24" s="6" t="s">
        <v>5</v>
      </c>
      <c r="C24" s="6" t="s">
        <v>58</v>
      </c>
      <c r="D24" s="7">
        <v>5678860</v>
      </c>
    </row>
    <row r="25" spans="1:4" x14ac:dyDescent="0.25">
      <c r="A25" s="5" t="s">
        <v>13</v>
      </c>
      <c r="B25" s="6" t="s">
        <v>5</v>
      </c>
      <c r="C25" s="6" t="s">
        <v>59</v>
      </c>
      <c r="D25" s="7">
        <v>5618548</v>
      </c>
    </row>
    <row r="26" spans="1:4" x14ac:dyDescent="0.25">
      <c r="A26" s="5" t="s">
        <v>13</v>
      </c>
      <c r="B26" s="6" t="s">
        <v>5</v>
      </c>
      <c r="C26" s="6" t="s">
        <v>60</v>
      </c>
      <c r="D26" s="7">
        <v>5648829</v>
      </c>
    </row>
    <row r="27" spans="1:4" x14ac:dyDescent="0.25">
      <c r="A27" s="5" t="s">
        <v>13</v>
      </c>
      <c r="B27" s="6" t="s">
        <v>5</v>
      </c>
      <c r="C27" s="6" t="s">
        <v>61</v>
      </c>
      <c r="D27" s="7">
        <v>5424896.5</v>
      </c>
    </row>
    <row r="28" spans="1:4" x14ac:dyDescent="0.25">
      <c r="A28" s="5" t="s">
        <v>13</v>
      </c>
      <c r="B28" s="6" t="s">
        <v>5</v>
      </c>
      <c r="C28" s="6" t="s">
        <v>62</v>
      </c>
      <c r="D28" s="7">
        <v>5270843</v>
      </c>
    </row>
    <row r="29" spans="1:4" x14ac:dyDescent="0.25">
      <c r="A29" s="5" t="s">
        <v>13</v>
      </c>
      <c r="B29" s="6" t="s">
        <v>5</v>
      </c>
      <c r="C29" s="6" t="s">
        <v>63</v>
      </c>
      <c r="D29" s="7">
        <v>5500209</v>
      </c>
    </row>
    <row r="30" spans="1:4" x14ac:dyDescent="0.25">
      <c r="A30" s="5" t="s">
        <v>13</v>
      </c>
      <c r="B30" s="6" t="s">
        <v>5</v>
      </c>
      <c r="C30" s="6" t="s">
        <v>64</v>
      </c>
      <c r="D30" s="7">
        <v>5658917.5</v>
      </c>
    </row>
    <row r="31" spans="1:4" x14ac:dyDescent="0.25">
      <c r="A31" s="5" t="s">
        <v>13</v>
      </c>
      <c r="B31" s="6" t="s">
        <v>5</v>
      </c>
      <c r="C31" s="6" t="s">
        <v>65</v>
      </c>
      <c r="D31" s="7">
        <v>5637631</v>
      </c>
    </row>
    <row r="32" spans="1:4" x14ac:dyDescent="0.25">
      <c r="A32" s="5" t="s">
        <v>13</v>
      </c>
      <c r="B32" s="6" t="s">
        <v>5</v>
      </c>
      <c r="C32" s="6" t="s">
        <v>66</v>
      </c>
      <c r="D32" s="7">
        <v>5688170.5</v>
      </c>
    </row>
    <row r="33" spans="1:4" x14ac:dyDescent="0.25">
      <c r="A33" s="5" t="s">
        <v>8</v>
      </c>
      <c r="B33" s="6" t="s">
        <v>5</v>
      </c>
      <c r="C33" s="6" t="s">
        <v>36</v>
      </c>
      <c r="D33" s="7">
        <v>326658.34375</v>
      </c>
    </row>
    <row r="34" spans="1:4" x14ac:dyDescent="0.25">
      <c r="A34" s="2" t="s">
        <v>8</v>
      </c>
      <c r="B34" s="3" t="s">
        <v>5</v>
      </c>
      <c r="C34" s="3" t="s">
        <v>37</v>
      </c>
      <c r="D34" s="4">
        <v>314786.25</v>
      </c>
    </row>
    <row r="35" spans="1:4" x14ac:dyDescent="0.25">
      <c r="A35" s="5" t="s">
        <v>8</v>
      </c>
      <c r="B35" s="6" t="s">
        <v>5</v>
      </c>
      <c r="C35" s="6" t="s">
        <v>38</v>
      </c>
      <c r="D35" s="7">
        <v>306504.1875</v>
      </c>
    </row>
    <row r="36" spans="1:4" x14ac:dyDescent="0.25">
      <c r="A36" s="2" t="s">
        <v>8</v>
      </c>
      <c r="B36" s="3" t="s">
        <v>5</v>
      </c>
      <c r="C36" s="3" t="s">
        <v>39</v>
      </c>
      <c r="D36" s="4">
        <v>319174.0625</v>
      </c>
    </row>
    <row r="37" spans="1:4" x14ac:dyDescent="0.25">
      <c r="A37" s="5" t="s">
        <v>8</v>
      </c>
      <c r="B37" s="6" t="s">
        <v>5</v>
      </c>
      <c r="C37" s="6" t="s">
        <v>40</v>
      </c>
      <c r="D37" s="7">
        <v>327684.21875</v>
      </c>
    </row>
    <row r="38" spans="1:4" x14ac:dyDescent="0.25">
      <c r="A38" s="2" t="s">
        <v>8</v>
      </c>
      <c r="B38" s="3" t="s">
        <v>5</v>
      </c>
      <c r="C38" s="3" t="s">
        <v>41</v>
      </c>
      <c r="D38" s="4">
        <v>325443</v>
      </c>
    </row>
    <row r="39" spans="1:4" x14ac:dyDescent="0.25">
      <c r="A39" s="5" t="s">
        <v>8</v>
      </c>
      <c r="B39" s="6" t="s">
        <v>5</v>
      </c>
      <c r="C39" s="6" t="s">
        <v>42</v>
      </c>
      <c r="D39" s="7">
        <v>327826.65625</v>
      </c>
    </row>
    <row r="40" spans="1:4" x14ac:dyDescent="0.25">
      <c r="A40" s="2" t="s">
        <v>8</v>
      </c>
      <c r="B40" s="3" t="s">
        <v>5</v>
      </c>
      <c r="C40" s="3" t="s">
        <v>43</v>
      </c>
      <c r="D40" s="4">
        <v>315002.46875</v>
      </c>
    </row>
    <row r="41" spans="1:4" x14ac:dyDescent="0.25">
      <c r="A41" s="5" t="s">
        <v>8</v>
      </c>
      <c r="B41" s="6" t="s">
        <v>5</v>
      </c>
      <c r="C41" s="6" t="s">
        <v>44</v>
      </c>
      <c r="D41" s="7">
        <v>308853.21875</v>
      </c>
    </row>
    <row r="42" spans="1:4" x14ac:dyDescent="0.25">
      <c r="A42" s="2" t="s">
        <v>8</v>
      </c>
      <c r="B42" s="3" t="s">
        <v>5</v>
      </c>
      <c r="C42" s="3" t="s">
        <v>45</v>
      </c>
      <c r="D42" s="4">
        <v>320405.5625</v>
      </c>
    </row>
    <row r="43" spans="1:4" x14ac:dyDescent="0.25">
      <c r="A43" s="5" t="s">
        <v>8</v>
      </c>
      <c r="B43" s="6" t="s">
        <v>5</v>
      </c>
      <c r="C43" s="6" t="s">
        <v>46</v>
      </c>
      <c r="D43" s="7">
        <v>326245.75</v>
      </c>
    </row>
    <row r="44" spans="1:4" x14ac:dyDescent="0.25">
      <c r="A44" s="2" t="s">
        <v>8</v>
      </c>
      <c r="B44" s="3" t="s">
        <v>5</v>
      </c>
      <c r="C44" s="3" t="s">
        <v>47</v>
      </c>
      <c r="D44" s="4">
        <v>322630.15625</v>
      </c>
    </row>
    <row r="45" spans="1:4" x14ac:dyDescent="0.25">
      <c r="A45" s="5" t="s">
        <v>8</v>
      </c>
      <c r="B45" s="6" t="s">
        <v>5</v>
      </c>
      <c r="C45" s="6" t="s">
        <v>48</v>
      </c>
      <c r="D45" s="7">
        <v>324421.78125</v>
      </c>
    </row>
    <row r="46" spans="1:4" x14ac:dyDescent="0.25">
      <c r="A46" s="2" t="s">
        <v>8</v>
      </c>
      <c r="B46" s="3" t="s">
        <v>5</v>
      </c>
      <c r="C46" s="3" t="s">
        <v>49</v>
      </c>
      <c r="D46" s="4">
        <v>312664.3125</v>
      </c>
    </row>
    <row r="47" spans="1:4" x14ac:dyDescent="0.25">
      <c r="A47" s="5" t="s">
        <v>8</v>
      </c>
      <c r="B47" s="6" t="s">
        <v>5</v>
      </c>
      <c r="C47" s="6" t="s">
        <v>50</v>
      </c>
      <c r="D47" s="7">
        <v>304424.5</v>
      </c>
    </row>
    <row r="48" spans="1:4" x14ac:dyDescent="0.25">
      <c r="A48" s="2" t="s">
        <v>8</v>
      </c>
      <c r="B48" s="3" t="s">
        <v>5</v>
      </c>
      <c r="C48" s="3" t="s">
        <v>51</v>
      </c>
      <c r="D48" s="4">
        <v>316974.71875</v>
      </c>
    </row>
    <row r="49" spans="1:4" x14ac:dyDescent="0.25">
      <c r="A49" s="5" t="s">
        <v>8</v>
      </c>
      <c r="B49" s="6" t="s">
        <v>5</v>
      </c>
      <c r="C49" s="6" t="s">
        <v>52</v>
      </c>
      <c r="D49" s="7">
        <v>325458.3125</v>
      </c>
    </row>
    <row r="50" spans="1:4" x14ac:dyDescent="0.25">
      <c r="A50" s="2" t="s">
        <v>8</v>
      </c>
      <c r="B50" s="3" t="s">
        <v>5</v>
      </c>
      <c r="C50" s="3" t="s">
        <v>53</v>
      </c>
      <c r="D50" s="4">
        <v>323233.46875</v>
      </c>
    </row>
    <row r="51" spans="1:4" x14ac:dyDescent="0.25">
      <c r="A51" s="5" t="s">
        <v>8</v>
      </c>
      <c r="B51" s="6" t="s">
        <v>5</v>
      </c>
      <c r="C51" s="6" t="s">
        <v>54</v>
      </c>
      <c r="D51" s="7">
        <v>325599.75</v>
      </c>
    </row>
    <row r="52" spans="1:4" x14ac:dyDescent="0.25">
      <c r="A52" s="5" t="s">
        <v>8</v>
      </c>
      <c r="B52" s="6" t="s">
        <v>5</v>
      </c>
      <c r="C52" s="6" t="s">
        <v>55</v>
      </c>
      <c r="D52" s="7">
        <v>327256.4375</v>
      </c>
    </row>
    <row r="53" spans="1:4" x14ac:dyDescent="0.25">
      <c r="A53" s="5" t="s">
        <v>8</v>
      </c>
      <c r="B53" s="6" t="s">
        <v>5</v>
      </c>
      <c r="C53" s="6" t="s">
        <v>56</v>
      </c>
      <c r="D53" s="7">
        <v>320902.75</v>
      </c>
    </row>
    <row r="54" spans="1:4" x14ac:dyDescent="0.25">
      <c r="A54" s="5" t="s">
        <v>8</v>
      </c>
      <c r="B54" s="6" t="s">
        <v>5</v>
      </c>
      <c r="C54" s="6" t="s">
        <v>57</v>
      </c>
      <c r="D54" s="7">
        <v>332993.375</v>
      </c>
    </row>
    <row r="55" spans="1:4" x14ac:dyDescent="0.25">
      <c r="A55" s="5" t="s">
        <v>8</v>
      </c>
      <c r="B55" s="6" t="s">
        <v>5</v>
      </c>
      <c r="C55" s="6" t="s">
        <v>58</v>
      </c>
      <c r="D55" s="7">
        <v>339025.03125</v>
      </c>
    </row>
    <row r="56" spans="1:4" x14ac:dyDescent="0.25">
      <c r="A56" s="5" t="s">
        <v>8</v>
      </c>
      <c r="B56" s="6" t="s">
        <v>5</v>
      </c>
      <c r="C56" s="6" t="s">
        <v>59</v>
      </c>
      <c r="D56" s="7">
        <v>335292.9375</v>
      </c>
    </row>
    <row r="57" spans="1:4" x14ac:dyDescent="0.25">
      <c r="A57" s="5" t="s">
        <v>8</v>
      </c>
      <c r="B57" s="6" t="s">
        <v>5</v>
      </c>
      <c r="C57" s="6" t="s">
        <v>60</v>
      </c>
      <c r="D57" s="7">
        <v>337182.34375</v>
      </c>
    </row>
    <row r="58" spans="1:4" x14ac:dyDescent="0.25">
      <c r="A58" s="5" t="s">
        <v>8</v>
      </c>
      <c r="B58" s="6" t="s">
        <v>5</v>
      </c>
      <c r="C58" s="6" t="s">
        <v>61</v>
      </c>
      <c r="D58" s="7">
        <v>324908.25</v>
      </c>
    </row>
    <row r="59" spans="1:4" x14ac:dyDescent="0.25">
      <c r="A59" s="5" t="s">
        <v>8</v>
      </c>
      <c r="B59" s="6" t="s">
        <v>5</v>
      </c>
      <c r="C59" s="6" t="s">
        <v>62</v>
      </c>
      <c r="D59" s="7">
        <v>316386.5625</v>
      </c>
    </row>
    <row r="60" spans="1:4" x14ac:dyDescent="0.25">
      <c r="A60" s="5" t="s">
        <v>8</v>
      </c>
      <c r="B60" s="6" t="s">
        <v>5</v>
      </c>
      <c r="C60" s="6" t="s">
        <v>63</v>
      </c>
      <c r="D60" s="7">
        <v>329487.1875</v>
      </c>
    </row>
    <row r="61" spans="1:4" x14ac:dyDescent="0.25">
      <c r="A61" s="5" t="s">
        <v>8</v>
      </c>
      <c r="B61" s="6" t="s">
        <v>5</v>
      </c>
      <c r="C61" s="6" t="s">
        <v>64</v>
      </c>
      <c r="D61" s="7">
        <v>338220.5625</v>
      </c>
    </row>
    <row r="62" spans="1:4" x14ac:dyDescent="0.25">
      <c r="A62" s="5" t="s">
        <v>8</v>
      </c>
      <c r="B62" s="6" t="s">
        <v>5</v>
      </c>
      <c r="C62" s="6" t="s">
        <v>65</v>
      </c>
      <c r="D62" s="7">
        <v>335890.125</v>
      </c>
    </row>
    <row r="63" spans="1:4" x14ac:dyDescent="0.25">
      <c r="A63" s="5" t="s">
        <v>8</v>
      </c>
      <c r="B63" s="6" t="s">
        <v>5</v>
      </c>
      <c r="C63" s="6" t="s">
        <v>66</v>
      </c>
      <c r="D63" s="7">
        <v>338343.125</v>
      </c>
    </row>
    <row r="64" spans="1:4" x14ac:dyDescent="0.25">
      <c r="A64" s="5" t="s">
        <v>28</v>
      </c>
      <c r="B64" s="6" t="s">
        <v>5</v>
      </c>
      <c r="C64" s="6" t="s">
        <v>36</v>
      </c>
      <c r="D64" s="7">
        <v>4523243.5</v>
      </c>
    </row>
    <row r="65" spans="1:4" x14ac:dyDescent="0.25">
      <c r="A65" s="2" t="s">
        <v>28</v>
      </c>
      <c r="B65" s="3" t="s">
        <v>5</v>
      </c>
      <c r="C65" s="3" t="s">
        <v>37</v>
      </c>
      <c r="D65" s="4">
        <v>4342315</v>
      </c>
    </row>
    <row r="66" spans="1:4" x14ac:dyDescent="0.25">
      <c r="A66" s="5" t="s">
        <v>28</v>
      </c>
      <c r="B66" s="6" t="s">
        <v>5</v>
      </c>
      <c r="C66" s="6" t="s">
        <v>38</v>
      </c>
      <c r="D66" s="7">
        <v>4217465</v>
      </c>
    </row>
    <row r="67" spans="1:4" x14ac:dyDescent="0.25">
      <c r="A67" s="2" t="s">
        <v>28</v>
      </c>
      <c r="B67" s="3" t="s">
        <v>5</v>
      </c>
      <c r="C67" s="3" t="s">
        <v>39</v>
      </c>
      <c r="D67" s="4">
        <v>4402182.5</v>
      </c>
    </row>
    <row r="68" spans="1:4" x14ac:dyDescent="0.25">
      <c r="A68" s="5" t="s">
        <v>28</v>
      </c>
      <c r="B68" s="6" t="s">
        <v>5</v>
      </c>
      <c r="C68" s="6" t="s">
        <v>40</v>
      </c>
      <c r="D68" s="7">
        <v>4531246.5</v>
      </c>
    </row>
    <row r="69" spans="1:4" x14ac:dyDescent="0.25">
      <c r="A69" s="2" t="s">
        <v>28</v>
      </c>
      <c r="B69" s="3" t="s">
        <v>5</v>
      </c>
      <c r="C69" s="3" t="s">
        <v>41</v>
      </c>
      <c r="D69" s="4">
        <v>4515829.5</v>
      </c>
    </row>
    <row r="70" spans="1:4" x14ac:dyDescent="0.25">
      <c r="A70" s="5" t="s">
        <v>28</v>
      </c>
      <c r="B70" s="6" t="s">
        <v>5</v>
      </c>
      <c r="C70" s="6" t="s">
        <v>42</v>
      </c>
      <c r="D70" s="7">
        <v>4557108.5</v>
      </c>
    </row>
    <row r="71" spans="1:4" x14ac:dyDescent="0.25">
      <c r="A71" s="2" t="s">
        <v>28</v>
      </c>
      <c r="B71" s="3" t="s">
        <v>5</v>
      </c>
      <c r="C71" s="3" t="s">
        <v>43</v>
      </c>
      <c r="D71" s="4">
        <v>4099634</v>
      </c>
    </row>
    <row r="72" spans="1:4" x14ac:dyDescent="0.25">
      <c r="A72" s="5" t="s">
        <v>28</v>
      </c>
      <c r="B72" s="6" t="s">
        <v>5</v>
      </c>
      <c r="C72" s="6" t="s">
        <v>44</v>
      </c>
      <c r="D72" s="7">
        <v>4018932.5</v>
      </c>
    </row>
    <row r="73" spans="1:4" x14ac:dyDescent="0.25">
      <c r="A73" s="2" t="s">
        <v>28</v>
      </c>
      <c r="B73" s="3" t="s">
        <v>5</v>
      </c>
      <c r="C73" s="3" t="s">
        <v>45</v>
      </c>
      <c r="D73" s="4">
        <v>4171835.75</v>
      </c>
    </row>
    <row r="74" spans="1:4" x14ac:dyDescent="0.25">
      <c r="A74" s="5" t="s">
        <v>28</v>
      </c>
      <c r="B74" s="6" t="s">
        <v>5</v>
      </c>
      <c r="C74" s="6" t="s">
        <v>46</v>
      </c>
      <c r="D74" s="7">
        <v>4237850</v>
      </c>
    </row>
    <row r="75" spans="1:4" x14ac:dyDescent="0.25">
      <c r="A75" s="2" t="s">
        <v>28</v>
      </c>
      <c r="B75" s="3" t="s">
        <v>5</v>
      </c>
      <c r="C75" s="3" t="s">
        <v>47</v>
      </c>
      <c r="D75" s="4">
        <v>4192504.5</v>
      </c>
    </row>
    <row r="76" spans="1:4" x14ac:dyDescent="0.25">
      <c r="A76" s="5" t="s">
        <v>28</v>
      </c>
      <c r="B76" s="6" t="s">
        <v>5</v>
      </c>
      <c r="C76" s="6" t="s">
        <v>48</v>
      </c>
      <c r="D76" s="7">
        <v>4214796</v>
      </c>
    </row>
    <row r="77" spans="1:4" x14ac:dyDescent="0.25">
      <c r="A77" s="2" t="s">
        <v>28</v>
      </c>
      <c r="B77" s="3" t="s">
        <v>5</v>
      </c>
      <c r="C77" s="3" t="s">
        <v>49</v>
      </c>
      <c r="D77" s="4">
        <v>4046454</v>
      </c>
    </row>
    <row r="78" spans="1:4" x14ac:dyDescent="0.25">
      <c r="A78" s="5" t="s">
        <v>28</v>
      </c>
      <c r="B78" s="6" t="s">
        <v>5</v>
      </c>
      <c r="C78" s="6" t="s">
        <v>50</v>
      </c>
      <c r="D78" s="7">
        <v>3930386</v>
      </c>
    </row>
    <row r="79" spans="1:4" x14ac:dyDescent="0.25">
      <c r="A79" s="2" t="s">
        <v>28</v>
      </c>
      <c r="B79" s="3" t="s">
        <v>5</v>
      </c>
      <c r="C79" s="3" t="s">
        <v>51</v>
      </c>
      <c r="D79" s="4">
        <v>4102331.5</v>
      </c>
    </row>
    <row r="80" spans="1:4" x14ac:dyDescent="0.25">
      <c r="A80" s="5" t="s">
        <v>28</v>
      </c>
      <c r="B80" s="6" t="s">
        <v>5</v>
      </c>
      <c r="C80" s="6" t="s">
        <v>52</v>
      </c>
      <c r="D80" s="7">
        <v>4222208.5</v>
      </c>
    </row>
    <row r="81" spans="1:4" x14ac:dyDescent="0.25">
      <c r="A81" s="2" t="s">
        <v>28</v>
      </c>
      <c r="B81" s="3" t="s">
        <v>5</v>
      </c>
      <c r="C81" s="3" t="s">
        <v>53</v>
      </c>
      <c r="D81" s="4">
        <v>4207574</v>
      </c>
    </row>
    <row r="82" spans="1:4" x14ac:dyDescent="0.25">
      <c r="A82" s="5" t="s">
        <v>28</v>
      </c>
      <c r="B82" s="6" t="s">
        <v>5</v>
      </c>
      <c r="C82" s="6" t="s">
        <v>54</v>
      </c>
      <c r="D82" s="7">
        <v>4245897</v>
      </c>
    </row>
    <row r="83" spans="1:4" x14ac:dyDescent="0.25">
      <c r="A83" s="5" t="s">
        <v>28</v>
      </c>
      <c r="B83" s="6" t="s">
        <v>5</v>
      </c>
      <c r="C83" s="6" t="s">
        <v>55</v>
      </c>
      <c r="D83" s="7">
        <v>3981300.75</v>
      </c>
    </row>
    <row r="84" spans="1:4" x14ac:dyDescent="0.25">
      <c r="A84" s="5" t="s">
        <v>28</v>
      </c>
      <c r="B84" s="6" t="s">
        <v>5</v>
      </c>
      <c r="C84" s="6" t="s">
        <v>56</v>
      </c>
      <c r="D84" s="7">
        <v>3902826</v>
      </c>
    </row>
    <row r="85" spans="1:4" x14ac:dyDescent="0.25">
      <c r="A85" s="5" t="s">
        <v>28</v>
      </c>
      <c r="B85" s="6" t="s">
        <v>5</v>
      </c>
      <c r="C85" s="6" t="s">
        <v>57</v>
      </c>
      <c r="D85" s="7">
        <v>4051439.75</v>
      </c>
    </row>
    <row r="86" spans="1:4" x14ac:dyDescent="0.25">
      <c r="A86" s="5" t="s">
        <v>28</v>
      </c>
      <c r="B86" s="6" t="s">
        <v>5</v>
      </c>
      <c r="C86" s="6" t="s">
        <v>58</v>
      </c>
      <c r="D86" s="7">
        <v>4115725.25</v>
      </c>
    </row>
    <row r="87" spans="1:4" x14ac:dyDescent="0.25">
      <c r="A87" s="5" t="s">
        <v>28</v>
      </c>
      <c r="B87" s="6" t="s">
        <v>5</v>
      </c>
      <c r="C87" s="6" t="s">
        <v>59</v>
      </c>
      <c r="D87" s="7">
        <v>4071806.25</v>
      </c>
    </row>
    <row r="88" spans="1:4" x14ac:dyDescent="0.25">
      <c r="A88" s="5" t="s">
        <v>28</v>
      </c>
      <c r="B88" s="6" t="s">
        <v>5</v>
      </c>
      <c r="C88" s="6" t="s">
        <v>60</v>
      </c>
      <c r="D88" s="7">
        <v>4093539.5</v>
      </c>
    </row>
    <row r="89" spans="1:4" x14ac:dyDescent="0.25">
      <c r="A89" s="5" t="s">
        <v>28</v>
      </c>
      <c r="B89" s="6" t="s">
        <v>5</v>
      </c>
      <c r="C89" s="6" t="s">
        <v>61</v>
      </c>
      <c r="D89" s="7">
        <v>3930115.5</v>
      </c>
    </row>
    <row r="90" spans="1:4" x14ac:dyDescent="0.25">
      <c r="A90" s="5" t="s">
        <v>28</v>
      </c>
      <c r="B90" s="6" t="s">
        <v>5</v>
      </c>
      <c r="C90" s="6" t="s">
        <v>62</v>
      </c>
      <c r="D90" s="7">
        <v>3817556.5</v>
      </c>
    </row>
    <row r="91" spans="1:4" x14ac:dyDescent="0.25">
      <c r="A91" s="5" t="s">
        <v>28</v>
      </c>
      <c r="B91" s="6" t="s">
        <v>5</v>
      </c>
      <c r="C91" s="6" t="s">
        <v>63</v>
      </c>
      <c r="D91" s="7">
        <v>3984505.5</v>
      </c>
    </row>
    <row r="92" spans="1:4" x14ac:dyDescent="0.25">
      <c r="A92" s="5" t="s">
        <v>28</v>
      </c>
      <c r="B92" s="6" t="s">
        <v>5</v>
      </c>
      <c r="C92" s="6" t="s">
        <v>64</v>
      </c>
      <c r="D92" s="7">
        <v>4100659.75</v>
      </c>
    </row>
    <row r="93" spans="1:4" x14ac:dyDescent="0.25">
      <c r="A93" s="5" t="s">
        <v>28</v>
      </c>
      <c r="B93" s="6" t="s">
        <v>5</v>
      </c>
      <c r="C93" s="6" t="s">
        <v>65</v>
      </c>
      <c r="D93" s="7">
        <v>4086307</v>
      </c>
    </row>
    <row r="94" spans="1:4" x14ac:dyDescent="0.25">
      <c r="A94" s="5" t="s">
        <v>28</v>
      </c>
      <c r="B94" s="6" t="s">
        <v>5</v>
      </c>
      <c r="C94" s="6" t="s">
        <v>66</v>
      </c>
      <c r="D94" s="7">
        <v>4123456.75</v>
      </c>
    </row>
    <row r="95" spans="1:4" x14ac:dyDescent="0.25">
      <c r="A95" s="2" t="s">
        <v>27</v>
      </c>
      <c r="B95" s="3" t="s">
        <v>5</v>
      </c>
      <c r="C95" s="3" t="s">
        <v>36</v>
      </c>
      <c r="D95" s="4">
        <v>1184872.625</v>
      </c>
    </row>
    <row r="96" spans="1:4" x14ac:dyDescent="0.25">
      <c r="A96" s="5" t="s">
        <v>27</v>
      </c>
      <c r="B96" s="6" t="s">
        <v>5</v>
      </c>
      <c r="C96" s="6" t="s">
        <v>37</v>
      </c>
      <c r="D96" s="7">
        <v>1138740.125</v>
      </c>
    </row>
    <row r="97" spans="1:4" x14ac:dyDescent="0.25">
      <c r="A97" s="2" t="s">
        <v>27</v>
      </c>
      <c r="B97" s="3" t="s">
        <v>5</v>
      </c>
      <c r="C97" s="3" t="s">
        <v>38</v>
      </c>
      <c r="D97" s="4">
        <v>1107251.75</v>
      </c>
    </row>
    <row r="98" spans="1:4" x14ac:dyDescent="0.25">
      <c r="A98" s="5" t="s">
        <v>27</v>
      </c>
      <c r="B98" s="6" t="s">
        <v>5</v>
      </c>
      <c r="C98" s="6" t="s">
        <v>39</v>
      </c>
      <c r="D98" s="7">
        <v>1154943.75</v>
      </c>
    </row>
    <row r="99" spans="1:4" x14ac:dyDescent="0.25">
      <c r="A99" s="2" t="s">
        <v>27</v>
      </c>
      <c r="B99" s="3" t="s">
        <v>5</v>
      </c>
      <c r="C99" s="3" t="s">
        <v>40</v>
      </c>
      <c r="D99" s="4">
        <v>1187128.125</v>
      </c>
    </row>
    <row r="100" spans="1:4" x14ac:dyDescent="0.25">
      <c r="A100" s="5" t="s">
        <v>27</v>
      </c>
      <c r="B100" s="6" t="s">
        <v>5</v>
      </c>
      <c r="C100" s="6" t="s">
        <v>41</v>
      </c>
      <c r="D100" s="7">
        <v>1181726.25</v>
      </c>
    </row>
    <row r="101" spans="1:4" x14ac:dyDescent="0.25">
      <c r="A101" s="2" t="s">
        <v>27</v>
      </c>
      <c r="B101" s="3" t="s">
        <v>5</v>
      </c>
      <c r="C101" s="3" t="s">
        <v>42</v>
      </c>
      <c r="D101" s="4">
        <v>1192020.875</v>
      </c>
    </row>
    <row r="102" spans="1:4" x14ac:dyDescent="0.25">
      <c r="A102" s="5" t="s">
        <v>27</v>
      </c>
      <c r="B102" s="6" t="s">
        <v>5</v>
      </c>
      <c r="C102" s="6" t="s">
        <v>43</v>
      </c>
      <c r="D102" s="7">
        <v>1165681</v>
      </c>
    </row>
    <row r="103" spans="1:4" x14ac:dyDescent="0.25">
      <c r="A103" s="2" t="s">
        <v>27</v>
      </c>
      <c r="B103" s="3" t="s">
        <v>5</v>
      </c>
      <c r="C103" s="3" t="s">
        <v>44</v>
      </c>
      <c r="D103" s="4">
        <v>1142368.75</v>
      </c>
    </row>
    <row r="104" spans="1:4" x14ac:dyDescent="0.25">
      <c r="A104" s="5" t="s">
        <v>27</v>
      </c>
      <c r="B104" s="6" t="s">
        <v>5</v>
      </c>
      <c r="C104" s="6" t="s">
        <v>45</v>
      </c>
      <c r="D104" s="7">
        <v>1186185.5</v>
      </c>
    </row>
    <row r="105" spans="1:4" x14ac:dyDescent="0.25">
      <c r="A105" s="2" t="s">
        <v>27</v>
      </c>
      <c r="B105" s="3" t="s">
        <v>5</v>
      </c>
      <c r="C105" s="3" t="s">
        <v>46</v>
      </c>
      <c r="D105" s="4">
        <v>1206074.625</v>
      </c>
    </row>
    <row r="106" spans="1:4" x14ac:dyDescent="0.25">
      <c r="A106" s="5" t="s">
        <v>27</v>
      </c>
      <c r="B106" s="6" t="s">
        <v>5</v>
      </c>
      <c r="C106" s="6" t="s">
        <v>47</v>
      </c>
      <c r="D106" s="7">
        <v>1193475</v>
      </c>
    </row>
    <row r="107" spans="1:4" x14ac:dyDescent="0.25">
      <c r="A107" s="2" t="s">
        <v>27</v>
      </c>
      <c r="B107" s="3" t="s">
        <v>5</v>
      </c>
      <c r="C107" s="3" t="s">
        <v>48</v>
      </c>
      <c r="D107" s="4">
        <v>1200102.125</v>
      </c>
    </row>
    <row r="108" spans="1:4" x14ac:dyDescent="0.25">
      <c r="A108" s="5" t="s">
        <v>27</v>
      </c>
      <c r="B108" s="6" t="s">
        <v>5</v>
      </c>
      <c r="C108" s="6" t="s">
        <v>49</v>
      </c>
      <c r="D108" s="7">
        <v>1153360.25</v>
      </c>
    </row>
    <row r="109" spans="1:4" x14ac:dyDescent="0.25">
      <c r="A109" s="2" t="s">
        <v>27</v>
      </c>
      <c r="B109" s="3" t="s">
        <v>5</v>
      </c>
      <c r="C109" s="3" t="s">
        <v>50</v>
      </c>
      <c r="D109" s="4">
        <v>1121422.625</v>
      </c>
    </row>
    <row r="110" spans="1:4" x14ac:dyDescent="0.25">
      <c r="A110" s="5" t="s">
        <v>27</v>
      </c>
      <c r="B110" s="6" t="s">
        <v>5</v>
      </c>
      <c r="C110" s="6" t="s">
        <v>51</v>
      </c>
      <c r="D110" s="7">
        <v>1169729.75</v>
      </c>
    </row>
    <row r="111" spans="1:4" x14ac:dyDescent="0.25">
      <c r="A111" s="2" t="s">
        <v>27</v>
      </c>
      <c r="B111" s="3" t="s">
        <v>5</v>
      </c>
      <c r="C111" s="3" t="s">
        <v>52</v>
      </c>
      <c r="D111" s="4">
        <v>1202391.375</v>
      </c>
    </row>
    <row r="112" spans="1:4" x14ac:dyDescent="0.25">
      <c r="A112" s="5" t="s">
        <v>27</v>
      </c>
      <c r="B112" s="6" t="s">
        <v>5</v>
      </c>
      <c r="C112" s="6" t="s">
        <v>53</v>
      </c>
      <c r="D112" s="7">
        <v>1196960.875</v>
      </c>
    </row>
    <row r="113" spans="1:4" x14ac:dyDescent="0.25">
      <c r="A113" s="2" t="s">
        <v>27</v>
      </c>
      <c r="B113" s="3" t="s">
        <v>5</v>
      </c>
      <c r="C113" s="3" t="s">
        <v>54</v>
      </c>
      <c r="D113" s="4">
        <v>1207409.75</v>
      </c>
    </row>
    <row r="114" spans="1:4" x14ac:dyDescent="0.25">
      <c r="A114" s="2" t="s">
        <v>27</v>
      </c>
      <c r="B114" s="3" t="s">
        <v>5</v>
      </c>
      <c r="C114" s="3" t="s">
        <v>55</v>
      </c>
      <c r="D114" s="4">
        <v>1199256.75</v>
      </c>
    </row>
    <row r="115" spans="1:4" x14ac:dyDescent="0.25">
      <c r="A115" s="2" t="s">
        <v>27</v>
      </c>
      <c r="B115" s="3" t="s">
        <v>5</v>
      </c>
      <c r="C115" s="3" t="s">
        <v>56</v>
      </c>
      <c r="D115" s="4">
        <v>1175292.75</v>
      </c>
    </row>
    <row r="116" spans="1:4" x14ac:dyDescent="0.25">
      <c r="A116" s="2" t="s">
        <v>27</v>
      </c>
      <c r="B116" s="3" t="s">
        <v>5</v>
      </c>
      <c r="C116" s="3" t="s">
        <v>57</v>
      </c>
      <c r="D116" s="4">
        <v>1220397.5</v>
      </c>
    </row>
    <row r="117" spans="1:4" x14ac:dyDescent="0.25">
      <c r="A117" s="2" t="s">
        <v>27</v>
      </c>
      <c r="B117" s="3" t="s">
        <v>5</v>
      </c>
      <c r="C117" s="3" t="s">
        <v>58</v>
      </c>
      <c r="D117" s="4">
        <v>1240766.375</v>
      </c>
    </row>
    <row r="118" spans="1:4" x14ac:dyDescent="0.25">
      <c r="A118" s="2" t="s">
        <v>27</v>
      </c>
      <c r="B118" s="3" t="s">
        <v>5</v>
      </c>
      <c r="C118" s="3" t="s">
        <v>59</v>
      </c>
      <c r="D118" s="4">
        <v>1227816.25</v>
      </c>
    </row>
    <row r="119" spans="1:4" x14ac:dyDescent="0.25">
      <c r="A119" s="2" t="s">
        <v>27</v>
      </c>
      <c r="B119" s="3" t="s">
        <v>5</v>
      </c>
      <c r="C119" s="3" t="s">
        <v>60</v>
      </c>
      <c r="D119" s="4">
        <v>1234631.75</v>
      </c>
    </row>
    <row r="120" spans="1:4" x14ac:dyDescent="0.25">
      <c r="A120" s="2" t="s">
        <v>27</v>
      </c>
      <c r="B120" s="3" t="s">
        <v>5</v>
      </c>
      <c r="C120" s="3" t="s">
        <v>61</v>
      </c>
      <c r="D120" s="4">
        <v>1186422.625</v>
      </c>
    </row>
    <row r="121" spans="1:4" x14ac:dyDescent="0.25">
      <c r="A121" s="2" t="s">
        <v>27</v>
      </c>
      <c r="B121" s="3" t="s">
        <v>5</v>
      </c>
      <c r="C121" s="3" t="s">
        <v>62</v>
      </c>
      <c r="D121" s="4">
        <v>1153495.875</v>
      </c>
    </row>
    <row r="122" spans="1:4" x14ac:dyDescent="0.25">
      <c r="A122" s="2" t="s">
        <v>27</v>
      </c>
      <c r="B122" s="3" t="s">
        <v>5</v>
      </c>
      <c r="C122" s="3" t="s">
        <v>63</v>
      </c>
      <c r="D122" s="4">
        <v>1203268</v>
      </c>
    </row>
    <row r="123" spans="1:4" x14ac:dyDescent="0.25">
      <c r="A123" s="2" t="s">
        <v>27</v>
      </c>
      <c r="B123" s="3" t="s">
        <v>5</v>
      </c>
      <c r="C123" s="3" t="s">
        <v>64</v>
      </c>
      <c r="D123" s="4">
        <v>1236934</v>
      </c>
    </row>
    <row r="124" spans="1:4" x14ac:dyDescent="0.25">
      <c r="A124" s="2" t="s">
        <v>27</v>
      </c>
      <c r="B124" s="3" t="s">
        <v>5</v>
      </c>
      <c r="C124" s="3" t="s">
        <v>65</v>
      </c>
      <c r="D124" s="4">
        <v>1231449.625</v>
      </c>
    </row>
    <row r="125" spans="1:4" x14ac:dyDescent="0.25">
      <c r="A125" s="2" t="s">
        <v>27</v>
      </c>
      <c r="B125" s="3" t="s">
        <v>5</v>
      </c>
      <c r="C125" s="3" t="s">
        <v>66</v>
      </c>
      <c r="D125" s="4">
        <v>1242255.5</v>
      </c>
    </row>
    <row r="126" spans="1:4" x14ac:dyDescent="0.25">
      <c r="A126" s="5" t="s">
        <v>16</v>
      </c>
      <c r="B126" s="6" t="s">
        <v>5</v>
      </c>
      <c r="C126" s="6" t="s">
        <v>36</v>
      </c>
      <c r="D126" s="7">
        <v>7159895.5</v>
      </c>
    </row>
    <row r="127" spans="1:4" x14ac:dyDescent="0.25">
      <c r="A127" s="2" t="s">
        <v>16</v>
      </c>
      <c r="B127" s="3" t="s">
        <v>5</v>
      </c>
      <c r="C127" s="3" t="s">
        <v>37</v>
      </c>
      <c r="D127" s="4">
        <v>6876120.5</v>
      </c>
    </row>
    <row r="128" spans="1:4" x14ac:dyDescent="0.25">
      <c r="A128" s="5" t="s">
        <v>16</v>
      </c>
      <c r="B128" s="6" t="s">
        <v>5</v>
      </c>
      <c r="C128" s="6" t="s">
        <v>38</v>
      </c>
      <c r="D128" s="7">
        <v>6679669</v>
      </c>
    </row>
    <row r="129" spans="1:4" x14ac:dyDescent="0.25">
      <c r="A129" s="2" t="s">
        <v>16</v>
      </c>
      <c r="B129" s="3" t="s">
        <v>5</v>
      </c>
      <c r="C129" s="3" t="s">
        <v>39</v>
      </c>
      <c r="D129" s="4">
        <v>6970788</v>
      </c>
    </row>
    <row r="130" spans="1:4" x14ac:dyDescent="0.25">
      <c r="A130" s="5" t="s">
        <v>16</v>
      </c>
      <c r="B130" s="6" t="s">
        <v>5</v>
      </c>
      <c r="C130" s="6" t="s">
        <v>40</v>
      </c>
      <c r="D130" s="7">
        <v>7174171</v>
      </c>
    </row>
    <row r="131" spans="1:4" x14ac:dyDescent="0.25">
      <c r="A131" s="2" t="s">
        <v>16</v>
      </c>
      <c r="B131" s="3" t="s">
        <v>5</v>
      </c>
      <c r="C131" s="3" t="s">
        <v>41</v>
      </c>
      <c r="D131" s="4">
        <v>7147402</v>
      </c>
    </row>
    <row r="132" spans="1:4" x14ac:dyDescent="0.25">
      <c r="A132" s="5" t="s">
        <v>16</v>
      </c>
      <c r="B132" s="6" t="s">
        <v>5</v>
      </c>
      <c r="C132" s="6" t="s">
        <v>42</v>
      </c>
      <c r="D132" s="7">
        <v>7211446</v>
      </c>
    </row>
    <row r="133" spans="1:4" x14ac:dyDescent="0.25">
      <c r="A133" s="2" t="s">
        <v>16</v>
      </c>
      <c r="B133" s="3" t="s">
        <v>5</v>
      </c>
      <c r="C133" s="3" t="s">
        <v>43</v>
      </c>
      <c r="D133" s="4">
        <v>6511119</v>
      </c>
    </row>
    <row r="134" spans="1:4" x14ac:dyDescent="0.25">
      <c r="A134" s="5" t="s">
        <v>16</v>
      </c>
      <c r="B134" s="6" t="s">
        <v>5</v>
      </c>
      <c r="C134" s="6" t="s">
        <v>44</v>
      </c>
      <c r="D134" s="7">
        <v>6384024.5</v>
      </c>
    </row>
    <row r="135" spans="1:4" x14ac:dyDescent="0.25">
      <c r="A135" s="2" t="s">
        <v>16</v>
      </c>
      <c r="B135" s="3" t="s">
        <v>5</v>
      </c>
      <c r="C135" s="3" t="s">
        <v>45</v>
      </c>
      <c r="D135" s="4">
        <v>6625976</v>
      </c>
    </row>
    <row r="136" spans="1:4" x14ac:dyDescent="0.25">
      <c r="A136" s="5" t="s">
        <v>16</v>
      </c>
      <c r="B136" s="6" t="s">
        <v>5</v>
      </c>
      <c r="C136" s="6" t="s">
        <v>46</v>
      </c>
      <c r="D136" s="7">
        <v>6731591</v>
      </c>
    </row>
    <row r="137" spans="1:4" x14ac:dyDescent="0.25">
      <c r="A137" s="2" t="s">
        <v>16</v>
      </c>
      <c r="B137" s="3" t="s">
        <v>5</v>
      </c>
      <c r="C137" s="3" t="s">
        <v>47</v>
      </c>
      <c r="D137" s="4">
        <v>6658541.5</v>
      </c>
    </row>
    <row r="138" spans="1:4" x14ac:dyDescent="0.25">
      <c r="A138" s="5" t="s">
        <v>16</v>
      </c>
      <c r="B138" s="6" t="s">
        <v>5</v>
      </c>
      <c r="C138" s="6" t="s">
        <v>48</v>
      </c>
      <c r="D138" s="7">
        <v>6693774.5</v>
      </c>
    </row>
    <row r="139" spans="1:4" x14ac:dyDescent="0.25">
      <c r="A139" s="2" t="s">
        <v>16</v>
      </c>
      <c r="B139" s="3" t="s">
        <v>5</v>
      </c>
      <c r="C139" s="3" t="s">
        <v>49</v>
      </c>
      <c r="D139" s="4">
        <v>6429077</v>
      </c>
    </row>
    <row r="140" spans="1:4" x14ac:dyDescent="0.25">
      <c r="A140" s="5" t="s">
        <v>16</v>
      </c>
      <c r="B140" s="6" t="s">
        <v>5</v>
      </c>
      <c r="C140" s="6" t="s">
        <v>50</v>
      </c>
      <c r="D140" s="7">
        <v>6245859</v>
      </c>
    </row>
    <row r="141" spans="1:4" x14ac:dyDescent="0.25">
      <c r="A141" s="2" t="s">
        <v>16</v>
      </c>
      <c r="B141" s="3" t="s">
        <v>5</v>
      </c>
      <c r="C141" s="3" t="s">
        <v>51</v>
      </c>
      <c r="D141" s="4">
        <v>6517611.5</v>
      </c>
    </row>
    <row r="142" spans="1:4" x14ac:dyDescent="0.25">
      <c r="A142" s="5" t="s">
        <v>16</v>
      </c>
      <c r="B142" s="6" t="s">
        <v>5</v>
      </c>
      <c r="C142" s="6" t="s">
        <v>52</v>
      </c>
      <c r="D142" s="7">
        <v>6707183</v>
      </c>
    </row>
    <row r="143" spans="1:4" x14ac:dyDescent="0.25">
      <c r="A143" s="2" t="s">
        <v>16</v>
      </c>
      <c r="B143" s="3" t="s">
        <v>5</v>
      </c>
      <c r="C143" s="3" t="s">
        <v>53</v>
      </c>
      <c r="D143" s="4">
        <v>6681613</v>
      </c>
    </row>
    <row r="144" spans="1:4" x14ac:dyDescent="0.25">
      <c r="A144" s="5" t="s">
        <v>16</v>
      </c>
      <c r="B144" s="6" t="s">
        <v>5</v>
      </c>
      <c r="C144" s="6" t="s">
        <v>54</v>
      </c>
      <c r="D144" s="7">
        <v>6741194.5</v>
      </c>
    </row>
    <row r="145" spans="1:4" x14ac:dyDescent="0.25">
      <c r="A145" s="2" t="s">
        <v>16</v>
      </c>
      <c r="B145" s="3" t="s">
        <v>5</v>
      </c>
      <c r="C145" s="3" t="s">
        <v>55</v>
      </c>
      <c r="D145" s="4">
        <v>6517212.5</v>
      </c>
    </row>
    <row r="146" spans="1:4" x14ac:dyDescent="0.25">
      <c r="A146" s="2" t="s">
        <v>16</v>
      </c>
      <c r="B146" s="3" t="s">
        <v>5</v>
      </c>
      <c r="C146" s="3" t="s">
        <v>56</v>
      </c>
      <c r="D146" s="4">
        <v>6389933</v>
      </c>
    </row>
    <row r="147" spans="1:4" x14ac:dyDescent="0.25">
      <c r="A147" s="2" t="s">
        <v>16</v>
      </c>
      <c r="B147" s="3" t="s">
        <v>5</v>
      </c>
      <c r="C147" s="3" t="s">
        <v>57</v>
      </c>
      <c r="D147" s="4">
        <v>6632453</v>
      </c>
    </row>
    <row r="148" spans="1:4" x14ac:dyDescent="0.25">
      <c r="A148" s="2" t="s">
        <v>16</v>
      </c>
      <c r="B148" s="3" t="s">
        <v>5</v>
      </c>
      <c r="C148" s="3" t="s">
        <v>58</v>
      </c>
      <c r="D148" s="4">
        <v>6738477.5</v>
      </c>
    </row>
    <row r="149" spans="1:4" x14ac:dyDescent="0.25">
      <c r="A149" s="2" t="s">
        <v>16</v>
      </c>
      <c r="B149" s="3" t="s">
        <v>5</v>
      </c>
      <c r="C149" s="3" t="s">
        <v>59</v>
      </c>
      <c r="D149" s="4">
        <v>6665563</v>
      </c>
    </row>
    <row r="150" spans="1:4" x14ac:dyDescent="0.25">
      <c r="A150" s="2" t="s">
        <v>16</v>
      </c>
      <c r="B150" s="3" t="s">
        <v>5</v>
      </c>
      <c r="C150" s="3" t="s">
        <v>60</v>
      </c>
      <c r="D150" s="4">
        <v>6701030</v>
      </c>
    </row>
    <row r="151" spans="1:4" x14ac:dyDescent="0.25">
      <c r="A151" s="2" t="s">
        <v>16</v>
      </c>
      <c r="B151" s="3" t="s">
        <v>5</v>
      </c>
      <c r="C151" s="3" t="s">
        <v>61</v>
      </c>
      <c r="D151" s="4">
        <v>6436246</v>
      </c>
    </row>
    <row r="152" spans="1:4" x14ac:dyDescent="0.25">
      <c r="A152" s="2" t="s">
        <v>16</v>
      </c>
      <c r="B152" s="3" t="s">
        <v>5</v>
      </c>
      <c r="C152" s="3" t="s">
        <v>62</v>
      </c>
      <c r="D152" s="4">
        <v>6253294</v>
      </c>
    </row>
    <row r="153" spans="1:4" x14ac:dyDescent="0.25">
      <c r="A153" s="2" t="s">
        <v>16</v>
      </c>
      <c r="B153" s="3" t="s">
        <v>5</v>
      </c>
      <c r="C153" s="3" t="s">
        <v>63</v>
      </c>
      <c r="D153" s="4">
        <v>6525276.5</v>
      </c>
    </row>
    <row r="154" spans="1:4" x14ac:dyDescent="0.25">
      <c r="A154" s="2" t="s">
        <v>16</v>
      </c>
      <c r="B154" s="3" t="s">
        <v>5</v>
      </c>
      <c r="C154" s="3" t="s">
        <v>64</v>
      </c>
      <c r="D154" s="4">
        <v>6714334</v>
      </c>
    </row>
    <row r="155" spans="1:4" x14ac:dyDescent="0.25">
      <c r="A155" s="2" t="s">
        <v>16</v>
      </c>
      <c r="B155" s="3" t="s">
        <v>5</v>
      </c>
      <c r="C155" s="3" t="s">
        <v>65</v>
      </c>
      <c r="D155" s="4">
        <v>6688302</v>
      </c>
    </row>
    <row r="156" spans="1:4" x14ac:dyDescent="0.25">
      <c r="A156" s="2" t="s">
        <v>16</v>
      </c>
      <c r="B156" s="3" t="s">
        <v>5</v>
      </c>
      <c r="C156" s="3" t="s">
        <v>66</v>
      </c>
      <c r="D156" s="4">
        <v>6747730</v>
      </c>
    </row>
    <row r="157" spans="1:4" x14ac:dyDescent="0.25">
      <c r="A157" s="2" t="s">
        <v>17</v>
      </c>
      <c r="B157" s="3" t="s">
        <v>5</v>
      </c>
      <c r="C157" s="3" t="s">
        <v>36</v>
      </c>
      <c r="D157" s="4">
        <v>7820776</v>
      </c>
    </row>
    <row r="158" spans="1:4" x14ac:dyDescent="0.25">
      <c r="A158" s="5" t="s">
        <v>17</v>
      </c>
      <c r="B158" s="6" t="s">
        <v>5</v>
      </c>
      <c r="C158" s="6" t="s">
        <v>37</v>
      </c>
      <c r="D158" s="7">
        <v>7506888</v>
      </c>
    </row>
    <row r="159" spans="1:4" x14ac:dyDescent="0.25">
      <c r="A159" s="2" t="s">
        <v>17</v>
      </c>
      <c r="B159" s="3" t="s">
        <v>5</v>
      </c>
      <c r="C159" s="3" t="s">
        <v>38</v>
      </c>
      <c r="D159" s="4">
        <v>7289707</v>
      </c>
    </row>
    <row r="160" spans="1:4" x14ac:dyDescent="0.25">
      <c r="A160" s="5" t="s">
        <v>17</v>
      </c>
      <c r="B160" s="6" t="s">
        <v>5</v>
      </c>
      <c r="C160" s="6" t="s">
        <v>39</v>
      </c>
      <c r="D160" s="7">
        <v>7609908</v>
      </c>
    </row>
    <row r="161" spans="1:4" x14ac:dyDescent="0.25">
      <c r="A161" s="2" t="s">
        <v>17</v>
      </c>
      <c r="B161" s="3" t="s">
        <v>5</v>
      </c>
      <c r="C161" s="3" t="s">
        <v>40</v>
      </c>
      <c r="D161" s="4">
        <v>7834958</v>
      </c>
    </row>
    <row r="162" spans="1:4" x14ac:dyDescent="0.25">
      <c r="A162" s="5" t="s">
        <v>17</v>
      </c>
      <c r="B162" s="6" t="s">
        <v>5</v>
      </c>
      <c r="C162" s="6" t="s">
        <v>41</v>
      </c>
      <c r="D162" s="7">
        <v>7809670.5</v>
      </c>
    </row>
    <row r="163" spans="1:4" x14ac:dyDescent="0.25">
      <c r="A163" s="2" t="s">
        <v>17</v>
      </c>
      <c r="B163" s="3" t="s">
        <v>5</v>
      </c>
      <c r="C163" s="3" t="s">
        <v>42</v>
      </c>
      <c r="D163" s="4">
        <v>7881943</v>
      </c>
    </row>
    <row r="164" spans="1:4" x14ac:dyDescent="0.25">
      <c r="A164" s="5" t="s">
        <v>17</v>
      </c>
      <c r="B164" s="6" t="s">
        <v>5</v>
      </c>
      <c r="C164" s="6" t="s">
        <v>43</v>
      </c>
      <c r="D164" s="7">
        <v>7148402</v>
      </c>
    </row>
    <row r="165" spans="1:4" x14ac:dyDescent="0.25">
      <c r="A165" s="2" t="s">
        <v>17</v>
      </c>
      <c r="B165" s="3" t="s">
        <v>5</v>
      </c>
      <c r="C165" s="3" t="s">
        <v>44</v>
      </c>
      <c r="D165" s="4">
        <v>7008668</v>
      </c>
    </row>
    <row r="166" spans="1:4" x14ac:dyDescent="0.25">
      <c r="A166" s="5" t="s">
        <v>17</v>
      </c>
      <c r="B166" s="6" t="s">
        <v>5</v>
      </c>
      <c r="C166" s="6" t="s">
        <v>45</v>
      </c>
      <c r="D166" s="7">
        <v>7274780</v>
      </c>
    </row>
    <row r="167" spans="1:4" x14ac:dyDescent="0.25">
      <c r="A167" s="2" t="s">
        <v>17</v>
      </c>
      <c r="B167" s="3" t="s">
        <v>5</v>
      </c>
      <c r="C167" s="3" t="s">
        <v>46</v>
      </c>
      <c r="D167" s="4">
        <v>7387926</v>
      </c>
    </row>
    <row r="168" spans="1:4" x14ac:dyDescent="0.25">
      <c r="A168" s="5" t="s">
        <v>17</v>
      </c>
      <c r="B168" s="6" t="s">
        <v>5</v>
      </c>
      <c r="C168" s="6" t="s">
        <v>47</v>
      </c>
      <c r="D168" s="7">
        <v>7308116.5</v>
      </c>
    </row>
    <row r="169" spans="1:4" x14ac:dyDescent="0.25">
      <c r="A169" s="2" t="s">
        <v>17</v>
      </c>
      <c r="B169" s="3" t="s">
        <v>5</v>
      </c>
      <c r="C169" s="3" t="s">
        <v>48</v>
      </c>
      <c r="D169" s="4">
        <v>7346376.5</v>
      </c>
    </row>
    <row r="170" spans="1:4" x14ac:dyDescent="0.25">
      <c r="A170" s="5" t="s">
        <v>17</v>
      </c>
      <c r="B170" s="6" t="s">
        <v>5</v>
      </c>
      <c r="C170" s="6" t="s">
        <v>49</v>
      </c>
      <c r="D170" s="7">
        <v>7051844</v>
      </c>
    </row>
    <row r="171" spans="1:4" x14ac:dyDescent="0.25">
      <c r="A171" s="2" t="s">
        <v>17</v>
      </c>
      <c r="B171" s="3" t="s">
        <v>5</v>
      </c>
      <c r="C171" s="3" t="s">
        <v>50</v>
      </c>
      <c r="D171" s="4">
        <v>6848183</v>
      </c>
    </row>
    <row r="172" spans="1:4" x14ac:dyDescent="0.25">
      <c r="A172" s="5" t="s">
        <v>17</v>
      </c>
      <c r="B172" s="6" t="s">
        <v>5</v>
      </c>
      <c r="C172" s="6" t="s">
        <v>51</v>
      </c>
      <c r="D172" s="7">
        <v>7148747</v>
      </c>
    </row>
    <row r="173" spans="1:4" x14ac:dyDescent="0.25">
      <c r="A173" s="2" t="s">
        <v>17</v>
      </c>
      <c r="B173" s="3" t="s">
        <v>5</v>
      </c>
      <c r="C173" s="3" t="s">
        <v>52</v>
      </c>
      <c r="D173" s="4">
        <v>7359640.5</v>
      </c>
    </row>
    <row r="174" spans="1:4" x14ac:dyDescent="0.25">
      <c r="A174" s="5" t="s">
        <v>17</v>
      </c>
      <c r="B174" s="6" t="s">
        <v>5</v>
      </c>
      <c r="C174" s="6" t="s">
        <v>53</v>
      </c>
      <c r="D174" s="7">
        <v>7335547.5</v>
      </c>
    </row>
    <row r="175" spans="1:4" x14ac:dyDescent="0.25">
      <c r="A175" s="2" t="s">
        <v>17</v>
      </c>
      <c r="B175" s="3" t="s">
        <v>5</v>
      </c>
      <c r="C175" s="3" t="s">
        <v>54</v>
      </c>
      <c r="D175" s="4">
        <v>7403275</v>
      </c>
    </row>
    <row r="176" spans="1:4" x14ac:dyDescent="0.25">
      <c r="A176" s="5" t="s">
        <v>17</v>
      </c>
      <c r="B176" s="6" t="s">
        <v>5</v>
      </c>
      <c r="C176" s="6" t="s">
        <v>55</v>
      </c>
      <c r="D176" s="7">
        <v>6971092</v>
      </c>
    </row>
    <row r="177" spans="1:4" x14ac:dyDescent="0.25">
      <c r="A177" s="5" t="s">
        <v>17</v>
      </c>
      <c r="B177" s="6" t="s">
        <v>5</v>
      </c>
      <c r="C177" s="6" t="s">
        <v>56</v>
      </c>
      <c r="D177" s="7">
        <v>6834746</v>
      </c>
    </row>
    <row r="178" spans="1:4" x14ac:dyDescent="0.25">
      <c r="A178" s="5" t="s">
        <v>17</v>
      </c>
      <c r="B178" s="6" t="s">
        <v>5</v>
      </c>
      <c r="C178" s="6" t="s">
        <v>57</v>
      </c>
      <c r="D178" s="7">
        <v>7094369.5</v>
      </c>
    </row>
    <row r="179" spans="1:4" x14ac:dyDescent="0.25">
      <c r="A179" s="5" t="s">
        <v>17</v>
      </c>
      <c r="B179" s="6" t="s">
        <v>5</v>
      </c>
      <c r="C179" s="6" t="s">
        <v>58</v>
      </c>
      <c r="D179" s="7">
        <v>7204842.5</v>
      </c>
    </row>
    <row r="180" spans="1:4" x14ac:dyDescent="0.25">
      <c r="A180" s="5" t="s">
        <v>17</v>
      </c>
      <c r="B180" s="6" t="s">
        <v>5</v>
      </c>
      <c r="C180" s="6" t="s">
        <v>59</v>
      </c>
      <c r="D180" s="7">
        <v>7127117.5</v>
      </c>
    </row>
    <row r="181" spans="1:4" x14ac:dyDescent="0.25">
      <c r="A181" s="5" t="s">
        <v>17</v>
      </c>
      <c r="B181" s="6" t="s">
        <v>5</v>
      </c>
      <c r="C181" s="6" t="s">
        <v>60</v>
      </c>
      <c r="D181" s="7">
        <v>7164503.5</v>
      </c>
    </row>
    <row r="182" spans="1:4" x14ac:dyDescent="0.25">
      <c r="A182" s="5" t="s">
        <v>17</v>
      </c>
      <c r="B182" s="6" t="s">
        <v>5</v>
      </c>
      <c r="C182" s="6" t="s">
        <v>61</v>
      </c>
      <c r="D182" s="7">
        <v>6877323</v>
      </c>
    </row>
    <row r="183" spans="1:4" x14ac:dyDescent="0.25">
      <c r="A183" s="5" t="s">
        <v>17</v>
      </c>
      <c r="B183" s="6" t="s">
        <v>5</v>
      </c>
      <c r="C183" s="6" t="s">
        <v>62</v>
      </c>
      <c r="D183" s="7">
        <v>6678839</v>
      </c>
    </row>
    <row r="184" spans="1:4" x14ac:dyDescent="0.25">
      <c r="A184" s="5" t="s">
        <v>17</v>
      </c>
      <c r="B184" s="6" t="s">
        <v>5</v>
      </c>
      <c r="C184" s="6" t="s">
        <v>63</v>
      </c>
      <c r="D184" s="7">
        <v>6971927</v>
      </c>
    </row>
    <row r="185" spans="1:4" x14ac:dyDescent="0.25">
      <c r="A185" s="5" t="s">
        <v>17</v>
      </c>
      <c r="B185" s="6" t="s">
        <v>5</v>
      </c>
      <c r="C185" s="6" t="s">
        <v>64</v>
      </c>
      <c r="D185" s="7">
        <v>7177363.5</v>
      </c>
    </row>
    <row r="186" spans="1:4" x14ac:dyDescent="0.25">
      <c r="A186" s="5" t="s">
        <v>17</v>
      </c>
      <c r="B186" s="6" t="s">
        <v>5</v>
      </c>
      <c r="C186" s="6" t="s">
        <v>65</v>
      </c>
      <c r="D186" s="7">
        <v>7153755.5</v>
      </c>
    </row>
    <row r="187" spans="1:4" x14ac:dyDescent="0.25">
      <c r="A187" s="5" t="s">
        <v>17</v>
      </c>
      <c r="B187" s="6" t="s">
        <v>5</v>
      </c>
      <c r="C187" s="6" t="s">
        <v>66</v>
      </c>
      <c r="D187" s="7">
        <v>7219760.5</v>
      </c>
    </row>
    <row r="188" spans="1:4" x14ac:dyDescent="0.25">
      <c r="A188" s="5" t="s">
        <v>30</v>
      </c>
      <c r="B188" s="6" t="s">
        <v>5</v>
      </c>
      <c r="C188" s="6" t="s">
        <v>36</v>
      </c>
      <c r="D188" s="7">
        <v>1290896.25</v>
      </c>
    </row>
    <row r="189" spans="1:4" x14ac:dyDescent="0.25">
      <c r="A189" s="2" t="s">
        <v>30</v>
      </c>
      <c r="B189" s="3" t="s">
        <v>5</v>
      </c>
      <c r="C189" s="3" t="s">
        <v>37</v>
      </c>
      <c r="D189" s="4">
        <v>1240304.125</v>
      </c>
    </row>
    <row r="190" spans="1:4" x14ac:dyDescent="0.25">
      <c r="A190" s="5" t="s">
        <v>30</v>
      </c>
      <c r="B190" s="6" t="s">
        <v>5</v>
      </c>
      <c r="C190" s="6" t="s">
        <v>38</v>
      </c>
      <c r="D190" s="7">
        <v>1205460.125</v>
      </c>
    </row>
    <row r="191" spans="1:4" x14ac:dyDescent="0.25">
      <c r="A191" s="2" t="s">
        <v>30</v>
      </c>
      <c r="B191" s="3" t="s">
        <v>5</v>
      </c>
      <c r="C191" s="3" t="s">
        <v>39</v>
      </c>
      <c r="D191" s="4">
        <v>1257809.5</v>
      </c>
    </row>
    <row r="192" spans="1:4" x14ac:dyDescent="0.25">
      <c r="A192" s="5" t="s">
        <v>30</v>
      </c>
      <c r="B192" s="6" t="s">
        <v>5</v>
      </c>
      <c r="C192" s="6" t="s">
        <v>40</v>
      </c>
      <c r="D192" s="7">
        <v>1293822.75</v>
      </c>
    </row>
    <row r="193" spans="1:4" x14ac:dyDescent="0.25">
      <c r="A193" s="2" t="s">
        <v>30</v>
      </c>
      <c r="B193" s="3" t="s">
        <v>5</v>
      </c>
      <c r="C193" s="3" t="s">
        <v>41</v>
      </c>
      <c r="D193" s="4">
        <v>1288276.125</v>
      </c>
    </row>
    <row r="194" spans="1:4" x14ac:dyDescent="0.25">
      <c r="A194" s="5" t="s">
        <v>30</v>
      </c>
      <c r="B194" s="6" t="s">
        <v>5</v>
      </c>
      <c r="C194" s="6" t="s">
        <v>42</v>
      </c>
      <c r="D194" s="7">
        <v>1299567</v>
      </c>
    </row>
    <row r="195" spans="1:4" x14ac:dyDescent="0.25">
      <c r="A195" s="2" t="s">
        <v>30</v>
      </c>
      <c r="B195" s="3" t="s">
        <v>5</v>
      </c>
      <c r="C195" s="3" t="s">
        <v>43</v>
      </c>
      <c r="D195" s="4">
        <v>1217161</v>
      </c>
    </row>
    <row r="196" spans="1:4" x14ac:dyDescent="0.25">
      <c r="A196" s="5" t="s">
        <v>30</v>
      </c>
      <c r="B196" s="6" t="s">
        <v>5</v>
      </c>
      <c r="C196" s="6" t="s">
        <v>44</v>
      </c>
      <c r="D196" s="7">
        <v>1193742.375</v>
      </c>
    </row>
    <row r="197" spans="1:4" x14ac:dyDescent="0.25">
      <c r="A197" s="2" t="s">
        <v>30</v>
      </c>
      <c r="B197" s="3" t="s">
        <v>5</v>
      </c>
      <c r="C197" s="3" t="s">
        <v>45</v>
      </c>
      <c r="D197" s="4">
        <v>1239182.25</v>
      </c>
    </row>
    <row r="198" spans="1:4" x14ac:dyDescent="0.25">
      <c r="A198" s="5" t="s">
        <v>30</v>
      </c>
      <c r="B198" s="6" t="s">
        <v>5</v>
      </c>
      <c r="C198" s="6" t="s">
        <v>46</v>
      </c>
      <c r="D198" s="7">
        <v>1258950.875</v>
      </c>
    </row>
    <row r="199" spans="1:4" x14ac:dyDescent="0.25">
      <c r="A199" s="2" t="s">
        <v>30</v>
      </c>
      <c r="B199" s="3" t="s">
        <v>5</v>
      </c>
      <c r="C199" s="3" t="s">
        <v>47</v>
      </c>
      <c r="D199" s="4">
        <v>1245139.375</v>
      </c>
    </row>
    <row r="200" spans="1:4" x14ac:dyDescent="0.25">
      <c r="A200" s="5" t="s">
        <v>30</v>
      </c>
      <c r="B200" s="6" t="s">
        <v>5</v>
      </c>
      <c r="C200" s="6" t="s">
        <v>48</v>
      </c>
      <c r="D200" s="7">
        <v>1251754</v>
      </c>
    </row>
    <row r="201" spans="1:4" x14ac:dyDescent="0.25">
      <c r="A201" s="2" t="s">
        <v>30</v>
      </c>
      <c r="B201" s="3" t="s">
        <v>5</v>
      </c>
      <c r="C201" s="3" t="s">
        <v>49</v>
      </c>
      <c r="D201" s="4">
        <v>1202758.125</v>
      </c>
    </row>
    <row r="202" spans="1:4" x14ac:dyDescent="0.25">
      <c r="A202" s="5" t="s">
        <v>30</v>
      </c>
      <c r="B202" s="6" t="s">
        <v>5</v>
      </c>
      <c r="C202" s="6" t="s">
        <v>50</v>
      </c>
      <c r="D202" s="7">
        <v>1169017.625</v>
      </c>
    </row>
    <row r="203" spans="1:4" x14ac:dyDescent="0.25">
      <c r="A203" s="2" t="s">
        <v>30</v>
      </c>
      <c r="B203" s="3" t="s">
        <v>5</v>
      </c>
      <c r="C203" s="3" t="s">
        <v>51</v>
      </c>
      <c r="D203" s="4">
        <v>1219741.875</v>
      </c>
    </row>
    <row r="204" spans="1:4" x14ac:dyDescent="0.25">
      <c r="A204" s="5" t="s">
        <v>30</v>
      </c>
      <c r="B204" s="6" t="s">
        <v>5</v>
      </c>
      <c r="C204" s="6" t="s">
        <v>52</v>
      </c>
      <c r="D204" s="7">
        <v>1254602.25</v>
      </c>
    </row>
    <row r="205" spans="1:4" x14ac:dyDescent="0.25">
      <c r="A205" s="2" t="s">
        <v>30</v>
      </c>
      <c r="B205" s="3" t="s">
        <v>5</v>
      </c>
      <c r="C205" s="3" t="s">
        <v>53</v>
      </c>
      <c r="D205" s="4">
        <v>1249165.125</v>
      </c>
    </row>
    <row r="206" spans="1:4" x14ac:dyDescent="0.25">
      <c r="A206" s="5" t="s">
        <v>30</v>
      </c>
      <c r="B206" s="6" t="s">
        <v>5</v>
      </c>
      <c r="C206" s="6" t="s">
        <v>54</v>
      </c>
      <c r="D206" s="7">
        <v>1260088.875</v>
      </c>
    </row>
    <row r="207" spans="1:4" x14ac:dyDescent="0.25">
      <c r="A207" s="5" t="s">
        <v>30</v>
      </c>
      <c r="B207" s="6" t="s">
        <v>5</v>
      </c>
      <c r="C207" s="6" t="s">
        <v>55</v>
      </c>
      <c r="D207" s="7">
        <v>1219977</v>
      </c>
    </row>
    <row r="208" spans="1:4" x14ac:dyDescent="0.25">
      <c r="A208" s="5" t="s">
        <v>30</v>
      </c>
      <c r="B208" s="6" t="s">
        <v>5</v>
      </c>
      <c r="C208" s="6" t="s">
        <v>56</v>
      </c>
      <c r="D208" s="7">
        <v>1196471.75</v>
      </c>
    </row>
    <row r="209" spans="1:4" x14ac:dyDescent="0.25">
      <c r="A209" s="5" t="s">
        <v>30</v>
      </c>
      <c r="B209" s="6" t="s">
        <v>5</v>
      </c>
      <c r="C209" s="6" t="s">
        <v>57</v>
      </c>
      <c r="D209" s="7">
        <v>1242034.5</v>
      </c>
    </row>
    <row r="210" spans="1:4" x14ac:dyDescent="0.25">
      <c r="A210" s="5" t="s">
        <v>30</v>
      </c>
      <c r="B210" s="6" t="s">
        <v>5</v>
      </c>
      <c r="C210" s="6" t="s">
        <v>58</v>
      </c>
      <c r="D210" s="7">
        <v>1261850.375</v>
      </c>
    </row>
    <row r="211" spans="1:4" x14ac:dyDescent="0.25">
      <c r="A211" s="5" t="s">
        <v>30</v>
      </c>
      <c r="B211" s="6" t="s">
        <v>5</v>
      </c>
      <c r="C211" s="6" t="s">
        <v>59</v>
      </c>
      <c r="D211" s="7">
        <v>1248048.5</v>
      </c>
    </row>
    <row r="212" spans="1:4" x14ac:dyDescent="0.25">
      <c r="A212" s="5" t="s">
        <v>30</v>
      </c>
      <c r="B212" s="6" t="s">
        <v>5</v>
      </c>
      <c r="C212" s="6" t="s">
        <v>60</v>
      </c>
      <c r="D212" s="7">
        <v>1254692</v>
      </c>
    </row>
    <row r="213" spans="1:4" x14ac:dyDescent="0.25">
      <c r="A213" s="5" t="s">
        <v>30</v>
      </c>
      <c r="B213" s="6" t="s">
        <v>5</v>
      </c>
      <c r="C213" s="6" t="s">
        <v>61</v>
      </c>
      <c r="D213" s="7">
        <v>1205533</v>
      </c>
    </row>
    <row r="214" spans="1:4" x14ac:dyDescent="0.25">
      <c r="A214" s="5" t="s">
        <v>30</v>
      </c>
      <c r="B214" s="6" t="s">
        <v>5</v>
      </c>
      <c r="C214" s="6" t="s">
        <v>62</v>
      </c>
      <c r="D214" s="7">
        <v>1171685.25</v>
      </c>
    </row>
    <row r="215" spans="1:4" x14ac:dyDescent="0.25">
      <c r="A215" s="5" t="s">
        <v>30</v>
      </c>
      <c r="B215" s="6" t="s">
        <v>5</v>
      </c>
      <c r="C215" s="6" t="s">
        <v>63</v>
      </c>
      <c r="D215" s="7">
        <v>1222544.25</v>
      </c>
    </row>
    <row r="216" spans="1:4" x14ac:dyDescent="0.25">
      <c r="A216" s="5" t="s">
        <v>30</v>
      </c>
      <c r="B216" s="6" t="s">
        <v>5</v>
      </c>
      <c r="C216" s="6" t="s">
        <v>64</v>
      </c>
      <c r="D216" s="7">
        <v>1257491.375</v>
      </c>
    </row>
    <row r="217" spans="1:4" x14ac:dyDescent="0.25">
      <c r="A217" s="5" t="s">
        <v>30</v>
      </c>
      <c r="B217" s="6" t="s">
        <v>5</v>
      </c>
      <c r="C217" s="6" t="s">
        <v>65</v>
      </c>
      <c r="D217" s="7">
        <v>1252087.5</v>
      </c>
    </row>
    <row r="218" spans="1:4" x14ac:dyDescent="0.25">
      <c r="A218" s="5" t="s">
        <v>30</v>
      </c>
      <c r="B218" s="6" t="s">
        <v>5</v>
      </c>
      <c r="C218" s="6" t="s">
        <v>66</v>
      </c>
      <c r="D218" s="7">
        <v>1263062.625</v>
      </c>
    </row>
    <row r="219" spans="1:4" x14ac:dyDescent="0.25">
      <c r="A219" s="5" t="s">
        <v>24</v>
      </c>
      <c r="B219" s="6" t="s">
        <v>5</v>
      </c>
      <c r="C219" s="6" t="s">
        <v>36</v>
      </c>
      <c r="D219" s="7">
        <v>1275815.625</v>
      </c>
    </row>
    <row r="220" spans="1:4" x14ac:dyDescent="0.25">
      <c r="A220" s="2" t="s">
        <v>24</v>
      </c>
      <c r="B220" s="3" t="s">
        <v>5</v>
      </c>
      <c r="C220" s="3" t="s">
        <v>37</v>
      </c>
      <c r="D220" s="4">
        <v>1224613.875</v>
      </c>
    </row>
    <row r="221" spans="1:4" x14ac:dyDescent="0.25">
      <c r="A221" s="5" t="s">
        <v>24</v>
      </c>
      <c r="B221" s="6" t="s">
        <v>5</v>
      </c>
      <c r="C221" s="6" t="s">
        <v>38</v>
      </c>
      <c r="D221" s="7">
        <v>1189223.75</v>
      </c>
    </row>
    <row r="222" spans="1:4" x14ac:dyDescent="0.25">
      <c r="A222" s="2" t="s">
        <v>24</v>
      </c>
      <c r="B222" s="3" t="s">
        <v>5</v>
      </c>
      <c r="C222" s="3" t="s">
        <v>39</v>
      </c>
      <c r="D222" s="4">
        <v>1241442.5</v>
      </c>
    </row>
    <row r="223" spans="1:4" x14ac:dyDescent="0.25">
      <c r="A223" s="5" t="s">
        <v>24</v>
      </c>
      <c r="B223" s="6" t="s">
        <v>5</v>
      </c>
      <c r="C223" s="6" t="s">
        <v>40</v>
      </c>
      <c r="D223" s="7">
        <v>1278100.5</v>
      </c>
    </row>
    <row r="224" spans="1:4" x14ac:dyDescent="0.25">
      <c r="A224" s="2" t="s">
        <v>24</v>
      </c>
      <c r="B224" s="3" t="s">
        <v>5</v>
      </c>
      <c r="C224" s="3" t="s">
        <v>41</v>
      </c>
      <c r="D224" s="4">
        <v>1273934.875</v>
      </c>
    </row>
    <row r="225" spans="1:4" x14ac:dyDescent="0.25">
      <c r="A225" s="5" t="s">
        <v>24</v>
      </c>
      <c r="B225" s="6" t="s">
        <v>5</v>
      </c>
      <c r="C225" s="6" t="s">
        <v>42</v>
      </c>
      <c r="D225" s="7">
        <v>1285667.875</v>
      </c>
    </row>
    <row r="226" spans="1:4" x14ac:dyDescent="0.25">
      <c r="A226" s="2" t="s">
        <v>24</v>
      </c>
      <c r="B226" s="3" t="s">
        <v>5</v>
      </c>
      <c r="C226" s="3" t="s">
        <v>43</v>
      </c>
      <c r="D226" s="4">
        <v>1145394.375</v>
      </c>
    </row>
    <row r="227" spans="1:4" x14ac:dyDescent="0.25">
      <c r="A227" s="5" t="s">
        <v>24</v>
      </c>
      <c r="B227" s="6" t="s">
        <v>5</v>
      </c>
      <c r="C227" s="6" t="s">
        <v>44</v>
      </c>
      <c r="D227" s="7">
        <v>1122990.5</v>
      </c>
    </row>
    <row r="228" spans="1:4" x14ac:dyDescent="0.25">
      <c r="A228" s="2" t="s">
        <v>24</v>
      </c>
      <c r="B228" s="3" t="s">
        <v>5</v>
      </c>
      <c r="C228" s="3" t="s">
        <v>45</v>
      </c>
      <c r="D228" s="4">
        <v>1165659.75</v>
      </c>
    </row>
    <row r="229" spans="1:4" x14ac:dyDescent="0.25">
      <c r="A229" s="5" t="s">
        <v>24</v>
      </c>
      <c r="B229" s="6" t="s">
        <v>5</v>
      </c>
      <c r="C229" s="6" t="s">
        <v>46</v>
      </c>
      <c r="D229" s="7">
        <v>1183857.625</v>
      </c>
    </row>
    <row r="230" spans="1:4" x14ac:dyDescent="0.25">
      <c r="A230" s="2" t="s">
        <v>24</v>
      </c>
      <c r="B230" s="3" t="s">
        <v>5</v>
      </c>
      <c r="C230" s="3" t="s">
        <v>47</v>
      </c>
      <c r="D230" s="4">
        <v>1171094.625</v>
      </c>
    </row>
    <row r="231" spans="1:4" x14ac:dyDescent="0.25">
      <c r="A231" s="5" t="s">
        <v>24</v>
      </c>
      <c r="B231" s="6" t="s">
        <v>5</v>
      </c>
      <c r="C231" s="6" t="s">
        <v>48</v>
      </c>
      <c r="D231" s="7">
        <v>1177258.125</v>
      </c>
    </row>
    <row r="232" spans="1:4" x14ac:dyDescent="0.25">
      <c r="A232" s="2" t="s">
        <v>24</v>
      </c>
      <c r="B232" s="3" t="s">
        <v>5</v>
      </c>
      <c r="C232" s="3" t="s">
        <v>49</v>
      </c>
      <c r="D232" s="4">
        <v>1130075.25</v>
      </c>
    </row>
    <row r="233" spans="1:4" x14ac:dyDescent="0.25">
      <c r="A233" s="5" t="s">
        <v>24</v>
      </c>
      <c r="B233" s="6" t="s">
        <v>5</v>
      </c>
      <c r="C233" s="6" t="s">
        <v>50</v>
      </c>
      <c r="D233" s="7">
        <v>1097494.375</v>
      </c>
    </row>
    <row r="234" spans="1:4" x14ac:dyDescent="0.25">
      <c r="A234" s="2" t="s">
        <v>24</v>
      </c>
      <c r="B234" s="3" t="s">
        <v>5</v>
      </c>
      <c r="C234" s="3" t="s">
        <v>51</v>
      </c>
      <c r="D234" s="4">
        <v>1145635.375</v>
      </c>
    </row>
    <row r="235" spans="1:4" x14ac:dyDescent="0.25">
      <c r="A235" s="5" t="s">
        <v>24</v>
      </c>
      <c r="B235" s="6" t="s">
        <v>5</v>
      </c>
      <c r="C235" s="6" t="s">
        <v>52</v>
      </c>
      <c r="D235" s="7">
        <v>1179351.75</v>
      </c>
    </row>
    <row r="236" spans="1:4" x14ac:dyDescent="0.25">
      <c r="A236" s="2" t="s">
        <v>24</v>
      </c>
      <c r="B236" s="3" t="s">
        <v>5</v>
      </c>
      <c r="C236" s="3" t="s">
        <v>53</v>
      </c>
      <c r="D236" s="4">
        <v>1175434.375</v>
      </c>
    </row>
    <row r="237" spans="1:4" x14ac:dyDescent="0.25">
      <c r="A237" s="5" t="s">
        <v>24</v>
      </c>
      <c r="B237" s="6" t="s">
        <v>5</v>
      </c>
      <c r="C237" s="6" t="s">
        <v>54</v>
      </c>
      <c r="D237" s="7">
        <v>1186221.875</v>
      </c>
    </row>
    <row r="238" spans="1:4" x14ac:dyDescent="0.25">
      <c r="A238" s="2" t="s">
        <v>24</v>
      </c>
      <c r="B238" s="3" t="s">
        <v>5</v>
      </c>
      <c r="C238" s="3" t="s">
        <v>55</v>
      </c>
      <c r="D238" s="4">
        <v>1107724</v>
      </c>
    </row>
    <row r="239" spans="1:4" x14ac:dyDescent="0.25">
      <c r="A239" s="2" t="s">
        <v>24</v>
      </c>
      <c r="B239" s="3" t="s">
        <v>5</v>
      </c>
      <c r="C239" s="3" t="s">
        <v>56</v>
      </c>
      <c r="D239" s="4">
        <v>1086029.75</v>
      </c>
    </row>
    <row r="240" spans="1:4" x14ac:dyDescent="0.25">
      <c r="A240" s="2" t="s">
        <v>24</v>
      </c>
      <c r="B240" s="3" t="s">
        <v>5</v>
      </c>
      <c r="C240" s="3" t="s">
        <v>57</v>
      </c>
      <c r="D240" s="4">
        <v>1127326.125</v>
      </c>
    </row>
    <row r="241" spans="1:4" x14ac:dyDescent="0.25">
      <c r="A241" s="2" t="s">
        <v>24</v>
      </c>
      <c r="B241" s="3" t="s">
        <v>5</v>
      </c>
      <c r="C241" s="3" t="s">
        <v>58</v>
      </c>
      <c r="D241" s="4">
        <v>1144979.75</v>
      </c>
    </row>
    <row r="242" spans="1:4" x14ac:dyDescent="0.25">
      <c r="A242" s="2" t="s">
        <v>24</v>
      </c>
      <c r="B242" s="3" t="s">
        <v>5</v>
      </c>
      <c r="C242" s="3" t="s">
        <v>59</v>
      </c>
      <c r="D242" s="4">
        <v>1132665.875</v>
      </c>
    </row>
    <row r="243" spans="1:4" x14ac:dyDescent="0.25">
      <c r="A243" s="2" t="s">
        <v>24</v>
      </c>
      <c r="B243" s="3" t="s">
        <v>5</v>
      </c>
      <c r="C243" s="3" t="s">
        <v>60</v>
      </c>
      <c r="D243" s="4">
        <v>1138649.875</v>
      </c>
    </row>
    <row r="244" spans="1:4" x14ac:dyDescent="0.25">
      <c r="A244" s="2" t="s">
        <v>24</v>
      </c>
      <c r="B244" s="3" t="s">
        <v>5</v>
      </c>
      <c r="C244" s="3" t="s">
        <v>61</v>
      </c>
      <c r="D244" s="4">
        <v>1093044.625</v>
      </c>
    </row>
    <row r="245" spans="1:4" x14ac:dyDescent="0.25">
      <c r="A245" s="2" t="s">
        <v>24</v>
      </c>
      <c r="B245" s="3" t="s">
        <v>5</v>
      </c>
      <c r="C245" s="3" t="s">
        <v>62</v>
      </c>
      <c r="D245" s="4">
        <v>1061582.125</v>
      </c>
    </row>
    <row r="246" spans="1:4" x14ac:dyDescent="0.25">
      <c r="A246" s="2" t="s">
        <v>24</v>
      </c>
      <c r="B246" s="3" t="s">
        <v>5</v>
      </c>
      <c r="C246" s="3" t="s">
        <v>63</v>
      </c>
      <c r="D246" s="4">
        <v>1108124.875</v>
      </c>
    </row>
    <row r="247" spans="1:4" x14ac:dyDescent="0.25">
      <c r="A247" s="2" t="s">
        <v>24</v>
      </c>
      <c r="B247" s="3" t="s">
        <v>5</v>
      </c>
      <c r="C247" s="3" t="s">
        <v>64</v>
      </c>
      <c r="D247" s="4">
        <v>1140658.25</v>
      </c>
    </row>
    <row r="248" spans="1:4" x14ac:dyDescent="0.25">
      <c r="A248" s="2" t="s">
        <v>24</v>
      </c>
      <c r="B248" s="3" t="s">
        <v>5</v>
      </c>
      <c r="C248" s="3" t="s">
        <v>65</v>
      </c>
      <c r="D248" s="4">
        <v>1136823</v>
      </c>
    </row>
    <row r="249" spans="1:4" x14ac:dyDescent="0.25">
      <c r="A249" s="2" t="s">
        <v>24</v>
      </c>
      <c r="B249" s="3" t="s">
        <v>5</v>
      </c>
      <c r="C249" s="3" t="s">
        <v>66</v>
      </c>
      <c r="D249" s="4">
        <v>1147232.875</v>
      </c>
    </row>
    <row r="250" spans="1:4" x14ac:dyDescent="0.25">
      <c r="A250" s="2" t="s">
        <v>21</v>
      </c>
      <c r="B250" s="3" t="s">
        <v>5</v>
      </c>
      <c r="C250" s="3" t="s">
        <v>36</v>
      </c>
      <c r="D250" s="4">
        <v>9033905</v>
      </c>
    </row>
    <row r="251" spans="1:4" x14ac:dyDescent="0.25">
      <c r="A251" s="5" t="s">
        <v>21</v>
      </c>
      <c r="B251" s="6" t="s">
        <v>5</v>
      </c>
      <c r="C251" s="6" t="s">
        <v>37</v>
      </c>
      <c r="D251" s="7">
        <v>8675520</v>
      </c>
    </row>
    <row r="252" spans="1:4" x14ac:dyDescent="0.25">
      <c r="A252" s="2" t="s">
        <v>21</v>
      </c>
      <c r="B252" s="3" t="s">
        <v>5</v>
      </c>
      <c r="C252" s="3" t="s">
        <v>38</v>
      </c>
      <c r="D252" s="4">
        <v>8429980</v>
      </c>
    </row>
    <row r="253" spans="1:4" x14ac:dyDescent="0.25">
      <c r="A253" s="5" t="s">
        <v>21</v>
      </c>
      <c r="B253" s="6" t="s">
        <v>5</v>
      </c>
      <c r="C253" s="6" t="s">
        <v>39</v>
      </c>
      <c r="D253" s="7">
        <v>8796784</v>
      </c>
    </row>
    <row r="254" spans="1:4" x14ac:dyDescent="0.25">
      <c r="A254" s="2" t="s">
        <v>21</v>
      </c>
      <c r="B254" s="3" t="s">
        <v>5</v>
      </c>
      <c r="C254" s="3" t="s">
        <v>40</v>
      </c>
      <c r="D254" s="4">
        <v>9049066</v>
      </c>
    </row>
    <row r="255" spans="1:4" x14ac:dyDescent="0.25">
      <c r="A255" s="5" t="s">
        <v>21</v>
      </c>
      <c r="B255" s="6" t="s">
        <v>5</v>
      </c>
      <c r="C255" s="6" t="s">
        <v>41</v>
      </c>
      <c r="D255" s="7">
        <v>9015031</v>
      </c>
    </row>
    <row r="256" spans="1:4" x14ac:dyDescent="0.25">
      <c r="A256" s="2" t="s">
        <v>21</v>
      </c>
      <c r="B256" s="3" t="s">
        <v>5</v>
      </c>
      <c r="C256" s="3" t="s">
        <v>42</v>
      </c>
      <c r="D256" s="4">
        <v>9096016</v>
      </c>
    </row>
    <row r="257" spans="1:4" x14ac:dyDescent="0.25">
      <c r="A257" s="5" t="s">
        <v>21</v>
      </c>
      <c r="B257" s="6" t="s">
        <v>5</v>
      </c>
      <c r="C257" s="6" t="s">
        <v>43</v>
      </c>
      <c r="D257" s="7">
        <v>8187121</v>
      </c>
    </row>
    <row r="258" spans="1:4" x14ac:dyDescent="0.25">
      <c r="A258" s="2" t="s">
        <v>21</v>
      </c>
      <c r="B258" s="3" t="s">
        <v>5</v>
      </c>
      <c r="C258" s="3" t="s">
        <v>44</v>
      </c>
      <c r="D258" s="4">
        <v>8022875</v>
      </c>
    </row>
    <row r="259" spans="1:4" x14ac:dyDescent="0.25">
      <c r="A259" s="5" t="s">
        <v>21</v>
      </c>
      <c r="B259" s="6" t="s">
        <v>5</v>
      </c>
      <c r="C259" s="6" t="s">
        <v>45</v>
      </c>
      <c r="D259" s="7">
        <v>8329531.5</v>
      </c>
    </row>
    <row r="260" spans="1:4" x14ac:dyDescent="0.25">
      <c r="A260" s="2" t="s">
        <v>21</v>
      </c>
      <c r="B260" s="3" t="s">
        <v>5</v>
      </c>
      <c r="C260" s="3" t="s">
        <v>46</v>
      </c>
      <c r="D260" s="4">
        <v>8465941</v>
      </c>
    </row>
    <row r="261" spans="1:4" x14ac:dyDescent="0.25">
      <c r="A261" s="5" t="s">
        <v>21</v>
      </c>
      <c r="B261" s="6" t="s">
        <v>5</v>
      </c>
      <c r="C261" s="6" t="s">
        <v>47</v>
      </c>
      <c r="D261" s="7">
        <v>8377452</v>
      </c>
    </row>
    <row r="262" spans="1:4" x14ac:dyDescent="0.25">
      <c r="A262" s="2" t="s">
        <v>21</v>
      </c>
      <c r="B262" s="3" t="s">
        <v>5</v>
      </c>
      <c r="C262" s="3" t="s">
        <v>48</v>
      </c>
      <c r="D262" s="4">
        <v>8423255</v>
      </c>
    </row>
    <row r="263" spans="1:4" x14ac:dyDescent="0.25">
      <c r="A263" s="5" t="s">
        <v>21</v>
      </c>
      <c r="B263" s="6" t="s">
        <v>5</v>
      </c>
      <c r="C263" s="6" t="s">
        <v>49</v>
      </c>
      <c r="D263" s="7">
        <v>8089595</v>
      </c>
    </row>
    <row r="264" spans="1:4" x14ac:dyDescent="0.25">
      <c r="A264" s="2" t="s">
        <v>21</v>
      </c>
      <c r="B264" s="3" t="s">
        <v>5</v>
      </c>
      <c r="C264" s="3" t="s">
        <v>50</v>
      </c>
      <c r="D264" s="4">
        <v>7861029.5</v>
      </c>
    </row>
    <row r="265" spans="1:4" x14ac:dyDescent="0.25">
      <c r="A265" s="5" t="s">
        <v>21</v>
      </c>
      <c r="B265" s="6" t="s">
        <v>5</v>
      </c>
      <c r="C265" s="6" t="s">
        <v>51</v>
      </c>
      <c r="D265" s="7">
        <v>8202687</v>
      </c>
    </row>
    <row r="266" spans="1:4" x14ac:dyDescent="0.25">
      <c r="A266" s="2" t="s">
        <v>21</v>
      </c>
      <c r="B266" s="3" t="s">
        <v>5</v>
      </c>
      <c r="C266" s="3" t="s">
        <v>52</v>
      </c>
      <c r="D266" s="4">
        <v>8437426</v>
      </c>
    </row>
    <row r="267" spans="1:4" x14ac:dyDescent="0.25">
      <c r="A267" s="5" t="s">
        <v>21</v>
      </c>
      <c r="B267" s="6" t="s">
        <v>5</v>
      </c>
      <c r="C267" s="6" t="s">
        <v>53</v>
      </c>
      <c r="D267" s="7">
        <v>8405240</v>
      </c>
    </row>
    <row r="268" spans="1:4" x14ac:dyDescent="0.25">
      <c r="A268" s="2" t="s">
        <v>21</v>
      </c>
      <c r="B268" s="3" t="s">
        <v>5</v>
      </c>
      <c r="C268" s="3" t="s">
        <v>54</v>
      </c>
      <c r="D268" s="4">
        <v>8480513</v>
      </c>
    </row>
    <row r="269" spans="1:4" x14ac:dyDescent="0.25">
      <c r="A269" s="5" t="s">
        <v>21</v>
      </c>
      <c r="B269" s="6" t="s">
        <v>5</v>
      </c>
      <c r="C269" s="6" t="s">
        <v>55</v>
      </c>
      <c r="D269" s="7">
        <v>7395646</v>
      </c>
    </row>
    <row r="270" spans="1:4" x14ac:dyDescent="0.25">
      <c r="A270" s="5" t="s">
        <v>21</v>
      </c>
      <c r="B270" s="6" t="s">
        <v>5</v>
      </c>
      <c r="C270" s="6" t="s">
        <v>56</v>
      </c>
      <c r="D270" s="7">
        <v>7247197</v>
      </c>
    </row>
    <row r="271" spans="1:4" x14ac:dyDescent="0.25">
      <c r="A271" s="5" t="s">
        <v>21</v>
      </c>
      <c r="B271" s="6" t="s">
        <v>5</v>
      </c>
      <c r="C271" s="6" t="s">
        <v>57</v>
      </c>
      <c r="D271" s="7">
        <v>7524450</v>
      </c>
    </row>
    <row r="272" spans="1:4" x14ac:dyDescent="0.25">
      <c r="A272" s="5" t="s">
        <v>21</v>
      </c>
      <c r="B272" s="6" t="s">
        <v>5</v>
      </c>
      <c r="C272" s="6" t="s">
        <v>58</v>
      </c>
      <c r="D272" s="7">
        <v>7648143</v>
      </c>
    </row>
    <row r="273" spans="1:4" x14ac:dyDescent="0.25">
      <c r="A273" s="5" t="s">
        <v>21</v>
      </c>
      <c r="B273" s="6" t="s">
        <v>5</v>
      </c>
      <c r="C273" s="6" t="s">
        <v>59</v>
      </c>
      <c r="D273" s="7">
        <v>7568375</v>
      </c>
    </row>
    <row r="274" spans="1:4" x14ac:dyDescent="0.25">
      <c r="A274" s="5" t="s">
        <v>21</v>
      </c>
      <c r="B274" s="6" t="s">
        <v>5</v>
      </c>
      <c r="C274" s="6" t="s">
        <v>60</v>
      </c>
      <c r="D274" s="7">
        <v>7609942</v>
      </c>
    </row>
    <row r="275" spans="1:4" x14ac:dyDescent="0.25">
      <c r="A275" s="5" t="s">
        <v>21</v>
      </c>
      <c r="B275" s="6" t="s">
        <v>5</v>
      </c>
      <c r="C275" s="6" t="s">
        <v>61</v>
      </c>
      <c r="D275" s="7">
        <v>7308957.5</v>
      </c>
    </row>
    <row r="276" spans="1:4" x14ac:dyDescent="0.25">
      <c r="A276" s="5" t="s">
        <v>21</v>
      </c>
      <c r="B276" s="6" t="s">
        <v>5</v>
      </c>
      <c r="C276" s="6" t="s">
        <v>62</v>
      </c>
      <c r="D276" s="7">
        <v>7103030</v>
      </c>
    </row>
    <row r="277" spans="1:4" x14ac:dyDescent="0.25">
      <c r="A277" s="5" t="s">
        <v>21</v>
      </c>
      <c r="B277" s="6" t="s">
        <v>5</v>
      </c>
      <c r="C277" s="6" t="s">
        <v>63</v>
      </c>
      <c r="D277" s="7">
        <v>7411463</v>
      </c>
    </row>
    <row r="278" spans="1:4" x14ac:dyDescent="0.25">
      <c r="A278" s="5" t="s">
        <v>21</v>
      </c>
      <c r="B278" s="6" t="s">
        <v>5</v>
      </c>
      <c r="C278" s="6" t="s">
        <v>64</v>
      </c>
      <c r="D278" s="7">
        <v>7622736</v>
      </c>
    </row>
    <row r="279" spans="1:4" x14ac:dyDescent="0.25">
      <c r="A279" s="5" t="s">
        <v>21</v>
      </c>
      <c r="B279" s="6" t="s">
        <v>5</v>
      </c>
      <c r="C279" s="6" t="s">
        <v>65</v>
      </c>
      <c r="D279" s="7">
        <v>7593044</v>
      </c>
    </row>
    <row r="280" spans="1:4" x14ac:dyDescent="0.25">
      <c r="A280" s="5" t="s">
        <v>21</v>
      </c>
      <c r="B280" s="6" t="s">
        <v>5</v>
      </c>
      <c r="C280" s="6" t="s">
        <v>66</v>
      </c>
      <c r="D280" s="7">
        <v>7660739</v>
      </c>
    </row>
    <row r="281" spans="1:4" x14ac:dyDescent="0.25">
      <c r="A281" s="5" t="s">
        <v>22</v>
      </c>
      <c r="B281" s="6" t="s">
        <v>5</v>
      </c>
      <c r="C281" s="6" t="s">
        <v>36</v>
      </c>
      <c r="D281" s="7">
        <v>10421274</v>
      </c>
    </row>
    <row r="282" spans="1:4" x14ac:dyDescent="0.25">
      <c r="A282" s="2" t="s">
        <v>22</v>
      </c>
      <c r="B282" s="3" t="s">
        <v>5</v>
      </c>
      <c r="C282" s="3" t="s">
        <v>37</v>
      </c>
      <c r="D282" s="4">
        <v>10006120</v>
      </c>
    </row>
    <row r="283" spans="1:4" x14ac:dyDescent="0.25">
      <c r="A283" s="5" t="s">
        <v>22</v>
      </c>
      <c r="B283" s="6" t="s">
        <v>5</v>
      </c>
      <c r="C283" s="6" t="s">
        <v>38</v>
      </c>
      <c r="D283" s="7">
        <v>9720095</v>
      </c>
    </row>
    <row r="284" spans="1:4" x14ac:dyDescent="0.25">
      <c r="A284" s="2" t="s">
        <v>22</v>
      </c>
      <c r="B284" s="3" t="s">
        <v>5</v>
      </c>
      <c r="C284" s="3" t="s">
        <v>39</v>
      </c>
      <c r="D284" s="4">
        <v>10144554</v>
      </c>
    </row>
    <row r="285" spans="1:4" x14ac:dyDescent="0.25">
      <c r="A285" s="5" t="s">
        <v>22</v>
      </c>
      <c r="B285" s="6" t="s">
        <v>5</v>
      </c>
      <c r="C285" s="6" t="s">
        <v>40</v>
      </c>
      <c r="D285" s="7">
        <v>10439738</v>
      </c>
    </row>
    <row r="286" spans="1:4" x14ac:dyDescent="0.25">
      <c r="A286" s="2" t="s">
        <v>22</v>
      </c>
      <c r="B286" s="3" t="s">
        <v>5</v>
      </c>
      <c r="C286" s="3" t="s">
        <v>41</v>
      </c>
      <c r="D286" s="4">
        <v>10402439</v>
      </c>
    </row>
    <row r="287" spans="1:4" x14ac:dyDescent="0.25">
      <c r="A287" s="5" t="s">
        <v>22</v>
      </c>
      <c r="B287" s="6" t="s">
        <v>5</v>
      </c>
      <c r="C287" s="6" t="s">
        <v>42</v>
      </c>
      <c r="D287" s="7">
        <v>10496719</v>
      </c>
    </row>
    <row r="288" spans="1:4" x14ac:dyDescent="0.25">
      <c r="A288" s="2" t="s">
        <v>22</v>
      </c>
      <c r="B288" s="3" t="s">
        <v>5</v>
      </c>
      <c r="C288" s="3" t="s">
        <v>43</v>
      </c>
      <c r="D288" s="4">
        <v>9485815</v>
      </c>
    </row>
    <row r="289" spans="1:4" x14ac:dyDescent="0.25">
      <c r="A289" s="5" t="s">
        <v>22</v>
      </c>
      <c r="B289" s="6" t="s">
        <v>5</v>
      </c>
      <c r="C289" s="6" t="s">
        <v>44</v>
      </c>
      <c r="D289" s="7">
        <v>9298296</v>
      </c>
    </row>
    <row r="290" spans="1:4" x14ac:dyDescent="0.25">
      <c r="A290" s="2" t="s">
        <v>22</v>
      </c>
      <c r="B290" s="3" t="s">
        <v>5</v>
      </c>
      <c r="C290" s="3" t="s">
        <v>45</v>
      </c>
      <c r="D290" s="4">
        <v>9652433</v>
      </c>
    </row>
    <row r="291" spans="1:4" x14ac:dyDescent="0.25">
      <c r="A291" s="5" t="s">
        <v>22</v>
      </c>
      <c r="B291" s="6" t="s">
        <v>5</v>
      </c>
      <c r="C291" s="6" t="s">
        <v>46</v>
      </c>
      <c r="D291" s="7">
        <v>9807121</v>
      </c>
    </row>
    <row r="292" spans="1:4" x14ac:dyDescent="0.25">
      <c r="A292" s="2" t="s">
        <v>22</v>
      </c>
      <c r="B292" s="3" t="s">
        <v>5</v>
      </c>
      <c r="C292" s="3" t="s">
        <v>47</v>
      </c>
      <c r="D292" s="4">
        <v>9702760</v>
      </c>
    </row>
    <row r="293" spans="1:4" x14ac:dyDescent="0.25">
      <c r="A293" s="5" t="s">
        <v>22</v>
      </c>
      <c r="B293" s="6" t="s">
        <v>5</v>
      </c>
      <c r="C293" s="6" t="s">
        <v>48</v>
      </c>
      <c r="D293" s="7">
        <v>9754835</v>
      </c>
    </row>
    <row r="294" spans="1:4" x14ac:dyDescent="0.25">
      <c r="A294" s="2" t="s">
        <v>22</v>
      </c>
      <c r="B294" s="3" t="s">
        <v>5</v>
      </c>
      <c r="C294" s="3" t="s">
        <v>49</v>
      </c>
      <c r="D294" s="4">
        <v>9366907</v>
      </c>
    </row>
    <row r="295" spans="1:4" x14ac:dyDescent="0.25">
      <c r="A295" s="5" t="s">
        <v>22</v>
      </c>
      <c r="B295" s="6" t="s">
        <v>5</v>
      </c>
      <c r="C295" s="6" t="s">
        <v>50</v>
      </c>
      <c r="D295" s="7">
        <v>9099846</v>
      </c>
    </row>
    <row r="296" spans="1:4" x14ac:dyDescent="0.25">
      <c r="A296" s="2" t="s">
        <v>22</v>
      </c>
      <c r="B296" s="3" t="s">
        <v>5</v>
      </c>
      <c r="C296" s="3" t="s">
        <v>51</v>
      </c>
      <c r="D296" s="4">
        <v>9496676</v>
      </c>
    </row>
    <row r="297" spans="1:4" x14ac:dyDescent="0.25">
      <c r="A297" s="5" t="s">
        <v>22</v>
      </c>
      <c r="B297" s="6" t="s">
        <v>5</v>
      </c>
      <c r="C297" s="6" t="s">
        <v>52</v>
      </c>
      <c r="D297" s="7">
        <v>9772030</v>
      </c>
    </row>
    <row r="298" spans="1:4" x14ac:dyDescent="0.25">
      <c r="A298" s="2" t="s">
        <v>22</v>
      </c>
      <c r="B298" s="3" t="s">
        <v>5</v>
      </c>
      <c r="C298" s="3" t="s">
        <v>53</v>
      </c>
      <c r="D298" s="4">
        <v>9736421</v>
      </c>
    </row>
    <row r="299" spans="1:4" x14ac:dyDescent="0.25">
      <c r="A299" s="5" t="s">
        <v>22</v>
      </c>
      <c r="B299" s="6" t="s">
        <v>5</v>
      </c>
      <c r="C299" s="6" t="s">
        <v>54</v>
      </c>
      <c r="D299" s="7">
        <v>9824312</v>
      </c>
    </row>
    <row r="300" spans="1:4" x14ac:dyDescent="0.25">
      <c r="A300" s="2" t="s">
        <v>22</v>
      </c>
      <c r="B300" s="3" t="s">
        <v>5</v>
      </c>
      <c r="C300" s="3" t="s">
        <v>55</v>
      </c>
      <c r="D300" s="4">
        <v>9274250</v>
      </c>
    </row>
    <row r="301" spans="1:4" x14ac:dyDescent="0.25">
      <c r="A301" s="2" t="s">
        <v>22</v>
      </c>
      <c r="B301" s="3" t="s">
        <v>5</v>
      </c>
      <c r="C301" s="3" t="s">
        <v>56</v>
      </c>
      <c r="D301" s="4">
        <v>9090669</v>
      </c>
    </row>
    <row r="302" spans="1:4" x14ac:dyDescent="0.25">
      <c r="A302" s="2" t="s">
        <v>22</v>
      </c>
      <c r="B302" s="3" t="s">
        <v>5</v>
      </c>
      <c r="C302" s="3" t="s">
        <v>57</v>
      </c>
      <c r="D302" s="4">
        <v>9437243</v>
      </c>
    </row>
    <row r="303" spans="1:4" x14ac:dyDescent="0.25">
      <c r="A303" s="2" t="s">
        <v>22</v>
      </c>
      <c r="B303" s="3" t="s">
        <v>5</v>
      </c>
      <c r="C303" s="3" t="s">
        <v>58</v>
      </c>
      <c r="D303" s="4">
        <v>9588907</v>
      </c>
    </row>
    <row r="304" spans="1:4" x14ac:dyDescent="0.25">
      <c r="A304" s="2" t="s">
        <v>22</v>
      </c>
      <c r="B304" s="3" t="s">
        <v>5</v>
      </c>
      <c r="C304" s="3" t="s">
        <v>59</v>
      </c>
      <c r="D304" s="4">
        <v>9487182</v>
      </c>
    </row>
    <row r="305" spans="1:4" x14ac:dyDescent="0.25">
      <c r="A305" s="2" t="s">
        <v>22</v>
      </c>
      <c r="B305" s="3" t="s">
        <v>5</v>
      </c>
      <c r="C305" s="3" t="s">
        <v>60</v>
      </c>
      <c r="D305" s="4">
        <v>9538318</v>
      </c>
    </row>
    <row r="306" spans="1:4" x14ac:dyDescent="0.25">
      <c r="A306" s="2" t="s">
        <v>22</v>
      </c>
      <c r="B306" s="3" t="s">
        <v>5</v>
      </c>
      <c r="C306" s="3" t="s">
        <v>61</v>
      </c>
      <c r="D306" s="4">
        <v>9159164</v>
      </c>
    </row>
    <row r="307" spans="1:4" x14ac:dyDescent="0.25">
      <c r="A307" s="2" t="s">
        <v>22</v>
      </c>
      <c r="B307" s="3" t="s">
        <v>5</v>
      </c>
      <c r="C307" s="3" t="s">
        <v>62</v>
      </c>
      <c r="D307" s="4">
        <v>8898463</v>
      </c>
    </row>
    <row r="308" spans="1:4" x14ac:dyDescent="0.25">
      <c r="A308" s="2" t="s">
        <v>22</v>
      </c>
      <c r="B308" s="3" t="s">
        <v>5</v>
      </c>
      <c r="C308" s="3" t="s">
        <v>63</v>
      </c>
      <c r="D308" s="4">
        <v>9286381</v>
      </c>
    </row>
    <row r="309" spans="1:4" x14ac:dyDescent="0.25">
      <c r="A309" s="2" t="s">
        <v>22</v>
      </c>
      <c r="B309" s="3" t="s">
        <v>5</v>
      </c>
      <c r="C309" s="3" t="s">
        <v>64</v>
      </c>
      <c r="D309" s="4">
        <v>9554912</v>
      </c>
    </row>
    <row r="310" spans="1:4" x14ac:dyDescent="0.25">
      <c r="A310" s="2" t="s">
        <v>22</v>
      </c>
      <c r="B310" s="3" t="s">
        <v>5</v>
      </c>
      <c r="C310" s="3" t="s">
        <v>65</v>
      </c>
      <c r="D310" s="4">
        <v>9519748</v>
      </c>
    </row>
    <row r="311" spans="1:4" x14ac:dyDescent="0.25">
      <c r="A311" s="2" t="s">
        <v>22</v>
      </c>
      <c r="B311" s="3" t="s">
        <v>5</v>
      </c>
      <c r="C311" s="3" t="s">
        <v>66</v>
      </c>
      <c r="D311" s="4">
        <v>9605519</v>
      </c>
    </row>
    <row r="312" spans="1:4" x14ac:dyDescent="0.25">
      <c r="A312" s="2" t="s">
        <v>35</v>
      </c>
      <c r="B312" s="3" t="s">
        <v>5</v>
      </c>
      <c r="C312" s="3" t="s">
        <v>36</v>
      </c>
      <c r="D312" s="4">
        <v>630960.125</v>
      </c>
    </row>
    <row r="313" spans="1:4" x14ac:dyDescent="0.25">
      <c r="A313" s="5" t="s">
        <v>35</v>
      </c>
      <c r="B313" s="6" t="s">
        <v>5</v>
      </c>
      <c r="C313" s="6" t="s">
        <v>37</v>
      </c>
      <c r="D313" s="7">
        <v>607882.25</v>
      </c>
    </row>
    <row r="314" spans="1:4" x14ac:dyDescent="0.25">
      <c r="A314" s="2" t="s">
        <v>35</v>
      </c>
      <c r="B314" s="3" t="s">
        <v>5</v>
      </c>
      <c r="C314" s="3" t="s">
        <v>38</v>
      </c>
      <c r="D314" s="4">
        <v>591973.875</v>
      </c>
    </row>
    <row r="315" spans="1:4" x14ac:dyDescent="0.25">
      <c r="A315" s="5" t="s">
        <v>35</v>
      </c>
      <c r="B315" s="6" t="s">
        <v>5</v>
      </c>
      <c r="C315" s="6" t="s">
        <v>39</v>
      </c>
      <c r="D315" s="7">
        <v>616667.125</v>
      </c>
    </row>
    <row r="316" spans="1:4" x14ac:dyDescent="0.25">
      <c r="A316" s="2" t="s">
        <v>35</v>
      </c>
      <c r="B316" s="3" t="s">
        <v>5</v>
      </c>
      <c r="C316" s="3" t="s">
        <v>40</v>
      </c>
      <c r="D316" s="4">
        <v>633218</v>
      </c>
    </row>
    <row r="317" spans="1:4" x14ac:dyDescent="0.25">
      <c r="A317" s="5" t="s">
        <v>35</v>
      </c>
      <c r="B317" s="6" t="s">
        <v>5</v>
      </c>
      <c r="C317" s="6" t="s">
        <v>41</v>
      </c>
      <c r="D317" s="7">
        <v>629100</v>
      </c>
    </row>
    <row r="318" spans="1:4" x14ac:dyDescent="0.25">
      <c r="A318" s="2" t="s">
        <v>35</v>
      </c>
      <c r="B318" s="3" t="s">
        <v>5</v>
      </c>
      <c r="C318" s="3" t="s">
        <v>42</v>
      </c>
      <c r="D318" s="4">
        <v>633879.0625</v>
      </c>
    </row>
    <row r="319" spans="1:4" x14ac:dyDescent="0.25">
      <c r="A319" s="5" t="s">
        <v>35</v>
      </c>
      <c r="B319" s="6" t="s">
        <v>5</v>
      </c>
      <c r="C319" s="6" t="s">
        <v>43</v>
      </c>
      <c r="D319" s="7">
        <v>611586.25</v>
      </c>
    </row>
    <row r="320" spans="1:4" x14ac:dyDescent="0.25">
      <c r="A320" s="2" t="s">
        <v>35</v>
      </c>
      <c r="B320" s="3" t="s">
        <v>5</v>
      </c>
      <c r="C320" s="3" t="s">
        <v>44</v>
      </c>
      <c r="D320" s="4">
        <v>599770.9375</v>
      </c>
    </row>
    <row r="321" spans="1:4" x14ac:dyDescent="0.25">
      <c r="A321" s="5" t="s">
        <v>35</v>
      </c>
      <c r="B321" s="6" t="s">
        <v>5</v>
      </c>
      <c r="C321" s="6" t="s">
        <v>45</v>
      </c>
      <c r="D321" s="7">
        <v>622144</v>
      </c>
    </row>
    <row r="322" spans="1:4" x14ac:dyDescent="0.25">
      <c r="A322" s="2" t="s">
        <v>35</v>
      </c>
      <c r="B322" s="3" t="s">
        <v>5</v>
      </c>
      <c r="C322" s="3" t="s">
        <v>46</v>
      </c>
      <c r="D322" s="4">
        <v>633089.6875</v>
      </c>
    </row>
    <row r="323" spans="1:4" x14ac:dyDescent="0.25">
      <c r="A323" s="5" t="s">
        <v>35</v>
      </c>
      <c r="B323" s="6" t="s">
        <v>5</v>
      </c>
      <c r="C323" s="6" t="s">
        <v>47</v>
      </c>
      <c r="D323" s="7">
        <v>625835.125</v>
      </c>
    </row>
    <row r="324" spans="1:4" x14ac:dyDescent="0.25">
      <c r="A324" s="2" t="s">
        <v>35</v>
      </c>
      <c r="B324" s="3" t="s">
        <v>5</v>
      </c>
      <c r="C324" s="3" t="s">
        <v>48</v>
      </c>
      <c r="D324" s="4">
        <v>629129.3125</v>
      </c>
    </row>
    <row r="325" spans="1:4" x14ac:dyDescent="0.25">
      <c r="A325" s="5" t="s">
        <v>35</v>
      </c>
      <c r="B325" s="6" t="s">
        <v>5</v>
      </c>
      <c r="C325" s="6" t="s">
        <v>49</v>
      </c>
      <c r="D325" s="7">
        <v>606162.75</v>
      </c>
    </row>
    <row r="326" spans="1:4" x14ac:dyDescent="0.25">
      <c r="A326" s="2" t="s">
        <v>35</v>
      </c>
      <c r="B326" s="3" t="s">
        <v>5</v>
      </c>
      <c r="C326" s="3" t="s">
        <v>50</v>
      </c>
      <c r="D326" s="4">
        <v>590288.375</v>
      </c>
    </row>
    <row r="327" spans="1:4" x14ac:dyDescent="0.25">
      <c r="A327" s="5" t="s">
        <v>35</v>
      </c>
      <c r="B327" s="6" t="s">
        <v>5</v>
      </c>
      <c r="C327" s="6" t="s">
        <v>51</v>
      </c>
      <c r="D327" s="7">
        <v>614868.875</v>
      </c>
    </row>
    <row r="328" spans="1:4" x14ac:dyDescent="0.25">
      <c r="A328" s="2" t="s">
        <v>35</v>
      </c>
      <c r="B328" s="3" t="s">
        <v>5</v>
      </c>
      <c r="C328" s="3" t="s">
        <v>52</v>
      </c>
      <c r="D328" s="4">
        <v>631423.4375</v>
      </c>
    </row>
    <row r="329" spans="1:4" x14ac:dyDescent="0.25">
      <c r="A329" s="5" t="s">
        <v>35</v>
      </c>
      <c r="B329" s="6" t="s">
        <v>5</v>
      </c>
      <c r="C329" s="6" t="s">
        <v>53</v>
      </c>
      <c r="D329" s="7">
        <v>627334.6875</v>
      </c>
    </row>
    <row r="330" spans="1:4" x14ac:dyDescent="0.25">
      <c r="A330" s="2" t="s">
        <v>35</v>
      </c>
      <c r="B330" s="3" t="s">
        <v>5</v>
      </c>
      <c r="C330" s="3" t="s">
        <v>54</v>
      </c>
      <c r="D330" s="4">
        <v>632113.4375</v>
      </c>
    </row>
    <row r="331" spans="1:4" x14ac:dyDescent="0.25">
      <c r="A331" s="5" t="s">
        <v>35</v>
      </c>
      <c r="B331" s="6" t="s">
        <v>5</v>
      </c>
      <c r="C331" s="6" t="s">
        <v>55</v>
      </c>
      <c r="D331" s="7">
        <v>627093.0625</v>
      </c>
    </row>
    <row r="332" spans="1:4" x14ac:dyDescent="0.25">
      <c r="A332" s="5" t="s">
        <v>35</v>
      </c>
      <c r="B332" s="6" t="s">
        <v>5</v>
      </c>
      <c r="C332" s="6" t="s">
        <v>56</v>
      </c>
      <c r="D332" s="7">
        <v>614987.875</v>
      </c>
    </row>
    <row r="333" spans="1:4" x14ac:dyDescent="0.25">
      <c r="A333" s="5" t="s">
        <v>35</v>
      </c>
      <c r="B333" s="6" t="s">
        <v>5</v>
      </c>
      <c r="C333" s="6" t="s">
        <v>57</v>
      </c>
      <c r="D333" s="7">
        <v>638021.75</v>
      </c>
    </row>
    <row r="334" spans="1:4" x14ac:dyDescent="0.25">
      <c r="A334" s="5" t="s">
        <v>35</v>
      </c>
      <c r="B334" s="6" t="s">
        <v>5</v>
      </c>
      <c r="C334" s="6" t="s">
        <v>58</v>
      </c>
      <c r="D334" s="7">
        <v>649171.3125</v>
      </c>
    </row>
    <row r="335" spans="1:4" x14ac:dyDescent="0.25">
      <c r="A335" s="5" t="s">
        <v>35</v>
      </c>
      <c r="B335" s="6" t="s">
        <v>5</v>
      </c>
      <c r="C335" s="6" t="s">
        <v>59</v>
      </c>
      <c r="D335" s="7">
        <v>641781.8125</v>
      </c>
    </row>
    <row r="336" spans="1:4" x14ac:dyDescent="0.25">
      <c r="A336" s="5" t="s">
        <v>35</v>
      </c>
      <c r="B336" s="6" t="s">
        <v>5</v>
      </c>
      <c r="C336" s="6" t="s">
        <v>60</v>
      </c>
      <c r="D336" s="7">
        <v>645186.3125</v>
      </c>
    </row>
    <row r="337" spans="1:4" x14ac:dyDescent="0.25">
      <c r="A337" s="5" t="s">
        <v>35</v>
      </c>
      <c r="B337" s="6" t="s">
        <v>5</v>
      </c>
      <c r="C337" s="6" t="s">
        <v>61</v>
      </c>
      <c r="D337" s="7">
        <v>621492.5</v>
      </c>
    </row>
    <row r="338" spans="1:4" x14ac:dyDescent="0.25">
      <c r="A338" s="5" t="s">
        <v>35</v>
      </c>
      <c r="B338" s="6" t="s">
        <v>5</v>
      </c>
      <c r="C338" s="6" t="s">
        <v>62</v>
      </c>
      <c r="D338" s="7">
        <v>605205.25</v>
      </c>
    </row>
    <row r="339" spans="1:4" x14ac:dyDescent="0.25">
      <c r="A339" s="5" t="s">
        <v>35</v>
      </c>
      <c r="B339" s="6" t="s">
        <v>5</v>
      </c>
      <c r="C339" s="6" t="s">
        <v>63</v>
      </c>
      <c r="D339" s="7">
        <v>630512.25</v>
      </c>
    </row>
    <row r="340" spans="1:4" x14ac:dyDescent="0.25">
      <c r="A340" s="5" t="s">
        <v>35</v>
      </c>
      <c r="B340" s="6" t="s">
        <v>5</v>
      </c>
      <c r="C340" s="6" t="s">
        <v>64</v>
      </c>
      <c r="D340" s="7">
        <v>647451.5</v>
      </c>
    </row>
    <row r="341" spans="1:4" x14ac:dyDescent="0.25">
      <c r="A341" s="5" t="s">
        <v>35</v>
      </c>
      <c r="B341" s="6" t="s">
        <v>5</v>
      </c>
      <c r="C341" s="6" t="s">
        <v>65</v>
      </c>
      <c r="D341" s="7">
        <v>643330.1875</v>
      </c>
    </row>
    <row r="342" spans="1:4" x14ac:dyDescent="0.25">
      <c r="A342" s="5" t="s">
        <v>35</v>
      </c>
      <c r="B342" s="6" t="s">
        <v>5</v>
      </c>
      <c r="C342" s="6" t="s">
        <v>66</v>
      </c>
      <c r="D342" s="7">
        <v>648272.625</v>
      </c>
    </row>
    <row r="343" spans="1:4" x14ac:dyDescent="0.25">
      <c r="A343" s="2" t="s">
        <v>25</v>
      </c>
      <c r="B343" s="3" t="s">
        <v>5</v>
      </c>
      <c r="C343" s="3" t="s">
        <v>36</v>
      </c>
      <c r="D343" s="4">
        <v>8194184.5</v>
      </c>
    </row>
    <row r="344" spans="1:4" x14ac:dyDescent="0.25">
      <c r="A344" s="5" t="s">
        <v>25</v>
      </c>
      <c r="B344" s="6" t="s">
        <v>5</v>
      </c>
      <c r="C344" s="6" t="s">
        <v>37</v>
      </c>
      <c r="D344" s="7">
        <v>7866840</v>
      </c>
    </row>
    <row r="345" spans="1:4" x14ac:dyDescent="0.25">
      <c r="A345" s="2" t="s">
        <v>25</v>
      </c>
      <c r="B345" s="3" t="s">
        <v>5</v>
      </c>
      <c r="C345" s="3" t="s">
        <v>38</v>
      </c>
      <c r="D345" s="4">
        <v>7641415.5</v>
      </c>
    </row>
    <row r="346" spans="1:4" x14ac:dyDescent="0.25">
      <c r="A346" s="5" t="s">
        <v>25</v>
      </c>
      <c r="B346" s="6" t="s">
        <v>5</v>
      </c>
      <c r="C346" s="6" t="s">
        <v>39</v>
      </c>
      <c r="D346" s="7">
        <v>7975599</v>
      </c>
    </row>
    <row r="347" spans="1:4" x14ac:dyDescent="0.25">
      <c r="A347" s="2" t="s">
        <v>25</v>
      </c>
      <c r="B347" s="3" t="s">
        <v>5</v>
      </c>
      <c r="C347" s="3" t="s">
        <v>40</v>
      </c>
      <c r="D347" s="4">
        <v>8208229.5</v>
      </c>
    </row>
    <row r="348" spans="1:4" x14ac:dyDescent="0.25">
      <c r="A348" s="5" t="s">
        <v>25</v>
      </c>
      <c r="B348" s="6" t="s">
        <v>5</v>
      </c>
      <c r="C348" s="6" t="s">
        <v>41</v>
      </c>
      <c r="D348" s="7">
        <v>8179814</v>
      </c>
    </row>
    <row r="349" spans="1:4" x14ac:dyDescent="0.25">
      <c r="A349" s="2" t="s">
        <v>25</v>
      </c>
      <c r="B349" s="3" t="s">
        <v>5</v>
      </c>
      <c r="C349" s="3" t="s">
        <v>42</v>
      </c>
      <c r="D349" s="4">
        <v>8254427.5</v>
      </c>
    </row>
    <row r="350" spans="1:4" x14ac:dyDescent="0.25">
      <c r="A350" s="5" t="s">
        <v>25</v>
      </c>
      <c r="B350" s="6" t="s">
        <v>5</v>
      </c>
      <c r="C350" s="6" t="s">
        <v>43</v>
      </c>
      <c r="D350" s="7">
        <v>7446693</v>
      </c>
    </row>
    <row r="351" spans="1:4" x14ac:dyDescent="0.25">
      <c r="A351" s="2" t="s">
        <v>25</v>
      </c>
      <c r="B351" s="3" t="s">
        <v>5</v>
      </c>
      <c r="C351" s="3" t="s">
        <v>44</v>
      </c>
      <c r="D351" s="4">
        <v>7299189</v>
      </c>
    </row>
    <row r="352" spans="1:4" x14ac:dyDescent="0.25">
      <c r="A352" s="5" t="s">
        <v>25</v>
      </c>
      <c r="B352" s="6" t="s">
        <v>5</v>
      </c>
      <c r="C352" s="6" t="s">
        <v>45</v>
      </c>
      <c r="D352" s="7">
        <v>7577349</v>
      </c>
    </row>
    <row r="353" spans="1:4" x14ac:dyDescent="0.25">
      <c r="A353" s="2" t="s">
        <v>25</v>
      </c>
      <c r="B353" s="3" t="s">
        <v>5</v>
      </c>
      <c r="C353" s="3" t="s">
        <v>46</v>
      </c>
      <c r="D353" s="4">
        <v>7698414</v>
      </c>
    </row>
    <row r="354" spans="1:4" x14ac:dyDescent="0.25">
      <c r="A354" s="5" t="s">
        <v>25</v>
      </c>
      <c r="B354" s="6" t="s">
        <v>5</v>
      </c>
      <c r="C354" s="6" t="s">
        <v>47</v>
      </c>
      <c r="D354" s="7">
        <v>7616739</v>
      </c>
    </row>
    <row r="355" spans="1:4" x14ac:dyDescent="0.25">
      <c r="A355" s="2" t="s">
        <v>25</v>
      </c>
      <c r="B355" s="3" t="s">
        <v>5</v>
      </c>
      <c r="C355" s="3" t="s">
        <v>48</v>
      </c>
      <c r="D355" s="4">
        <v>7657609</v>
      </c>
    </row>
    <row r="356" spans="1:4" x14ac:dyDescent="0.25">
      <c r="A356" s="5" t="s">
        <v>25</v>
      </c>
      <c r="B356" s="6" t="s">
        <v>5</v>
      </c>
      <c r="C356" s="6" t="s">
        <v>49</v>
      </c>
      <c r="D356" s="7">
        <v>7352173.5</v>
      </c>
    </row>
    <row r="357" spans="1:4" x14ac:dyDescent="0.25">
      <c r="A357" s="2" t="s">
        <v>25</v>
      </c>
      <c r="B357" s="3" t="s">
        <v>5</v>
      </c>
      <c r="C357" s="3" t="s">
        <v>50</v>
      </c>
      <c r="D357" s="4">
        <v>7142035.5</v>
      </c>
    </row>
    <row r="358" spans="1:4" x14ac:dyDescent="0.25">
      <c r="A358" s="5" t="s">
        <v>25</v>
      </c>
      <c r="B358" s="6" t="s">
        <v>5</v>
      </c>
      <c r="C358" s="6" t="s">
        <v>51</v>
      </c>
      <c r="D358" s="7">
        <v>7453988.5</v>
      </c>
    </row>
    <row r="359" spans="1:4" x14ac:dyDescent="0.25">
      <c r="A359" s="2" t="s">
        <v>25</v>
      </c>
      <c r="B359" s="3" t="s">
        <v>5</v>
      </c>
      <c r="C359" s="3" t="s">
        <v>52</v>
      </c>
      <c r="D359" s="4">
        <v>7670624.5</v>
      </c>
    </row>
    <row r="360" spans="1:4" x14ac:dyDescent="0.25">
      <c r="A360" s="5" t="s">
        <v>25</v>
      </c>
      <c r="B360" s="6" t="s">
        <v>5</v>
      </c>
      <c r="C360" s="6" t="s">
        <v>53</v>
      </c>
      <c r="D360" s="7">
        <v>7643558.5</v>
      </c>
    </row>
    <row r="361" spans="1:4" x14ac:dyDescent="0.25">
      <c r="A361" s="2" t="s">
        <v>25</v>
      </c>
      <c r="B361" s="3" t="s">
        <v>5</v>
      </c>
      <c r="C361" s="3" t="s">
        <v>54</v>
      </c>
      <c r="D361" s="4">
        <v>7713023</v>
      </c>
    </row>
    <row r="362" spans="1:4" x14ac:dyDescent="0.25">
      <c r="A362" s="5" t="s">
        <v>25</v>
      </c>
      <c r="B362" s="6" t="s">
        <v>5</v>
      </c>
      <c r="C362" s="6" t="s">
        <v>55</v>
      </c>
      <c r="D362" s="7">
        <v>7214998.5</v>
      </c>
    </row>
    <row r="363" spans="1:4" x14ac:dyDescent="0.25">
      <c r="A363" s="5" t="s">
        <v>25</v>
      </c>
      <c r="B363" s="6" t="s">
        <v>5</v>
      </c>
      <c r="C363" s="6" t="s">
        <v>56</v>
      </c>
      <c r="D363" s="7">
        <v>7071807</v>
      </c>
    </row>
    <row r="364" spans="1:4" x14ac:dyDescent="0.25">
      <c r="A364" s="5" t="s">
        <v>25</v>
      </c>
      <c r="B364" s="6" t="s">
        <v>5</v>
      </c>
      <c r="C364" s="6" t="s">
        <v>57</v>
      </c>
      <c r="D364" s="7">
        <v>7341550</v>
      </c>
    </row>
    <row r="365" spans="1:4" x14ac:dyDescent="0.25">
      <c r="A365" s="5" t="s">
        <v>25</v>
      </c>
      <c r="B365" s="6" t="s">
        <v>5</v>
      </c>
      <c r="C365" s="6" t="s">
        <v>58</v>
      </c>
      <c r="D365" s="7">
        <v>7459286.5</v>
      </c>
    </row>
    <row r="366" spans="1:4" x14ac:dyDescent="0.25">
      <c r="A366" s="5" t="s">
        <v>25</v>
      </c>
      <c r="B366" s="6" t="s">
        <v>5</v>
      </c>
      <c r="C366" s="6" t="s">
        <v>59</v>
      </c>
      <c r="D366" s="7">
        <v>7380428</v>
      </c>
    </row>
    <row r="367" spans="1:4" x14ac:dyDescent="0.25">
      <c r="A367" s="5" t="s">
        <v>25</v>
      </c>
      <c r="B367" s="6" t="s">
        <v>5</v>
      </c>
      <c r="C367" s="6" t="s">
        <v>60</v>
      </c>
      <c r="D367" s="7">
        <v>7420212.5</v>
      </c>
    </row>
    <row r="368" spans="1:4" x14ac:dyDescent="0.25">
      <c r="A368" s="5" t="s">
        <v>25</v>
      </c>
      <c r="B368" s="6" t="s">
        <v>5</v>
      </c>
      <c r="C368" s="6" t="s">
        <v>61</v>
      </c>
      <c r="D368" s="7">
        <v>7124433.5</v>
      </c>
    </row>
    <row r="369" spans="1:4" x14ac:dyDescent="0.25">
      <c r="A369" s="5" t="s">
        <v>25</v>
      </c>
      <c r="B369" s="6" t="s">
        <v>5</v>
      </c>
      <c r="C369" s="6" t="s">
        <v>62</v>
      </c>
      <c r="D369" s="7">
        <v>6921174</v>
      </c>
    </row>
    <row r="370" spans="1:4" x14ac:dyDescent="0.25">
      <c r="A370" s="5" t="s">
        <v>25</v>
      </c>
      <c r="B370" s="6" t="s">
        <v>5</v>
      </c>
      <c r="C370" s="6" t="s">
        <v>63</v>
      </c>
      <c r="D370" s="7">
        <v>7223311</v>
      </c>
    </row>
    <row r="371" spans="1:4" x14ac:dyDescent="0.25">
      <c r="A371" s="5" t="s">
        <v>25</v>
      </c>
      <c r="B371" s="6" t="s">
        <v>5</v>
      </c>
      <c r="C371" s="6" t="s">
        <v>64</v>
      </c>
      <c r="D371" s="7">
        <v>7432642</v>
      </c>
    </row>
    <row r="372" spans="1:4" x14ac:dyDescent="0.25">
      <c r="A372" s="5" t="s">
        <v>25</v>
      </c>
      <c r="B372" s="6" t="s">
        <v>5</v>
      </c>
      <c r="C372" s="6" t="s">
        <v>65</v>
      </c>
      <c r="D372" s="7">
        <v>7406123.5</v>
      </c>
    </row>
    <row r="373" spans="1:4" x14ac:dyDescent="0.25">
      <c r="A373" s="5" t="s">
        <v>25</v>
      </c>
      <c r="B373" s="6" t="s">
        <v>5</v>
      </c>
      <c r="C373" s="6" t="s">
        <v>66</v>
      </c>
      <c r="D373" s="7">
        <v>7473288.5</v>
      </c>
    </row>
    <row r="374" spans="1:4" x14ac:dyDescent="0.25">
      <c r="A374" s="5" t="s">
        <v>26</v>
      </c>
      <c r="B374" s="6" t="s">
        <v>5</v>
      </c>
      <c r="C374" s="6" t="s">
        <v>36</v>
      </c>
      <c r="D374" s="7">
        <v>3520677.5</v>
      </c>
    </row>
    <row r="375" spans="1:4" x14ac:dyDescent="0.25">
      <c r="A375" s="2" t="s">
        <v>26</v>
      </c>
      <c r="B375" s="3" t="s">
        <v>5</v>
      </c>
      <c r="C375" s="3" t="s">
        <v>37</v>
      </c>
      <c r="D375" s="4">
        <v>3381224.75</v>
      </c>
    </row>
    <row r="376" spans="1:4" x14ac:dyDescent="0.25">
      <c r="A376" s="5" t="s">
        <v>26</v>
      </c>
      <c r="B376" s="6" t="s">
        <v>5</v>
      </c>
      <c r="C376" s="6" t="s">
        <v>38</v>
      </c>
      <c r="D376" s="7">
        <v>3285071.5</v>
      </c>
    </row>
    <row r="377" spans="1:4" x14ac:dyDescent="0.25">
      <c r="A377" s="2" t="s">
        <v>26</v>
      </c>
      <c r="B377" s="3" t="s">
        <v>5</v>
      </c>
      <c r="C377" s="3" t="s">
        <v>39</v>
      </c>
      <c r="D377" s="4">
        <v>3428443</v>
      </c>
    </row>
    <row r="378" spans="1:4" x14ac:dyDescent="0.25">
      <c r="A378" s="5" t="s">
        <v>26</v>
      </c>
      <c r="B378" s="6" t="s">
        <v>5</v>
      </c>
      <c r="C378" s="6" t="s">
        <v>40</v>
      </c>
      <c r="D378" s="7">
        <v>3527962</v>
      </c>
    </row>
    <row r="379" spans="1:4" x14ac:dyDescent="0.25">
      <c r="A379" s="2" t="s">
        <v>26</v>
      </c>
      <c r="B379" s="3" t="s">
        <v>5</v>
      </c>
      <c r="C379" s="3" t="s">
        <v>41</v>
      </c>
      <c r="D379" s="4">
        <v>3514374.75</v>
      </c>
    </row>
    <row r="380" spans="1:4" x14ac:dyDescent="0.25">
      <c r="A380" s="5" t="s">
        <v>26</v>
      </c>
      <c r="B380" s="6" t="s">
        <v>5</v>
      </c>
      <c r="C380" s="6" t="s">
        <v>42</v>
      </c>
      <c r="D380" s="7">
        <v>3545691.5</v>
      </c>
    </row>
    <row r="381" spans="1:4" x14ac:dyDescent="0.25">
      <c r="A381" s="2" t="s">
        <v>26</v>
      </c>
      <c r="B381" s="3" t="s">
        <v>5</v>
      </c>
      <c r="C381" s="3" t="s">
        <v>43</v>
      </c>
      <c r="D381" s="4">
        <v>3212186</v>
      </c>
    </row>
    <row r="382" spans="1:4" x14ac:dyDescent="0.25">
      <c r="A382" s="5" t="s">
        <v>26</v>
      </c>
      <c r="B382" s="6" t="s">
        <v>5</v>
      </c>
      <c r="C382" s="6" t="s">
        <v>44</v>
      </c>
      <c r="D382" s="7">
        <v>3149955</v>
      </c>
    </row>
    <row r="383" spans="1:4" x14ac:dyDescent="0.25">
      <c r="A383" s="2" t="s">
        <v>26</v>
      </c>
      <c r="B383" s="3" t="s">
        <v>5</v>
      </c>
      <c r="C383" s="3" t="s">
        <v>45</v>
      </c>
      <c r="D383" s="4">
        <v>3269682</v>
      </c>
    </row>
    <row r="384" spans="1:4" x14ac:dyDescent="0.25">
      <c r="A384" s="5" t="s">
        <v>26</v>
      </c>
      <c r="B384" s="6" t="s">
        <v>5</v>
      </c>
      <c r="C384" s="6" t="s">
        <v>46</v>
      </c>
      <c r="D384" s="7">
        <v>3321460.25</v>
      </c>
    </row>
    <row r="385" spans="1:4" x14ac:dyDescent="0.25">
      <c r="A385" s="2" t="s">
        <v>26</v>
      </c>
      <c r="B385" s="3" t="s">
        <v>5</v>
      </c>
      <c r="C385" s="3" t="s">
        <v>47</v>
      </c>
      <c r="D385" s="4">
        <v>3285189.75</v>
      </c>
    </row>
    <row r="386" spans="1:4" x14ac:dyDescent="0.25">
      <c r="A386" s="5" t="s">
        <v>26</v>
      </c>
      <c r="B386" s="6" t="s">
        <v>5</v>
      </c>
      <c r="C386" s="6" t="s">
        <v>48</v>
      </c>
      <c r="D386" s="7">
        <v>3302603.5</v>
      </c>
    </row>
    <row r="387" spans="1:4" x14ac:dyDescent="0.25">
      <c r="A387" s="2" t="s">
        <v>26</v>
      </c>
      <c r="B387" s="3" t="s">
        <v>5</v>
      </c>
      <c r="C387" s="3" t="s">
        <v>49</v>
      </c>
      <c r="D387" s="4">
        <v>3172039.75</v>
      </c>
    </row>
    <row r="388" spans="1:4" x14ac:dyDescent="0.25">
      <c r="A388" s="5" t="s">
        <v>26</v>
      </c>
      <c r="B388" s="6" t="s">
        <v>5</v>
      </c>
      <c r="C388" s="6" t="s">
        <v>50</v>
      </c>
      <c r="D388" s="7">
        <v>3082074.75</v>
      </c>
    </row>
    <row r="389" spans="1:4" x14ac:dyDescent="0.25">
      <c r="A389" s="2" t="s">
        <v>26</v>
      </c>
      <c r="B389" s="3" t="s">
        <v>5</v>
      </c>
      <c r="C389" s="3" t="s">
        <v>51</v>
      </c>
      <c r="D389" s="4">
        <v>3216417.5</v>
      </c>
    </row>
    <row r="390" spans="1:4" x14ac:dyDescent="0.25">
      <c r="A390" s="5" t="s">
        <v>26</v>
      </c>
      <c r="B390" s="6" t="s">
        <v>5</v>
      </c>
      <c r="C390" s="6" t="s">
        <v>52</v>
      </c>
      <c r="D390" s="7">
        <v>3309470</v>
      </c>
    </row>
    <row r="391" spans="1:4" x14ac:dyDescent="0.25">
      <c r="A391" s="2" t="s">
        <v>26</v>
      </c>
      <c r="B391" s="3" t="s">
        <v>5</v>
      </c>
      <c r="C391" s="3" t="s">
        <v>53</v>
      </c>
      <c r="D391" s="4">
        <v>3296457.5</v>
      </c>
    </row>
    <row r="392" spans="1:4" x14ac:dyDescent="0.25">
      <c r="A392" s="5" t="s">
        <v>26</v>
      </c>
      <c r="B392" s="6" t="s">
        <v>5</v>
      </c>
      <c r="C392" s="6" t="s">
        <v>54</v>
      </c>
      <c r="D392" s="7">
        <v>3325695.5</v>
      </c>
    </row>
    <row r="393" spans="1:4" x14ac:dyDescent="0.25">
      <c r="A393" s="2" t="s">
        <v>26</v>
      </c>
      <c r="B393" s="3" t="s">
        <v>5</v>
      </c>
      <c r="C393" s="3" t="s">
        <v>55</v>
      </c>
      <c r="D393" s="4">
        <v>3284252</v>
      </c>
    </row>
    <row r="394" spans="1:4" x14ac:dyDescent="0.25">
      <c r="A394" s="2" t="s">
        <v>26</v>
      </c>
      <c r="B394" s="3" t="s">
        <v>5</v>
      </c>
      <c r="C394" s="3" t="s">
        <v>56</v>
      </c>
      <c r="D394" s="4">
        <v>3220519</v>
      </c>
    </row>
    <row r="395" spans="1:4" x14ac:dyDescent="0.25">
      <c r="A395" s="2" t="s">
        <v>26</v>
      </c>
      <c r="B395" s="3" t="s">
        <v>5</v>
      </c>
      <c r="C395" s="3" t="s">
        <v>57</v>
      </c>
      <c r="D395" s="4">
        <v>3343015.5</v>
      </c>
    </row>
    <row r="396" spans="1:4" x14ac:dyDescent="0.25">
      <c r="A396" s="2" t="s">
        <v>26</v>
      </c>
      <c r="B396" s="3" t="s">
        <v>5</v>
      </c>
      <c r="C396" s="3" t="s">
        <v>58</v>
      </c>
      <c r="D396" s="4">
        <v>3396024.5</v>
      </c>
    </row>
    <row r="397" spans="1:4" x14ac:dyDescent="0.25">
      <c r="A397" s="2" t="s">
        <v>26</v>
      </c>
      <c r="B397" s="3" t="s">
        <v>5</v>
      </c>
      <c r="C397" s="3" t="s">
        <v>59</v>
      </c>
      <c r="D397" s="4">
        <v>3359058</v>
      </c>
    </row>
    <row r="398" spans="1:4" x14ac:dyDescent="0.25">
      <c r="A398" s="2" t="s">
        <v>26</v>
      </c>
      <c r="B398" s="3" t="s">
        <v>5</v>
      </c>
      <c r="C398" s="3" t="s">
        <v>60</v>
      </c>
      <c r="D398" s="4">
        <v>3376920</v>
      </c>
    </row>
    <row r="399" spans="1:4" x14ac:dyDescent="0.25">
      <c r="A399" s="2" t="s">
        <v>26</v>
      </c>
      <c r="B399" s="3" t="s">
        <v>5</v>
      </c>
      <c r="C399" s="3" t="s">
        <v>61</v>
      </c>
      <c r="D399" s="4">
        <v>3243344.25</v>
      </c>
    </row>
    <row r="400" spans="1:4" x14ac:dyDescent="0.25">
      <c r="A400" s="2" t="s">
        <v>26</v>
      </c>
      <c r="B400" s="3" t="s">
        <v>5</v>
      </c>
      <c r="C400" s="3" t="s">
        <v>62</v>
      </c>
      <c r="D400" s="4">
        <v>3151376</v>
      </c>
    </row>
    <row r="401" spans="1:4" x14ac:dyDescent="0.25">
      <c r="A401" s="2" t="s">
        <v>26</v>
      </c>
      <c r="B401" s="3" t="s">
        <v>5</v>
      </c>
      <c r="C401" s="3" t="s">
        <v>63</v>
      </c>
      <c r="D401" s="4">
        <v>3288760</v>
      </c>
    </row>
    <row r="402" spans="1:4" x14ac:dyDescent="0.25">
      <c r="A402" s="2" t="s">
        <v>26</v>
      </c>
      <c r="B402" s="3" t="s">
        <v>5</v>
      </c>
      <c r="C402" s="3" t="s">
        <v>64</v>
      </c>
      <c r="D402" s="4">
        <v>3383808.5</v>
      </c>
    </row>
    <row r="403" spans="1:4" x14ac:dyDescent="0.25">
      <c r="A403" s="2" t="s">
        <v>26</v>
      </c>
      <c r="B403" s="3" t="s">
        <v>5</v>
      </c>
      <c r="C403" s="3" t="s">
        <v>65</v>
      </c>
      <c r="D403" s="4">
        <v>3370542</v>
      </c>
    </row>
    <row r="404" spans="1:4" x14ac:dyDescent="0.25">
      <c r="A404" s="2" t="s">
        <v>26</v>
      </c>
      <c r="B404" s="3" t="s">
        <v>5</v>
      </c>
      <c r="C404" s="3" t="s">
        <v>66</v>
      </c>
      <c r="D404" s="4">
        <v>3400457.25</v>
      </c>
    </row>
    <row r="405" spans="1:4" x14ac:dyDescent="0.25">
      <c r="A405" s="2" t="s">
        <v>9</v>
      </c>
      <c r="B405" s="3" t="s">
        <v>5</v>
      </c>
      <c r="C405" s="3" t="s">
        <v>36</v>
      </c>
      <c r="D405" s="4">
        <v>830214.9375</v>
      </c>
    </row>
    <row r="406" spans="1:4" x14ac:dyDescent="0.25">
      <c r="A406" s="5" t="s">
        <v>9</v>
      </c>
      <c r="B406" s="6" t="s">
        <v>5</v>
      </c>
      <c r="C406" s="6" t="s">
        <v>37</v>
      </c>
      <c r="D406" s="7">
        <v>798451.125</v>
      </c>
    </row>
    <row r="407" spans="1:4" x14ac:dyDescent="0.25">
      <c r="A407" s="2" t="s">
        <v>9</v>
      </c>
      <c r="B407" s="3" t="s">
        <v>5</v>
      </c>
      <c r="C407" s="3" t="s">
        <v>38</v>
      </c>
      <c r="D407" s="4">
        <v>776599.375</v>
      </c>
    </row>
    <row r="408" spans="1:4" x14ac:dyDescent="0.25">
      <c r="A408" s="5" t="s">
        <v>9</v>
      </c>
      <c r="B408" s="6" t="s">
        <v>5</v>
      </c>
      <c r="C408" s="6" t="s">
        <v>39</v>
      </c>
      <c r="D408" s="7">
        <v>809734.1875</v>
      </c>
    </row>
    <row r="409" spans="1:4" x14ac:dyDescent="0.25">
      <c r="A409" s="2" t="s">
        <v>9</v>
      </c>
      <c r="B409" s="3" t="s">
        <v>5</v>
      </c>
      <c r="C409" s="3" t="s">
        <v>40</v>
      </c>
      <c r="D409" s="4">
        <v>832251.625</v>
      </c>
    </row>
    <row r="410" spans="1:4" x14ac:dyDescent="0.25">
      <c r="A410" s="5" t="s">
        <v>9</v>
      </c>
      <c r="B410" s="6" t="s">
        <v>5</v>
      </c>
      <c r="C410" s="6" t="s">
        <v>41</v>
      </c>
      <c r="D410" s="7">
        <v>828027.8125</v>
      </c>
    </row>
    <row r="411" spans="1:4" x14ac:dyDescent="0.25">
      <c r="A411" s="2" t="s">
        <v>9</v>
      </c>
      <c r="B411" s="3" t="s">
        <v>5</v>
      </c>
      <c r="C411" s="3" t="s">
        <v>42</v>
      </c>
      <c r="D411" s="4">
        <v>834890.5625</v>
      </c>
    </row>
    <row r="412" spans="1:4" x14ac:dyDescent="0.25">
      <c r="A412" s="5" t="s">
        <v>9</v>
      </c>
      <c r="B412" s="6" t="s">
        <v>5</v>
      </c>
      <c r="C412" s="6" t="s">
        <v>43</v>
      </c>
      <c r="D412" s="7">
        <v>788533.6875</v>
      </c>
    </row>
    <row r="413" spans="1:4" x14ac:dyDescent="0.25">
      <c r="A413" s="2" t="s">
        <v>9</v>
      </c>
      <c r="B413" s="3" t="s">
        <v>5</v>
      </c>
      <c r="C413" s="3" t="s">
        <v>44</v>
      </c>
      <c r="D413" s="4">
        <v>773078.5</v>
      </c>
    </row>
    <row r="414" spans="1:4" x14ac:dyDescent="0.25">
      <c r="A414" s="5" t="s">
        <v>9</v>
      </c>
      <c r="B414" s="6" t="s">
        <v>5</v>
      </c>
      <c r="C414" s="6" t="s">
        <v>45</v>
      </c>
      <c r="D414" s="7">
        <v>802362.9375</v>
      </c>
    </row>
    <row r="415" spans="1:4" x14ac:dyDescent="0.25">
      <c r="A415" s="2" t="s">
        <v>9</v>
      </c>
      <c r="B415" s="3" t="s">
        <v>5</v>
      </c>
      <c r="C415" s="3" t="s">
        <v>46</v>
      </c>
      <c r="D415" s="4">
        <v>815924.625</v>
      </c>
    </row>
    <row r="416" spans="1:4" x14ac:dyDescent="0.25">
      <c r="A416" s="5" t="s">
        <v>9</v>
      </c>
      <c r="B416" s="6" t="s">
        <v>5</v>
      </c>
      <c r="C416" s="6" t="s">
        <v>47</v>
      </c>
      <c r="D416" s="7">
        <v>807064.375</v>
      </c>
    </row>
    <row r="417" spans="1:4" x14ac:dyDescent="0.25">
      <c r="A417" s="2" t="s">
        <v>9</v>
      </c>
      <c r="B417" s="3" t="s">
        <v>5</v>
      </c>
      <c r="C417" s="3" t="s">
        <v>48</v>
      </c>
      <c r="D417" s="4">
        <v>811453.25</v>
      </c>
    </row>
    <row r="418" spans="1:4" x14ac:dyDescent="0.25">
      <c r="A418" s="5" t="s">
        <v>9</v>
      </c>
      <c r="B418" s="6" t="s">
        <v>5</v>
      </c>
      <c r="C418" s="6" t="s">
        <v>49</v>
      </c>
      <c r="D418" s="7">
        <v>780476.125</v>
      </c>
    </row>
    <row r="419" spans="1:4" x14ac:dyDescent="0.25">
      <c r="A419" s="2" t="s">
        <v>9</v>
      </c>
      <c r="B419" s="3" t="s">
        <v>5</v>
      </c>
      <c r="C419" s="3" t="s">
        <v>50</v>
      </c>
      <c r="D419" s="4">
        <v>759139.8125</v>
      </c>
    </row>
    <row r="420" spans="1:4" x14ac:dyDescent="0.25">
      <c r="A420" s="5" t="s">
        <v>9</v>
      </c>
      <c r="B420" s="6" t="s">
        <v>5</v>
      </c>
      <c r="C420" s="6" t="s">
        <v>51</v>
      </c>
      <c r="D420" s="7">
        <v>791471.9375</v>
      </c>
    </row>
    <row r="421" spans="1:4" x14ac:dyDescent="0.25">
      <c r="A421" s="2" t="s">
        <v>9</v>
      </c>
      <c r="B421" s="3" t="s">
        <v>5</v>
      </c>
      <c r="C421" s="3" t="s">
        <v>52</v>
      </c>
      <c r="D421" s="4">
        <v>813463.9375</v>
      </c>
    </row>
    <row r="422" spans="1:4" x14ac:dyDescent="0.25">
      <c r="A422" s="5" t="s">
        <v>9</v>
      </c>
      <c r="B422" s="6" t="s">
        <v>5</v>
      </c>
      <c r="C422" s="6" t="s">
        <v>53</v>
      </c>
      <c r="D422" s="7">
        <v>809296.875</v>
      </c>
    </row>
    <row r="423" spans="1:4" x14ac:dyDescent="0.25">
      <c r="A423" s="2" t="s">
        <v>9</v>
      </c>
      <c r="B423" s="3" t="s">
        <v>5</v>
      </c>
      <c r="C423" s="3" t="s">
        <v>54</v>
      </c>
      <c r="D423" s="4">
        <v>815983.6875</v>
      </c>
    </row>
    <row r="424" spans="1:4" x14ac:dyDescent="0.25">
      <c r="A424" s="5" t="s">
        <v>9</v>
      </c>
      <c r="B424" s="6" t="s">
        <v>5</v>
      </c>
      <c r="C424" s="6" t="s">
        <v>55</v>
      </c>
      <c r="D424" s="7">
        <v>798731.5</v>
      </c>
    </row>
    <row r="425" spans="1:4" x14ac:dyDescent="0.25">
      <c r="A425" s="5" t="s">
        <v>9</v>
      </c>
      <c r="B425" s="6" t="s">
        <v>5</v>
      </c>
      <c r="C425" s="6" t="s">
        <v>56</v>
      </c>
      <c r="D425" s="7">
        <v>783066</v>
      </c>
    </row>
    <row r="426" spans="1:4" x14ac:dyDescent="0.25">
      <c r="A426" s="5" t="s">
        <v>9</v>
      </c>
      <c r="B426" s="6" t="s">
        <v>5</v>
      </c>
      <c r="C426" s="6" t="s">
        <v>57</v>
      </c>
      <c r="D426" s="7">
        <v>812799.75</v>
      </c>
    </row>
    <row r="427" spans="1:4" x14ac:dyDescent="0.25">
      <c r="A427" s="5" t="s">
        <v>9</v>
      </c>
      <c r="B427" s="6" t="s">
        <v>5</v>
      </c>
      <c r="C427" s="6" t="s">
        <v>58</v>
      </c>
      <c r="D427" s="7">
        <v>826517.25</v>
      </c>
    </row>
    <row r="428" spans="1:4" x14ac:dyDescent="0.25">
      <c r="A428" s="5" t="s">
        <v>9</v>
      </c>
      <c r="B428" s="6" t="s">
        <v>5</v>
      </c>
      <c r="C428" s="6" t="s">
        <v>59</v>
      </c>
      <c r="D428" s="7">
        <v>817593.8125</v>
      </c>
    </row>
    <row r="429" spans="1:4" x14ac:dyDescent="0.25">
      <c r="A429" s="5" t="s">
        <v>9</v>
      </c>
      <c r="B429" s="6" t="s">
        <v>5</v>
      </c>
      <c r="C429" s="6" t="s">
        <v>60</v>
      </c>
      <c r="D429" s="7">
        <v>822068.9375</v>
      </c>
    </row>
    <row r="430" spans="1:4" x14ac:dyDescent="0.25">
      <c r="A430" s="5" t="s">
        <v>9</v>
      </c>
      <c r="B430" s="6" t="s">
        <v>5</v>
      </c>
      <c r="C430" s="6" t="s">
        <v>61</v>
      </c>
      <c r="D430" s="7">
        <v>790610.125</v>
      </c>
    </row>
    <row r="431" spans="1:4" x14ac:dyDescent="0.25">
      <c r="A431" s="5" t="s">
        <v>9</v>
      </c>
      <c r="B431" s="6" t="s">
        <v>5</v>
      </c>
      <c r="C431" s="6" t="s">
        <v>62</v>
      </c>
      <c r="D431" s="7">
        <v>769005.5</v>
      </c>
    </row>
    <row r="432" spans="1:4" x14ac:dyDescent="0.25">
      <c r="A432" s="5" t="s">
        <v>9</v>
      </c>
      <c r="B432" s="6" t="s">
        <v>5</v>
      </c>
      <c r="C432" s="6" t="s">
        <v>63</v>
      </c>
      <c r="D432" s="7">
        <v>801808.9375</v>
      </c>
    </row>
    <row r="433" spans="1:4" x14ac:dyDescent="0.25">
      <c r="A433" s="5" t="s">
        <v>9</v>
      </c>
      <c r="B433" s="6" t="s">
        <v>5</v>
      </c>
      <c r="C433" s="6" t="s">
        <v>64</v>
      </c>
      <c r="D433" s="7">
        <v>824033.625</v>
      </c>
    </row>
    <row r="434" spans="1:4" x14ac:dyDescent="0.25">
      <c r="A434" s="5" t="s">
        <v>9</v>
      </c>
      <c r="B434" s="6" t="s">
        <v>5</v>
      </c>
      <c r="C434" s="6" t="s">
        <v>65</v>
      </c>
      <c r="D434" s="7">
        <v>819841.9375</v>
      </c>
    </row>
    <row r="435" spans="1:4" x14ac:dyDescent="0.25">
      <c r="A435" s="5" t="s">
        <v>9</v>
      </c>
      <c r="B435" s="6" t="s">
        <v>5</v>
      </c>
      <c r="C435" s="6" t="s">
        <v>66</v>
      </c>
      <c r="D435" s="7">
        <v>826633.125</v>
      </c>
    </row>
    <row r="436" spans="1:4" x14ac:dyDescent="0.25">
      <c r="A436" s="2" t="s">
        <v>19</v>
      </c>
      <c r="B436" s="3" t="s">
        <v>5</v>
      </c>
      <c r="C436" s="3" t="s">
        <v>36</v>
      </c>
      <c r="D436" s="4">
        <v>10580680</v>
      </c>
    </row>
    <row r="437" spans="1:4" x14ac:dyDescent="0.25">
      <c r="A437" s="5" t="s">
        <v>19</v>
      </c>
      <c r="B437" s="6" t="s">
        <v>5</v>
      </c>
      <c r="C437" s="6" t="s">
        <v>37</v>
      </c>
      <c r="D437" s="7">
        <v>10160599</v>
      </c>
    </row>
    <row r="438" spans="1:4" x14ac:dyDescent="0.25">
      <c r="A438" s="2" t="s">
        <v>19</v>
      </c>
      <c r="B438" s="3" t="s">
        <v>5</v>
      </c>
      <c r="C438" s="3" t="s">
        <v>38</v>
      </c>
      <c r="D438" s="4">
        <v>9870607</v>
      </c>
    </row>
    <row r="439" spans="1:4" x14ac:dyDescent="0.25">
      <c r="A439" s="5" t="s">
        <v>19</v>
      </c>
      <c r="B439" s="6" t="s">
        <v>5</v>
      </c>
      <c r="C439" s="6" t="s">
        <v>39</v>
      </c>
      <c r="D439" s="7">
        <v>10300261</v>
      </c>
    </row>
    <row r="440" spans="1:4" x14ac:dyDescent="0.25">
      <c r="A440" s="2" t="s">
        <v>19</v>
      </c>
      <c r="B440" s="3" t="s">
        <v>5</v>
      </c>
      <c r="C440" s="3" t="s">
        <v>40</v>
      </c>
      <c r="D440" s="4">
        <v>10599529</v>
      </c>
    </row>
    <row r="441" spans="1:4" x14ac:dyDescent="0.25">
      <c r="A441" s="5" t="s">
        <v>19</v>
      </c>
      <c r="B441" s="6" t="s">
        <v>5</v>
      </c>
      <c r="C441" s="6" t="s">
        <v>41</v>
      </c>
      <c r="D441" s="7">
        <v>10561077</v>
      </c>
    </row>
    <row r="442" spans="1:4" x14ac:dyDescent="0.25">
      <c r="A442" s="2" t="s">
        <v>19</v>
      </c>
      <c r="B442" s="3" t="s">
        <v>5</v>
      </c>
      <c r="C442" s="3" t="s">
        <v>42</v>
      </c>
      <c r="D442" s="4">
        <v>10656468</v>
      </c>
    </row>
    <row r="443" spans="1:4" x14ac:dyDescent="0.25">
      <c r="A443" s="5" t="s">
        <v>19</v>
      </c>
      <c r="B443" s="6" t="s">
        <v>5</v>
      </c>
      <c r="C443" s="6" t="s">
        <v>43</v>
      </c>
      <c r="D443" s="7">
        <v>9725646</v>
      </c>
    </row>
    <row r="444" spans="1:4" x14ac:dyDescent="0.25">
      <c r="A444" s="2" t="s">
        <v>19</v>
      </c>
      <c r="B444" s="3" t="s">
        <v>5</v>
      </c>
      <c r="C444" s="3" t="s">
        <v>44</v>
      </c>
      <c r="D444" s="4">
        <v>9532253</v>
      </c>
    </row>
    <row r="445" spans="1:4" x14ac:dyDescent="0.25">
      <c r="A445" s="5" t="s">
        <v>19</v>
      </c>
      <c r="B445" s="6" t="s">
        <v>5</v>
      </c>
      <c r="C445" s="6" t="s">
        <v>45</v>
      </c>
      <c r="D445" s="7">
        <v>9894397</v>
      </c>
    </row>
    <row r="446" spans="1:4" x14ac:dyDescent="0.25">
      <c r="A446" s="2" t="s">
        <v>19</v>
      </c>
      <c r="B446" s="3" t="s">
        <v>5</v>
      </c>
      <c r="C446" s="3" t="s">
        <v>46</v>
      </c>
      <c r="D446" s="4">
        <v>10054613</v>
      </c>
    </row>
    <row r="447" spans="1:4" x14ac:dyDescent="0.25">
      <c r="A447" s="5" t="s">
        <v>19</v>
      </c>
      <c r="B447" s="6" t="s">
        <v>5</v>
      </c>
      <c r="C447" s="6" t="s">
        <v>47</v>
      </c>
      <c r="D447" s="7">
        <v>9947972</v>
      </c>
    </row>
    <row r="448" spans="1:4" x14ac:dyDescent="0.25">
      <c r="A448" s="2" t="s">
        <v>19</v>
      </c>
      <c r="B448" s="3" t="s">
        <v>5</v>
      </c>
      <c r="C448" s="3" t="s">
        <v>48</v>
      </c>
      <c r="D448" s="4">
        <v>10001364</v>
      </c>
    </row>
    <row r="449" spans="1:4" x14ac:dyDescent="0.25">
      <c r="A449" s="5" t="s">
        <v>19</v>
      </c>
      <c r="B449" s="6" t="s">
        <v>5</v>
      </c>
      <c r="C449" s="6" t="s">
        <v>49</v>
      </c>
      <c r="D449" s="7">
        <v>9605060</v>
      </c>
    </row>
    <row r="450" spans="1:4" x14ac:dyDescent="0.25">
      <c r="A450" s="2" t="s">
        <v>19</v>
      </c>
      <c r="B450" s="3" t="s">
        <v>5</v>
      </c>
      <c r="C450" s="3" t="s">
        <v>50</v>
      </c>
      <c r="D450" s="4">
        <v>9331530</v>
      </c>
    </row>
    <row r="451" spans="1:4" x14ac:dyDescent="0.25">
      <c r="A451" s="5" t="s">
        <v>19</v>
      </c>
      <c r="B451" s="6" t="s">
        <v>5</v>
      </c>
      <c r="C451" s="6" t="s">
        <v>51</v>
      </c>
      <c r="D451" s="7">
        <v>9737059</v>
      </c>
    </row>
    <row r="452" spans="1:4" x14ac:dyDescent="0.25">
      <c r="A452" s="2" t="s">
        <v>19</v>
      </c>
      <c r="B452" s="3" t="s">
        <v>5</v>
      </c>
      <c r="C452" s="3" t="s">
        <v>52</v>
      </c>
      <c r="D452" s="4">
        <v>10019156</v>
      </c>
    </row>
    <row r="453" spans="1:4" x14ac:dyDescent="0.25">
      <c r="A453" s="5" t="s">
        <v>19</v>
      </c>
      <c r="B453" s="6" t="s">
        <v>5</v>
      </c>
      <c r="C453" s="6" t="s">
        <v>53</v>
      </c>
      <c r="D453" s="7">
        <v>9982160</v>
      </c>
    </row>
    <row r="454" spans="1:4" x14ac:dyDescent="0.25">
      <c r="A454" s="2" t="s">
        <v>19</v>
      </c>
      <c r="B454" s="3" t="s">
        <v>5</v>
      </c>
      <c r="C454" s="3" t="s">
        <v>54</v>
      </c>
      <c r="D454" s="4">
        <v>10071987</v>
      </c>
    </row>
    <row r="455" spans="1:4" x14ac:dyDescent="0.25">
      <c r="A455" s="5" t="s">
        <v>19</v>
      </c>
      <c r="B455" s="6" t="s">
        <v>5</v>
      </c>
      <c r="C455" s="6" t="s">
        <v>55</v>
      </c>
      <c r="D455" s="7">
        <v>9805784</v>
      </c>
    </row>
    <row r="456" spans="1:4" x14ac:dyDescent="0.25">
      <c r="A456" s="5" t="s">
        <v>19</v>
      </c>
      <c r="B456" s="6" t="s">
        <v>5</v>
      </c>
      <c r="C456" s="6" t="s">
        <v>56</v>
      </c>
      <c r="D456" s="7">
        <v>9610816</v>
      </c>
    </row>
    <row r="457" spans="1:4" x14ac:dyDescent="0.25">
      <c r="A457" s="5" t="s">
        <v>19</v>
      </c>
      <c r="B457" s="6" t="s">
        <v>5</v>
      </c>
      <c r="C457" s="6" t="s">
        <v>57</v>
      </c>
      <c r="D457" s="7">
        <v>9976377</v>
      </c>
    </row>
    <row r="458" spans="1:4" x14ac:dyDescent="0.25">
      <c r="A458" s="5" t="s">
        <v>19</v>
      </c>
      <c r="B458" s="6" t="s">
        <v>5</v>
      </c>
      <c r="C458" s="6" t="s">
        <v>58</v>
      </c>
      <c r="D458" s="7">
        <v>10138050</v>
      </c>
    </row>
    <row r="459" spans="1:4" x14ac:dyDescent="0.25">
      <c r="A459" s="5" t="s">
        <v>19</v>
      </c>
      <c r="B459" s="6" t="s">
        <v>5</v>
      </c>
      <c r="C459" s="6" t="s">
        <v>59</v>
      </c>
      <c r="D459" s="7">
        <v>10030757</v>
      </c>
    </row>
    <row r="460" spans="1:4" x14ac:dyDescent="0.25">
      <c r="A460" s="5" t="s">
        <v>19</v>
      </c>
      <c r="B460" s="6" t="s">
        <v>5</v>
      </c>
      <c r="C460" s="6" t="s">
        <v>60</v>
      </c>
      <c r="D460" s="7">
        <v>10084799</v>
      </c>
    </row>
    <row r="461" spans="1:4" x14ac:dyDescent="0.25">
      <c r="A461" s="5" t="s">
        <v>19</v>
      </c>
      <c r="B461" s="6" t="s">
        <v>5</v>
      </c>
      <c r="C461" s="6" t="s">
        <v>61</v>
      </c>
      <c r="D461" s="7">
        <v>9685190</v>
      </c>
    </row>
    <row r="462" spans="1:4" x14ac:dyDescent="0.25">
      <c r="A462" s="5" t="s">
        <v>19</v>
      </c>
      <c r="B462" s="6" t="s">
        <v>5</v>
      </c>
      <c r="C462" s="6" t="s">
        <v>62</v>
      </c>
      <c r="D462" s="7">
        <v>9409794</v>
      </c>
    </row>
    <row r="463" spans="1:4" x14ac:dyDescent="0.25">
      <c r="A463" s="5" t="s">
        <v>19</v>
      </c>
      <c r="B463" s="6" t="s">
        <v>5</v>
      </c>
      <c r="C463" s="6" t="s">
        <v>63</v>
      </c>
      <c r="D463" s="7">
        <v>9818782</v>
      </c>
    </row>
    <row r="464" spans="1:4" x14ac:dyDescent="0.25">
      <c r="A464" s="5" t="s">
        <v>19</v>
      </c>
      <c r="B464" s="6" t="s">
        <v>5</v>
      </c>
      <c r="C464" s="6" t="s">
        <v>64</v>
      </c>
      <c r="D464" s="7">
        <v>10102528</v>
      </c>
    </row>
    <row r="465" spans="1:4" x14ac:dyDescent="0.25">
      <c r="A465" s="5" t="s">
        <v>19</v>
      </c>
      <c r="B465" s="6" t="s">
        <v>5</v>
      </c>
      <c r="C465" s="6" t="s">
        <v>65</v>
      </c>
      <c r="D465" s="7">
        <v>10064912</v>
      </c>
    </row>
    <row r="466" spans="1:4" x14ac:dyDescent="0.25">
      <c r="A466" s="5" t="s">
        <v>19</v>
      </c>
      <c r="B466" s="6" t="s">
        <v>5</v>
      </c>
      <c r="C466" s="6" t="s">
        <v>66</v>
      </c>
      <c r="D466" s="7">
        <v>10155335</v>
      </c>
    </row>
    <row r="467" spans="1:4" x14ac:dyDescent="0.25">
      <c r="A467" s="5" t="s">
        <v>20</v>
      </c>
      <c r="B467" s="6" t="s">
        <v>5</v>
      </c>
      <c r="C467" s="6" t="s">
        <v>36</v>
      </c>
      <c r="D467" s="7">
        <v>3845166.25</v>
      </c>
    </row>
    <row r="468" spans="1:4" x14ac:dyDescent="0.25">
      <c r="A468" s="2" t="s">
        <v>20</v>
      </c>
      <c r="B468" s="3" t="s">
        <v>5</v>
      </c>
      <c r="C468" s="3" t="s">
        <v>37</v>
      </c>
      <c r="D468" s="4">
        <v>3692081.75</v>
      </c>
    </row>
    <row r="469" spans="1:4" x14ac:dyDescent="0.25">
      <c r="A469" s="5" t="s">
        <v>20</v>
      </c>
      <c r="B469" s="6" t="s">
        <v>5</v>
      </c>
      <c r="C469" s="6" t="s">
        <v>38</v>
      </c>
      <c r="D469" s="7">
        <v>3586404</v>
      </c>
    </row>
    <row r="470" spans="1:4" x14ac:dyDescent="0.25">
      <c r="A470" s="2" t="s">
        <v>20</v>
      </c>
      <c r="B470" s="3" t="s">
        <v>5</v>
      </c>
      <c r="C470" s="3" t="s">
        <v>39</v>
      </c>
      <c r="D470" s="4">
        <v>3743195.75</v>
      </c>
    </row>
    <row r="471" spans="1:4" x14ac:dyDescent="0.25">
      <c r="A471" s="5" t="s">
        <v>20</v>
      </c>
      <c r="B471" s="6" t="s">
        <v>5</v>
      </c>
      <c r="C471" s="6" t="s">
        <v>40</v>
      </c>
      <c r="D471" s="7">
        <v>3852554</v>
      </c>
    </row>
    <row r="472" spans="1:4" x14ac:dyDescent="0.25">
      <c r="A472" s="2" t="s">
        <v>20</v>
      </c>
      <c r="B472" s="3" t="s">
        <v>5</v>
      </c>
      <c r="C472" s="3" t="s">
        <v>41</v>
      </c>
      <c r="D472" s="4">
        <v>3838685.5</v>
      </c>
    </row>
    <row r="473" spans="1:4" x14ac:dyDescent="0.25">
      <c r="A473" s="5" t="s">
        <v>20</v>
      </c>
      <c r="B473" s="6" t="s">
        <v>5</v>
      </c>
      <c r="C473" s="6" t="s">
        <v>42</v>
      </c>
      <c r="D473" s="7">
        <v>3873373.5</v>
      </c>
    </row>
    <row r="474" spans="1:4" x14ac:dyDescent="0.25">
      <c r="A474" s="2" t="s">
        <v>20</v>
      </c>
      <c r="B474" s="3" t="s">
        <v>5</v>
      </c>
      <c r="C474" s="3" t="s">
        <v>43</v>
      </c>
      <c r="D474" s="4">
        <v>3492848.75</v>
      </c>
    </row>
    <row r="475" spans="1:4" x14ac:dyDescent="0.25">
      <c r="A475" s="5" t="s">
        <v>20</v>
      </c>
      <c r="B475" s="6" t="s">
        <v>5</v>
      </c>
      <c r="C475" s="6" t="s">
        <v>44</v>
      </c>
      <c r="D475" s="7">
        <v>3424642</v>
      </c>
    </row>
    <row r="476" spans="1:4" x14ac:dyDescent="0.25">
      <c r="A476" s="2" t="s">
        <v>20</v>
      </c>
      <c r="B476" s="3" t="s">
        <v>5</v>
      </c>
      <c r="C476" s="3" t="s">
        <v>45</v>
      </c>
      <c r="D476" s="4">
        <v>3554789</v>
      </c>
    </row>
    <row r="477" spans="1:4" x14ac:dyDescent="0.25">
      <c r="A477" s="5" t="s">
        <v>20</v>
      </c>
      <c r="B477" s="6" t="s">
        <v>5</v>
      </c>
      <c r="C477" s="6" t="s">
        <v>46</v>
      </c>
      <c r="D477" s="7">
        <v>3611016.25</v>
      </c>
    </row>
    <row r="478" spans="1:4" x14ac:dyDescent="0.25">
      <c r="A478" s="2" t="s">
        <v>20</v>
      </c>
      <c r="B478" s="3" t="s">
        <v>5</v>
      </c>
      <c r="C478" s="3" t="s">
        <v>47</v>
      </c>
      <c r="D478" s="4">
        <v>3571970.75</v>
      </c>
    </row>
    <row r="479" spans="1:4" x14ac:dyDescent="0.25">
      <c r="A479" s="5" t="s">
        <v>20</v>
      </c>
      <c r="B479" s="6" t="s">
        <v>5</v>
      </c>
      <c r="C479" s="6" t="s">
        <v>48</v>
      </c>
      <c r="D479" s="7">
        <v>3590895.25</v>
      </c>
    </row>
    <row r="480" spans="1:4" x14ac:dyDescent="0.25">
      <c r="A480" s="2" t="s">
        <v>20</v>
      </c>
      <c r="B480" s="3" t="s">
        <v>5</v>
      </c>
      <c r="C480" s="3" t="s">
        <v>49</v>
      </c>
      <c r="D480" s="4">
        <v>3448191.25</v>
      </c>
    </row>
    <row r="481" spans="1:4" x14ac:dyDescent="0.25">
      <c r="A481" s="5" t="s">
        <v>20</v>
      </c>
      <c r="B481" s="6" t="s">
        <v>5</v>
      </c>
      <c r="C481" s="6" t="s">
        <v>50</v>
      </c>
      <c r="D481" s="7">
        <v>3349750.75</v>
      </c>
    </row>
    <row r="482" spans="1:4" x14ac:dyDescent="0.25">
      <c r="A482" s="2" t="s">
        <v>20</v>
      </c>
      <c r="B482" s="3" t="s">
        <v>5</v>
      </c>
      <c r="C482" s="3" t="s">
        <v>51</v>
      </c>
      <c r="D482" s="4">
        <v>3496006</v>
      </c>
    </row>
    <row r="483" spans="1:4" x14ac:dyDescent="0.25">
      <c r="A483" s="5" t="s">
        <v>20</v>
      </c>
      <c r="B483" s="6" t="s">
        <v>5</v>
      </c>
      <c r="C483" s="6" t="s">
        <v>52</v>
      </c>
      <c r="D483" s="7">
        <v>3597792.5</v>
      </c>
    </row>
    <row r="484" spans="1:4" x14ac:dyDescent="0.25">
      <c r="A484" s="2" t="s">
        <v>20</v>
      </c>
      <c r="B484" s="3" t="s">
        <v>5</v>
      </c>
      <c r="C484" s="3" t="s">
        <v>53</v>
      </c>
      <c r="D484" s="4">
        <v>3584570.5</v>
      </c>
    </row>
    <row r="485" spans="1:4" x14ac:dyDescent="0.25">
      <c r="A485" s="5" t="s">
        <v>20</v>
      </c>
      <c r="B485" s="6" t="s">
        <v>5</v>
      </c>
      <c r="C485" s="6" t="s">
        <v>54</v>
      </c>
      <c r="D485" s="7">
        <v>3616822.5</v>
      </c>
    </row>
    <row r="486" spans="1:4" x14ac:dyDescent="0.25">
      <c r="A486" s="2" t="s">
        <v>20</v>
      </c>
      <c r="B486" s="3" t="s">
        <v>5</v>
      </c>
      <c r="C486" s="3" t="s">
        <v>55</v>
      </c>
      <c r="D486" s="4">
        <v>3352016.25</v>
      </c>
    </row>
    <row r="487" spans="1:4" x14ac:dyDescent="0.25">
      <c r="A487" s="2" t="s">
        <v>20</v>
      </c>
      <c r="B487" s="3" t="s">
        <v>5</v>
      </c>
      <c r="C487" s="3" t="s">
        <v>56</v>
      </c>
      <c r="D487" s="4">
        <v>3286531.5</v>
      </c>
    </row>
    <row r="488" spans="1:4" x14ac:dyDescent="0.25">
      <c r="A488" s="2" t="s">
        <v>20</v>
      </c>
      <c r="B488" s="3" t="s">
        <v>5</v>
      </c>
      <c r="C488" s="3" t="s">
        <v>57</v>
      </c>
      <c r="D488" s="4">
        <v>3411526.5</v>
      </c>
    </row>
    <row r="489" spans="1:4" x14ac:dyDescent="0.25">
      <c r="A489" s="2" t="s">
        <v>20</v>
      </c>
      <c r="B489" s="3" t="s">
        <v>5</v>
      </c>
      <c r="C489" s="3" t="s">
        <v>58</v>
      </c>
      <c r="D489" s="4">
        <v>3465625</v>
      </c>
    </row>
    <row r="490" spans="1:4" x14ac:dyDescent="0.25">
      <c r="A490" s="2" t="s">
        <v>20</v>
      </c>
      <c r="B490" s="3" t="s">
        <v>5</v>
      </c>
      <c r="C490" s="3" t="s">
        <v>59</v>
      </c>
      <c r="D490" s="4">
        <v>3428217.5</v>
      </c>
    </row>
    <row r="491" spans="1:4" x14ac:dyDescent="0.25">
      <c r="A491" s="2" t="s">
        <v>20</v>
      </c>
      <c r="B491" s="3" t="s">
        <v>5</v>
      </c>
      <c r="C491" s="3" t="s">
        <v>60</v>
      </c>
      <c r="D491" s="4">
        <v>3446447</v>
      </c>
    </row>
    <row r="492" spans="1:4" x14ac:dyDescent="0.25">
      <c r="A492" s="2" t="s">
        <v>20</v>
      </c>
      <c r="B492" s="3" t="s">
        <v>5</v>
      </c>
      <c r="C492" s="3" t="s">
        <v>61</v>
      </c>
      <c r="D492" s="4">
        <v>3309603.5</v>
      </c>
    </row>
    <row r="493" spans="1:4" x14ac:dyDescent="0.25">
      <c r="A493" s="2" t="s">
        <v>20</v>
      </c>
      <c r="B493" s="3" t="s">
        <v>5</v>
      </c>
      <c r="C493" s="3" t="s">
        <v>62</v>
      </c>
      <c r="D493" s="4">
        <v>3215298.5</v>
      </c>
    </row>
    <row r="494" spans="1:4" x14ac:dyDescent="0.25">
      <c r="A494" s="2" t="s">
        <v>20</v>
      </c>
      <c r="B494" s="3" t="s">
        <v>5</v>
      </c>
      <c r="C494" s="3" t="s">
        <v>63</v>
      </c>
      <c r="D494" s="4">
        <v>3355614</v>
      </c>
    </row>
    <row r="495" spans="1:4" x14ac:dyDescent="0.25">
      <c r="A495" s="2" t="s">
        <v>20</v>
      </c>
      <c r="B495" s="3" t="s">
        <v>5</v>
      </c>
      <c r="C495" s="3" t="s">
        <v>64</v>
      </c>
      <c r="D495" s="4">
        <v>3453045.5</v>
      </c>
    </row>
    <row r="496" spans="1:4" x14ac:dyDescent="0.25">
      <c r="A496" s="2" t="s">
        <v>20</v>
      </c>
      <c r="B496" s="3" t="s">
        <v>5</v>
      </c>
      <c r="C496" s="3" t="s">
        <v>65</v>
      </c>
      <c r="D496" s="4">
        <v>3440173.75</v>
      </c>
    </row>
    <row r="497" spans="1:4" x14ac:dyDescent="0.25">
      <c r="A497" s="2" t="s">
        <v>20</v>
      </c>
      <c r="B497" s="3" t="s">
        <v>5</v>
      </c>
      <c r="C497" s="3" t="s">
        <v>66</v>
      </c>
      <c r="D497" s="4">
        <v>3471033.5</v>
      </c>
    </row>
    <row r="498" spans="1:4" x14ac:dyDescent="0.25">
      <c r="A498" s="2" t="s">
        <v>31</v>
      </c>
      <c r="B498" s="3" t="s">
        <v>5</v>
      </c>
      <c r="C498" s="3" t="s">
        <v>36</v>
      </c>
      <c r="D498" s="4">
        <v>4096799.5</v>
      </c>
    </row>
    <row r="499" spans="1:4" x14ac:dyDescent="0.25">
      <c r="A499" s="5" t="s">
        <v>31</v>
      </c>
      <c r="B499" s="6" t="s">
        <v>5</v>
      </c>
      <c r="C499" s="6" t="s">
        <v>37</v>
      </c>
      <c r="D499" s="7">
        <v>3934430.5</v>
      </c>
    </row>
    <row r="500" spans="1:4" x14ac:dyDescent="0.25">
      <c r="A500" s="2" t="s">
        <v>31</v>
      </c>
      <c r="B500" s="3" t="s">
        <v>5</v>
      </c>
      <c r="C500" s="3" t="s">
        <v>38</v>
      </c>
      <c r="D500" s="4">
        <v>3822780.75</v>
      </c>
    </row>
    <row r="501" spans="1:4" x14ac:dyDescent="0.25">
      <c r="A501" s="5" t="s">
        <v>31</v>
      </c>
      <c r="B501" s="6" t="s">
        <v>5</v>
      </c>
      <c r="C501" s="6" t="s">
        <v>39</v>
      </c>
      <c r="D501" s="7">
        <v>3989155</v>
      </c>
    </row>
    <row r="502" spans="1:4" x14ac:dyDescent="0.25">
      <c r="A502" s="2" t="s">
        <v>31</v>
      </c>
      <c r="B502" s="3" t="s">
        <v>5</v>
      </c>
      <c r="C502" s="3" t="s">
        <v>40</v>
      </c>
      <c r="D502" s="4">
        <v>4104161.75</v>
      </c>
    </row>
    <row r="503" spans="1:4" x14ac:dyDescent="0.25">
      <c r="A503" s="5" t="s">
        <v>31</v>
      </c>
      <c r="B503" s="6" t="s">
        <v>5</v>
      </c>
      <c r="C503" s="6" t="s">
        <v>41</v>
      </c>
      <c r="D503" s="7">
        <v>4088707.75</v>
      </c>
    </row>
    <row r="504" spans="1:4" x14ac:dyDescent="0.25">
      <c r="A504" s="2" t="s">
        <v>31</v>
      </c>
      <c r="B504" s="3" t="s">
        <v>5</v>
      </c>
      <c r="C504" s="3" t="s">
        <v>42</v>
      </c>
      <c r="D504" s="4">
        <v>4125439</v>
      </c>
    </row>
    <row r="505" spans="1:4" x14ac:dyDescent="0.25">
      <c r="A505" s="5" t="s">
        <v>31</v>
      </c>
      <c r="B505" s="6" t="s">
        <v>5</v>
      </c>
      <c r="C505" s="6" t="s">
        <v>43</v>
      </c>
      <c r="D505" s="7">
        <v>3826583</v>
      </c>
    </row>
    <row r="506" spans="1:4" x14ac:dyDescent="0.25">
      <c r="A506" s="2" t="s">
        <v>31</v>
      </c>
      <c r="B506" s="3" t="s">
        <v>5</v>
      </c>
      <c r="C506" s="3" t="s">
        <v>44</v>
      </c>
      <c r="D506" s="4">
        <v>3750501.25</v>
      </c>
    </row>
    <row r="507" spans="1:4" x14ac:dyDescent="0.25">
      <c r="A507" s="5" t="s">
        <v>31</v>
      </c>
      <c r="B507" s="6" t="s">
        <v>5</v>
      </c>
      <c r="C507" s="6" t="s">
        <v>45</v>
      </c>
      <c r="D507" s="7">
        <v>3893468.5</v>
      </c>
    </row>
    <row r="508" spans="1:4" x14ac:dyDescent="0.25">
      <c r="A508" s="2" t="s">
        <v>31</v>
      </c>
      <c r="B508" s="3" t="s">
        <v>5</v>
      </c>
      <c r="C508" s="3" t="s">
        <v>46</v>
      </c>
      <c r="D508" s="4">
        <v>3956650.5</v>
      </c>
    </row>
    <row r="509" spans="1:4" x14ac:dyDescent="0.25">
      <c r="A509" s="5" t="s">
        <v>31</v>
      </c>
      <c r="B509" s="6" t="s">
        <v>5</v>
      </c>
      <c r="C509" s="6" t="s">
        <v>47</v>
      </c>
      <c r="D509" s="7">
        <v>3914783.5</v>
      </c>
    </row>
    <row r="510" spans="1:4" x14ac:dyDescent="0.25">
      <c r="A510" s="2" t="s">
        <v>31</v>
      </c>
      <c r="B510" s="3" t="s">
        <v>5</v>
      </c>
      <c r="C510" s="3" t="s">
        <v>48</v>
      </c>
      <c r="D510" s="4">
        <v>3935943.5</v>
      </c>
    </row>
    <row r="511" spans="1:4" x14ac:dyDescent="0.25">
      <c r="A511" s="5" t="s">
        <v>31</v>
      </c>
      <c r="B511" s="6" t="s">
        <v>5</v>
      </c>
      <c r="C511" s="6" t="s">
        <v>49</v>
      </c>
      <c r="D511" s="7">
        <v>3780172.5</v>
      </c>
    </row>
    <row r="512" spans="1:4" x14ac:dyDescent="0.25">
      <c r="A512" s="2" t="s">
        <v>31</v>
      </c>
      <c r="B512" s="3" t="s">
        <v>5</v>
      </c>
      <c r="C512" s="3" t="s">
        <v>50</v>
      </c>
      <c r="D512" s="4">
        <v>3673092.75</v>
      </c>
    </row>
    <row r="513" spans="1:4" x14ac:dyDescent="0.25">
      <c r="A513" s="5" t="s">
        <v>31</v>
      </c>
      <c r="B513" s="6" t="s">
        <v>5</v>
      </c>
      <c r="C513" s="6" t="s">
        <v>51</v>
      </c>
      <c r="D513" s="7">
        <v>3832770.5</v>
      </c>
    </row>
    <row r="514" spans="1:4" x14ac:dyDescent="0.25">
      <c r="A514" s="2" t="s">
        <v>31</v>
      </c>
      <c r="B514" s="3" t="s">
        <v>5</v>
      </c>
      <c r="C514" s="3" t="s">
        <v>52</v>
      </c>
      <c r="D514" s="4">
        <v>3943006</v>
      </c>
    </row>
    <row r="515" spans="1:4" x14ac:dyDescent="0.25">
      <c r="A515" s="5" t="s">
        <v>31</v>
      </c>
      <c r="B515" s="6" t="s">
        <v>5</v>
      </c>
      <c r="C515" s="6" t="s">
        <v>53</v>
      </c>
      <c r="D515" s="7">
        <v>3927960.5</v>
      </c>
    </row>
    <row r="516" spans="1:4" x14ac:dyDescent="0.25">
      <c r="A516" s="2" t="s">
        <v>31</v>
      </c>
      <c r="B516" s="3" t="s">
        <v>5</v>
      </c>
      <c r="C516" s="3" t="s">
        <v>54</v>
      </c>
      <c r="D516" s="4">
        <v>3963151</v>
      </c>
    </row>
    <row r="517" spans="1:4" x14ac:dyDescent="0.25">
      <c r="A517" s="2" t="s">
        <v>31</v>
      </c>
      <c r="B517" s="3" t="s">
        <v>5</v>
      </c>
      <c r="C517" s="3" t="s">
        <v>55</v>
      </c>
      <c r="D517" s="4">
        <v>3803949.5</v>
      </c>
    </row>
    <row r="518" spans="1:4" x14ac:dyDescent="0.25">
      <c r="A518" s="2" t="s">
        <v>31</v>
      </c>
      <c r="B518" s="3" t="s">
        <v>5</v>
      </c>
      <c r="C518" s="3" t="s">
        <v>56</v>
      </c>
      <c r="D518" s="4">
        <v>3728227.25</v>
      </c>
    </row>
    <row r="519" spans="1:4" x14ac:dyDescent="0.25">
      <c r="A519" s="2" t="s">
        <v>31</v>
      </c>
      <c r="B519" s="3" t="s">
        <v>5</v>
      </c>
      <c r="C519" s="3" t="s">
        <v>57</v>
      </c>
      <c r="D519" s="4">
        <v>3870487.25</v>
      </c>
    </row>
    <row r="520" spans="1:4" x14ac:dyDescent="0.25">
      <c r="A520" s="2" t="s">
        <v>31</v>
      </c>
      <c r="B520" s="3" t="s">
        <v>5</v>
      </c>
      <c r="C520" s="3" t="s">
        <v>58</v>
      </c>
      <c r="D520" s="4">
        <v>3933437.5</v>
      </c>
    </row>
    <row r="521" spans="1:4" x14ac:dyDescent="0.25">
      <c r="A521" s="2" t="s">
        <v>31</v>
      </c>
      <c r="B521" s="3" t="s">
        <v>5</v>
      </c>
      <c r="C521" s="3" t="s">
        <v>59</v>
      </c>
      <c r="D521" s="4">
        <v>3891949.25</v>
      </c>
    </row>
    <row r="522" spans="1:4" x14ac:dyDescent="0.25">
      <c r="A522" s="2" t="s">
        <v>31</v>
      </c>
      <c r="B522" s="3" t="s">
        <v>5</v>
      </c>
      <c r="C522" s="3" t="s">
        <v>60</v>
      </c>
      <c r="D522" s="4">
        <v>3913072</v>
      </c>
    </row>
    <row r="523" spans="1:4" x14ac:dyDescent="0.25">
      <c r="A523" s="2" t="s">
        <v>31</v>
      </c>
      <c r="B523" s="3" t="s">
        <v>5</v>
      </c>
      <c r="C523" s="3" t="s">
        <v>61</v>
      </c>
      <c r="D523" s="4">
        <v>3758238.75</v>
      </c>
    </row>
    <row r="524" spans="1:4" x14ac:dyDescent="0.25">
      <c r="A524" s="2" t="s">
        <v>31</v>
      </c>
      <c r="B524" s="3" t="s">
        <v>5</v>
      </c>
      <c r="C524" s="3" t="s">
        <v>62</v>
      </c>
      <c r="D524" s="4">
        <v>3651937</v>
      </c>
    </row>
    <row r="525" spans="1:4" x14ac:dyDescent="0.25">
      <c r="A525" s="2" t="s">
        <v>31</v>
      </c>
      <c r="B525" s="3" t="s">
        <v>5</v>
      </c>
      <c r="C525" s="3" t="s">
        <v>63</v>
      </c>
      <c r="D525" s="4">
        <v>3810662.25</v>
      </c>
    </row>
    <row r="526" spans="1:4" x14ac:dyDescent="0.25">
      <c r="A526" s="2" t="s">
        <v>31</v>
      </c>
      <c r="B526" s="3" t="s">
        <v>5</v>
      </c>
      <c r="C526" s="3" t="s">
        <v>64</v>
      </c>
      <c r="D526" s="4">
        <v>3919986</v>
      </c>
    </row>
    <row r="527" spans="1:4" x14ac:dyDescent="0.25">
      <c r="A527" s="2" t="s">
        <v>31</v>
      </c>
      <c r="B527" s="3" t="s">
        <v>5</v>
      </c>
      <c r="C527" s="3" t="s">
        <v>65</v>
      </c>
      <c r="D527" s="4">
        <v>3904922.75</v>
      </c>
    </row>
    <row r="528" spans="1:4" x14ac:dyDescent="0.25">
      <c r="A528" s="2" t="s">
        <v>31</v>
      </c>
      <c r="B528" s="3" t="s">
        <v>5</v>
      </c>
      <c r="C528" s="3" t="s">
        <v>66</v>
      </c>
      <c r="D528" s="4">
        <v>3939862</v>
      </c>
    </row>
    <row r="529" spans="1:4" x14ac:dyDescent="0.25">
      <c r="A529" s="2" t="s">
        <v>7</v>
      </c>
      <c r="B529" s="3" t="s">
        <v>5</v>
      </c>
      <c r="C529" s="3" t="s">
        <v>36</v>
      </c>
      <c r="D529" s="4">
        <v>3596332.5</v>
      </c>
    </row>
    <row r="530" spans="1:4" x14ac:dyDescent="0.25">
      <c r="A530" s="5" t="s">
        <v>7</v>
      </c>
      <c r="B530" s="6" t="s">
        <v>5</v>
      </c>
      <c r="C530" s="6" t="s">
        <v>37</v>
      </c>
      <c r="D530" s="7">
        <v>3453459.5</v>
      </c>
    </row>
    <row r="531" spans="1:4" x14ac:dyDescent="0.25">
      <c r="A531" s="2" t="s">
        <v>7</v>
      </c>
      <c r="B531" s="3" t="s">
        <v>5</v>
      </c>
      <c r="C531" s="3" t="s">
        <v>38</v>
      </c>
      <c r="D531" s="4">
        <v>3355388.25</v>
      </c>
    </row>
    <row r="532" spans="1:4" x14ac:dyDescent="0.25">
      <c r="A532" s="5" t="s">
        <v>7</v>
      </c>
      <c r="B532" s="6" t="s">
        <v>5</v>
      </c>
      <c r="C532" s="6" t="s">
        <v>39</v>
      </c>
      <c r="D532" s="7">
        <v>3501521.25</v>
      </c>
    </row>
    <row r="533" spans="1:4" x14ac:dyDescent="0.25">
      <c r="A533" s="2" t="s">
        <v>7</v>
      </c>
      <c r="B533" s="3" t="s">
        <v>5</v>
      </c>
      <c r="C533" s="3" t="s">
        <v>40</v>
      </c>
      <c r="D533" s="4">
        <v>3602376</v>
      </c>
    </row>
    <row r="534" spans="1:4" x14ac:dyDescent="0.25">
      <c r="A534" s="5" t="s">
        <v>7</v>
      </c>
      <c r="B534" s="6" t="s">
        <v>5</v>
      </c>
      <c r="C534" s="6" t="s">
        <v>41</v>
      </c>
      <c r="D534" s="7">
        <v>3589120.5</v>
      </c>
    </row>
    <row r="535" spans="1:4" x14ac:dyDescent="0.25">
      <c r="A535" s="2" t="s">
        <v>7</v>
      </c>
      <c r="B535" s="3" t="s">
        <v>5</v>
      </c>
      <c r="C535" s="3" t="s">
        <v>42</v>
      </c>
      <c r="D535" s="4">
        <v>3621610.25</v>
      </c>
    </row>
    <row r="536" spans="1:4" x14ac:dyDescent="0.25">
      <c r="A536" s="5" t="s">
        <v>7</v>
      </c>
      <c r="B536" s="6" t="s">
        <v>5</v>
      </c>
      <c r="C536" s="6" t="s">
        <v>43</v>
      </c>
      <c r="D536" s="7">
        <v>3355983.25</v>
      </c>
    </row>
    <row r="537" spans="1:4" x14ac:dyDescent="0.25">
      <c r="A537" s="2" t="s">
        <v>7</v>
      </c>
      <c r="B537" s="3" t="s">
        <v>5</v>
      </c>
      <c r="C537" s="3" t="s">
        <v>44</v>
      </c>
      <c r="D537" s="4">
        <v>3288842.5</v>
      </c>
    </row>
    <row r="538" spans="1:4" x14ac:dyDescent="0.25">
      <c r="A538" s="5" t="s">
        <v>7</v>
      </c>
      <c r="B538" s="6" t="s">
        <v>5</v>
      </c>
      <c r="C538" s="6" t="s">
        <v>45</v>
      </c>
      <c r="D538" s="7">
        <v>3414473</v>
      </c>
    </row>
    <row r="539" spans="1:4" x14ac:dyDescent="0.25">
      <c r="A539" s="2" t="s">
        <v>7</v>
      </c>
      <c r="B539" s="3" t="s">
        <v>5</v>
      </c>
      <c r="C539" s="3" t="s">
        <v>46</v>
      </c>
      <c r="D539" s="4">
        <v>3470045</v>
      </c>
    </row>
    <row r="540" spans="1:4" x14ac:dyDescent="0.25">
      <c r="A540" s="5" t="s">
        <v>7</v>
      </c>
      <c r="B540" s="6" t="s">
        <v>5</v>
      </c>
      <c r="C540" s="6" t="s">
        <v>47</v>
      </c>
      <c r="D540" s="7">
        <v>3433690.75</v>
      </c>
    </row>
    <row r="541" spans="1:4" x14ac:dyDescent="0.25">
      <c r="A541" s="2" t="s">
        <v>7</v>
      </c>
      <c r="B541" s="3" t="s">
        <v>5</v>
      </c>
      <c r="C541" s="3" t="s">
        <v>48</v>
      </c>
      <c r="D541" s="4">
        <v>3452366.75</v>
      </c>
    </row>
    <row r="542" spans="1:4" x14ac:dyDescent="0.25">
      <c r="A542" s="5" t="s">
        <v>7</v>
      </c>
      <c r="B542" s="6" t="s">
        <v>5</v>
      </c>
      <c r="C542" s="6" t="s">
        <v>49</v>
      </c>
      <c r="D542" s="7">
        <v>3315389</v>
      </c>
    </row>
    <row r="543" spans="1:4" x14ac:dyDescent="0.25">
      <c r="A543" s="2" t="s">
        <v>7</v>
      </c>
      <c r="B543" s="3" t="s">
        <v>5</v>
      </c>
      <c r="C543" s="3" t="s">
        <v>50</v>
      </c>
      <c r="D543" s="4">
        <v>3221409</v>
      </c>
    </row>
    <row r="544" spans="1:4" x14ac:dyDescent="0.25">
      <c r="A544" s="5" t="s">
        <v>7</v>
      </c>
      <c r="B544" s="6" t="s">
        <v>5</v>
      </c>
      <c r="C544" s="6" t="s">
        <v>51</v>
      </c>
      <c r="D544" s="7">
        <v>3361559.75</v>
      </c>
    </row>
    <row r="545" spans="1:4" x14ac:dyDescent="0.25">
      <c r="A545" s="2" t="s">
        <v>7</v>
      </c>
      <c r="B545" s="3" t="s">
        <v>5</v>
      </c>
      <c r="C545" s="3" t="s">
        <v>52</v>
      </c>
      <c r="D545" s="4">
        <v>3458141.5</v>
      </c>
    </row>
    <row r="546" spans="1:4" x14ac:dyDescent="0.25">
      <c r="A546" s="5" t="s">
        <v>7</v>
      </c>
      <c r="B546" s="6" t="s">
        <v>5</v>
      </c>
      <c r="C546" s="6" t="s">
        <v>53</v>
      </c>
      <c r="D546" s="7">
        <v>3445252.25</v>
      </c>
    </row>
    <row r="547" spans="1:4" x14ac:dyDescent="0.25">
      <c r="A547" s="2" t="s">
        <v>7</v>
      </c>
      <c r="B547" s="3" t="s">
        <v>5</v>
      </c>
      <c r="C547" s="3" t="s">
        <v>54</v>
      </c>
      <c r="D547" s="4">
        <v>3476365</v>
      </c>
    </row>
    <row r="548" spans="1:4" x14ac:dyDescent="0.25">
      <c r="A548" s="2" t="s">
        <v>7</v>
      </c>
      <c r="B548" s="3" t="s">
        <v>5</v>
      </c>
      <c r="C548" s="3" t="s">
        <v>55</v>
      </c>
      <c r="D548" s="4">
        <v>3348475.75</v>
      </c>
    </row>
    <row r="549" spans="1:4" x14ac:dyDescent="0.25">
      <c r="A549" s="2" t="s">
        <v>7</v>
      </c>
      <c r="B549" s="3" t="s">
        <v>5</v>
      </c>
      <c r="C549" s="3" t="s">
        <v>56</v>
      </c>
      <c r="D549" s="4">
        <v>3281413.25</v>
      </c>
    </row>
    <row r="550" spans="1:4" x14ac:dyDescent="0.25">
      <c r="A550" s="2" t="s">
        <v>7</v>
      </c>
      <c r="B550" s="3" t="s">
        <v>5</v>
      </c>
      <c r="C550" s="3" t="s">
        <v>57</v>
      </c>
      <c r="D550" s="4">
        <v>3406878.5</v>
      </c>
    </row>
    <row r="551" spans="1:4" x14ac:dyDescent="0.25">
      <c r="A551" s="2" t="s">
        <v>7</v>
      </c>
      <c r="B551" s="3" t="s">
        <v>5</v>
      </c>
      <c r="C551" s="3" t="s">
        <v>58</v>
      </c>
      <c r="D551" s="4">
        <v>3462422.75</v>
      </c>
    </row>
    <row r="552" spans="1:4" x14ac:dyDescent="0.25">
      <c r="A552" s="2" t="s">
        <v>7</v>
      </c>
      <c r="B552" s="3" t="s">
        <v>5</v>
      </c>
      <c r="C552" s="3" t="s">
        <v>59</v>
      </c>
      <c r="D552" s="4">
        <v>3426253.5</v>
      </c>
    </row>
    <row r="553" spans="1:4" x14ac:dyDescent="0.25">
      <c r="A553" s="2" t="s">
        <v>7</v>
      </c>
      <c r="B553" s="3" t="s">
        <v>5</v>
      </c>
      <c r="C553" s="3" t="s">
        <v>60</v>
      </c>
      <c r="D553" s="4">
        <v>3444955.25</v>
      </c>
    </row>
    <row r="554" spans="1:4" x14ac:dyDescent="0.25">
      <c r="A554" s="2" t="s">
        <v>7</v>
      </c>
      <c r="B554" s="3" t="s">
        <v>5</v>
      </c>
      <c r="C554" s="3" t="s">
        <v>61</v>
      </c>
      <c r="D554" s="4">
        <v>3308276.5</v>
      </c>
    </row>
    <row r="555" spans="1:4" x14ac:dyDescent="0.25">
      <c r="A555" s="2" t="s">
        <v>7</v>
      </c>
      <c r="B555" s="3" t="s">
        <v>5</v>
      </c>
      <c r="C555" s="3" t="s">
        <v>62</v>
      </c>
      <c r="D555" s="4">
        <v>3214606</v>
      </c>
    </row>
    <row r="556" spans="1:4" x14ac:dyDescent="0.25">
      <c r="A556" s="2" t="s">
        <v>7</v>
      </c>
      <c r="B556" s="3" t="s">
        <v>5</v>
      </c>
      <c r="C556" s="3" t="s">
        <v>63</v>
      </c>
      <c r="D556" s="4">
        <v>3354452.25</v>
      </c>
    </row>
    <row r="557" spans="1:4" x14ac:dyDescent="0.25">
      <c r="A557" s="2" t="s">
        <v>7</v>
      </c>
      <c r="B557" s="3" t="s">
        <v>5</v>
      </c>
      <c r="C557" s="3" t="s">
        <v>64</v>
      </c>
      <c r="D557" s="4">
        <v>3450629</v>
      </c>
    </row>
    <row r="558" spans="1:4" x14ac:dyDescent="0.25">
      <c r="A558" s="2" t="s">
        <v>7</v>
      </c>
      <c r="B558" s="3" t="s">
        <v>5</v>
      </c>
      <c r="C558" s="3" t="s">
        <v>65</v>
      </c>
      <c r="D558" s="4">
        <v>3437701.5</v>
      </c>
    </row>
    <row r="559" spans="1:4" x14ac:dyDescent="0.25">
      <c r="A559" s="2" t="s">
        <v>7</v>
      </c>
      <c r="B559" s="3" t="s">
        <v>5</v>
      </c>
      <c r="C559" s="3" t="s">
        <v>66</v>
      </c>
      <c r="D559" s="4">
        <v>3468721.75</v>
      </c>
    </row>
    <row r="560" spans="1:4" x14ac:dyDescent="0.25">
      <c r="A560" s="5" t="s">
        <v>12</v>
      </c>
      <c r="B560" s="6" t="s">
        <v>5</v>
      </c>
      <c r="C560" s="6" t="s">
        <v>36</v>
      </c>
      <c r="D560" s="7">
        <v>352521.1875</v>
      </c>
    </row>
    <row r="561" spans="1:4" x14ac:dyDescent="0.25">
      <c r="A561" s="2" t="s">
        <v>12</v>
      </c>
      <c r="B561" s="3" t="s">
        <v>5</v>
      </c>
      <c r="C561" s="3" t="s">
        <v>37</v>
      </c>
      <c r="D561" s="4">
        <v>339173.15625</v>
      </c>
    </row>
    <row r="562" spans="1:4" x14ac:dyDescent="0.25">
      <c r="A562" s="5" t="s">
        <v>12</v>
      </c>
      <c r="B562" s="6" t="s">
        <v>5</v>
      </c>
      <c r="C562" s="6" t="s">
        <v>38</v>
      </c>
      <c r="D562" s="7">
        <v>330331</v>
      </c>
    </row>
    <row r="563" spans="1:4" x14ac:dyDescent="0.25">
      <c r="A563" s="2" t="s">
        <v>12</v>
      </c>
      <c r="B563" s="3" t="s">
        <v>5</v>
      </c>
      <c r="C563" s="3" t="s">
        <v>39</v>
      </c>
      <c r="D563" s="4">
        <v>344179.1875</v>
      </c>
    </row>
    <row r="564" spans="1:4" x14ac:dyDescent="0.25">
      <c r="A564" s="5" t="s">
        <v>12</v>
      </c>
      <c r="B564" s="6" t="s">
        <v>5</v>
      </c>
      <c r="C564" s="6" t="s">
        <v>40</v>
      </c>
      <c r="D564" s="7">
        <v>352946.65625</v>
      </c>
    </row>
    <row r="565" spans="1:4" x14ac:dyDescent="0.25">
      <c r="A565" s="2" t="s">
        <v>12</v>
      </c>
      <c r="B565" s="3" t="s">
        <v>5</v>
      </c>
      <c r="C565" s="3" t="s">
        <v>41</v>
      </c>
      <c r="D565" s="4">
        <v>350881.375</v>
      </c>
    </row>
    <row r="566" spans="1:4" x14ac:dyDescent="0.25">
      <c r="A566" s="5" t="s">
        <v>12</v>
      </c>
      <c r="B566" s="6" t="s">
        <v>5</v>
      </c>
      <c r="C566" s="6" t="s">
        <v>42</v>
      </c>
      <c r="D566" s="7">
        <v>353679.875</v>
      </c>
    </row>
    <row r="567" spans="1:4" x14ac:dyDescent="0.25">
      <c r="A567" s="2" t="s">
        <v>12</v>
      </c>
      <c r="B567" s="3" t="s">
        <v>5</v>
      </c>
      <c r="C567" s="3" t="s">
        <v>43</v>
      </c>
      <c r="D567" s="4">
        <v>339245.375</v>
      </c>
    </row>
    <row r="568" spans="1:4" x14ac:dyDescent="0.25">
      <c r="A568" s="5" t="s">
        <v>12</v>
      </c>
      <c r="B568" s="6" t="s">
        <v>5</v>
      </c>
      <c r="C568" s="6" t="s">
        <v>44</v>
      </c>
      <c r="D568" s="7">
        <v>331907.34375</v>
      </c>
    </row>
    <row r="569" spans="1:4" x14ac:dyDescent="0.25">
      <c r="A569" s="2" t="s">
        <v>12</v>
      </c>
      <c r="B569" s="3" t="s">
        <v>5</v>
      </c>
      <c r="C569" s="3" t="s">
        <v>45</v>
      </c>
      <c r="D569" s="4">
        <v>344901.5625</v>
      </c>
    </row>
    <row r="570" spans="1:4" x14ac:dyDescent="0.25">
      <c r="A570" s="5" t="s">
        <v>12</v>
      </c>
      <c r="B570" s="6" t="s">
        <v>5</v>
      </c>
      <c r="C570" s="6" t="s">
        <v>46</v>
      </c>
      <c r="D570" s="7">
        <v>351537.6875</v>
      </c>
    </row>
    <row r="571" spans="1:4" x14ac:dyDescent="0.25">
      <c r="A571" s="2" t="s">
        <v>12</v>
      </c>
      <c r="B571" s="3" t="s">
        <v>5</v>
      </c>
      <c r="C571" s="3" t="s">
        <v>47</v>
      </c>
      <c r="D571" s="4">
        <v>348288.53125</v>
      </c>
    </row>
    <row r="572" spans="1:4" x14ac:dyDescent="0.25">
      <c r="A572" s="5" t="s">
        <v>12</v>
      </c>
      <c r="B572" s="6" t="s">
        <v>5</v>
      </c>
      <c r="C572" s="6" t="s">
        <v>48</v>
      </c>
      <c r="D572" s="7">
        <v>350476.5625</v>
      </c>
    </row>
    <row r="573" spans="1:4" x14ac:dyDescent="0.25">
      <c r="A573" s="2" t="s">
        <v>12</v>
      </c>
      <c r="B573" s="3" t="s">
        <v>5</v>
      </c>
      <c r="C573" s="3" t="s">
        <v>49</v>
      </c>
      <c r="D573" s="4">
        <v>337215.28125</v>
      </c>
    </row>
    <row r="574" spans="1:4" x14ac:dyDescent="0.25">
      <c r="A574" s="5" t="s">
        <v>12</v>
      </c>
      <c r="B574" s="6" t="s">
        <v>5</v>
      </c>
      <c r="C574" s="6" t="s">
        <v>50</v>
      </c>
      <c r="D574" s="7">
        <v>328416.875</v>
      </c>
    </row>
    <row r="575" spans="1:4" x14ac:dyDescent="0.25">
      <c r="A575" s="2" t="s">
        <v>12</v>
      </c>
      <c r="B575" s="3" t="s">
        <v>5</v>
      </c>
      <c r="C575" s="3" t="s">
        <v>51</v>
      </c>
      <c r="D575" s="4">
        <v>342175.0625</v>
      </c>
    </row>
    <row r="576" spans="1:4" x14ac:dyDescent="0.25">
      <c r="A576" s="5" t="s">
        <v>12</v>
      </c>
      <c r="B576" s="6" t="s">
        <v>5</v>
      </c>
      <c r="C576" s="6" t="s">
        <v>52</v>
      </c>
      <c r="D576" s="7">
        <v>350906.46875</v>
      </c>
    </row>
    <row r="577" spans="1:4" x14ac:dyDescent="0.25">
      <c r="A577" s="2" t="s">
        <v>12</v>
      </c>
      <c r="B577" s="3" t="s">
        <v>5</v>
      </c>
      <c r="C577" s="3" t="s">
        <v>53</v>
      </c>
      <c r="D577" s="4">
        <v>348855.96875</v>
      </c>
    </row>
    <row r="578" spans="1:4" x14ac:dyDescent="0.25">
      <c r="A578" s="5" t="s">
        <v>12</v>
      </c>
      <c r="B578" s="6" t="s">
        <v>5</v>
      </c>
      <c r="C578" s="6" t="s">
        <v>54</v>
      </c>
      <c r="D578" s="7">
        <v>351639.5</v>
      </c>
    </row>
    <row r="579" spans="1:4" x14ac:dyDescent="0.25">
      <c r="A579" s="2" t="s">
        <v>12</v>
      </c>
      <c r="B579" s="3" t="s">
        <v>5</v>
      </c>
      <c r="C579" s="3" t="s">
        <v>55</v>
      </c>
      <c r="D579" s="4">
        <v>354667.3125</v>
      </c>
    </row>
    <row r="580" spans="1:4" x14ac:dyDescent="0.25">
      <c r="A580" s="2" t="s">
        <v>12</v>
      </c>
      <c r="B580" s="3" t="s">
        <v>5</v>
      </c>
      <c r="C580" s="3" t="s">
        <v>56</v>
      </c>
      <c r="D580" s="4">
        <v>347010.15625</v>
      </c>
    </row>
    <row r="581" spans="1:4" x14ac:dyDescent="0.25">
      <c r="A581" s="2" t="s">
        <v>12</v>
      </c>
      <c r="B581" s="3" t="s">
        <v>5</v>
      </c>
      <c r="C581" s="3" t="s">
        <v>57</v>
      </c>
      <c r="D581" s="4">
        <v>360616.75</v>
      </c>
    </row>
    <row r="582" spans="1:4" x14ac:dyDescent="0.25">
      <c r="A582" s="2" t="s">
        <v>12</v>
      </c>
      <c r="B582" s="3" t="s">
        <v>5</v>
      </c>
      <c r="C582" s="3" t="s">
        <v>58</v>
      </c>
      <c r="D582" s="4">
        <v>367532.875</v>
      </c>
    </row>
    <row r="583" spans="1:4" x14ac:dyDescent="0.25">
      <c r="A583" s="2" t="s">
        <v>12</v>
      </c>
      <c r="B583" s="3" t="s">
        <v>5</v>
      </c>
      <c r="C583" s="3" t="s">
        <v>59</v>
      </c>
      <c r="D583" s="4">
        <v>364141.3125</v>
      </c>
    </row>
    <row r="584" spans="1:4" x14ac:dyDescent="0.25">
      <c r="A584" s="2" t="s">
        <v>12</v>
      </c>
      <c r="B584" s="3" t="s">
        <v>5</v>
      </c>
      <c r="C584" s="3" t="s">
        <v>60</v>
      </c>
      <c r="D584" s="4">
        <v>366434.375</v>
      </c>
    </row>
    <row r="585" spans="1:4" x14ac:dyDescent="0.25">
      <c r="A585" s="2" t="s">
        <v>12</v>
      </c>
      <c r="B585" s="3" t="s">
        <v>5</v>
      </c>
      <c r="C585" s="3" t="s">
        <v>61</v>
      </c>
      <c r="D585" s="4">
        <v>352543.875</v>
      </c>
    </row>
    <row r="586" spans="1:4" x14ac:dyDescent="0.25">
      <c r="A586" s="2" t="s">
        <v>12</v>
      </c>
      <c r="B586" s="3" t="s">
        <v>5</v>
      </c>
      <c r="C586" s="3" t="s">
        <v>62</v>
      </c>
      <c r="D586" s="4">
        <v>343346.03125</v>
      </c>
    </row>
    <row r="587" spans="1:4" x14ac:dyDescent="0.25">
      <c r="A587" s="2" t="s">
        <v>12</v>
      </c>
      <c r="B587" s="3" t="s">
        <v>5</v>
      </c>
      <c r="C587" s="3" t="s">
        <v>63</v>
      </c>
      <c r="D587" s="4">
        <v>357752.21875</v>
      </c>
    </row>
    <row r="588" spans="1:4" x14ac:dyDescent="0.25">
      <c r="A588" s="2" t="s">
        <v>12</v>
      </c>
      <c r="B588" s="3" t="s">
        <v>5</v>
      </c>
      <c r="C588" s="3" t="s">
        <v>64</v>
      </c>
      <c r="D588" s="4">
        <v>366870.1875</v>
      </c>
    </row>
    <row r="589" spans="1:4" x14ac:dyDescent="0.25">
      <c r="A589" s="2" t="s">
        <v>12</v>
      </c>
      <c r="B589" s="3" t="s">
        <v>5</v>
      </c>
      <c r="C589" s="3" t="s">
        <v>65</v>
      </c>
      <c r="D589" s="4">
        <v>364732.90625</v>
      </c>
    </row>
    <row r="590" spans="1:4" x14ac:dyDescent="0.25">
      <c r="A590" s="2" t="s">
        <v>12</v>
      </c>
      <c r="B590" s="3" t="s">
        <v>5</v>
      </c>
      <c r="C590" s="3" t="s">
        <v>66</v>
      </c>
      <c r="D590" s="4">
        <v>367646.53125</v>
      </c>
    </row>
    <row r="591" spans="1:4" x14ac:dyDescent="0.25">
      <c r="A591" s="5" t="s">
        <v>34</v>
      </c>
      <c r="B591" s="6" t="s">
        <v>5</v>
      </c>
      <c r="C591" s="6" t="s">
        <v>36</v>
      </c>
      <c r="D591" s="6">
        <v>1810722.375</v>
      </c>
    </row>
    <row r="592" spans="1:4" x14ac:dyDescent="0.25">
      <c r="A592" s="2" t="s">
        <v>34</v>
      </c>
      <c r="B592" s="3" t="s">
        <v>5</v>
      </c>
      <c r="C592" s="3" t="s">
        <v>37</v>
      </c>
      <c r="D592" s="3">
        <v>1737692.125</v>
      </c>
    </row>
    <row r="593" spans="1:4" x14ac:dyDescent="0.25">
      <c r="A593" s="5" t="s">
        <v>34</v>
      </c>
      <c r="B593" s="6" t="s">
        <v>5</v>
      </c>
      <c r="C593" s="6" t="s">
        <v>38</v>
      </c>
      <c r="D593" s="6">
        <v>1686752.5</v>
      </c>
    </row>
    <row r="594" spans="1:4" x14ac:dyDescent="0.25">
      <c r="A594" s="2" t="s">
        <v>34</v>
      </c>
      <c r="B594" s="3" t="s">
        <v>5</v>
      </c>
      <c r="C594" s="3" t="s">
        <v>39</v>
      </c>
      <c r="D594" s="3">
        <v>1761235.5</v>
      </c>
    </row>
    <row r="595" spans="1:4" x14ac:dyDescent="0.25">
      <c r="A595" s="5" t="s">
        <v>34</v>
      </c>
      <c r="B595" s="6" t="s">
        <v>5</v>
      </c>
      <c r="C595" s="6" t="s">
        <v>40</v>
      </c>
      <c r="D595" s="6">
        <v>1814135</v>
      </c>
    </row>
    <row r="596" spans="1:4" x14ac:dyDescent="0.25">
      <c r="A596" s="2" t="s">
        <v>34</v>
      </c>
      <c r="B596" s="3" t="s">
        <v>5</v>
      </c>
      <c r="C596" s="3" t="s">
        <v>41</v>
      </c>
      <c r="D596" s="3">
        <v>1808882.625</v>
      </c>
    </row>
    <row r="597" spans="1:4" x14ac:dyDescent="0.25">
      <c r="A597" s="5" t="s">
        <v>34</v>
      </c>
      <c r="B597" s="6" t="s">
        <v>5</v>
      </c>
      <c r="C597" s="6" t="s">
        <v>42</v>
      </c>
      <c r="D597" s="6">
        <v>1826302.25</v>
      </c>
    </row>
    <row r="598" spans="1:4" x14ac:dyDescent="0.25">
      <c r="A598" s="2" t="s">
        <v>34</v>
      </c>
      <c r="B598" s="3" t="s">
        <v>5</v>
      </c>
      <c r="C598" s="3" t="s">
        <v>43</v>
      </c>
      <c r="D598" s="3">
        <v>1808189.875</v>
      </c>
    </row>
    <row r="599" spans="1:4" x14ac:dyDescent="0.25">
      <c r="A599" s="5" t="s">
        <v>34</v>
      </c>
      <c r="B599" s="6" t="s">
        <v>5</v>
      </c>
      <c r="C599" s="6" t="s">
        <v>44</v>
      </c>
      <c r="D599" s="6">
        <v>1773169.25</v>
      </c>
    </row>
    <row r="600" spans="1:4" x14ac:dyDescent="0.25">
      <c r="A600" s="2" t="s">
        <v>34</v>
      </c>
      <c r="B600" s="3" t="s">
        <v>5</v>
      </c>
      <c r="C600" s="3" t="s">
        <v>45</v>
      </c>
      <c r="D600" s="3">
        <v>1840332.75</v>
      </c>
    </row>
    <row r="601" spans="1:4" x14ac:dyDescent="0.25">
      <c r="A601" s="5" t="s">
        <v>34</v>
      </c>
      <c r="B601" s="6" t="s">
        <v>5</v>
      </c>
      <c r="C601" s="6" t="s">
        <v>46</v>
      </c>
      <c r="D601" s="6">
        <v>1868041.375</v>
      </c>
    </row>
    <row r="602" spans="1:4" x14ac:dyDescent="0.25">
      <c r="A602" s="2" t="s">
        <v>34</v>
      </c>
      <c r="B602" s="3" t="s">
        <v>5</v>
      </c>
      <c r="C602" s="3" t="s">
        <v>47</v>
      </c>
      <c r="D602" s="3">
        <v>1847619.25</v>
      </c>
    </row>
    <row r="603" spans="1:4" x14ac:dyDescent="0.25">
      <c r="A603" s="5" t="s">
        <v>34</v>
      </c>
      <c r="B603" s="6" t="s">
        <v>5</v>
      </c>
      <c r="C603" s="6" t="s">
        <v>48</v>
      </c>
      <c r="D603" s="6">
        <v>1856987.125</v>
      </c>
    </row>
    <row r="604" spans="1:4" x14ac:dyDescent="0.25">
      <c r="A604" s="2" t="s">
        <v>34</v>
      </c>
      <c r="B604" s="3" t="s">
        <v>5</v>
      </c>
      <c r="C604" s="3" t="s">
        <v>49</v>
      </c>
      <c r="D604" s="3">
        <v>1782077.625</v>
      </c>
    </row>
    <row r="605" spans="1:4" x14ac:dyDescent="0.25">
      <c r="A605" s="5" t="s">
        <v>34</v>
      </c>
      <c r="B605" s="6" t="s">
        <v>5</v>
      </c>
      <c r="C605" s="6" t="s">
        <v>50</v>
      </c>
      <c r="D605" s="6">
        <v>1729815.375</v>
      </c>
    </row>
    <row r="606" spans="1:4" x14ac:dyDescent="0.25">
      <c r="A606" s="2" t="s">
        <v>34</v>
      </c>
      <c r="B606" s="3" t="s">
        <v>5</v>
      </c>
      <c r="C606" s="3" t="s">
        <v>51</v>
      </c>
      <c r="D606" s="3">
        <v>1806208.875</v>
      </c>
    </row>
    <row r="607" spans="1:4" x14ac:dyDescent="0.25">
      <c r="A607" s="5" t="s">
        <v>34</v>
      </c>
      <c r="B607" s="6" t="s">
        <v>5</v>
      </c>
      <c r="C607" s="6" t="s">
        <v>52</v>
      </c>
      <c r="D607" s="6">
        <v>1860490</v>
      </c>
    </row>
    <row r="608" spans="1:4" x14ac:dyDescent="0.25">
      <c r="A608" s="2" t="s">
        <v>34</v>
      </c>
      <c r="B608" s="3" t="s">
        <v>5</v>
      </c>
      <c r="C608" s="3" t="s">
        <v>53</v>
      </c>
      <c r="D608" s="3">
        <v>1855124</v>
      </c>
    </row>
    <row r="609" spans="1:4" x14ac:dyDescent="0.25">
      <c r="A609" s="5" t="s">
        <v>34</v>
      </c>
      <c r="B609" s="6" t="s">
        <v>5</v>
      </c>
      <c r="C609" s="6" t="s">
        <v>54</v>
      </c>
      <c r="D609" s="6">
        <v>1873000.25</v>
      </c>
    </row>
    <row r="610" spans="1:4" x14ac:dyDescent="0.25">
      <c r="A610" s="5" t="s">
        <v>34</v>
      </c>
      <c r="B610" s="6" t="s">
        <v>5</v>
      </c>
      <c r="C610" s="6" t="s">
        <v>55</v>
      </c>
      <c r="D610" s="6">
        <v>1901363.625</v>
      </c>
    </row>
    <row r="611" spans="1:4" x14ac:dyDescent="0.25">
      <c r="A611" s="5" t="s">
        <v>34</v>
      </c>
      <c r="B611" s="6" t="s">
        <v>5</v>
      </c>
      <c r="C611" s="6" t="s">
        <v>56</v>
      </c>
      <c r="D611" s="6">
        <v>1864545.125</v>
      </c>
    </row>
    <row r="612" spans="1:4" x14ac:dyDescent="0.25">
      <c r="A612" s="5" t="s">
        <v>34</v>
      </c>
      <c r="B612" s="6" t="s">
        <v>5</v>
      </c>
      <c r="C612" s="6" t="s">
        <v>57</v>
      </c>
      <c r="D612" s="6">
        <v>1935172.375</v>
      </c>
    </row>
    <row r="613" spans="1:4" x14ac:dyDescent="0.25">
      <c r="A613" s="5" t="s">
        <v>34</v>
      </c>
      <c r="B613" s="6" t="s">
        <v>5</v>
      </c>
      <c r="C613" s="6" t="s">
        <v>58</v>
      </c>
      <c r="D613" s="6">
        <v>1964286.625</v>
      </c>
    </row>
    <row r="614" spans="1:4" x14ac:dyDescent="0.25">
      <c r="A614" s="5" t="s">
        <v>34</v>
      </c>
      <c r="B614" s="6" t="s">
        <v>5</v>
      </c>
      <c r="C614" s="6" t="s">
        <v>59</v>
      </c>
      <c r="D614" s="6">
        <v>1942813</v>
      </c>
    </row>
    <row r="615" spans="1:4" x14ac:dyDescent="0.25">
      <c r="A615" s="5" t="s">
        <v>34</v>
      </c>
      <c r="B615" s="6" t="s">
        <v>5</v>
      </c>
      <c r="C615" s="6" t="s">
        <v>60</v>
      </c>
      <c r="D615" s="6">
        <v>1952661.125</v>
      </c>
    </row>
    <row r="616" spans="1:4" x14ac:dyDescent="0.25">
      <c r="A616" s="5" t="s">
        <v>34</v>
      </c>
      <c r="B616" s="6" t="s">
        <v>5</v>
      </c>
      <c r="C616" s="6" t="s">
        <v>61</v>
      </c>
      <c r="D616" s="6">
        <v>1873867.125</v>
      </c>
    </row>
    <row r="617" spans="1:4" x14ac:dyDescent="0.25">
      <c r="A617" s="5" t="s">
        <v>34</v>
      </c>
      <c r="B617" s="6" t="s">
        <v>5</v>
      </c>
      <c r="C617" s="6" t="s">
        <v>62</v>
      </c>
      <c r="D617" s="6">
        <v>1818894.875</v>
      </c>
    </row>
    <row r="618" spans="1:4" x14ac:dyDescent="0.25">
      <c r="A618" s="5" t="s">
        <v>34</v>
      </c>
      <c r="B618" s="6" t="s">
        <v>5</v>
      </c>
      <c r="C618" s="6" t="s">
        <v>63</v>
      </c>
      <c r="D618" s="6">
        <v>1899240.375</v>
      </c>
    </row>
    <row r="619" spans="1:4" x14ac:dyDescent="0.25">
      <c r="A619" s="5" t="s">
        <v>34</v>
      </c>
      <c r="B619" s="6" t="s">
        <v>5</v>
      </c>
      <c r="C619" s="6" t="s">
        <v>64</v>
      </c>
      <c r="D619" s="6">
        <v>1956335.875</v>
      </c>
    </row>
    <row r="620" spans="1:4" x14ac:dyDescent="0.25">
      <c r="A620" s="5" t="s">
        <v>34</v>
      </c>
      <c r="B620" s="6" t="s">
        <v>5</v>
      </c>
      <c r="C620" s="6" t="s">
        <v>65</v>
      </c>
      <c r="D620" s="6">
        <v>1950715.625</v>
      </c>
    </row>
    <row r="621" spans="1:4" x14ac:dyDescent="0.25">
      <c r="A621" s="5" t="s">
        <v>34</v>
      </c>
      <c r="B621" s="6" t="s">
        <v>5</v>
      </c>
      <c r="C621" s="6" t="s">
        <v>66</v>
      </c>
      <c r="D621" s="6">
        <v>1969524.75</v>
      </c>
    </row>
    <row r="622" spans="1:4" x14ac:dyDescent="0.25">
      <c r="A622" s="5" t="s">
        <v>14</v>
      </c>
      <c r="B622" s="6" t="s">
        <v>5</v>
      </c>
      <c r="C622" s="6" t="s">
        <v>36</v>
      </c>
      <c r="D622" s="6">
        <v>21931348</v>
      </c>
    </row>
    <row r="623" spans="1:4" x14ac:dyDescent="0.25">
      <c r="A623" s="2" t="s">
        <v>14</v>
      </c>
      <c r="B623" s="3" t="s">
        <v>5</v>
      </c>
      <c r="C623" s="3" t="s">
        <v>37</v>
      </c>
      <c r="D623" s="3">
        <v>21053440</v>
      </c>
    </row>
    <row r="624" spans="1:4" x14ac:dyDescent="0.25">
      <c r="A624" s="5" t="s">
        <v>14</v>
      </c>
      <c r="B624" s="6" t="s">
        <v>5</v>
      </c>
      <c r="C624" s="6" t="s">
        <v>38</v>
      </c>
      <c r="D624" s="6">
        <v>20446930</v>
      </c>
    </row>
    <row r="625" spans="1:4" x14ac:dyDescent="0.25">
      <c r="A625" s="2" t="s">
        <v>14</v>
      </c>
      <c r="B625" s="3" t="s">
        <v>5</v>
      </c>
      <c r="C625" s="3" t="s">
        <v>39</v>
      </c>
      <c r="D625" s="3">
        <v>21341990</v>
      </c>
    </row>
    <row r="626" spans="1:4" x14ac:dyDescent="0.25">
      <c r="A626" s="5" t="s">
        <v>14</v>
      </c>
      <c r="B626" s="6" t="s">
        <v>5</v>
      </c>
      <c r="C626" s="6" t="s">
        <v>40</v>
      </c>
      <c r="D626" s="6">
        <v>21969066</v>
      </c>
    </row>
    <row r="627" spans="1:4" x14ac:dyDescent="0.25">
      <c r="A627" s="2" t="s">
        <v>14</v>
      </c>
      <c r="B627" s="3" t="s">
        <v>5</v>
      </c>
      <c r="C627" s="3" t="s">
        <v>41</v>
      </c>
      <c r="D627" s="3">
        <v>21896232</v>
      </c>
    </row>
    <row r="628" spans="1:4" x14ac:dyDescent="0.25">
      <c r="A628" s="5" t="s">
        <v>14</v>
      </c>
      <c r="B628" s="6" t="s">
        <v>5</v>
      </c>
      <c r="C628" s="6" t="s">
        <v>42</v>
      </c>
      <c r="D628" s="6">
        <v>22097418</v>
      </c>
    </row>
    <row r="629" spans="1:4" x14ac:dyDescent="0.25">
      <c r="A629" s="2" t="s">
        <v>14</v>
      </c>
      <c r="B629" s="3" t="s">
        <v>5</v>
      </c>
      <c r="C629" s="3" t="s">
        <v>43</v>
      </c>
      <c r="D629" s="3">
        <v>19858278</v>
      </c>
    </row>
    <row r="630" spans="1:4" x14ac:dyDescent="0.25">
      <c r="A630" s="5" t="s">
        <v>14</v>
      </c>
      <c r="B630" s="6" t="s">
        <v>5</v>
      </c>
      <c r="C630" s="6" t="s">
        <v>44</v>
      </c>
      <c r="D630" s="6">
        <v>19465450</v>
      </c>
    </row>
    <row r="631" spans="1:4" x14ac:dyDescent="0.25">
      <c r="A631" s="2" t="s">
        <v>14</v>
      </c>
      <c r="B631" s="3" t="s">
        <v>5</v>
      </c>
      <c r="C631" s="3" t="s">
        <v>45</v>
      </c>
      <c r="D631" s="3">
        <v>20205060</v>
      </c>
    </row>
    <row r="632" spans="1:4" x14ac:dyDescent="0.25">
      <c r="A632" s="5" t="s">
        <v>14</v>
      </c>
      <c r="B632" s="6" t="s">
        <v>5</v>
      </c>
      <c r="C632" s="6" t="s">
        <v>46</v>
      </c>
      <c r="D632" s="6">
        <v>20525664</v>
      </c>
    </row>
    <row r="633" spans="1:4" x14ac:dyDescent="0.25">
      <c r="A633" s="2" t="s">
        <v>14</v>
      </c>
      <c r="B633" s="3" t="s">
        <v>5</v>
      </c>
      <c r="C633" s="3" t="s">
        <v>47</v>
      </c>
      <c r="D633" s="3">
        <v>20306958</v>
      </c>
    </row>
    <row r="634" spans="1:4" x14ac:dyDescent="0.25">
      <c r="A634" s="5" t="s">
        <v>14</v>
      </c>
      <c r="B634" s="6" t="s">
        <v>5</v>
      </c>
      <c r="C634" s="6" t="s">
        <v>48</v>
      </c>
      <c r="D634" s="6">
        <v>20414814</v>
      </c>
    </row>
    <row r="635" spans="1:4" x14ac:dyDescent="0.25">
      <c r="A635" s="2" t="s">
        <v>14</v>
      </c>
      <c r="B635" s="3" t="s">
        <v>5</v>
      </c>
      <c r="C635" s="3" t="s">
        <v>49</v>
      </c>
      <c r="D635" s="3">
        <v>19598876</v>
      </c>
    </row>
    <row r="636" spans="1:4" x14ac:dyDescent="0.25">
      <c r="A636" s="5" t="s">
        <v>14</v>
      </c>
      <c r="B636" s="6" t="s">
        <v>5</v>
      </c>
      <c r="C636" s="6" t="s">
        <v>50</v>
      </c>
      <c r="D636" s="6">
        <v>19035518</v>
      </c>
    </row>
    <row r="637" spans="1:4" x14ac:dyDescent="0.25">
      <c r="A637" s="2" t="s">
        <v>14</v>
      </c>
      <c r="B637" s="3" t="s">
        <v>5</v>
      </c>
      <c r="C637" s="3" t="s">
        <v>51</v>
      </c>
      <c r="D637" s="3">
        <v>19867708</v>
      </c>
    </row>
    <row r="638" spans="1:4" x14ac:dyDescent="0.25">
      <c r="A638" s="5" t="s">
        <v>14</v>
      </c>
      <c r="B638" s="6" t="s">
        <v>5</v>
      </c>
      <c r="C638" s="6" t="s">
        <v>52</v>
      </c>
      <c r="D638" s="6">
        <v>20449680</v>
      </c>
    </row>
    <row r="639" spans="1:4" x14ac:dyDescent="0.25">
      <c r="A639" s="2" t="s">
        <v>14</v>
      </c>
      <c r="B639" s="3" t="s">
        <v>5</v>
      </c>
      <c r="C639" s="3" t="s">
        <v>53</v>
      </c>
      <c r="D639" s="3">
        <v>20380672</v>
      </c>
    </row>
    <row r="640" spans="1:4" x14ac:dyDescent="0.25">
      <c r="A640" s="5" t="s">
        <v>14</v>
      </c>
      <c r="B640" s="6" t="s">
        <v>5</v>
      </c>
      <c r="C640" s="6" t="s">
        <v>54</v>
      </c>
      <c r="D640" s="6">
        <v>20567306</v>
      </c>
    </row>
    <row r="641" spans="1:4" x14ac:dyDescent="0.25">
      <c r="A641" s="2" t="s">
        <v>14</v>
      </c>
      <c r="B641" s="3" t="s">
        <v>5</v>
      </c>
      <c r="C641" s="3" t="s">
        <v>55</v>
      </c>
      <c r="D641" s="3">
        <v>19418672</v>
      </c>
    </row>
    <row r="642" spans="1:4" x14ac:dyDescent="0.25">
      <c r="A642" s="2" t="s">
        <v>14</v>
      </c>
      <c r="B642" s="3" t="s">
        <v>5</v>
      </c>
      <c r="C642" s="3" t="s">
        <v>56</v>
      </c>
      <c r="D642" s="3">
        <v>19034028</v>
      </c>
    </row>
    <row r="643" spans="1:4" x14ac:dyDescent="0.25">
      <c r="A643" s="2" t="s">
        <v>14</v>
      </c>
      <c r="B643" s="3" t="s">
        <v>5</v>
      </c>
      <c r="C643" s="3" t="s">
        <v>57</v>
      </c>
      <c r="D643" s="3">
        <v>19757892</v>
      </c>
    </row>
    <row r="644" spans="1:4" x14ac:dyDescent="0.25">
      <c r="A644" s="2" t="s">
        <v>14</v>
      </c>
      <c r="B644" s="3" t="s">
        <v>5</v>
      </c>
      <c r="C644" s="3" t="s">
        <v>58</v>
      </c>
      <c r="D644" s="3">
        <v>20072312</v>
      </c>
    </row>
    <row r="645" spans="1:4" x14ac:dyDescent="0.25">
      <c r="A645" s="2" t="s">
        <v>14</v>
      </c>
      <c r="B645" s="3" t="s">
        <v>5</v>
      </c>
      <c r="C645" s="3" t="s">
        <v>59</v>
      </c>
      <c r="D645" s="3">
        <v>19859066</v>
      </c>
    </row>
    <row r="646" spans="1:4" x14ac:dyDescent="0.25">
      <c r="A646" s="2" t="s">
        <v>14</v>
      </c>
      <c r="B646" s="3" t="s">
        <v>5</v>
      </c>
      <c r="C646" s="3" t="s">
        <v>60</v>
      </c>
      <c r="D646" s="3">
        <v>19964976</v>
      </c>
    </row>
    <row r="647" spans="1:4" x14ac:dyDescent="0.25">
      <c r="A647" s="2" t="s">
        <v>14</v>
      </c>
      <c r="B647" s="3" t="s">
        <v>5</v>
      </c>
      <c r="C647" s="3" t="s">
        <v>61</v>
      </c>
      <c r="D647" s="3">
        <v>19167442</v>
      </c>
    </row>
    <row r="648" spans="1:4" x14ac:dyDescent="0.25">
      <c r="A648" s="2" t="s">
        <v>14</v>
      </c>
      <c r="B648" s="3" t="s">
        <v>5</v>
      </c>
      <c r="C648" s="3" t="s">
        <v>62</v>
      </c>
      <c r="D648" s="3">
        <v>18617428</v>
      </c>
    </row>
    <row r="649" spans="1:4" x14ac:dyDescent="0.25">
      <c r="A649" s="2" t="s">
        <v>14</v>
      </c>
      <c r="B649" s="3" t="s">
        <v>5</v>
      </c>
      <c r="C649" s="3" t="s">
        <v>63</v>
      </c>
      <c r="D649" s="3">
        <v>19431002</v>
      </c>
    </row>
    <row r="650" spans="1:4" x14ac:dyDescent="0.25">
      <c r="A650" s="2" t="s">
        <v>14</v>
      </c>
      <c r="B650" s="3" t="s">
        <v>5</v>
      </c>
      <c r="C650" s="3" t="s">
        <v>64</v>
      </c>
      <c r="D650" s="3">
        <v>19998666</v>
      </c>
    </row>
    <row r="651" spans="1:4" x14ac:dyDescent="0.25">
      <c r="A651" s="2" t="s">
        <v>14</v>
      </c>
      <c r="B651" s="3" t="s">
        <v>5</v>
      </c>
      <c r="C651" s="3" t="s">
        <v>65</v>
      </c>
      <c r="D651" s="3">
        <v>19930438</v>
      </c>
    </row>
    <row r="652" spans="1:4" x14ac:dyDescent="0.25">
      <c r="A652" s="2" t="s">
        <v>14</v>
      </c>
      <c r="B652" s="3" t="s">
        <v>5</v>
      </c>
      <c r="C652" s="3" t="s">
        <v>66</v>
      </c>
      <c r="D652" s="3">
        <v>20112592</v>
      </c>
    </row>
    <row r="653" spans="1:4" x14ac:dyDescent="0.25">
      <c r="A653" s="2" t="s">
        <v>15</v>
      </c>
      <c r="B653" s="3" t="s">
        <v>5</v>
      </c>
      <c r="C653" s="3" t="s">
        <v>36</v>
      </c>
      <c r="D653" s="3">
        <v>2367494.25</v>
      </c>
    </row>
    <row r="654" spans="1:4" x14ac:dyDescent="0.25">
      <c r="A654" s="5" t="s">
        <v>15</v>
      </c>
      <c r="B654" s="6" t="s">
        <v>5</v>
      </c>
      <c r="C654" s="6" t="s">
        <v>37</v>
      </c>
      <c r="D654" s="6">
        <v>2275546.75</v>
      </c>
    </row>
    <row r="655" spans="1:4" x14ac:dyDescent="0.25">
      <c r="A655" s="2" t="s">
        <v>15</v>
      </c>
      <c r="B655" s="3" t="s">
        <v>5</v>
      </c>
      <c r="C655" s="3" t="s">
        <v>38</v>
      </c>
      <c r="D655" s="3">
        <v>2213754</v>
      </c>
    </row>
    <row r="656" spans="1:4" x14ac:dyDescent="0.25">
      <c r="A656" s="5" t="s">
        <v>15</v>
      </c>
      <c r="B656" s="6" t="s">
        <v>5</v>
      </c>
      <c r="C656" s="6" t="s">
        <v>39</v>
      </c>
      <c r="D656" s="6">
        <v>2308555.25</v>
      </c>
    </row>
    <row r="657" spans="1:4" x14ac:dyDescent="0.25">
      <c r="A657" s="2" t="s">
        <v>15</v>
      </c>
      <c r="B657" s="3" t="s">
        <v>5</v>
      </c>
      <c r="C657" s="3" t="s">
        <v>40</v>
      </c>
      <c r="D657" s="3">
        <v>2370908.25</v>
      </c>
    </row>
    <row r="658" spans="1:4" x14ac:dyDescent="0.25">
      <c r="A658" s="5" t="s">
        <v>15</v>
      </c>
      <c r="B658" s="6" t="s">
        <v>5</v>
      </c>
      <c r="C658" s="6" t="s">
        <v>41</v>
      </c>
      <c r="D658" s="6">
        <v>2359509.5</v>
      </c>
    </row>
    <row r="659" spans="1:4" x14ac:dyDescent="0.25">
      <c r="A659" s="2" t="s">
        <v>15</v>
      </c>
      <c r="B659" s="3" t="s">
        <v>5</v>
      </c>
      <c r="C659" s="3" t="s">
        <v>42</v>
      </c>
      <c r="D659" s="3">
        <v>2379640.25</v>
      </c>
    </row>
    <row r="660" spans="1:4" x14ac:dyDescent="0.25">
      <c r="A660" s="5" t="s">
        <v>15</v>
      </c>
      <c r="B660" s="6" t="s">
        <v>5</v>
      </c>
      <c r="C660" s="6" t="s">
        <v>43</v>
      </c>
      <c r="D660" s="6">
        <v>2310906.25</v>
      </c>
    </row>
    <row r="661" spans="1:4" x14ac:dyDescent="0.25">
      <c r="A661" s="2" t="s">
        <v>15</v>
      </c>
      <c r="B661" s="3" t="s">
        <v>5</v>
      </c>
      <c r="C661" s="3" t="s">
        <v>44</v>
      </c>
      <c r="D661" s="3">
        <v>2262858</v>
      </c>
    </row>
    <row r="662" spans="1:4" x14ac:dyDescent="0.25">
      <c r="A662" s="5" t="s">
        <v>15</v>
      </c>
      <c r="B662" s="6" t="s">
        <v>5</v>
      </c>
      <c r="C662" s="6" t="s">
        <v>45</v>
      </c>
      <c r="D662" s="6">
        <v>2350670</v>
      </c>
    </row>
    <row r="663" spans="1:4" x14ac:dyDescent="0.25">
      <c r="A663" s="2" t="s">
        <v>15</v>
      </c>
      <c r="B663" s="3" t="s">
        <v>5</v>
      </c>
      <c r="C663" s="3" t="s">
        <v>46</v>
      </c>
      <c r="D663" s="3">
        <v>2392203.75</v>
      </c>
    </row>
    <row r="664" spans="1:4" x14ac:dyDescent="0.25">
      <c r="A664" s="5" t="s">
        <v>15</v>
      </c>
      <c r="B664" s="6" t="s">
        <v>5</v>
      </c>
      <c r="C664" s="6" t="s">
        <v>47</v>
      </c>
      <c r="D664" s="6">
        <v>2368620.75</v>
      </c>
    </row>
    <row r="665" spans="1:4" x14ac:dyDescent="0.25">
      <c r="A665" s="2" t="s">
        <v>15</v>
      </c>
      <c r="B665" s="3" t="s">
        <v>5</v>
      </c>
      <c r="C665" s="3" t="s">
        <v>48</v>
      </c>
      <c r="D665" s="3">
        <v>2382546.25</v>
      </c>
    </row>
    <row r="666" spans="1:4" x14ac:dyDescent="0.25">
      <c r="A666" s="5" t="s">
        <v>15</v>
      </c>
      <c r="B666" s="6" t="s">
        <v>5</v>
      </c>
      <c r="C666" s="6" t="s">
        <v>49</v>
      </c>
      <c r="D666" s="6">
        <v>2290005.5</v>
      </c>
    </row>
    <row r="667" spans="1:4" x14ac:dyDescent="0.25">
      <c r="A667" s="2" t="s">
        <v>15</v>
      </c>
      <c r="B667" s="3" t="s">
        <v>5</v>
      </c>
      <c r="C667" s="3" t="s">
        <v>50</v>
      </c>
      <c r="D667" s="3">
        <v>2227763.25</v>
      </c>
    </row>
    <row r="668" spans="1:4" x14ac:dyDescent="0.25">
      <c r="A668" s="5" t="s">
        <v>15</v>
      </c>
      <c r="B668" s="6" t="s">
        <v>5</v>
      </c>
      <c r="C668" s="6" t="s">
        <v>51</v>
      </c>
      <c r="D668" s="6">
        <v>2323161</v>
      </c>
    </row>
    <row r="669" spans="1:4" x14ac:dyDescent="0.25">
      <c r="A669" s="2" t="s">
        <v>15</v>
      </c>
      <c r="B669" s="3" t="s">
        <v>5</v>
      </c>
      <c r="C669" s="3" t="s">
        <v>52</v>
      </c>
      <c r="D669" s="3">
        <v>2385998.25</v>
      </c>
    </row>
    <row r="670" spans="1:4" x14ac:dyDescent="0.25">
      <c r="A670" s="5" t="s">
        <v>15</v>
      </c>
      <c r="B670" s="6" t="s">
        <v>5</v>
      </c>
      <c r="C670" s="6" t="s">
        <v>53</v>
      </c>
      <c r="D670" s="6">
        <v>2374574.75</v>
      </c>
    </row>
    <row r="671" spans="1:4" x14ac:dyDescent="0.25">
      <c r="A671" s="2" t="s">
        <v>15</v>
      </c>
      <c r="B671" s="3" t="s">
        <v>5</v>
      </c>
      <c r="C671" s="3" t="s">
        <v>54</v>
      </c>
      <c r="D671" s="3">
        <v>2394858.75</v>
      </c>
    </row>
    <row r="672" spans="1:4" x14ac:dyDescent="0.25">
      <c r="A672" s="5" t="s">
        <v>15</v>
      </c>
      <c r="B672" s="6" t="s">
        <v>5</v>
      </c>
      <c r="C672" s="6" t="s">
        <v>55</v>
      </c>
      <c r="D672" s="6">
        <v>2074346.25</v>
      </c>
    </row>
    <row r="673" spans="1:4" x14ac:dyDescent="0.25">
      <c r="A673" s="5" t="s">
        <v>15</v>
      </c>
      <c r="B673" s="6" t="s">
        <v>5</v>
      </c>
      <c r="C673" s="6" t="s">
        <v>56</v>
      </c>
      <c r="D673" s="6">
        <v>2030764.875</v>
      </c>
    </row>
    <row r="674" spans="1:4" x14ac:dyDescent="0.25">
      <c r="A674" s="5" t="s">
        <v>15</v>
      </c>
      <c r="B674" s="6" t="s">
        <v>5</v>
      </c>
      <c r="C674" s="6" t="s">
        <v>57</v>
      </c>
      <c r="D674" s="6">
        <v>2109951</v>
      </c>
    </row>
    <row r="675" spans="1:4" x14ac:dyDescent="0.25">
      <c r="A675" s="5" t="s">
        <v>15</v>
      </c>
      <c r="B675" s="6" t="s">
        <v>5</v>
      </c>
      <c r="C675" s="6" t="s">
        <v>58</v>
      </c>
      <c r="D675" s="6">
        <v>2148077.5</v>
      </c>
    </row>
    <row r="676" spans="1:4" x14ac:dyDescent="0.25">
      <c r="A676" s="5" t="s">
        <v>15</v>
      </c>
      <c r="B676" s="6" t="s">
        <v>5</v>
      </c>
      <c r="C676" s="6" t="s">
        <v>59</v>
      </c>
      <c r="D676" s="6">
        <v>2127302.5</v>
      </c>
    </row>
    <row r="677" spans="1:4" x14ac:dyDescent="0.25">
      <c r="A677" s="5" t="s">
        <v>15</v>
      </c>
      <c r="B677" s="6" t="s">
        <v>5</v>
      </c>
      <c r="C677" s="6" t="s">
        <v>60</v>
      </c>
      <c r="D677" s="6">
        <v>2140112.5</v>
      </c>
    </row>
    <row r="678" spans="1:4" x14ac:dyDescent="0.25">
      <c r="A678" s="5" t="s">
        <v>15</v>
      </c>
      <c r="B678" s="6" t="s">
        <v>5</v>
      </c>
      <c r="C678" s="6" t="s">
        <v>61</v>
      </c>
      <c r="D678" s="6">
        <v>2057429.5</v>
      </c>
    </row>
    <row r="679" spans="1:4" x14ac:dyDescent="0.25">
      <c r="A679" s="5" t="s">
        <v>15</v>
      </c>
      <c r="B679" s="6" t="s">
        <v>5</v>
      </c>
      <c r="C679" s="6" t="s">
        <v>62</v>
      </c>
      <c r="D679" s="6">
        <v>2002229</v>
      </c>
    </row>
    <row r="680" spans="1:4" x14ac:dyDescent="0.25">
      <c r="A680" s="5" t="s">
        <v>15</v>
      </c>
      <c r="B680" s="6" t="s">
        <v>5</v>
      </c>
      <c r="C680" s="6" t="s">
        <v>63</v>
      </c>
      <c r="D680" s="6">
        <v>2087602.625</v>
      </c>
    </row>
    <row r="681" spans="1:4" x14ac:dyDescent="0.25">
      <c r="A681" s="5" t="s">
        <v>15</v>
      </c>
      <c r="B681" s="6" t="s">
        <v>5</v>
      </c>
      <c r="C681" s="6" t="s">
        <v>64</v>
      </c>
      <c r="D681" s="6">
        <v>2143009</v>
      </c>
    </row>
    <row r="682" spans="1:4" x14ac:dyDescent="0.25">
      <c r="A682" s="5" t="s">
        <v>15</v>
      </c>
      <c r="B682" s="6" t="s">
        <v>5</v>
      </c>
      <c r="C682" s="6" t="s">
        <v>65</v>
      </c>
      <c r="D682" s="6">
        <v>2132104.5</v>
      </c>
    </row>
    <row r="683" spans="1:4" x14ac:dyDescent="0.25">
      <c r="A683" s="5" t="s">
        <v>15</v>
      </c>
      <c r="B683" s="6" t="s">
        <v>5</v>
      </c>
      <c r="C683" s="6" t="s">
        <v>66</v>
      </c>
      <c r="D683" s="6">
        <v>2149948.5</v>
      </c>
    </row>
    <row r="684" spans="1:4" x14ac:dyDescent="0.25">
      <c r="A684" s="2" t="s">
        <v>33</v>
      </c>
      <c r="B684" s="3" t="s">
        <v>5</v>
      </c>
      <c r="C684" s="3" t="s">
        <v>36</v>
      </c>
      <c r="D684" s="3">
        <v>2401168.25</v>
      </c>
    </row>
    <row r="685" spans="1:4" x14ac:dyDescent="0.25">
      <c r="A685" s="5" t="s">
        <v>33</v>
      </c>
      <c r="B685" s="6" t="s">
        <v>5</v>
      </c>
      <c r="C685" s="6" t="s">
        <v>37</v>
      </c>
      <c r="D685" s="6">
        <v>2306692.5</v>
      </c>
    </row>
    <row r="686" spans="1:4" x14ac:dyDescent="0.25">
      <c r="A686" s="2" t="s">
        <v>33</v>
      </c>
      <c r="B686" s="3" t="s">
        <v>5</v>
      </c>
      <c r="C686" s="3" t="s">
        <v>38</v>
      </c>
      <c r="D686" s="3">
        <v>2241904</v>
      </c>
    </row>
    <row r="687" spans="1:4" x14ac:dyDescent="0.25">
      <c r="A687" s="5" t="s">
        <v>33</v>
      </c>
      <c r="B687" s="6" t="s">
        <v>5</v>
      </c>
      <c r="C687" s="6" t="s">
        <v>39</v>
      </c>
      <c r="D687" s="6">
        <v>2339068.5</v>
      </c>
    </row>
    <row r="688" spans="1:4" x14ac:dyDescent="0.25">
      <c r="A688" s="2" t="s">
        <v>33</v>
      </c>
      <c r="B688" s="3" t="s">
        <v>5</v>
      </c>
      <c r="C688" s="3" t="s">
        <v>40</v>
      </c>
      <c r="D688" s="3">
        <v>2405569.5</v>
      </c>
    </row>
    <row r="689" spans="1:4" x14ac:dyDescent="0.25">
      <c r="A689" s="5" t="s">
        <v>33</v>
      </c>
      <c r="B689" s="6" t="s">
        <v>5</v>
      </c>
      <c r="C689" s="6" t="s">
        <v>41</v>
      </c>
      <c r="D689" s="6">
        <v>2395700.25</v>
      </c>
    </row>
    <row r="690" spans="1:4" x14ac:dyDescent="0.25">
      <c r="A690" s="2" t="s">
        <v>33</v>
      </c>
      <c r="B690" s="3" t="s">
        <v>5</v>
      </c>
      <c r="C690" s="3" t="s">
        <v>42</v>
      </c>
      <c r="D690" s="3">
        <v>2416961</v>
      </c>
    </row>
    <row r="691" spans="1:4" x14ac:dyDescent="0.25">
      <c r="A691" s="5" t="s">
        <v>33</v>
      </c>
      <c r="B691" s="6" t="s">
        <v>5</v>
      </c>
      <c r="C691" s="6" t="s">
        <v>43</v>
      </c>
      <c r="D691" s="6">
        <v>2283541.75</v>
      </c>
    </row>
    <row r="692" spans="1:4" x14ac:dyDescent="0.25">
      <c r="A692" s="2" t="s">
        <v>33</v>
      </c>
      <c r="B692" s="3" t="s">
        <v>5</v>
      </c>
      <c r="C692" s="3" t="s">
        <v>44</v>
      </c>
      <c r="D692" s="3">
        <v>2238070.75</v>
      </c>
    </row>
    <row r="693" spans="1:4" x14ac:dyDescent="0.25">
      <c r="A693" s="5" t="s">
        <v>33</v>
      </c>
      <c r="B693" s="6" t="s">
        <v>5</v>
      </c>
      <c r="C693" s="6" t="s">
        <v>45</v>
      </c>
      <c r="D693" s="6">
        <v>2323656.25</v>
      </c>
    </row>
    <row r="694" spans="1:4" x14ac:dyDescent="0.25">
      <c r="A694" s="2" t="s">
        <v>33</v>
      </c>
      <c r="B694" s="3" t="s">
        <v>5</v>
      </c>
      <c r="C694" s="3" t="s">
        <v>46</v>
      </c>
      <c r="D694" s="3">
        <v>2361898.25</v>
      </c>
    </row>
    <row r="695" spans="1:4" x14ac:dyDescent="0.25">
      <c r="A695" s="5" t="s">
        <v>33</v>
      </c>
      <c r="B695" s="6" t="s">
        <v>5</v>
      </c>
      <c r="C695" s="6" t="s">
        <v>47</v>
      </c>
      <c r="D695" s="6">
        <v>2337047.25</v>
      </c>
    </row>
    <row r="696" spans="1:4" x14ac:dyDescent="0.25">
      <c r="A696" s="2" t="s">
        <v>33</v>
      </c>
      <c r="B696" s="3" t="s">
        <v>5</v>
      </c>
      <c r="C696" s="3" t="s">
        <v>48</v>
      </c>
      <c r="D696" s="3">
        <v>2349844.75</v>
      </c>
    </row>
    <row r="697" spans="1:4" x14ac:dyDescent="0.25">
      <c r="A697" s="5" t="s">
        <v>33</v>
      </c>
      <c r="B697" s="6" t="s">
        <v>5</v>
      </c>
      <c r="C697" s="6" t="s">
        <v>49</v>
      </c>
      <c r="D697" s="6">
        <v>2257483</v>
      </c>
    </row>
    <row r="698" spans="1:4" x14ac:dyDescent="0.25">
      <c r="A698" s="2" t="s">
        <v>33</v>
      </c>
      <c r="B698" s="3" t="s">
        <v>5</v>
      </c>
      <c r="C698" s="3" t="s">
        <v>50</v>
      </c>
      <c r="D698" s="3">
        <v>2194139</v>
      </c>
    </row>
    <row r="699" spans="1:4" x14ac:dyDescent="0.25">
      <c r="A699" s="5" t="s">
        <v>33</v>
      </c>
      <c r="B699" s="6" t="s">
        <v>5</v>
      </c>
      <c r="C699" s="6" t="s">
        <v>51</v>
      </c>
      <c r="D699" s="6">
        <v>2289155</v>
      </c>
    </row>
    <row r="700" spans="1:4" x14ac:dyDescent="0.25">
      <c r="A700" s="2" t="s">
        <v>33</v>
      </c>
      <c r="B700" s="3" t="s">
        <v>5</v>
      </c>
      <c r="C700" s="3" t="s">
        <v>52</v>
      </c>
      <c r="D700" s="3">
        <v>2354154</v>
      </c>
    </row>
    <row r="701" spans="1:4" x14ac:dyDescent="0.25">
      <c r="A701" s="5" t="s">
        <v>33</v>
      </c>
      <c r="B701" s="6" t="s">
        <v>5</v>
      </c>
      <c r="C701" s="6" t="s">
        <v>53</v>
      </c>
      <c r="D701" s="6">
        <v>2344424.25</v>
      </c>
    </row>
    <row r="702" spans="1:4" x14ac:dyDescent="0.25">
      <c r="A702" s="2" t="s">
        <v>33</v>
      </c>
      <c r="B702" s="3" t="s">
        <v>5</v>
      </c>
      <c r="C702" s="3" t="s">
        <v>54</v>
      </c>
      <c r="D702" s="3">
        <v>2365201.25</v>
      </c>
    </row>
    <row r="703" spans="1:4" x14ac:dyDescent="0.25">
      <c r="A703" s="2" t="s">
        <v>33</v>
      </c>
      <c r="B703" s="3" t="s">
        <v>5</v>
      </c>
      <c r="C703" s="3" t="s">
        <v>55</v>
      </c>
      <c r="D703" s="3">
        <v>2632127.25</v>
      </c>
    </row>
    <row r="704" spans="1:4" x14ac:dyDescent="0.25">
      <c r="A704" s="2" t="s">
        <v>33</v>
      </c>
      <c r="B704" s="3" t="s">
        <v>5</v>
      </c>
      <c r="C704" s="3" t="s">
        <v>56</v>
      </c>
      <c r="D704" s="3">
        <v>2579861</v>
      </c>
    </row>
    <row r="705" spans="1:4" x14ac:dyDescent="0.25">
      <c r="A705" s="2" t="s">
        <v>33</v>
      </c>
      <c r="B705" s="3" t="s">
        <v>5</v>
      </c>
      <c r="C705" s="3" t="s">
        <v>57</v>
      </c>
      <c r="D705" s="3">
        <v>2678475.5</v>
      </c>
    </row>
    <row r="706" spans="1:4" x14ac:dyDescent="0.25">
      <c r="A706" s="2" t="s">
        <v>33</v>
      </c>
      <c r="B706" s="3" t="s">
        <v>5</v>
      </c>
      <c r="C706" s="3" t="s">
        <v>58</v>
      </c>
      <c r="D706" s="3">
        <v>2722062</v>
      </c>
    </row>
    <row r="707" spans="1:4" x14ac:dyDescent="0.25">
      <c r="A707" s="2" t="s">
        <v>33</v>
      </c>
      <c r="B707" s="3" t="s">
        <v>5</v>
      </c>
      <c r="C707" s="3" t="s">
        <v>59</v>
      </c>
      <c r="D707" s="3">
        <v>2693353.25</v>
      </c>
    </row>
    <row r="708" spans="1:4" x14ac:dyDescent="0.25">
      <c r="A708" s="2" t="s">
        <v>33</v>
      </c>
      <c r="B708" s="3" t="s">
        <v>5</v>
      </c>
      <c r="C708" s="3" t="s">
        <v>60</v>
      </c>
      <c r="D708" s="3">
        <v>2707994</v>
      </c>
    </row>
    <row r="709" spans="1:4" x14ac:dyDescent="0.25">
      <c r="A709" s="2" t="s">
        <v>33</v>
      </c>
      <c r="B709" s="3" t="s">
        <v>5</v>
      </c>
      <c r="C709" s="3" t="s">
        <v>61</v>
      </c>
      <c r="D709" s="3">
        <v>2601100</v>
      </c>
    </row>
    <row r="710" spans="1:4" x14ac:dyDescent="0.25">
      <c r="A710" s="2" t="s">
        <v>33</v>
      </c>
      <c r="B710" s="3" t="s">
        <v>5</v>
      </c>
      <c r="C710" s="3" t="s">
        <v>62</v>
      </c>
      <c r="D710" s="3">
        <v>2527681.25</v>
      </c>
    </row>
    <row r="711" spans="1:4" x14ac:dyDescent="0.25">
      <c r="A711" s="2" t="s">
        <v>33</v>
      </c>
      <c r="B711" s="3" t="s">
        <v>5</v>
      </c>
      <c r="C711" s="3" t="s">
        <v>63</v>
      </c>
      <c r="D711" s="3">
        <v>2637475</v>
      </c>
    </row>
    <row r="712" spans="1:4" x14ac:dyDescent="0.25">
      <c r="A712" s="2" t="s">
        <v>33</v>
      </c>
      <c r="B712" s="3" t="s">
        <v>5</v>
      </c>
      <c r="C712" s="3" t="s">
        <v>64</v>
      </c>
      <c r="D712" s="3">
        <v>2712881.75</v>
      </c>
    </row>
    <row r="713" spans="1:4" x14ac:dyDescent="0.25">
      <c r="A713" s="2" t="s">
        <v>33</v>
      </c>
      <c r="B713" s="3" t="s">
        <v>5</v>
      </c>
      <c r="C713" s="3" t="s">
        <v>65</v>
      </c>
      <c r="D713" s="3">
        <v>2702159.75</v>
      </c>
    </row>
    <row r="714" spans="1:4" x14ac:dyDescent="0.25">
      <c r="A714" s="2" t="s">
        <v>33</v>
      </c>
      <c r="B714" s="3" t="s">
        <v>5</v>
      </c>
      <c r="C714" s="3" t="s">
        <v>66</v>
      </c>
      <c r="D714" s="3">
        <v>2726410.5</v>
      </c>
    </row>
    <row r="715" spans="1:4" x14ac:dyDescent="0.25">
      <c r="A715" s="2" t="s">
        <v>4</v>
      </c>
      <c r="B715" s="3" t="s">
        <v>5</v>
      </c>
      <c r="C715" s="3" t="s">
        <v>36</v>
      </c>
      <c r="D715" s="3">
        <v>1354071.125</v>
      </c>
    </row>
    <row r="716" spans="1:4" x14ac:dyDescent="0.25">
      <c r="A716" s="5" t="s">
        <v>4</v>
      </c>
      <c r="B716" s="6" t="s">
        <v>5</v>
      </c>
      <c r="C716" s="6" t="s">
        <v>37</v>
      </c>
      <c r="D716" s="6">
        <v>1301010.375</v>
      </c>
    </row>
    <row r="717" spans="1:4" x14ac:dyDescent="0.25">
      <c r="A717" s="2" t="s">
        <v>4</v>
      </c>
      <c r="B717" s="3" t="s">
        <v>5</v>
      </c>
      <c r="C717" s="3" t="s">
        <v>38</v>
      </c>
      <c r="D717" s="3">
        <v>1264447.125</v>
      </c>
    </row>
    <row r="718" spans="1:4" x14ac:dyDescent="0.25">
      <c r="A718" s="5" t="s">
        <v>4</v>
      </c>
      <c r="B718" s="6" t="s">
        <v>5</v>
      </c>
      <c r="C718" s="6" t="s">
        <v>39</v>
      </c>
      <c r="D718" s="6">
        <v>1319082.375</v>
      </c>
    </row>
    <row r="719" spans="1:4" x14ac:dyDescent="0.25">
      <c r="A719" s="2" t="s">
        <v>4</v>
      </c>
      <c r="B719" s="3" t="s">
        <v>5</v>
      </c>
      <c r="C719" s="3" t="s">
        <v>40</v>
      </c>
      <c r="D719" s="3">
        <v>1356696.25</v>
      </c>
    </row>
    <row r="720" spans="1:4" x14ac:dyDescent="0.25">
      <c r="A720" s="5" t="s">
        <v>4</v>
      </c>
      <c r="B720" s="6" t="s">
        <v>5</v>
      </c>
      <c r="C720" s="6" t="s">
        <v>41</v>
      </c>
      <c r="D720" s="6">
        <v>1350953.5</v>
      </c>
    </row>
    <row r="721" spans="1:4" x14ac:dyDescent="0.25">
      <c r="A721" s="2" t="s">
        <v>4</v>
      </c>
      <c r="B721" s="3" t="s">
        <v>5</v>
      </c>
      <c r="C721" s="3" t="s">
        <v>42</v>
      </c>
      <c r="D721" s="3">
        <v>1362734.25</v>
      </c>
    </row>
    <row r="722" spans="1:4" x14ac:dyDescent="0.25">
      <c r="A722" s="5" t="s">
        <v>4</v>
      </c>
      <c r="B722" s="6" t="s">
        <v>5</v>
      </c>
      <c r="C722" s="6" t="s">
        <v>43</v>
      </c>
      <c r="D722" s="6">
        <v>1247000.125</v>
      </c>
    </row>
    <row r="723" spans="1:4" x14ac:dyDescent="0.25">
      <c r="A723" s="2" t="s">
        <v>4</v>
      </c>
      <c r="B723" s="3" t="s">
        <v>5</v>
      </c>
      <c r="C723" s="3" t="s">
        <v>44</v>
      </c>
      <c r="D723" s="3">
        <v>1222264.75</v>
      </c>
    </row>
    <row r="724" spans="1:4" x14ac:dyDescent="0.25">
      <c r="A724" s="5" t="s">
        <v>4</v>
      </c>
      <c r="B724" s="6" t="s">
        <v>5</v>
      </c>
      <c r="C724" s="6" t="s">
        <v>45</v>
      </c>
      <c r="D724" s="6">
        <v>1268781.625</v>
      </c>
    </row>
    <row r="725" spans="1:4" x14ac:dyDescent="0.25">
      <c r="A725" s="2" t="s">
        <v>4</v>
      </c>
      <c r="B725" s="3" t="s">
        <v>5</v>
      </c>
      <c r="C725" s="3" t="s">
        <v>46</v>
      </c>
      <c r="D725" s="3">
        <v>1289843.625</v>
      </c>
    </row>
    <row r="726" spans="1:4" x14ac:dyDescent="0.25">
      <c r="A726" s="5" t="s">
        <v>4</v>
      </c>
      <c r="B726" s="6" t="s">
        <v>5</v>
      </c>
      <c r="C726" s="6" t="s">
        <v>47</v>
      </c>
      <c r="D726" s="6">
        <v>1276142.375</v>
      </c>
    </row>
    <row r="727" spans="1:4" x14ac:dyDescent="0.25">
      <c r="A727" s="2" t="s">
        <v>4</v>
      </c>
      <c r="B727" s="3" t="s">
        <v>5</v>
      </c>
      <c r="C727" s="3" t="s">
        <v>48</v>
      </c>
      <c r="D727" s="3">
        <v>1283121</v>
      </c>
    </row>
    <row r="728" spans="1:4" x14ac:dyDescent="0.25">
      <c r="A728" s="5" t="s">
        <v>4</v>
      </c>
      <c r="B728" s="6" t="s">
        <v>5</v>
      </c>
      <c r="C728" s="6" t="s">
        <v>49</v>
      </c>
      <c r="D728" s="6">
        <v>1232977.625</v>
      </c>
    </row>
    <row r="729" spans="1:4" x14ac:dyDescent="0.25">
      <c r="A729" s="2" t="s">
        <v>4</v>
      </c>
      <c r="B729" s="3" t="s">
        <v>5</v>
      </c>
      <c r="C729" s="3" t="s">
        <v>50</v>
      </c>
      <c r="D729" s="3">
        <v>1198420.375</v>
      </c>
    </row>
    <row r="730" spans="1:4" x14ac:dyDescent="0.25">
      <c r="A730" s="5" t="s">
        <v>4</v>
      </c>
      <c r="B730" s="6" t="s">
        <v>5</v>
      </c>
      <c r="C730" s="6" t="s">
        <v>51</v>
      </c>
      <c r="D730" s="6">
        <v>1250092.625</v>
      </c>
    </row>
    <row r="731" spans="1:4" x14ac:dyDescent="0.25">
      <c r="A731" s="2" t="s">
        <v>4</v>
      </c>
      <c r="B731" s="3" t="s">
        <v>5</v>
      </c>
      <c r="C731" s="3" t="s">
        <v>52</v>
      </c>
      <c r="D731" s="3">
        <v>1285620.875</v>
      </c>
    </row>
    <row r="732" spans="1:4" x14ac:dyDescent="0.25">
      <c r="A732" s="5" t="s">
        <v>4</v>
      </c>
      <c r="B732" s="6" t="s">
        <v>5</v>
      </c>
      <c r="C732" s="6" t="s">
        <v>53</v>
      </c>
      <c r="D732" s="6">
        <v>1280064</v>
      </c>
    </row>
    <row r="733" spans="1:4" x14ac:dyDescent="0.25">
      <c r="A733" s="2" t="s">
        <v>4</v>
      </c>
      <c r="B733" s="3" t="s">
        <v>5</v>
      </c>
      <c r="C733" s="3" t="s">
        <v>54</v>
      </c>
      <c r="D733" s="3">
        <v>1291166.5</v>
      </c>
    </row>
    <row r="734" spans="1:4" x14ac:dyDescent="0.25">
      <c r="A734" s="2" t="s">
        <v>4</v>
      </c>
      <c r="B734" s="3" t="s">
        <v>5</v>
      </c>
      <c r="C734" s="3" t="s">
        <v>55</v>
      </c>
      <c r="D734" s="3">
        <v>1263695.25</v>
      </c>
    </row>
    <row r="735" spans="1:4" x14ac:dyDescent="0.25">
      <c r="A735" s="2" t="s">
        <v>4</v>
      </c>
      <c r="B735" s="3" t="s">
        <v>5</v>
      </c>
      <c r="C735" s="3" t="s">
        <v>56</v>
      </c>
      <c r="D735" s="3">
        <v>1238722.875</v>
      </c>
    </row>
    <row r="736" spans="1:4" x14ac:dyDescent="0.25">
      <c r="A736" s="2" t="s">
        <v>4</v>
      </c>
      <c r="B736" s="3" t="s">
        <v>5</v>
      </c>
      <c r="C736" s="3" t="s">
        <v>57</v>
      </c>
      <c r="D736" s="3">
        <v>1285942.75</v>
      </c>
    </row>
    <row r="737" spans="1:4" x14ac:dyDescent="0.25">
      <c r="A737" s="2" t="s">
        <v>4</v>
      </c>
      <c r="B737" s="3" t="s">
        <v>5</v>
      </c>
      <c r="C737" s="3" t="s">
        <v>58</v>
      </c>
      <c r="D737" s="3">
        <v>1307271.375</v>
      </c>
    </row>
    <row r="738" spans="1:4" x14ac:dyDescent="0.25">
      <c r="A738" s="2" t="s">
        <v>4</v>
      </c>
      <c r="B738" s="3" t="s">
        <v>5</v>
      </c>
      <c r="C738" s="3" t="s">
        <v>59</v>
      </c>
      <c r="D738" s="3">
        <v>1293367.25</v>
      </c>
    </row>
    <row r="739" spans="1:4" x14ac:dyDescent="0.25">
      <c r="A739" s="2" t="s">
        <v>4</v>
      </c>
      <c r="B739" s="3" t="s">
        <v>5</v>
      </c>
      <c r="C739" s="3" t="s">
        <v>60</v>
      </c>
      <c r="D739" s="3">
        <v>1300470</v>
      </c>
    </row>
    <row r="740" spans="1:4" x14ac:dyDescent="0.25">
      <c r="A740" s="2" t="s">
        <v>4</v>
      </c>
      <c r="B740" s="3" t="s">
        <v>5</v>
      </c>
      <c r="C740" s="3" t="s">
        <v>61</v>
      </c>
      <c r="D740" s="3">
        <v>1249688.75</v>
      </c>
    </row>
    <row r="741" spans="1:4" x14ac:dyDescent="0.25">
      <c r="A741" s="2" t="s">
        <v>4</v>
      </c>
      <c r="B741" s="3" t="s">
        <v>5</v>
      </c>
      <c r="C741" s="3" t="s">
        <v>62</v>
      </c>
      <c r="D741" s="3">
        <v>1214762</v>
      </c>
    </row>
    <row r="742" spans="1:4" x14ac:dyDescent="0.25">
      <c r="A742" s="2" t="s">
        <v>4</v>
      </c>
      <c r="B742" s="3" t="s">
        <v>5</v>
      </c>
      <c r="C742" s="3" t="s">
        <v>63</v>
      </c>
      <c r="D742" s="3">
        <v>1267154.375</v>
      </c>
    </row>
    <row r="743" spans="1:4" x14ac:dyDescent="0.25">
      <c r="A743" s="2" t="s">
        <v>4</v>
      </c>
      <c r="B743" s="3" t="s">
        <v>5</v>
      </c>
      <c r="C743" s="3" t="s">
        <v>64</v>
      </c>
      <c r="D743" s="3">
        <v>1303023.375</v>
      </c>
    </row>
    <row r="744" spans="1:4" x14ac:dyDescent="0.25">
      <c r="A744" s="2" t="s">
        <v>4</v>
      </c>
      <c r="B744" s="3" t="s">
        <v>5</v>
      </c>
      <c r="C744" s="3" t="s">
        <v>65</v>
      </c>
      <c r="D744" s="3">
        <v>1297268.75</v>
      </c>
    </row>
    <row r="745" spans="1:4" x14ac:dyDescent="0.25">
      <c r="A745" s="2" t="s">
        <v>4</v>
      </c>
      <c r="B745" s="3" t="s">
        <v>5</v>
      </c>
      <c r="C745" s="3" t="s">
        <v>66</v>
      </c>
      <c r="D745" s="3">
        <v>1308454.125</v>
      </c>
    </row>
    <row r="746" spans="1:4" x14ac:dyDescent="0.25">
      <c r="A746" s="5" t="s">
        <v>10</v>
      </c>
      <c r="B746" s="6" t="s">
        <v>5</v>
      </c>
      <c r="C746" s="6" t="s">
        <v>36</v>
      </c>
      <c r="D746" s="6">
        <v>2792712</v>
      </c>
    </row>
    <row r="747" spans="1:4" x14ac:dyDescent="0.25">
      <c r="A747" s="2" t="s">
        <v>10</v>
      </c>
      <c r="B747" s="3" t="s">
        <v>5</v>
      </c>
      <c r="C747" s="3" t="s">
        <v>37</v>
      </c>
      <c r="D747" s="3">
        <v>2683909.25</v>
      </c>
    </row>
    <row r="748" spans="1:4" x14ac:dyDescent="0.25">
      <c r="A748" s="5" t="s">
        <v>10</v>
      </c>
      <c r="B748" s="6" t="s">
        <v>5</v>
      </c>
      <c r="C748" s="6" t="s">
        <v>38</v>
      </c>
      <c r="D748" s="6">
        <v>2609319.75</v>
      </c>
    </row>
    <row r="749" spans="1:4" x14ac:dyDescent="0.25">
      <c r="A749" s="2" t="s">
        <v>10</v>
      </c>
      <c r="B749" s="3" t="s">
        <v>5</v>
      </c>
      <c r="C749" s="3" t="s">
        <v>39</v>
      </c>
      <c r="D749" s="3">
        <v>2721957.5</v>
      </c>
    </row>
    <row r="750" spans="1:4" x14ac:dyDescent="0.25">
      <c r="A750" s="5" t="s">
        <v>10</v>
      </c>
      <c r="B750" s="6" t="s">
        <v>5</v>
      </c>
      <c r="C750" s="6" t="s">
        <v>40</v>
      </c>
      <c r="D750" s="6">
        <v>2798726.75</v>
      </c>
    </row>
    <row r="751" spans="1:4" x14ac:dyDescent="0.25">
      <c r="A751" s="2" t="s">
        <v>10</v>
      </c>
      <c r="B751" s="3" t="s">
        <v>5</v>
      </c>
      <c r="C751" s="3" t="s">
        <v>41</v>
      </c>
      <c r="D751" s="3">
        <v>2785991.5</v>
      </c>
    </row>
    <row r="752" spans="1:4" x14ac:dyDescent="0.25">
      <c r="A752" s="5" t="s">
        <v>10</v>
      </c>
      <c r="B752" s="6" t="s">
        <v>5</v>
      </c>
      <c r="C752" s="6" t="s">
        <v>42</v>
      </c>
      <c r="D752" s="6">
        <v>2809862</v>
      </c>
    </row>
    <row r="753" spans="1:4" x14ac:dyDescent="0.25">
      <c r="A753" s="2" t="s">
        <v>10</v>
      </c>
      <c r="B753" s="3" t="s">
        <v>5</v>
      </c>
      <c r="C753" s="3" t="s">
        <v>43</v>
      </c>
      <c r="D753" s="3">
        <v>2591843</v>
      </c>
    </row>
    <row r="754" spans="1:4" x14ac:dyDescent="0.25">
      <c r="A754" s="5" t="s">
        <v>10</v>
      </c>
      <c r="B754" s="6" t="s">
        <v>5</v>
      </c>
      <c r="C754" s="6" t="s">
        <v>44</v>
      </c>
      <c r="D754" s="6">
        <v>2541074</v>
      </c>
    </row>
    <row r="755" spans="1:4" x14ac:dyDescent="0.25">
      <c r="A755" s="2" t="s">
        <v>10</v>
      </c>
      <c r="B755" s="3" t="s">
        <v>5</v>
      </c>
      <c r="C755" s="3" t="s">
        <v>45</v>
      </c>
      <c r="D755" s="3">
        <v>2637996.25</v>
      </c>
    </row>
    <row r="756" spans="1:4" x14ac:dyDescent="0.25">
      <c r="A756" s="5" t="s">
        <v>10</v>
      </c>
      <c r="B756" s="6" t="s">
        <v>5</v>
      </c>
      <c r="C756" s="6" t="s">
        <v>46</v>
      </c>
      <c r="D756" s="6">
        <v>2681573.5</v>
      </c>
    </row>
    <row r="757" spans="1:4" x14ac:dyDescent="0.25">
      <c r="A757" s="2" t="s">
        <v>10</v>
      </c>
      <c r="B757" s="3" t="s">
        <v>5</v>
      </c>
      <c r="C757" s="3" t="s">
        <v>47</v>
      </c>
      <c r="D757" s="3">
        <v>2652709.75</v>
      </c>
    </row>
    <row r="758" spans="1:4" x14ac:dyDescent="0.25">
      <c r="A758" s="5" t="s">
        <v>10</v>
      </c>
      <c r="B758" s="6" t="s">
        <v>5</v>
      </c>
      <c r="C758" s="6" t="s">
        <v>48</v>
      </c>
      <c r="D758" s="6">
        <v>2667201</v>
      </c>
    </row>
    <row r="759" spans="1:4" x14ac:dyDescent="0.25">
      <c r="A759" s="2" t="s">
        <v>10</v>
      </c>
      <c r="B759" s="3" t="s">
        <v>5</v>
      </c>
      <c r="C759" s="3" t="s">
        <v>49</v>
      </c>
      <c r="D759" s="3">
        <v>2563536</v>
      </c>
    </row>
    <row r="760" spans="1:4" x14ac:dyDescent="0.25">
      <c r="A760" s="5" t="s">
        <v>10</v>
      </c>
      <c r="B760" s="6" t="s">
        <v>5</v>
      </c>
      <c r="C760" s="6" t="s">
        <v>50</v>
      </c>
      <c r="D760" s="6">
        <v>2492490.75</v>
      </c>
    </row>
    <row r="761" spans="1:4" x14ac:dyDescent="0.25">
      <c r="A761" s="2" t="s">
        <v>10</v>
      </c>
      <c r="B761" s="3" t="s">
        <v>5</v>
      </c>
      <c r="C761" s="3" t="s">
        <v>51</v>
      </c>
      <c r="D761" s="3">
        <v>2599903.25</v>
      </c>
    </row>
    <row r="762" spans="1:4" x14ac:dyDescent="0.25">
      <c r="A762" s="5" t="s">
        <v>10</v>
      </c>
      <c r="B762" s="6" t="s">
        <v>5</v>
      </c>
      <c r="C762" s="6" t="s">
        <v>52</v>
      </c>
      <c r="D762" s="6">
        <v>2672981.25</v>
      </c>
    </row>
    <row r="763" spans="1:4" x14ac:dyDescent="0.25">
      <c r="A763" s="2" t="s">
        <v>10</v>
      </c>
      <c r="B763" s="3" t="s">
        <v>5</v>
      </c>
      <c r="C763" s="3" t="s">
        <v>53</v>
      </c>
      <c r="D763" s="3">
        <v>2660586</v>
      </c>
    </row>
    <row r="764" spans="1:4" x14ac:dyDescent="0.25">
      <c r="A764" s="5" t="s">
        <v>10</v>
      </c>
      <c r="B764" s="6" t="s">
        <v>5</v>
      </c>
      <c r="C764" s="6" t="s">
        <v>54</v>
      </c>
      <c r="D764" s="6">
        <v>2683264.25</v>
      </c>
    </row>
    <row r="765" spans="1:4" x14ac:dyDescent="0.25">
      <c r="A765" s="2" t="s">
        <v>10</v>
      </c>
      <c r="B765" s="3" t="s">
        <v>5</v>
      </c>
      <c r="C765" s="3" t="s">
        <v>55</v>
      </c>
      <c r="D765" s="3">
        <v>2591608</v>
      </c>
    </row>
    <row r="766" spans="1:4" x14ac:dyDescent="0.25">
      <c r="A766" s="2" t="s">
        <v>10</v>
      </c>
      <c r="B766" s="3" t="s">
        <v>5</v>
      </c>
      <c r="C766" s="3" t="s">
        <v>56</v>
      </c>
      <c r="D766" s="3">
        <v>2540690.5</v>
      </c>
    </row>
    <row r="767" spans="1:4" x14ac:dyDescent="0.25">
      <c r="A767" s="2" t="s">
        <v>10</v>
      </c>
      <c r="B767" s="3" t="s">
        <v>5</v>
      </c>
      <c r="C767" s="3" t="s">
        <v>57</v>
      </c>
      <c r="D767" s="3">
        <v>2637742</v>
      </c>
    </row>
    <row r="768" spans="1:4" x14ac:dyDescent="0.25">
      <c r="A768" s="2" t="s">
        <v>10</v>
      </c>
      <c r="B768" s="3" t="s">
        <v>5</v>
      </c>
      <c r="C768" s="3" t="s">
        <v>58</v>
      </c>
      <c r="D768" s="3">
        <v>2681430.5</v>
      </c>
    </row>
    <row r="769" spans="1:4" x14ac:dyDescent="0.25">
      <c r="A769" s="2" t="s">
        <v>10</v>
      </c>
      <c r="B769" s="3" t="s">
        <v>5</v>
      </c>
      <c r="C769" s="3" t="s">
        <v>59</v>
      </c>
      <c r="D769" s="3">
        <v>2652745</v>
      </c>
    </row>
    <row r="770" spans="1:4" x14ac:dyDescent="0.25">
      <c r="A770" s="2" t="s">
        <v>10</v>
      </c>
      <c r="B770" s="3" t="s">
        <v>5</v>
      </c>
      <c r="C770" s="3" t="s">
        <v>60</v>
      </c>
      <c r="D770" s="3">
        <v>2667323.5</v>
      </c>
    </row>
    <row r="771" spans="1:4" x14ac:dyDescent="0.25">
      <c r="A771" s="2" t="s">
        <v>10</v>
      </c>
      <c r="B771" s="3" t="s">
        <v>5</v>
      </c>
      <c r="C771" s="3" t="s">
        <v>61</v>
      </c>
      <c r="D771" s="3">
        <v>2563565</v>
      </c>
    </row>
    <row r="772" spans="1:4" x14ac:dyDescent="0.25">
      <c r="A772" s="2" t="s">
        <v>10</v>
      </c>
      <c r="B772" s="3" t="s">
        <v>5</v>
      </c>
      <c r="C772" s="3" t="s">
        <v>62</v>
      </c>
      <c r="D772" s="3">
        <v>2492580.5</v>
      </c>
    </row>
    <row r="773" spans="1:4" x14ac:dyDescent="0.25">
      <c r="A773" s="2" t="s">
        <v>10</v>
      </c>
      <c r="B773" s="3" t="s">
        <v>5</v>
      </c>
      <c r="C773" s="3" t="s">
        <v>63</v>
      </c>
      <c r="D773" s="3">
        <v>2600018</v>
      </c>
    </row>
    <row r="774" spans="1:4" x14ac:dyDescent="0.25">
      <c r="A774" s="2" t="s">
        <v>10</v>
      </c>
      <c r="B774" s="3" t="s">
        <v>5</v>
      </c>
      <c r="C774" s="3" t="s">
        <v>64</v>
      </c>
      <c r="D774" s="3">
        <v>2672917.5</v>
      </c>
    </row>
    <row r="775" spans="1:4" x14ac:dyDescent="0.25">
      <c r="A775" s="2" t="s">
        <v>10</v>
      </c>
      <c r="B775" s="3" t="s">
        <v>5</v>
      </c>
      <c r="C775" s="3" t="s">
        <v>65</v>
      </c>
      <c r="D775" s="3">
        <v>2660549.75</v>
      </c>
    </row>
    <row r="776" spans="1:4" x14ac:dyDescent="0.25">
      <c r="A776" s="2" t="s">
        <v>10</v>
      </c>
      <c r="B776" s="3" t="s">
        <v>5</v>
      </c>
      <c r="C776" s="3" t="s">
        <v>66</v>
      </c>
      <c r="D776" s="3">
        <v>2683248.25</v>
      </c>
    </row>
    <row r="777" spans="1:4" x14ac:dyDescent="0.25">
      <c r="A777" s="2" t="s">
        <v>11</v>
      </c>
      <c r="B777" s="3" t="s">
        <v>5</v>
      </c>
      <c r="C777" s="3" t="s">
        <v>36</v>
      </c>
      <c r="D777" s="3">
        <v>773609.1875</v>
      </c>
    </row>
    <row r="778" spans="1:4" x14ac:dyDescent="0.25">
      <c r="A778" s="5" t="s">
        <v>11</v>
      </c>
      <c r="B778" s="6" t="s">
        <v>5</v>
      </c>
      <c r="C778" s="6" t="s">
        <v>37</v>
      </c>
      <c r="D778" s="6">
        <v>743503.6875</v>
      </c>
    </row>
    <row r="779" spans="1:4" x14ac:dyDescent="0.25">
      <c r="A779" s="2" t="s">
        <v>11</v>
      </c>
      <c r="B779" s="3" t="s">
        <v>5</v>
      </c>
      <c r="C779" s="3" t="s">
        <v>38</v>
      </c>
      <c r="D779" s="3">
        <v>722767</v>
      </c>
    </row>
    <row r="780" spans="1:4" x14ac:dyDescent="0.25">
      <c r="A780" s="5" t="s">
        <v>11</v>
      </c>
      <c r="B780" s="6" t="s">
        <v>5</v>
      </c>
      <c r="C780" s="6" t="s">
        <v>39</v>
      </c>
      <c r="D780" s="6">
        <v>753833.4375</v>
      </c>
    </row>
    <row r="781" spans="1:4" x14ac:dyDescent="0.25">
      <c r="A781" s="2" t="s">
        <v>11</v>
      </c>
      <c r="B781" s="3" t="s">
        <v>5</v>
      </c>
      <c r="C781" s="3" t="s">
        <v>40</v>
      </c>
      <c r="D781" s="3">
        <v>775146</v>
      </c>
    </row>
    <row r="782" spans="1:4" x14ac:dyDescent="0.25">
      <c r="A782" s="5" t="s">
        <v>11</v>
      </c>
      <c r="B782" s="6" t="s">
        <v>5</v>
      </c>
      <c r="C782" s="6" t="s">
        <v>41</v>
      </c>
      <c r="D782" s="6">
        <v>771731.9375</v>
      </c>
    </row>
    <row r="783" spans="1:4" x14ac:dyDescent="0.25">
      <c r="A783" s="2" t="s">
        <v>11</v>
      </c>
      <c r="B783" s="3" t="s">
        <v>5</v>
      </c>
      <c r="C783" s="3" t="s">
        <v>42</v>
      </c>
      <c r="D783" s="3">
        <v>778394.9375</v>
      </c>
    </row>
    <row r="784" spans="1:4" x14ac:dyDescent="0.25">
      <c r="A784" s="5" t="s">
        <v>11</v>
      </c>
      <c r="B784" s="6" t="s">
        <v>5</v>
      </c>
      <c r="C784" s="6" t="s">
        <v>43</v>
      </c>
      <c r="D784" s="6">
        <v>734347.4375</v>
      </c>
    </row>
    <row r="785" spans="1:4" x14ac:dyDescent="0.25">
      <c r="A785" s="2" t="s">
        <v>11</v>
      </c>
      <c r="B785" s="3" t="s">
        <v>5</v>
      </c>
      <c r="C785" s="3" t="s">
        <v>44</v>
      </c>
      <c r="D785" s="3">
        <v>719642.3125</v>
      </c>
    </row>
    <row r="786" spans="1:4" x14ac:dyDescent="0.25">
      <c r="A786" s="5" t="s">
        <v>11</v>
      </c>
      <c r="B786" s="6" t="s">
        <v>5</v>
      </c>
      <c r="C786" s="6" t="s">
        <v>45</v>
      </c>
      <c r="D786" s="6">
        <v>746979.6875</v>
      </c>
    </row>
    <row r="787" spans="1:4" x14ac:dyDescent="0.25">
      <c r="A787" s="2" t="s">
        <v>11</v>
      </c>
      <c r="B787" s="3" t="s">
        <v>5</v>
      </c>
      <c r="C787" s="3" t="s">
        <v>46</v>
      </c>
      <c r="D787" s="3">
        <v>759566.3125</v>
      </c>
    </row>
    <row r="788" spans="1:4" x14ac:dyDescent="0.25">
      <c r="A788" s="5" t="s">
        <v>11</v>
      </c>
      <c r="B788" s="6" t="s">
        <v>5</v>
      </c>
      <c r="C788" s="6" t="s">
        <v>47</v>
      </c>
      <c r="D788" s="6">
        <v>751544.5</v>
      </c>
    </row>
    <row r="789" spans="1:4" x14ac:dyDescent="0.25">
      <c r="A789" s="2" t="s">
        <v>11</v>
      </c>
      <c r="B789" s="3" t="s">
        <v>5</v>
      </c>
      <c r="C789" s="3" t="s">
        <v>48</v>
      </c>
      <c r="D789" s="3">
        <v>755663.8125</v>
      </c>
    </row>
    <row r="790" spans="1:4" x14ac:dyDescent="0.25">
      <c r="A790" s="5" t="s">
        <v>11</v>
      </c>
      <c r="B790" s="6" t="s">
        <v>5</v>
      </c>
      <c r="C790" s="6" t="s">
        <v>49</v>
      </c>
      <c r="D790" s="6">
        <v>726313.5625</v>
      </c>
    </row>
    <row r="791" spans="1:4" x14ac:dyDescent="0.25">
      <c r="A791" s="2" t="s">
        <v>11</v>
      </c>
      <c r="B791" s="3" t="s">
        <v>5</v>
      </c>
      <c r="C791" s="3" t="s">
        <v>50</v>
      </c>
      <c r="D791" s="3">
        <v>706078.875</v>
      </c>
    </row>
    <row r="792" spans="1:4" x14ac:dyDescent="0.25">
      <c r="A792" s="5" t="s">
        <v>11</v>
      </c>
      <c r="B792" s="6" t="s">
        <v>5</v>
      </c>
      <c r="C792" s="6" t="s">
        <v>51</v>
      </c>
      <c r="D792" s="6">
        <v>736377.8125</v>
      </c>
    </row>
    <row r="793" spans="1:4" x14ac:dyDescent="0.25">
      <c r="A793" s="2" t="s">
        <v>11</v>
      </c>
      <c r="B793" s="3" t="s">
        <v>5</v>
      </c>
      <c r="C793" s="3" t="s">
        <v>52</v>
      </c>
      <c r="D793" s="3">
        <v>757175.0625</v>
      </c>
    </row>
    <row r="794" spans="1:4" x14ac:dyDescent="0.25">
      <c r="A794" s="5" t="s">
        <v>11</v>
      </c>
      <c r="B794" s="6" t="s">
        <v>5</v>
      </c>
      <c r="C794" s="6" t="s">
        <v>53</v>
      </c>
      <c r="D794" s="6">
        <v>753807.9375</v>
      </c>
    </row>
    <row r="795" spans="1:4" x14ac:dyDescent="0.25">
      <c r="A795" s="2" t="s">
        <v>11</v>
      </c>
      <c r="B795" s="3" t="s">
        <v>5</v>
      </c>
      <c r="C795" s="3" t="s">
        <v>54</v>
      </c>
      <c r="D795" s="3">
        <v>760298.75</v>
      </c>
    </row>
    <row r="796" spans="1:4" x14ac:dyDescent="0.25">
      <c r="A796" s="5" t="s">
        <v>11</v>
      </c>
      <c r="B796" s="6" t="s">
        <v>5</v>
      </c>
      <c r="C796" s="6" t="s">
        <v>55</v>
      </c>
      <c r="D796" s="6">
        <v>789257.25</v>
      </c>
    </row>
    <row r="797" spans="1:4" x14ac:dyDescent="0.25">
      <c r="A797" s="5" t="s">
        <v>11</v>
      </c>
      <c r="B797" s="6" t="s">
        <v>5</v>
      </c>
      <c r="C797" s="6" t="s">
        <v>56</v>
      </c>
      <c r="D797" s="6">
        <v>773440</v>
      </c>
    </row>
    <row r="798" spans="1:4" x14ac:dyDescent="0.25">
      <c r="A798" s="5" t="s">
        <v>11</v>
      </c>
      <c r="B798" s="6" t="s">
        <v>5</v>
      </c>
      <c r="C798" s="6" t="s">
        <v>57</v>
      </c>
      <c r="D798" s="6">
        <v>802914.25</v>
      </c>
    </row>
    <row r="799" spans="1:4" x14ac:dyDescent="0.25">
      <c r="A799" s="5" t="s">
        <v>11</v>
      </c>
      <c r="B799" s="6" t="s">
        <v>5</v>
      </c>
      <c r="C799" s="6" t="s">
        <v>58</v>
      </c>
      <c r="D799" s="6">
        <v>816415.625</v>
      </c>
    </row>
    <row r="800" spans="1:4" x14ac:dyDescent="0.25">
      <c r="A800" s="5" t="s">
        <v>11</v>
      </c>
      <c r="B800" s="6" t="s">
        <v>5</v>
      </c>
      <c r="C800" s="6" t="s">
        <v>59</v>
      </c>
      <c r="D800" s="6">
        <v>807842.8125</v>
      </c>
    </row>
    <row r="801" spans="1:4" x14ac:dyDescent="0.25">
      <c r="A801" s="5" t="s">
        <v>11</v>
      </c>
      <c r="B801" s="6" t="s">
        <v>5</v>
      </c>
      <c r="C801" s="6" t="s">
        <v>60</v>
      </c>
      <c r="D801" s="6">
        <v>812300.6875</v>
      </c>
    </row>
    <row r="802" spans="1:4" x14ac:dyDescent="0.25">
      <c r="A802" s="5" t="s">
        <v>11</v>
      </c>
      <c r="B802" s="6" t="s">
        <v>5</v>
      </c>
      <c r="C802" s="6" t="s">
        <v>61</v>
      </c>
      <c r="D802" s="6">
        <v>780663.5</v>
      </c>
    </row>
    <row r="803" spans="1:4" x14ac:dyDescent="0.25">
      <c r="A803" s="5" t="s">
        <v>11</v>
      </c>
      <c r="B803" s="6" t="s">
        <v>5</v>
      </c>
      <c r="C803" s="6" t="s">
        <v>62</v>
      </c>
      <c r="D803" s="6">
        <v>758936.875</v>
      </c>
    </row>
    <row r="804" spans="1:4" x14ac:dyDescent="0.25">
      <c r="A804" s="5" t="s">
        <v>11</v>
      </c>
      <c r="B804" s="6" t="s">
        <v>5</v>
      </c>
      <c r="C804" s="6" t="s">
        <v>63</v>
      </c>
      <c r="D804" s="6">
        <v>791572.5625</v>
      </c>
    </row>
    <row r="805" spans="1:4" x14ac:dyDescent="0.25">
      <c r="A805" s="5" t="s">
        <v>11</v>
      </c>
      <c r="B805" s="6" t="s">
        <v>5</v>
      </c>
      <c r="C805" s="6" t="s">
        <v>64</v>
      </c>
      <c r="D805" s="6">
        <v>813859.0625</v>
      </c>
    </row>
    <row r="806" spans="1:4" x14ac:dyDescent="0.25">
      <c r="A806" s="5" t="s">
        <v>11</v>
      </c>
      <c r="B806" s="6" t="s">
        <v>5</v>
      </c>
      <c r="C806" s="6" t="s">
        <v>65</v>
      </c>
      <c r="D806" s="6">
        <v>810265.5</v>
      </c>
    </row>
    <row r="807" spans="1:4" x14ac:dyDescent="0.25">
      <c r="A807" s="5" t="s">
        <v>11</v>
      </c>
      <c r="B807" s="6" t="s">
        <v>5</v>
      </c>
      <c r="C807" s="6" t="s">
        <v>66</v>
      </c>
      <c r="D807" s="6">
        <v>817260.5625</v>
      </c>
    </row>
    <row r="808" spans="1:4" x14ac:dyDescent="0.25">
      <c r="A808" s="2" t="s">
        <v>29</v>
      </c>
      <c r="B808" s="3" t="s">
        <v>5</v>
      </c>
      <c r="C808" s="3" t="s">
        <v>36</v>
      </c>
      <c r="D808" s="3">
        <v>634651.9375</v>
      </c>
    </row>
    <row r="809" spans="1:4" x14ac:dyDescent="0.25">
      <c r="A809" s="5" t="s">
        <v>29</v>
      </c>
      <c r="B809" s="6" t="s">
        <v>5</v>
      </c>
      <c r="C809" s="6" t="s">
        <v>37</v>
      </c>
      <c r="D809" s="6">
        <v>609155.3125</v>
      </c>
    </row>
    <row r="810" spans="1:4" x14ac:dyDescent="0.25">
      <c r="A810" s="2" t="s">
        <v>29</v>
      </c>
      <c r="B810" s="3" t="s">
        <v>5</v>
      </c>
      <c r="C810" s="3" t="s">
        <v>38</v>
      </c>
      <c r="D810" s="3">
        <v>591521.4375</v>
      </c>
    </row>
    <row r="811" spans="1:4" x14ac:dyDescent="0.25">
      <c r="A811" s="5" t="s">
        <v>29</v>
      </c>
      <c r="B811" s="6" t="s">
        <v>5</v>
      </c>
      <c r="C811" s="6" t="s">
        <v>39</v>
      </c>
      <c r="D811" s="6">
        <v>617515.125</v>
      </c>
    </row>
    <row r="812" spans="1:4" x14ac:dyDescent="0.25">
      <c r="A812" s="2" t="s">
        <v>29</v>
      </c>
      <c r="B812" s="3" t="s">
        <v>5</v>
      </c>
      <c r="C812" s="3" t="s">
        <v>40</v>
      </c>
      <c r="D812" s="3">
        <v>635803.625</v>
      </c>
    </row>
    <row r="813" spans="1:4" x14ac:dyDescent="0.25">
      <c r="A813" s="5" t="s">
        <v>29</v>
      </c>
      <c r="B813" s="6" t="s">
        <v>5</v>
      </c>
      <c r="C813" s="6" t="s">
        <v>41</v>
      </c>
      <c r="D813" s="6">
        <v>633777.6875</v>
      </c>
    </row>
    <row r="814" spans="1:4" x14ac:dyDescent="0.25">
      <c r="A814" s="2" t="s">
        <v>29</v>
      </c>
      <c r="B814" s="3" t="s">
        <v>5</v>
      </c>
      <c r="C814" s="3" t="s">
        <v>42</v>
      </c>
      <c r="D814" s="3">
        <v>639634.875</v>
      </c>
    </row>
    <row r="815" spans="1:4" x14ac:dyDescent="0.25">
      <c r="A815" s="5" t="s">
        <v>29</v>
      </c>
      <c r="B815" s="6" t="s">
        <v>5</v>
      </c>
      <c r="C815" s="6" t="s">
        <v>43</v>
      </c>
      <c r="D815" s="6">
        <v>568511.1875</v>
      </c>
    </row>
    <row r="816" spans="1:4" x14ac:dyDescent="0.25">
      <c r="A816" s="2" t="s">
        <v>29</v>
      </c>
      <c r="B816" s="3" t="s">
        <v>5</v>
      </c>
      <c r="C816" s="3" t="s">
        <v>44</v>
      </c>
      <c r="D816" s="3">
        <v>557431.25</v>
      </c>
    </row>
    <row r="817" spans="1:4" x14ac:dyDescent="0.25">
      <c r="A817" s="5" t="s">
        <v>29</v>
      </c>
      <c r="B817" s="6" t="s">
        <v>5</v>
      </c>
      <c r="C817" s="6" t="s">
        <v>45</v>
      </c>
      <c r="D817" s="6">
        <v>578584.1875</v>
      </c>
    </row>
    <row r="818" spans="1:4" x14ac:dyDescent="0.25">
      <c r="A818" s="2" t="s">
        <v>29</v>
      </c>
      <c r="B818" s="3" t="s">
        <v>5</v>
      </c>
      <c r="C818" s="3" t="s">
        <v>46</v>
      </c>
      <c r="D818" s="3">
        <v>587546.75</v>
      </c>
    </row>
    <row r="819" spans="1:4" x14ac:dyDescent="0.25">
      <c r="A819" s="5" t="s">
        <v>29</v>
      </c>
      <c r="B819" s="6" t="s">
        <v>5</v>
      </c>
      <c r="C819" s="6" t="s">
        <v>47</v>
      </c>
      <c r="D819" s="6">
        <v>581187.3125</v>
      </c>
    </row>
    <row r="820" spans="1:4" x14ac:dyDescent="0.25">
      <c r="A820" s="2" t="s">
        <v>29</v>
      </c>
      <c r="B820" s="3" t="s">
        <v>5</v>
      </c>
      <c r="C820" s="3" t="s">
        <v>48</v>
      </c>
      <c r="D820" s="3">
        <v>584224.1875</v>
      </c>
    </row>
    <row r="821" spans="1:4" x14ac:dyDescent="0.25">
      <c r="A821" s="5" t="s">
        <v>29</v>
      </c>
      <c r="B821" s="6" t="s">
        <v>5</v>
      </c>
      <c r="C821" s="6" t="s">
        <v>49</v>
      </c>
      <c r="D821" s="6">
        <v>560783.0625</v>
      </c>
    </row>
    <row r="822" spans="1:4" x14ac:dyDescent="0.25">
      <c r="A822" s="2" t="s">
        <v>29</v>
      </c>
      <c r="B822" s="3" t="s">
        <v>5</v>
      </c>
      <c r="C822" s="3" t="s">
        <v>50</v>
      </c>
      <c r="D822" s="3">
        <v>544587.25</v>
      </c>
    </row>
    <row r="823" spans="1:4" x14ac:dyDescent="0.25">
      <c r="A823" s="5" t="s">
        <v>29</v>
      </c>
      <c r="B823" s="6" t="s">
        <v>5</v>
      </c>
      <c r="C823" s="6" t="s">
        <v>51</v>
      </c>
      <c r="D823" s="6">
        <v>568495.5625</v>
      </c>
    </row>
    <row r="824" spans="1:4" x14ac:dyDescent="0.25">
      <c r="A824" s="2" t="s">
        <v>29</v>
      </c>
      <c r="B824" s="3" t="s">
        <v>5</v>
      </c>
      <c r="C824" s="3" t="s">
        <v>52</v>
      </c>
      <c r="D824" s="3">
        <v>585277.6875</v>
      </c>
    </row>
    <row r="825" spans="1:4" x14ac:dyDescent="0.25">
      <c r="A825" s="5" t="s">
        <v>29</v>
      </c>
      <c r="B825" s="6" t="s">
        <v>5</v>
      </c>
      <c r="C825" s="6" t="s">
        <v>53</v>
      </c>
      <c r="D825" s="6">
        <v>583378.1875</v>
      </c>
    </row>
    <row r="826" spans="1:4" x14ac:dyDescent="0.25">
      <c r="A826" s="2" t="s">
        <v>29</v>
      </c>
      <c r="B826" s="3" t="s">
        <v>5</v>
      </c>
      <c r="C826" s="3" t="s">
        <v>54</v>
      </c>
      <c r="D826" s="3">
        <v>588751.4375</v>
      </c>
    </row>
    <row r="827" spans="1:4" x14ac:dyDescent="0.25">
      <c r="A827" s="2" t="s">
        <v>29</v>
      </c>
      <c r="B827" s="3" t="s">
        <v>5</v>
      </c>
      <c r="C827" s="3" t="s">
        <v>55</v>
      </c>
      <c r="D827" s="3">
        <v>546786.8125</v>
      </c>
    </row>
    <row r="828" spans="1:4" x14ac:dyDescent="0.25">
      <c r="A828" s="2" t="s">
        <v>29</v>
      </c>
      <c r="B828" s="3" t="s">
        <v>5</v>
      </c>
      <c r="C828" s="3" t="s">
        <v>56</v>
      </c>
      <c r="D828" s="3">
        <v>536120.5</v>
      </c>
    </row>
    <row r="829" spans="1:4" x14ac:dyDescent="0.25">
      <c r="A829" s="2" t="s">
        <v>29</v>
      </c>
      <c r="B829" s="3" t="s">
        <v>5</v>
      </c>
      <c r="C829" s="3" t="s">
        <v>57</v>
      </c>
      <c r="D829" s="3">
        <v>556474.875</v>
      </c>
    </row>
    <row r="830" spans="1:4" x14ac:dyDescent="0.25">
      <c r="A830" s="2" t="s">
        <v>29</v>
      </c>
      <c r="B830" s="3" t="s">
        <v>5</v>
      </c>
      <c r="C830" s="3" t="s">
        <v>58</v>
      </c>
      <c r="D830" s="3">
        <v>565113.1875</v>
      </c>
    </row>
    <row r="831" spans="1:4" x14ac:dyDescent="0.25">
      <c r="A831" s="2" t="s">
        <v>29</v>
      </c>
      <c r="B831" s="3" t="s">
        <v>5</v>
      </c>
      <c r="C831" s="3" t="s">
        <v>59</v>
      </c>
      <c r="D831" s="3">
        <v>559007.8125</v>
      </c>
    </row>
    <row r="832" spans="1:4" x14ac:dyDescent="0.25">
      <c r="A832" s="2" t="s">
        <v>29</v>
      </c>
      <c r="B832" s="3" t="s">
        <v>5</v>
      </c>
      <c r="C832" s="3" t="s">
        <v>60</v>
      </c>
      <c r="D832" s="3">
        <v>561936.75</v>
      </c>
    </row>
    <row r="833" spans="1:4" x14ac:dyDescent="0.25">
      <c r="A833" s="2" t="s">
        <v>29</v>
      </c>
      <c r="B833" s="3" t="s">
        <v>5</v>
      </c>
      <c r="C833" s="3" t="s">
        <v>61</v>
      </c>
      <c r="D833" s="3">
        <v>539400.0625</v>
      </c>
    </row>
    <row r="834" spans="1:4" x14ac:dyDescent="0.25">
      <c r="A834" s="2" t="s">
        <v>29</v>
      </c>
      <c r="B834" s="3" t="s">
        <v>5</v>
      </c>
      <c r="C834" s="3" t="s">
        <v>62</v>
      </c>
      <c r="D834" s="3">
        <v>523838.875</v>
      </c>
    </row>
    <row r="835" spans="1:4" x14ac:dyDescent="0.25">
      <c r="A835" s="2" t="s">
        <v>29</v>
      </c>
      <c r="B835" s="3" t="s">
        <v>5</v>
      </c>
      <c r="C835" s="3" t="s">
        <v>63</v>
      </c>
      <c r="D835" s="3">
        <v>546827.75</v>
      </c>
    </row>
    <row r="836" spans="1:4" x14ac:dyDescent="0.25">
      <c r="A836" s="2" t="s">
        <v>29</v>
      </c>
      <c r="B836" s="3" t="s">
        <v>5</v>
      </c>
      <c r="C836" s="3" t="s">
        <v>64</v>
      </c>
      <c r="D836" s="3">
        <v>562943.25</v>
      </c>
    </row>
    <row r="837" spans="1:4" x14ac:dyDescent="0.25">
      <c r="A837" s="2" t="s">
        <v>29</v>
      </c>
      <c r="B837" s="3" t="s">
        <v>5</v>
      </c>
      <c r="C837" s="3" t="s">
        <v>65</v>
      </c>
      <c r="D837" s="3">
        <v>561101.6875</v>
      </c>
    </row>
    <row r="838" spans="1:4" x14ac:dyDescent="0.25">
      <c r="A838" s="2" t="s">
        <v>29</v>
      </c>
      <c r="B838" s="3" t="s">
        <v>5</v>
      </c>
      <c r="C838" s="3" t="s">
        <v>66</v>
      </c>
      <c r="D838" s="3">
        <v>566261.75</v>
      </c>
    </row>
    <row r="839" spans="1:4" x14ac:dyDescent="0.25">
      <c r="A839" s="5" t="s">
        <v>18</v>
      </c>
      <c r="B839" s="6" t="s">
        <v>5</v>
      </c>
      <c r="C839" s="6" t="s">
        <v>36</v>
      </c>
      <c r="D839" s="6">
        <v>1642946</v>
      </c>
    </row>
    <row r="840" spans="1:4" x14ac:dyDescent="0.25">
      <c r="A840" s="2" t="s">
        <v>18</v>
      </c>
      <c r="B840" s="3" t="s">
        <v>5</v>
      </c>
      <c r="C840" s="3" t="s">
        <v>37</v>
      </c>
      <c r="D840" s="3">
        <v>1578355.5</v>
      </c>
    </row>
    <row r="841" spans="1:4" x14ac:dyDescent="0.25">
      <c r="A841" s="5" t="s">
        <v>18</v>
      </c>
      <c r="B841" s="6" t="s">
        <v>5</v>
      </c>
      <c r="C841" s="6" t="s">
        <v>38</v>
      </c>
      <c r="D841" s="6">
        <v>1534218.5</v>
      </c>
    </row>
    <row r="842" spans="1:4" x14ac:dyDescent="0.25">
      <c r="A842" s="2" t="s">
        <v>18</v>
      </c>
      <c r="B842" s="3" t="s">
        <v>5</v>
      </c>
      <c r="C842" s="3" t="s">
        <v>39</v>
      </c>
      <c r="D842" s="3">
        <v>1600607.625</v>
      </c>
    </row>
    <row r="843" spans="1:4" x14ac:dyDescent="0.25">
      <c r="A843" s="5" t="s">
        <v>18</v>
      </c>
      <c r="B843" s="6" t="s">
        <v>5</v>
      </c>
      <c r="C843" s="6" t="s">
        <v>40</v>
      </c>
      <c r="D843" s="6">
        <v>1645856.75</v>
      </c>
    </row>
    <row r="844" spans="1:4" x14ac:dyDescent="0.25">
      <c r="A844" s="2" t="s">
        <v>18</v>
      </c>
      <c r="B844" s="3" t="s">
        <v>5</v>
      </c>
      <c r="C844" s="3" t="s">
        <v>41</v>
      </c>
      <c r="D844" s="3">
        <v>1638984.875</v>
      </c>
    </row>
    <row r="845" spans="1:4" x14ac:dyDescent="0.25">
      <c r="A845" s="5" t="s">
        <v>18</v>
      </c>
      <c r="B845" s="6" t="s">
        <v>5</v>
      </c>
      <c r="C845" s="6" t="s">
        <v>42</v>
      </c>
      <c r="D845" s="6">
        <v>1653376.75</v>
      </c>
    </row>
    <row r="846" spans="1:4" x14ac:dyDescent="0.25">
      <c r="A846" s="2" t="s">
        <v>18</v>
      </c>
      <c r="B846" s="3" t="s">
        <v>5</v>
      </c>
      <c r="C846" s="3" t="s">
        <v>43</v>
      </c>
      <c r="D846" s="3">
        <v>1520181.25</v>
      </c>
    </row>
    <row r="847" spans="1:4" x14ac:dyDescent="0.25">
      <c r="A847" s="5" t="s">
        <v>18</v>
      </c>
      <c r="B847" s="6" t="s">
        <v>5</v>
      </c>
      <c r="C847" s="6" t="s">
        <v>44</v>
      </c>
      <c r="D847" s="6">
        <v>1489719.5</v>
      </c>
    </row>
    <row r="848" spans="1:4" x14ac:dyDescent="0.25">
      <c r="A848" s="2" t="s">
        <v>18</v>
      </c>
      <c r="B848" s="3" t="s">
        <v>5</v>
      </c>
      <c r="C848" s="3" t="s">
        <v>45</v>
      </c>
      <c r="D848" s="3">
        <v>1546776</v>
      </c>
    </row>
    <row r="849" spans="1:4" x14ac:dyDescent="0.25">
      <c r="A849" s="5" t="s">
        <v>18</v>
      </c>
      <c r="B849" s="6" t="s">
        <v>5</v>
      </c>
      <c r="C849" s="6" t="s">
        <v>46</v>
      </c>
      <c r="D849" s="6">
        <v>1572567.875</v>
      </c>
    </row>
    <row r="850" spans="1:4" x14ac:dyDescent="0.25">
      <c r="A850" s="2" t="s">
        <v>18</v>
      </c>
      <c r="B850" s="3" t="s">
        <v>5</v>
      </c>
      <c r="C850" s="3" t="s">
        <v>47</v>
      </c>
      <c r="D850" s="3">
        <v>1556162.625</v>
      </c>
    </row>
    <row r="851" spans="1:4" x14ac:dyDescent="0.25">
      <c r="A851" s="5" t="s">
        <v>18</v>
      </c>
      <c r="B851" s="6" t="s">
        <v>5</v>
      </c>
      <c r="C851" s="6" t="s">
        <v>48</v>
      </c>
      <c r="D851" s="6">
        <v>1564798.125</v>
      </c>
    </row>
    <row r="852" spans="1:4" x14ac:dyDescent="0.25">
      <c r="A852" s="2" t="s">
        <v>18</v>
      </c>
      <c r="B852" s="3" t="s">
        <v>5</v>
      </c>
      <c r="C852" s="3" t="s">
        <v>49</v>
      </c>
      <c r="D852" s="3">
        <v>1503406.5</v>
      </c>
    </row>
    <row r="853" spans="1:4" x14ac:dyDescent="0.25">
      <c r="A853" s="5" t="s">
        <v>18</v>
      </c>
      <c r="B853" s="6" t="s">
        <v>5</v>
      </c>
      <c r="C853" s="6" t="s">
        <v>50</v>
      </c>
      <c r="D853" s="6">
        <v>1461485.75</v>
      </c>
    </row>
    <row r="854" spans="1:4" x14ac:dyDescent="0.25">
      <c r="A854" s="2" t="s">
        <v>18</v>
      </c>
      <c r="B854" s="3" t="s">
        <v>5</v>
      </c>
      <c r="C854" s="3" t="s">
        <v>51</v>
      </c>
      <c r="D854" s="3">
        <v>1524625.75</v>
      </c>
    </row>
    <row r="855" spans="1:4" x14ac:dyDescent="0.25">
      <c r="A855" s="5" t="s">
        <v>18</v>
      </c>
      <c r="B855" s="6" t="s">
        <v>5</v>
      </c>
      <c r="C855" s="6" t="s">
        <v>52</v>
      </c>
      <c r="D855" s="6">
        <v>1567562.25</v>
      </c>
    </row>
    <row r="856" spans="1:4" x14ac:dyDescent="0.25">
      <c r="A856" s="2" t="s">
        <v>18</v>
      </c>
      <c r="B856" s="3" t="s">
        <v>5</v>
      </c>
      <c r="C856" s="3" t="s">
        <v>53</v>
      </c>
      <c r="D856" s="3">
        <v>1560893.125</v>
      </c>
    </row>
    <row r="857" spans="1:4" x14ac:dyDescent="0.25">
      <c r="A857" s="5" t="s">
        <v>18</v>
      </c>
      <c r="B857" s="6" t="s">
        <v>5</v>
      </c>
      <c r="C857" s="6" t="s">
        <v>54</v>
      </c>
      <c r="D857" s="6">
        <v>1574538</v>
      </c>
    </row>
    <row r="858" spans="1:4" x14ac:dyDescent="0.25">
      <c r="A858" s="2" t="s">
        <v>18</v>
      </c>
      <c r="B858" s="3" t="s">
        <v>5</v>
      </c>
      <c r="C858" s="3" t="s">
        <v>55</v>
      </c>
      <c r="D858" s="3">
        <v>1501508.75</v>
      </c>
    </row>
    <row r="859" spans="1:4" x14ac:dyDescent="0.25">
      <c r="A859" s="2" t="s">
        <v>18</v>
      </c>
      <c r="B859" s="3" t="s">
        <v>5</v>
      </c>
      <c r="C859" s="3" t="s">
        <v>56</v>
      </c>
      <c r="D859" s="3">
        <v>1471401.5</v>
      </c>
    </row>
    <row r="860" spans="1:4" x14ac:dyDescent="0.25">
      <c r="A860" s="2" t="s">
        <v>18</v>
      </c>
      <c r="B860" s="3" t="s">
        <v>5</v>
      </c>
      <c r="C860" s="3" t="s">
        <v>57</v>
      </c>
      <c r="D860" s="3">
        <v>1527839.75</v>
      </c>
    </row>
    <row r="861" spans="1:4" x14ac:dyDescent="0.25">
      <c r="A861" s="2" t="s">
        <v>18</v>
      </c>
      <c r="B861" s="3" t="s">
        <v>5</v>
      </c>
      <c r="C861" s="3" t="s">
        <v>58</v>
      </c>
      <c r="D861" s="3">
        <v>1553382</v>
      </c>
    </row>
    <row r="862" spans="1:4" x14ac:dyDescent="0.25">
      <c r="A862" s="2" t="s">
        <v>18</v>
      </c>
      <c r="B862" s="3" t="s">
        <v>5</v>
      </c>
      <c r="C862" s="3" t="s">
        <v>59</v>
      </c>
      <c r="D862" s="3">
        <v>1537229.5</v>
      </c>
    </row>
    <row r="863" spans="1:4" x14ac:dyDescent="0.25">
      <c r="A863" s="2" t="s">
        <v>18</v>
      </c>
      <c r="B863" s="3" t="s">
        <v>5</v>
      </c>
      <c r="C863" s="3" t="s">
        <v>60</v>
      </c>
      <c r="D863" s="3">
        <v>1545806.25</v>
      </c>
    </row>
    <row r="864" spans="1:4" x14ac:dyDescent="0.25">
      <c r="A864" s="2" t="s">
        <v>18</v>
      </c>
      <c r="B864" s="3" t="s">
        <v>5</v>
      </c>
      <c r="C864" s="3" t="s">
        <v>61</v>
      </c>
      <c r="D864" s="3">
        <v>1485190.75</v>
      </c>
    </row>
    <row r="865" spans="1:4" x14ac:dyDescent="0.25">
      <c r="A865" s="2" t="s">
        <v>18</v>
      </c>
      <c r="B865" s="3" t="s">
        <v>5</v>
      </c>
      <c r="C865" s="3" t="s">
        <v>62</v>
      </c>
      <c r="D865" s="3">
        <v>1443875.375</v>
      </c>
    </row>
    <row r="866" spans="1:4" x14ac:dyDescent="0.25">
      <c r="A866" s="2" t="s">
        <v>18</v>
      </c>
      <c r="B866" s="3" t="s">
        <v>5</v>
      </c>
      <c r="C866" s="3" t="s">
        <v>63</v>
      </c>
      <c r="D866" s="3">
        <v>1506240.75</v>
      </c>
    </row>
    <row r="867" spans="1:4" x14ac:dyDescent="0.25">
      <c r="A867" s="2" t="s">
        <v>18</v>
      </c>
      <c r="B867" s="3" t="s">
        <v>5</v>
      </c>
      <c r="C867" s="3" t="s">
        <v>64</v>
      </c>
      <c r="D867" s="3">
        <v>1548500</v>
      </c>
    </row>
    <row r="868" spans="1:4" x14ac:dyDescent="0.25">
      <c r="A868" s="2" t="s">
        <v>18</v>
      </c>
      <c r="B868" s="3" t="s">
        <v>5</v>
      </c>
      <c r="C868" s="3" t="s">
        <v>65</v>
      </c>
      <c r="D868" s="3">
        <v>1541825.25</v>
      </c>
    </row>
    <row r="869" spans="1:4" x14ac:dyDescent="0.25">
      <c r="A869" s="2" t="s">
        <v>18</v>
      </c>
      <c r="B869" s="3" t="s">
        <v>5</v>
      </c>
      <c r="C869" s="3" t="s">
        <v>66</v>
      </c>
      <c r="D869" s="3">
        <v>1555261.75</v>
      </c>
    </row>
    <row r="870" spans="1:4" x14ac:dyDescent="0.25">
      <c r="A870" s="5" t="s">
        <v>6</v>
      </c>
      <c r="B870" s="6" t="s">
        <v>5</v>
      </c>
      <c r="C870" s="6" t="s">
        <v>36</v>
      </c>
      <c r="D870" s="6">
        <v>2277505</v>
      </c>
    </row>
    <row r="871" spans="1:4" x14ac:dyDescent="0.25">
      <c r="A871" s="2" t="s">
        <v>6</v>
      </c>
      <c r="B871" s="3" t="s">
        <v>5</v>
      </c>
      <c r="C871" s="3" t="s">
        <v>37</v>
      </c>
      <c r="D871" s="3">
        <v>2187902.75</v>
      </c>
    </row>
    <row r="872" spans="1:4" x14ac:dyDescent="0.25">
      <c r="A872" s="5" t="s">
        <v>6</v>
      </c>
      <c r="B872" s="6" t="s">
        <v>5</v>
      </c>
      <c r="C872" s="6" t="s">
        <v>38</v>
      </c>
      <c r="D872" s="6">
        <v>2126494.5</v>
      </c>
    </row>
    <row r="873" spans="1:4" x14ac:dyDescent="0.25">
      <c r="A873" s="2" t="s">
        <v>6</v>
      </c>
      <c r="B873" s="3" t="s">
        <v>5</v>
      </c>
      <c r="C873" s="3" t="s">
        <v>39</v>
      </c>
      <c r="D873" s="3">
        <v>2218845.75</v>
      </c>
    </row>
    <row r="874" spans="1:4" x14ac:dyDescent="0.25">
      <c r="A874" s="5" t="s">
        <v>6</v>
      </c>
      <c r="B874" s="6" t="s">
        <v>5</v>
      </c>
      <c r="C874" s="6" t="s">
        <v>40</v>
      </c>
      <c r="D874" s="6">
        <v>2282125.75</v>
      </c>
    </row>
    <row r="875" spans="1:4" x14ac:dyDescent="0.25">
      <c r="A875" s="2" t="s">
        <v>6</v>
      </c>
      <c r="B875" s="3" t="s">
        <v>5</v>
      </c>
      <c r="C875" s="3" t="s">
        <v>41</v>
      </c>
      <c r="D875" s="3">
        <v>2272603.75</v>
      </c>
    </row>
    <row r="876" spans="1:4" x14ac:dyDescent="0.25">
      <c r="A876" s="5" t="s">
        <v>6</v>
      </c>
      <c r="B876" s="6" t="s">
        <v>5</v>
      </c>
      <c r="C876" s="6" t="s">
        <v>42</v>
      </c>
      <c r="D876" s="6">
        <v>2292522.75</v>
      </c>
    </row>
    <row r="877" spans="1:4" x14ac:dyDescent="0.25">
      <c r="A877" s="2" t="s">
        <v>6</v>
      </c>
      <c r="B877" s="3" t="s">
        <v>5</v>
      </c>
      <c r="C877" s="3" t="s">
        <v>43</v>
      </c>
      <c r="D877" s="3">
        <v>2060413.5</v>
      </c>
    </row>
    <row r="878" spans="1:4" x14ac:dyDescent="0.25">
      <c r="A878" s="5" t="s">
        <v>6</v>
      </c>
      <c r="B878" s="6" t="s">
        <v>5</v>
      </c>
      <c r="C878" s="6" t="s">
        <v>44</v>
      </c>
      <c r="D878" s="6">
        <v>2020106</v>
      </c>
    </row>
    <row r="879" spans="1:4" x14ac:dyDescent="0.25">
      <c r="A879" s="2" t="s">
        <v>6</v>
      </c>
      <c r="B879" s="3" t="s">
        <v>5</v>
      </c>
      <c r="C879" s="3" t="s">
        <v>45</v>
      </c>
      <c r="D879" s="3">
        <v>2097231</v>
      </c>
    </row>
    <row r="880" spans="1:4" x14ac:dyDescent="0.25">
      <c r="A880" s="5" t="s">
        <v>6</v>
      </c>
      <c r="B880" s="6" t="s">
        <v>5</v>
      </c>
      <c r="C880" s="6" t="s">
        <v>46</v>
      </c>
      <c r="D880" s="6">
        <v>2131251.5</v>
      </c>
    </row>
    <row r="881" spans="1:4" x14ac:dyDescent="0.25">
      <c r="A881" s="2" t="s">
        <v>6</v>
      </c>
      <c r="B881" s="3" t="s">
        <v>5</v>
      </c>
      <c r="C881" s="3" t="s">
        <v>47</v>
      </c>
      <c r="D881" s="3">
        <v>2108328</v>
      </c>
    </row>
    <row r="882" spans="1:4" x14ac:dyDescent="0.25">
      <c r="A882" s="5" t="s">
        <v>6</v>
      </c>
      <c r="B882" s="6" t="s">
        <v>5</v>
      </c>
      <c r="C882" s="6" t="s">
        <v>48</v>
      </c>
      <c r="D882" s="6">
        <v>2119750.5</v>
      </c>
    </row>
    <row r="883" spans="1:4" x14ac:dyDescent="0.25">
      <c r="A883" s="2" t="s">
        <v>6</v>
      </c>
      <c r="B883" s="3" t="s">
        <v>5</v>
      </c>
      <c r="C883" s="3" t="s">
        <v>49</v>
      </c>
      <c r="D883" s="3">
        <v>2036548</v>
      </c>
    </row>
    <row r="884" spans="1:4" x14ac:dyDescent="0.25">
      <c r="A884" s="5" t="s">
        <v>6</v>
      </c>
      <c r="B884" s="6" t="s">
        <v>5</v>
      </c>
      <c r="C884" s="6" t="s">
        <v>50</v>
      </c>
      <c r="D884" s="6">
        <v>1979568.25</v>
      </c>
    </row>
    <row r="885" spans="1:4" x14ac:dyDescent="0.25">
      <c r="A885" s="2" t="s">
        <v>6</v>
      </c>
      <c r="B885" s="3" t="s">
        <v>5</v>
      </c>
      <c r="C885" s="3" t="s">
        <v>51</v>
      </c>
      <c r="D885" s="3">
        <v>2065411.125</v>
      </c>
    </row>
    <row r="886" spans="1:4" x14ac:dyDescent="0.25">
      <c r="A886" s="5" t="s">
        <v>6</v>
      </c>
      <c r="B886" s="6" t="s">
        <v>5</v>
      </c>
      <c r="C886" s="6" t="s">
        <v>52</v>
      </c>
      <c r="D886" s="6">
        <v>2124086.25</v>
      </c>
    </row>
    <row r="887" spans="1:4" x14ac:dyDescent="0.25">
      <c r="A887" s="2" t="s">
        <v>6</v>
      </c>
      <c r="B887" s="3" t="s">
        <v>5</v>
      </c>
      <c r="C887" s="3" t="s">
        <v>53</v>
      </c>
      <c r="D887" s="3">
        <v>2115015.75</v>
      </c>
    </row>
    <row r="888" spans="1:4" x14ac:dyDescent="0.25">
      <c r="A888" s="5" t="s">
        <v>6</v>
      </c>
      <c r="B888" s="6" t="s">
        <v>5</v>
      </c>
      <c r="C888" s="6" t="s">
        <v>54</v>
      </c>
      <c r="D888" s="6">
        <v>2133448.25</v>
      </c>
    </row>
    <row r="889" spans="1:4" x14ac:dyDescent="0.25">
      <c r="A889" s="5" t="s">
        <v>6</v>
      </c>
      <c r="B889" s="6" t="s">
        <v>5</v>
      </c>
      <c r="C889" s="6" t="s">
        <v>55</v>
      </c>
      <c r="D889" s="6">
        <v>2016091</v>
      </c>
    </row>
    <row r="890" spans="1:4" x14ac:dyDescent="0.25">
      <c r="A890" s="5" t="s">
        <v>6</v>
      </c>
      <c r="B890" s="6" t="s">
        <v>5</v>
      </c>
      <c r="C890" s="6" t="s">
        <v>56</v>
      </c>
      <c r="D890" s="6">
        <v>1976622.25</v>
      </c>
    </row>
    <row r="891" spans="1:4" x14ac:dyDescent="0.25">
      <c r="A891" s="5" t="s">
        <v>6</v>
      </c>
      <c r="B891" s="6" t="s">
        <v>5</v>
      </c>
      <c r="C891" s="6" t="s">
        <v>57</v>
      </c>
      <c r="D891" s="6">
        <v>2052159.5</v>
      </c>
    </row>
    <row r="892" spans="1:4" x14ac:dyDescent="0.25">
      <c r="A892" s="5" t="s">
        <v>6</v>
      </c>
      <c r="B892" s="6" t="s">
        <v>5</v>
      </c>
      <c r="C892" s="6" t="s">
        <v>58</v>
      </c>
      <c r="D892" s="6">
        <v>2085502.5</v>
      </c>
    </row>
    <row r="893" spans="1:4" x14ac:dyDescent="0.25">
      <c r="A893" s="5" t="s">
        <v>6</v>
      </c>
      <c r="B893" s="6" t="s">
        <v>5</v>
      </c>
      <c r="C893" s="6" t="s">
        <v>59</v>
      </c>
      <c r="D893" s="6">
        <v>2063133.25</v>
      </c>
    </row>
    <row r="894" spans="1:4" x14ac:dyDescent="0.25">
      <c r="A894" s="5" t="s">
        <v>6</v>
      </c>
      <c r="B894" s="6" t="s">
        <v>5</v>
      </c>
      <c r="C894" s="6" t="s">
        <v>60</v>
      </c>
      <c r="D894" s="6">
        <v>2074356.5</v>
      </c>
    </row>
    <row r="895" spans="1:4" x14ac:dyDescent="0.25">
      <c r="A895" s="5" t="s">
        <v>6</v>
      </c>
      <c r="B895" s="6" t="s">
        <v>5</v>
      </c>
      <c r="C895" s="6" t="s">
        <v>61</v>
      </c>
      <c r="D895" s="6">
        <v>1992939.25</v>
      </c>
    </row>
    <row r="896" spans="1:4" x14ac:dyDescent="0.25">
      <c r="A896" s="5" t="s">
        <v>6</v>
      </c>
      <c r="B896" s="6" t="s">
        <v>5</v>
      </c>
      <c r="C896" s="6" t="s">
        <v>62</v>
      </c>
      <c r="D896" s="6">
        <v>1937239.125</v>
      </c>
    </row>
    <row r="897" spans="1:4" x14ac:dyDescent="0.25">
      <c r="A897" s="5" t="s">
        <v>6</v>
      </c>
      <c r="B897" s="6" t="s">
        <v>5</v>
      </c>
      <c r="C897" s="6" t="s">
        <v>63</v>
      </c>
      <c r="D897" s="6">
        <v>2021240.75</v>
      </c>
    </row>
    <row r="898" spans="1:4" x14ac:dyDescent="0.25">
      <c r="A898" s="5" t="s">
        <v>6</v>
      </c>
      <c r="B898" s="6" t="s">
        <v>5</v>
      </c>
      <c r="C898" s="6" t="s">
        <v>64</v>
      </c>
      <c r="D898" s="6">
        <v>2078540.25</v>
      </c>
    </row>
    <row r="899" spans="1:4" x14ac:dyDescent="0.25">
      <c r="A899" s="5" t="s">
        <v>6</v>
      </c>
      <c r="B899" s="6" t="s">
        <v>5</v>
      </c>
      <c r="C899" s="6" t="s">
        <v>65</v>
      </c>
      <c r="D899" s="6">
        <v>2069615.375</v>
      </c>
    </row>
    <row r="900" spans="1:4" x14ac:dyDescent="0.25">
      <c r="A900" s="5" t="s">
        <v>6</v>
      </c>
      <c r="B900" s="6" t="s">
        <v>5</v>
      </c>
      <c r="C900" s="6" t="s">
        <v>66</v>
      </c>
      <c r="D900" s="6">
        <v>2087625.75</v>
      </c>
    </row>
    <row r="901" spans="1:4" x14ac:dyDescent="0.25">
      <c r="A901" s="2" t="s">
        <v>23</v>
      </c>
      <c r="B901" s="3" t="s">
        <v>5</v>
      </c>
      <c r="C901" s="3" t="s">
        <v>36</v>
      </c>
      <c r="D901" s="3">
        <v>4808269.5</v>
      </c>
    </row>
    <row r="902" spans="1:4" x14ac:dyDescent="0.25">
      <c r="A902" s="5" t="s">
        <v>23</v>
      </c>
      <c r="B902" s="6" t="s">
        <v>5</v>
      </c>
      <c r="C902" s="6" t="s">
        <v>37</v>
      </c>
      <c r="D902" s="6">
        <v>4617047</v>
      </c>
    </row>
    <row r="903" spans="1:4" x14ac:dyDescent="0.25">
      <c r="A903" s="2" t="s">
        <v>23</v>
      </c>
      <c r="B903" s="3" t="s">
        <v>5</v>
      </c>
      <c r="C903" s="3" t="s">
        <v>38</v>
      </c>
      <c r="D903" s="3">
        <v>4484799.5</v>
      </c>
    </row>
    <row r="904" spans="1:4" x14ac:dyDescent="0.25">
      <c r="A904" s="5" t="s">
        <v>23</v>
      </c>
      <c r="B904" s="6" t="s">
        <v>5</v>
      </c>
      <c r="C904" s="6" t="s">
        <v>39</v>
      </c>
      <c r="D904" s="6">
        <v>4680554</v>
      </c>
    </row>
    <row r="905" spans="1:4" x14ac:dyDescent="0.25">
      <c r="A905" s="2" t="s">
        <v>23</v>
      </c>
      <c r="B905" s="3" t="s">
        <v>5</v>
      </c>
      <c r="C905" s="3" t="s">
        <v>40</v>
      </c>
      <c r="D905" s="3">
        <v>4817372.5</v>
      </c>
    </row>
    <row r="906" spans="1:4" x14ac:dyDescent="0.25">
      <c r="A906" s="5" t="s">
        <v>23</v>
      </c>
      <c r="B906" s="6" t="s">
        <v>5</v>
      </c>
      <c r="C906" s="6" t="s">
        <v>41</v>
      </c>
      <c r="D906" s="6">
        <v>4800045.5</v>
      </c>
    </row>
    <row r="907" spans="1:4" x14ac:dyDescent="0.25">
      <c r="A907" s="2" t="s">
        <v>23</v>
      </c>
      <c r="B907" s="3" t="s">
        <v>5</v>
      </c>
      <c r="C907" s="3" t="s">
        <v>42</v>
      </c>
      <c r="D907" s="3">
        <v>4843421</v>
      </c>
    </row>
    <row r="908" spans="1:4" x14ac:dyDescent="0.25">
      <c r="A908" s="5" t="s">
        <v>23</v>
      </c>
      <c r="B908" s="6" t="s">
        <v>5</v>
      </c>
      <c r="C908" s="6" t="s">
        <v>43</v>
      </c>
      <c r="D908" s="6">
        <v>4363699.5</v>
      </c>
    </row>
    <row r="909" spans="1:4" x14ac:dyDescent="0.25">
      <c r="A909" s="2" t="s">
        <v>23</v>
      </c>
      <c r="B909" s="3" t="s">
        <v>5</v>
      </c>
      <c r="C909" s="3" t="s">
        <v>44</v>
      </c>
      <c r="D909" s="3">
        <v>4278112</v>
      </c>
    </row>
    <row r="910" spans="1:4" x14ac:dyDescent="0.25">
      <c r="A910" s="5" t="s">
        <v>23</v>
      </c>
      <c r="B910" s="6" t="s">
        <v>5</v>
      </c>
      <c r="C910" s="6" t="s">
        <v>45</v>
      </c>
      <c r="D910" s="6">
        <v>4440443.5</v>
      </c>
    </row>
    <row r="911" spans="1:4" x14ac:dyDescent="0.25">
      <c r="A911" s="2" t="s">
        <v>23</v>
      </c>
      <c r="B911" s="3" t="s">
        <v>5</v>
      </c>
      <c r="C911" s="3" t="s">
        <v>46</v>
      </c>
      <c r="D911" s="3">
        <v>4511159</v>
      </c>
    </row>
    <row r="912" spans="1:4" x14ac:dyDescent="0.25">
      <c r="A912" s="5" t="s">
        <v>23</v>
      </c>
      <c r="B912" s="6" t="s">
        <v>5</v>
      </c>
      <c r="C912" s="6" t="s">
        <v>47</v>
      </c>
      <c r="D912" s="6">
        <v>4462537.5</v>
      </c>
    </row>
    <row r="913" spans="1:4" x14ac:dyDescent="0.25">
      <c r="A913" s="2" t="s">
        <v>23</v>
      </c>
      <c r="B913" s="3" t="s">
        <v>5</v>
      </c>
      <c r="C913" s="3" t="s">
        <v>48</v>
      </c>
      <c r="D913" s="3">
        <v>4486210.5</v>
      </c>
    </row>
    <row r="914" spans="1:4" x14ac:dyDescent="0.25">
      <c r="A914" s="5" t="s">
        <v>23</v>
      </c>
      <c r="B914" s="6" t="s">
        <v>5</v>
      </c>
      <c r="C914" s="6" t="s">
        <v>49</v>
      </c>
      <c r="D914" s="6">
        <v>4308160.5</v>
      </c>
    </row>
    <row r="915" spans="1:4" x14ac:dyDescent="0.25">
      <c r="A915" s="2" t="s">
        <v>23</v>
      </c>
      <c r="B915" s="3" t="s">
        <v>5</v>
      </c>
      <c r="C915" s="3" t="s">
        <v>50</v>
      </c>
      <c r="D915" s="3">
        <v>4185064.5</v>
      </c>
    </row>
    <row r="916" spans="1:4" x14ac:dyDescent="0.25">
      <c r="A916" s="5" t="s">
        <v>23</v>
      </c>
      <c r="B916" s="6" t="s">
        <v>5</v>
      </c>
      <c r="C916" s="6" t="s">
        <v>51</v>
      </c>
      <c r="D916" s="6">
        <v>4367450</v>
      </c>
    </row>
    <row r="917" spans="1:4" x14ac:dyDescent="0.25">
      <c r="A917" s="2" t="s">
        <v>23</v>
      </c>
      <c r="B917" s="3" t="s">
        <v>5</v>
      </c>
      <c r="C917" s="3" t="s">
        <v>52</v>
      </c>
      <c r="D917" s="3">
        <v>4494712</v>
      </c>
    </row>
    <row r="918" spans="1:4" x14ac:dyDescent="0.25">
      <c r="A918" s="5" t="s">
        <v>23</v>
      </c>
      <c r="B918" s="6" t="s">
        <v>5</v>
      </c>
      <c r="C918" s="6" t="s">
        <v>53</v>
      </c>
      <c r="D918" s="6">
        <v>4478208</v>
      </c>
    </row>
    <row r="919" spans="1:4" x14ac:dyDescent="0.25">
      <c r="A919" s="2" t="s">
        <v>23</v>
      </c>
      <c r="B919" s="3" t="s">
        <v>5</v>
      </c>
      <c r="C919" s="3" t="s">
        <v>54</v>
      </c>
      <c r="D919" s="3">
        <v>4518498</v>
      </c>
    </row>
    <row r="920" spans="1:4" x14ac:dyDescent="0.25">
      <c r="A920" s="5" t="s">
        <v>23</v>
      </c>
      <c r="B920" s="6" t="s">
        <v>5</v>
      </c>
      <c r="C920" s="6" t="s">
        <v>55</v>
      </c>
      <c r="D920" s="6">
        <v>4134849</v>
      </c>
    </row>
    <row r="921" spans="1:4" x14ac:dyDescent="0.25">
      <c r="A921" s="5" t="s">
        <v>23</v>
      </c>
      <c r="B921" s="6" t="s">
        <v>5</v>
      </c>
      <c r="C921" s="6" t="s">
        <v>56</v>
      </c>
      <c r="D921" s="6">
        <v>4053733.75</v>
      </c>
    </row>
    <row r="922" spans="1:4" x14ac:dyDescent="0.25">
      <c r="A922" s="5" t="s">
        <v>23</v>
      </c>
      <c r="B922" s="6" t="s">
        <v>5</v>
      </c>
      <c r="C922" s="6" t="s">
        <v>57</v>
      </c>
      <c r="D922" s="6">
        <v>4207687.5</v>
      </c>
    </row>
    <row r="923" spans="1:4" x14ac:dyDescent="0.25">
      <c r="A923" s="5" t="s">
        <v>23</v>
      </c>
      <c r="B923" s="6" t="s">
        <v>5</v>
      </c>
      <c r="C923" s="6" t="s">
        <v>58</v>
      </c>
      <c r="D923" s="6">
        <v>4274908.5</v>
      </c>
    </row>
    <row r="924" spans="1:4" x14ac:dyDescent="0.25">
      <c r="A924" s="5" t="s">
        <v>23</v>
      </c>
      <c r="B924" s="6" t="s">
        <v>5</v>
      </c>
      <c r="C924" s="6" t="s">
        <v>59</v>
      </c>
      <c r="D924" s="6">
        <v>4228920.5</v>
      </c>
    </row>
    <row r="925" spans="1:4" x14ac:dyDescent="0.25">
      <c r="A925" s="5" t="s">
        <v>23</v>
      </c>
      <c r="B925" s="6" t="s">
        <v>5</v>
      </c>
      <c r="C925" s="6" t="s">
        <v>60</v>
      </c>
      <c r="D925" s="6">
        <v>4251454</v>
      </c>
    </row>
    <row r="926" spans="1:4" x14ac:dyDescent="0.25">
      <c r="A926" s="5" t="s">
        <v>23</v>
      </c>
      <c r="B926" s="6" t="s">
        <v>5</v>
      </c>
      <c r="C926" s="6" t="s">
        <v>61</v>
      </c>
      <c r="D926" s="6">
        <v>4082935.25</v>
      </c>
    </row>
    <row r="927" spans="1:4" x14ac:dyDescent="0.25">
      <c r="A927" s="5" t="s">
        <v>23</v>
      </c>
      <c r="B927" s="6" t="s">
        <v>5</v>
      </c>
      <c r="C927" s="6" t="s">
        <v>62</v>
      </c>
      <c r="D927" s="6">
        <v>3966571</v>
      </c>
    </row>
    <row r="928" spans="1:4" x14ac:dyDescent="0.25">
      <c r="A928" s="5" t="s">
        <v>23</v>
      </c>
      <c r="B928" s="6" t="s">
        <v>5</v>
      </c>
      <c r="C928" s="6" t="s">
        <v>63</v>
      </c>
      <c r="D928" s="6">
        <v>4139309.5</v>
      </c>
    </row>
    <row r="929" spans="1:4" x14ac:dyDescent="0.25">
      <c r="A929" s="5" t="s">
        <v>23</v>
      </c>
      <c r="B929" s="6" t="s">
        <v>5</v>
      </c>
      <c r="C929" s="6" t="s">
        <v>64</v>
      </c>
      <c r="D929" s="6">
        <v>4259495.5</v>
      </c>
    </row>
    <row r="930" spans="1:4" x14ac:dyDescent="0.25">
      <c r="A930" s="5" t="s">
        <v>23</v>
      </c>
      <c r="B930" s="6" t="s">
        <v>5</v>
      </c>
      <c r="C930" s="6" t="s">
        <v>65</v>
      </c>
      <c r="D930" s="6">
        <v>4243546.5</v>
      </c>
    </row>
    <row r="931" spans="1:4" x14ac:dyDescent="0.25">
      <c r="A931" s="5" t="s">
        <v>23</v>
      </c>
      <c r="B931" s="6" t="s">
        <v>5</v>
      </c>
      <c r="C931" s="6" t="s">
        <v>66</v>
      </c>
      <c r="D931" s="6">
        <v>4281569</v>
      </c>
    </row>
    <row r="932" spans="1:4" x14ac:dyDescent="0.25">
      <c r="A932" s="5" t="s">
        <v>32</v>
      </c>
      <c r="B932" s="6" t="s">
        <v>5</v>
      </c>
      <c r="C932" s="6" t="s">
        <v>36</v>
      </c>
      <c r="D932" s="6">
        <v>2779948.5</v>
      </c>
    </row>
    <row r="933" spans="1:4" x14ac:dyDescent="0.25">
      <c r="A933" s="2" t="s">
        <v>32</v>
      </c>
      <c r="B933" s="3" t="s">
        <v>5</v>
      </c>
      <c r="C933" s="3" t="s">
        <v>37</v>
      </c>
      <c r="D933" s="3">
        <v>2669135</v>
      </c>
    </row>
    <row r="934" spans="1:4" x14ac:dyDescent="0.25">
      <c r="A934" s="5" t="s">
        <v>32</v>
      </c>
      <c r="B934" s="6" t="s">
        <v>5</v>
      </c>
      <c r="C934" s="6" t="s">
        <v>38</v>
      </c>
      <c r="D934" s="6">
        <v>2592643.75</v>
      </c>
    </row>
    <row r="935" spans="1:4" x14ac:dyDescent="0.25">
      <c r="A935" s="2" t="s">
        <v>32</v>
      </c>
      <c r="B935" s="3" t="s">
        <v>5</v>
      </c>
      <c r="C935" s="3" t="s">
        <v>39</v>
      </c>
      <c r="D935" s="3">
        <v>2706027.25</v>
      </c>
    </row>
    <row r="936" spans="1:4" x14ac:dyDescent="0.25">
      <c r="A936" s="5" t="s">
        <v>32</v>
      </c>
      <c r="B936" s="6" t="s">
        <v>5</v>
      </c>
      <c r="C936" s="6" t="s">
        <v>40</v>
      </c>
      <c r="D936" s="6">
        <v>2785144</v>
      </c>
    </row>
    <row r="937" spans="1:4" x14ac:dyDescent="0.25">
      <c r="A937" s="2" t="s">
        <v>32</v>
      </c>
      <c r="B937" s="3" t="s">
        <v>5</v>
      </c>
      <c r="C937" s="3" t="s">
        <v>41</v>
      </c>
      <c r="D937" s="3">
        <v>2775257.75</v>
      </c>
    </row>
    <row r="938" spans="1:4" x14ac:dyDescent="0.25">
      <c r="A938" s="5" t="s">
        <v>32</v>
      </c>
      <c r="B938" s="6" t="s">
        <v>5</v>
      </c>
      <c r="C938" s="6" t="s">
        <v>42</v>
      </c>
      <c r="D938" s="6">
        <v>2800409.75</v>
      </c>
    </row>
    <row r="939" spans="1:4" x14ac:dyDescent="0.25">
      <c r="A939" s="2" t="s">
        <v>32</v>
      </c>
      <c r="B939" s="3" t="s">
        <v>5</v>
      </c>
      <c r="C939" s="3" t="s">
        <v>43</v>
      </c>
      <c r="D939" s="3">
        <v>2517823.75</v>
      </c>
    </row>
    <row r="940" spans="1:4" x14ac:dyDescent="0.25">
      <c r="A940" s="5" t="s">
        <v>32</v>
      </c>
      <c r="B940" s="6" t="s">
        <v>5</v>
      </c>
      <c r="C940" s="6" t="s">
        <v>44</v>
      </c>
      <c r="D940" s="6">
        <v>2468522</v>
      </c>
    </row>
    <row r="941" spans="1:4" x14ac:dyDescent="0.25">
      <c r="A941" s="2" t="s">
        <v>32</v>
      </c>
      <c r="B941" s="3" t="s">
        <v>5</v>
      </c>
      <c r="C941" s="3" t="s">
        <v>45</v>
      </c>
      <c r="D941" s="3">
        <v>2562375.25</v>
      </c>
    </row>
    <row r="942" spans="1:4" x14ac:dyDescent="0.25">
      <c r="A942" s="5" t="s">
        <v>32</v>
      </c>
      <c r="B942" s="6" t="s">
        <v>5</v>
      </c>
      <c r="C942" s="6" t="s">
        <v>46</v>
      </c>
      <c r="D942" s="6">
        <v>2602960.25</v>
      </c>
    </row>
    <row r="943" spans="1:4" x14ac:dyDescent="0.25">
      <c r="A943" s="2" t="s">
        <v>32</v>
      </c>
      <c r="B943" s="3" t="s">
        <v>5</v>
      </c>
      <c r="C943" s="3" t="s">
        <v>47</v>
      </c>
      <c r="D943" s="3">
        <v>2574923.25</v>
      </c>
    </row>
    <row r="944" spans="1:4" x14ac:dyDescent="0.25">
      <c r="A944" s="5" t="s">
        <v>32</v>
      </c>
      <c r="B944" s="6" t="s">
        <v>5</v>
      </c>
      <c r="C944" s="6" t="s">
        <v>48</v>
      </c>
      <c r="D944" s="6">
        <v>2588596.75</v>
      </c>
    </row>
    <row r="945" spans="1:4" x14ac:dyDescent="0.25">
      <c r="A945" s="2" t="s">
        <v>32</v>
      </c>
      <c r="B945" s="3" t="s">
        <v>5</v>
      </c>
      <c r="C945" s="3" t="s">
        <v>49</v>
      </c>
      <c r="D945" s="3">
        <v>2485594.75</v>
      </c>
    </row>
    <row r="946" spans="1:4" x14ac:dyDescent="0.25">
      <c r="A946" s="5" t="s">
        <v>32</v>
      </c>
      <c r="B946" s="6" t="s">
        <v>5</v>
      </c>
      <c r="C946" s="6" t="s">
        <v>50</v>
      </c>
      <c r="D946" s="6">
        <v>2414550.75</v>
      </c>
    </row>
    <row r="947" spans="1:4" x14ac:dyDescent="0.25">
      <c r="A947" s="2" t="s">
        <v>32</v>
      </c>
      <c r="B947" s="3" t="s">
        <v>5</v>
      </c>
      <c r="C947" s="3" t="s">
        <v>51</v>
      </c>
      <c r="D947" s="3">
        <v>2520006.25</v>
      </c>
    </row>
    <row r="948" spans="1:4" x14ac:dyDescent="0.25">
      <c r="A948" s="5" t="s">
        <v>32</v>
      </c>
      <c r="B948" s="6" t="s">
        <v>5</v>
      </c>
      <c r="C948" s="6" t="s">
        <v>52</v>
      </c>
      <c r="D948" s="6">
        <v>2593423.75</v>
      </c>
    </row>
    <row r="949" spans="1:4" x14ac:dyDescent="0.25">
      <c r="A949" s="2" t="s">
        <v>32</v>
      </c>
      <c r="B949" s="3" t="s">
        <v>5</v>
      </c>
      <c r="C949" s="3" t="s">
        <v>53</v>
      </c>
      <c r="D949" s="3">
        <v>2584022.75</v>
      </c>
    </row>
    <row r="950" spans="1:4" x14ac:dyDescent="0.25">
      <c r="A950" s="5" t="s">
        <v>32</v>
      </c>
      <c r="B950" s="6" t="s">
        <v>5</v>
      </c>
      <c r="C950" s="6" t="s">
        <v>54</v>
      </c>
      <c r="D950" s="6">
        <v>2607340.75</v>
      </c>
    </row>
    <row r="951" spans="1:4" x14ac:dyDescent="0.25">
      <c r="A951" s="5" t="s">
        <v>32</v>
      </c>
      <c r="B951" s="6" t="s">
        <v>5</v>
      </c>
      <c r="C951" s="6" t="s">
        <v>55</v>
      </c>
      <c r="D951" s="6">
        <v>2460106.5</v>
      </c>
    </row>
    <row r="952" spans="1:4" x14ac:dyDescent="0.25">
      <c r="A952" s="5" t="s">
        <v>32</v>
      </c>
      <c r="B952" s="6" t="s">
        <v>5</v>
      </c>
      <c r="C952" s="6" t="s">
        <v>56</v>
      </c>
      <c r="D952" s="6">
        <v>2411892.75</v>
      </c>
    </row>
    <row r="953" spans="1:4" x14ac:dyDescent="0.25">
      <c r="A953" s="5" t="s">
        <v>32</v>
      </c>
      <c r="B953" s="6" t="s">
        <v>5</v>
      </c>
      <c r="C953" s="6" t="s">
        <v>57</v>
      </c>
      <c r="D953" s="6">
        <v>2503671.5</v>
      </c>
    </row>
    <row r="954" spans="1:4" x14ac:dyDescent="0.25">
      <c r="A954" s="5" t="s">
        <v>32</v>
      </c>
      <c r="B954" s="6" t="s">
        <v>5</v>
      </c>
      <c r="C954" s="6" t="s">
        <v>58</v>
      </c>
      <c r="D954" s="6">
        <v>2543454</v>
      </c>
    </row>
    <row r="955" spans="1:4" x14ac:dyDescent="0.25">
      <c r="A955" s="5" t="s">
        <v>32</v>
      </c>
      <c r="B955" s="6" t="s">
        <v>5</v>
      </c>
      <c r="C955" s="6" t="s">
        <v>59</v>
      </c>
      <c r="D955" s="6">
        <v>2516121.75</v>
      </c>
    </row>
    <row r="956" spans="1:4" x14ac:dyDescent="0.25">
      <c r="A956" s="5" t="s">
        <v>32</v>
      </c>
      <c r="B956" s="6" t="s">
        <v>5</v>
      </c>
      <c r="C956" s="6" t="s">
        <v>60</v>
      </c>
      <c r="D956" s="6">
        <v>2529540</v>
      </c>
    </row>
    <row r="957" spans="1:4" x14ac:dyDescent="0.25">
      <c r="A957" s="5" t="s">
        <v>32</v>
      </c>
      <c r="B957" s="6" t="s">
        <v>5</v>
      </c>
      <c r="C957" s="6" t="s">
        <v>61</v>
      </c>
      <c r="D957" s="6">
        <v>2428978</v>
      </c>
    </row>
    <row r="958" spans="1:4" x14ac:dyDescent="0.25">
      <c r="A958" s="5" t="s">
        <v>32</v>
      </c>
      <c r="B958" s="6" t="s">
        <v>5</v>
      </c>
      <c r="C958" s="6" t="s">
        <v>62</v>
      </c>
      <c r="D958" s="6">
        <v>2359688</v>
      </c>
    </row>
    <row r="959" spans="1:4" x14ac:dyDescent="0.25">
      <c r="A959" s="5" t="s">
        <v>32</v>
      </c>
      <c r="B959" s="6" t="s">
        <v>5</v>
      </c>
      <c r="C959" s="6" t="s">
        <v>63</v>
      </c>
      <c r="D959" s="6">
        <v>2462688.75</v>
      </c>
    </row>
    <row r="960" spans="1:4" x14ac:dyDescent="0.25">
      <c r="A960" s="5" t="s">
        <v>32</v>
      </c>
      <c r="B960" s="6" t="s">
        <v>5</v>
      </c>
      <c r="C960" s="6" t="s">
        <v>64</v>
      </c>
      <c r="D960" s="6">
        <v>2534227.5</v>
      </c>
    </row>
    <row r="961" spans="1:4" x14ac:dyDescent="0.25">
      <c r="A961" s="5" t="s">
        <v>32</v>
      </c>
      <c r="B961" s="6" t="s">
        <v>5</v>
      </c>
      <c r="C961" s="6" t="s">
        <v>65</v>
      </c>
      <c r="D961" s="6">
        <v>2524903</v>
      </c>
    </row>
    <row r="962" spans="1:4" x14ac:dyDescent="0.25">
      <c r="A962" s="5" t="s">
        <v>32</v>
      </c>
      <c r="B962" s="6" t="s">
        <v>5</v>
      </c>
      <c r="C962" s="6" t="s">
        <v>66</v>
      </c>
      <c r="D962" s="6">
        <v>2547616.5</v>
      </c>
    </row>
  </sheetData>
  <sortState xmlns:xlrd2="http://schemas.microsoft.com/office/spreadsheetml/2017/richdata2" ref="A2:D962">
    <sortCondition ref="A1:A962"/>
  </sortState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B2ED-5AF8-40C3-AA10-F6D4AE7D2C9E}">
  <dimension ref="A1:D962"/>
  <sheetViews>
    <sheetView workbookViewId="0">
      <selection activeCell="D1" sqref="D1:D1048576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13</v>
      </c>
      <c r="B2" s="3" t="s">
        <v>5</v>
      </c>
      <c r="C2" s="3" t="s">
        <v>36</v>
      </c>
      <c r="D2" s="4">
        <v>2298707.75</v>
      </c>
    </row>
    <row r="3" spans="1:4" x14ac:dyDescent="0.25">
      <c r="A3" s="5" t="s">
        <v>13</v>
      </c>
      <c r="B3" s="6" t="s">
        <v>5</v>
      </c>
      <c r="C3" s="6" t="s">
        <v>37</v>
      </c>
      <c r="D3" s="7">
        <v>2298707.75</v>
      </c>
    </row>
    <row r="4" spans="1:4" x14ac:dyDescent="0.25">
      <c r="A4" s="2" t="s">
        <v>13</v>
      </c>
      <c r="B4" s="3" t="s">
        <v>5</v>
      </c>
      <c r="C4" s="3" t="s">
        <v>38</v>
      </c>
      <c r="D4" s="4">
        <v>2298707.75</v>
      </c>
    </row>
    <row r="5" spans="1:4" x14ac:dyDescent="0.25">
      <c r="A5" s="5" t="s">
        <v>13</v>
      </c>
      <c r="B5" s="6" t="s">
        <v>5</v>
      </c>
      <c r="C5" s="6" t="s">
        <v>39</v>
      </c>
      <c r="D5" s="7">
        <v>2298707.75</v>
      </c>
    </row>
    <row r="6" spans="1:4" x14ac:dyDescent="0.25">
      <c r="A6" s="2" t="s">
        <v>13</v>
      </c>
      <c r="B6" s="3" t="s">
        <v>5</v>
      </c>
      <c r="C6" s="3" t="s">
        <v>40</v>
      </c>
      <c r="D6" s="4">
        <v>2298707.75</v>
      </c>
    </row>
    <row r="7" spans="1:4" x14ac:dyDescent="0.25">
      <c r="A7" s="5" t="s">
        <v>13</v>
      </c>
      <c r="B7" s="6" t="s">
        <v>5</v>
      </c>
      <c r="C7" s="6" t="s">
        <v>41</v>
      </c>
      <c r="D7" s="7">
        <v>2298707.75</v>
      </c>
    </row>
    <row r="8" spans="1:4" x14ac:dyDescent="0.25">
      <c r="A8" s="2" t="s">
        <v>13</v>
      </c>
      <c r="B8" s="3" t="s">
        <v>5</v>
      </c>
      <c r="C8" s="3" t="s">
        <v>42</v>
      </c>
      <c r="D8" s="4">
        <v>2299811.25</v>
      </c>
    </row>
    <row r="9" spans="1:4" x14ac:dyDescent="0.25">
      <c r="A9" s="5" t="s">
        <v>13</v>
      </c>
      <c r="B9" s="6" t="s">
        <v>5</v>
      </c>
      <c r="C9" s="6" t="s">
        <v>43</v>
      </c>
      <c r="D9" s="7">
        <v>2279375</v>
      </c>
    </row>
    <row r="10" spans="1:4" x14ac:dyDescent="0.25">
      <c r="A10" s="2" t="s">
        <v>13</v>
      </c>
      <c r="B10" s="3" t="s">
        <v>5</v>
      </c>
      <c r="C10" s="3" t="s">
        <v>44</v>
      </c>
      <c r="D10" s="4">
        <v>2279375</v>
      </c>
    </row>
    <row r="11" spans="1:4" x14ac:dyDescent="0.25">
      <c r="A11" s="5" t="s">
        <v>13</v>
      </c>
      <c r="B11" s="6" t="s">
        <v>5</v>
      </c>
      <c r="C11" s="6" t="s">
        <v>45</v>
      </c>
      <c r="D11" s="7">
        <v>2279375</v>
      </c>
    </row>
    <row r="12" spans="1:4" x14ac:dyDescent="0.25">
      <c r="A12" s="2" t="s">
        <v>13</v>
      </c>
      <c r="B12" s="3" t="s">
        <v>5</v>
      </c>
      <c r="C12" s="3" t="s">
        <v>46</v>
      </c>
      <c r="D12" s="4">
        <v>2279375</v>
      </c>
    </row>
    <row r="13" spans="1:4" x14ac:dyDescent="0.25">
      <c r="A13" s="5" t="s">
        <v>13</v>
      </c>
      <c r="B13" s="6" t="s">
        <v>5</v>
      </c>
      <c r="C13" s="6" t="s">
        <v>47</v>
      </c>
      <c r="D13" s="7">
        <v>2279375</v>
      </c>
    </row>
    <row r="14" spans="1:4" x14ac:dyDescent="0.25">
      <c r="A14" s="2" t="s">
        <v>13</v>
      </c>
      <c r="B14" s="3" t="s">
        <v>5</v>
      </c>
      <c r="C14" s="3" t="s">
        <v>48</v>
      </c>
      <c r="D14" s="4">
        <v>2279375</v>
      </c>
    </row>
    <row r="15" spans="1:4" x14ac:dyDescent="0.25">
      <c r="A15" s="5" t="s">
        <v>13</v>
      </c>
      <c r="B15" s="6" t="s">
        <v>5</v>
      </c>
      <c r="C15" s="6" t="s">
        <v>49</v>
      </c>
      <c r="D15" s="7">
        <v>2279375</v>
      </c>
    </row>
    <row r="16" spans="1:4" x14ac:dyDescent="0.25">
      <c r="A16" s="2" t="s">
        <v>13</v>
      </c>
      <c r="B16" s="3" t="s">
        <v>5</v>
      </c>
      <c r="C16" s="3" t="s">
        <v>50</v>
      </c>
      <c r="D16" s="4">
        <v>2279375</v>
      </c>
    </row>
    <row r="17" spans="1:4" x14ac:dyDescent="0.25">
      <c r="A17" s="5" t="s">
        <v>13</v>
      </c>
      <c r="B17" s="6" t="s">
        <v>5</v>
      </c>
      <c r="C17" s="6" t="s">
        <v>51</v>
      </c>
      <c r="D17" s="7">
        <v>2279375</v>
      </c>
    </row>
    <row r="18" spans="1:4" x14ac:dyDescent="0.25">
      <c r="A18" s="2" t="s">
        <v>13</v>
      </c>
      <c r="B18" s="3" t="s">
        <v>5</v>
      </c>
      <c r="C18" s="3" t="s">
        <v>52</v>
      </c>
      <c r="D18" s="4">
        <v>2279375</v>
      </c>
    </row>
    <row r="19" spans="1:4" x14ac:dyDescent="0.25">
      <c r="A19" s="5" t="s">
        <v>13</v>
      </c>
      <c r="B19" s="6" t="s">
        <v>5</v>
      </c>
      <c r="C19" s="6" t="s">
        <v>53</v>
      </c>
      <c r="D19" s="7">
        <v>2279375</v>
      </c>
    </row>
    <row r="20" spans="1:4" x14ac:dyDescent="0.25">
      <c r="A20" s="2" t="s">
        <v>13</v>
      </c>
      <c r="B20" s="3" t="s">
        <v>5</v>
      </c>
      <c r="C20" s="3" t="s">
        <v>54</v>
      </c>
      <c r="D20" s="4">
        <v>2280469.25</v>
      </c>
    </row>
    <row r="21" spans="1:4" x14ac:dyDescent="0.25">
      <c r="A21" s="5" t="s">
        <v>13</v>
      </c>
      <c r="B21" s="6" t="s">
        <v>5</v>
      </c>
      <c r="C21" s="6" t="s">
        <v>55</v>
      </c>
      <c r="D21" s="7">
        <v>4913697</v>
      </c>
    </row>
    <row r="22" spans="1:4" x14ac:dyDescent="0.25">
      <c r="A22" s="5" t="s">
        <v>13</v>
      </c>
      <c r="B22" s="6" t="s">
        <v>5</v>
      </c>
      <c r="C22" s="6" t="s">
        <v>56</v>
      </c>
      <c r="D22" s="7">
        <v>4274399.5</v>
      </c>
    </row>
    <row r="23" spans="1:4" x14ac:dyDescent="0.25">
      <c r="A23" s="5" t="s">
        <v>13</v>
      </c>
      <c r="B23" s="6" t="s">
        <v>5</v>
      </c>
      <c r="C23" s="6" t="s">
        <v>57</v>
      </c>
      <c r="D23" s="7">
        <v>2771216.25</v>
      </c>
    </row>
    <row r="24" spans="1:4" x14ac:dyDescent="0.25">
      <c r="A24" s="5" t="s">
        <v>13</v>
      </c>
      <c r="B24" s="6" t="s">
        <v>5</v>
      </c>
      <c r="C24" s="6" t="s">
        <v>58</v>
      </c>
      <c r="D24" s="7">
        <v>1808934.375</v>
      </c>
    </row>
    <row r="25" spans="1:4" x14ac:dyDescent="0.25">
      <c r="A25" s="5" t="s">
        <v>13</v>
      </c>
      <c r="B25" s="6" t="s">
        <v>5</v>
      </c>
      <c r="C25" s="6" t="s">
        <v>59</v>
      </c>
      <c r="D25" s="7">
        <v>1155739</v>
      </c>
    </row>
    <row r="26" spans="1:4" x14ac:dyDescent="0.25">
      <c r="A26" s="5" t="s">
        <v>13</v>
      </c>
      <c r="B26" s="6" t="s">
        <v>5</v>
      </c>
      <c r="C26" s="6" t="s">
        <v>60</v>
      </c>
      <c r="D26" s="7">
        <v>642911.0625</v>
      </c>
    </row>
    <row r="27" spans="1:4" x14ac:dyDescent="0.25">
      <c r="A27" s="5" t="s">
        <v>13</v>
      </c>
      <c r="B27" s="6" t="s">
        <v>5</v>
      </c>
      <c r="C27" s="6" t="s">
        <v>61</v>
      </c>
      <c r="D27" s="7">
        <v>478639.375</v>
      </c>
    </row>
    <row r="28" spans="1:4" x14ac:dyDescent="0.25">
      <c r="A28" s="5" t="s">
        <v>13</v>
      </c>
      <c r="B28" s="6" t="s">
        <v>5</v>
      </c>
      <c r="C28" s="6" t="s">
        <v>62</v>
      </c>
      <c r="D28" s="7">
        <v>532006.8125</v>
      </c>
    </row>
    <row r="29" spans="1:4" x14ac:dyDescent="0.25">
      <c r="A29" s="5" t="s">
        <v>13</v>
      </c>
      <c r="B29" s="6" t="s">
        <v>5</v>
      </c>
      <c r="C29" s="6" t="s">
        <v>63</v>
      </c>
      <c r="D29" s="7">
        <v>955055.0625</v>
      </c>
    </row>
    <row r="30" spans="1:4" x14ac:dyDescent="0.25">
      <c r="A30" s="5" t="s">
        <v>13</v>
      </c>
      <c r="B30" s="6" t="s">
        <v>5</v>
      </c>
      <c r="C30" s="6" t="s">
        <v>64</v>
      </c>
      <c r="D30" s="7">
        <v>2175001.75</v>
      </c>
    </row>
    <row r="31" spans="1:4" x14ac:dyDescent="0.25">
      <c r="A31" s="5" t="s">
        <v>13</v>
      </c>
      <c r="B31" s="6" t="s">
        <v>5</v>
      </c>
      <c r="C31" s="6" t="s">
        <v>65</v>
      </c>
      <c r="D31" s="7">
        <v>3213443.5</v>
      </c>
    </row>
    <row r="32" spans="1:4" x14ac:dyDescent="0.25">
      <c r="A32" s="5" t="s">
        <v>13</v>
      </c>
      <c r="B32" s="6" t="s">
        <v>5</v>
      </c>
      <c r="C32" s="6" t="s">
        <v>66</v>
      </c>
      <c r="D32" s="7">
        <v>4874505</v>
      </c>
    </row>
    <row r="33" spans="1:4" x14ac:dyDescent="0.25">
      <c r="A33" s="5" t="s">
        <v>8</v>
      </c>
      <c r="B33" s="6" t="s">
        <v>5</v>
      </c>
      <c r="C33" s="6" t="s">
        <v>36</v>
      </c>
      <c r="D33" s="7">
        <v>865223.1875</v>
      </c>
    </row>
    <row r="34" spans="1:4" x14ac:dyDescent="0.25">
      <c r="A34" s="2" t="s">
        <v>8</v>
      </c>
      <c r="B34" s="3" t="s">
        <v>5</v>
      </c>
      <c r="C34" s="3" t="s">
        <v>37</v>
      </c>
      <c r="D34" s="4">
        <v>865223.1875</v>
      </c>
    </row>
    <row r="35" spans="1:4" x14ac:dyDescent="0.25">
      <c r="A35" s="5" t="s">
        <v>8</v>
      </c>
      <c r="B35" s="6" t="s">
        <v>5</v>
      </c>
      <c r="C35" s="6" t="s">
        <v>38</v>
      </c>
      <c r="D35" s="7">
        <v>865223.1875</v>
      </c>
    </row>
    <row r="36" spans="1:4" x14ac:dyDescent="0.25">
      <c r="A36" s="2" t="s">
        <v>8</v>
      </c>
      <c r="B36" s="3" t="s">
        <v>5</v>
      </c>
      <c r="C36" s="3" t="s">
        <v>39</v>
      </c>
      <c r="D36" s="4">
        <v>865223.1875</v>
      </c>
    </row>
    <row r="37" spans="1:4" x14ac:dyDescent="0.25">
      <c r="A37" s="5" t="s">
        <v>8</v>
      </c>
      <c r="B37" s="6" t="s">
        <v>5</v>
      </c>
      <c r="C37" s="6" t="s">
        <v>40</v>
      </c>
      <c r="D37" s="7">
        <v>865223.1875</v>
      </c>
    </row>
    <row r="38" spans="1:4" x14ac:dyDescent="0.25">
      <c r="A38" s="2" t="s">
        <v>8</v>
      </c>
      <c r="B38" s="3" t="s">
        <v>5</v>
      </c>
      <c r="C38" s="3" t="s">
        <v>41</v>
      </c>
      <c r="D38" s="4">
        <v>865223.1875</v>
      </c>
    </row>
    <row r="39" spans="1:4" x14ac:dyDescent="0.25">
      <c r="A39" s="5" t="s">
        <v>8</v>
      </c>
      <c r="B39" s="6" t="s">
        <v>5</v>
      </c>
      <c r="C39" s="6" t="s">
        <v>42</v>
      </c>
      <c r="D39" s="7">
        <v>865638.5</v>
      </c>
    </row>
    <row r="40" spans="1:4" x14ac:dyDescent="0.25">
      <c r="A40" s="2" t="s">
        <v>8</v>
      </c>
      <c r="B40" s="3" t="s">
        <v>5</v>
      </c>
      <c r="C40" s="3" t="s">
        <v>43</v>
      </c>
      <c r="D40" s="4">
        <v>863217.125</v>
      </c>
    </row>
    <row r="41" spans="1:4" x14ac:dyDescent="0.25">
      <c r="A41" s="5" t="s">
        <v>8</v>
      </c>
      <c r="B41" s="6" t="s">
        <v>5</v>
      </c>
      <c r="C41" s="6" t="s">
        <v>44</v>
      </c>
      <c r="D41" s="7">
        <v>863217.125</v>
      </c>
    </row>
    <row r="42" spans="1:4" x14ac:dyDescent="0.25">
      <c r="A42" s="2" t="s">
        <v>8</v>
      </c>
      <c r="B42" s="3" t="s">
        <v>5</v>
      </c>
      <c r="C42" s="3" t="s">
        <v>45</v>
      </c>
      <c r="D42" s="4">
        <v>863217.125</v>
      </c>
    </row>
    <row r="43" spans="1:4" x14ac:dyDescent="0.25">
      <c r="A43" s="5" t="s">
        <v>8</v>
      </c>
      <c r="B43" s="6" t="s">
        <v>5</v>
      </c>
      <c r="C43" s="6" t="s">
        <v>46</v>
      </c>
      <c r="D43" s="7">
        <v>863217.125</v>
      </c>
    </row>
    <row r="44" spans="1:4" x14ac:dyDescent="0.25">
      <c r="A44" s="2" t="s">
        <v>8</v>
      </c>
      <c r="B44" s="3" t="s">
        <v>5</v>
      </c>
      <c r="C44" s="3" t="s">
        <v>47</v>
      </c>
      <c r="D44" s="4">
        <v>863217.125</v>
      </c>
    </row>
    <row r="45" spans="1:4" x14ac:dyDescent="0.25">
      <c r="A45" s="5" t="s">
        <v>8</v>
      </c>
      <c r="B45" s="6" t="s">
        <v>5</v>
      </c>
      <c r="C45" s="6" t="s">
        <v>48</v>
      </c>
      <c r="D45" s="7">
        <v>863217.125</v>
      </c>
    </row>
    <row r="46" spans="1:4" x14ac:dyDescent="0.25">
      <c r="A46" s="2" t="s">
        <v>8</v>
      </c>
      <c r="B46" s="3" t="s">
        <v>5</v>
      </c>
      <c r="C46" s="3" t="s">
        <v>49</v>
      </c>
      <c r="D46" s="4">
        <v>863217.125</v>
      </c>
    </row>
    <row r="47" spans="1:4" x14ac:dyDescent="0.25">
      <c r="A47" s="5" t="s">
        <v>8</v>
      </c>
      <c r="B47" s="6" t="s">
        <v>5</v>
      </c>
      <c r="C47" s="6" t="s">
        <v>50</v>
      </c>
      <c r="D47" s="7">
        <v>863217.125</v>
      </c>
    </row>
    <row r="48" spans="1:4" x14ac:dyDescent="0.25">
      <c r="A48" s="2" t="s">
        <v>8</v>
      </c>
      <c r="B48" s="3" t="s">
        <v>5</v>
      </c>
      <c r="C48" s="3" t="s">
        <v>51</v>
      </c>
      <c r="D48" s="4">
        <v>863217.125</v>
      </c>
    </row>
    <row r="49" spans="1:4" x14ac:dyDescent="0.25">
      <c r="A49" s="5" t="s">
        <v>8</v>
      </c>
      <c r="B49" s="6" t="s">
        <v>5</v>
      </c>
      <c r="C49" s="6" t="s">
        <v>52</v>
      </c>
      <c r="D49" s="7">
        <v>863217.125</v>
      </c>
    </row>
    <row r="50" spans="1:4" x14ac:dyDescent="0.25">
      <c r="A50" s="2" t="s">
        <v>8</v>
      </c>
      <c r="B50" s="3" t="s">
        <v>5</v>
      </c>
      <c r="C50" s="3" t="s">
        <v>53</v>
      </c>
      <c r="D50" s="4">
        <v>863217.125</v>
      </c>
    </row>
    <row r="51" spans="1:4" x14ac:dyDescent="0.25">
      <c r="A51" s="5" t="s">
        <v>8</v>
      </c>
      <c r="B51" s="6" t="s">
        <v>5</v>
      </c>
      <c r="C51" s="6" t="s">
        <v>54</v>
      </c>
      <c r="D51" s="7">
        <v>863631.5</v>
      </c>
    </row>
    <row r="52" spans="1:4" x14ac:dyDescent="0.25">
      <c r="A52" s="5" t="s">
        <v>8</v>
      </c>
      <c r="B52" s="6" t="s">
        <v>5</v>
      </c>
      <c r="C52" s="6" t="s">
        <v>55</v>
      </c>
      <c r="D52" s="7">
        <v>1931325.75</v>
      </c>
    </row>
    <row r="53" spans="1:4" x14ac:dyDescent="0.25">
      <c r="A53" s="5" t="s">
        <v>8</v>
      </c>
      <c r="B53" s="6" t="s">
        <v>5</v>
      </c>
      <c r="C53" s="6" t="s">
        <v>56</v>
      </c>
      <c r="D53" s="7">
        <v>1680050.25</v>
      </c>
    </row>
    <row r="54" spans="1:4" x14ac:dyDescent="0.25">
      <c r="A54" s="5" t="s">
        <v>8</v>
      </c>
      <c r="B54" s="6" t="s">
        <v>5</v>
      </c>
      <c r="C54" s="6" t="s">
        <v>57</v>
      </c>
      <c r="D54" s="7">
        <v>1089224.875</v>
      </c>
    </row>
    <row r="55" spans="1:4" x14ac:dyDescent="0.25">
      <c r="A55" s="5" t="s">
        <v>8</v>
      </c>
      <c r="B55" s="6" t="s">
        <v>5</v>
      </c>
      <c r="C55" s="6" t="s">
        <v>58</v>
      </c>
      <c r="D55" s="7">
        <v>711000.5625</v>
      </c>
    </row>
    <row r="56" spans="1:4" x14ac:dyDescent="0.25">
      <c r="A56" s="5" t="s">
        <v>8</v>
      </c>
      <c r="B56" s="6" t="s">
        <v>5</v>
      </c>
      <c r="C56" s="6" t="s">
        <v>59</v>
      </c>
      <c r="D56" s="7">
        <v>454262.5</v>
      </c>
    </row>
    <row r="57" spans="1:4" x14ac:dyDescent="0.25">
      <c r="A57" s="5" t="s">
        <v>8</v>
      </c>
      <c r="B57" s="6" t="s">
        <v>5</v>
      </c>
      <c r="C57" s="6" t="s">
        <v>60</v>
      </c>
      <c r="D57" s="7">
        <v>252695.78125</v>
      </c>
    </row>
    <row r="58" spans="1:4" x14ac:dyDescent="0.25">
      <c r="A58" s="5" t="s">
        <v>8</v>
      </c>
      <c r="B58" s="6" t="s">
        <v>5</v>
      </c>
      <c r="C58" s="6" t="s">
        <v>61</v>
      </c>
      <c r="D58" s="7">
        <v>188128.890625</v>
      </c>
    </row>
    <row r="59" spans="1:4" x14ac:dyDescent="0.25">
      <c r="A59" s="5" t="s">
        <v>8</v>
      </c>
      <c r="B59" s="6" t="s">
        <v>5</v>
      </c>
      <c r="C59" s="6" t="s">
        <v>62</v>
      </c>
      <c r="D59" s="7">
        <v>209104.921875</v>
      </c>
    </row>
    <row r="60" spans="1:4" x14ac:dyDescent="0.25">
      <c r="A60" s="5" t="s">
        <v>8</v>
      </c>
      <c r="B60" s="6" t="s">
        <v>5</v>
      </c>
      <c r="C60" s="6" t="s">
        <v>63</v>
      </c>
      <c r="D60" s="7">
        <v>375383.78125</v>
      </c>
    </row>
    <row r="61" spans="1:4" x14ac:dyDescent="0.25">
      <c r="A61" s="5" t="s">
        <v>8</v>
      </c>
      <c r="B61" s="6" t="s">
        <v>5</v>
      </c>
      <c r="C61" s="6" t="s">
        <v>64</v>
      </c>
      <c r="D61" s="7">
        <v>854883.125</v>
      </c>
    </row>
    <row r="62" spans="1:4" x14ac:dyDescent="0.25">
      <c r="A62" s="5" t="s">
        <v>8</v>
      </c>
      <c r="B62" s="6" t="s">
        <v>5</v>
      </c>
      <c r="C62" s="6" t="s">
        <v>65</v>
      </c>
      <c r="D62" s="7">
        <v>1263041.75</v>
      </c>
    </row>
    <row r="63" spans="1:4" x14ac:dyDescent="0.25">
      <c r="A63" s="5" t="s">
        <v>8</v>
      </c>
      <c r="B63" s="6" t="s">
        <v>5</v>
      </c>
      <c r="C63" s="6" t="s">
        <v>66</v>
      </c>
      <c r="D63" s="7">
        <v>1915921.125</v>
      </c>
    </row>
    <row r="64" spans="1:4" x14ac:dyDescent="0.25">
      <c r="A64" s="5" t="s">
        <v>28</v>
      </c>
      <c r="B64" s="6" t="s">
        <v>5</v>
      </c>
      <c r="C64" s="6" t="s">
        <v>36</v>
      </c>
      <c r="D64" s="7">
        <v>1117580.625</v>
      </c>
    </row>
    <row r="65" spans="1:4" x14ac:dyDescent="0.25">
      <c r="A65" s="2" t="s">
        <v>28</v>
      </c>
      <c r="B65" s="3" t="s">
        <v>5</v>
      </c>
      <c r="C65" s="3" t="s">
        <v>37</v>
      </c>
      <c r="D65" s="4">
        <v>1117580.625</v>
      </c>
    </row>
    <row r="66" spans="1:4" x14ac:dyDescent="0.25">
      <c r="A66" s="5" t="s">
        <v>28</v>
      </c>
      <c r="B66" s="6" t="s">
        <v>5</v>
      </c>
      <c r="C66" s="6" t="s">
        <v>38</v>
      </c>
      <c r="D66" s="7">
        <v>1117580.625</v>
      </c>
    </row>
    <row r="67" spans="1:4" x14ac:dyDescent="0.25">
      <c r="A67" s="2" t="s">
        <v>28</v>
      </c>
      <c r="B67" s="3" t="s">
        <v>5</v>
      </c>
      <c r="C67" s="3" t="s">
        <v>39</v>
      </c>
      <c r="D67" s="4">
        <v>1117580.625</v>
      </c>
    </row>
    <row r="68" spans="1:4" x14ac:dyDescent="0.25">
      <c r="A68" s="5" t="s">
        <v>28</v>
      </c>
      <c r="B68" s="6" t="s">
        <v>5</v>
      </c>
      <c r="C68" s="6" t="s">
        <v>40</v>
      </c>
      <c r="D68" s="7">
        <v>1117580.625</v>
      </c>
    </row>
    <row r="69" spans="1:4" x14ac:dyDescent="0.25">
      <c r="A69" s="2" t="s">
        <v>28</v>
      </c>
      <c r="B69" s="3" t="s">
        <v>5</v>
      </c>
      <c r="C69" s="3" t="s">
        <v>41</v>
      </c>
      <c r="D69" s="4">
        <v>1117580.625</v>
      </c>
    </row>
    <row r="70" spans="1:4" x14ac:dyDescent="0.25">
      <c r="A70" s="5" t="s">
        <v>28</v>
      </c>
      <c r="B70" s="6" t="s">
        <v>5</v>
      </c>
      <c r="C70" s="6" t="s">
        <v>42</v>
      </c>
      <c r="D70" s="7">
        <v>1118117.125</v>
      </c>
    </row>
    <row r="71" spans="1:4" x14ac:dyDescent="0.25">
      <c r="A71" s="2" t="s">
        <v>28</v>
      </c>
      <c r="B71" s="3" t="s">
        <v>5</v>
      </c>
      <c r="C71" s="3" t="s">
        <v>43</v>
      </c>
      <c r="D71" s="4">
        <v>1105204.625</v>
      </c>
    </row>
    <row r="72" spans="1:4" x14ac:dyDescent="0.25">
      <c r="A72" s="5" t="s">
        <v>28</v>
      </c>
      <c r="B72" s="6" t="s">
        <v>5</v>
      </c>
      <c r="C72" s="6" t="s">
        <v>44</v>
      </c>
      <c r="D72" s="7">
        <v>1105204.625</v>
      </c>
    </row>
    <row r="73" spans="1:4" x14ac:dyDescent="0.25">
      <c r="A73" s="2" t="s">
        <v>28</v>
      </c>
      <c r="B73" s="3" t="s">
        <v>5</v>
      </c>
      <c r="C73" s="3" t="s">
        <v>45</v>
      </c>
      <c r="D73" s="4">
        <v>1105202.25</v>
      </c>
    </row>
    <row r="74" spans="1:4" x14ac:dyDescent="0.25">
      <c r="A74" s="5" t="s">
        <v>28</v>
      </c>
      <c r="B74" s="6" t="s">
        <v>5</v>
      </c>
      <c r="C74" s="6" t="s">
        <v>46</v>
      </c>
      <c r="D74" s="7">
        <v>1105202</v>
      </c>
    </row>
    <row r="75" spans="1:4" x14ac:dyDescent="0.25">
      <c r="A75" s="2" t="s">
        <v>28</v>
      </c>
      <c r="B75" s="3" t="s">
        <v>5</v>
      </c>
      <c r="C75" s="3" t="s">
        <v>47</v>
      </c>
      <c r="D75" s="4">
        <v>1105201.25</v>
      </c>
    </row>
    <row r="76" spans="1:4" x14ac:dyDescent="0.25">
      <c r="A76" s="5" t="s">
        <v>28</v>
      </c>
      <c r="B76" s="6" t="s">
        <v>5</v>
      </c>
      <c r="C76" s="6" t="s">
        <v>48</v>
      </c>
      <c r="D76" s="7">
        <v>1105200.875</v>
      </c>
    </row>
    <row r="77" spans="1:4" x14ac:dyDescent="0.25">
      <c r="A77" s="2" t="s">
        <v>28</v>
      </c>
      <c r="B77" s="3" t="s">
        <v>5</v>
      </c>
      <c r="C77" s="3" t="s">
        <v>49</v>
      </c>
      <c r="D77" s="4">
        <v>1105200.875</v>
      </c>
    </row>
    <row r="78" spans="1:4" x14ac:dyDescent="0.25">
      <c r="A78" s="5" t="s">
        <v>28</v>
      </c>
      <c r="B78" s="6" t="s">
        <v>5</v>
      </c>
      <c r="C78" s="6" t="s">
        <v>50</v>
      </c>
      <c r="D78" s="7">
        <v>1105200.875</v>
      </c>
    </row>
    <row r="79" spans="1:4" x14ac:dyDescent="0.25">
      <c r="A79" s="2" t="s">
        <v>28</v>
      </c>
      <c r="B79" s="3" t="s">
        <v>5</v>
      </c>
      <c r="C79" s="3" t="s">
        <v>51</v>
      </c>
      <c r="D79" s="4">
        <v>1105201</v>
      </c>
    </row>
    <row r="80" spans="1:4" x14ac:dyDescent="0.25">
      <c r="A80" s="5" t="s">
        <v>28</v>
      </c>
      <c r="B80" s="6" t="s">
        <v>5</v>
      </c>
      <c r="C80" s="6" t="s">
        <v>52</v>
      </c>
      <c r="D80" s="7">
        <v>1105201.375</v>
      </c>
    </row>
    <row r="81" spans="1:4" x14ac:dyDescent="0.25">
      <c r="A81" s="2" t="s">
        <v>28</v>
      </c>
      <c r="B81" s="3" t="s">
        <v>5</v>
      </c>
      <c r="C81" s="3" t="s">
        <v>53</v>
      </c>
      <c r="D81" s="4">
        <v>1105201.375</v>
      </c>
    </row>
    <row r="82" spans="1:4" x14ac:dyDescent="0.25">
      <c r="A82" s="5" t="s">
        <v>28</v>
      </c>
      <c r="B82" s="6" t="s">
        <v>5</v>
      </c>
      <c r="C82" s="6" t="s">
        <v>54</v>
      </c>
      <c r="D82" s="7">
        <v>1105735.5</v>
      </c>
    </row>
    <row r="83" spans="1:4" x14ac:dyDescent="0.25">
      <c r="A83" s="5" t="s">
        <v>28</v>
      </c>
      <c r="B83" s="6" t="s">
        <v>5</v>
      </c>
      <c r="C83" s="6" t="s">
        <v>55</v>
      </c>
      <c r="D83" s="7">
        <v>2360254.5</v>
      </c>
    </row>
    <row r="84" spans="1:4" x14ac:dyDescent="0.25">
      <c r="A84" s="5" t="s">
        <v>28</v>
      </c>
      <c r="B84" s="6" t="s">
        <v>5</v>
      </c>
      <c r="C84" s="6" t="s">
        <v>56</v>
      </c>
      <c r="D84" s="7">
        <v>2053933.5</v>
      </c>
    </row>
    <row r="85" spans="1:4" x14ac:dyDescent="0.25">
      <c r="A85" s="5" t="s">
        <v>28</v>
      </c>
      <c r="B85" s="6" t="s">
        <v>5</v>
      </c>
      <c r="C85" s="6" t="s">
        <v>57</v>
      </c>
      <c r="D85" s="7">
        <v>1329893.5</v>
      </c>
    </row>
    <row r="86" spans="1:4" x14ac:dyDescent="0.25">
      <c r="A86" s="5" t="s">
        <v>28</v>
      </c>
      <c r="B86" s="6" t="s">
        <v>5</v>
      </c>
      <c r="C86" s="6" t="s">
        <v>58</v>
      </c>
      <c r="D86" s="7">
        <v>868445.0625</v>
      </c>
    </row>
    <row r="87" spans="1:4" x14ac:dyDescent="0.25">
      <c r="A87" s="5" t="s">
        <v>28</v>
      </c>
      <c r="B87" s="6" t="s">
        <v>5</v>
      </c>
      <c r="C87" s="6" t="s">
        <v>59</v>
      </c>
      <c r="D87" s="7">
        <v>554418.875</v>
      </c>
    </row>
    <row r="88" spans="1:4" x14ac:dyDescent="0.25">
      <c r="A88" s="5" t="s">
        <v>28</v>
      </c>
      <c r="B88" s="6" t="s">
        <v>5</v>
      </c>
      <c r="C88" s="6" t="s">
        <v>60</v>
      </c>
      <c r="D88" s="7">
        <v>308086.65625</v>
      </c>
    </row>
    <row r="89" spans="1:4" x14ac:dyDescent="0.25">
      <c r="A89" s="5" t="s">
        <v>28</v>
      </c>
      <c r="B89" s="6" t="s">
        <v>5</v>
      </c>
      <c r="C89" s="6" t="s">
        <v>61</v>
      </c>
      <c r="D89" s="7">
        <v>229363.171875</v>
      </c>
    </row>
    <row r="90" spans="1:4" x14ac:dyDescent="0.25">
      <c r="A90" s="5" t="s">
        <v>28</v>
      </c>
      <c r="B90" s="6" t="s">
        <v>5</v>
      </c>
      <c r="C90" s="6" t="s">
        <v>62</v>
      </c>
      <c r="D90" s="7">
        <v>254944.09375</v>
      </c>
    </row>
    <row r="91" spans="1:4" x14ac:dyDescent="0.25">
      <c r="A91" s="5" t="s">
        <v>28</v>
      </c>
      <c r="B91" s="6" t="s">
        <v>5</v>
      </c>
      <c r="C91" s="6" t="s">
        <v>63</v>
      </c>
      <c r="D91" s="7">
        <v>457768.84375</v>
      </c>
    </row>
    <row r="92" spans="1:4" x14ac:dyDescent="0.25">
      <c r="A92" s="5" t="s">
        <v>28</v>
      </c>
      <c r="B92" s="6" t="s">
        <v>5</v>
      </c>
      <c r="C92" s="6" t="s">
        <v>64</v>
      </c>
      <c r="D92" s="7">
        <v>1042936.5</v>
      </c>
    </row>
    <row r="93" spans="1:4" x14ac:dyDescent="0.25">
      <c r="A93" s="5" t="s">
        <v>28</v>
      </c>
      <c r="B93" s="6" t="s">
        <v>5</v>
      </c>
      <c r="C93" s="6" t="s">
        <v>65</v>
      </c>
      <c r="D93" s="7">
        <v>1540462.875</v>
      </c>
    </row>
    <row r="94" spans="1:4" x14ac:dyDescent="0.25">
      <c r="A94" s="5" t="s">
        <v>28</v>
      </c>
      <c r="B94" s="6" t="s">
        <v>5</v>
      </c>
      <c r="C94" s="6" t="s">
        <v>66</v>
      </c>
      <c r="D94" s="7">
        <v>2341975</v>
      </c>
    </row>
    <row r="95" spans="1:4" x14ac:dyDescent="0.25">
      <c r="A95" s="2" t="s">
        <v>27</v>
      </c>
      <c r="B95" s="3" t="s">
        <v>5</v>
      </c>
      <c r="C95" s="3" t="s">
        <v>36</v>
      </c>
      <c r="D95" s="4">
        <v>1222031.375</v>
      </c>
    </row>
    <row r="96" spans="1:4" x14ac:dyDescent="0.25">
      <c r="A96" s="5" t="s">
        <v>27</v>
      </c>
      <c r="B96" s="6" t="s">
        <v>5</v>
      </c>
      <c r="C96" s="6" t="s">
        <v>37</v>
      </c>
      <c r="D96" s="7">
        <v>1222031.375</v>
      </c>
    </row>
    <row r="97" spans="1:4" x14ac:dyDescent="0.25">
      <c r="A97" s="2" t="s">
        <v>27</v>
      </c>
      <c r="B97" s="3" t="s">
        <v>5</v>
      </c>
      <c r="C97" s="3" t="s">
        <v>38</v>
      </c>
      <c r="D97" s="4">
        <v>1222031.375</v>
      </c>
    </row>
    <row r="98" spans="1:4" x14ac:dyDescent="0.25">
      <c r="A98" s="5" t="s">
        <v>27</v>
      </c>
      <c r="B98" s="6" t="s">
        <v>5</v>
      </c>
      <c r="C98" s="6" t="s">
        <v>39</v>
      </c>
      <c r="D98" s="7">
        <v>1222031.375</v>
      </c>
    </row>
    <row r="99" spans="1:4" x14ac:dyDescent="0.25">
      <c r="A99" s="2" t="s">
        <v>27</v>
      </c>
      <c r="B99" s="3" t="s">
        <v>5</v>
      </c>
      <c r="C99" s="3" t="s">
        <v>40</v>
      </c>
      <c r="D99" s="4">
        <v>1222031.375</v>
      </c>
    </row>
    <row r="100" spans="1:4" x14ac:dyDescent="0.25">
      <c r="A100" s="5" t="s">
        <v>27</v>
      </c>
      <c r="B100" s="6" t="s">
        <v>5</v>
      </c>
      <c r="C100" s="6" t="s">
        <v>41</v>
      </c>
      <c r="D100" s="7">
        <v>1222031.375</v>
      </c>
    </row>
    <row r="101" spans="1:4" x14ac:dyDescent="0.25">
      <c r="A101" s="2" t="s">
        <v>27</v>
      </c>
      <c r="B101" s="3" t="s">
        <v>5</v>
      </c>
      <c r="C101" s="3" t="s">
        <v>42</v>
      </c>
      <c r="D101" s="4">
        <v>1222618</v>
      </c>
    </row>
    <row r="102" spans="1:4" x14ac:dyDescent="0.25">
      <c r="A102" s="5" t="s">
        <v>27</v>
      </c>
      <c r="B102" s="6" t="s">
        <v>5</v>
      </c>
      <c r="C102" s="6" t="s">
        <v>43</v>
      </c>
      <c r="D102" s="7">
        <v>1187405.125</v>
      </c>
    </row>
    <row r="103" spans="1:4" x14ac:dyDescent="0.25">
      <c r="A103" s="2" t="s">
        <v>27</v>
      </c>
      <c r="B103" s="3" t="s">
        <v>5</v>
      </c>
      <c r="C103" s="3" t="s">
        <v>44</v>
      </c>
      <c r="D103" s="4">
        <v>1187405.125</v>
      </c>
    </row>
    <row r="104" spans="1:4" x14ac:dyDescent="0.25">
      <c r="A104" s="5" t="s">
        <v>27</v>
      </c>
      <c r="B104" s="6" t="s">
        <v>5</v>
      </c>
      <c r="C104" s="6" t="s">
        <v>45</v>
      </c>
      <c r="D104" s="7">
        <v>1187405.125</v>
      </c>
    </row>
    <row r="105" spans="1:4" x14ac:dyDescent="0.25">
      <c r="A105" s="2" t="s">
        <v>27</v>
      </c>
      <c r="B105" s="3" t="s">
        <v>5</v>
      </c>
      <c r="C105" s="3" t="s">
        <v>46</v>
      </c>
      <c r="D105" s="4">
        <v>1187405.125</v>
      </c>
    </row>
    <row r="106" spans="1:4" x14ac:dyDescent="0.25">
      <c r="A106" s="5" t="s">
        <v>27</v>
      </c>
      <c r="B106" s="6" t="s">
        <v>5</v>
      </c>
      <c r="C106" s="6" t="s">
        <v>47</v>
      </c>
      <c r="D106" s="7">
        <v>1187405.125</v>
      </c>
    </row>
    <row r="107" spans="1:4" x14ac:dyDescent="0.25">
      <c r="A107" s="2" t="s">
        <v>27</v>
      </c>
      <c r="B107" s="3" t="s">
        <v>5</v>
      </c>
      <c r="C107" s="3" t="s">
        <v>48</v>
      </c>
      <c r="D107" s="4">
        <v>1187405.125</v>
      </c>
    </row>
    <row r="108" spans="1:4" x14ac:dyDescent="0.25">
      <c r="A108" s="5" t="s">
        <v>27</v>
      </c>
      <c r="B108" s="6" t="s">
        <v>5</v>
      </c>
      <c r="C108" s="6" t="s">
        <v>49</v>
      </c>
      <c r="D108" s="7">
        <v>1187405.125</v>
      </c>
    </row>
    <row r="109" spans="1:4" x14ac:dyDescent="0.25">
      <c r="A109" s="2" t="s">
        <v>27</v>
      </c>
      <c r="B109" s="3" t="s">
        <v>5</v>
      </c>
      <c r="C109" s="3" t="s">
        <v>50</v>
      </c>
      <c r="D109" s="4">
        <v>1187405.125</v>
      </c>
    </row>
    <row r="110" spans="1:4" x14ac:dyDescent="0.25">
      <c r="A110" s="5" t="s">
        <v>27</v>
      </c>
      <c r="B110" s="6" t="s">
        <v>5</v>
      </c>
      <c r="C110" s="6" t="s">
        <v>51</v>
      </c>
      <c r="D110" s="7">
        <v>1187405.125</v>
      </c>
    </row>
    <row r="111" spans="1:4" x14ac:dyDescent="0.25">
      <c r="A111" s="2" t="s">
        <v>27</v>
      </c>
      <c r="B111" s="3" t="s">
        <v>5</v>
      </c>
      <c r="C111" s="3" t="s">
        <v>52</v>
      </c>
      <c r="D111" s="4">
        <v>1187405.125</v>
      </c>
    </row>
    <row r="112" spans="1:4" x14ac:dyDescent="0.25">
      <c r="A112" s="5" t="s">
        <v>27</v>
      </c>
      <c r="B112" s="6" t="s">
        <v>5</v>
      </c>
      <c r="C112" s="6" t="s">
        <v>53</v>
      </c>
      <c r="D112" s="7">
        <v>1187405.125</v>
      </c>
    </row>
    <row r="113" spans="1:4" x14ac:dyDescent="0.25">
      <c r="A113" s="2" t="s">
        <v>27</v>
      </c>
      <c r="B113" s="3" t="s">
        <v>5</v>
      </c>
      <c r="C113" s="3" t="s">
        <v>54</v>
      </c>
      <c r="D113" s="4">
        <v>1187975.125</v>
      </c>
    </row>
    <row r="114" spans="1:4" x14ac:dyDescent="0.25">
      <c r="A114" s="2" t="s">
        <v>27</v>
      </c>
      <c r="B114" s="3" t="s">
        <v>5</v>
      </c>
      <c r="C114" s="3" t="s">
        <v>55</v>
      </c>
      <c r="D114" s="4">
        <v>2503154.25</v>
      </c>
    </row>
    <row r="115" spans="1:4" x14ac:dyDescent="0.25">
      <c r="A115" s="2" t="s">
        <v>27</v>
      </c>
      <c r="B115" s="3" t="s">
        <v>5</v>
      </c>
      <c r="C115" s="3" t="s">
        <v>56</v>
      </c>
      <c r="D115" s="4">
        <v>2177480.75</v>
      </c>
    </row>
    <row r="116" spans="1:4" x14ac:dyDescent="0.25">
      <c r="A116" s="2" t="s">
        <v>27</v>
      </c>
      <c r="B116" s="3" t="s">
        <v>5</v>
      </c>
      <c r="C116" s="3" t="s">
        <v>57</v>
      </c>
      <c r="D116" s="4">
        <v>1411723.5</v>
      </c>
    </row>
    <row r="117" spans="1:4" x14ac:dyDescent="0.25">
      <c r="A117" s="2" t="s">
        <v>27</v>
      </c>
      <c r="B117" s="3" t="s">
        <v>5</v>
      </c>
      <c r="C117" s="3" t="s">
        <v>58</v>
      </c>
      <c r="D117" s="4">
        <v>921514.1875</v>
      </c>
    </row>
    <row r="118" spans="1:4" x14ac:dyDescent="0.25">
      <c r="A118" s="2" t="s">
        <v>27</v>
      </c>
      <c r="B118" s="3" t="s">
        <v>5</v>
      </c>
      <c r="C118" s="3" t="s">
        <v>59</v>
      </c>
      <c r="D118" s="4">
        <v>588760.875</v>
      </c>
    </row>
    <row r="119" spans="1:4" x14ac:dyDescent="0.25">
      <c r="A119" s="2" t="s">
        <v>27</v>
      </c>
      <c r="B119" s="3" t="s">
        <v>5</v>
      </c>
      <c r="C119" s="3" t="s">
        <v>60</v>
      </c>
      <c r="D119" s="4">
        <v>327514.1875</v>
      </c>
    </row>
    <row r="120" spans="1:4" x14ac:dyDescent="0.25">
      <c r="A120" s="2" t="s">
        <v>27</v>
      </c>
      <c r="B120" s="3" t="s">
        <v>5</v>
      </c>
      <c r="C120" s="3" t="s">
        <v>61</v>
      </c>
      <c r="D120" s="4">
        <v>243830.28125</v>
      </c>
    </row>
    <row r="121" spans="1:4" x14ac:dyDescent="0.25">
      <c r="A121" s="2" t="s">
        <v>27</v>
      </c>
      <c r="B121" s="3" t="s">
        <v>5</v>
      </c>
      <c r="C121" s="3" t="s">
        <v>62</v>
      </c>
      <c r="D121" s="4">
        <v>271016.9375</v>
      </c>
    </row>
    <row r="122" spans="1:4" x14ac:dyDescent="0.25">
      <c r="A122" s="2" t="s">
        <v>27</v>
      </c>
      <c r="B122" s="3" t="s">
        <v>5</v>
      </c>
      <c r="C122" s="3" t="s">
        <v>63</v>
      </c>
      <c r="D122" s="4">
        <v>486527.75</v>
      </c>
    </row>
    <row r="123" spans="1:4" x14ac:dyDescent="0.25">
      <c r="A123" s="2" t="s">
        <v>27</v>
      </c>
      <c r="B123" s="3" t="s">
        <v>5</v>
      </c>
      <c r="C123" s="3" t="s">
        <v>64</v>
      </c>
      <c r="D123" s="4">
        <v>1107997.625</v>
      </c>
    </row>
    <row r="124" spans="1:4" x14ac:dyDescent="0.25">
      <c r="A124" s="2" t="s">
        <v>27</v>
      </c>
      <c r="B124" s="3" t="s">
        <v>5</v>
      </c>
      <c r="C124" s="3" t="s">
        <v>65</v>
      </c>
      <c r="D124" s="4">
        <v>1637004.5</v>
      </c>
    </row>
    <row r="125" spans="1:4" x14ac:dyDescent="0.25">
      <c r="A125" s="2" t="s">
        <v>27</v>
      </c>
      <c r="B125" s="3" t="s">
        <v>5</v>
      </c>
      <c r="C125" s="3" t="s">
        <v>66</v>
      </c>
      <c r="D125" s="4">
        <v>2483189</v>
      </c>
    </row>
    <row r="126" spans="1:4" x14ac:dyDescent="0.25">
      <c r="A126" s="5" t="s">
        <v>16</v>
      </c>
      <c r="B126" s="6" t="s">
        <v>5</v>
      </c>
      <c r="C126" s="6" t="s">
        <v>36</v>
      </c>
      <c r="D126" s="7">
        <v>3283958</v>
      </c>
    </row>
    <row r="127" spans="1:4" x14ac:dyDescent="0.25">
      <c r="A127" s="2" t="s">
        <v>16</v>
      </c>
      <c r="B127" s="3" t="s">
        <v>5</v>
      </c>
      <c r="C127" s="3" t="s">
        <v>37</v>
      </c>
      <c r="D127" s="4">
        <v>3283958</v>
      </c>
    </row>
    <row r="128" spans="1:4" x14ac:dyDescent="0.25">
      <c r="A128" s="5" t="s">
        <v>16</v>
      </c>
      <c r="B128" s="6" t="s">
        <v>5</v>
      </c>
      <c r="C128" s="6" t="s">
        <v>38</v>
      </c>
      <c r="D128" s="7">
        <v>3283958</v>
      </c>
    </row>
    <row r="129" spans="1:4" x14ac:dyDescent="0.25">
      <c r="A129" s="2" t="s">
        <v>16</v>
      </c>
      <c r="B129" s="3" t="s">
        <v>5</v>
      </c>
      <c r="C129" s="3" t="s">
        <v>39</v>
      </c>
      <c r="D129" s="4">
        <v>3283958</v>
      </c>
    </row>
    <row r="130" spans="1:4" x14ac:dyDescent="0.25">
      <c r="A130" s="5" t="s">
        <v>16</v>
      </c>
      <c r="B130" s="6" t="s">
        <v>5</v>
      </c>
      <c r="C130" s="6" t="s">
        <v>40</v>
      </c>
      <c r="D130" s="7">
        <v>3283958</v>
      </c>
    </row>
    <row r="131" spans="1:4" x14ac:dyDescent="0.25">
      <c r="A131" s="2" t="s">
        <v>16</v>
      </c>
      <c r="B131" s="3" t="s">
        <v>5</v>
      </c>
      <c r="C131" s="3" t="s">
        <v>41</v>
      </c>
      <c r="D131" s="4">
        <v>3283958</v>
      </c>
    </row>
    <row r="132" spans="1:4" x14ac:dyDescent="0.25">
      <c r="A132" s="5" t="s">
        <v>16</v>
      </c>
      <c r="B132" s="6" t="s">
        <v>5</v>
      </c>
      <c r="C132" s="6" t="s">
        <v>42</v>
      </c>
      <c r="D132" s="7">
        <v>3285534.5</v>
      </c>
    </row>
    <row r="133" spans="1:4" x14ac:dyDescent="0.25">
      <c r="A133" s="2" t="s">
        <v>16</v>
      </c>
      <c r="B133" s="3" t="s">
        <v>5</v>
      </c>
      <c r="C133" s="3" t="s">
        <v>43</v>
      </c>
      <c r="D133" s="4">
        <v>3248264</v>
      </c>
    </row>
    <row r="134" spans="1:4" x14ac:dyDescent="0.25">
      <c r="A134" s="5" t="s">
        <v>16</v>
      </c>
      <c r="B134" s="6" t="s">
        <v>5</v>
      </c>
      <c r="C134" s="6" t="s">
        <v>44</v>
      </c>
      <c r="D134" s="7">
        <v>3248264</v>
      </c>
    </row>
    <row r="135" spans="1:4" x14ac:dyDescent="0.25">
      <c r="A135" s="2" t="s">
        <v>16</v>
      </c>
      <c r="B135" s="3" t="s">
        <v>5</v>
      </c>
      <c r="C135" s="3" t="s">
        <v>45</v>
      </c>
      <c r="D135" s="4">
        <v>3248264</v>
      </c>
    </row>
    <row r="136" spans="1:4" x14ac:dyDescent="0.25">
      <c r="A136" s="5" t="s">
        <v>16</v>
      </c>
      <c r="B136" s="6" t="s">
        <v>5</v>
      </c>
      <c r="C136" s="6" t="s">
        <v>46</v>
      </c>
      <c r="D136" s="7">
        <v>3248264</v>
      </c>
    </row>
    <row r="137" spans="1:4" x14ac:dyDescent="0.25">
      <c r="A137" s="2" t="s">
        <v>16</v>
      </c>
      <c r="B137" s="3" t="s">
        <v>5</v>
      </c>
      <c r="C137" s="3" t="s">
        <v>47</v>
      </c>
      <c r="D137" s="4">
        <v>3248264</v>
      </c>
    </row>
    <row r="138" spans="1:4" x14ac:dyDescent="0.25">
      <c r="A138" s="5" t="s">
        <v>16</v>
      </c>
      <c r="B138" s="6" t="s">
        <v>5</v>
      </c>
      <c r="C138" s="6" t="s">
        <v>48</v>
      </c>
      <c r="D138" s="7">
        <v>3248264</v>
      </c>
    </row>
    <row r="139" spans="1:4" x14ac:dyDescent="0.25">
      <c r="A139" s="2" t="s">
        <v>16</v>
      </c>
      <c r="B139" s="3" t="s">
        <v>5</v>
      </c>
      <c r="C139" s="3" t="s">
        <v>49</v>
      </c>
      <c r="D139" s="4">
        <v>3248264</v>
      </c>
    </row>
    <row r="140" spans="1:4" x14ac:dyDescent="0.25">
      <c r="A140" s="5" t="s">
        <v>16</v>
      </c>
      <c r="B140" s="6" t="s">
        <v>5</v>
      </c>
      <c r="C140" s="6" t="s">
        <v>50</v>
      </c>
      <c r="D140" s="7">
        <v>3248264</v>
      </c>
    </row>
    <row r="141" spans="1:4" x14ac:dyDescent="0.25">
      <c r="A141" s="2" t="s">
        <v>16</v>
      </c>
      <c r="B141" s="3" t="s">
        <v>5</v>
      </c>
      <c r="C141" s="3" t="s">
        <v>51</v>
      </c>
      <c r="D141" s="4">
        <v>3248264</v>
      </c>
    </row>
    <row r="142" spans="1:4" x14ac:dyDescent="0.25">
      <c r="A142" s="5" t="s">
        <v>16</v>
      </c>
      <c r="B142" s="6" t="s">
        <v>5</v>
      </c>
      <c r="C142" s="6" t="s">
        <v>52</v>
      </c>
      <c r="D142" s="7">
        <v>3248264</v>
      </c>
    </row>
    <row r="143" spans="1:4" x14ac:dyDescent="0.25">
      <c r="A143" s="2" t="s">
        <v>16</v>
      </c>
      <c r="B143" s="3" t="s">
        <v>5</v>
      </c>
      <c r="C143" s="3" t="s">
        <v>53</v>
      </c>
      <c r="D143" s="4">
        <v>3248264</v>
      </c>
    </row>
    <row r="144" spans="1:4" x14ac:dyDescent="0.25">
      <c r="A144" s="5" t="s">
        <v>16</v>
      </c>
      <c r="B144" s="6" t="s">
        <v>5</v>
      </c>
      <c r="C144" s="6" t="s">
        <v>54</v>
      </c>
      <c r="D144" s="7">
        <v>3249823.25</v>
      </c>
    </row>
    <row r="145" spans="1:4" x14ac:dyDescent="0.25">
      <c r="A145" s="2" t="s">
        <v>16</v>
      </c>
      <c r="B145" s="3" t="s">
        <v>5</v>
      </c>
      <c r="C145" s="3" t="s">
        <v>55</v>
      </c>
      <c r="D145" s="4">
        <v>7248261</v>
      </c>
    </row>
    <row r="146" spans="1:4" x14ac:dyDescent="0.25">
      <c r="A146" s="2" t="s">
        <v>16</v>
      </c>
      <c r="B146" s="3" t="s">
        <v>5</v>
      </c>
      <c r="C146" s="3" t="s">
        <v>56</v>
      </c>
      <c r="D146" s="4">
        <v>6402737.5</v>
      </c>
    </row>
    <row r="147" spans="1:4" x14ac:dyDescent="0.25">
      <c r="A147" s="2" t="s">
        <v>16</v>
      </c>
      <c r="B147" s="3" t="s">
        <v>5</v>
      </c>
      <c r="C147" s="3" t="s">
        <v>57</v>
      </c>
      <c r="D147" s="4">
        <v>4074173</v>
      </c>
    </row>
    <row r="148" spans="1:4" x14ac:dyDescent="0.25">
      <c r="A148" s="2" t="s">
        <v>16</v>
      </c>
      <c r="B148" s="3" t="s">
        <v>5</v>
      </c>
      <c r="C148" s="3" t="s">
        <v>58</v>
      </c>
      <c r="D148" s="4">
        <v>2662874.5</v>
      </c>
    </row>
    <row r="149" spans="1:4" x14ac:dyDescent="0.25">
      <c r="A149" s="2" t="s">
        <v>16</v>
      </c>
      <c r="B149" s="3" t="s">
        <v>5</v>
      </c>
      <c r="C149" s="3" t="s">
        <v>59</v>
      </c>
      <c r="D149" s="4">
        <v>1697112</v>
      </c>
    </row>
    <row r="150" spans="1:4" x14ac:dyDescent="0.25">
      <c r="A150" s="2" t="s">
        <v>16</v>
      </c>
      <c r="B150" s="3" t="s">
        <v>5</v>
      </c>
      <c r="C150" s="3" t="s">
        <v>60</v>
      </c>
      <c r="D150" s="4">
        <v>944124.5625</v>
      </c>
    </row>
    <row r="151" spans="1:4" x14ac:dyDescent="0.25">
      <c r="A151" s="2" t="s">
        <v>16</v>
      </c>
      <c r="B151" s="3" t="s">
        <v>5</v>
      </c>
      <c r="C151" s="3" t="s">
        <v>61</v>
      </c>
      <c r="D151" s="4">
        <v>702923.6875</v>
      </c>
    </row>
    <row r="152" spans="1:4" x14ac:dyDescent="0.25">
      <c r="A152" s="2" t="s">
        <v>16</v>
      </c>
      <c r="B152" s="3" t="s">
        <v>5</v>
      </c>
      <c r="C152" s="3" t="s">
        <v>62</v>
      </c>
      <c r="D152" s="4">
        <v>781283.375</v>
      </c>
    </row>
    <row r="153" spans="1:4" x14ac:dyDescent="0.25">
      <c r="A153" s="2" t="s">
        <v>16</v>
      </c>
      <c r="B153" s="3" t="s">
        <v>5</v>
      </c>
      <c r="C153" s="3" t="s">
        <v>63</v>
      </c>
      <c r="D153" s="4">
        <v>1402447</v>
      </c>
    </row>
    <row r="154" spans="1:4" x14ac:dyDescent="0.25">
      <c r="A154" s="2" t="s">
        <v>16</v>
      </c>
      <c r="B154" s="3" t="s">
        <v>5</v>
      </c>
      <c r="C154" s="3" t="s">
        <v>64</v>
      </c>
      <c r="D154" s="4">
        <v>3193700.25</v>
      </c>
    </row>
    <row r="155" spans="1:4" x14ac:dyDescent="0.25">
      <c r="A155" s="2" t="s">
        <v>16</v>
      </c>
      <c r="B155" s="3" t="s">
        <v>5</v>
      </c>
      <c r="C155" s="3" t="s">
        <v>65</v>
      </c>
      <c r="D155" s="4">
        <v>4719817</v>
      </c>
    </row>
    <row r="156" spans="1:4" x14ac:dyDescent="0.25">
      <c r="A156" s="2" t="s">
        <v>16</v>
      </c>
      <c r="B156" s="3" t="s">
        <v>5</v>
      </c>
      <c r="C156" s="3" t="s">
        <v>66</v>
      </c>
      <c r="D156" s="4">
        <v>7270853</v>
      </c>
    </row>
    <row r="157" spans="1:4" x14ac:dyDescent="0.25">
      <c r="A157" s="2" t="s">
        <v>17</v>
      </c>
      <c r="B157" s="3" t="s">
        <v>5</v>
      </c>
      <c r="C157" s="3" t="s">
        <v>36</v>
      </c>
      <c r="D157" s="4">
        <v>1679651.875</v>
      </c>
    </row>
    <row r="158" spans="1:4" x14ac:dyDescent="0.25">
      <c r="A158" s="5" t="s">
        <v>17</v>
      </c>
      <c r="B158" s="6" t="s">
        <v>5</v>
      </c>
      <c r="C158" s="6" t="s">
        <v>37</v>
      </c>
      <c r="D158" s="7">
        <v>1679656.875</v>
      </c>
    </row>
    <row r="159" spans="1:4" x14ac:dyDescent="0.25">
      <c r="A159" s="2" t="s">
        <v>17</v>
      </c>
      <c r="B159" s="3" t="s">
        <v>5</v>
      </c>
      <c r="C159" s="3" t="s">
        <v>38</v>
      </c>
      <c r="D159" s="4">
        <v>1679666.125</v>
      </c>
    </row>
    <row r="160" spans="1:4" x14ac:dyDescent="0.25">
      <c r="A160" s="5" t="s">
        <v>17</v>
      </c>
      <c r="B160" s="6" t="s">
        <v>5</v>
      </c>
      <c r="C160" s="6" t="s">
        <v>39</v>
      </c>
      <c r="D160" s="7">
        <v>1679658.75</v>
      </c>
    </row>
    <row r="161" spans="1:4" x14ac:dyDescent="0.25">
      <c r="A161" s="2" t="s">
        <v>17</v>
      </c>
      <c r="B161" s="3" t="s">
        <v>5</v>
      </c>
      <c r="C161" s="3" t="s">
        <v>40</v>
      </c>
      <c r="D161" s="4">
        <v>1680065.5</v>
      </c>
    </row>
    <row r="162" spans="1:4" x14ac:dyDescent="0.25">
      <c r="A162" s="5" t="s">
        <v>17</v>
      </c>
      <c r="B162" s="6" t="s">
        <v>5</v>
      </c>
      <c r="C162" s="6" t="s">
        <v>41</v>
      </c>
      <c r="D162" s="7">
        <v>1681860.375</v>
      </c>
    </row>
    <row r="163" spans="1:4" x14ac:dyDescent="0.25">
      <c r="A163" s="2" t="s">
        <v>17</v>
      </c>
      <c r="B163" s="3" t="s">
        <v>5</v>
      </c>
      <c r="C163" s="3" t="s">
        <v>42</v>
      </c>
      <c r="D163" s="4">
        <v>1687282</v>
      </c>
    </row>
    <row r="164" spans="1:4" x14ac:dyDescent="0.25">
      <c r="A164" s="5" t="s">
        <v>17</v>
      </c>
      <c r="B164" s="6" t="s">
        <v>5</v>
      </c>
      <c r="C164" s="6" t="s">
        <v>43</v>
      </c>
      <c r="D164" s="7">
        <v>1671017.875</v>
      </c>
    </row>
    <row r="165" spans="1:4" x14ac:dyDescent="0.25">
      <c r="A165" s="2" t="s">
        <v>17</v>
      </c>
      <c r="B165" s="3" t="s">
        <v>5</v>
      </c>
      <c r="C165" s="3" t="s">
        <v>44</v>
      </c>
      <c r="D165" s="4">
        <v>1671017.875</v>
      </c>
    </row>
    <row r="166" spans="1:4" x14ac:dyDescent="0.25">
      <c r="A166" s="5" t="s">
        <v>17</v>
      </c>
      <c r="B166" s="6" t="s">
        <v>5</v>
      </c>
      <c r="C166" s="6" t="s">
        <v>45</v>
      </c>
      <c r="D166" s="7">
        <v>1671017.875</v>
      </c>
    </row>
    <row r="167" spans="1:4" x14ac:dyDescent="0.25">
      <c r="A167" s="2" t="s">
        <v>17</v>
      </c>
      <c r="B167" s="3" t="s">
        <v>5</v>
      </c>
      <c r="C167" s="3" t="s">
        <v>46</v>
      </c>
      <c r="D167" s="4">
        <v>1671017.875</v>
      </c>
    </row>
    <row r="168" spans="1:4" x14ac:dyDescent="0.25">
      <c r="A168" s="5" t="s">
        <v>17</v>
      </c>
      <c r="B168" s="6" t="s">
        <v>5</v>
      </c>
      <c r="C168" s="6" t="s">
        <v>47</v>
      </c>
      <c r="D168" s="7">
        <v>1671017.875</v>
      </c>
    </row>
    <row r="169" spans="1:4" x14ac:dyDescent="0.25">
      <c r="A169" s="2" t="s">
        <v>17</v>
      </c>
      <c r="B169" s="3" t="s">
        <v>5</v>
      </c>
      <c r="C169" s="3" t="s">
        <v>48</v>
      </c>
      <c r="D169" s="4">
        <v>1671017.875</v>
      </c>
    </row>
    <row r="170" spans="1:4" x14ac:dyDescent="0.25">
      <c r="A170" s="5" t="s">
        <v>17</v>
      </c>
      <c r="B170" s="6" t="s">
        <v>5</v>
      </c>
      <c r="C170" s="6" t="s">
        <v>49</v>
      </c>
      <c r="D170" s="7">
        <v>1671017.875</v>
      </c>
    </row>
    <row r="171" spans="1:4" x14ac:dyDescent="0.25">
      <c r="A171" s="2" t="s">
        <v>17</v>
      </c>
      <c r="B171" s="3" t="s">
        <v>5</v>
      </c>
      <c r="C171" s="3" t="s">
        <v>50</v>
      </c>
      <c r="D171" s="4">
        <v>1671017.875</v>
      </c>
    </row>
    <row r="172" spans="1:4" x14ac:dyDescent="0.25">
      <c r="A172" s="5" t="s">
        <v>17</v>
      </c>
      <c r="B172" s="6" t="s">
        <v>5</v>
      </c>
      <c r="C172" s="6" t="s">
        <v>51</v>
      </c>
      <c r="D172" s="7">
        <v>1671017.875</v>
      </c>
    </row>
    <row r="173" spans="1:4" x14ac:dyDescent="0.25">
      <c r="A173" s="2" t="s">
        <v>17</v>
      </c>
      <c r="B173" s="3" t="s">
        <v>5</v>
      </c>
      <c r="C173" s="3" t="s">
        <v>52</v>
      </c>
      <c r="D173" s="4">
        <v>1671017.875</v>
      </c>
    </row>
    <row r="174" spans="1:4" x14ac:dyDescent="0.25">
      <c r="A174" s="5" t="s">
        <v>17</v>
      </c>
      <c r="B174" s="6" t="s">
        <v>5</v>
      </c>
      <c r="C174" s="6" t="s">
        <v>53</v>
      </c>
      <c r="D174" s="7">
        <v>1671017.875</v>
      </c>
    </row>
    <row r="175" spans="1:4" x14ac:dyDescent="0.25">
      <c r="A175" s="2" t="s">
        <v>17</v>
      </c>
      <c r="B175" s="3" t="s">
        <v>5</v>
      </c>
      <c r="C175" s="3" t="s">
        <v>54</v>
      </c>
      <c r="D175" s="4">
        <v>1671820</v>
      </c>
    </row>
    <row r="176" spans="1:4" x14ac:dyDescent="0.25">
      <c r="A176" s="5" t="s">
        <v>17</v>
      </c>
      <c r="B176" s="6" t="s">
        <v>5</v>
      </c>
      <c r="C176" s="6" t="s">
        <v>55</v>
      </c>
      <c r="D176" s="7">
        <v>3602803.5</v>
      </c>
    </row>
    <row r="177" spans="1:4" x14ac:dyDescent="0.25">
      <c r="A177" s="5" t="s">
        <v>17</v>
      </c>
      <c r="B177" s="6" t="s">
        <v>5</v>
      </c>
      <c r="C177" s="6" t="s">
        <v>56</v>
      </c>
      <c r="D177" s="7">
        <v>3139190</v>
      </c>
    </row>
    <row r="178" spans="1:4" x14ac:dyDescent="0.25">
      <c r="A178" s="5" t="s">
        <v>17</v>
      </c>
      <c r="B178" s="6" t="s">
        <v>5</v>
      </c>
      <c r="C178" s="6" t="s">
        <v>57</v>
      </c>
      <c r="D178" s="7">
        <v>2029058.75</v>
      </c>
    </row>
    <row r="179" spans="1:4" x14ac:dyDescent="0.25">
      <c r="A179" s="5" t="s">
        <v>17</v>
      </c>
      <c r="B179" s="6" t="s">
        <v>5</v>
      </c>
      <c r="C179" s="6" t="s">
        <v>58</v>
      </c>
      <c r="D179" s="7">
        <v>1325136.25</v>
      </c>
    </row>
    <row r="180" spans="1:4" x14ac:dyDescent="0.25">
      <c r="A180" s="5" t="s">
        <v>17</v>
      </c>
      <c r="B180" s="6" t="s">
        <v>5</v>
      </c>
      <c r="C180" s="6" t="s">
        <v>59</v>
      </c>
      <c r="D180" s="7">
        <v>846061.25</v>
      </c>
    </row>
    <row r="181" spans="1:4" x14ac:dyDescent="0.25">
      <c r="A181" s="5" t="s">
        <v>17</v>
      </c>
      <c r="B181" s="6" t="s">
        <v>5</v>
      </c>
      <c r="C181" s="6" t="s">
        <v>60</v>
      </c>
      <c r="D181" s="7">
        <v>470558.0625</v>
      </c>
    </row>
    <row r="182" spans="1:4" x14ac:dyDescent="0.25">
      <c r="A182" s="5" t="s">
        <v>17</v>
      </c>
      <c r="B182" s="6" t="s">
        <v>5</v>
      </c>
      <c r="C182" s="6" t="s">
        <v>61</v>
      </c>
      <c r="D182" s="7">
        <v>350327.96875</v>
      </c>
    </row>
    <row r="183" spans="1:4" x14ac:dyDescent="0.25">
      <c r="A183" s="5" t="s">
        <v>17</v>
      </c>
      <c r="B183" s="6" t="s">
        <v>5</v>
      </c>
      <c r="C183" s="6" t="s">
        <v>62</v>
      </c>
      <c r="D183" s="7">
        <v>389387.78125</v>
      </c>
    </row>
    <row r="184" spans="1:4" x14ac:dyDescent="0.25">
      <c r="A184" s="5" t="s">
        <v>17</v>
      </c>
      <c r="B184" s="6" t="s">
        <v>5</v>
      </c>
      <c r="C184" s="6" t="s">
        <v>63</v>
      </c>
      <c r="D184" s="7">
        <v>699024.25</v>
      </c>
    </row>
    <row r="185" spans="1:4" x14ac:dyDescent="0.25">
      <c r="A185" s="5" t="s">
        <v>17</v>
      </c>
      <c r="B185" s="6" t="s">
        <v>5</v>
      </c>
      <c r="C185" s="6" t="s">
        <v>64</v>
      </c>
      <c r="D185" s="7">
        <v>1592422.25</v>
      </c>
    </row>
    <row r="186" spans="1:4" x14ac:dyDescent="0.25">
      <c r="A186" s="5" t="s">
        <v>17</v>
      </c>
      <c r="B186" s="6" t="s">
        <v>5</v>
      </c>
      <c r="C186" s="6" t="s">
        <v>65</v>
      </c>
      <c r="D186" s="7">
        <v>2352634.75</v>
      </c>
    </row>
    <row r="187" spans="1:4" x14ac:dyDescent="0.25">
      <c r="A187" s="5" t="s">
        <v>17</v>
      </c>
      <c r="B187" s="6" t="s">
        <v>5</v>
      </c>
      <c r="C187" s="6" t="s">
        <v>66</v>
      </c>
      <c r="D187" s="7">
        <v>3577058.5</v>
      </c>
    </row>
    <row r="188" spans="1:4" x14ac:dyDescent="0.25">
      <c r="A188" s="5" t="s">
        <v>30</v>
      </c>
      <c r="B188" s="6" t="s">
        <v>5</v>
      </c>
      <c r="C188" s="6" t="s">
        <v>36</v>
      </c>
      <c r="D188" s="7">
        <v>1414235.375</v>
      </c>
    </row>
    <row r="189" spans="1:4" x14ac:dyDescent="0.25">
      <c r="A189" s="2" t="s">
        <v>30</v>
      </c>
      <c r="B189" s="3" t="s">
        <v>5</v>
      </c>
      <c r="C189" s="3" t="s">
        <v>37</v>
      </c>
      <c r="D189" s="4">
        <v>1414235.375</v>
      </c>
    </row>
    <row r="190" spans="1:4" x14ac:dyDescent="0.25">
      <c r="A190" s="5" t="s">
        <v>30</v>
      </c>
      <c r="B190" s="6" t="s">
        <v>5</v>
      </c>
      <c r="C190" s="6" t="s">
        <v>38</v>
      </c>
      <c r="D190" s="7">
        <v>1414235.375</v>
      </c>
    </row>
    <row r="191" spans="1:4" x14ac:dyDescent="0.25">
      <c r="A191" s="2" t="s">
        <v>30</v>
      </c>
      <c r="B191" s="3" t="s">
        <v>5</v>
      </c>
      <c r="C191" s="3" t="s">
        <v>39</v>
      </c>
      <c r="D191" s="4">
        <v>1414235.375</v>
      </c>
    </row>
    <row r="192" spans="1:4" x14ac:dyDescent="0.25">
      <c r="A192" s="5" t="s">
        <v>30</v>
      </c>
      <c r="B192" s="6" t="s">
        <v>5</v>
      </c>
      <c r="C192" s="6" t="s">
        <v>40</v>
      </c>
      <c r="D192" s="7">
        <v>1414235.375</v>
      </c>
    </row>
    <row r="193" spans="1:4" x14ac:dyDescent="0.25">
      <c r="A193" s="2" t="s">
        <v>30</v>
      </c>
      <c r="B193" s="3" t="s">
        <v>5</v>
      </c>
      <c r="C193" s="3" t="s">
        <v>41</v>
      </c>
      <c r="D193" s="4">
        <v>1414235.375</v>
      </c>
    </row>
    <row r="194" spans="1:4" x14ac:dyDescent="0.25">
      <c r="A194" s="5" t="s">
        <v>30</v>
      </c>
      <c r="B194" s="6" t="s">
        <v>5</v>
      </c>
      <c r="C194" s="6" t="s">
        <v>42</v>
      </c>
      <c r="D194" s="7">
        <v>1414914.25</v>
      </c>
    </row>
    <row r="195" spans="1:4" x14ac:dyDescent="0.25">
      <c r="A195" s="2" t="s">
        <v>30</v>
      </c>
      <c r="B195" s="3" t="s">
        <v>5</v>
      </c>
      <c r="C195" s="3" t="s">
        <v>43</v>
      </c>
      <c r="D195" s="4">
        <v>1385537</v>
      </c>
    </row>
    <row r="196" spans="1:4" x14ac:dyDescent="0.25">
      <c r="A196" s="5" t="s">
        <v>30</v>
      </c>
      <c r="B196" s="6" t="s">
        <v>5</v>
      </c>
      <c r="C196" s="6" t="s">
        <v>44</v>
      </c>
      <c r="D196" s="7">
        <v>1385537</v>
      </c>
    </row>
    <row r="197" spans="1:4" x14ac:dyDescent="0.25">
      <c r="A197" s="2" t="s">
        <v>30</v>
      </c>
      <c r="B197" s="3" t="s">
        <v>5</v>
      </c>
      <c r="C197" s="3" t="s">
        <v>45</v>
      </c>
      <c r="D197" s="4">
        <v>1385537</v>
      </c>
    </row>
    <row r="198" spans="1:4" x14ac:dyDescent="0.25">
      <c r="A198" s="5" t="s">
        <v>30</v>
      </c>
      <c r="B198" s="6" t="s">
        <v>5</v>
      </c>
      <c r="C198" s="6" t="s">
        <v>46</v>
      </c>
      <c r="D198" s="7">
        <v>1385537</v>
      </c>
    </row>
    <row r="199" spans="1:4" x14ac:dyDescent="0.25">
      <c r="A199" s="2" t="s">
        <v>30</v>
      </c>
      <c r="B199" s="3" t="s">
        <v>5</v>
      </c>
      <c r="C199" s="3" t="s">
        <v>47</v>
      </c>
      <c r="D199" s="4">
        <v>1385537</v>
      </c>
    </row>
    <row r="200" spans="1:4" x14ac:dyDescent="0.25">
      <c r="A200" s="5" t="s">
        <v>30</v>
      </c>
      <c r="B200" s="6" t="s">
        <v>5</v>
      </c>
      <c r="C200" s="6" t="s">
        <v>48</v>
      </c>
      <c r="D200" s="7">
        <v>1385537</v>
      </c>
    </row>
    <row r="201" spans="1:4" x14ac:dyDescent="0.25">
      <c r="A201" s="2" t="s">
        <v>30</v>
      </c>
      <c r="B201" s="3" t="s">
        <v>5</v>
      </c>
      <c r="C201" s="3" t="s">
        <v>49</v>
      </c>
      <c r="D201" s="4">
        <v>1385537</v>
      </c>
    </row>
    <row r="202" spans="1:4" x14ac:dyDescent="0.25">
      <c r="A202" s="5" t="s">
        <v>30</v>
      </c>
      <c r="B202" s="6" t="s">
        <v>5</v>
      </c>
      <c r="C202" s="6" t="s">
        <v>50</v>
      </c>
      <c r="D202" s="7">
        <v>1385537</v>
      </c>
    </row>
    <row r="203" spans="1:4" x14ac:dyDescent="0.25">
      <c r="A203" s="2" t="s">
        <v>30</v>
      </c>
      <c r="B203" s="3" t="s">
        <v>5</v>
      </c>
      <c r="C203" s="3" t="s">
        <v>51</v>
      </c>
      <c r="D203" s="4">
        <v>1385537</v>
      </c>
    </row>
    <row r="204" spans="1:4" x14ac:dyDescent="0.25">
      <c r="A204" s="5" t="s">
        <v>30</v>
      </c>
      <c r="B204" s="6" t="s">
        <v>5</v>
      </c>
      <c r="C204" s="6" t="s">
        <v>52</v>
      </c>
      <c r="D204" s="7">
        <v>1385537</v>
      </c>
    </row>
    <row r="205" spans="1:4" x14ac:dyDescent="0.25">
      <c r="A205" s="2" t="s">
        <v>30</v>
      </c>
      <c r="B205" s="3" t="s">
        <v>5</v>
      </c>
      <c r="C205" s="3" t="s">
        <v>53</v>
      </c>
      <c r="D205" s="4">
        <v>1385537</v>
      </c>
    </row>
    <row r="206" spans="1:4" x14ac:dyDescent="0.25">
      <c r="A206" s="5" t="s">
        <v>30</v>
      </c>
      <c r="B206" s="6" t="s">
        <v>5</v>
      </c>
      <c r="C206" s="6" t="s">
        <v>54</v>
      </c>
      <c r="D206" s="7">
        <v>1386202.125</v>
      </c>
    </row>
    <row r="207" spans="1:4" x14ac:dyDescent="0.25">
      <c r="A207" s="5" t="s">
        <v>30</v>
      </c>
      <c r="B207" s="6" t="s">
        <v>5</v>
      </c>
      <c r="C207" s="6" t="s">
        <v>55</v>
      </c>
      <c r="D207" s="7">
        <v>2931311.5</v>
      </c>
    </row>
    <row r="208" spans="1:4" x14ac:dyDescent="0.25">
      <c r="A208" s="5" t="s">
        <v>30</v>
      </c>
      <c r="B208" s="6" t="s">
        <v>5</v>
      </c>
      <c r="C208" s="6" t="s">
        <v>56</v>
      </c>
      <c r="D208" s="7">
        <v>2549932.75</v>
      </c>
    </row>
    <row r="209" spans="1:4" x14ac:dyDescent="0.25">
      <c r="A209" s="5" t="s">
        <v>30</v>
      </c>
      <c r="B209" s="6" t="s">
        <v>5</v>
      </c>
      <c r="C209" s="6" t="s">
        <v>57</v>
      </c>
      <c r="D209" s="7">
        <v>1653194.75</v>
      </c>
    </row>
    <row r="210" spans="1:4" x14ac:dyDescent="0.25">
      <c r="A210" s="5" t="s">
        <v>30</v>
      </c>
      <c r="B210" s="6" t="s">
        <v>5</v>
      </c>
      <c r="C210" s="6" t="s">
        <v>58</v>
      </c>
      <c r="D210" s="7">
        <v>1079136.5</v>
      </c>
    </row>
    <row r="211" spans="1:4" x14ac:dyDescent="0.25">
      <c r="A211" s="5" t="s">
        <v>30</v>
      </c>
      <c r="B211" s="6" t="s">
        <v>5</v>
      </c>
      <c r="C211" s="6" t="s">
        <v>59</v>
      </c>
      <c r="D211" s="7">
        <v>689466.75</v>
      </c>
    </row>
    <row r="212" spans="1:4" x14ac:dyDescent="0.25">
      <c r="A212" s="5" t="s">
        <v>30</v>
      </c>
      <c r="B212" s="6" t="s">
        <v>5</v>
      </c>
      <c r="C212" s="6" t="s">
        <v>60</v>
      </c>
      <c r="D212" s="7">
        <v>383534.5625</v>
      </c>
    </row>
    <row r="213" spans="1:4" x14ac:dyDescent="0.25">
      <c r="A213" s="5" t="s">
        <v>30</v>
      </c>
      <c r="B213" s="6" t="s">
        <v>5</v>
      </c>
      <c r="C213" s="6" t="s">
        <v>61</v>
      </c>
      <c r="D213" s="7">
        <v>285536.75</v>
      </c>
    </row>
    <row r="214" spans="1:4" x14ac:dyDescent="0.25">
      <c r="A214" s="5" t="s">
        <v>30</v>
      </c>
      <c r="B214" s="6" t="s">
        <v>5</v>
      </c>
      <c r="C214" s="6" t="s">
        <v>62</v>
      </c>
      <c r="D214" s="7">
        <v>317373.59375</v>
      </c>
    </row>
    <row r="215" spans="1:4" x14ac:dyDescent="0.25">
      <c r="A215" s="5" t="s">
        <v>30</v>
      </c>
      <c r="B215" s="6" t="s">
        <v>5</v>
      </c>
      <c r="C215" s="6" t="s">
        <v>63</v>
      </c>
      <c r="D215" s="7">
        <v>569746.9375</v>
      </c>
    </row>
    <row r="216" spans="1:4" x14ac:dyDescent="0.25">
      <c r="A216" s="5" t="s">
        <v>30</v>
      </c>
      <c r="B216" s="6" t="s">
        <v>5</v>
      </c>
      <c r="C216" s="6" t="s">
        <v>64</v>
      </c>
      <c r="D216" s="7">
        <v>1297517.375</v>
      </c>
    </row>
    <row r="217" spans="1:4" x14ac:dyDescent="0.25">
      <c r="A217" s="5" t="s">
        <v>30</v>
      </c>
      <c r="B217" s="6" t="s">
        <v>5</v>
      </c>
      <c r="C217" s="6" t="s">
        <v>65</v>
      </c>
      <c r="D217" s="7">
        <v>1917009.5</v>
      </c>
    </row>
    <row r="218" spans="1:4" x14ac:dyDescent="0.25">
      <c r="A218" s="5" t="s">
        <v>30</v>
      </c>
      <c r="B218" s="6" t="s">
        <v>5</v>
      </c>
      <c r="C218" s="6" t="s">
        <v>66</v>
      </c>
      <c r="D218" s="7">
        <v>2907931.5</v>
      </c>
    </row>
    <row r="219" spans="1:4" x14ac:dyDescent="0.25">
      <c r="A219" s="5" t="s">
        <v>24</v>
      </c>
      <c r="B219" s="6" t="s">
        <v>5</v>
      </c>
      <c r="C219" s="6" t="s">
        <v>36</v>
      </c>
      <c r="D219" s="7">
        <v>273568.1875</v>
      </c>
    </row>
    <row r="220" spans="1:4" x14ac:dyDescent="0.25">
      <c r="A220" s="2" t="s">
        <v>24</v>
      </c>
      <c r="B220" s="3" t="s">
        <v>5</v>
      </c>
      <c r="C220" s="3" t="s">
        <v>37</v>
      </c>
      <c r="D220" s="4">
        <v>273568.1875</v>
      </c>
    </row>
    <row r="221" spans="1:4" x14ac:dyDescent="0.25">
      <c r="A221" s="5" t="s">
        <v>24</v>
      </c>
      <c r="B221" s="6" t="s">
        <v>5</v>
      </c>
      <c r="C221" s="6" t="s">
        <v>38</v>
      </c>
      <c r="D221" s="7">
        <v>273568.1875</v>
      </c>
    </row>
    <row r="222" spans="1:4" x14ac:dyDescent="0.25">
      <c r="A222" s="2" t="s">
        <v>24</v>
      </c>
      <c r="B222" s="3" t="s">
        <v>5</v>
      </c>
      <c r="C222" s="3" t="s">
        <v>39</v>
      </c>
      <c r="D222" s="4">
        <v>273568.1875</v>
      </c>
    </row>
    <row r="223" spans="1:4" x14ac:dyDescent="0.25">
      <c r="A223" s="5" t="s">
        <v>24</v>
      </c>
      <c r="B223" s="6" t="s">
        <v>5</v>
      </c>
      <c r="C223" s="6" t="s">
        <v>40</v>
      </c>
      <c r="D223" s="7">
        <v>273568.1875</v>
      </c>
    </row>
    <row r="224" spans="1:4" x14ac:dyDescent="0.25">
      <c r="A224" s="2" t="s">
        <v>24</v>
      </c>
      <c r="B224" s="3" t="s">
        <v>5</v>
      </c>
      <c r="C224" s="3" t="s">
        <v>41</v>
      </c>
      <c r="D224" s="4">
        <v>273568.1875</v>
      </c>
    </row>
    <row r="225" spans="1:4" x14ac:dyDescent="0.25">
      <c r="A225" s="5" t="s">
        <v>24</v>
      </c>
      <c r="B225" s="6" t="s">
        <v>5</v>
      </c>
      <c r="C225" s="6" t="s">
        <v>42</v>
      </c>
      <c r="D225" s="7">
        <v>273699.5</v>
      </c>
    </row>
    <row r="226" spans="1:4" x14ac:dyDescent="0.25">
      <c r="A226" s="2" t="s">
        <v>24</v>
      </c>
      <c r="B226" s="3" t="s">
        <v>5</v>
      </c>
      <c r="C226" s="3" t="s">
        <v>43</v>
      </c>
      <c r="D226" s="4">
        <v>266596.625</v>
      </c>
    </row>
    <row r="227" spans="1:4" x14ac:dyDescent="0.25">
      <c r="A227" s="5" t="s">
        <v>24</v>
      </c>
      <c r="B227" s="6" t="s">
        <v>5</v>
      </c>
      <c r="C227" s="6" t="s">
        <v>44</v>
      </c>
      <c r="D227" s="7">
        <v>266596.625</v>
      </c>
    </row>
    <row r="228" spans="1:4" x14ac:dyDescent="0.25">
      <c r="A228" s="2" t="s">
        <v>24</v>
      </c>
      <c r="B228" s="3" t="s">
        <v>5</v>
      </c>
      <c r="C228" s="3" t="s">
        <v>45</v>
      </c>
      <c r="D228" s="4">
        <v>266596.625</v>
      </c>
    </row>
    <row r="229" spans="1:4" x14ac:dyDescent="0.25">
      <c r="A229" s="5" t="s">
        <v>24</v>
      </c>
      <c r="B229" s="6" t="s">
        <v>5</v>
      </c>
      <c r="C229" s="6" t="s">
        <v>46</v>
      </c>
      <c r="D229" s="7">
        <v>266596.625</v>
      </c>
    </row>
    <row r="230" spans="1:4" x14ac:dyDescent="0.25">
      <c r="A230" s="2" t="s">
        <v>24</v>
      </c>
      <c r="B230" s="3" t="s">
        <v>5</v>
      </c>
      <c r="C230" s="3" t="s">
        <v>47</v>
      </c>
      <c r="D230" s="4">
        <v>266596.625</v>
      </c>
    </row>
    <row r="231" spans="1:4" x14ac:dyDescent="0.25">
      <c r="A231" s="5" t="s">
        <v>24</v>
      </c>
      <c r="B231" s="6" t="s">
        <v>5</v>
      </c>
      <c r="C231" s="6" t="s">
        <v>48</v>
      </c>
      <c r="D231" s="7">
        <v>266596.625</v>
      </c>
    </row>
    <row r="232" spans="1:4" x14ac:dyDescent="0.25">
      <c r="A232" s="2" t="s">
        <v>24</v>
      </c>
      <c r="B232" s="3" t="s">
        <v>5</v>
      </c>
      <c r="C232" s="3" t="s">
        <v>49</v>
      </c>
      <c r="D232" s="4">
        <v>266596.625</v>
      </c>
    </row>
    <row r="233" spans="1:4" x14ac:dyDescent="0.25">
      <c r="A233" s="5" t="s">
        <v>24</v>
      </c>
      <c r="B233" s="6" t="s">
        <v>5</v>
      </c>
      <c r="C233" s="6" t="s">
        <v>50</v>
      </c>
      <c r="D233" s="7">
        <v>266596.625</v>
      </c>
    </row>
    <row r="234" spans="1:4" x14ac:dyDescent="0.25">
      <c r="A234" s="2" t="s">
        <v>24</v>
      </c>
      <c r="B234" s="3" t="s">
        <v>5</v>
      </c>
      <c r="C234" s="3" t="s">
        <v>51</v>
      </c>
      <c r="D234" s="4">
        <v>266596.625</v>
      </c>
    </row>
    <row r="235" spans="1:4" x14ac:dyDescent="0.25">
      <c r="A235" s="5" t="s">
        <v>24</v>
      </c>
      <c r="B235" s="6" t="s">
        <v>5</v>
      </c>
      <c r="C235" s="6" t="s">
        <v>52</v>
      </c>
      <c r="D235" s="7">
        <v>266596.625</v>
      </c>
    </row>
    <row r="236" spans="1:4" x14ac:dyDescent="0.25">
      <c r="A236" s="2" t="s">
        <v>24</v>
      </c>
      <c r="B236" s="3" t="s">
        <v>5</v>
      </c>
      <c r="C236" s="3" t="s">
        <v>53</v>
      </c>
      <c r="D236" s="4">
        <v>266596.625</v>
      </c>
    </row>
    <row r="237" spans="1:4" x14ac:dyDescent="0.25">
      <c r="A237" s="5" t="s">
        <v>24</v>
      </c>
      <c r="B237" s="6" t="s">
        <v>5</v>
      </c>
      <c r="C237" s="6" t="s">
        <v>54</v>
      </c>
      <c r="D237" s="7">
        <v>266724.59375</v>
      </c>
    </row>
    <row r="238" spans="1:4" x14ac:dyDescent="0.25">
      <c r="A238" s="2" t="s">
        <v>24</v>
      </c>
      <c r="B238" s="3" t="s">
        <v>5</v>
      </c>
      <c r="C238" s="3" t="s">
        <v>55</v>
      </c>
      <c r="D238" s="4">
        <v>590358.4375</v>
      </c>
    </row>
    <row r="239" spans="1:4" x14ac:dyDescent="0.25">
      <c r="A239" s="2" t="s">
        <v>24</v>
      </c>
      <c r="B239" s="3" t="s">
        <v>5</v>
      </c>
      <c r="C239" s="3" t="s">
        <v>56</v>
      </c>
      <c r="D239" s="4">
        <v>513549.71875</v>
      </c>
    </row>
    <row r="240" spans="1:4" x14ac:dyDescent="0.25">
      <c r="A240" s="2" t="s">
        <v>24</v>
      </c>
      <c r="B240" s="3" t="s">
        <v>5</v>
      </c>
      <c r="C240" s="3" t="s">
        <v>57</v>
      </c>
      <c r="D240" s="4">
        <v>332949.0625</v>
      </c>
    </row>
    <row r="241" spans="1:4" x14ac:dyDescent="0.25">
      <c r="A241" s="2" t="s">
        <v>24</v>
      </c>
      <c r="B241" s="3" t="s">
        <v>5</v>
      </c>
      <c r="C241" s="3" t="s">
        <v>58</v>
      </c>
      <c r="D241" s="4">
        <v>217335.25</v>
      </c>
    </row>
    <row r="242" spans="1:4" x14ac:dyDescent="0.25">
      <c r="A242" s="2" t="s">
        <v>24</v>
      </c>
      <c r="B242" s="3" t="s">
        <v>5</v>
      </c>
      <c r="C242" s="3" t="s">
        <v>59</v>
      </c>
      <c r="D242" s="4">
        <v>138856.796875</v>
      </c>
    </row>
    <row r="243" spans="1:4" x14ac:dyDescent="0.25">
      <c r="A243" s="2" t="s">
        <v>24</v>
      </c>
      <c r="B243" s="3" t="s">
        <v>5</v>
      </c>
      <c r="C243" s="3" t="s">
        <v>60</v>
      </c>
      <c r="D243" s="4">
        <v>77242.84375</v>
      </c>
    </row>
    <row r="244" spans="1:4" x14ac:dyDescent="0.25">
      <c r="A244" s="2" t="s">
        <v>24</v>
      </c>
      <c r="B244" s="3" t="s">
        <v>5</v>
      </c>
      <c r="C244" s="3" t="s">
        <v>61</v>
      </c>
      <c r="D244" s="4">
        <v>57506.3515625</v>
      </c>
    </row>
    <row r="245" spans="1:4" x14ac:dyDescent="0.25">
      <c r="A245" s="2" t="s">
        <v>24</v>
      </c>
      <c r="B245" s="3" t="s">
        <v>5</v>
      </c>
      <c r="C245" s="3" t="s">
        <v>62</v>
      </c>
      <c r="D245" s="4">
        <v>63918.203125</v>
      </c>
    </row>
    <row r="246" spans="1:4" x14ac:dyDescent="0.25">
      <c r="A246" s="2" t="s">
        <v>24</v>
      </c>
      <c r="B246" s="3" t="s">
        <v>5</v>
      </c>
      <c r="C246" s="3" t="s">
        <v>63</v>
      </c>
      <c r="D246" s="4">
        <v>114745.5390625</v>
      </c>
    </row>
    <row r="247" spans="1:4" x14ac:dyDescent="0.25">
      <c r="A247" s="2" t="s">
        <v>24</v>
      </c>
      <c r="B247" s="3" t="s">
        <v>5</v>
      </c>
      <c r="C247" s="3" t="s">
        <v>64</v>
      </c>
      <c r="D247" s="4">
        <v>261316.59375</v>
      </c>
    </row>
    <row r="248" spans="1:4" x14ac:dyDescent="0.25">
      <c r="A248" s="2" t="s">
        <v>24</v>
      </c>
      <c r="B248" s="3" t="s">
        <v>5</v>
      </c>
      <c r="C248" s="3" t="s">
        <v>65</v>
      </c>
      <c r="D248" s="4">
        <v>386080.65625</v>
      </c>
    </row>
    <row r="249" spans="1:4" x14ac:dyDescent="0.25">
      <c r="A249" s="2" t="s">
        <v>24</v>
      </c>
      <c r="B249" s="3" t="s">
        <v>5</v>
      </c>
      <c r="C249" s="3" t="s">
        <v>66</v>
      </c>
      <c r="D249" s="4">
        <v>585649.75</v>
      </c>
    </row>
    <row r="250" spans="1:4" x14ac:dyDescent="0.25">
      <c r="A250" s="2" t="s">
        <v>21</v>
      </c>
      <c r="B250" s="3" t="s">
        <v>5</v>
      </c>
      <c r="C250" s="3" t="s">
        <v>36</v>
      </c>
      <c r="D250" s="4">
        <v>3127563</v>
      </c>
    </row>
    <row r="251" spans="1:4" x14ac:dyDescent="0.25">
      <c r="A251" s="5" t="s">
        <v>21</v>
      </c>
      <c r="B251" s="6" t="s">
        <v>5</v>
      </c>
      <c r="C251" s="6" t="s">
        <v>37</v>
      </c>
      <c r="D251" s="7">
        <v>3127563</v>
      </c>
    </row>
    <row r="252" spans="1:4" x14ac:dyDescent="0.25">
      <c r="A252" s="2" t="s">
        <v>21</v>
      </c>
      <c r="B252" s="3" t="s">
        <v>5</v>
      </c>
      <c r="C252" s="3" t="s">
        <v>38</v>
      </c>
      <c r="D252" s="4">
        <v>3127563</v>
      </c>
    </row>
    <row r="253" spans="1:4" x14ac:dyDescent="0.25">
      <c r="A253" s="5" t="s">
        <v>21</v>
      </c>
      <c r="B253" s="6" t="s">
        <v>5</v>
      </c>
      <c r="C253" s="6" t="s">
        <v>39</v>
      </c>
      <c r="D253" s="7">
        <v>3127563</v>
      </c>
    </row>
    <row r="254" spans="1:4" x14ac:dyDescent="0.25">
      <c r="A254" s="2" t="s">
        <v>21</v>
      </c>
      <c r="B254" s="3" t="s">
        <v>5</v>
      </c>
      <c r="C254" s="3" t="s">
        <v>40</v>
      </c>
      <c r="D254" s="4">
        <v>3127563</v>
      </c>
    </row>
    <row r="255" spans="1:4" x14ac:dyDescent="0.25">
      <c r="A255" s="5" t="s">
        <v>21</v>
      </c>
      <c r="B255" s="6" t="s">
        <v>5</v>
      </c>
      <c r="C255" s="6" t="s">
        <v>41</v>
      </c>
      <c r="D255" s="7">
        <v>3127563</v>
      </c>
    </row>
    <row r="256" spans="1:4" x14ac:dyDescent="0.25">
      <c r="A256" s="2" t="s">
        <v>21</v>
      </c>
      <c r="B256" s="3" t="s">
        <v>5</v>
      </c>
      <c r="C256" s="3" t="s">
        <v>42</v>
      </c>
      <c r="D256" s="4">
        <v>3129064.25</v>
      </c>
    </row>
    <row r="257" spans="1:4" x14ac:dyDescent="0.25">
      <c r="A257" s="5" t="s">
        <v>21</v>
      </c>
      <c r="B257" s="6" t="s">
        <v>5</v>
      </c>
      <c r="C257" s="6" t="s">
        <v>43</v>
      </c>
      <c r="D257" s="7">
        <v>3110803</v>
      </c>
    </row>
    <row r="258" spans="1:4" x14ac:dyDescent="0.25">
      <c r="A258" s="2" t="s">
        <v>21</v>
      </c>
      <c r="B258" s="3" t="s">
        <v>5</v>
      </c>
      <c r="C258" s="3" t="s">
        <v>44</v>
      </c>
      <c r="D258" s="4">
        <v>3110803</v>
      </c>
    </row>
    <row r="259" spans="1:4" x14ac:dyDescent="0.25">
      <c r="A259" s="5" t="s">
        <v>21</v>
      </c>
      <c r="B259" s="6" t="s">
        <v>5</v>
      </c>
      <c r="C259" s="6" t="s">
        <v>45</v>
      </c>
      <c r="D259" s="7">
        <v>3110803</v>
      </c>
    </row>
    <row r="260" spans="1:4" x14ac:dyDescent="0.25">
      <c r="A260" s="2" t="s">
        <v>21</v>
      </c>
      <c r="B260" s="3" t="s">
        <v>5</v>
      </c>
      <c r="C260" s="3" t="s">
        <v>46</v>
      </c>
      <c r="D260" s="4">
        <v>3110803</v>
      </c>
    </row>
    <row r="261" spans="1:4" x14ac:dyDescent="0.25">
      <c r="A261" s="5" t="s">
        <v>21</v>
      </c>
      <c r="B261" s="6" t="s">
        <v>5</v>
      </c>
      <c r="C261" s="6" t="s">
        <v>47</v>
      </c>
      <c r="D261" s="7">
        <v>3110803</v>
      </c>
    </row>
    <row r="262" spans="1:4" x14ac:dyDescent="0.25">
      <c r="A262" s="2" t="s">
        <v>21</v>
      </c>
      <c r="B262" s="3" t="s">
        <v>5</v>
      </c>
      <c r="C262" s="3" t="s">
        <v>48</v>
      </c>
      <c r="D262" s="4">
        <v>3110803</v>
      </c>
    </row>
    <row r="263" spans="1:4" x14ac:dyDescent="0.25">
      <c r="A263" s="5" t="s">
        <v>21</v>
      </c>
      <c r="B263" s="6" t="s">
        <v>5</v>
      </c>
      <c r="C263" s="6" t="s">
        <v>49</v>
      </c>
      <c r="D263" s="7">
        <v>3110803</v>
      </c>
    </row>
    <row r="264" spans="1:4" x14ac:dyDescent="0.25">
      <c r="A264" s="2" t="s">
        <v>21</v>
      </c>
      <c r="B264" s="3" t="s">
        <v>5</v>
      </c>
      <c r="C264" s="3" t="s">
        <v>50</v>
      </c>
      <c r="D264" s="4">
        <v>3110803</v>
      </c>
    </row>
    <row r="265" spans="1:4" x14ac:dyDescent="0.25">
      <c r="A265" s="5" t="s">
        <v>21</v>
      </c>
      <c r="B265" s="6" t="s">
        <v>5</v>
      </c>
      <c r="C265" s="6" t="s">
        <v>51</v>
      </c>
      <c r="D265" s="7">
        <v>3110803</v>
      </c>
    </row>
    <row r="266" spans="1:4" x14ac:dyDescent="0.25">
      <c r="A266" s="2" t="s">
        <v>21</v>
      </c>
      <c r="B266" s="3" t="s">
        <v>5</v>
      </c>
      <c r="C266" s="3" t="s">
        <v>52</v>
      </c>
      <c r="D266" s="4">
        <v>3110803</v>
      </c>
    </row>
    <row r="267" spans="1:4" x14ac:dyDescent="0.25">
      <c r="A267" s="5" t="s">
        <v>21</v>
      </c>
      <c r="B267" s="6" t="s">
        <v>5</v>
      </c>
      <c r="C267" s="6" t="s">
        <v>53</v>
      </c>
      <c r="D267" s="7">
        <v>3110803</v>
      </c>
    </row>
    <row r="268" spans="1:4" x14ac:dyDescent="0.25">
      <c r="A268" s="2" t="s">
        <v>21</v>
      </c>
      <c r="B268" s="3" t="s">
        <v>5</v>
      </c>
      <c r="C268" s="3" t="s">
        <v>54</v>
      </c>
      <c r="D268" s="4">
        <v>3112296.25</v>
      </c>
    </row>
    <row r="269" spans="1:4" x14ac:dyDescent="0.25">
      <c r="A269" s="5" t="s">
        <v>21</v>
      </c>
      <c r="B269" s="6" t="s">
        <v>5</v>
      </c>
      <c r="C269" s="6" t="s">
        <v>55</v>
      </c>
      <c r="D269" s="7">
        <v>6729162</v>
      </c>
    </row>
    <row r="270" spans="1:4" x14ac:dyDescent="0.25">
      <c r="A270" s="5" t="s">
        <v>21</v>
      </c>
      <c r="B270" s="6" t="s">
        <v>5</v>
      </c>
      <c r="C270" s="6" t="s">
        <v>56</v>
      </c>
      <c r="D270" s="7">
        <v>5853663</v>
      </c>
    </row>
    <row r="271" spans="1:4" x14ac:dyDescent="0.25">
      <c r="A271" s="5" t="s">
        <v>21</v>
      </c>
      <c r="B271" s="6" t="s">
        <v>5</v>
      </c>
      <c r="C271" s="6" t="s">
        <v>57</v>
      </c>
      <c r="D271" s="7">
        <v>3795097.75</v>
      </c>
    </row>
    <row r="272" spans="1:4" x14ac:dyDescent="0.25">
      <c r="A272" s="5" t="s">
        <v>21</v>
      </c>
      <c r="B272" s="6" t="s">
        <v>5</v>
      </c>
      <c r="C272" s="6" t="s">
        <v>58</v>
      </c>
      <c r="D272" s="7">
        <v>2477281.75</v>
      </c>
    </row>
    <row r="273" spans="1:4" x14ac:dyDescent="0.25">
      <c r="A273" s="5" t="s">
        <v>21</v>
      </c>
      <c r="B273" s="6" t="s">
        <v>5</v>
      </c>
      <c r="C273" s="6" t="s">
        <v>59</v>
      </c>
      <c r="D273" s="7">
        <v>1582750</v>
      </c>
    </row>
    <row r="274" spans="1:4" x14ac:dyDescent="0.25">
      <c r="A274" s="5" t="s">
        <v>21</v>
      </c>
      <c r="B274" s="6" t="s">
        <v>5</v>
      </c>
      <c r="C274" s="6" t="s">
        <v>60</v>
      </c>
      <c r="D274" s="7">
        <v>880447.5625</v>
      </c>
    </row>
    <row r="275" spans="1:4" x14ac:dyDescent="0.25">
      <c r="A275" s="5" t="s">
        <v>21</v>
      </c>
      <c r="B275" s="6" t="s">
        <v>5</v>
      </c>
      <c r="C275" s="6" t="s">
        <v>61</v>
      </c>
      <c r="D275" s="7">
        <v>655482.3125</v>
      </c>
    </row>
    <row r="276" spans="1:4" x14ac:dyDescent="0.25">
      <c r="A276" s="5" t="s">
        <v>21</v>
      </c>
      <c r="B276" s="6" t="s">
        <v>5</v>
      </c>
      <c r="C276" s="6" t="s">
        <v>62</v>
      </c>
      <c r="D276" s="7">
        <v>728567.4375</v>
      </c>
    </row>
    <row r="277" spans="1:4" x14ac:dyDescent="0.25">
      <c r="A277" s="5" t="s">
        <v>21</v>
      </c>
      <c r="B277" s="6" t="s">
        <v>5</v>
      </c>
      <c r="C277" s="6" t="s">
        <v>63</v>
      </c>
      <c r="D277" s="7">
        <v>1307919.5</v>
      </c>
    </row>
    <row r="278" spans="1:4" x14ac:dyDescent="0.25">
      <c r="A278" s="5" t="s">
        <v>21</v>
      </c>
      <c r="B278" s="6" t="s">
        <v>5</v>
      </c>
      <c r="C278" s="6" t="s">
        <v>64</v>
      </c>
      <c r="D278" s="7">
        <v>2978600</v>
      </c>
    </row>
    <row r="279" spans="1:4" x14ac:dyDescent="0.25">
      <c r="A279" s="5" t="s">
        <v>21</v>
      </c>
      <c r="B279" s="6" t="s">
        <v>5</v>
      </c>
      <c r="C279" s="6" t="s">
        <v>65</v>
      </c>
      <c r="D279" s="7">
        <v>4400715</v>
      </c>
    </row>
    <row r="280" spans="1:4" x14ac:dyDescent="0.25">
      <c r="A280" s="5" t="s">
        <v>21</v>
      </c>
      <c r="B280" s="6" t="s">
        <v>5</v>
      </c>
      <c r="C280" s="6" t="s">
        <v>66</v>
      </c>
      <c r="D280" s="7">
        <v>6675490</v>
      </c>
    </row>
    <row r="281" spans="1:4" x14ac:dyDescent="0.25">
      <c r="A281" s="5" t="s">
        <v>22</v>
      </c>
      <c r="B281" s="6" t="s">
        <v>5</v>
      </c>
      <c r="C281" s="6" t="s">
        <v>36</v>
      </c>
      <c r="D281" s="7">
        <v>3609195.25</v>
      </c>
    </row>
    <row r="282" spans="1:4" x14ac:dyDescent="0.25">
      <c r="A282" s="2" t="s">
        <v>22</v>
      </c>
      <c r="B282" s="3" t="s">
        <v>5</v>
      </c>
      <c r="C282" s="3" t="s">
        <v>37</v>
      </c>
      <c r="D282" s="4">
        <v>3609195.25</v>
      </c>
    </row>
    <row r="283" spans="1:4" x14ac:dyDescent="0.25">
      <c r="A283" s="5" t="s">
        <v>22</v>
      </c>
      <c r="B283" s="6" t="s">
        <v>5</v>
      </c>
      <c r="C283" s="6" t="s">
        <v>38</v>
      </c>
      <c r="D283" s="7">
        <v>3609195.25</v>
      </c>
    </row>
    <row r="284" spans="1:4" x14ac:dyDescent="0.25">
      <c r="A284" s="2" t="s">
        <v>22</v>
      </c>
      <c r="B284" s="3" t="s">
        <v>5</v>
      </c>
      <c r="C284" s="3" t="s">
        <v>39</v>
      </c>
      <c r="D284" s="4">
        <v>3609195.25</v>
      </c>
    </row>
    <row r="285" spans="1:4" x14ac:dyDescent="0.25">
      <c r="A285" s="5" t="s">
        <v>22</v>
      </c>
      <c r="B285" s="6" t="s">
        <v>5</v>
      </c>
      <c r="C285" s="6" t="s">
        <v>40</v>
      </c>
      <c r="D285" s="7">
        <v>3609195.25</v>
      </c>
    </row>
    <row r="286" spans="1:4" x14ac:dyDescent="0.25">
      <c r="A286" s="2" t="s">
        <v>22</v>
      </c>
      <c r="B286" s="3" t="s">
        <v>5</v>
      </c>
      <c r="C286" s="3" t="s">
        <v>41</v>
      </c>
      <c r="D286" s="4">
        <v>3609195.25</v>
      </c>
    </row>
    <row r="287" spans="1:4" x14ac:dyDescent="0.25">
      <c r="A287" s="5" t="s">
        <v>22</v>
      </c>
      <c r="B287" s="6" t="s">
        <v>5</v>
      </c>
      <c r="C287" s="6" t="s">
        <v>42</v>
      </c>
      <c r="D287" s="7">
        <v>3610927.75</v>
      </c>
    </row>
    <row r="288" spans="1:4" x14ac:dyDescent="0.25">
      <c r="A288" s="2" t="s">
        <v>22</v>
      </c>
      <c r="B288" s="3" t="s">
        <v>5</v>
      </c>
      <c r="C288" s="3" t="s">
        <v>43</v>
      </c>
      <c r="D288" s="4">
        <v>3586947.5</v>
      </c>
    </row>
    <row r="289" spans="1:4" x14ac:dyDescent="0.25">
      <c r="A289" s="5" t="s">
        <v>22</v>
      </c>
      <c r="B289" s="6" t="s">
        <v>5</v>
      </c>
      <c r="C289" s="6" t="s">
        <v>44</v>
      </c>
      <c r="D289" s="7">
        <v>3586947.5</v>
      </c>
    </row>
    <row r="290" spans="1:4" x14ac:dyDescent="0.25">
      <c r="A290" s="2" t="s">
        <v>22</v>
      </c>
      <c r="B290" s="3" t="s">
        <v>5</v>
      </c>
      <c r="C290" s="3" t="s">
        <v>45</v>
      </c>
      <c r="D290" s="4">
        <v>3586947.5</v>
      </c>
    </row>
    <row r="291" spans="1:4" x14ac:dyDescent="0.25">
      <c r="A291" s="5" t="s">
        <v>22</v>
      </c>
      <c r="B291" s="6" t="s">
        <v>5</v>
      </c>
      <c r="C291" s="6" t="s">
        <v>46</v>
      </c>
      <c r="D291" s="7">
        <v>3586947.5</v>
      </c>
    </row>
    <row r="292" spans="1:4" x14ac:dyDescent="0.25">
      <c r="A292" s="2" t="s">
        <v>22</v>
      </c>
      <c r="B292" s="3" t="s">
        <v>5</v>
      </c>
      <c r="C292" s="3" t="s">
        <v>47</v>
      </c>
      <c r="D292" s="4">
        <v>3586947.5</v>
      </c>
    </row>
    <row r="293" spans="1:4" x14ac:dyDescent="0.25">
      <c r="A293" s="5" t="s">
        <v>22</v>
      </c>
      <c r="B293" s="6" t="s">
        <v>5</v>
      </c>
      <c r="C293" s="6" t="s">
        <v>48</v>
      </c>
      <c r="D293" s="7">
        <v>3586947.5</v>
      </c>
    </row>
    <row r="294" spans="1:4" x14ac:dyDescent="0.25">
      <c r="A294" s="2" t="s">
        <v>22</v>
      </c>
      <c r="B294" s="3" t="s">
        <v>5</v>
      </c>
      <c r="C294" s="3" t="s">
        <v>49</v>
      </c>
      <c r="D294" s="4">
        <v>3586947.5</v>
      </c>
    </row>
    <row r="295" spans="1:4" x14ac:dyDescent="0.25">
      <c r="A295" s="5" t="s">
        <v>22</v>
      </c>
      <c r="B295" s="6" t="s">
        <v>5</v>
      </c>
      <c r="C295" s="6" t="s">
        <v>50</v>
      </c>
      <c r="D295" s="7">
        <v>3586947.5</v>
      </c>
    </row>
    <row r="296" spans="1:4" x14ac:dyDescent="0.25">
      <c r="A296" s="2" t="s">
        <v>22</v>
      </c>
      <c r="B296" s="3" t="s">
        <v>5</v>
      </c>
      <c r="C296" s="3" t="s">
        <v>51</v>
      </c>
      <c r="D296" s="4">
        <v>3586947.5</v>
      </c>
    </row>
    <row r="297" spans="1:4" x14ac:dyDescent="0.25">
      <c r="A297" s="5" t="s">
        <v>22</v>
      </c>
      <c r="B297" s="6" t="s">
        <v>5</v>
      </c>
      <c r="C297" s="6" t="s">
        <v>52</v>
      </c>
      <c r="D297" s="7">
        <v>3586947.5</v>
      </c>
    </row>
    <row r="298" spans="1:4" x14ac:dyDescent="0.25">
      <c r="A298" s="2" t="s">
        <v>22</v>
      </c>
      <c r="B298" s="3" t="s">
        <v>5</v>
      </c>
      <c r="C298" s="3" t="s">
        <v>53</v>
      </c>
      <c r="D298" s="4">
        <v>3586947.5</v>
      </c>
    </row>
    <row r="299" spans="1:4" x14ac:dyDescent="0.25">
      <c r="A299" s="5" t="s">
        <v>22</v>
      </c>
      <c r="B299" s="6" t="s">
        <v>5</v>
      </c>
      <c r="C299" s="6" t="s">
        <v>54</v>
      </c>
      <c r="D299" s="7">
        <v>3588669.25</v>
      </c>
    </row>
    <row r="300" spans="1:4" x14ac:dyDescent="0.25">
      <c r="A300" s="2" t="s">
        <v>22</v>
      </c>
      <c r="B300" s="3" t="s">
        <v>5</v>
      </c>
      <c r="C300" s="3" t="s">
        <v>55</v>
      </c>
      <c r="D300" s="4">
        <v>7640110.5</v>
      </c>
    </row>
    <row r="301" spans="1:4" x14ac:dyDescent="0.25">
      <c r="A301" s="2" t="s">
        <v>22</v>
      </c>
      <c r="B301" s="3" t="s">
        <v>5</v>
      </c>
      <c r="C301" s="3" t="s">
        <v>56</v>
      </c>
      <c r="D301" s="4">
        <v>6646092</v>
      </c>
    </row>
    <row r="302" spans="1:4" x14ac:dyDescent="0.25">
      <c r="A302" s="2" t="s">
        <v>22</v>
      </c>
      <c r="B302" s="3" t="s">
        <v>5</v>
      </c>
      <c r="C302" s="3" t="s">
        <v>57</v>
      </c>
      <c r="D302" s="4">
        <v>4308853</v>
      </c>
    </row>
    <row r="303" spans="1:4" x14ac:dyDescent="0.25">
      <c r="A303" s="2" t="s">
        <v>22</v>
      </c>
      <c r="B303" s="3" t="s">
        <v>5</v>
      </c>
      <c r="C303" s="3" t="s">
        <v>58</v>
      </c>
      <c r="D303" s="4">
        <v>2812639.5</v>
      </c>
    </row>
    <row r="304" spans="1:4" x14ac:dyDescent="0.25">
      <c r="A304" s="2" t="s">
        <v>22</v>
      </c>
      <c r="B304" s="3" t="s">
        <v>5</v>
      </c>
      <c r="C304" s="3" t="s">
        <v>59</v>
      </c>
      <c r="D304" s="4">
        <v>1797012.125</v>
      </c>
    </row>
    <row r="305" spans="1:4" x14ac:dyDescent="0.25">
      <c r="A305" s="2" t="s">
        <v>22</v>
      </c>
      <c r="B305" s="3" t="s">
        <v>5</v>
      </c>
      <c r="C305" s="3" t="s">
        <v>60</v>
      </c>
      <c r="D305" s="4">
        <v>999636.625</v>
      </c>
    </row>
    <row r="306" spans="1:4" x14ac:dyDescent="0.25">
      <c r="A306" s="2" t="s">
        <v>22</v>
      </c>
      <c r="B306" s="3" t="s">
        <v>5</v>
      </c>
      <c r="C306" s="3" t="s">
        <v>61</v>
      </c>
      <c r="D306" s="4">
        <v>744217.125</v>
      </c>
    </row>
    <row r="307" spans="1:4" x14ac:dyDescent="0.25">
      <c r="A307" s="2" t="s">
        <v>22</v>
      </c>
      <c r="B307" s="3" t="s">
        <v>5</v>
      </c>
      <c r="C307" s="3" t="s">
        <v>62</v>
      </c>
      <c r="D307" s="4">
        <v>827196</v>
      </c>
    </row>
    <row r="308" spans="1:4" x14ac:dyDescent="0.25">
      <c r="A308" s="2" t="s">
        <v>22</v>
      </c>
      <c r="B308" s="3" t="s">
        <v>5</v>
      </c>
      <c r="C308" s="3" t="s">
        <v>63</v>
      </c>
      <c r="D308" s="4">
        <v>1484976.875</v>
      </c>
    </row>
    <row r="309" spans="1:4" x14ac:dyDescent="0.25">
      <c r="A309" s="2" t="s">
        <v>22</v>
      </c>
      <c r="B309" s="3" t="s">
        <v>5</v>
      </c>
      <c r="C309" s="3" t="s">
        <v>64</v>
      </c>
      <c r="D309" s="4">
        <v>3381822.75</v>
      </c>
    </row>
    <row r="310" spans="1:4" x14ac:dyDescent="0.25">
      <c r="A310" s="2" t="s">
        <v>22</v>
      </c>
      <c r="B310" s="3" t="s">
        <v>5</v>
      </c>
      <c r="C310" s="3" t="s">
        <v>65</v>
      </c>
      <c r="D310" s="4">
        <v>4996454</v>
      </c>
    </row>
    <row r="311" spans="1:4" x14ac:dyDescent="0.25">
      <c r="A311" s="2" t="s">
        <v>22</v>
      </c>
      <c r="B311" s="3" t="s">
        <v>5</v>
      </c>
      <c r="C311" s="3" t="s">
        <v>66</v>
      </c>
      <c r="D311" s="4">
        <v>7579173</v>
      </c>
    </row>
    <row r="312" spans="1:4" x14ac:dyDescent="0.25">
      <c r="A312" s="2" t="s">
        <v>35</v>
      </c>
      <c r="B312" s="3" t="s">
        <v>5</v>
      </c>
      <c r="C312" s="3" t="s">
        <v>36</v>
      </c>
      <c r="D312" s="4">
        <v>2143520.5</v>
      </c>
    </row>
    <row r="313" spans="1:4" x14ac:dyDescent="0.25">
      <c r="A313" s="5" t="s">
        <v>35</v>
      </c>
      <c r="B313" s="6" t="s">
        <v>5</v>
      </c>
      <c r="C313" s="6" t="s">
        <v>37</v>
      </c>
      <c r="D313" s="7">
        <v>2143520.5</v>
      </c>
    </row>
    <row r="314" spans="1:4" x14ac:dyDescent="0.25">
      <c r="A314" s="2" t="s">
        <v>35</v>
      </c>
      <c r="B314" s="3" t="s">
        <v>5</v>
      </c>
      <c r="C314" s="3" t="s">
        <v>38</v>
      </c>
      <c r="D314" s="4">
        <v>2143520.5</v>
      </c>
    </row>
    <row r="315" spans="1:4" x14ac:dyDescent="0.25">
      <c r="A315" s="5" t="s">
        <v>35</v>
      </c>
      <c r="B315" s="6" t="s">
        <v>5</v>
      </c>
      <c r="C315" s="6" t="s">
        <v>39</v>
      </c>
      <c r="D315" s="7">
        <v>2143520.5</v>
      </c>
    </row>
    <row r="316" spans="1:4" x14ac:dyDescent="0.25">
      <c r="A316" s="2" t="s">
        <v>35</v>
      </c>
      <c r="B316" s="3" t="s">
        <v>5</v>
      </c>
      <c r="C316" s="3" t="s">
        <v>40</v>
      </c>
      <c r="D316" s="4">
        <v>2143520.5</v>
      </c>
    </row>
    <row r="317" spans="1:4" x14ac:dyDescent="0.25">
      <c r="A317" s="5" t="s">
        <v>35</v>
      </c>
      <c r="B317" s="6" t="s">
        <v>5</v>
      </c>
      <c r="C317" s="6" t="s">
        <v>41</v>
      </c>
      <c r="D317" s="7">
        <v>2143520.5</v>
      </c>
    </row>
    <row r="318" spans="1:4" x14ac:dyDescent="0.25">
      <c r="A318" s="2" t="s">
        <v>35</v>
      </c>
      <c r="B318" s="3" t="s">
        <v>5</v>
      </c>
      <c r="C318" s="3" t="s">
        <v>42</v>
      </c>
      <c r="D318" s="4">
        <v>2144549.5</v>
      </c>
    </row>
    <row r="319" spans="1:4" x14ac:dyDescent="0.25">
      <c r="A319" s="5" t="s">
        <v>35</v>
      </c>
      <c r="B319" s="6" t="s">
        <v>5</v>
      </c>
      <c r="C319" s="6" t="s">
        <v>43</v>
      </c>
      <c r="D319" s="7">
        <v>2098812.25</v>
      </c>
    </row>
    <row r="320" spans="1:4" x14ac:dyDescent="0.25">
      <c r="A320" s="2" t="s">
        <v>35</v>
      </c>
      <c r="B320" s="3" t="s">
        <v>5</v>
      </c>
      <c r="C320" s="3" t="s">
        <v>44</v>
      </c>
      <c r="D320" s="4">
        <v>2098812.25</v>
      </c>
    </row>
    <row r="321" spans="1:4" x14ac:dyDescent="0.25">
      <c r="A321" s="5" t="s">
        <v>35</v>
      </c>
      <c r="B321" s="6" t="s">
        <v>5</v>
      </c>
      <c r="C321" s="6" t="s">
        <v>45</v>
      </c>
      <c r="D321" s="7">
        <v>2098812.25</v>
      </c>
    </row>
    <row r="322" spans="1:4" x14ac:dyDescent="0.25">
      <c r="A322" s="2" t="s">
        <v>35</v>
      </c>
      <c r="B322" s="3" t="s">
        <v>5</v>
      </c>
      <c r="C322" s="3" t="s">
        <v>46</v>
      </c>
      <c r="D322" s="4">
        <v>2098812.25</v>
      </c>
    </row>
    <row r="323" spans="1:4" x14ac:dyDescent="0.25">
      <c r="A323" s="5" t="s">
        <v>35</v>
      </c>
      <c r="B323" s="6" t="s">
        <v>5</v>
      </c>
      <c r="C323" s="6" t="s">
        <v>47</v>
      </c>
      <c r="D323" s="7">
        <v>2098812.25</v>
      </c>
    </row>
    <row r="324" spans="1:4" x14ac:dyDescent="0.25">
      <c r="A324" s="2" t="s">
        <v>35</v>
      </c>
      <c r="B324" s="3" t="s">
        <v>5</v>
      </c>
      <c r="C324" s="3" t="s">
        <v>48</v>
      </c>
      <c r="D324" s="4">
        <v>2098812.25</v>
      </c>
    </row>
    <row r="325" spans="1:4" x14ac:dyDescent="0.25">
      <c r="A325" s="5" t="s">
        <v>35</v>
      </c>
      <c r="B325" s="6" t="s">
        <v>5</v>
      </c>
      <c r="C325" s="6" t="s">
        <v>49</v>
      </c>
      <c r="D325" s="7">
        <v>2098812.25</v>
      </c>
    </row>
    <row r="326" spans="1:4" x14ac:dyDescent="0.25">
      <c r="A326" s="2" t="s">
        <v>35</v>
      </c>
      <c r="B326" s="3" t="s">
        <v>5</v>
      </c>
      <c r="C326" s="3" t="s">
        <v>50</v>
      </c>
      <c r="D326" s="4">
        <v>2098812.25</v>
      </c>
    </row>
    <row r="327" spans="1:4" x14ac:dyDescent="0.25">
      <c r="A327" s="5" t="s">
        <v>35</v>
      </c>
      <c r="B327" s="6" t="s">
        <v>5</v>
      </c>
      <c r="C327" s="6" t="s">
        <v>51</v>
      </c>
      <c r="D327" s="7">
        <v>2098812.25</v>
      </c>
    </row>
    <row r="328" spans="1:4" x14ac:dyDescent="0.25">
      <c r="A328" s="2" t="s">
        <v>35</v>
      </c>
      <c r="B328" s="3" t="s">
        <v>5</v>
      </c>
      <c r="C328" s="3" t="s">
        <v>52</v>
      </c>
      <c r="D328" s="4">
        <v>2098812.25</v>
      </c>
    </row>
    <row r="329" spans="1:4" x14ac:dyDescent="0.25">
      <c r="A329" s="5" t="s">
        <v>35</v>
      </c>
      <c r="B329" s="6" t="s">
        <v>5</v>
      </c>
      <c r="C329" s="6" t="s">
        <v>53</v>
      </c>
      <c r="D329" s="7">
        <v>2098812.25</v>
      </c>
    </row>
    <row r="330" spans="1:4" x14ac:dyDescent="0.25">
      <c r="A330" s="2" t="s">
        <v>35</v>
      </c>
      <c r="B330" s="3" t="s">
        <v>5</v>
      </c>
      <c r="C330" s="3" t="s">
        <v>54</v>
      </c>
      <c r="D330" s="4">
        <v>2099819.75</v>
      </c>
    </row>
    <row r="331" spans="1:4" x14ac:dyDescent="0.25">
      <c r="A331" s="5" t="s">
        <v>35</v>
      </c>
      <c r="B331" s="6" t="s">
        <v>5</v>
      </c>
      <c r="C331" s="6" t="s">
        <v>55</v>
      </c>
      <c r="D331" s="7">
        <v>4520558.5</v>
      </c>
    </row>
    <row r="332" spans="1:4" x14ac:dyDescent="0.25">
      <c r="A332" s="5" t="s">
        <v>35</v>
      </c>
      <c r="B332" s="6" t="s">
        <v>5</v>
      </c>
      <c r="C332" s="6" t="s">
        <v>56</v>
      </c>
      <c r="D332" s="7">
        <v>3930036.5</v>
      </c>
    </row>
    <row r="333" spans="1:4" x14ac:dyDescent="0.25">
      <c r="A333" s="5" t="s">
        <v>35</v>
      </c>
      <c r="B333" s="6" t="s">
        <v>5</v>
      </c>
      <c r="C333" s="6" t="s">
        <v>57</v>
      </c>
      <c r="D333" s="7">
        <v>2566708.75</v>
      </c>
    </row>
    <row r="334" spans="1:4" x14ac:dyDescent="0.25">
      <c r="A334" s="5" t="s">
        <v>35</v>
      </c>
      <c r="B334" s="6" t="s">
        <v>5</v>
      </c>
      <c r="C334" s="6" t="s">
        <v>58</v>
      </c>
      <c r="D334" s="7">
        <v>1676969.25</v>
      </c>
    </row>
    <row r="335" spans="1:4" x14ac:dyDescent="0.25">
      <c r="A335" s="5" t="s">
        <v>35</v>
      </c>
      <c r="B335" s="6" t="s">
        <v>5</v>
      </c>
      <c r="C335" s="6" t="s">
        <v>59</v>
      </c>
      <c r="D335" s="7">
        <v>1070400</v>
      </c>
    </row>
    <row r="336" spans="1:4" x14ac:dyDescent="0.25">
      <c r="A336" s="5" t="s">
        <v>35</v>
      </c>
      <c r="B336" s="6" t="s">
        <v>5</v>
      </c>
      <c r="C336" s="6" t="s">
        <v>60</v>
      </c>
      <c r="D336" s="7">
        <v>593156.5</v>
      </c>
    </row>
    <row r="337" spans="1:4" x14ac:dyDescent="0.25">
      <c r="A337" s="5" t="s">
        <v>35</v>
      </c>
      <c r="B337" s="6" t="s">
        <v>5</v>
      </c>
      <c r="C337" s="6" t="s">
        <v>61</v>
      </c>
      <c r="D337" s="7">
        <v>440405.25</v>
      </c>
    </row>
    <row r="338" spans="1:4" x14ac:dyDescent="0.25">
      <c r="A338" s="5" t="s">
        <v>35</v>
      </c>
      <c r="B338" s="6" t="s">
        <v>5</v>
      </c>
      <c r="C338" s="6" t="s">
        <v>62</v>
      </c>
      <c r="D338" s="7">
        <v>492498.875</v>
      </c>
    </row>
    <row r="339" spans="1:4" x14ac:dyDescent="0.25">
      <c r="A339" s="5" t="s">
        <v>35</v>
      </c>
      <c r="B339" s="6" t="s">
        <v>5</v>
      </c>
      <c r="C339" s="6" t="s">
        <v>63</v>
      </c>
      <c r="D339" s="7">
        <v>887497.875</v>
      </c>
    </row>
    <row r="340" spans="1:4" x14ac:dyDescent="0.25">
      <c r="A340" s="5" t="s">
        <v>35</v>
      </c>
      <c r="B340" s="6" t="s">
        <v>5</v>
      </c>
      <c r="C340" s="6" t="s">
        <v>64</v>
      </c>
      <c r="D340" s="7">
        <v>2005727.5</v>
      </c>
    </row>
    <row r="341" spans="1:4" x14ac:dyDescent="0.25">
      <c r="A341" s="5" t="s">
        <v>35</v>
      </c>
      <c r="B341" s="6" t="s">
        <v>5</v>
      </c>
      <c r="C341" s="6" t="s">
        <v>65</v>
      </c>
      <c r="D341" s="7">
        <v>2969602.25</v>
      </c>
    </row>
    <row r="342" spans="1:4" x14ac:dyDescent="0.25">
      <c r="A342" s="5" t="s">
        <v>35</v>
      </c>
      <c r="B342" s="6" t="s">
        <v>5</v>
      </c>
      <c r="C342" s="6" t="s">
        <v>66</v>
      </c>
      <c r="D342" s="7">
        <v>4483874</v>
      </c>
    </row>
    <row r="343" spans="1:4" x14ac:dyDescent="0.25">
      <c r="A343" s="2" t="s">
        <v>25</v>
      </c>
      <c r="B343" s="3" t="s">
        <v>5</v>
      </c>
      <c r="C343" s="3" t="s">
        <v>36</v>
      </c>
      <c r="D343" s="4">
        <v>2076647.625</v>
      </c>
    </row>
    <row r="344" spans="1:4" x14ac:dyDescent="0.25">
      <c r="A344" s="5" t="s">
        <v>25</v>
      </c>
      <c r="B344" s="6" t="s">
        <v>5</v>
      </c>
      <c r="C344" s="6" t="s">
        <v>37</v>
      </c>
      <c r="D344" s="7">
        <v>2076647.625</v>
      </c>
    </row>
    <row r="345" spans="1:4" x14ac:dyDescent="0.25">
      <c r="A345" s="2" t="s">
        <v>25</v>
      </c>
      <c r="B345" s="3" t="s">
        <v>5</v>
      </c>
      <c r="C345" s="3" t="s">
        <v>38</v>
      </c>
      <c r="D345" s="4">
        <v>2076647.625</v>
      </c>
    </row>
    <row r="346" spans="1:4" x14ac:dyDescent="0.25">
      <c r="A346" s="5" t="s">
        <v>25</v>
      </c>
      <c r="B346" s="6" t="s">
        <v>5</v>
      </c>
      <c r="C346" s="6" t="s">
        <v>39</v>
      </c>
      <c r="D346" s="7">
        <v>2076647.625</v>
      </c>
    </row>
    <row r="347" spans="1:4" x14ac:dyDescent="0.25">
      <c r="A347" s="2" t="s">
        <v>25</v>
      </c>
      <c r="B347" s="3" t="s">
        <v>5</v>
      </c>
      <c r="C347" s="3" t="s">
        <v>40</v>
      </c>
      <c r="D347" s="4">
        <v>2076647.625</v>
      </c>
    </row>
    <row r="348" spans="1:4" x14ac:dyDescent="0.25">
      <c r="A348" s="5" t="s">
        <v>25</v>
      </c>
      <c r="B348" s="6" t="s">
        <v>5</v>
      </c>
      <c r="C348" s="6" t="s">
        <v>41</v>
      </c>
      <c r="D348" s="7">
        <v>2076647.625</v>
      </c>
    </row>
    <row r="349" spans="1:4" x14ac:dyDescent="0.25">
      <c r="A349" s="2" t="s">
        <v>25</v>
      </c>
      <c r="B349" s="3" t="s">
        <v>5</v>
      </c>
      <c r="C349" s="3" t="s">
        <v>42</v>
      </c>
      <c r="D349" s="4">
        <v>2077644.5</v>
      </c>
    </row>
    <row r="350" spans="1:4" x14ac:dyDescent="0.25">
      <c r="A350" s="5" t="s">
        <v>25</v>
      </c>
      <c r="B350" s="6" t="s">
        <v>5</v>
      </c>
      <c r="C350" s="6" t="s">
        <v>43</v>
      </c>
      <c r="D350" s="7">
        <v>2056816.25</v>
      </c>
    </row>
    <row r="351" spans="1:4" x14ac:dyDescent="0.25">
      <c r="A351" s="2" t="s">
        <v>25</v>
      </c>
      <c r="B351" s="3" t="s">
        <v>5</v>
      </c>
      <c r="C351" s="3" t="s">
        <v>44</v>
      </c>
      <c r="D351" s="4">
        <v>2056816.25</v>
      </c>
    </row>
    <row r="352" spans="1:4" x14ac:dyDescent="0.25">
      <c r="A352" s="5" t="s">
        <v>25</v>
      </c>
      <c r="B352" s="6" t="s">
        <v>5</v>
      </c>
      <c r="C352" s="6" t="s">
        <v>45</v>
      </c>
      <c r="D352" s="7">
        <v>2056816.25</v>
      </c>
    </row>
    <row r="353" spans="1:4" x14ac:dyDescent="0.25">
      <c r="A353" s="2" t="s">
        <v>25</v>
      </c>
      <c r="B353" s="3" t="s">
        <v>5</v>
      </c>
      <c r="C353" s="3" t="s">
        <v>46</v>
      </c>
      <c r="D353" s="4">
        <v>2056816.25</v>
      </c>
    </row>
    <row r="354" spans="1:4" x14ac:dyDescent="0.25">
      <c r="A354" s="5" t="s">
        <v>25</v>
      </c>
      <c r="B354" s="6" t="s">
        <v>5</v>
      </c>
      <c r="C354" s="6" t="s">
        <v>47</v>
      </c>
      <c r="D354" s="7">
        <v>2056816.25</v>
      </c>
    </row>
    <row r="355" spans="1:4" x14ac:dyDescent="0.25">
      <c r="A355" s="2" t="s">
        <v>25</v>
      </c>
      <c r="B355" s="3" t="s">
        <v>5</v>
      </c>
      <c r="C355" s="3" t="s">
        <v>48</v>
      </c>
      <c r="D355" s="4">
        <v>2056816.25</v>
      </c>
    </row>
    <row r="356" spans="1:4" x14ac:dyDescent="0.25">
      <c r="A356" s="5" t="s">
        <v>25</v>
      </c>
      <c r="B356" s="6" t="s">
        <v>5</v>
      </c>
      <c r="C356" s="6" t="s">
        <v>49</v>
      </c>
      <c r="D356" s="7">
        <v>2056816.25</v>
      </c>
    </row>
    <row r="357" spans="1:4" x14ac:dyDescent="0.25">
      <c r="A357" s="2" t="s">
        <v>25</v>
      </c>
      <c r="B357" s="3" t="s">
        <v>5</v>
      </c>
      <c r="C357" s="3" t="s">
        <v>50</v>
      </c>
      <c r="D357" s="4">
        <v>2056816.25</v>
      </c>
    </row>
    <row r="358" spans="1:4" x14ac:dyDescent="0.25">
      <c r="A358" s="5" t="s">
        <v>25</v>
      </c>
      <c r="B358" s="6" t="s">
        <v>5</v>
      </c>
      <c r="C358" s="6" t="s">
        <v>51</v>
      </c>
      <c r="D358" s="7">
        <v>2056816.25</v>
      </c>
    </row>
    <row r="359" spans="1:4" x14ac:dyDescent="0.25">
      <c r="A359" s="2" t="s">
        <v>25</v>
      </c>
      <c r="B359" s="3" t="s">
        <v>5</v>
      </c>
      <c r="C359" s="3" t="s">
        <v>52</v>
      </c>
      <c r="D359" s="4">
        <v>2056816.25</v>
      </c>
    </row>
    <row r="360" spans="1:4" x14ac:dyDescent="0.25">
      <c r="A360" s="5" t="s">
        <v>25</v>
      </c>
      <c r="B360" s="6" t="s">
        <v>5</v>
      </c>
      <c r="C360" s="6" t="s">
        <v>53</v>
      </c>
      <c r="D360" s="7">
        <v>2056816.25</v>
      </c>
    </row>
    <row r="361" spans="1:4" x14ac:dyDescent="0.25">
      <c r="A361" s="2" t="s">
        <v>25</v>
      </c>
      <c r="B361" s="3" t="s">
        <v>5</v>
      </c>
      <c r="C361" s="3" t="s">
        <v>54</v>
      </c>
      <c r="D361" s="4">
        <v>2057803.5</v>
      </c>
    </row>
    <row r="362" spans="1:4" x14ac:dyDescent="0.25">
      <c r="A362" s="5" t="s">
        <v>25</v>
      </c>
      <c r="B362" s="6" t="s">
        <v>5</v>
      </c>
      <c r="C362" s="6" t="s">
        <v>55</v>
      </c>
      <c r="D362" s="7">
        <v>4325046</v>
      </c>
    </row>
    <row r="363" spans="1:4" x14ac:dyDescent="0.25">
      <c r="A363" s="5" t="s">
        <v>25</v>
      </c>
      <c r="B363" s="6" t="s">
        <v>5</v>
      </c>
      <c r="C363" s="6" t="s">
        <v>56</v>
      </c>
      <c r="D363" s="7">
        <v>3762335</v>
      </c>
    </row>
    <row r="364" spans="1:4" x14ac:dyDescent="0.25">
      <c r="A364" s="5" t="s">
        <v>25</v>
      </c>
      <c r="B364" s="6" t="s">
        <v>5</v>
      </c>
      <c r="C364" s="6" t="s">
        <v>57</v>
      </c>
      <c r="D364" s="7">
        <v>2439230</v>
      </c>
    </row>
    <row r="365" spans="1:4" x14ac:dyDescent="0.25">
      <c r="A365" s="5" t="s">
        <v>25</v>
      </c>
      <c r="B365" s="6" t="s">
        <v>5</v>
      </c>
      <c r="C365" s="6" t="s">
        <v>58</v>
      </c>
      <c r="D365" s="7">
        <v>1592227.75</v>
      </c>
    </row>
    <row r="366" spans="1:4" x14ac:dyDescent="0.25">
      <c r="A366" s="5" t="s">
        <v>25</v>
      </c>
      <c r="B366" s="6" t="s">
        <v>5</v>
      </c>
      <c r="C366" s="6" t="s">
        <v>59</v>
      </c>
      <c r="D366" s="7">
        <v>1017283.75</v>
      </c>
    </row>
    <row r="367" spans="1:4" x14ac:dyDescent="0.25">
      <c r="A367" s="5" t="s">
        <v>25</v>
      </c>
      <c r="B367" s="6" t="s">
        <v>5</v>
      </c>
      <c r="C367" s="6" t="s">
        <v>60</v>
      </c>
      <c r="D367" s="7">
        <v>565891.625</v>
      </c>
    </row>
    <row r="368" spans="1:4" x14ac:dyDescent="0.25">
      <c r="A368" s="5" t="s">
        <v>25</v>
      </c>
      <c r="B368" s="6" t="s">
        <v>5</v>
      </c>
      <c r="C368" s="6" t="s">
        <v>61</v>
      </c>
      <c r="D368" s="7">
        <v>421299.3125</v>
      </c>
    </row>
    <row r="369" spans="1:4" x14ac:dyDescent="0.25">
      <c r="A369" s="5" t="s">
        <v>25</v>
      </c>
      <c r="B369" s="6" t="s">
        <v>5</v>
      </c>
      <c r="C369" s="6" t="s">
        <v>62</v>
      </c>
      <c r="D369" s="7">
        <v>468273.46875</v>
      </c>
    </row>
    <row r="370" spans="1:4" x14ac:dyDescent="0.25">
      <c r="A370" s="5" t="s">
        <v>25</v>
      </c>
      <c r="B370" s="6" t="s">
        <v>5</v>
      </c>
      <c r="C370" s="6" t="s">
        <v>63</v>
      </c>
      <c r="D370" s="7">
        <v>840641.4375</v>
      </c>
    </row>
    <row r="371" spans="1:4" x14ac:dyDescent="0.25">
      <c r="A371" s="5" t="s">
        <v>25</v>
      </c>
      <c r="B371" s="6" t="s">
        <v>5</v>
      </c>
      <c r="C371" s="6" t="s">
        <v>64</v>
      </c>
      <c r="D371" s="7">
        <v>1914440.875</v>
      </c>
    </row>
    <row r="372" spans="1:4" x14ac:dyDescent="0.25">
      <c r="A372" s="5" t="s">
        <v>25</v>
      </c>
      <c r="B372" s="6" t="s">
        <v>5</v>
      </c>
      <c r="C372" s="6" t="s">
        <v>65</v>
      </c>
      <c r="D372" s="7">
        <v>2828479.5</v>
      </c>
    </row>
    <row r="373" spans="1:4" x14ac:dyDescent="0.25">
      <c r="A373" s="5" t="s">
        <v>25</v>
      </c>
      <c r="B373" s="6" t="s">
        <v>5</v>
      </c>
      <c r="C373" s="6" t="s">
        <v>66</v>
      </c>
      <c r="D373" s="7">
        <v>4290549</v>
      </c>
    </row>
    <row r="374" spans="1:4" x14ac:dyDescent="0.25">
      <c r="A374" s="5" t="s">
        <v>26</v>
      </c>
      <c r="B374" s="6" t="s">
        <v>5</v>
      </c>
      <c r="C374" s="6" t="s">
        <v>36</v>
      </c>
      <c r="D374" s="7">
        <v>2476705</v>
      </c>
    </row>
    <row r="375" spans="1:4" x14ac:dyDescent="0.25">
      <c r="A375" s="2" t="s">
        <v>26</v>
      </c>
      <c r="B375" s="3" t="s">
        <v>5</v>
      </c>
      <c r="C375" s="3" t="s">
        <v>37</v>
      </c>
      <c r="D375" s="4">
        <v>2476705</v>
      </c>
    </row>
    <row r="376" spans="1:4" x14ac:dyDescent="0.25">
      <c r="A376" s="5" t="s">
        <v>26</v>
      </c>
      <c r="B376" s="6" t="s">
        <v>5</v>
      </c>
      <c r="C376" s="6" t="s">
        <v>38</v>
      </c>
      <c r="D376" s="7">
        <v>2476705</v>
      </c>
    </row>
    <row r="377" spans="1:4" x14ac:dyDescent="0.25">
      <c r="A377" s="2" t="s">
        <v>26</v>
      </c>
      <c r="B377" s="3" t="s">
        <v>5</v>
      </c>
      <c r="C377" s="3" t="s">
        <v>39</v>
      </c>
      <c r="D377" s="4">
        <v>2476705</v>
      </c>
    </row>
    <row r="378" spans="1:4" x14ac:dyDescent="0.25">
      <c r="A378" s="5" t="s">
        <v>26</v>
      </c>
      <c r="B378" s="6" t="s">
        <v>5</v>
      </c>
      <c r="C378" s="6" t="s">
        <v>40</v>
      </c>
      <c r="D378" s="7">
        <v>2476705</v>
      </c>
    </row>
    <row r="379" spans="1:4" x14ac:dyDescent="0.25">
      <c r="A379" s="2" t="s">
        <v>26</v>
      </c>
      <c r="B379" s="3" t="s">
        <v>5</v>
      </c>
      <c r="C379" s="3" t="s">
        <v>41</v>
      </c>
      <c r="D379" s="4">
        <v>2476705</v>
      </c>
    </row>
    <row r="380" spans="1:4" x14ac:dyDescent="0.25">
      <c r="A380" s="5" t="s">
        <v>26</v>
      </c>
      <c r="B380" s="6" t="s">
        <v>5</v>
      </c>
      <c r="C380" s="6" t="s">
        <v>42</v>
      </c>
      <c r="D380" s="7">
        <v>2477894</v>
      </c>
    </row>
    <row r="381" spans="1:4" x14ac:dyDescent="0.25">
      <c r="A381" s="2" t="s">
        <v>26</v>
      </c>
      <c r="B381" s="3" t="s">
        <v>5</v>
      </c>
      <c r="C381" s="3" t="s">
        <v>43</v>
      </c>
      <c r="D381" s="4">
        <v>2454797.5</v>
      </c>
    </row>
    <row r="382" spans="1:4" x14ac:dyDescent="0.25">
      <c r="A382" s="5" t="s">
        <v>26</v>
      </c>
      <c r="B382" s="6" t="s">
        <v>5</v>
      </c>
      <c r="C382" s="6" t="s">
        <v>44</v>
      </c>
      <c r="D382" s="7">
        <v>2454797.5</v>
      </c>
    </row>
    <row r="383" spans="1:4" x14ac:dyDescent="0.25">
      <c r="A383" s="2" t="s">
        <v>26</v>
      </c>
      <c r="B383" s="3" t="s">
        <v>5</v>
      </c>
      <c r="C383" s="3" t="s">
        <v>45</v>
      </c>
      <c r="D383" s="4">
        <v>2454797.5</v>
      </c>
    </row>
    <row r="384" spans="1:4" x14ac:dyDescent="0.25">
      <c r="A384" s="5" t="s">
        <v>26</v>
      </c>
      <c r="B384" s="6" t="s">
        <v>5</v>
      </c>
      <c r="C384" s="6" t="s">
        <v>46</v>
      </c>
      <c r="D384" s="7">
        <v>2454797.5</v>
      </c>
    </row>
    <row r="385" spans="1:4" x14ac:dyDescent="0.25">
      <c r="A385" s="2" t="s">
        <v>26</v>
      </c>
      <c r="B385" s="3" t="s">
        <v>5</v>
      </c>
      <c r="C385" s="3" t="s">
        <v>47</v>
      </c>
      <c r="D385" s="4">
        <v>2454797.5</v>
      </c>
    </row>
    <row r="386" spans="1:4" x14ac:dyDescent="0.25">
      <c r="A386" s="5" t="s">
        <v>26</v>
      </c>
      <c r="B386" s="6" t="s">
        <v>5</v>
      </c>
      <c r="C386" s="6" t="s">
        <v>48</v>
      </c>
      <c r="D386" s="7">
        <v>2454797.5</v>
      </c>
    </row>
    <row r="387" spans="1:4" x14ac:dyDescent="0.25">
      <c r="A387" s="2" t="s">
        <v>26</v>
      </c>
      <c r="B387" s="3" t="s">
        <v>5</v>
      </c>
      <c r="C387" s="3" t="s">
        <v>49</v>
      </c>
      <c r="D387" s="4">
        <v>2454797.5</v>
      </c>
    </row>
    <row r="388" spans="1:4" x14ac:dyDescent="0.25">
      <c r="A388" s="5" t="s">
        <v>26</v>
      </c>
      <c r="B388" s="6" t="s">
        <v>5</v>
      </c>
      <c r="C388" s="6" t="s">
        <v>50</v>
      </c>
      <c r="D388" s="7">
        <v>2454797.5</v>
      </c>
    </row>
    <row r="389" spans="1:4" x14ac:dyDescent="0.25">
      <c r="A389" s="2" t="s">
        <v>26</v>
      </c>
      <c r="B389" s="3" t="s">
        <v>5</v>
      </c>
      <c r="C389" s="3" t="s">
        <v>51</v>
      </c>
      <c r="D389" s="4">
        <v>2454797.5</v>
      </c>
    </row>
    <row r="390" spans="1:4" x14ac:dyDescent="0.25">
      <c r="A390" s="5" t="s">
        <v>26</v>
      </c>
      <c r="B390" s="6" t="s">
        <v>5</v>
      </c>
      <c r="C390" s="6" t="s">
        <v>52</v>
      </c>
      <c r="D390" s="7">
        <v>2454797.5</v>
      </c>
    </row>
    <row r="391" spans="1:4" x14ac:dyDescent="0.25">
      <c r="A391" s="2" t="s">
        <v>26</v>
      </c>
      <c r="B391" s="3" t="s">
        <v>5</v>
      </c>
      <c r="C391" s="3" t="s">
        <v>53</v>
      </c>
      <c r="D391" s="4">
        <v>2454797.5</v>
      </c>
    </row>
    <row r="392" spans="1:4" x14ac:dyDescent="0.25">
      <c r="A392" s="5" t="s">
        <v>26</v>
      </c>
      <c r="B392" s="6" t="s">
        <v>5</v>
      </c>
      <c r="C392" s="6" t="s">
        <v>54</v>
      </c>
      <c r="D392" s="7">
        <v>2455975.75</v>
      </c>
    </row>
    <row r="393" spans="1:4" x14ac:dyDescent="0.25">
      <c r="A393" s="2" t="s">
        <v>26</v>
      </c>
      <c r="B393" s="3" t="s">
        <v>5</v>
      </c>
      <c r="C393" s="3" t="s">
        <v>55</v>
      </c>
      <c r="D393" s="4">
        <v>5252089</v>
      </c>
    </row>
    <row r="394" spans="1:4" x14ac:dyDescent="0.25">
      <c r="A394" s="2" t="s">
        <v>26</v>
      </c>
      <c r="B394" s="3" t="s">
        <v>5</v>
      </c>
      <c r="C394" s="3" t="s">
        <v>56</v>
      </c>
      <c r="D394" s="4">
        <v>4568765</v>
      </c>
    </row>
    <row r="395" spans="1:4" x14ac:dyDescent="0.25">
      <c r="A395" s="2" t="s">
        <v>26</v>
      </c>
      <c r="B395" s="3" t="s">
        <v>5</v>
      </c>
      <c r="C395" s="3" t="s">
        <v>57</v>
      </c>
      <c r="D395" s="4">
        <v>2962061.75</v>
      </c>
    </row>
    <row r="396" spans="1:4" x14ac:dyDescent="0.25">
      <c r="A396" s="2" t="s">
        <v>26</v>
      </c>
      <c r="B396" s="3" t="s">
        <v>5</v>
      </c>
      <c r="C396" s="3" t="s">
        <v>58</v>
      </c>
      <c r="D396" s="4">
        <v>1933510.25</v>
      </c>
    </row>
    <row r="397" spans="1:4" x14ac:dyDescent="0.25">
      <c r="A397" s="2" t="s">
        <v>26</v>
      </c>
      <c r="B397" s="3" t="s">
        <v>5</v>
      </c>
      <c r="C397" s="3" t="s">
        <v>59</v>
      </c>
      <c r="D397" s="4">
        <v>1235331.25</v>
      </c>
    </row>
    <row r="398" spans="1:4" x14ac:dyDescent="0.25">
      <c r="A398" s="2" t="s">
        <v>26</v>
      </c>
      <c r="B398" s="3" t="s">
        <v>5</v>
      </c>
      <c r="C398" s="3" t="s">
        <v>60</v>
      </c>
      <c r="D398" s="4">
        <v>687186.4375</v>
      </c>
    </row>
    <row r="399" spans="1:4" x14ac:dyDescent="0.25">
      <c r="A399" s="2" t="s">
        <v>26</v>
      </c>
      <c r="B399" s="3" t="s">
        <v>5</v>
      </c>
      <c r="C399" s="3" t="s">
        <v>61</v>
      </c>
      <c r="D399" s="4">
        <v>511601.875</v>
      </c>
    </row>
    <row r="400" spans="1:4" x14ac:dyDescent="0.25">
      <c r="A400" s="2" t="s">
        <v>26</v>
      </c>
      <c r="B400" s="3" t="s">
        <v>5</v>
      </c>
      <c r="C400" s="3" t="s">
        <v>62</v>
      </c>
      <c r="D400" s="4">
        <v>568644.625</v>
      </c>
    </row>
    <row r="401" spans="1:4" x14ac:dyDescent="0.25">
      <c r="A401" s="2" t="s">
        <v>26</v>
      </c>
      <c r="B401" s="3" t="s">
        <v>5</v>
      </c>
      <c r="C401" s="3" t="s">
        <v>63</v>
      </c>
      <c r="D401" s="4">
        <v>1020827</v>
      </c>
    </row>
    <row r="402" spans="1:4" x14ac:dyDescent="0.25">
      <c r="A402" s="2" t="s">
        <v>26</v>
      </c>
      <c r="B402" s="3" t="s">
        <v>5</v>
      </c>
      <c r="C402" s="3" t="s">
        <v>64</v>
      </c>
      <c r="D402" s="4">
        <v>2324787.5</v>
      </c>
    </row>
    <row r="403" spans="1:4" x14ac:dyDescent="0.25">
      <c r="A403" s="2" t="s">
        <v>26</v>
      </c>
      <c r="B403" s="3" t="s">
        <v>5</v>
      </c>
      <c r="C403" s="3" t="s">
        <v>65</v>
      </c>
      <c r="D403" s="4">
        <v>3434744</v>
      </c>
    </row>
    <row r="404" spans="1:4" x14ac:dyDescent="0.25">
      <c r="A404" s="2" t="s">
        <v>26</v>
      </c>
      <c r="B404" s="3" t="s">
        <v>5</v>
      </c>
      <c r="C404" s="3" t="s">
        <v>66</v>
      </c>
      <c r="D404" s="4">
        <v>5210198</v>
      </c>
    </row>
    <row r="405" spans="1:4" x14ac:dyDescent="0.25">
      <c r="A405" s="2" t="s">
        <v>9</v>
      </c>
      <c r="B405" s="3" t="s">
        <v>5</v>
      </c>
      <c r="C405" s="3" t="s">
        <v>36</v>
      </c>
      <c r="D405" s="4">
        <v>1433104.25</v>
      </c>
    </row>
    <row r="406" spans="1:4" x14ac:dyDescent="0.25">
      <c r="A406" s="5" t="s">
        <v>9</v>
      </c>
      <c r="B406" s="6" t="s">
        <v>5</v>
      </c>
      <c r="C406" s="6" t="s">
        <v>37</v>
      </c>
      <c r="D406" s="7">
        <v>1433104.25</v>
      </c>
    </row>
    <row r="407" spans="1:4" x14ac:dyDescent="0.25">
      <c r="A407" s="2" t="s">
        <v>9</v>
      </c>
      <c r="B407" s="3" t="s">
        <v>5</v>
      </c>
      <c r="C407" s="3" t="s">
        <v>38</v>
      </c>
      <c r="D407" s="4">
        <v>1433104.25</v>
      </c>
    </row>
    <row r="408" spans="1:4" x14ac:dyDescent="0.25">
      <c r="A408" s="5" t="s">
        <v>9</v>
      </c>
      <c r="B408" s="6" t="s">
        <v>5</v>
      </c>
      <c r="C408" s="6" t="s">
        <v>39</v>
      </c>
      <c r="D408" s="7">
        <v>1433104.25</v>
      </c>
    </row>
    <row r="409" spans="1:4" x14ac:dyDescent="0.25">
      <c r="A409" s="2" t="s">
        <v>9</v>
      </c>
      <c r="B409" s="3" t="s">
        <v>5</v>
      </c>
      <c r="C409" s="3" t="s">
        <v>40</v>
      </c>
      <c r="D409" s="4">
        <v>1433104.25</v>
      </c>
    </row>
    <row r="410" spans="1:4" x14ac:dyDescent="0.25">
      <c r="A410" s="5" t="s">
        <v>9</v>
      </c>
      <c r="B410" s="6" t="s">
        <v>5</v>
      </c>
      <c r="C410" s="6" t="s">
        <v>41</v>
      </c>
      <c r="D410" s="7">
        <v>1433104.25</v>
      </c>
    </row>
    <row r="411" spans="1:4" x14ac:dyDescent="0.25">
      <c r="A411" s="2" t="s">
        <v>9</v>
      </c>
      <c r="B411" s="3" t="s">
        <v>5</v>
      </c>
      <c r="C411" s="3" t="s">
        <v>42</v>
      </c>
      <c r="D411" s="4">
        <v>1433792.125</v>
      </c>
    </row>
    <row r="412" spans="1:4" x14ac:dyDescent="0.25">
      <c r="A412" s="5" t="s">
        <v>9</v>
      </c>
      <c r="B412" s="6" t="s">
        <v>5</v>
      </c>
      <c r="C412" s="6" t="s">
        <v>43</v>
      </c>
      <c r="D412" s="7">
        <v>1416203.875</v>
      </c>
    </row>
    <row r="413" spans="1:4" x14ac:dyDescent="0.25">
      <c r="A413" s="2" t="s">
        <v>9</v>
      </c>
      <c r="B413" s="3" t="s">
        <v>5</v>
      </c>
      <c r="C413" s="3" t="s">
        <v>44</v>
      </c>
      <c r="D413" s="4">
        <v>1416203.875</v>
      </c>
    </row>
    <row r="414" spans="1:4" x14ac:dyDescent="0.25">
      <c r="A414" s="5" t="s">
        <v>9</v>
      </c>
      <c r="B414" s="6" t="s">
        <v>5</v>
      </c>
      <c r="C414" s="6" t="s">
        <v>45</v>
      </c>
      <c r="D414" s="7">
        <v>1416203.875</v>
      </c>
    </row>
    <row r="415" spans="1:4" x14ac:dyDescent="0.25">
      <c r="A415" s="2" t="s">
        <v>9</v>
      </c>
      <c r="B415" s="3" t="s">
        <v>5</v>
      </c>
      <c r="C415" s="3" t="s">
        <v>46</v>
      </c>
      <c r="D415" s="4">
        <v>1416203.875</v>
      </c>
    </row>
    <row r="416" spans="1:4" x14ac:dyDescent="0.25">
      <c r="A416" s="5" t="s">
        <v>9</v>
      </c>
      <c r="B416" s="6" t="s">
        <v>5</v>
      </c>
      <c r="C416" s="6" t="s">
        <v>47</v>
      </c>
      <c r="D416" s="7">
        <v>1416203.875</v>
      </c>
    </row>
    <row r="417" spans="1:4" x14ac:dyDescent="0.25">
      <c r="A417" s="2" t="s">
        <v>9</v>
      </c>
      <c r="B417" s="3" t="s">
        <v>5</v>
      </c>
      <c r="C417" s="3" t="s">
        <v>48</v>
      </c>
      <c r="D417" s="4">
        <v>1416203.875</v>
      </c>
    </row>
    <row r="418" spans="1:4" x14ac:dyDescent="0.25">
      <c r="A418" s="5" t="s">
        <v>9</v>
      </c>
      <c r="B418" s="6" t="s">
        <v>5</v>
      </c>
      <c r="C418" s="6" t="s">
        <v>49</v>
      </c>
      <c r="D418" s="7">
        <v>1416203.875</v>
      </c>
    </row>
    <row r="419" spans="1:4" x14ac:dyDescent="0.25">
      <c r="A419" s="2" t="s">
        <v>9</v>
      </c>
      <c r="B419" s="3" t="s">
        <v>5</v>
      </c>
      <c r="C419" s="3" t="s">
        <v>50</v>
      </c>
      <c r="D419" s="4">
        <v>1416203.875</v>
      </c>
    </row>
    <row r="420" spans="1:4" x14ac:dyDescent="0.25">
      <c r="A420" s="5" t="s">
        <v>9</v>
      </c>
      <c r="B420" s="6" t="s">
        <v>5</v>
      </c>
      <c r="C420" s="6" t="s">
        <v>51</v>
      </c>
      <c r="D420" s="7">
        <v>1416203.875</v>
      </c>
    </row>
    <row r="421" spans="1:4" x14ac:dyDescent="0.25">
      <c r="A421" s="2" t="s">
        <v>9</v>
      </c>
      <c r="B421" s="3" t="s">
        <v>5</v>
      </c>
      <c r="C421" s="3" t="s">
        <v>52</v>
      </c>
      <c r="D421" s="4">
        <v>1416203.875</v>
      </c>
    </row>
    <row r="422" spans="1:4" x14ac:dyDescent="0.25">
      <c r="A422" s="5" t="s">
        <v>9</v>
      </c>
      <c r="B422" s="6" t="s">
        <v>5</v>
      </c>
      <c r="C422" s="6" t="s">
        <v>53</v>
      </c>
      <c r="D422" s="7">
        <v>1416203.875</v>
      </c>
    </row>
    <row r="423" spans="1:4" x14ac:dyDescent="0.25">
      <c r="A423" s="2" t="s">
        <v>9</v>
      </c>
      <c r="B423" s="3" t="s">
        <v>5</v>
      </c>
      <c r="C423" s="3" t="s">
        <v>54</v>
      </c>
      <c r="D423" s="4">
        <v>1416883.625</v>
      </c>
    </row>
    <row r="424" spans="1:4" x14ac:dyDescent="0.25">
      <c r="A424" s="5" t="s">
        <v>9</v>
      </c>
      <c r="B424" s="6" t="s">
        <v>5</v>
      </c>
      <c r="C424" s="6" t="s">
        <v>55</v>
      </c>
      <c r="D424" s="7">
        <v>3008176.75</v>
      </c>
    </row>
    <row r="425" spans="1:4" x14ac:dyDescent="0.25">
      <c r="A425" s="5" t="s">
        <v>9</v>
      </c>
      <c r="B425" s="6" t="s">
        <v>5</v>
      </c>
      <c r="C425" s="6" t="s">
        <v>56</v>
      </c>
      <c r="D425" s="7">
        <v>2616010</v>
      </c>
    </row>
    <row r="426" spans="1:4" x14ac:dyDescent="0.25">
      <c r="A426" s="5" t="s">
        <v>9</v>
      </c>
      <c r="B426" s="6" t="s">
        <v>5</v>
      </c>
      <c r="C426" s="6" t="s">
        <v>57</v>
      </c>
      <c r="D426" s="7">
        <v>1698101.5</v>
      </c>
    </row>
    <row r="427" spans="1:4" x14ac:dyDescent="0.25">
      <c r="A427" s="5" t="s">
        <v>9</v>
      </c>
      <c r="B427" s="6" t="s">
        <v>5</v>
      </c>
      <c r="C427" s="6" t="s">
        <v>58</v>
      </c>
      <c r="D427" s="7">
        <v>1105646.375</v>
      </c>
    </row>
    <row r="428" spans="1:4" x14ac:dyDescent="0.25">
      <c r="A428" s="5" t="s">
        <v>9</v>
      </c>
      <c r="B428" s="6" t="s">
        <v>5</v>
      </c>
      <c r="C428" s="6" t="s">
        <v>59</v>
      </c>
      <c r="D428" s="7">
        <v>706106.125</v>
      </c>
    </row>
    <row r="429" spans="1:4" x14ac:dyDescent="0.25">
      <c r="A429" s="5" t="s">
        <v>9</v>
      </c>
      <c r="B429" s="6" t="s">
        <v>5</v>
      </c>
      <c r="C429" s="6" t="s">
        <v>60</v>
      </c>
      <c r="D429" s="7">
        <v>391129.4375</v>
      </c>
    </row>
    <row r="430" spans="1:4" x14ac:dyDescent="0.25">
      <c r="A430" s="5" t="s">
        <v>9</v>
      </c>
      <c r="B430" s="6" t="s">
        <v>5</v>
      </c>
      <c r="C430" s="6" t="s">
        <v>61</v>
      </c>
      <c r="D430" s="7">
        <v>289413.15625</v>
      </c>
    </row>
    <row r="431" spans="1:4" x14ac:dyDescent="0.25">
      <c r="A431" s="5" t="s">
        <v>9</v>
      </c>
      <c r="B431" s="6" t="s">
        <v>5</v>
      </c>
      <c r="C431" s="6" t="s">
        <v>62</v>
      </c>
      <c r="D431" s="7">
        <v>322635.3125</v>
      </c>
    </row>
    <row r="432" spans="1:4" x14ac:dyDescent="0.25">
      <c r="A432" s="5" t="s">
        <v>9</v>
      </c>
      <c r="B432" s="6" t="s">
        <v>5</v>
      </c>
      <c r="C432" s="6" t="s">
        <v>63</v>
      </c>
      <c r="D432" s="7">
        <v>580396.4375</v>
      </c>
    </row>
    <row r="433" spans="1:4" x14ac:dyDescent="0.25">
      <c r="A433" s="5" t="s">
        <v>9</v>
      </c>
      <c r="B433" s="6" t="s">
        <v>5</v>
      </c>
      <c r="C433" s="6" t="s">
        <v>64</v>
      </c>
      <c r="D433" s="7">
        <v>1327328</v>
      </c>
    </row>
    <row r="434" spans="1:4" x14ac:dyDescent="0.25">
      <c r="A434" s="5" t="s">
        <v>9</v>
      </c>
      <c r="B434" s="6" t="s">
        <v>5</v>
      </c>
      <c r="C434" s="6" t="s">
        <v>65</v>
      </c>
      <c r="D434" s="7">
        <v>1961686</v>
      </c>
    </row>
    <row r="435" spans="1:4" x14ac:dyDescent="0.25">
      <c r="A435" s="5" t="s">
        <v>9</v>
      </c>
      <c r="B435" s="6" t="s">
        <v>5</v>
      </c>
      <c r="C435" s="6" t="s">
        <v>66</v>
      </c>
      <c r="D435" s="7">
        <v>2985286</v>
      </c>
    </row>
    <row r="436" spans="1:4" x14ac:dyDescent="0.25">
      <c r="A436" s="2" t="s">
        <v>19</v>
      </c>
      <c r="B436" s="3" t="s">
        <v>5</v>
      </c>
      <c r="C436" s="3" t="s">
        <v>36</v>
      </c>
      <c r="D436" s="4">
        <v>3017418.5</v>
      </c>
    </row>
    <row r="437" spans="1:4" x14ac:dyDescent="0.25">
      <c r="A437" s="5" t="s">
        <v>19</v>
      </c>
      <c r="B437" s="6" t="s">
        <v>5</v>
      </c>
      <c r="C437" s="6" t="s">
        <v>37</v>
      </c>
      <c r="D437" s="7">
        <v>3017418.5</v>
      </c>
    </row>
    <row r="438" spans="1:4" x14ac:dyDescent="0.25">
      <c r="A438" s="2" t="s">
        <v>19</v>
      </c>
      <c r="B438" s="3" t="s">
        <v>5</v>
      </c>
      <c r="C438" s="3" t="s">
        <v>38</v>
      </c>
      <c r="D438" s="4">
        <v>3017418.5</v>
      </c>
    </row>
    <row r="439" spans="1:4" x14ac:dyDescent="0.25">
      <c r="A439" s="5" t="s">
        <v>19</v>
      </c>
      <c r="B439" s="6" t="s">
        <v>5</v>
      </c>
      <c r="C439" s="6" t="s">
        <v>39</v>
      </c>
      <c r="D439" s="7">
        <v>3017418.5</v>
      </c>
    </row>
    <row r="440" spans="1:4" x14ac:dyDescent="0.25">
      <c r="A440" s="2" t="s">
        <v>19</v>
      </c>
      <c r="B440" s="3" t="s">
        <v>5</v>
      </c>
      <c r="C440" s="3" t="s">
        <v>40</v>
      </c>
      <c r="D440" s="4">
        <v>3017418.5</v>
      </c>
    </row>
    <row r="441" spans="1:4" x14ac:dyDescent="0.25">
      <c r="A441" s="5" t="s">
        <v>19</v>
      </c>
      <c r="B441" s="6" t="s">
        <v>5</v>
      </c>
      <c r="C441" s="6" t="s">
        <v>41</v>
      </c>
      <c r="D441" s="7">
        <v>3017418.5</v>
      </c>
    </row>
    <row r="442" spans="1:4" x14ac:dyDescent="0.25">
      <c r="A442" s="2" t="s">
        <v>19</v>
      </c>
      <c r="B442" s="3" t="s">
        <v>5</v>
      </c>
      <c r="C442" s="3" t="s">
        <v>42</v>
      </c>
      <c r="D442" s="4">
        <v>3018867</v>
      </c>
    </row>
    <row r="443" spans="1:4" x14ac:dyDescent="0.25">
      <c r="A443" s="5" t="s">
        <v>19</v>
      </c>
      <c r="B443" s="6" t="s">
        <v>5</v>
      </c>
      <c r="C443" s="6" t="s">
        <v>43</v>
      </c>
      <c r="D443" s="7">
        <v>2980550.75</v>
      </c>
    </row>
    <row r="444" spans="1:4" x14ac:dyDescent="0.25">
      <c r="A444" s="2" t="s">
        <v>19</v>
      </c>
      <c r="B444" s="3" t="s">
        <v>5</v>
      </c>
      <c r="C444" s="3" t="s">
        <v>44</v>
      </c>
      <c r="D444" s="4">
        <v>2980550.75</v>
      </c>
    </row>
    <row r="445" spans="1:4" x14ac:dyDescent="0.25">
      <c r="A445" s="5" t="s">
        <v>19</v>
      </c>
      <c r="B445" s="6" t="s">
        <v>5</v>
      </c>
      <c r="C445" s="6" t="s">
        <v>45</v>
      </c>
      <c r="D445" s="7">
        <v>2980550.75</v>
      </c>
    </row>
    <row r="446" spans="1:4" x14ac:dyDescent="0.25">
      <c r="A446" s="2" t="s">
        <v>19</v>
      </c>
      <c r="B446" s="3" t="s">
        <v>5</v>
      </c>
      <c r="C446" s="3" t="s">
        <v>46</v>
      </c>
      <c r="D446" s="4">
        <v>2980550.75</v>
      </c>
    </row>
    <row r="447" spans="1:4" x14ac:dyDescent="0.25">
      <c r="A447" s="5" t="s">
        <v>19</v>
      </c>
      <c r="B447" s="6" t="s">
        <v>5</v>
      </c>
      <c r="C447" s="6" t="s">
        <v>47</v>
      </c>
      <c r="D447" s="7">
        <v>2980550.75</v>
      </c>
    </row>
    <row r="448" spans="1:4" x14ac:dyDescent="0.25">
      <c r="A448" s="2" t="s">
        <v>19</v>
      </c>
      <c r="B448" s="3" t="s">
        <v>5</v>
      </c>
      <c r="C448" s="3" t="s">
        <v>48</v>
      </c>
      <c r="D448" s="4">
        <v>2980550.75</v>
      </c>
    </row>
    <row r="449" spans="1:4" x14ac:dyDescent="0.25">
      <c r="A449" s="5" t="s">
        <v>19</v>
      </c>
      <c r="B449" s="6" t="s">
        <v>5</v>
      </c>
      <c r="C449" s="6" t="s">
        <v>49</v>
      </c>
      <c r="D449" s="7">
        <v>2980550.75</v>
      </c>
    </row>
    <row r="450" spans="1:4" x14ac:dyDescent="0.25">
      <c r="A450" s="2" t="s">
        <v>19</v>
      </c>
      <c r="B450" s="3" t="s">
        <v>5</v>
      </c>
      <c r="C450" s="3" t="s">
        <v>50</v>
      </c>
      <c r="D450" s="4">
        <v>2980550.75</v>
      </c>
    </row>
    <row r="451" spans="1:4" x14ac:dyDescent="0.25">
      <c r="A451" s="5" t="s">
        <v>19</v>
      </c>
      <c r="B451" s="6" t="s">
        <v>5</v>
      </c>
      <c r="C451" s="6" t="s">
        <v>51</v>
      </c>
      <c r="D451" s="7">
        <v>2980550.75</v>
      </c>
    </row>
    <row r="452" spans="1:4" x14ac:dyDescent="0.25">
      <c r="A452" s="2" t="s">
        <v>19</v>
      </c>
      <c r="B452" s="3" t="s">
        <v>5</v>
      </c>
      <c r="C452" s="3" t="s">
        <v>52</v>
      </c>
      <c r="D452" s="4">
        <v>2980550.75</v>
      </c>
    </row>
    <row r="453" spans="1:4" x14ac:dyDescent="0.25">
      <c r="A453" s="5" t="s">
        <v>19</v>
      </c>
      <c r="B453" s="6" t="s">
        <v>5</v>
      </c>
      <c r="C453" s="6" t="s">
        <v>53</v>
      </c>
      <c r="D453" s="7">
        <v>2980550.75</v>
      </c>
    </row>
    <row r="454" spans="1:4" x14ac:dyDescent="0.25">
      <c r="A454" s="2" t="s">
        <v>19</v>
      </c>
      <c r="B454" s="3" t="s">
        <v>5</v>
      </c>
      <c r="C454" s="3" t="s">
        <v>54</v>
      </c>
      <c r="D454" s="4">
        <v>2981981.5</v>
      </c>
    </row>
    <row r="455" spans="1:4" x14ac:dyDescent="0.25">
      <c r="A455" s="5" t="s">
        <v>19</v>
      </c>
      <c r="B455" s="6" t="s">
        <v>5</v>
      </c>
      <c r="C455" s="6" t="s">
        <v>55</v>
      </c>
      <c r="D455" s="7">
        <v>6557964.5</v>
      </c>
    </row>
    <row r="456" spans="1:4" x14ac:dyDescent="0.25">
      <c r="A456" s="5" t="s">
        <v>19</v>
      </c>
      <c r="B456" s="6" t="s">
        <v>5</v>
      </c>
      <c r="C456" s="6" t="s">
        <v>56</v>
      </c>
      <c r="D456" s="7">
        <v>5704739.5</v>
      </c>
    </row>
    <row r="457" spans="1:4" x14ac:dyDescent="0.25">
      <c r="A457" s="5" t="s">
        <v>19</v>
      </c>
      <c r="B457" s="6" t="s">
        <v>5</v>
      </c>
      <c r="C457" s="6" t="s">
        <v>57</v>
      </c>
      <c r="D457" s="7">
        <v>3698547</v>
      </c>
    </row>
    <row r="458" spans="1:4" x14ac:dyDescent="0.25">
      <c r="A458" s="5" t="s">
        <v>19</v>
      </c>
      <c r="B458" s="6" t="s">
        <v>5</v>
      </c>
      <c r="C458" s="6" t="s">
        <v>58</v>
      </c>
      <c r="D458" s="7">
        <v>2414257</v>
      </c>
    </row>
    <row r="459" spans="1:4" x14ac:dyDescent="0.25">
      <c r="A459" s="5" t="s">
        <v>19</v>
      </c>
      <c r="B459" s="6" t="s">
        <v>5</v>
      </c>
      <c r="C459" s="6" t="s">
        <v>59</v>
      </c>
      <c r="D459" s="7">
        <v>1542483.125</v>
      </c>
    </row>
    <row r="460" spans="1:4" x14ac:dyDescent="0.25">
      <c r="A460" s="5" t="s">
        <v>19</v>
      </c>
      <c r="B460" s="6" t="s">
        <v>5</v>
      </c>
      <c r="C460" s="6" t="s">
        <v>60</v>
      </c>
      <c r="D460" s="7">
        <v>858048</v>
      </c>
    </row>
    <row r="461" spans="1:4" x14ac:dyDescent="0.25">
      <c r="A461" s="5" t="s">
        <v>19</v>
      </c>
      <c r="B461" s="6" t="s">
        <v>5</v>
      </c>
      <c r="C461" s="6" t="s">
        <v>61</v>
      </c>
      <c r="D461" s="7">
        <v>638806.125</v>
      </c>
    </row>
    <row r="462" spans="1:4" x14ac:dyDescent="0.25">
      <c r="A462" s="5" t="s">
        <v>19</v>
      </c>
      <c r="B462" s="6" t="s">
        <v>5</v>
      </c>
      <c r="C462" s="6" t="s">
        <v>62</v>
      </c>
      <c r="D462" s="7">
        <v>710031.9375</v>
      </c>
    </row>
    <row r="463" spans="1:4" x14ac:dyDescent="0.25">
      <c r="A463" s="5" t="s">
        <v>19</v>
      </c>
      <c r="B463" s="6" t="s">
        <v>5</v>
      </c>
      <c r="C463" s="6" t="s">
        <v>63</v>
      </c>
      <c r="D463" s="7">
        <v>1274644.625</v>
      </c>
    </row>
    <row r="464" spans="1:4" x14ac:dyDescent="0.25">
      <c r="A464" s="5" t="s">
        <v>19</v>
      </c>
      <c r="B464" s="6" t="s">
        <v>5</v>
      </c>
      <c r="C464" s="6" t="s">
        <v>64</v>
      </c>
      <c r="D464" s="7">
        <v>2902821.5</v>
      </c>
    </row>
    <row r="465" spans="1:4" x14ac:dyDescent="0.25">
      <c r="A465" s="5" t="s">
        <v>19</v>
      </c>
      <c r="B465" s="6" t="s">
        <v>5</v>
      </c>
      <c r="C465" s="6" t="s">
        <v>65</v>
      </c>
      <c r="D465" s="7">
        <v>4288756</v>
      </c>
    </row>
    <row r="466" spans="1:4" x14ac:dyDescent="0.25">
      <c r="A466" s="5" t="s">
        <v>19</v>
      </c>
      <c r="B466" s="6" t="s">
        <v>5</v>
      </c>
      <c r="C466" s="6" t="s">
        <v>66</v>
      </c>
      <c r="D466" s="7">
        <v>6505658.5</v>
      </c>
    </row>
    <row r="467" spans="1:4" x14ac:dyDescent="0.25">
      <c r="A467" s="5" t="s">
        <v>20</v>
      </c>
      <c r="B467" s="6" t="s">
        <v>5</v>
      </c>
      <c r="C467" s="6" t="s">
        <v>36</v>
      </c>
      <c r="D467" s="7">
        <v>1749178.625</v>
      </c>
    </row>
    <row r="468" spans="1:4" x14ac:dyDescent="0.25">
      <c r="A468" s="2" t="s">
        <v>20</v>
      </c>
      <c r="B468" s="3" t="s">
        <v>5</v>
      </c>
      <c r="C468" s="3" t="s">
        <v>37</v>
      </c>
      <c r="D468" s="4">
        <v>1749178.625</v>
      </c>
    </row>
    <row r="469" spans="1:4" x14ac:dyDescent="0.25">
      <c r="A469" s="5" t="s">
        <v>20</v>
      </c>
      <c r="B469" s="6" t="s">
        <v>5</v>
      </c>
      <c r="C469" s="6" t="s">
        <v>38</v>
      </c>
      <c r="D469" s="7">
        <v>1749178.625</v>
      </c>
    </row>
    <row r="470" spans="1:4" x14ac:dyDescent="0.25">
      <c r="A470" s="2" t="s">
        <v>20</v>
      </c>
      <c r="B470" s="3" t="s">
        <v>5</v>
      </c>
      <c r="C470" s="3" t="s">
        <v>39</v>
      </c>
      <c r="D470" s="4">
        <v>1749178.625</v>
      </c>
    </row>
    <row r="471" spans="1:4" x14ac:dyDescent="0.25">
      <c r="A471" s="5" t="s">
        <v>20</v>
      </c>
      <c r="B471" s="6" t="s">
        <v>5</v>
      </c>
      <c r="C471" s="6" t="s">
        <v>40</v>
      </c>
      <c r="D471" s="7">
        <v>1749178.625</v>
      </c>
    </row>
    <row r="472" spans="1:4" x14ac:dyDescent="0.25">
      <c r="A472" s="2" t="s">
        <v>20</v>
      </c>
      <c r="B472" s="3" t="s">
        <v>5</v>
      </c>
      <c r="C472" s="3" t="s">
        <v>41</v>
      </c>
      <c r="D472" s="4">
        <v>1749178.625</v>
      </c>
    </row>
    <row r="473" spans="1:4" x14ac:dyDescent="0.25">
      <c r="A473" s="5" t="s">
        <v>20</v>
      </c>
      <c r="B473" s="6" t="s">
        <v>5</v>
      </c>
      <c r="C473" s="6" t="s">
        <v>42</v>
      </c>
      <c r="D473" s="7">
        <v>1750018.25</v>
      </c>
    </row>
    <row r="474" spans="1:4" x14ac:dyDescent="0.25">
      <c r="A474" s="2" t="s">
        <v>20</v>
      </c>
      <c r="B474" s="3" t="s">
        <v>5</v>
      </c>
      <c r="C474" s="3" t="s">
        <v>43</v>
      </c>
      <c r="D474" s="4">
        <v>1736769.375</v>
      </c>
    </row>
    <row r="475" spans="1:4" x14ac:dyDescent="0.25">
      <c r="A475" s="5" t="s">
        <v>20</v>
      </c>
      <c r="B475" s="6" t="s">
        <v>5</v>
      </c>
      <c r="C475" s="6" t="s">
        <v>44</v>
      </c>
      <c r="D475" s="7">
        <v>1736769.375</v>
      </c>
    </row>
    <row r="476" spans="1:4" x14ac:dyDescent="0.25">
      <c r="A476" s="2" t="s">
        <v>20</v>
      </c>
      <c r="B476" s="3" t="s">
        <v>5</v>
      </c>
      <c r="C476" s="3" t="s">
        <v>45</v>
      </c>
      <c r="D476" s="4">
        <v>1736769.375</v>
      </c>
    </row>
    <row r="477" spans="1:4" x14ac:dyDescent="0.25">
      <c r="A477" s="5" t="s">
        <v>20</v>
      </c>
      <c r="B477" s="6" t="s">
        <v>5</v>
      </c>
      <c r="C477" s="6" t="s">
        <v>46</v>
      </c>
      <c r="D477" s="7">
        <v>1736769.375</v>
      </c>
    </row>
    <row r="478" spans="1:4" x14ac:dyDescent="0.25">
      <c r="A478" s="2" t="s">
        <v>20</v>
      </c>
      <c r="B478" s="3" t="s">
        <v>5</v>
      </c>
      <c r="C478" s="3" t="s">
        <v>47</v>
      </c>
      <c r="D478" s="4">
        <v>1736769.375</v>
      </c>
    </row>
    <row r="479" spans="1:4" x14ac:dyDescent="0.25">
      <c r="A479" s="5" t="s">
        <v>20</v>
      </c>
      <c r="B479" s="6" t="s">
        <v>5</v>
      </c>
      <c r="C479" s="6" t="s">
        <v>48</v>
      </c>
      <c r="D479" s="7">
        <v>1736769.375</v>
      </c>
    </row>
    <row r="480" spans="1:4" x14ac:dyDescent="0.25">
      <c r="A480" s="2" t="s">
        <v>20</v>
      </c>
      <c r="B480" s="3" t="s">
        <v>5</v>
      </c>
      <c r="C480" s="3" t="s">
        <v>49</v>
      </c>
      <c r="D480" s="4">
        <v>1736769.375</v>
      </c>
    </row>
    <row r="481" spans="1:4" x14ac:dyDescent="0.25">
      <c r="A481" s="5" t="s">
        <v>20</v>
      </c>
      <c r="B481" s="6" t="s">
        <v>5</v>
      </c>
      <c r="C481" s="6" t="s">
        <v>50</v>
      </c>
      <c r="D481" s="7">
        <v>1736769.375</v>
      </c>
    </row>
    <row r="482" spans="1:4" x14ac:dyDescent="0.25">
      <c r="A482" s="2" t="s">
        <v>20</v>
      </c>
      <c r="B482" s="3" t="s">
        <v>5</v>
      </c>
      <c r="C482" s="3" t="s">
        <v>51</v>
      </c>
      <c r="D482" s="4">
        <v>1736769.375</v>
      </c>
    </row>
    <row r="483" spans="1:4" x14ac:dyDescent="0.25">
      <c r="A483" s="5" t="s">
        <v>20</v>
      </c>
      <c r="B483" s="6" t="s">
        <v>5</v>
      </c>
      <c r="C483" s="6" t="s">
        <v>52</v>
      </c>
      <c r="D483" s="7">
        <v>1736769.375</v>
      </c>
    </row>
    <row r="484" spans="1:4" x14ac:dyDescent="0.25">
      <c r="A484" s="2" t="s">
        <v>20</v>
      </c>
      <c r="B484" s="3" t="s">
        <v>5</v>
      </c>
      <c r="C484" s="3" t="s">
        <v>53</v>
      </c>
      <c r="D484" s="4">
        <v>1736769.375</v>
      </c>
    </row>
    <row r="485" spans="1:4" x14ac:dyDescent="0.25">
      <c r="A485" s="5" t="s">
        <v>20</v>
      </c>
      <c r="B485" s="6" t="s">
        <v>5</v>
      </c>
      <c r="C485" s="6" t="s">
        <v>54</v>
      </c>
      <c r="D485" s="7">
        <v>1737603</v>
      </c>
    </row>
    <row r="486" spans="1:4" x14ac:dyDescent="0.25">
      <c r="A486" s="2" t="s">
        <v>20</v>
      </c>
      <c r="B486" s="3" t="s">
        <v>5</v>
      </c>
      <c r="C486" s="3" t="s">
        <v>55</v>
      </c>
      <c r="D486" s="4">
        <v>3800235</v>
      </c>
    </row>
    <row r="487" spans="1:4" x14ac:dyDescent="0.25">
      <c r="A487" s="2" t="s">
        <v>20</v>
      </c>
      <c r="B487" s="3" t="s">
        <v>5</v>
      </c>
      <c r="C487" s="3" t="s">
        <v>56</v>
      </c>
      <c r="D487" s="4">
        <v>3305804.5</v>
      </c>
    </row>
    <row r="488" spans="1:4" x14ac:dyDescent="0.25">
      <c r="A488" s="2" t="s">
        <v>20</v>
      </c>
      <c r="B488" s="3" t="s">
        <v>5</v>
      </c>
      <c r="C488" s="3" t="s">
        <v>57</v>
      </c>
      <c r="D488" s="4">
        <v>2143248</v>
      </c>
    </row>
    <row r="489" spans="1:4" x14ac:dyDescent="0.25">
      <c r="A489" s="2" t="s">
        <v>20</v>
      </c>
      <c r="B489" s="3" t="s">
        <v>5</v>
      </c>
      <c r="C489" s="3" t="s">
        <v>58</v>
      </c>
      <c r="D489" s="4">
        <v>1399022.875</v>
      </c>
    </row>
    <row r="490" spans="1:4" x14ac:dyDescent="0.25">
      <c r="A490" s="2" t="s">
        <v>20</v>
      </c>
      <c r="B490" s="3" t="s">
        <v>5</v>
      </c>
      <c r="C490" s="3" t="s">
        <v>59</v>
      </c>
      <c r="D490" s="4">
        <v>893844.125</v>
      </c>
    </row>
    <row r="491" spans="1:4" x14ac:dyDescent="0.25">
      <c r="A491" s="2" t="s">
        <v>20</v>
      </c>
      <c r="B491" s="3" t="s">
        <v>5</v>
      </c>
      <c r="C491" s="3" t="s">
        <v>60</v>
      </c>
      <c r="D491" s="4">
        <v>497224.96875</v>
      </c>
    </row>
    <row r="492" spans="1:4" x14ac:dyDescent="0.25">
      <c r="A492" s="2" t="s">
        <v>20</v>
      </c>
      <c r="B492" s="3" t="s">
        <v>5</v>
      </c>
      <c r="C492" s="3" t="s">
        <v>61</v>
      </c>
      <c r="D492" s="4">
        <v>370177.875</v>
      </c>
    </row>
    <row r="493" spans="1:4" x14ac:dyDescent="0.25">
      <c r="A493" s="2" t="s">
        <v>20</v>
      </c>
      <c r="B493" s="3" t="s">
        <v>5</v>
      </c>
      <c r="C493" s="3" t="s">
        <v>62</v>
      </c>
      <c r="D493" s="4">
        <v>411452.03125</v>
      </c>
    </row>
    <row r="494" spans="1:4" x14ac:dyDescent="0.25">
      <c r="A494" s="2" t="s">
        <v>20</v>
      </c>
      <c r="B494" s="3" t="s">
        <v>5</v>
      </c>
      <c r="C494" s="3" t="s">
        <v>63</v>
      </c>
      <c r="D494" s="4">
        <v>738636</v>
      </c>
    </row>
    <row r="495" spans="1:4" x14ac:dyDescent="0.25">
      <c r="A495" s="2" t="s">
        <v>20</v>
      </c>
      <c r="B495" s="3" t="s">
        <v>5</v>
      </c>
      <c r="C495" s="3" t="s">
        <v>64</v>
      </c>
      <c r="D495" s="4">
        <v>1682138.125</v>
      </c>
    </row>
    <row r="496" spans="1:4" x14ac:dyDescent="0.25">
      <c r="A496" s="2" t="s">
        <v>20</v>
      </c>
      <c r="B496" s="3" t="s">
        <v>5</v>
      </c>
      <c r="C496" s="3" t="s">
        <v>65</v>
      </c>
      <c r="D496" s="4">
        <v>2485265</v>
      </c>
    </row>
    <row r="497" spans="1:4" x14ac:dyDescent="0.25">
      <c r="A497" s="2" t="s">
        <v>20</v>
      </c>
      <c r="B497" s="3" t="s">
        <v>5</v>
      </c>
      <c r="C497" s="3" t="s">
        <v>66</v>
      </c>
      <c r="D497" s="4">
        <v>3769924</v>
      </c>
    </row>
    <row r="498" spans="1:4" x14ac:dyDescent="0.25">
      <c r="A498" s="2" t="s">
        <v>31</v>
      </c>
      <c r="B498" s="3" t="s">
        <v>5</v>
      </c>
      <c r="C498" s="3" t="s">
        <v>36</v>
      </c>
      <c r="D498" s="4">
        <v>1978346.625</v>
      </c>
    </row>
    <row r="499" spans="1:4" x14ac:dyDescent="0.25">
      <c r="A499" s="5" t="s">
        <v>31</v>
      </c>
      <c r="B499" s="6" t="s">
        <v>5</v>
      </c>
      <c r="C499" s="6" t="s">
        <v>37</v>
      </c>
      <c r="D499" s="7">
        <v>1978346.625</v>
      </c>
    </row>
    <row r="500" spans="1:4" x14ac:dyDescent="0.25">
      <c r="A500" s="2" t="s">
        <v>31</v>
      </c>
      <c r="B500" s="3" t="s">
        <v>5</v>
      </c>
      <c r="C500" s="3" t="s">
        <v>38</v>
      </c>
      <c r="D500" s="4">
        <v>1978346.625</v>
      </c>
    </row>
    <row r="501" spans="1:4" x14ac:dyDescent="0.25">
      <c r="A501" s="5" t="s">
        <v>31</v>
      </c>
      <c r="B501" s="6" t="s">
        <v>5</v>
      </c>
      <c r="C501" s="6" t="s">
        <v>39</v>
      </c>
      <c r="D501" s="7">
        <v>1978346.625</v>
      </c>
    </row>
    <row r="502" spans="1:4" x14ac:dyDescent="0.25">
      <c r="A502" s="2" t="s">
        <v>31</v>
      </c>
      <c r="B502" s="3" t="s">
        <v>5</v>
      </c>
      <c r="C502" s="3" t="s">
        <v>40</v>
      </c>
      <c r="D502" s="4">
        <v>1978346.625</v>
      </c>
    </row>
    <row r="503" spans="1:4" x14ac:dyDescent="0.25">
      <c r="A503" s="5" t="s">
        <v>31</v>
      </c>
      <c r="B503" s="6" t="s">
        <v>5</v>
      </c>
      <c r="C503" s="6" t="s">
        <v>41</v>
      </c>
      <c r="D503" s="7">
        <v>1978346.625</v>
      </c>
    </row>
    <row r="504" spans="1:4" x14ac:dyDescent="0.25">
      <c r="A504" s="2" t="s">
        <v>31</v>
      </c>
      <c r="B504" s="3" t="s">
        <v>5</v>
      </c>
      <c r="C504" s="3" t="s">
        <v>42</v>
      </c>
      <c r="D504" s="4">
        <v>1979296.25</v>
      </c>
    </row>
    <row r="505" spans="1:4" x14ac:dyDescent="0.25">
      <c r="A505" s="5" t="s">
        <v>31</v>
      </c>
      <c r="B505" s="6" t="s">
        <v>5</v>
      </c>
      <c r="C505" s="6" t="s">
        <v>43</v>
      </c>
      <c r="D505" s="7">
        <v>1956885</v>
      </c>
    </row>
    <row r="506" spans="1:4" x14ac:dyDescent="0.25">
      <c r="A506" s="2" t="s">
        <v>31</v>
      </c>
      <c r="B506" s="3" t="s">
        <v>5</v>
      </c>
      <c r="C506" s="3" t="s">
        <v>44</v>
      </c>
      <c r="D506" s="4">
        <v>1956885</v>
      </c>
    </row>
    <row r="507" spans="1:4" x14ac:dyDescent="0.25">
      <c r="A507" s="5" t="s">
        <v>31</v>
      </c>
      <c r="B507" s="6" t="s">
        <v>5</v>
      </c>
      <c r="C507" s="6" t="s">
        <v>45</v>
      </c>
      <c r="D507" s="7">
        <v>1956885</v>
      </c>
    </row>
    <row r="508" spans="1:4" x14ac:dyDescent="0.25">
      <c r="A508" s="2" t="s">
        <v>31</v>
      </c>
      <c r="B508" s="3" t="s">
        <v>5</v>
      </c>
      <c r="C508" s="3" t="s">
        <v>46</v>
      </c>
      <c r="D508" s="4">
        <v>1956885</v>
      </c>
    </row>
    <row r="509" spans="1:4" x14ac:dyDescent="0.25">
      <c r="A509" s="5" t="s">
        <v>31</v>
      </c>
      <c r="B509" s="6" t="s">
        <v>5</v>
      </c>
      <c r="C509" s="6" t="s">
        <v>47</v>
      </c>
      <c r="D509" s="7">
        <v>1956885</v>
      </c>
    </row>
    <row r="510" spans="1:4" x14ac:dyDescent="0.25">
      <c r="A510" s="2" t="s">
        <v>31</v>
      </c>
      <c r="B510" s="3" t="s">
        <v>5</v>
      </c>
      <c r="C510" s="3" t="s">
        <v>48</v>
      </c>
      <c r="D510" s="4">
        <v>1956885</v>
      </c>
    </row>
    <row r="511" spans="1:4" x14ac:dyDescent="0.25">
      <c r="A511" s="5" t="s">
        <v>31</v>
      </c>
      <c r="B511" s="6" t="s">
        <v>5</v>
      </c>
      <c r="C511" s="6" t="s">
        <v>49</v>
      </c>
      <c r="D511" s="7">
        <v>1956885</v>
      </c>
    </row>
    <row r="512" spans="1:4" x14ac:dyDescent="0.25">
      <c r="A512" s="2" t="s">
        <v>31</v>
      </c>
      <c r="B512" s="3" t="s">
        <v>5</v>
      </c>
      <c r="C512" s="3" t="s">
        <v>50</v>
      </c>
      <c r="D512" s="4">
        <v>1956885</v>
      </c>
    </row>
    <row r="513" spans="1:4" x14ac:dyDescent="0.25">
      <c r="A513" s="5" t="s">
        <v>31</v>
      </c>
      <c r="B513" s="6" t="s">
        <v>5</v>
      </c>
      <c r="C513" s="6" t="s">
        <v>51</v>
      </c>
      <c r="D513" s="7">
        <v>1956885</v>
      </c>
    </row>
    <row r="514" spans="1:4" x14ac:dyDescent="0.25">
      <c r="A514" s="2" t="s">
        <v>31</v>
      </c>
      <c r="B514" s="3" t="s">
        <v>5</v>
      </c>
      <c r="C514" s="3" t="s">
        <v>52</v>
      </c>
      <c r="D514" s="4">
        <v>1956885</v>
      </c>
    </row>
    <row r="515" spans="1:4" x14ac:dyDescent="0.25">
      <c r="A515" s="5" t="s">
        <v>31</v>
      </c>
      <c r="B515" s="6" t="s">
        <v>5</v>
      </c>
      <c r="C515" s="6" t="s">
        <v>53</v>
      </c>
      <c r="D515" s="7">
        <v>1956885</v>
      </c>
    </row>
    <row r="516" spans="1:4" x14ac:dyDescent="0.25">
      <c r="A516" s="2" t="s">
        <v>31</v>
      </c>
      <c r="B516" s="3" t="s">
        <v>5</v>
      </c>
      <c r="C516" s="3" t="s">
        <v>54</v>
      </c>
      <c r="D516" s="4">
        <v>1957824.375</v>
      </c>
    </row>
    <row r="517" spans="1:4" x14ac:dyDescent="0.25">
      <c r="A517" s="2" t="s">
        <v>31</v>
      </c>
      <c r="B517" s="3" t="s">
        <v>5</v>
      </c>
      <c r="C517" s="3" t="s">
        <v>55</v>
      </c>
      <c r="D517" s="4">
        <v>4168324.5</v>
      </c>
    </row>
    <row r="518" spans="1:4" x14ac:dyDescent="0.25">
      <c r="A518" s="2" t="s">
        <v>31</v>
      </c>
      <c r="B518" s="3" t="s">
        <v>5</v>
      </c>
      <c r="C518" s="3" t="s">
        <v>56</v>
      </c>
      <c r="D518" s="4">
        <v>3625494.75</v>
      </c>
    </row>
    <row r="519" spans="1:4" x14ac:dyDescent="0.25">
      <c r="A519" s="2" t="s">
        <v>31</v>
      </c>
      <c r="B519" s="3" t="s">
        <v>5</v>
      </c>
      <c r="C519" s="3" t="s">
        <v>57</v>
      </c>
      <c r="D519" s="4">
        <v>2351848.5</v>
      </c>
    </row>
    <row r="520" spans="1:4" x14ac:dyDescent="0.25">
      <c r="A520" s="2" t="s">
        <v>31</v>
      </c>
      <c r="B520" s="3" t="s">
        <v>5</v>
      </c>
      <c r="C520" s="3" t="s">
        <v>58</v>
      </c>
      <c r="D520" s="4">
        <v>1533376.125</v>
      </c>
    </row>
    <row r="521" spans="1:4" x14ac:dyDescent="0.25">
      <c r="A521" s="2" t="s">
        <v>31</v>
      </c>
      <c r="B521" s="3" t="s">
        <v>5</v>
      </c>
      <c r="C521" s="3" t="s">
        <v>59</v>
      </c>
      <c r="D521" s="4">
        <v>979490.5</v>
      </c>
    </row>
    <row r="522" spans="1:4" x14ac:dyDescent="0.25">
      <c r="A522" s="2" t="s">
        <v>31</v>
      </c>
      <c r="B522" s="3" t="s">
        <v>5</v>
      </c>
      <c r="C522" s="3" t="s">
        <v>60</v>
      </c>
      <c r="D522" s="4">
        <v>543794.25</v>
      </c>
    </row>
    <row r="523" spans="1:4" x14ac:dyDescent="0.25">
      <c r="A523" s="2" t="s">
        <v>31</v>
      </c>
      <c r="B523" s="3" t="s">
        <v>5</v>
      </c>
      <c r="C523" s="3" t="s">
        <v>61</v>
      </c>
      <c r="D523" s="4">
        <v>403698.71875</v>
      </c>
    </row>
    <row r="524" spans="1:4" x14ac:dyDescent="0.25">
      <c r="A524" s="2" t="s">
        <v>31</v>
      </c>
      <c r="B524" s="3" t="s">
        <v>5</v>
      </c>
      <c r="C524" s="3" t="s">
        <v>62</v>
      </c>
      <c r="D524" s="4">
        <v>449326.5</v>
      </c>
    </row>
    <row r="525" spans="1:4" x14ac:dyDescent="0.25">
      <c r="A525" s="2" t="s">
        <v>31</v>
      </c>
      <c r="B525" s="3" t="s">
        <v>5</v>
      </c>
      <c r="C525" s="3" t="s">
        <v>63</v>
      </c>
      <c r="D525" s="4">
        <v>807406.125</v>
      </c>
    </row>
    <row r="526" spans="1:4" x14ac:dyDescent="0.25">
      <c r="A526" s="2" t="s">
        <v>31</v>
      </c>
      <c r="B526" s="3" t="s">
        <v>5</v>
      </c>
      <c r="C526" s="3" t="s">
        <v>64</v>
      </c>
      <c r="D526" s="4">
        <v>1842345.75</v>
      </c>
    </row>
    <row r="527" spans="1:4" x14ac:dyDescent="0.25">
      <c r="A527" s="2" t="s">
        <v>31</v>
      </c>
      <c r="B527" s="3" t="s">
        <v>5</v>
      </c>
      <c r="C527" s="3" t="s">
        <v>65</v>
      </c>
      <c r="D527" s="4">
        <v>2722372</v>
      </c>
    </row>
    <row r="528" spans="1:4" x14ac:dyDescent="0.25">
      <c r="A528" s="2" t="s">
        <v>31</v>
      </c>
      <c r="B528" s="3" t="s">
        <v>5</v>
      </c>
      <c r="C528" s="3" t="s">
        <v>66</v>
      </c>
      <c r="D528" s="4">
        <v>4135790.75</v>
      </c>
    </row>
    <row r="529" spans="1:4" x14ac:dyDescent="0.25">
      <c r="A529" s="2" t="s">
        <v>7</v>
      </c>
      <c r="B529" s="3" t="s">
        <v>5</v>
      </c>
      <c r="C529" s="3" t="s">
        <v>36</v>
      </c>
      <c r="D529" s="4">
        <v>1351169.625</v>
      </c>
    </row>
    <row r="530" spans="1:4" x14ac:dyDescent="0.25">
      <c r="A530" s="5" t="s">
        <v>7</v>
      </c>
      <c r="B530" s="6" t="s">
        <v>5</v>
      </c>
      <c r="C530" s="6" t="s">
        <v>37</v>
      </c>
      <c r="D530" s="7">
        <v>1351169.625</v>
      </c>
    </row>
    <row r="531" spans="1:4" x14ac:dyDescent="0.25">
      <c r="A531" s="2" t="s">
        <v>7</v>
      </c>
      <c r="B531" s="3" t="s">
        <v>5</v>
      </c>
      <c r="C531" s="3" t="s">
        <v>38</v>
      </c>
      <c r="D531" s="4">
        <v>1351169.625</v>
      </c>
    </row>
    <row r="532" spans="1:4" x14ac:dyDescent="0.25">
      <c r="A532" s="5" t="s">
        <v>7</v>
      </c>
      <c r="B532" s="6" t="s">
        <v>5</v>
      </c>
      <c r="C532" s="6" t="s">
        <v>39</v>
      </c>
      <c r="D532" s="7">
        <v>1351169.625</v>
      </c>
    </row>
    <row r="533" spans="1:4" x14ac:dyDescent="0.25">
      <c r="A533" s="2" t="s">
        <v>7</v>
      </c>
      <c r="B533" s="3" t="s">
        <v>5</v>
      </c>
      <c r="C533" s="3" t="s">
        <v>40</v>
      </c>
      <c r="D533" s="4">
        <v>1351169.625</v>
      </c>
    </row>
    <row r="534" spans="1:4" x14ac:dyDescent="0.25">
      <c r="A534" s="5" t="s">
        <v>7</v>
      </c>
      <c r="B534" s="6" t="s">
        <v>5</v>
      </c>
      <c r="C534" s="6" t="s">
        <v>41</v>
      </c>
      <c r="D534" s="7">
        <v>1351169.625</v>
      </c>
    </row>
    <row r="535" spans="1:4" x14ac:dyDescent="0.25">
      <c r="A535" s="2" t="s">
        <v>7</v>
      </c>
      <c r="B535" s="3" t="s">
        <v>5</v>
      </c>
      <c r="C535" s="3" t="s">
        <v>42</v>
      </c>
      <c r="D535" s="4">
        <v>1351818.25</v>
      </c>
    </row>
    <row r="536" spans="1:4" x14ac:dyDescent="0.25">
      <c r="A536" s="5" t="s">
        <v>7</v>
      </c>
      <c r="B536" s="6" t="s">
        <v>5</v>
      </c>
      <c r="C536" s="6" t="s">
        <v>43</v>
      </c>
      <c r="D536" s="7">
        <v>1336775.625</v>
      </c>
    </row>
    <row r="537" spans="1:4" x14ac:dyDescent="0.25">
      <c r="A537" s="2" t="s">
        <v>7</v>
      </c>
      <c r="B537" s="3" t="s">
        <v>5</v>
      </c>
      <c r="C537" s="3" t="s">
        <v>44</v>
      </c>
      <c r="D537" s="4">
        <v>1336626.25</v>
      </c>
    </row>
    <row r="538" spans="1:4" x14ac:dyDescent="0.25">
      <c r="A538" s="5" t="s">
        <v>7</v>
      </c>
      <c r="B538" s="6" t="s">
        <v>5</v>
      </c>
      <c r="C538" s="6" t="s">
        <v>45</v>
      </c>
      <c r="D538" s="7">
        <v>1336299.625</v>
      </c>
    </row>
    <row r="539" spans="1:4" x14ac:dyDescent="0.25">
      <c r="A539" s="2" t="s">
        <v>7</v>
      </c>
      <c r="B539" s="3" t="s">
        <v>5</v>
      </c>
      <c r="C539" s="3" t="s">
        <v>46</v>
      </c>
      <c r="D539" s="4">
        <v>1335944.75</v>
      </c>
    </row>
    <row r="540" spans="1:4" x14ac:dyDescent="0.25">
      <c r="A540" s="5" t="s">
        <v>7</v>
      </c>
      <c r="B540" s="6" t="s">
        <v>5</v>
      </c>
      <c r="C540" s="6" t="s">
        <v>47</v>
      </c>
      <c r="D540" s="7">
        <v>1335678.375</v>
      </c>
    </row>
    <row r="541" spans="1:4" x14ac:dyDescent="0.25">
      <c r="A541" s="2" t="s">
        <v>7</v>
      </c>
      <c r="B541" s="3" t="s">
        <v>5</v>
      </c>
      <c r="C541" s="3" t="s">
        <v>48</v>
      </c>
      <c r="D541" s="4">
        <v>1335531.5</v>
      </c>
    </row>
    <row r="542" spans="1:4" x14ac:dyDescent="0.25">
      <c r="A542" s="5" t="s">
        <v>7</v>
      </c>
      <c r="B542" s="6" t="s">
        <v>5</v>
      </c>
      <c r="C542" s="6" t="s">
        <v>49</v>
      </c>
      <c r="D542" s="7">
        <v>1335514.125</v>
      </c>
    </row>
    <row r="543" spans="1:4" x14ac:dyDescent="0.25">
      <c r="A543" s="2" t="s">
        <v>7</v>
      </c>
      <c r="B543" s="3" t="s">
        <v>5</v>
      </c>
      <c r="C543" s="3" t="s">
        <v>50</v>
      </c>
      <c r="D543" s="4">
        <v>1335566.625</v>
      </c>
    </row>
    <row r="544" spans="1:4" x14ac:dyDescent="0.25">
      <c r="A544" s="5" t="s">
        <v>7</v>
      </c>
      <c r="B544" s="6" t="s">
        <v>5</v>
      </c>
      <c r="C544" s="6" t="s">
        <v>51</v>
      </c>
      <c r="D544" s="7">
        <v>1335664.125</v>
      </c>
    </row>
    <row r="545" spans="1:4" x14ac:dyDescent="0.25">
      <c r="A545" s="2" t="s">
        <v>7</v>
      </c>
      <c r="B545" s="3" t="s">
        <v>5</v>
      </c>
      <c r="C545" s="3" t="s">
        <v>52</v>
      </c>
      <c r="D545" s="4">
        <v>1336101.125</v>
      </c>
    </row>
    <row r="546" spans="1:4" x14ac:dyDescent="0.25">
      <c r="A546" s="5" t="s">
        <v>7</v>
      </c>
      <c r="B546" s="6" t="s">
        <v>5</v>
      </c>
      <c r="C546" s="6" t="s">
        <v>53</v>
      </c>
      <c r="D546" s="7">
        <v>1336432.375</v>
      </c>
    </row>
    <row r="547" spans="1:4" x14ac:dyDescent="0.25">
      <c r="A547" s="2" t="s">
        <v>7</v>
      </c>
      <c r="B547" s="3" t="s">
        <v>5</v>
      </c>
      <c r="C547" s="3" t="s">
        <v>54</v>
      </c>
      <c r="D547" s="4">
        <v>1337485.625</v>
      </c>
    </row>
    <row r="548" spans="1:4" x14ac:dyDescent="0.25">
      <c r="A548" s="2" t="s">
        <v>7</v>
      </c>
      <c r="B548" s="3" t="s">
        <v>5</v>
      </c>
      <c r="C548" s="3" t="s">
        <v>55</v>
      </c>
      <c r="D548" s="4">
        <v>2861825.75</v>
      </c>
    </row>
    <row r="549" spans="1:4" x14ac:dyDescent="0.25">
      <c r="A549" s="2" t="s">
        <v>7</v>
      </c>
      <c r="B549" s="3" t="s">
        <v>5</v>
      </c>
      <c r="C549" s="3" t="s">
        <v>56</v>
      </c>
      <c r="D549" s="4">
        <v>2489491.75</v>
      </c>
    </row>
    <row r="550" spans="1:4" x14ac:dyDescent="0.25">
      <c r="A550" s="2" t="s">
        <v>7</v>
      </c>
      <c r="B550" s="3" t="s">
        <v>5</v>
      </c>
      <c r="C550" s="3" t="s">
        <v>57</v>
      </c>
      <c r="D550" s="4">
        <v>1614280.25</v>
      </c>
    </row>
    <row r="551" spans="1:4" x14ac:dyDescent="0.25">
      <c r="A551" s="2" t="s">
        <v>7</v>
      </c>
      <c r="B551" s="3" t="s">
        <v>5</v>
      </c>
      <c r="C551" s="3" t="s">
        <v>58</v>
      </c>
      <c r="D551" s="4">
        <v>1053699</v>
      </c>
    </row>
    <row r="552" spans="1:4" x14ac:dyDescent="0.25">
      <c r="A552" s="2" t="s">
        <v>7</v>
      </c>
      <c r="B552" s="3" t="s">
        <v>5</v>
      </c>
      <c r="C552" s="3" t="s">
        <v>59</v>
      </c>
      <c r="D552" s="4">
        <v>673127.75</v>
      </c>
    </row>
    <row r="553" spans="1:4" x14ac:dyDescent="0.25">
      <c r="A553" s="2" t="s">
        <v>7</v>
      </c>
      <c r="B553" s="3" t="s">
        <v>5</v>
      </c>
      <c r="C553" s="3" t="s">
        <v>60</v>
      </c>
      <c r="D553" s="4">
        <v>374391.125</v>
      </c>
    </row>
    <row r="554" spans="1:4" x14ac:dyDescent="0.25">
      <c r="A554" s="2" t="s">
        <v>7</v>
      </c>
      <c r="B554" s="3" t="s">
        <v>5</v>
      </c>
      <c r="C554" s="3" t="s">
        <v>61</v>
      </c>
      <c r="D554" s="4">
        <v>278728.9375</v>
      </c>
    </row>
    <row r="555" spans="1:4" x14ac:dyDescent="0.25">
      <c r="A555" s="2" t="s">
        <v>7</v>
      </c>
      <c r="B555" s="3" t="s">
        <v>5</v>
      </c>
      <c r="C555" s="3" t="s">
        <v>62</v>
      </c>
      <c r="D555" s="4">
        <v>309876.65625</v>
      </c>
    </row>
    <row r="556" spans="1:4" x14ac:dyDescent="0.25">
      <c r="A556" s="2" t="s">
        <v>7</v>
      </c>
      <c r="B556" s="3" t="s">
        <v>5</v>
      </c>
      <c r="C556" s="3" t="s">
        <v>63</v>
      </c>
      <c r="D556" s="4">
        <v>556302.75</v>
      </c>
    </row>
    <row r="557" spans="1:4" x14ac:dyDescent="0.25">
      <c r="A557" s="2" t="s">
        <v>7</v>
      </c>
      <c r="B557" s="3" t="s">
        <v>5</v>
      </c>
      <c r="C557" s="3" t="s">
        <v>64</v>
      </c>
      <c r="D557" s="4">
        <v>1266883.75</v>
      </c>
    </row>
    <row r="558" spans="1:4" x14ac:dyDescent="0.25">
      <c r="A558" s="2" t="s">
        <v>7</v>
      </c>
      <c r="B558" s="3" t="s">
        <v>5</v>
      </c>
      <c r="C558" s="3" t="s">
        <v>65</v>
      </c>
      <c r="D558" s="4">
        <v>1871815.375</v>
      </c>
    </row>
    <row r="559" spans="1:4" x14ac:dyDescent="0.25">
      <c r="A559" s="2" t="s">
        <v>7</v>
      </c>
      <c r="B559" s="3" t="s">
        <v>5</v>
      </c>
      <c r="C559" s="3" t="s">
        <v>66</v>
      </c>
      <c r="D559" s="4">
        <v>2839073.5</v>
      </c>
    </row>
    <row r="560" spans="1:4" x14ac:dyDescent="0.25">
      <c r="A560" s="5" t="s">
        <v>12</v>
      </c>
      <c r="B560" s="6" t="s">
        <v>5</v>
      </c>
      <c r="C560" s="6" t="s">
        <v>36</v>
      </c>
      <c r="D560" s="7">
        <v>322150.90625</v>
      </c>
    </row>
    <row r="561" spans="1:4" x14ac:dyDescent="0.25">
      <c r="A561" s="2" t="s">
        <v>12</v>
      </c>
      <c r="B561" s="3" t="s">
        <v>5</v>
      </c>
      <c r="C561" s="3" t="s">
        <v>37</v>
      </c>
      <c r="D561" s="4">
        <v>322150.90625</v>
      </c>
    </row>
    <row r="562" spans="1:4" x14ac:dyDescent="0.25">
      <c r="A562" s="5" t="s">
        <v>12</v>
      </c>
      <c r="B562" s="6" t="s">
        <v>5</v>
      </c>
      <c r="C562" s="6" t="s">
        <v>38</v>
      </c>
      <c r="D562" s="7">
        <v>322150.90625</v>
      </c>
    </row>
    <row r="563" spans="1:4" x14ac:dyDescent="0.25">
      <c r="A563" s="2" t="s">
        <v>12</v>
      </c>
      <c r="B563" s="3" t="s">
        <v>5</v>
      </c>
      <c r="C563" s="3" t="s">
        <v>39</v>
      </c>
      <c r="D563" s="4">
        <v>322150.90625</v>
      </c>
    </row>
    <row r="564" spans="1:4" x14ac:dyDescent="0.25">
      <c r="A564" s="5" t="s">
        <v>12</v>
      </c>
      <c r="B564" s="6" t="s">
        <v>5</v>
      </c>
      <c r="C564" s="6" t="s">
        <v>40</v>
      </c>
      <c r="D564" s="7">
        <v>322150.90625</v>
      </c>
    </row>
    <row r="565" spans="1:4" x14ac:dyDescent="0.25">
      <c r="A565" s="2" t="s">
        <v>12</v>
      </c>
      <c r="B565" s="3" t="s">
        <v>5</v>
      </c>
      <c r="C565" s="3" t="s">
        <v>41</v>
      </c>
      <c r="D565" s="4">
        <v>322150.90625</v>
      </c>
    </row>
    <row r="566" spans="1:4" x14ac:dyDescent="0.25">
      <c r="A566" s="5" t="s">
        <v>12</v>
      </c>
      <c r="B566" s="6" t="s">
        <v>5</v>
      </c>
      <c r="C566" s="6" t="s">
        <v>42</v>
      </c>
      <c r="D566" s="7">
        <v>322305.5625</v>
      </c>
    </row>
    <row r="567" spans="1:4" x14ac:dyDescent="0.25">
      <c r="A567" s="2" t="s">
        <v>12</v>
      </c>
      <c r="B567" s="3" t="s">
        <v>5</v>
      </c>
      <c r="C567" s="3" t="s">
        <v>43</v>
      </c>
      <c r="D567" s="4">
        <v>314639</v>
      </c>
    </row>
    <row r="568" spans="1:4" x14ac:dyDescent="0.25">
      <c r="A568" s="5" t="s">
        <v>12</v>
      </c>
      <c r="B568" s="6" t="s">
        <v>5</v>
      </c>
      <c r="C568" s="6" t="s">
        <v>44</v>
      </c>
      <c r="D568" s="7">
        <v>314639</v>
      </c>
    </row>
    <row r="569" spans="1:4" x14ac:dyDescent="0.25">
      <c r="A569" s="2" t="s">
        <v>12</v>
      </c>
      <c r="B569" s="3" t="s">
        <v>5</v>
      </c>
      <c r="C569" s="3" t="s">
        <v>45</v>
      </c>
      <c r="D569" s="4">
        <v>314639</v>
      </c>
    </row>
    <row r="570" spans="1:4" x14ac:dyDescent="0.25">
      <c r="A570" s="5" t="s">
        <v>12</v>
      </c>
      <c r="B570" s="6" t="s">
        <v>5</v>
      </c>
      <c r="C570" s="6" t="s">
        <v>46</v>
      </c>
      <c r="D570" s="7">
        <v>314639</v>
      </c>
    </row>
    <row r="571" spans="1:4" x14ac:dyDescent="0.25">
      <c r="A571" s="2" t="s">
        <v>12</v>
      </c>
      <c r="B571" s="3" t="s">
        <v>5</v>
      </c>
      <c r="C571" s="3" t="s">
        <v>47</v>
      </c>
      <c r="D571" s="4">
        <v>314639</v>
      </c>
    </row>
    <row r="572" spans="1:4" x14ac:dyDescent="0.25">
      <c r="A572" s="5" t="s">
        <v>12</v>
      </c>
      <c r="B572" s="6" t="s">
        <v>5</v>
      </c>
      <c r="C572" s="6" t="s">
        <v>48</v>
      </c>
      <c r="D572" s="7">
        <v>314639</v>
      </c>
    </row>
    <row r="573" spans="1:4" x14ac:dyDescent="0.25">
      <c r="A573" s="2" t="s">
        <v>12</v>
      </c>
      <c r="B573" s="3" t="s">
        <v>5</v>
      </c>
      <c r="C573" s="3" t="s">
        <v>49</v>
      </c>
      <c r="D573" s="4">
        <v>314639</v>
      </c>
    </row>
    <row r="574" spans="1:4" x14ac:dyDescent="0.25">
      <c r="A574" s="5" t="s">
        <v>12</v>
      </c>
      <c r="B574" s="6" t="s">
        <v>5</v>
      </c>
      <c r="C574" s="6" t="s">
        <v>50</v>
      </c>
      <c r="D574" s="7">
        <v>314639</v>
      </c>
    </row>
    <row r="575" spans="1:4" x14ac:dyDescent="0.25">
      <c r="A575" s="2" t="s">
        <v>12</v>
      </c>
      <c r="B575" s="3" t="s">
        <v>5</v>
      </c>
      <c r="C575" s="3" t="s">
        <v>51</v>
      </c>
      <c r="D575" s="4">
        <v>314639</v>
      </c>
    </row>
    <row r="576" spans="1:4" x14ac:dyDescent="0.25">
      <c r="A576" s="5" t="s">
        <v>12</v>
      </c>
      <c r="B576" s="6" t="s">
        <v>5</v>
      </c>
      <c r="C576" s="6" t="s">
        <v>52</v>
      </c>
      <c r="D576" s="7">
        <v>314639</v>
      </c>
    </row>
    <row r="577" spans="1:4" x14ac:dyDescent="0.25">
      <c r="A577" s="2" t="s">
        <v>12</v>
      </c>
      <c r="B577" s="3" t="s">
        <v>5</v>
      </c>
      <c r="C577" s="3" t="s">
        <v>53</v>
      </c>
      <c r="D577" s="4">
        <v>314639</v>
      </c>
    </row>
    <row r="578" spans="1:4" x14ac:dyDescent="0.25">
      <c r="A578" s="5" t="s">
        <v>12</v>
      </c>
      <c r="B578" s="6" t="s">
        <v>5</v>
      </c>
      <c r="C578" s="6" t="s">
        <v>54</v>
      </c>
      <c r="D578" s="7">
        <v>314790.03125</v>
      </c>
    </row>
    <row r="579" spans="1:4" x14ac:dyDescent="0.25">
      <c r="A579" s="2" t="s">
        <v>12</v>
      </c>
      <c r="B579" s="3" t="s">
        <v>5</v>
      </c>
      <c r="C579" s="3" t="s">
        <v>55</v>
      </c>
      <c r="D579" s="4">
        <v>702637.25</v>
      </c>
    </row>
    <row r="580" spans="1:4" x14ac:dyDescent="0.25">
      <c r="A580" s="2" t="s">
        <v>12</v>
      </c>
      <c r="B580" s="3" t="s">
        <v>5</v>
      </c>
      <c r="C580" s="3" t="s">
        <v>56</v>
      </c>
      <c r="D580" s="4">
        <v>611220.4375</v>
      </c>
    </row>
    <row r="581" spans="1:4" x14ac:dyDescent="0.25">
      <c r="A581" s="2" t="s">
        <v>12</v>
      </c>
      <c r="B581" s="3" t="s">
        <v>5</v>
      </c>
      <c r="C581" s="3" t="s">
        <v>57</v>
      </c>
      <c r="D581" s="4">
        <v>396271.8125</v>
      </c>
    </row>
    <row r="582" spans="1:4" x14ac:dyDescent="0.25">
      <c r="A582" s="2" t="s">
        <v>12</v>
      </c>
      <c r="B582" s="3" t="s">
        <v>5</v>
      </c>
      <c r="C582" s="3" t="s">
        <v>58</v>
      </c>
      <c r="D582" s="4">
        <v>258669.71875</v>
      </c>
    </row>
    <row r="583" spans="1:4" x14ac:dyDescent="0.25">
      <c r="A583" s="2" t="s">
        <v>12</v>
      </c>
      <c r="B583" s="3" t="s">
        <v>5</v>
      </c>
      <c r="C583" s="3" t="s">
        <v>59</v>
      </c>
      <c r="D583" s="4">
        <v>165265.625</v>
      </c>
    </row>
    <row r="584" spans="1:4" x14ac:dyDescent="0.25">
      <c r="A584" s="2" t="s">
        <v>12</v>
      </c>
      <c r="B584" s="3" t="s">
        <v>5</v>
      </c>
      <c r="C584" s="3" t="s">
        <v>60</v>
      </c>
      <c r="D584" s="4">
        <v>91933.46875</v>
      </c>
    </row>
    <row r="585" spans="1:4" x14ac:dyDescent="0.25">
      <c r="A585" s="2" t="s">
        <v>12</v>
      </c>
      <c r="B585" s="3" t="s">
        <v>5</v>
      </c>
      <c r="C585" s="3" t="s">
        <v>61</v>
      </c>
      <c r="D585" s="4">
        <v>68443.3359375</v>
      </c>
    </row>
    <row r="586" spans="1:4" x14ac:dyDescent="0.25">
      <c r="A586" s="2" t="s">
        <v>12</v>
      </c>
      <c r="B586" s="3" t="s">
        <v>5</v>
      </c>
      <c r="C586" s="3" t="s">
        <v>62</v>
      </c>
      <c r="D586" s="4">
        <v>76074.6484375</v>
      </c>
    </row>
    <row r="587" spans="1:4" x14ac:dyDescent="0.25">
      <c r="A587" s="2" t="s">
        <v>12</v>
      </c>
      <c r="B587" s="3" t="s">
        <v>5</v>
      </c>
      <c r="C587" s="3" t="s">
        <v>63</v>
      </c>
      <c r="D587" s="4">
        <v>136568.703125</v>
      </c>
    </row>
    <row r="588" spans="1:4" x14ac:dyDescent="0.25">
      <c r="A588" s="2" t="s">
        <v>12</v>
      </c>
      <c r="B588" s="3" t="s">
        <v>5</v>
      </c>
      <c r="C588" s="3" t="s">
        <v>64</v>
      </c>
      <c r="D588" s="4">
        <v>311015.75</v>
      </c>
    </row>
    <row r="589" spans="1:4" x14ac:dyDescent="0.25">
      <c r="A589" s="2" t="s">
        <v>12</v>
      </c>
      <c r="B589" s="3" t="s">
        <v>5</v>
      </c>
      <c r="C589" s="3" t="s">
        <v>65</v>
      </c>
      <c r="D589" s="4">
        <v>459508.34375</v>
      </c>
    </row>
    <row r="590" spans="1:4" x14ac:dyDescent="0.25">
      <c r="A590" s="2" t="s">
        <v>12</v>
      </c>
      <c r="B590" s="3" t="s">
        <v>5</v>
      </c>
      <c r="C590" s="3" t="s">
        <v>66</v>
      </c>
      <c r="D590" s="4">
        <v>697032.9375</v>
      </c>
    </row>
    <row r="591" spans="1:4" x14ac:dyDescent="0.25">
      <c r="A591" s="5" t="s">
        <v>34</v>
      </c>
      <c r="B591" s="6" t="s">
        <v>5</v>
      </c>
      <c r="C591" s="6" t="s">
        <v>36</v>
      </c>
      <c r="D591" s="6">
        <v>340748.15625</v>
      </c>
    </row>
    <row r="592" spans="1:4" x14ac:dyDescent="0.25">
      <c r="A592" s="2" t="s">
        <v>34</v>
      </c>
      <c r="B592" s="3" t="s">
        <v>5</v>
      </c>
      <c r="C592" s="3" t="s">
        <v>37</v>
      </c>
      <c r="D592" s="3">
        <v>340748.15625</v>
      </c>
    </row>
    <row r="593" spans="1:4" x14ac:dyDescent="0.25">
      <c r="A593" s="5" t="s">
        <v>34</v>
      </c>
      <c r="B593" s="6" t="s">
        <v>5</v>
      </c>
      <c r="C593" s="6" t="s">
        <v>38</v>
      </c>
      <c r="D593" s="6">
        <v>340748.15625</v>
      </c>
    </row>
    <row r="594" spans="1:4" x14ac:dyDescent="0.25">
      <c r="A594" s="2" t="s">
        <v>34</v>
      </c>
      <c r="B594" s="3" t="s">
        <v>5</v>
      </c>
      <c r="C594" s="3" t="s">
        <v>39</v>
      </c>
      <c r="D594" s="3">
        <v>340748.15625</v>
      </c>
    </row>
    <row r="595" spans="1:4" x14ac:dyDescent="0.25">
      <c r="A595" s="5" t="s">
        <v>34</v>
      </c>
      <c r="B595" s="6" t="s">
        <v>5</v>
      </c>
      <c r="C595" s="6" t="s">
        <v>40</v>
      </c>
      <c r="D595" s="6">
        <v>340748.15625</v>
      </c>
    </row>
    <row r="596" spans="1:4" x14ac:dyDescent="0.25">
      <c r="A596" s="2" t="s">
        <v>34</v>
      </c>
      <c r="B596" s="3" t="s">
        <v>5</v>
      </c>
      <c r="C596" s="3" t="s">
        <v>41</v>
      </c>
      <c r="D596" s="3">
        <v>340748.15625</v>
      </c>
    </row>
    <row r="597" spans="1:4" x14ac:dyDescent="0.25">
      <c r="A597" s="5" t="s">
        <v>34</v>
      </c>
      <c r="B597" s="6" t="s">
        <v>5</v>
      </c>
      <c r="C597" s="6" t="s">
        <v>42</v>
      </c>
      <c r="D597" s="6">
        <v>340911.71875</v>
      </c>
    </row>
    <row r="598" spans="1:4" x14ac:dyDescent="0.25">
      <c r="A598" s="2" t="s">
        <v>34</v>
      </c>
      <c r="B598" s="3" t="s">
        <v>5</v>
      </c>
      <c r="C598" s="3" t="s">
        <v>43</v>
      </c>
      <c r="D598" s="3">
        <v>329983.65625</v>
      </c>
    </row>
    <row r="599" spans="1:4" x14ac:dyDescent="0.25">
      <c r="A599" s="5" t="s">
        <v>34</v>
      </c>
      <c r="B599" s="6" t="s">
        <v>5</v>
      </c>
      <c r="C599" s="6" t="s">
        <v>44</v>
      </c>
      <c r="D599" s="6">
        <v>329983.65625</v>
      </c>
    </row>
    <row r="600" spans="1:4" x14ac:dyDescent="0.25">
      <c r="A600" s="2" t="s">
        <v>34</v>
      </c>
      <c r="B600" s="3" t="s">
        <v>5</v>
      </c>
      <c r="C600" s="3" t="s">
        <v>45</v>
      </c>
      <c r="D600" s="3">
        <v>329983.65625</v>
      </c>
    </row>
    <row r="601" spans="1:4" x14ac:dyDescent="0.25">
      <c r="A601" s="5" t="s">
        <v>34</v>
      </c>
      <c r="B601" s="6" t="s">
        <v>5</v>
      </c>
      <c r="C601" s="6" t="s">
        <v>46</v>
      </c>
      <c r="D601" s="6">
        <v>329983.65625</v>
      </c>
    </row>
    <row r="602" spans="1:4" x14ac:dyDescent="0.25">
      <c r="A602" s="2" t="s">
        <v>34</v>
      </c>
      <c r="B602" s="3" t="s">
        <v>5</v>
      </c>
      <c r="C602" s="3" t="s">
        <v>47</v>
      </c>
      <c r="D602" s="3">
        <v>329983.65625</v>
      </c>
    </row>
    <row r="603" spans="1:4" x14ac:dyDescent="0.25">
      <c r="A603" s="5" t="s">
        <v>34</v>
      </c>
      <c r="B603" s="6" t="s">
        <v>5</v>
      </c>
      <c r="C603" s="6" t="s">
        <v>48</v>
      </c>
      <c r="D603" s="6">
        <v>329983.65625</v>
      </c>
    </row>
    <row r="604" spans="1:4" x14ac:dyDescent="0.25">
      <c r="A604" s="2" t="s">
        <v>34</v>
      </c>
      <c r="B604" s="3" t="s">
        <v>5</v>
      </c>
      <c r="C604" s="3" t="s">
        <v>49</v>
      </c>
      <c r="D604" s="3">
        <v>329983.65625</v>
      </c>
    </row>
    <row r="605" spans="1:4" x14ac:dyDescent="0.25">
      <c r="A605" s="5" t="s">
        <v>34</v>
      </c>
      <c r="B605" s="6" t="s">
        <v>5</v>
      </c>
      <c r="C605" s="6" t="s">
        <v>50</v>
      </c>
      <c r="D605" s="6">
        <v>329983.65625</v>
      </c>
    </row>
    <row r="606" spans="1:4" x14ac:dyDescent="0.25">
      <c r="A606" s="2" t="s">
        <v>34</v>
      </c>
      <c r="B606" s="3" t="s">
        <v>5</v>
      </c>
      <c r="C606" s="3" t="s">
        <v>51</v>
      </c>
      <c r="D606" s="3">
        <v>329983.65625</v>
      </c>
    </row>
    <row r="607" spans="1:4" x14ac:dyDescent="0.25">
      <c r="A607" s="5" t="s">
        <v>34</v>
      </c>
      <c r="B607" s="6" t="s">
        <v>5</v>
      </c>
      <c r="C607" s="6" t="s">
        <v>52</v>
      </c>
      <c r="D607" s="6">
        <v>329983.65625</v>
      </c>
    </row>
    <row r="608" spans="1:4" x14ac:dyDescent="0.25">
      <c r="A608" s="2" t="s">
        <v>34</v>
      </c>
      <c r="B608" s="3" t="s">
        <v>5</v>
      </c>
      <c r="C608" s="3" t="s">
        <v>53</v>
      </c>
      <c r="D608" s="3">
        <v>329983.65625</v>
      </c>
    </row>
    <row r="609" spans="1:4" x14ac:dyDescent="0.25">
      <c r="A609" s="5" t="s">
        <v>34</v>
      </c>
      <c r="B609" s="6" t="s">
        <v>5</v>
      </c>
      <c r="C609" s="6" t="s">
        <v>54</v>
      </c>
      <c r="D609" s="6">
        <v>330142.0625</v>
      </c>
    </row>
    <row r="610" spans="1:4" x14ac:dyDescent="0.25">
      <c r="A610" s="5" t="s">
        <v>34</v>
      </c>
      <c r="B610" s="6" t="s">
        <v>5</v>
      </c>
      <c r="C610" s="6" t="s">
        <v>55</v>
      </c>
      <c r="D610" s="6">
        <v>719449.9375</v>
      </c>
    </row>
    <row r="611" spans="1:4" x14ac:dyDescent="0.25">
      <c r="A611" s="5" t="s">
        <v>34</v>
      </c>
      <c r="B611" s="6" t="s">
        <v>5</v>
      </c>
      <c r="C611" s="6" t="s">
        <v>56</v>
      </c>
      <c r="D611" s="6">
        <v>625845.75</v>
      </c>
    </row>
    <row r="612" spans="1:4" x14ac:dyDescent="0.25">
      <c r="A612" s="5" t="s">
        <v>34</v>
      </c>
      <c r="B612" s="6" t="s">
        <v>5</v>
      </c>
      <c r="C612" s="6" t="s">
        <v>57</v>
      </c>
      <c r="D612" s="6">
        <v>405753.78125</v>
      </c>
    </row>
    <row r="613" spans="1:4" x14ac:dyDescent="0.25">
      <c r="A613" s="5" t="s">
        <v>34</v>
      </c>
      <c r="B613" s="6" t="s">
        <v>5</v>
      </c>
      <c r="C613" s="6" t="s">
        <v>58</v>
      </c>
      <c r="D613" s="6">
        <v>264859.125</v>
      </c>
    </row>
    <row r="614" spans="1:4" x14ac:dyDescent="0.25">
      <c r="A614" s="5" t="s">
        <v>34</v>
      </c>
      <c r="B614" s="6" t="s">
        <v>5</v>
      </c>
      <c r="C614" s="6" t="s">
        <v>59</v>
      </c>
      <c r="D614" s="6">
        <v>169220.09375</v>
      </c>
    </row>
    <row r="615" spans="1:4" x14ac:dyDescent="0.25">
      <c r="A615" s="5" t="s">
        <v>34</v>
      </c>
      <c r="B615" s="6" t="s">
        <v>5</v>
      </c>
      <c r="C615" s="6" t="s">
        <v>60</v>
      </c>
      <c r="D615" s="6">
        <v>94133.25</v>
      </c>
    </row>
    <row r="616" spans="1:4" x14ac:dyDescent="0.25">
      <c r="A616" s="5" t="s">
        <v>34</v>
      </c>
      <c r="B616" s="6" t="s">
        <v>5</v>
      </c>
      <c r="C616" s="6" t="s">
        <v>61</v>
      </c>
      <c r="D616" s="6">
        <v>70081.046875</v>
      </c>
    </row>
    <row r="617" spans="1:4" x14ac:dyDescent="0.25">
      <c r="A617" s="5" t="s">
        <v>34</v>
      </c>
      <c r="B617" s="6" t="s">
        <v>5</v>
      </c>
      <c r="C617" s="6" t="s">
        <v>62</v>
      </c>
      <c r="D617" s="6">
        <v>77894.953125</v>
      </c>
    </row>
    <row r="618" spans="1:4" x14ac:dyDescent="0.25">
      <c r="A618" s="5" t="s">
        <v>34</v>
      </c>
      <c r="B618" s="6" t="s">
        <v>5</v>
      </c>
      <c r="C618" s="6" t="s">
        <v>63</v>
      </c>
      <c r="D618" s="6">
        <v>139836.515625</v>
      </c>
    </row>
    <row r="619" spans="1:4" x14ac:dyDescent="0.25">
      <c r="A619" s="5" t="s">
        <v>34</v>
      </c>
      <c r="B619" s="6" t="s">
        <v>5</v>
      </c>
      <c r="C619" s="6" t="s">
        <v>64</v>
      </c>
      <c r="D619" s="6">
        <v>318457.75</v>
      </c>
    </row>
    <row r="620" spans="1:4" x14ac:dyDescent="0.25">
      <c r="A620" s="5" t="s">
        <v>34</v>
      </c>
      <c r="B620" s="6" t="s">
        <v>5</v>
      </c>
      <c r="C620" s="6" t="s">
        <v>65</v>
      </c>
      <c r="D620" s="6">
        <v>470503.5</v>
      </c>
    </row>
    <row r="621" spans="1:4" x14ac:dyDescent="0.25">
      <c r="A621" s="5" t="s">
        <v>34</v>
      </c>
      <c r="B621" s="6" t="s">
        <v>5</v>
      </c>
      <c r="C621" s="6" t="s">
        <v>66</v>
      </c>
      <c r="D621" s="6">
        <v>713711.5625</v>
      </c>
    </row>
    <row r="622" spans="1:4" x14ac:dyDescent="0.25">
      <c r="A622" s="5" t="s">
        <v>14</v>
      </c>
      <c r="B622" s="6" t="s">
        <v>5</v>
      </c>
      <c r="C622" s="6" t="s">
        <v>36</v>
      </c>
      <c r="D622" s="6">
        <v>3668766.5</v>
      </c>
    </row>
    <row r="623" spans="1:4" x14ac:dyDescent="0.25">
      <c r="A623" s="2" t="s">
        <v>14</v>
      </c>
      <c r="B623" s="3" t="s">
        <v>5</v>
      </c>
      <c r="C623" s="3" t="s">
        <v>37</v>
      </c>
      <c r="D623" s="3">
        <v>3668766.5</v>
      </c>
    </row>
    <row r="624" spans="1:4" x14ac:dyDescent="0.25">
      <c r="A624" s="5" t="s">
        <v>14</v>
      </c>
      <c r="B624" s="6" t="s">
        <v>5</v>
      </c>
      <c r="C624" s="6" t="s">
        <v>38</v>
      </c>
      <c r="D624" s="6">
        <v>3668766.5</v>
      </c>
    </row>
    <row r="625" spans="1:4" x14ac:dyDescent="0.25">
      <c r="A625" s="2" t="s">
        <v>14</v>
      </c>
      <c r="B625" s="3" t="s">
        <v>5</v>
      </c>
      <c r="C625" s="3" t="s">
        <v>39</v>
      </c>
      <c r="D625" s="3">
        <v>3668766.5</v>
      </c>
    </row>
    <row r="626" spans="1:4" x14ac:dyDescent="0.25">
      <c r="A626" s="5" t="s">
        <v>14</v>
      </c>
      <c r="B626" s="6" t="s">
        <v>5</v>
      </c>
      <c r="C626" s="6" t="s">
        <v>40</v>
      </c>
      <c r="D626" s="6">
        <v>3668766.5</v>
      </c>
    </row>
    <row r="627" spans="1:4" x14ac:dyDescent="0.25">
      <c r="A627" s="2" t="s">
        <v>14</v>
      </c>
      <c r="B627" s="3" t="s">
        <v>5</v>
      </c>
      <c r="C627" s="3" t="s">
        <v>41</v>
      </c>
      <c r="D627" s="3">
        <v>3668766.5</v>
      </c>
    </row>
    <row r="628" spans="1:4" x14ac:dyDescent="0.25">
      <c r="A628" s="5" t="s">
        <v>14</v>
      </c>
      <c r="B628" s="6" t="s">
        <v>5</v>
      </c>
      <c r="C628" s="6" t="s">
        <v>42</v>
      </c>
      <c r="D628" s="6">
        <v>3670527.75</v>
      </c>
    </row>
    <row r="629" spans="1:4" x14ac:dyDescent="0.25">
      <c r="A629" s="2" t="s">
        <v>14</v>
      </c>
      <c r="B629" s="3" t="s">
        <v>5</v>
      </c>
      <c r="C629" s="3" t="s">
        <v>43</v>
      </c>
      <c r="D629" s="3">
        <v>3625520.5</v>
      </c>
    </row>
    <row r="630" spans="1:4" x14ac:dyDescent="0.25">
      <c r="A630" s="5" t="s">
        <v>14</v>
      </c>
      <c r="B630" s="6" t="s">
        <v>5</v>
      </c>
      <c r="C630" s="6" t="s">
        <v>44</v>
      </c>
      <c r="D630" s="6">
        <v>3625520.5</v>
      </c>
    </row>
    <row r="631" spans="1:4" x14ac:dyDescent="0.25">
      <c r="A631" s="2" t="s">
        <v>14</v>
      </c>
      <c r="B631" s="3" t="s">
        <v>5</v>
      </c>
      <c r="C631" s="3" t="s">
        <v>45</v>
      </c>
      <c r="D631" s="3">
        <v>3625520.5</v>
      </c>
    </row>
    <row r="632" spans="1:4" x14ac:dyDescent="0.25">
      <c r="A632" s="5" t="s">
        <v>14</v>
      </c>
      <c r="B632" s="6" t="s">
        <v>5</v>
      </c>
      <c r="C632" s="6" t="s">
        <v>46</v>
      </c>
      <c r="D632" s="6">
        <v>3625520.5</v>
      </c>
    </row>
    <row r="633" spans="1:4" x14ac:dyDescent="0.25">
      <c r="A633" s="2" t="s">
        <v>14</v>
      </c>
      <c r="B633" s="3" t="s">
        <v>5</v>
      </c>
      <c r="C633" s="3" t="s">
        <v>47</v>
      </c>
      <c r="D633" s="3">
        <v>3625520.5</v>
      </c>
    </row>
    <row r="634" spans="1:4" x14ac:dyDescent="0.25">
      <c r="A634" s="5" t="s">
        <v>14</v>
      </c>
      <c r="B634" s="6" t="s">
        <v>5</v>
      </c>
      <c r="C634" s="6" t="s">
        <v>48</v>
      </c>
      <c r="D634" s="6">
        <v>3625520.5</v>
      </c>
    </row>
    <row r="635" spans="1:4" x14ac:dyDescent="0.25">
      <c r="A635" s="2" t="s">
        <v>14</v>
      </c>
      <c r="B635" s="3" t="s">
        <v>5</v>
      </c>
      <c r="C635" s="3" t="s">
        <v>49</v>
      </c>
      <c r="D635" s="3">
        <v>3625520.5</v>
      </c>
    </row>
    <row r="636" spans="1:4" x14ac:dyDescent="0.25">
      <c r="A636" s="5" t="s">
        <v>14</v>
      </c>
      <c r="B636" s="6" t="s">
        <v>5</v>
      </c>
      <c r="C636" s="6" t="s">
        <v>50</v>
      </c>
      <c r="D636" s="6">
        <v>3625520.5</v>
      </c>
    </row>
    <row r="637" spans="1:4" x14ac:dyDescent="0.25">
      <c r="A637" s="2" t="s">
        <v>14</v>
      </c>
      <c r="B637" s="3" t="s">
        <v>5</v>
      </c>
      <c r="C637" s="3" t="s">
        <v>51</v>
      </c>
      <c r="D637" s="3">
        <v>3625520.5</v>
      </c>
    </row>
    <row r="638" spans="1:4" x14ac:dyDescent="0.25">
      <c r="A638" s="5" t="s">
        <v>14</v>
      </c>
      <c r="B638" s="6" t="s">
        <v>5</v>
      </c>
      <c r="C638" s="6" t="s">
        <v>52</v>
      </c>
      <c r="D638" s="6">
        <v>3625520.5</v>
      </c>
    </row>
    <row r="639" spans="1:4" x14ac:dyDescent="0.25">
      <c r="A639" s="2" t="s">
        <v>14</v>
      </c>
      <c r="B639" s="3" t="s">
        <v>5</v>
      </c>
      <c r="C639" s="3" t="s">
        <v>53</v>
      </c>
      <c r="D639" s="3">
        <v>3625520.5</v>
      </c>
    </row>
    <row r="640" spans="1:4" x14ac:dyDescent="0.25">
      <c r="A640" s="5" t="s">
        <v>14</v>
      </c>
      <c r="B640" s="6" t="s">
        <v>5</v>
      </c>
      <c r="C640" s="6" t="s">
        <v>54</v>
      </c>
      <c r="D640" s="6">
        <v>3627260.75</v>
      </c>
    </row>
    <row r="641" spans="1:4" x14ac:dyDescent="0.25">
      <c r="A641" s="2" t="s">
        <v>14</v>
      </c>
      <c r="B641" s="3" t="s">
        <v>5</v>
      </c>
      <c r="C641" s="3" t="s">
        <v>55</v>
      </c>
      <c r="D641" s="3">
        <v>7696531.5</v>
      </c>
    </row>
    <row r="642" spans="1:4" x14ac:dyDescent="0.25">
      <c r="A642" s="2" t="s">
        <v>14</v>
      </c>
      <c r="B642" s="3" t="s">
        <v>5</v>
      </c>
      <c r="C642" s="3" t="s">
        <v>56</v>
      </c>
      <c r="D642" s="3">
        <v>6695172.5</v>
      </c>
    </row>
    <row r="643" spans="1:4" x14ac:dyDescent="0.25">
      <c r="A643" s="2" t="s">
        <v>14</v>
      </c>
      <c r="B643" s="3" t="s">
        <v>5</v>
      </c>
      <c r="C643" s="3" t="s">
        <v>57</v>
      </c>
      <c r="D643" s="3">
        <v>4340673</v>
      </c>
    </row>
    <row r="644" spans="1:4" x14ac:dyDescent="0.25">
      <c r="A644" s="2" t="s">
        <v>14</v>
      </c>
      <c r="B644" s="3" t="s">
        <v>5</v>
      </c>
      <c r="C644" s="3" t="s">
        <v>58</v>
      </c>
      <c r="D644" s="3">
        <v>2833410</v>
      </c>
    </row>
    <row r="645" spans="1:4" x14ac:dyDescent="0.25">
      <c r="A645" s="2" t="s">
        <v>14</v>
      </c>
      <c r="B645" s="3" t="s">
        <v>5</v>
      </c>
      <c r="C645" s="3" t="s">
        <v>59</v>
      </c>
      <c r="D645" s="3">
        <v>1810282.75</v>
      </c>
    </row>
    <row r="646" spans="1:4" x14ac:dyDescent="0.25">
      <c r="A646" s="2" t="s">
        <v>14</v>
      </c>
      <c r="B646" s="3" t="s">
        <v>5</v>
      </c>
      <c r="C646" s="3" t="s">
        <v>60</v>
      </c>
      <c r="D646" s="3">
        <v>1007018.6875</v>
      </c>
    </row>
    <row r="647" spans="1:4" x14ac:dyDescent="0.25">
      <c r="A647" s="2" t="s">
        <v>14</v>
      </c>
      <c r="B647" s="3" t="s">
        <v>5</v>
      </c>
      <c r="C647" s="3" t="s">
        <v>61</v>
      </c>
      <c r="D647" s="3">
        <v>749713</v>
      </c>
    </row>
    <row r="648" spans="1:4" x14ac:dyDescent="0.25">
      <c r="A648" s="2" t="s">
        <v>14</v>
      </c>
      <c r="B648" s="3" t="s">
        <v>5</v>
      </c>
      <c r="C648" s="3" t="s">
        <v>62</v>
      </c>
      <c r="D648" s="3">
        <v>833304.75</v>
      </c>
    </row>
    <row r="649" spans="1:4" x14ac:dyDescent="0.25">
      <c r="A649" s="2" t="s">
        <v>14</v>
      </c>
      <c r="B649" s="3" t="s">
        <v>5</v>
      </c>
      <c r="C649" s="3" t="s">
        <v>63</v>
      </c>
      <c r="D649" s="3">
        <v>1495943</v>
      </c>
    </row>
    <row r="650" spans="1:4" x14ac:dyDescent="0.25">
      <c r="A650" s="2" t="s">
        <v>14</v>
      </c>
      <c r="B650" s="3" t="s">
        <v>5</v>
      </c>
      <c r="C650" s="3" t="s">
        <v>64</v>
      </c>
      <c r="D650" s="3">
        <v>3406797</v>
      </c>
    </row>
    <row r="651" spans="1:4" x14ac:dyDescent="0.25">
      <c r="A651" s="2" t="s">
        <v>14</v>
      </c>
      <c r="B651" s="3" t="s">
        <v>5</v>
      </c>
      <c r="C651" s="3" t="s">
        <v>65</v>
      </c>
      <c r="D651" s="3">
        <v>5033352</v>
      </c>
    </row>
    <row r="652" spans="1:4" x14ac:dyDescent="0.25">
      <c r="A652" s="2" t="s">
        <v>14</v>
      </c>
      <c r="B652" s="3" t="s">
        <v>5</v>
      </c>
      <c r="C652" s="3" t="s">
        <v>66</v>
      </c>
      <c r="D652" s="3">
        <v>7635143.5</v>
      </c>
    </row>
    <row r="653" spans="1:4" x14ac:dyDescent="0.25">
      <c r="A653" s="2" t="s">
        <v>15</v>
      </c>
      <c r="B653" s="3" t="s">
        <v>5</v>
      </c>
      <c r="C653" s="3" t="s">
        <v>36</v>
      </c>
      <c r="D653" s="3">
        <v>1684688.875</v>
      </c>
    </row>
    <row r="654" spans="1:4" x14ac:dyDescent="0.25">
      <c r="A654" s="5" t="s">
        <v>15</v>
      </c>
      <c r="B654" s="6" t="s">
        <v>5</v>
      </c>
      <c r="C654" s="6" t="s">
        <v>37</v>
      </c>
      <c r="D654" s="6">
        <v>1684688.875</v>
      </c>
    </row>
    <row r="655" spans="1:4" x14ac:dyDescent="0.25">
      <c r="A655" s="2" t="s">
        <v>15</v>
      </c>
      <c r="B655" s="3" t="s">
        <v>5</v>
      </c>
      <c r="C655" s="3" t="s">
        <v>38</v>
      </c>
      <c r="D655" s="3">
        <v>1684688.875</v>
      </c>
    </row>
    <row r="656" spans="1:4" x14ac:dyDescent="0.25">
      <c r="A656" s="5" t="s">
        <v>15</v>
      </c>
      <c r="B656" s="6" t="s">
        <v>5</v>
      </c>
      <c r="C656" s="6" t="s">
        <v>39</v>
      </c>
      <c r="D656" s="6">
        <v>1684688.875</v>
      </c>
    </row>
    <row r="657" spans="1:4" x14ac:dyDescent="0.25">
      <c r="A657" s="2" t="s">
        <v>15</v>
      </c>
      <c r="B657" s="3" t="s">
        <v>5</v>
      </c>
      <c r="C657" s="3" t="s">
        <v>40</v>
      </c>
      <c r="D657" s="3">
        <v>1684688.875</v>
      </c>
    </row>
    <row r="658" spans="1:4" x14ac:dyDescent="0.25">
      <c r="A658" s="5" t="s">
        <v>15</v>
      </c>
      <c r="B658" s="6" t="s">
        <v>5</v>
      </c>
      <c r="C658" s="6" t="s">
        <v>41</v>
      </c>
      <c r="D658" s="6">
        <v>1684688.875</v>
      </c>
    </row>
    <row r="659" spans="1:4" x14ac:dyDescent="0.25">
      <c r="A659" s="2" t="s">
        <v>15</v>
      </c>
      <c r="B659" s="3" t="s">
        <v>5</v>
      </c>
      <c r="C659" s="3" t="s">
        <v>42</v>
      </c>
      <c r="D659" s="3">
        <v>1685497.625</v>
      </c>
    </row>
    <row r="660" spans="1:4" x14ac:dyDescent="0.25">
      <c r="A660" s="5" t="s">
        <v>15</v>
      </c>
      <c r="B660" s="6" t="s">
        <v>5</v>
      </c>
      <c r="C660" s="6" t="s">
        <v>43</v>
      </c>
      <c r="D660" s="6">
        <v>1663739</v>
      </c>
    </row>
    <row r="661" spans="1:4" x14ac:dyDescent="0.25">
      <c r="A661" s="2" t="s">
        <v>15</v>
      </c>
      <c r="B661" s="3" t="s">
        <v>5</v>
      </c>
      <c r="C661" s="3" t="s">
        <v>44</v>
      </c>
      <c r="D661" s="3">
        <v>1663739</v>
      </c>
    </row>
    <row r="662" spans="1:4" x14ac:dyDescent="0.25">
      <c r="A662" s="5" t="s">
        <v>15</v>
      </c>
      <c r="B662" s="6" t="s">
        <v>5</v>
      </c>
      <c r="C662" s="6" t="s">
        <v>45</v>
      </c>
      <c r="D662" s="6">
        <v>1663739</v>
      </c>
    </row>
    <row r="663" spans="1:4" x14ac:dyDescent="0.25">
      <c r="A663" s="2" t="s">
        <v>15</v>
      </c>
      <c r="B663" s="3" t="s">
        <v>5</v>
      </c>
      <c r="C663" s="3" t="s">
        <v>46</v>
      </c>
      <c r="D663" s="3">
        <v>1663739</v>
      </c>
    </row>
    <row r="664" spans="1:4" x14ac:dyDescent="0.25">
      <c r="A664" s="5" t="s">
        <v>15</v>
      </c>
      <c r="B664" s="6" t="s">
        <v>5</v>
      </c>
      <c r="C664" s="6" t="s">
        <v>47</v>
      </c>
      <c r="D664" s="6">
        <v>1663739</v>
      </c>
    </row>
    <row r="665" spans="1:4" x14ac:dyDescent="0.25">
      <c r="A665" s="2" t="s">
        <v>15</v>
      </c>
      <c r="B665" s="3" t="s">
        <v>5</v>
      </c>
      <c r="C665" s="3" t="s">
        <v>48</v>
      </c>
      <c r="D665" s="3">
        <v>1663739</v>
      </c>
    </row>
    <row r="666" spans="1:4" x14ac:dyDescent="0.25">
      <c r="A666" s="5" t="s">
        <v>15</v>
      </c>
      <c r="B666" s="6" t="s">
        <v>5</v>
      </c>
      <c r="C666" s="6" t="s">
        <v>49</v>
      </c>
      <c r="D666" s="6">
        <v>1663739</v>
      </c>
    </row>
    <row r="667" spans="1:4" x14ac:dyDescent="0.25">
      <c r="A667" s="2" t="s">
        <v>15</v>
      </c>
      <c r="B667" s="3" t="s">
        <v>5</v>
      </c>
      <c r="C667" s="3" t="s">
        <v>50</v>
      </c>
      <c r="D667" s="3">
        <v>1663739</v>
      </c>
    </row>
    <row r="668" spans="1:4" x14ac:dyDescent="0.25">
      <c r="A668" s="5" t="s">
        <v>15</v>
      </c>
      <c r="B668" s="6" t="s">
        <v>5</v>
      </c>
      <c r="C668" s="6" t="s">
        <v>51</v>
      </c>
      <c r="D668" s="6">
        <v>1663739</v>
      </c>
    </row>
    <row r="669" spans="1:4" x14ac:dyDescent="0.25">
      <c r="A669" s="2" t="s">
        <v>15</v>
      </c>
      <c r="B669" s="3" t="s">
        <v>5</v>
      </c>
      <c r="C669" s="3" t="s">
        <v>52</v>
      </c>
      <c r="D669" s="3">
        <v>1663739</v>
      </c>
    </row>
    <row r="670" spans="1:4" x14ac:dyDescent="0.25">
      <c r="A670" s="5" t="s">
        <v>15</v>
      </c>
      <c r="B670" s="6" t="s">
        <v>5</v>
      </c>
      <c r="C670" s="6" t="s">
        <v>53</v>
      </c>
      <c r="D670" s="6">
        <v>1663739</v>
      </c>
    </row>
    <row r="671" spans="1:4" x14ac:dyDescent="0.25">
      <c r="A671" s="2" t="s">
        <v>15</v>
      </c>
      <c r="B671" s="3" t="s">
        <v>5</v>
      </c>
      <c r="C671" s="3" t="s">
        <v>54</v>
      </c>
      <c r="D671" s="3">
        <v>1664537.625</v>
      </c>
    </row>
    <row r="672" spans="1:4" x14ac:dyDescent="0.25">
      <c r="A672" s="5" t="s">
        <v>15</v>
      </c>
      <c r="B672" s="6" t="s">
        <v>5</v>
      </c>
      <c r="C672" s="6" t="s">
        <v>55</v>
      </c>
      <c r="D672" s="6">
        <v>3622455.25</v>
      </c>
    </row>
    <row r="673" spans="1:4" x14ac:dyDescent="0.25">
      <c r="A673" s="5" t="s">
        <v>15</v>
      </c>
      <c r="B673" s="6" t="s">
        <v>5</v>
      </c>
      <c r="C673" s="6" t="s">
        <v>56</v>
      </c>
      <c r="D673" s="6">
        <v>3151155</v>
      </c>
    </row>
    <row r="674" spans="1:4" x14ac:dyDescent="0.25">
      <c r="A674" s="5" t="s">
        <v>15</v>
      </c>
      <c r="B674" s="6" t="s">
        <v>5</v>
      </c>
      <c r="C674" s="6" t="s">
        <v>57</v>
      </c>
      <c r="D674" s="6">
        <v>2042984.5</v>
      </c>
    </row>
    <row r="675" spans="1:4" x14ac:dyDescent="0.25">
      <c r="A675" s="5" t="s">
        <v>15</v>
      </c>
      <c r="B675" s="6" t="s">
        <v>5</v>
      </c>
      <c r="C675" s="6" t="s">
        <v>58</v>
      </c>
      <c r="D675" s="6">
        <v>1333575</v>
      </c>
    </row>
    <row r="676" spans="1:4" x14ac:dyDescent="0.25">
      <c r="A676" s="5" t="s">
        <v>15</v>
      </c>
      <c r="B676" s="6" t="s">
        <v>5</v>
      </c>
      <c r="C676" s="6" t="s">
        <v>59</v>
      </c>
      <c r="D676" s="6">
        <v>852029</v>
      </c>
    </row>
    <row r="677" spans="1:4" x14ac:dyDescent="0.25">
      <c r="A677" s="5" t="s">
        <v>15</v>
      </c>
      <c r="B677" s="6" t="s">
        <v>5</v>
      </c>
      <c r="C677" s="6" t="s">
        <v>60</v>
      </c>
      <c r="D677" s="6">
        <v>473964.1875</v>
      </c>
    </row>
    <row r="678" spans="1:4" x14ac:dyDescent="0.25">
      <c r="A678" s="5" t="s">
        <v>15</v>
      </c>
      <c r="B678" s="6" t="s">
        <v>5</v>
      </c>
      <c r="C678" s="6" t="s">
        <v>61</v>
      </c>
      <c r="D678" s="6">
        <v>352860.5</v>
      </c>
    </row>
    <row r="679" spans="1:4" x14ac:dyDescent="0.25">
      <c r="A679" s="5" t="s">
        <v>15</v>
      </c>
      <c r="B679" s="6" t="s">
        <v>5</v>
      </c>
      <c r="C679" s="6" t="s">
        <v>62</v>
      </c>
      <c r="D679" s="6">
        <v>392203.8125</v>
      </c>
    </row>
    <row r="680" spans="1:4" x14ac:dyDescent="0.25">
      <c r="A680" s="5" t="s">
        <v>15</v>
      </c>
      <c r="B680" s="6" t="s">
        <v>5</v>
      </c>
      <c r="C680" s="6" t="s">
        <v>63</v>
      </c>
      <c r="D680" s="6">
        <v>704081.6875</v>
      </c>
    </row>
    <row r="681" spans="1:4" x14ac:dyDescent="0.25">
      <c r="A681" s="5" t="s">
        <v>15</v>
      </c>
      <c r="B681" s="6" t="s">
        <v>5</v>
      </c>
      <c r="C681" s="6" t="s">
        <v>64</v>
      </c>
      <c r="D681" s="6">
        <v>1603445.75</v>
      </c>
    </row>
    <row r="682" spans="1:4" x14ac:dyDescent="0.25">
      <c r="A682" s="5" t="s">
        <v>15</v>
      </c>
      <c r="B682" s="6" t="s">
        <v>5</v>
      </c>
      <c r="C682" s="6" t="s">
        <v>65</v>
      </c>
      <c r="D682" s="6">
        <v>2369001.25</v>
      </c>
    </row>
    <row r="683" spans="1:4" x14ac:dyDescent="0.25">
      <c r="A683" s="5" t="s">
        <v>15</v>
      </c>
      <c r="B683" s="6" t="s">
        <v>5</v>
      </c>
      <c r="C683" s="6" t="s">
        <v>66</v>
      </c>
      <c r="D683" s="6">
        <v>3593562.5</v>
      </c>
    </row>
    <row r="684" spans="1:4" x14ac:dyDescent="0.25">
      <c r="A684" s="2" t="s">
        <v>33</v>
      </c>
      <c r="B684" s="3" t="s">
        <v>5</v>
      </c>
      <c r="C684" s="3" t="s">
        <v>36</v>
      </c>
      <c r="D684" s="3">
        <v>1603257</v>
      </c>
    </row>
    <row r="685" spans="1:4" x14ac:dyDescent="0.25">
      <c r="A685" s="5" t="s">
        <v>33</v>
      </c>
      <c r="B685" s="6" t="s">
        <v>5</v>
      </c>
      <c r="C685" s="6" t="s">
        <v>37</v>
      </c>
      <c r="D685" s="6">
        <v>1603257</v>
      </c>
    </row>
    <row r="686" spans="1:4" x14ac:dyDescent="0.25">
      <c r="A686" s="2" t="s">
        <v>33</v>
      </c>
      <c r="B686" s="3" t="s">
        <v>5</v>
      </c>
      <c r="C686" s="3" t="s">
        <v>38</v>
      </c>
      <c r="D686" s="3">
        <v>1603257</v>
      </c>
    </row>
    <row r="687" spans="1:4" x14ac:dyDescent="0.25">
      <c r="A687" s="5" t="s">
        <v>33</v>
      </c>
      <c r="B687" s="6" t="s">
        <v>5</v>
      </c>
      <c r="C687" s="6" t="s">
        <v>39</v>
      </c>
      <c r="D687" s="6">
        <v>1603257</v>
      </c>
    </row>
    <row r="688" spans="1:4" x14ac:dyDescent="0.25">
      <c r="A688" s="2" t="s">
        <v>33</v>
      </c>
      <c r="B688" s="3" t="s">
        <v>5</v>
      </c>
      <c r="C688" s="3" t="s">
        <v>40</v>
      </c>
      <c r="D688" s="3">
        <v>1603257</v>
      </c>
    </row>
    <row r="689" spans="1:4" x14ac:dyDescent="0.25">
      <c r="A689" s="5" t="s">
        <v>33</v>
      </c>
      <c r="B689" s="6" t="s">
        <v>5</v>
      </c>
      <c r="C689" s="6" t="s">
        <v>41</v>
      </c>
      <c r="D689" s="6">
        <v>1603257</v>
      </c>
    </row>
    <row r="690" spans="1:4" x14ac:dyDescent="0.25">
      <c r="A690" s="2" t="s">
        <v>33</v>
      </c>
      <c r="B690" s="3" t="s">
        <v>5</v>
      </c>
      <c r="C690" s="3" t="s">
        <v>42</v>
      </c>
      <c r="D690" s="3">
        <v>1604026.625</v>
      </c>
    </row>
    <row r="691" spans="1:4" x14ac:dyDescent="0.25">
      <c r="A691" s="5" t="s">
        <v>33</v>
      </c>
      <c r="B691" s="6" t="s">
        <v>5</v>
      </c>
      <c r="C691" s="6" t="s">
        <v>43</v>
      </c>
      <c r="D691" s="6">
        <v>1568544.875</v>
      </c>
    </row>
    <row r="692" spans="1:4" x14ac:dyDescent="0.25">
      <c r="A692" s="2" t="s">
        <v>33</v>
      </c>
      <c r="B692" s="3" t="s">
        <v>5</v>
      </c>
      <c r="C692" s="3" t="s">
        <v>44</v>
      </c>
      <c r="D692" s="3">
        <v>1568544.875</v>
      </c>
    </row>
    <row r="693" spans="1:4" x14ac:dyDescent="0.25">
      <c r="A693" s="5" t="s">
        <v>33</v>
      </c>
      <c r="B693" s="6" t="s">
        <v>5</v>
      </c>
      <c r="C693" s="6" t="s">
        <v>45</v>
      </c>
      <c r="D693" s="6">
        <v>1568544.875</v>
      </c>
    </row>
    <row r="694" spans="1:4" x14ac:dyDescent="0.25">
      <c r="A694" s="2" t="s">
        <v>33</v>
      </c>
      <c r="B694" s="3" t="s">
        <v>5</v>
      </c>
      <c r="C694" s="3" t="s">
        <v>46</v>
      </c>
      <c r="D694" s="3">
        <v>1568544.875</v>
      </c>
    </row>
    <row r="695" spans="1:4" x14ac:dyDescent="0.25">
      <c r="A695" s="5" t="s">
        <v>33</v>
      </c>
      <c r="B695" s="6" t="s">
        <v>5</v>
      </c>
      <c r="C695" s="6" t="s">
        <v>47</v>
      </c>
      <c r="D695" s="6">
        <v>1568544.875</v>
      </c>
    </row>
    <row r="696" spans="1:4" x14ac:dyDescent="0.25">
      <c r="A696" s="2" t="s">
        <v>33</v>
      </c>
      <c r="B696" s="3" t="s">
        <v>5</v>
      </c>
      <c r="C696" s="3" t="s">
        <v>48</v>
      </c>
      <c r="D696" s="3">
        <v>1568544.875</v>
      </c>
    </row>
    <row r="697" spans="1:4" x14ac:dyDescent="0.25">
      <c r="A697" s="5" t="s">
        <v>33</v>
      </c>
      <c r="B697" s="6" t="s">
        <v>5</v>
      </c>
      <c r="C697" s="6" t="s">
        <v>49</v>
      </c>
      <c r="D697" s="6">
        <v>1568544.875</v>
      </c>
    </row>
    <row r="698" spans="1:4" x14ac:dyDescent="0.25">
      <c r="A698" s="2" t="s">
        <v>33</v>
      </c>
      <c r="B698" s="3" t="s">
        <v>5</v>
      </c>
      <c r="C698" s="3" t="s">
        <v>50</v>
      </c>
      <c r="D698" s="3">
        <v>1568544.875</v>
      </c>
    </row>
    <row r="699" spans="1:4" x14ac:dyDescent="0.25">
      <c r="A699" s="5" t="s">
        <v>33</v>
      </c>
      <c r="B699" s="6" t="s">
        <v>5</v>
      </c>
      <c r="C699" s="6" t="s">
        <v>51</v>
      </c>
      <c r="D699" s="6">
        <v>1568544.875</v>
      </c>
    </row>
    <row r="700" spans="1:4" x14ac:dyDescent="0.25">
      <c r="A700" s="2" t="s">
        <v>33</v>
      </c>
      <c r="B700" s="3" t="s">
        <v>5</v>
      </c>
      <c r="C700" s="3" t="s">
        <v>52</v>
      </c>
      <c r="D700" s="3">
        <v>1568544.875</v>
      </c>
    </row>
    <row r="701" spans="1:4" x14ac:dyDescent="0.25">
      <c r="A701" s="5" t="s">
        <v>33</v>
      </c>
      <c r="B701" s="6" t="s">
        <v>5</v>
      </c>
      <c r="C701" s="6" t="s">
        <v>53</v>
      </c>
      <c r="D701" s="6">
        <v>1568544.875</v>
      </c>
    </row>
    <row r="702" spans="1:4" x14ac:dyDescent="0.25">
      <c r="A702" s="2" t="s">
        <v>33</v>
      </c>
      <c r="B702" s="3" t="s">
        <v>5</v>
      </c>
      <c r="C702" s="3" t="s">
        <v>54</v>
      </c>
      <c r="D702" s="3">
        <v>1569297.75</v>
      </c>
    </row>
    <row r="703" spans="1:4" x14ac:dyDescent="0.25">
      <c r="A703" s="2" t="s">
        <v>33</v>
      </c>
      <c r="B703" s="3" t="s">
        <v>5</v>
      </c>
      <c r="C703" s="3" t="s">
        <v>55</v>
      </c>
      <c r="D703" s="3">
        <v>3344170.5</v>
      </c>
    </row>
    <row r="704" spans="1:4" x14ac:dyDescent="0.25">
      <c r="A704" s="2" t="s">
        <v>33</v>
      </c>
      <c r="B704" s="3" t="s">
        <v>5</v>
      </c>
      <c r="C704" s="3" t="s">
        <v>56</v>
      </c>
      <c r="D704" s="3">
        <v>2909076.5</v>
      </c>
    </row>
    <row r="705" spans="1:4" x14ac:dyDescent="0.25">
      <c r="A705" s="2" t="s">
        <v>33</v>
      </c>
      <c r="B705" s="3" t="s">
        <v>5</v>
      </c>
      <c r="C705" s="3" t="s">
        <v>57</v>
      </c>
      <c r="D705" s="3">
        <v>1886038</v>
      </c>
    </row>
    <row r="706" spans="1:4" x14ac:dyDescent="0.25">
      <c r="A706" s="2" t="s">
        <v>33</v>
      </c>
      <c r="B706" s="3" t="s">
        <v>5</v>
      </c>
      <c r="C706" s="3" t="s">
        <v>58</v>
      </c>
      <c r="D706" s="3">
        <v>1231127</v>
      </c>
    </row>
    <row r="707" spans="1:4" x14ac:dyDescent="0.25">
      <c r="A707" s="2" t="s">
        <v>33</v>
      </c>
      <c r="B707" s="3" t="s">
        <v>5</v>
      </c>
      <c r="C707" s="3" t="s">
        <v>59</v>
      </c>
      <c r="D707" s="3">
        <v>786574.375</v>
      </c>
    </row>
    <row r="708" spans="1:4" x14ac:dyDescent="0.25">
      <c r="A708" s="2" t="s">
        <v>33</v>
      </c>
      <c r="B708" s="3" t="s">
        <v>5</v>
      </c>
      <c r="C708" s="3" t="s">
        <v>60</v>
      </c>
      <c r="D708" s="3">
        <v>437553.25</v>
      </c>
    </row>
    <row r="709" spans="1:4" x14ac:dyDescent="0.25">
      <c r="A709" s="2" t="s">
        <v>33</v>
      </c>
      <c r="B709" s="3" t="s">
        <v>5</v>
      </c>
      <c r="C709" s="3" t="s">
        <v>61</v>
      </c>
      <c r="D709" s="3">
        <v>325753</v>
      </c>
    </row>
    <row r="710" spans="1:4" x14ac:dyDescent="0.25">
      <c r="A710" s="2" t="s">
        <v>33</v>
      </c>
      <c r="B710" s="3" t="s">
        <v>5</v>
      </c>
      <c r="C710" s="3" t="s">
        <v>62</v>
      </c>
      <c r="D710" s="3">
        <v>362073.875</v>
      </c>
    </row>
    <row r="711" spans="1:4" x14ac:dyDescent="0.25">
      <c r="A711" s="2" t="s">
        <v>33</v>
      </c>
      <c r="B711" s="3" t="s">
        <v>5</v>
      </c>
      <c r="C711" s="3" t="s">
        <v>63</v>
      </c>
      <c r="D711" s="3">
        <v>649992.625</v>
      </c>
    </row>
    <row r="712" spans="1:4" x14ac:dyDescent="0.25">
      <c r="A712" s="2" t="s">
        <v>33</v>
      </c>
      <c r="B712" s="3" t="s">
        <v>5</v>
      </c>
      <c r="C712" s="3" t="s">
        <v>64</v>
      </c>
      <c r="D712" s="3">
        <v>1480265.5</v>
      </c>
    </row>
    <row r="713" spans="1:4" x14ac:dyDescent="0.25">
      <c r="A713" s="2" t="s">
        <v>33</v>
      </c>
      <c r="B713" s="3" t="s">
        <v>5</v>
      </c>
      <c r="C713" s="3" t="s">
        <v>65</v>
      </c>
      <c r="D713" s="3">
        <v>2187009.5</v>
      </c>
    </row>
    <row r="714" spans="1:4" x14ac:dyDescent="0.25">
      <c r="A714" s="2" t="s">
        <v>33</v>
      </c>
      <c r="B714" s="3" t="s">
        <v>5</v>
      </c>
      <c r="C714" s="3" t="s">
        <v>66</v>
      </c>
      <c r="D714" s="3">
        <v>3317497.5</v>
      </c>
    </row>
    <row r="715" spans="1:4" x14ac:dyDescent="0.25">
      <c r="A715" s="2" t="s">
        <v>4</v>
      </c>
      <c r="B715" s="3" t="s">
        <v>5</v>
      </c>
      <c r="C715" s="3" t="s">
        <v>36</v>
      </c>
      <c r="D715" s="3">
        <v>879353.8125</v>
      </c>
    </row>
    <row r="716" spans="1:4" x14ac:dyDescent="0.25">
      <c r="A716" s="5" t="s">
        <v>4</v>
      </c>
      <c r="B716" s="6" t="s">
        <v>5</v>
      </c>
      <c r="C716" s="6" t="s">
        <v>37</v>
      </c>
      <c r="D716" s="6">
        <v>879353.8125</v>
      </c>
    </row>
    <row r="717" spans="1:4" x14ac:dyDescent="0.25">
      <c r="A717" s="2" t="s">
        <v>4</v>
      </c>
      <c r="B717" s="3" t="s">
        <v>5</v>
      </c>
      <c r="C717" s="3" t="s">
        <v>38</v>
      </c>
      <c r="D717" s="3">
        <v>879353.8125</v>
      </c>
    </row>
    <row r="718" spans="1:4" x14ac:dyDescent="0.25">
      <c r="A718" s="5" t="s">
        <v>4</v>
      </c>
      <c r="B718" s="6" t="s">
        <v>5</v>
      </c>
      <c r="C718" s="6" t="s">
        <v>39</v>
      </c>
      <c r="D718" s="6">
        <v>879353.8125</v>
      </c>
    </row>
    <row r="719" spans="1:4" x14ac:dyDescent="0.25">
      <c r="A719" s="2" t="s">
        <v>4</v>
      </c>
      <c r="B719" s="3" t="s">
        <v>5</v>
      </c>
      <c r="C719" s="3" t="s">
        <v>40</v>
      </c>
      <c r="D719" s="3">
        <v>879353.8125</v>
      </c>
    </row>
    <row r="720" spans="1:4" x14ac:dyDescent="0.25">
      <c r="A720" s="5" t="s">
        <v>4</v>
      </c>
      <c r="B720" s="6" t="s">
        <v>5</v>
      </c>
      <c r="C720" s="6" t="s">
        <v>41</v>
      </c>
      <c r="D720" s="6">
        <v>879353.8125</v>
      </c>
    </row>
    <row r="721" spans="1:4" x14ac:dyDescent="0.25">
      <c r="A721" s="2" t="s">
        <v>4</v>
      </c>
      <c r="B721" s="3" t="s">
        <v>5</v>
      </c>
      <c r="C721" s="3" t="s">
        <v>42</v>
      </c>
      <c r="D721" s="3">
        <v>879775.9375</v>
      </c>
    </row>
    <row r="722" spans="1:4" x14ac:dyDescent="0.25">
      <c r="A722" s="5" t="s">
        <v>4</v>
      </c>
      <c r="B722" s="6" t="s">
        <v>5</v>
      </c>
      <c r="C722" s="6" t="s">
        <v>43</v>
      </c>
      <c r="D722" s="6">
        <v>865668.4375</v>
      </c>
    </row>
    <row r="723" spans="1:4" x14ac:dyDescent="0.25">
      <c r="A723" s="2" t="s">
        <v>4</v>
      </c>
      <c r="B723" s="3" t="s">
        <v>5</v>
      </c>
      <c r="C723" s="3" t="s">
        <v>44</v>
      </c>
      <c r="D723" s="3">
        <v>865668.4375</v>
      </c>
    </row>
    <row r="724" spans="1:4" x14ac:dyDescent="0.25">
      <c r="A724" s="5" t="s">
        <v>4</v>
      </c>
      <c r="B724" s="6" t="s">
        <v>5</v>
      </c>
      <c r="C724" s="6" t="s">
        <v>45</v>
      </c>
      <c r="D724" s="6">
        <v>865668.4375</v>
      </c>
    </row>
    <row r="725" spans="1:4" x14ac:dyDescent="0.25">
      <c r="A725" s="2" t="s">
        <v>4</v>
      </c>
      <c r="B725" s="3" t="s">
        <v>5</v>
      </c>
      <c r="C725" s="3" t="s">
        <v>46</v>
      </c>
      <c r="D725" s="3">
        <v>865668.4375</v>
      </c>
    </row>
    <row r="726" spans="1:4" x14ac:dyDescent="0.25">
      <c r="A726" s="5" t="s">
        <v>4</v>
      </c>
      <c r="B726" s="6" t="s">
        <v>5</v>
      </c>
      <c r="C726" s="6" t="s">
        <v>47</v>
      </c>
      <c r="D726" s="6">
        <v>865668.4375</v>
      </c>
    </row>
    <row r="727" spans="1:4" x14ac:dyDescent="0.25">
      <c r="A727" s="2" t="s">
        <v>4</v>
      </c>
      <c r="B727" s="3" t="s">
        <v>5</v>
      </c>
      <c r="C727" s="3" t="s">
        <v>48</v>
      </c>
      <c r="D727" s="3">
        <v>865668.4375</v>
      </c>
    </row>
    <row r="728" spans="1:4" x14ac:dyDescent="0.25">
      <c r="A728" s="5" t="s">
        <v>4</v>
      </c>
      <c r="B728" s="6" t="s">
        <v>5</v>
      </c>
      <c r="C728" s="6" t="s">
        <v>49</v>
      </c>
      <c r="D728" s="6">
        <v>865668.4375</v>
      </c>
    </row>
    <row r="729" spans="1:4" x14ac:dyDescent="0.25">
      <c r="A729" s="2" t="s">
        <v>4</v>
      </c>
      <c r="B729" s="3" t="s">
        <v>5</v>
      </c>
      <c r="C729" s="3" t="s">
        <v>50</v>
      </c>
      <c r="D729" s="3">
        <v>865668.4375</v>
      </c>
    </row>
    <row r="730" spans="1:4" x14ac:dyDescent="0.25">
      <c r="A730" s="5" t="s">
        <v>4</v>
      </c>
      <c r="B730" s="6" t="s">
        <v>5</v>
      </c>
      <c r="C730" s="6" t="s">
        <v>51</v>
      </c>
      <c r="D730" s="6">
        <v>865668.4375</v>
      </c>
    </row>
    <row r="731" spans="1:4" x14ac:dyDescent="0.25">
      <c r="A731" s="2" t="s">
        <v>4</v>
      </c>
      <c r="B731" s="3" t="s">
        <v>5</v>
      </c>
      <c r="C731" s="3" t="s">
        <v>52</v>
      </c>
      <c r="D731" s="3">
        <v>865668.4375</v>
      </c>
    </row>
    <row r="732" spans="1:4" x14ac:dyDescent="0.25">
      <c r="A732" s="5" t="s">
        <v>4</v>
      </c>
      <c r="B732" s="6" t="s">
        <v>5</v>
      </c>
      <c r="C732" s="6" t="s">
        <v>53</v>
      </c>
      <c r="D732" s="6">
        <v>865668.4375</v>
      </c>
    </row>
    <row r="733" spans="1:4" x14ac:dyDescent="0.25">
      <c r="A733" s="2" t="s">
        <v>4</v>
      </c>
      <c r="B733" s="3" t="s">
        <v>5</v>
      </c>
      <c r="C733" s="3" t="s">
        <v>54</v>
      </c>
      <c r="D733" s="3">
        <v>866084</v>
      </c>
    </row>
    <row r="734" spans="1:4" x14ac:dyDescent="0.25">
      <c r="A734" s="2" t="s">
        <v>4</v>
      </c>
      <c r="B734" s="3" t="s">
        <v>5</v>
      </c>
      <c r="C734" s="3" t="s">
        <v>55</v>
      </c>
      <c r="D734" s="3">
        <v>2062662.25</v>
      </c>
    </row>
    <row r="735" spans="1:4" x14ac:dyDescent="0.25">
      <c r="A735" s="2" t="s">
        <v>4</v>
      </c>
      <c r="B735" s="3" t="s">
        <v>5</v>
      </c>
      <c r="C735" s="3" t="s">
        <v>56</v>
      </c>
      <c r="D735" s="3">
        <v>1794299</v>
      </c>
    </row>
    <row r="736" spans="1:4" x14ac:dyDescent="0.25">
      <c r="A736" s="2" t="s">
        <v>4</v>
      </c>
      <c r="B736" s="3" t="s">
        <v>5</v>
      </c>
      <c r="C736" s="3" t="s">
        <v>57</v>
      </c>
      <c r="D736" s="3">
        <v>1163295.875</v>
      </c>
    </row>
    <row r="737" spans="1:4" x14ac:dyDescent="0.25">
      <c r="A737" s="2" t="s">
        <v>4</v>
      </c>
      <c r="B737" s="3" t="s">
        <v>5</v>
      </c>
      <c r="C737" s="3" t="s">
        <v>58</v>
      </c>
      <c r="D737" s="3">
        <v>759350.9375</v>
      </c>
    </row>
    <row r="738" spans="1:4" x14ac:dyDescent="0.25">
      <c r="A738" s="2" t="s">
        <v>4</v>
      </c>
      <c r="B738" s="3" t="s">
        <v>5</v>
      </c>
      <c r="C738" s="3" t="s">
        <v>59</v>
      </c>
      <c r="D738" s="3">
        <v>485153.8125</v>
      </c>
    </row>
    <row r="739" spans="1:4" x14ac:dyDescent="0.25">
      <c r="A739" s="2" t="s">
        <v>4</v>
      </c>
      <c r="B739" s="3" t="s">
        <v>5</v>
      </c>
      <c r="C739" s="3" t="s">
        <v>60</v>
      </c>
      <c r="D739" s="3">
        <v>269879.96875</v>
      </c>
    </row>
    <row r="740" spans="1:4" x14ac:dyDescent="0.25">
      <c r="A740" s="2" t="s">
        <v>4</v>
      </c>
      <c r="B740" s="3" t="s">
        <v>5</v>
      </c>
      <c r="C740" s="3" t="s">
        <v>61</v>
      </c>
      <c r="D740" s="3">
        <v>200922.296875</v>
      </c>
    </row>
    <row r="741" spans="1:4" x14ac:dyDescent="0.25">
      <c r="A741" s="2" t="s">
        <v>4</v>
      </c>
      <c r="B741" s="3" t="s">
        <v>5</v>
      </c>
      <c r="C741" s="3" t="s">
        <v>62</v>
      </c>
      <c r="D741" s="3">
        <v>223324.796875</v>
      </c>
    </row>
    <row r="742" spans="1:4" x14ac:dyDescent="0.25">
      <c r="A742" s="2" t="s">
        <v>4</v>
      </c>
      <c r="B742" s="3" t="s">
        <v>5</v>
      </c>
      <c r="C742" s="3" t="s">
        <v>63</v>
      </c>
      <c r="D742" s="3">
        <v>400911.1875</v>
      </c>
    </row>
    <row r="743" spans="1:4" x14ac:dyDescent="0.25">
      <c r="A743" s="2" t="s">
        <v>4</v>
      </c>
      <c r="B743" s="3" t="s">
        <v>5</v>
      </c>
      <c r="C743" s="3" t="s">
        <v>64</v>
      </c>
      <c r="D743" s="3">
        <v>913018.0625</v>
      </c>
    </row>
    <row r="744" spans="1:4" x14ac:dyDescent="0.25">
      <c r="A744" s="2" t="s">
        <v>4</v>
      </c>
      <c r="B744" s="3" t="s">
        <v>5</v>
      </c>
      <c r="C744" s="3" t="s">
        <v>65</v>
      </c>
      <c r="D744" s="3">
        <v>1348932.875</v>
      </c>
    </row>
    <row r="745" spans="1:4" x14ac:dyDescent="0.25">
      <c r="A745" s="2" t="s">
        <v>4</v>
      </c>
      <c r="B745" s="3" t="s">
        <v>5</v>
      </c>
      <c r="C745" s="3" t="s">
        <v>66</v>
      </c>
      <c r="D745" s="3">
        <v>2046210.5</v>
      </c>
    </row>
    <row r="746" spans="1:4" x14ac:dyDescent="0.25">
      <c r="A746" s="5" t="s">
        <v>10</v>
      </c>
      <c r="B746" s="6" t="s">
        <v>5</v>
      </c>
      <c r="C746" s="6" t="s">
        <v>36</v>
      </c>
      <c r="D746" s="6">
        <v>2922384</v>
      </c>
    </row>
    <row r="747" spans="1:4" x14ac:dyDescent="0.25">
      <c r="A747" s="2" t="s">
        <v>10</v>
      </c>
      <c r="B747" s="3" t="s">
        <v>5</v>
      </c>
      <c r="C747" s="3" t="s">
        <v>37</v>
      </c>
      <c r="D747" s="3">
        <v>2922384</v>
      </c>
    </row>
    <row r="748" spans="1:4" x14ac:dyDescent="0.25">
      <c r="A748" s="5" t="s">
        <v>10</v>
      </c>
      <c r="B748" s="6" t="s">
        <v>5</v>
      </c>
      <c r="C748" s="6" t="s">
        <v>38</v>
      </c>
      <c r="D748" s="6">
        <v>2922384</v>
      </c>
    </row>
    <row r="749" spans="1:4" x14ac:dyDescent="0.25">
      <c r="A749" s="2" t="s">
        <v>10</v>
      </c>
      <c r="B749" s="3" t="s">
        <v>5</v>
      </c>
      <c r="C749" s="3" t="s">
        <v>39</v>
      </c>
      <c r="D749" s="3">
        <v>2922384</v>
      </c>
    </row>
    <row r="750" spans="1:4" x14ac:dyDescent="0.25">
      <c r="A750" s="5" t="s">
        <v>10</v>
      </c>
      <c r="B750" s="6" t="s">
        <v>5</v>
      </c>
      <c r="C750" s="6" t="s">
        <v>40</v>
      </c>
      <c r="D750" s="6">
        <v>2922384</v>
      </c>
    </row>
    <row r="751" spans="1:4" x14ac:dyDescent="0.25">
      <c r="A751" s="2" t="s">
        <v>10</v>
      </c>
      <c r="B751" s="3" t="s">
        <v>5</v>
      </c>
      <c r="C751" s="3" t="s">
        <v>41</v>
      </c>
      <c r="D751" s="3">
        <v>2922384</v>
      </c>
    </row>
    <row r="752" spans="1:4" x14ac:dyDescent="0.25">
      <c r="A752" s="5" t="s">
        <v>10</v>
      </c>
      <c r="B752" s="6" t="s">
        <v>5</v>
      </c>
      <c r="C752" s="6" t="s">
        <v>42</v>
      </c>
      <c r="D752" s="6">
        <v>2923786.75</v>
      </c>
    </row>
    <row r="753" spans="1:4" x14ac:dyDescent="0.25">
      <c r="A753" s="2" t="s">
        <v>10</v>
      </c>
      <c r="B753" s="3" t="s">
        <v>5</v>
      </c>
      <c r="C753" s="3" t="s">
        <v>43</v>
      </c>
      <c r="D753" s="3">
        <v>2848253.75</v>
      </c>
    </row>
    <row r="754" spans="1:4" x14ac:dyDescent="0.25">
      <c r="A754" s="5" t="s">
        <v>10</v>
      </c>
      <c r="B754" s="6" t="s">
        <v>5</v>
      </c>
      <c r="C754" s="6" t="s">
        <v>44</v>
      </c>
      <c r="D754" s="6">
        <v>2848253.75</v>
      </c>
    </row>
    <row r="755" spans="1:4" x14ac:dyDescent="0.25">
      <c r="A755" s="2" t="s">
        <v>10</v>
      </c>
      <c r="B755" s="3" t="s">
        <v>5</v>
      </c>
      <c r="C755" s="3" t="s">
        <v>45</v>
      </c>
      <c r="D755" s="3">
        <v>2848253.75</v>
      </c>
    </row>
    <row r="756" spans="1:4" x14ac:dyDescent="0.25">
      <c r="A756" s="5" t="s">
        <v>10</v>
      </c>
      <c r="B756" s="6" t="s">
        <v>5</v>
      </c>
      <c r="C756" s="6" t="s">
        <v>46</v>
      </c>
      <c r="D756" s="6">
        <v>2848253.75</v>
      </c>
    </row>
    <row r="757" spans="1:4" x14ac:dyDescent="0.25">
      <c r="A757" s="2" t="s">
        <v>10</v>
      </c>
      <c r="B757" s="3" t="s">
        <v>5</v>
      </c>
      <c r="C757" s="3" t="s">
        <v>47</v>
      </c>
      <c r="D757" s="3">
        <v>2848253.75</v>
      </c>
    </row>
    <row r="758" spans="1:4" x14ac:dyDescent="0.25">
      <c r="A758" s="5" t="s">
        <v>10</v>
      </c>
      <c r="B758" s="6" t="s">
        <v>5</v>
      </c>
      <c r="C758" s="6" t="s">
        <v>48</v>
      </c>
      <c r="D758" s="6">
        <v>2848253.75</v>
      </c>
    </row>
    <row r="759" spans="1:4" x14ac:dyDescent="0.25">
      <c r="A759" s="2" t="s">
        <v>10</v>
      </c>
      <c r="B759" s="3" t="s">
        <v>5</v>
      </c>
      <c r="C759" s="3" t="s">
        <v>49</v>
      </c>
      <c r="D759" s="3">
        <v>2848253.75</v>
      </c>
    </row>
    <row r="760" spans="1:4" x14ac:dyDescent="0.25">
      <c r="A760" s="5" t="s">
        <v>10</v>
      </c>
      <c r="B760" s="6" t="s">
        <v>5</v>
      </c>
      <c r="C760" s="6" t="s">
        <v>50</v>
      </c>
      <c r="D760" s="6">
        <v>2848253.75</v>
      </c>
    </row>
    <row r="761" spans="1:4" x14ac:dyDescent="0.25">
      <c r="A761" s="2" t="s">
        <v>10</v>
      </c>
      <c r="B761" s="3" t="s">
        <v>5</v>
      </c>
      <c r="C761" s="3" t="s">
        <v>51</v>
      </c>
      <c r="D761" s="3">
        <v>2848253.75</v>
      </c>
    </row>
    <row r="762" spans="1:4" x14ac:dyDescent="0.25">
      <c r="A762" s="5" t="s">
        <v>10</v>
      </c>
      <c r="B762" s="6" t="s">
        <v>5</v>
      </c>
      <c r="C762" s="6" t="s">
        <v>52</v>
      </c>
      <c r="D762" s="6">
        <v>2848253.75</v>
      </c>
    </row>
    <row r="763" spans="1:4" x14ac:dyDescent="0.25">
      <c r="A763" s="2" t="s">
        <v>10</v>
      </c>
      <c r="B763" s="3" t="s">
        <v>5</v>
      </c>
      <c r="C763" s="3" t="s">
        <v>53</v>
      </c>
      <c r="D763" s="3">
        <v>2848253.75</v>
      </c>
    </row>
    <row r="764" spans="1:4" x14ac:dyDescent="0.25">
      <c r="A764" s="5" t="s">
        <v>10</v>
      </c>
      <c r="B764" s="6" t="s">
        <v>5</v>
      </c>
      <c r="C764" s="6" t="s">
        <v>54</v>
      </c>
      <c r="D764" s="6">
        <v>2849621</v>
      </c>
    </row>
    <row r="765" spans="1:4" x14ac:dyDescent="0.25">
      <c r="A765" s="2" t="s">
        <v>10</v>
      </c>
      <c r="B765" s="3" t="s">
        <v>5</v>
      </c>
      <c r="C765" s="3" t="s">
        <v>55</v>
      </c>
      <c r="D765" s="3">
        <v>5911972.5</v>
      </c>
    </row>
    <row r="766" spans="1:4" x14ac:dyDescent="0.25">
      <c r="A766" s="2" t="s">
        <v>10</v>
      </c>
      <c r="B766" s="3" t="s">
        <v>5</v>
      </c>
      <c r="C766" s="3" t="s">
        <v>56</v>
      </c>
      <c r="D766" s="3">
        <v>5142794</v>
      </c>
    </row>
    <row r="767" spans="1:4" x14ac:dyDescent="0.25">
      <c r="A767" s="2" t="s">
        <v>10</v>
      </c>
      <c r="B767" s="3" t="s">
        <v>5</v>
      </c>
      <c r="C767" s="3" t="s">
        <v>57</v>
      </c>
      <c r="D767" s="3">
        <v>3334221.5</v>
      </c>
    </row>
    <row r="768" spans="1:4" x14ac:dyDescent="0.25">
      <c r="A768" s="2" t="s">
        <v>10</v>
      </c>
      <c r="B768" s="3" t="s">
        <v>5</v>
      </c>
      <c r="C768" s="3" t="s">
        <v>58</v>
      </c>
      <c r="D768" s="3">
        <v>2176440.5</v>
      </c>
    </row>
    <row r="769" spans="1:4" x14ac:dyDescent="0.25">
      <c r="A769" s="2" t="s">
        <v>10</v>
      </c>
      <c r="B769" s="3" t="s">
        <v>5</v>
      </c>
      <c r="C769" s="3" t="s">
        <v>59</v>
      </c>
      <c r="D769" s="3">
        <v>1390541</v>
      </c>
    </row>
    <row r="770" spans="1:4" x14ac:dyDescent="0.25">
      <c r="A770" s="2" t="s">
        <v>10</v>
      </c>
      <c r="B770" s="3" t="s">
        <v>5</v>
      </c>
      <c r="C770" s="3" t="s">
        <v>60</v>
      </c>
      <c r="D770" s="3">
        <v>773526</v>
      </c>
    </row>
    <row r="771" spans="1:4" x14ac:dyDescent="0.25">
      <c r="A771" s="2" t="s">
        <v>10</v>
      </c>
      <c r="B771" s="3" t="s">
        <v>5</v>
      </c>
      <c r="C771" s="3" t="s">
        <v>61</v>
      </c>
      <c r="D771" s="3">
        <v>575880.5625</v>
      </c>
    </row>
    <row r="772" spans="1:4" x14ac:dyDescent="0.25">
      <c r="A772" s="2" t="s">
        <v>10</v>
      </c>
      <c r="B772" s="3" t="s">
        <v>5</v>
      </c>
      <c r="C772" s="3" t="s">
        <v>62</v>
      </c>
      <c r="D772" s="3">
        <v>640090.25</v>
      </c>
    </row>
    <row r="773" spans="1:4" x14ac:dyDescent="0.25">
      <c r="A773" s="2" t="s">
        <v>10</v>
      </c>
      <c r="B773" s="3" t="s">
        <v>5</v>
      </c>
      <c r="C773" s="3" t="s">
        <v>63</v>
      </c>
      <c r="D773" s="3">
        <v>1149085.75</v>
      </c>
    </row>
    <row r="774" spans="1:4" x14ac:dyDescent="0.25">
      <c r="A774" s="2" t="s">
        <v>10</v>
      </c>
      <c r="B774" s="3" t="s">
        <v>5</v>
      </c>
      <c r="C774" s="3" t="s">
        <v>64</v>
      </c>
      <c r="D774" s="3">
        <v>2616879</v>
      </c>
    </row>
    <row r="775" spans="1:4" x14ac:dyDescent="0.25">
      <c r="A775" s="2" t="s">
        <v>10</v>
      </c>
      <c r="B775" s="3" t="s">
        <v>5</v>
      </c>
      <c r="C775" s="3" t="s">
        <v>65</v>
      </c>
      <c r="D775" s="3">
        <v>3866292.25</v>
      </c>
    </row>
    <row r="776" spans="1:4" x14ac:dyDescent="0.25">
      <c r="A776" s="2" t="s">
        <v>10</v>
      </c>
      <c r="B776" s="3" t="s">
        <v>5</v>
      </c>
      <c r="C776" s="3" t="s">
        <v>66</v>
      </c>
      <c r="D776" s="3">
        <v>5864819</v>
      </c>
    </row>
    <row r="777" spans="1:4" x14ac:dyDescent="0.25">
      <c r="A777" s="2" t="s">
        <v>11</v>
      </c>
      <c r="B777" s="3" t="s">
        <v>5</v>
      </c>
      <c r="C777" s="3" t="s">
        <v>36</v>
      </c>
      <c r="D777" s="3">
        <v>567563</v>
      </c>
    </row>
    <row r="778" spans="1:4" x14ac:dyDescent="0.25">
      <c r="A778" s="5" t="s">
        <v>11</v>
      </c>
      <c r="B778" s="6" t="s">
        <v>5</v>
      </c>
      <c r="C778" s="6" t="s">
        <v>37</v>
      </c>
      <c r="D778" s="6">
        <v>567563</v>
      </c>
    </row>
    <row r="779" spans="1:4" x14ac:dyDescent="0.25">
      <c r="A779" s="2" t="s">
        <v>11</v>
      </c>
      <c r="B779" s="3" t="s">
        <v>5</v>
      </c>
      <c r="C779" s="3" t="s">
        <v>38</v>
      </c>
      <c r="D779" s="3">
        <v>567563</v>
      </c>
    </row>
    <row r="780" spans="1:4" x14ac:dyDescent="0.25">
      <c r="A780" s="5" t="s">
        <v>11</v>
      </c>
      <c r="B780" s="6" t="s">
        <v>5</v>
      </c>
      <c r="C780" s="6" t="s">
        <v>39</v>
      </c>
      <c r="D780" s="6">
        <v>567563</v>
      </c>
    </row>
    <row r="781" spans="1:4" x14ac:dyDescent="0.25">
      <c r="A781" s="2" t="s">
        <v>11</v>
      </c>
      <c r="B781" s="3" t="s">
        <v>5</v>
      </c>
      <c r="C781" s="3" t="s">
        <v>40</v>
      </c>
      <c r="D781" s="3">
        <v>567563</v>
      </c>
    </row>
    <row r="782" spans="1:4" x14ac:dyDescent="0.25">
      <c r="A782" s="5" t="s">
        <v>11</v>
      </c>
      <c r="B782" s="6" t="s">
        <v>5</v>
      </c>
      <c r="C782" s="6" t="s">
        <v>41</v>
      </c>
      <c r="D782" s="6">
        <v>567563</v>
      </c>
    </row>
    <row r="783" spans="1:4" x14ac:dyDescent="0.25">
      <c r="A783" s="2" t="s">
        <v>11</v>
      </c>
      <c r="B783" s="3" t="s">
        <v>5</v>
      </c>
      <c r="C783" s="3" t="s">
        <v>42</v>
      </c>
      <c r="D783" s="3">
        <v>567835.4375</v>
      </c>
    </row>
    <row r="784" spans="1:4" x14ac:dyDescent="0.25">
      <c r="A784" s="5" t="s">
        <v>11</v>
      </c>
      <c r="B784" s="6" t="s">
        <v>5</v>
      </c>
      <c r="C784" s="6" t="s">
        <v>43</v>
      </c>
      <c r="D784" s="6">
        <v>562594.0625</v>
      </c>
    </row>
    <row r="785" spans="1:4" x14ac:dyDescent="0.25">
      <c r="A785" s="2" t="s">
        <v>11</v>
      </c>
      <c r="B785" s="3" t="s">
        <v>5</v>
      </c>
      <c r="C785" s="3" t="s">
        <v>44</v>
      </c>
      <c r="D785" s="3">
        <v>562594.0625</v>
      </c>
    </row>
    <row r="786" spans="1:4" x14ac:dyDescent="0.25">
      <c r="A786" s="5" t="s">
        <v>11</v>
      </c>
      <c r="B786" s="6" t="s">
        <v>5</v>
      </c>
      <c r="C786" s="6" t="s">
        <v>45</v>
      </c>
      <c r="D786" s="6">
        <v>562594.0625</v>
      </c>
    </row>
    <row r="787" spans="1:4" x14ac:dyDescent="0.25">
      <c r="A787" s="2" t="s">
        <v>11</v>
      </c>
      <c r="B787" s="3" t="s">
        <v>5</v>
      </c>
      <c r="C787" s="3" t="s">
        <v>46</v>
      </c>
      <c r="D787" s="3">
        <v>562594.0625</v>
      </c>
    </row>
    <row r="788" spans="1:4" x14ac:dyDescent="0.25">
      <c r="A788" s="5" t="s">
        <v>11</v>
      </c>
      <c r="B788" s="6" t="s">
        <v>5</v>
      </c>
      <c r="C788" s="6" t="s">
        <v>47</v>
      </c>
      <c r="D788" s="6">
        <v>562594.0625</v>
      </c>
    </row>
    <row r="789" spans="1:4" x14ac:dyDescent="0.25">
      <c r="A789" s="2" t="s">
        <v>11</v>
      </c>
      <c r="B789" s="3" t="s">
        <v>5</v>
      </c>
      <c r="C789" s="3" t="s">
        <v>48</v>
      </c>
      <c r="D789" s="3">
        <v>562594.0625</v>
      </c>
    </row>
    <row r="790" spans="1:4" x14ac:dyDescent="0.25">
      <c r="A790" s="5" t="s">
        <v>11</v>
      </c>
      <c r="B790" s="6" t="s">
        <v>5</v>
      </c>
      <c r="C790" s="6" t="s">
        <v>49</v>
      </c>
      <c r="D790" s="6">
        <v>562594.0625</v>
      </c>
    </row>
    <row r="791" spans="1:4" x14ac:dyDescent="0.25">
      <c r="A791" s="2" t="s">
        <v>11</v>
      </c>
      <c r="B791" s="3" t="s">
        <v>5</v>
      </c>
      <c r="C791" s="3" t="s">
        <v>50</v>
      </c>
      <c r="D791" s="3">
        <v>562594.0625</v>
      </c>
    </row>
    <row r="792" spans="1:4" x14ac:dyDescent="0.25">
      <c r="A792" s="5" t="s">
        <v>11</v>
      </c>
      <c r="B792" s="6" t="s">
        <v>5</v>
      </c>
      <c r="C792" s="6" t="s">
        <v>51</v>
      </c>
      <c r="D792" s="6">
        <v>562594.0625</v>
      </c>
    </row>
    <row r="793" spans="1:4" x14ac:dyDescent="0.25">
      <c r="A793" s="2" t="s">
        <v>11</v>
      </c>
      <c r="B793" s="3" t="s">
        <v>5</v>
      </c>
      <c r="C793" s="3" t="s">
        <v>52</v>
      </c>
      <c r="D793" s="3">
        <v>562594.0625</v>
      </c>
    </row>
    <row r="794" spans="1:4" x14ac:dyDescent="0.25">
      <c r="A794" s="5" t="s">
        <v>11</v>
      </c>
      <c r="B794" s="6" t="s">
        <v>5</v>
      </c>
      <c r="C794" s="6" t="s">
        <v>53</v>
      </c>
      <c r="D794" s="6">
        <v>562594.0625</v>
      </c>
    </row>
    <row r="795" spans="1:4" x14ac:dyDescent="0.25">
      <c r="A795" s="2" t="s">
        <v>11</v>
      </c>
      <c r="B795" s="3" t="s">
        <v>5</v>
      </c>
      <c r="C795" s="3" t="s">
        <v>54</v>
      </c>
      <c r="D795" s="3">
        <v>562864.125</v>
      </c>
    </row>
    <row r="796" spans="1:4" x14ac:dyDescent="0.25">
      <c r="A796" s="5" t="s">
        <v>11</v>
      </c>
      <c r="B796" s="6" t="s">
        <v>5</v>
      </c>
      <c r="C796" s="6" t="s">
        <v>55</v>
      </c>
      <c r="D796" s="6">
        <v>1212613.25</v>
      </c>
    </row>
    <row r="797" spans="1:4" x14ac:dyDescent="0.25">
      <c r="A797" s="5" t="s">
        <v>11</v>
      </c>
      <c r="B797" s="6" t="s">
        <v>5</v>
      </c>
      <c r="C797" s="6" t="s">
        <v>56</v>
      </c>
      <c r="D797" s="6">
        <v>1054845.875</v>
      </c>
    </row>
    <row r="798" spans="1:4" x14ac:dyDescent="0.25">
      <c r="A798" s="5" t="s">
        <v>11</v>
      </c>
      <c r="B798" s="6" t="s">
        <v>5</v>
      </c>
      <c r="C798" s="6" t="s">
        <v>57</v>
      </c>
      <c r="D798" s="6">
        <v>683886.9375</v>
      </c>
    </row>
    <row r="799" spans="1:4" x14ac:dyDescent="0.25">
      <c r="A799" s="5" t="s">
        <v>11</v>
      </c>
      <c r="B799" s="6" t="s">
        <v>5</v>
      </c>
      <c r="C799" s="6" t="s">
        <v>58</v>
      </c>
      <c r="D799" s="6">
        <v>446412.875</v>
      </c>
    </row>
    <row r="800" spans="1:4" x14ac:dyDescent="0.25">
      <c r="A800" s="5" t="s">
        <v>11</v>
      </c>
      <c r="B800" s="6" t="s">
        <v>5</v>
      </c>
      <c r="C800" s="6" t="s">
        <v>59</v>
      </c>
      <c r="D800" s="6">
        <v>285215.84375</v>
      </c>
    </row>
    <row r="801" spans="1:4" x14ac:dyDescent="0.25">
      <c r="A801" s="5" t="s">
        <v>11</v>
      </c>
      <c r="B801" s="6" t="s">
        <v>5</v>
      </c>
      <c r="C801" s="6" t="s">
        <v>60</v>
      </c>
      <c r="D801" s="6">
        <v>158659.03125</v>
      </c>
    </row>
    <row r="802" spans="1:4" x14ac:dyDescent="0.25">
      <c r="A802" s="5" t="s">
        <v>11</v>
      </c>
      <c r="B802" s="6" t="s">
        <v>5</v>
      </c>
      <c r="C802" s="6" t="s">
        <v>61</v>
      </c>
      <c r="D802" s="6">
        <v>118119.6875</v>
      </c>
    </row>
    <row r="803" spans="1:4" x14ac:dyDescent="0.25">
      <c r="A803" s="5" t="s">
        <v>11</v>
      </c>
      <c r="B803" s="6" t="s">
        <v>5</v>
      </c>
      <c r="C803" s="6" t="s">
        <v>62</v>
      </c>
      <c r="D803" s="6">
        <v>131289.828125</v>
      </c>
    </row>
    <row r="804" spans="1:4" x14ac:dyDescent="0.25">
      <c r="A804" s="5" t="s">
        <v>11</v>
      </c>
      <c r="B804" s="6" t="s">
        <v>5</v>
      </c>
      <c r="C804" s="6" t="s">
        <v>63</v>
      </c>
      <c r="D804" s="6">
        <v>235690.640625</v>
      </c>
    </row>
    <row r="805" spans="1:4" x14ac:dyDescent="0.25">
      <c r="A805" s="5" t="s">
        <v>11</v>
      </c>
      <c r="B805" s="6" t="s">
        <v>5</v>
      </c>
      <c r="C805" s="6" t="s">
        <v>64</v>
      </c>
      <c r="D805" s="6">
        <v>536751.75</v>
      </c>
    </row>
    <row r="806" spans="1:4" x14ac:dyDescent="0.25">
      <c r="A806" s="5" t="s">
        <v>11</v>
      </c>
      <c r="B806" s="6" t="s">
        <v>5</v>
      </c>
      <c r="C806" s="6" t="s">
        <v>65</v>
      </c>
      <c r="D806" s="6">
        <v>793020.75</v>
      </c>
    </row>
    <row r="807" spans="1:4" x14ac:dyDescent="0.25">
      <c r="A807" s="5" t="s">
        <v>11</v>
      </c>
      <c r="B807" s="6" t="s">
        <v>5</v>
      </c>
      <c r="C807" s="6" t="s">
        <v>66</v>
      </c>
      <c r="D807" s="6">
        <v>1202941.625</v>
      </c>
    </row>
    <row r="808" spans="1:4" x14ac:dyDescent="0.25">
      <c r="A808" s="2" t="s">
        <v>29</v>
      </c>
      <c r="B808" s="3" t="s">
        <v>5</v>
      </c>
      <c r="C808" s="3" t="s">
        <v>36</v>
      </c>
      <c r="D808" s="3">
        <v>230541.234375</v>
      </c>
    </row>
    <row r="809" spans="1:4" x14ac:dyDescent="0.25">
      <c r="A809" s="5" t="s">
        <v>29</v>
      </c>
      <c r="B809" s="6" t="s">
        <v>5</v>
      </c>
      <c r="C809" s="6" t="s">
        <v>37</v>
      </c>
      <c r="D809" s="6">
        <v>230539.515625</v>
      </c>
    </row>
    <row r="810" spans="1:4" x14ac:dyDescent="0.25">
      <c r="A810" s="2" t="s">
        <v>29</v>
      </c>
      <c r="B810" s="3" t="s">
        <v>5</v>
      </c>
      <c r="C810" s="3" t="s">
        <v>38</v>
      </c>
      <c r="D810" s="3">
        <v>230539.671875</v>
      </c>
    </row>
    <row r="811" spans="1:4" x14ac:dyDescent="0.25">
      <c r="A811" s="5" t="s">
        <v>29</v>
      </c>
      <c r="B811" s="6" t="s">
        <v>5</v>
      </c>
      <c r="C811" s="6" t="s">
        <v>39</v>
      </c>
      <c r="D811" s="6">
        <v>230542.84375</v>
      </c>
    </row>
    <row r="812" spans="1:4" x14ac:dyDescent="0.25">
      <c r="A812" s="2" t="s">
        <v>29</v>
      </c>
      <c r="B812" s="3" t="s">
        <v>5</v>
      </c>
      <c r="C812" s="3" t="s">
        <v>40</v>
      </c>
      <c r="D812" s="3">
        <v>230552.78125</v>
      </c>
    </row>
    <row r="813" spans="1:4" x14ac:dyDescent="0.25">
      <c r="A813" s="5" t="s">
        <v>29</v>
      </c>
      <c r="B813" s="6" t="s">
        <v>5</v>
      </c>
      <c r="C813" s="6" t="s">
        <v>41</v>
      </c>
      <c r="D813" s="6">
        <v>230574.8125</v>
      </c>
    </row>
    <row r="814" spans="1:4" x14ac:dyDescent="0.25">
      <c r="A814" s="2" t="s">
        <v>29</v>
      </c>
      <c r="B814" s="3" t="s">
        <v>5</v>
      </c>
      <c r="C814" s="3" t="s">
        <v>42</v>
      </c>
      <c r="D814" s="3">
        <v>230710.359375</v>
      </c>
    </row>
    <row r="815" spans="1:4" x14ac:dyDescent="0.25">
      <c r="A815" s="5" t="s">
        <v>29</v>
      </c>
      <c r="B815" s="6" t="s">
        <v>5</v>
      </c>
      <c r="C815" s="6" t="s">
        <v>43</v>
      </c>
      <c r="D815" s="6">
        <v>229109.109375</v>
      </c>
    </row>
    <row r="816" spans="1:4" x14ac:dyDescent="0.25">
      <c r="A816" s="2" t="s">
        <v>29</v>
      </c>
      <c r="B816" s="3" t="s">
        <v>5</v>
      </c>
      <c r="C816" s="3" t="s">
        <v>44</v>
      </c>
      <c r="D816" s="3">
        <v>229095.234375</v>
      </c>
    </row>
    <row r="817" spans="1:4" x14ac:dyDescent="0.25">
      <c r="A817" s="5" t="s">
        <v>29</v>
      </c>
      <c r="B817" s="6" t="s">
        <v>5</v>
      </c>
      <c r="C817" s="6" t="s">
        <v>45</v>
      </c>
      <c r="D817" s="6">
        <v>229035.8125</v>
      </c>
    </row>
    <row r="818" spans="1:4" x14ac:dyDescent="0.25">
      <c r="A818" s="2" t="s">
        <v>29</v>
      </c>
      <c r="B818" s="3" t="s">
        <v>5</v>
      </c>
      <c r="C818" s="3" t="s">
        <v>46</v>
      </c>
      <c r="D818" s="3">
        <v>229016.421875</v>
      </c>
    </row>
    <row r="819" spans="1:4" x14ac:dyDescent="0.25">
      <c r="A819" s="5" t="s">
        <v>29</v>
      </c>
      <c r="B819" s="6" t="s">
        <v>5</v>
      </c>
      <c r="C819" s="6" t="s">
        <v>47</v>
      </c>
      <c r="D819" s="6">
        <v>229005.96875</v>
      </c>
    </row>
    <row r="820" spans="1:4" x14ac:dyDescent="0.25">
      <c r="A820" s="2" t="s">
        <v>29</v>
      </c>
      <c r="B820" s="3" t="s">
        <v>5</v>
      </c>
      <c r="C820" s="3" t="s">
        <v>48</v>
      </c>
      <c r="D820" s="3">
        <v>228995.640625</v>
      </c>
    </row>
    <row r="821" spans="1:4" x14ac:dyDescent="0.25">
      <c r="A821" s="5" t="s">
        <v>29</v>
      </c>
      <c r="B821" s="6" t="s">
        <v>5</v>
      </c>
      <c r="C821" s="6" t="s">
        <v>49</v>
      </c>
      <c r="D821" s="6">
        <v>228992.109375</v>
      </c>
    </row>
    <row r="822" spans="1:4" x14ac:dyDescent="0.25">
      <c r="A822" s="2" t="s">
        <v>29</v>
      </c>
      <c r="B822" s="3" t="s">
        <v>5</v>
      </c>
      <c r="C822" s="3" t="s">
        <v>50</v>
      </c>
      <c r="D822" s="3">
        <v>228991.21875</v>
      </c>
    </row>
    <row r="823" spans="1:4" x14ac:dyDescent="0.25">
      <c r="A823" s="5" t="s">
        <v>29</v>
      </c>
      <c r="B823" s="6" t="s">
        <v>5</v>
      </c>
      <c r="C823" s="6" t="s">
        <v>51</v>
      </c>
      <c r="D823" s="6">
        <v>228995.390625</v>
      </c>
    </row>
    <row r="824" spans="1:4" x14ac:dyDescent="0.25">
      <c r="A824" s="2" t="s">
        <v>29</v>
      </c>
      <c r="B824" s="3" t="s">
        <v>5</v>
      </c>
      <c r="C824" s="3" t="s">
        <v>52</v>
      </c>
      <c r="D824" s="3">
        <v>229013.890625</v>
      </c>
    </row>
    <row r="825" spans="1:4" x14ac:dyDescent="0.25">
      <c r="A825" s="5" t="s">
        <v>29</v>
      </c>
      <c r="B825" s="6" t="s">
        <v>5</v>
      </c>
      <c r="C825" s="6" t="s">
        <v>53</v>
      </c>
      <c r="D825" s="6">
        <v>229045</v>
      </c>
    </row>
    <row r="826" spans="1:4" x14ac:dyDescent="0.25">
      <c r="A826" s="2" t="s">
        <v>29</v>
      </c>
      <c r="B826" s="3" t="s">
        <v>5</v>
      </c>
      <c r="C826" s="3" t="s">
        <v>54</v>
      </c>
      <c r="D826" s="3">
        <v>229181.09375</v>
      </c>
    </row>
    <row r="827" spans="1:4" x14ac:dyDescent="0.25">
      <c r="A827" s="2" t="s">
        <v>29</v>
      </c>
      <c r="B827" s="3" t="s">
        <v>5</v>
      </c>
      <c r="C827" s="3" t="s">
        <v>55</v>
      </c>
      <c r="D827" s="3">
        <v>506481.46875</v>
      </c>
    </row>
    <row r="828" spans="1:4" x14ac:dyDescent="0.25">
      <c r="A828" s="2" t="s">
        <v>29</v>
      </c>
      <c r="B828" s="3" t="s">
        <v>5</v>
      </c>
      <c r="C828" s="3" t="s">
        <v>56</v>
      </c>
      <c r="D828" s="3">
        <v>433242.21875</v>
      </c>
    </row>
    <row r="829" spans="1:4" x14ac:dyDescent="0.25">
      <c r="A829" s="2" t="s">
        <v>29</v>
      </c>
      <c r="B829" s="3" t="s">
        <v>5</v>
      </c>
      <c r="C829" s="3" t="s">
        <v>57</v>
      </c>
      <c r="D829" s="3">
        <v>280607.34375</v>
      </c>
    </row>
    <row r="830" spans="1:4" x14ac:dyDescent="0.25">
      <c r="A830" s="2" t="s">
        <v>29</v>
      </c>
      <c r="B830" s="3" t="s">
        <v>5</v>
      </c>
      <c r="C830" s="3" t="s">
        <v>58</v>
      </c>
      <c r="D830" s="3">
        <v>185462.59375</v>
      </c>
    </row>
    <row r="831" spans="1:4" x14ac:dyDescent="0.25">
      <c r="A831" s="2" t="s">
        <v>29</v>
      </c>
      <c r="B831" s="3" t="s">
        <v>5</v>
      </c>
      <c r="C831" s="3" t="s">
        <v>59</v>
      </c>
      <c r="D831" s="3">
        <v>121497.8515625</v>
      </c>
    </row>
    <row r="832" spans="1:4" x14ac:dyDescent="0.25">
      <c r="A832" s="2" t="s">
        <v>29</v>
      </c>
      <c r="B832" s="3" t="s">
        <v>5</v>
      </c>
      <c r="C832" s="3" t="s">
        <v>60</v>
      </c>
      <c r="D832" s="3">
        <v>70397.5078125</v>
      </c>
    </row>
    <row r="833" spans="1:4" x14ac:dyDescent="0.25">
      <c r="A833" s="2" t="s">
        <v>29</v>
      </c>
      <c r="B833" s="3" t="s">
        <v>5</v>
      </c>
      <c r="C833" s="3" t="s">
        <v>61</v>
      </c>
      <c r="D833" s="3">
        <v>50862.45703125</v>
      </c>
    </row>
    <row r="834" spans="1:4" x14ac:dyDescent="0.25">
      <c r="A834" s="2" t="s">
        <v>29</v>
      </c>
      <c r="B834" s="3" t="s">
        <v>5</v>
      </c>
      <c r="C834" s="3" t="s">
        <v>62</v>
      </c>
      <c r="D834" s="3">
        <v>56479.93359375</v>
      </c>
    </row>
    <row r="835" spans="1:4" x14ac:dyDescent="0.25">
      <c r="A835" s="2" t="s">
        <v>29</v>
      </c>
      <c r="B835" s="3" t="s">
        <v>5</v>
      </c>
      <c r="C835" s="3" t="s">
        <v>63</v>
      </c>
      <c r="D835" s="3">
        <v>98856.6953125</v>
      </c>
    </row>
    <row r="836" spans="1:4" x14ac:dyDescent="0.25">
      <c r="A836" s="2" t="s">
        <v>29</v>
      </c>
      <c r="B836" s="3" t="s">
        <v>5</v>
      </c>
      <c r="C836" s="3" t="s">
        <v>64</v>
      </c>
      <c r="D836" s="3">
        <v>221533.5</v>
      </c>
    </row>
    <row r="837" spans="1:4" x14ac:dyDescent="0.25">
      <c r="A837" s="2" t="s">
        <v>29</v>
      </c>
      <c r="B837" s="3" t="s">
        <v>5</v>
      </c>
      <c r="C837" s="3" t="s">
        <v>65</v>
      </c>
      <c r="D837" s="3">
        <v>327807.34375</v>
      </c>
    </row>
    <row r="838" spans="1:4" x14ac:dyDescent="0.25">
      <c r="A838" s="2" t="s">
        <v>29</v>
      </c>
      <c r="B838" s="3" t="s">
        <v>5</v>
      </c>
      <c r="C838" s="3" t="s">
        <v>66</v>
      </c>
      <c r="D838" s="3">
        <v>493402</v>
      </c>
    </row>
    <row r="839" spans="1:4" x14ac:dyDescent="0.25">
      <c r="A839" s="5" t="s">
        <v>18</v>
      </c>
      <c r="B839" s="6" t="s">
        <v>5</v>
      </c>
      <c r="C839" s="6" t="s">
        <v>36</v>
      </c>
      <c r="D839" s="6">
        <v>1216336.75</v>
      </c>
    </row>
    <row r="840" spans="1:4" x14ac:dyDescent="0.25">
      <c r="A840" s="2" t="s">
        <v>18</v>
      </c>
      <c r="B840" s="3" t="s">
        <v>5</v>
      </c>
      <c r="C840" s="3" t="s">
        <v>37</v>
      </c>
      <c r="D840" s="3">
        <v>1216216.25</v>
      </c>
    </row>
    <row r="841" spans="1:4" x14ac:dyDescent="0.25">
      <c r="A841" s="5" t="s">
        <v>18</v>
      </c>
      <c r="B841" s="6" t="s">
        <v>5</v>
      </c>
      <c r="C841" s="6" t="s">
        <v>38</v>
      </c>
      <c r="D841" s="6">
        <v>1216262</v>
      </c>
    </row>
    <row r="842" spans="1:4" x14ac:dyDescent="0.25">
      <c r="A842" s="2" t="s">
        <v>18</v>
      </c>
      <c r="B842" s="3" t="s">
        <v>5</v>
      </c>
      <c r="C842" s="3" t="s">
        <v>39</v>
      </c>
      <c r="D842" s="3">
        <v>1216926.5</v>
      </c>
    </row>
    <row r="843" spans="1:4" x14ac:dyDescent="0.25">
      <c r="A843" s="5" t="s">
        <v>18</v>
      </c>
      <c r="B843" s="6" t="s">
        <v>5</v>
      </c>
      <c r="C843" s="6" t="s">
        <v>40</v>
      </c>
      <c r="D843" s="6">
        <v>1218020.5</v>
      </c>
    </row>
    <row r="844" spans="1:4" x14ac:dyDescent="0.25">
      <c r="A844" s="2" t="s">
        <v>18</v>
      </c>
      <c r="B844" s="3" t="s">
        <v>5</v>
      </c>
      <c r="C844" s="3" t="s">
        <v>41</v>
      </c>
      <c r="D844" s="3">
        <v>1219286.5</v>
      </c>
    </row>
    <row r="845" spans="1:4" x14ac:dyDescent="0.25">
      <c r="A845" s="5" t="s">
        <v>18</v>
      </c>
      <c r="B845" s="6" t="s">
        <v>5</v>
      </c>
      <c r="C845" s="6" t="s">
        <v>42</v>
      </c>
      <c r="D845" s="6">
        <v>1220370</v>
      </c>
    </row>
    <row r="846" spans="1:4" x14ac:dyDescent="0.25">
      <c r="A846" s="2" t="s">
        <v>18</v>
      </c>
      <c r="B846" s="3" t="s">
        <v>5</v>
      </c>
      <c r="C846" s="3" t="s">
        <v>43</v>
      </c>
      <c r="D846" s="3">
        <v>1172426.5</v>
      </c>
    </row>
    <row r="847" spans="1:4" x14ac:dyDescent="0.25">
      <c r="A847" s="5" t="s">
        <v>18</v>
      </c>
      <c r="B847" s="6" t="s">
        <v>5</v>
      </c>
      <c r="C847" s="6" t="s">
        <v>44</v>
      </c>
      <c r="D847" s="6">
        <v>1172402.75</v>
      </c>
    </row>
    <row r="848" spans="1:4" x14ac:dyDescent="0.25">
      <c r="A848" s="2" t="s">
        <v>18</v>
      </c>
      <c r="B848" s="3" t="s">
        <v>5</v>
      </c>
      <c r="C848" s="3" t="s">
        <v>45</v>
      </c>
      <c r="D848" s="3">
        <v>1172354.125</v>
      </c>
    </row>
    <row r="849" spans="1:4" x14ac:dyDescent="0.25">
      <c r="A849" s="5" t="s">
        <v>18</v>
      </c>
      <c r="B849" s="6" t="s">
        <v>5</v>
      </c>
      <c r="C849" s="6" t="s">
        <v>46</v>
      </c>
      <c r="D849" s="6">
        <v>1172297.875</v>
      </c>
    </row>
    <row r="850" spans="1:4" x14ac:dyDescent="0.25">
      <c r="A850" s="2" t="s">
        <v>18</v>
      </c>
      <c r="B850" s="3" t="s">
        <v>5</v>
      </c>
      <c r="C850" s="3" t="s">
        <v>47</v>
      </c>
      <c r="D850" s="3">
        <v>1172260.125</v>
      </c>
    </row>
    <row r="851" spans="1:4" x14ac:dyDescent="0.25">
      <c r="A851" s="5" t="s">
        <v>18</v>
      </c>
      <c r="B851" s="6" t="s">
        <v>5</v>
      </c>
      <c r="C851" s="6" t="s">
        <v>48</v>
      </c>
      <c r="D851" s="6">
        <v>1172236.75</v>
      </c>
    </row>
    <row r="852" spans="1:4" x14ac:dyDescent="0.25">
      <c r="A852" s="2" t="s">
        <v>18</v>
      </c>
      <c r="B852" s="3" t="s">
        <v>5</v>
      </c>
      <c r="C852" s="3" t="s">
        <v>49</v>
      </c>
      <c r="D852" s="3">
        <v>1172231.75</v>
      </c>
    </row>
    <row r="853" spans="1:4" x14ac:dyDescent="0.25">
      <c r="A853" s="5" t="s">
        <v>18</v>
      </c>
      <c r="B853" s="6" t="s">
        <v>5</v>
      </c>
      <c r="C853" s="6" t="s">
        <v>50</v>
      </c>
      <c r="D853" s="6">
        <v>1172241</v>
      </c>
    </row>
    <row r="854" spans="1:4" x14ac:dyDescent="0.25">
      <c r="A854" s="2" t="s">
        <v>18</v>
      </c>
      <c r="B854" s="3" t="s">
        <v>5</v>
      </c>
      <c r="C854" s="3" t="s">
        <v>51</v>
      </c>
      <c r="D854" s="3">
        <v>1172255.25</v>
      </c>
    </row>
    <row r="855" spans="1:4" x14ac:dyDescent="0.25">
      <c r="A855" s="5" t="s">
        <v>18</v>
      </c>
      <c r="B855" s="6" t="s">
        <v>5</v>
      </c>
      <c r="C855" s="6" t="s">
        <v>52</v>
      </c>
      <c r="D855" s="6">
        <v>1172323.875</v>
      </c>
    </row>
    <row r="856" spans="1:4" x14ac:dyDescent="0.25">
      <c r="A856" s="2" t="s">
        <v>18</v>
      </c>
      <c r="B856" s="3" t="s">
        <v>5</v>
      </c>
      <c r="C856" s="3" t="s">
        <v>53</v>
      </c>
      <c r="D856" s="3">
        <v>1172375.25</v>
      </c>
    </row>
    <row r="857" spans="1:4" x14ac:dyDescent="0.25">
      <c r="A857" s="5" t="s">
        <v>18</v>
      </c>
      <c r="B857" s="6" t="s">
        <v>5</v>
      </c>
      <c r="C857" s="6" t="s">
        <v>54</v>
      </c>
      <c r="D857" s="6">
        <v>1173001.375</v>
      </c>
    </row>
    <row r="858" spans="1:4" x14ac:dyDescent="0.25">
      <c r="A858" s="2" t="s">
        <v>18</v>
      </c>
      <c r="B858" s="3" t="s">
        <v>5</v>
      </c>
      <c r="C858" s="3" t="s">
        <v>55</v>
      </c>
      <c r="D858" s="3">
        <v>2615652</v>
      </c>
    </row>
    <row r="859" spans="1:4" x14ac:dyDescent="0.25">
      <c r="A859" s="2" t="s">
        <v>18</v>
      </c>
      <c r="B859" s="3" t="s">
        <v>5</v>
      </c>
      <c r="C859" s="3" t="s">
        <v>56</v>
      </c>
      <c r="D859" s="3">
        <v>2275268.25</v>
      </c>
    </row>
    <row r="860" spans="1:4" x14ac:dyDescent="0.25">
      <c r="A860" s="2" t="s">
        <v>18</v>
      </c>
      <c r="B860" s="3" t="s">
        <v>5</v>
      </c>
      <c r="C860" s="3" t="s">
        <v>57</v>
      </c>
      <c r="D860" s="3">
        <v>1475847</v>
      </c>
    </row>
    <row r="861" spans="1:4" x14ac:dyDescent="0.25">
      <c r="A861" s="2" t="s">
        <v>18</v>
      </c>
      <c r="B861" s="3" t="s">
        <v>5</v>
      </c>
      <c r="C861" s="3" t="s">
        <v>58</v>
      </c>
      <c r="D861" s="3">
        <v>962592.625</v>
      </c>
    </row>
    <row r="862" spans="1:4" x14ac:dyDescent="0.25">
      <c r="A862" s="2" t="s">
        <v>18</v>
      </c>
      <c r="B862" s="3" t="s">
        <v>5</v>
      </c>
      <c r="C862" s="3" t="s">
        <v>59</v>
      </c>
      <c r="D862" s="3">
        <v>614920.875</v>
      </c>
    </row>
    <row r="863" spans="1:4" x14ac:dyDescent="0.25">
      <c r="A863" s="2" t="s">
        <v>18</v>
      </c>
      <c r="B863" s="3" t="s">
        <v>5</v>
      </c>
      <c r="C863" s="3" t="s">
        <v>60</v>
      </c>
      <c r="D863" s="3">
        <v>341990.0625</v>
      </c>
    </row>
    <row r="864" spans="1:4" x14ac:dyDescent="0.25">
      <c r="A864" s="2" t="s">
        <v>18</v>
      </c>
      <c r="B864" s="3" t="s">
        <v>5</v>
      </c>
      <c r="C864" s="3" t="s">
        <v>61</v>
      </c>
      <c r="D864" s="3">
        <v>254584.9375</v>
      </c>
    </row>
    <row r="865" spans="1:4" x14ac:dyDescent="0.25">
      <c r="A865" s="2" t="s">
        <v>18</v>
      </c>
      <c r="B865" s="3" t="s">
        <v>5</v>
      </c>
      <c r="C865" s="3" t="s">
        <v>62</v>
      </c>
      <c r="D865" s="3">
        <v>283053.5</v>
      </c>
    </row>
    <row r="866" spans="1:4" x14ac:dyDescent="0.25">
      <c r="A866" s="2" t="s">
        <v>18</v>
      </c>
      <c r="B866" s="3" t="s">
        <v>5</v>
      </c>
      <c r="C866" s="3" t="s">
        <v>63</v>
      </c>
      <c r="D866" s="3">
        <v>508275.3125</v>
      </c>
    </row>
    <row r="867" spans="1:4" x14ac:dyDescent="0.25">
      <c r="A867" s="2" t="s">
        <v>18</v>
      </c>
      <c r="B867" s="3" t="s">
        <v>5</v>
      </c>
      <c r="C867" s="3" t="s">
        <v>64</v>
      </c>
      <c r="D867" s="3">
        <v>1157720.375</v>
      </c>
    </row>
    <row r="868" spans="1:4" x14ac:dyDescent="0.25">
      <c r="A868" s="2" t="s">
        <v>18</v>
      </c>
      <c r="B868" s="3" t="s">
        <v>5</v>
      </c>
      <c r="C868" s="3" t="s">
        <v>65</v>
      </c>
      <c r="D868" s="3">
        <v>1710867</v>
      </c>
    </row>
    <row r="869" spans="1:4" x14ac:dyDescent="0.25">
      <c r="A869" s="2" t="s">
        <v>18</v>
      </c>
      <c r="B869" s="3" t="s">
        <v>5</v>
      </c>
      <c r="C869" s="3" t="s">
        <v>66</v>
      </c>
      <c r="D869" s="3">
        <v>2595231.5</v>
      </c>
    </row>
    <row r="870" spans="1:4" x14ac:dyDescent="0.25">
      <c r="A870" s="5" t="s">
        <v>6</v>
      </c>
      <c r="B870" s="6" t="s">
        <v>5</v>
      </c>
      <c r="C870" s="6" t="s">
        <v>36</v>
      </c>
      <c r="D870" s="6">
        <v>1859544.75</v>
      </c>
    </row>
    <row r="871" spans="1:4" x14ac:dyDescent="0.25">
      <c r="A871" s="2" t="s">
        <v>6</v>
      </c>
      <c r="B871" s="3" t="s">
        <v>5</v>
      </c>
      <c r="C871" s="3" t="s">
        <v>37</v>
      </c>
      <c r="D871" s="3">
        <v>1859551.25</v>
      </c>
    </row>
    <row r="872" spans="1:4" x14ac:dyDescent="0.25">
      <c r="A872" s="5" t="s">
        <v>6</v>
      </c>
      <c r="B872" s="6" t="s">
        <v>5</v>
      </c>
      <c r="C872" s="6" t="s">
        <v>38</v>
      </c>
      <c r="D872" s="6">
        <v>1859563.125</v>
      </c>
    </row>
    <row r="873" spans="1:4" x14ac:dyDescent="0.25">
      <c r="A873" s="2" t="s">
        <v>6</v>
      </c>
      <c r="B873" s="3" t="s">
        <v>5</v>
      </c>
      <c r="C873" s="3" t="s">
        <v>39</v>
      </c>
      <c r="D873" s="3">
        <v>1859553.625</v>
      </c>
    </row>
    <row r="874" spans="1:4" x14ac:dyDescent="0.25">
      <c r="A874" s="5" t="s">
        <v>6</v>
      </c>
      <c r="B874" s="6" t="s">
        <v>5</v>
      </c>
      <c r="C874" s="6" t="s">
        <v>40</v>
      </c>
      <c r="D874" s="6">
        <v>1860075.625</v>
      </c>
    </row>
    <row r="875" spans="1:4" x14ac:dyDescent="0.25">
      <c r="A875" s="2" t="s">
        <v>6</v>
      </c>
      <c r="B875" s="3" t="s">
        <v>5</v>
      </c>
      <c r="C875" s="3" t="s">
        <v>41</v>
      </c>
      <c r="D875" s="3">
        <v>1862379.625</v>
      </c>
    </row>
    <row r="876" spans="1:4" x14ac:dyDescent="0.25">
      <c r="A876" s="5" t="s">
        <v>6</v>
      </c>
      <c r="B876" s="6" t="s">
        <v>5</v>
      </c>
      <c r="C876" s="6" t="s">
        <v>42</v>
      </c>
      <c r="D876" s="6">
        <v>1869200.5</v>
      </c>
    </row>
    <row r="877" spans="1:4" x14ac:dyDescent="0.25">
      <c r="A877" s="2" t="s">
        <v>6</v>
      </c>
      <c r="B877" s="3" t="s">
        <v>5</v>
      </c>
      <c r="C877" s="3" t="s">
        <v>43</v>
      </c>
      <c r="D877" s="3">
        <v>1837698.25</v>
      </c>
    </row>
    <row r="878" spans="1:4" x14ac:dyDescent="0.25">
      <c r="A878" s="5" t="s">
        <v>6</v>
      </c>
      <c r="B878" s="6" t="s">
        <v>5</v>
      </c>
      <c r="C878" s="6" t="s">
        <v>44</v>
      </c>
      <c r="D878" s="6">
        <v>1837180.375</v>
      </c>
    </row>
    <row r="879" spans="1:4" x14ac:dyDescent="0.25">
      <c r="A879" s="2" t="s">
        <v>6</v>
      </c>
      <c r="B879" s="3" t="s">
        <v>5</v>
      </c>
      <c r="C879" s="3" t="s">
        <v>45</v>
      </c>
      <c r="D879" s="3">
        <v>1831354.5</v>
      </c>
    </row>
    <row r="880" spans="1:4" x14ac:dyDescent="0.25">
      <c r="A880" s="5" t="s">
        <v>6</v>
      </c>
      <c r="B880" s="6" t="s">
        <v>5</v>
      </c>
      <c r="C880" s="6" t="s">
        <v>46</v>
      </c>
      <c r="D880" s="6">
        <v>1830391.75</v>
      </c>
    </row>
    <row r="881" spans="1:4" x14ac:dyDescent="0.25">
      <c r="A881" s="2" t="s">
        <v>6</v>
      </c>
      <c r="B881" s="3" t="s">
        <v>5</v>
      </c>
      <c r="C881" s="3" t="s">
        <v>47</v>
      </c>
      <c r="D881" s="3">
        <v>1829582.875</v>
      </c>
    </row>
    <row r="882" spans="1:4" x14ac:dyDescent="0.25">
      <c r="A882" s="5" t="s">
        <v>6</v>
      </c>
      <c r="B882" s="6" t="s">
        <v>5</v>
      </c>
      <c r="C882" s="6" t="s">
        <v>48</v>
      </c>
      <c r="D882" s="6">
        <v>1829255.875</v>
      </c>
    </row>
    <row r="883" spans="1:4" x14ac:dyDescent="0.25">
      <c r="A883" s="2" t="s">
        <v>6</v>
      </c>
      <c r="B883" s="3" t="s">
        <v>5</v>
      </c>
      <c r="C883" s="3" t="s">
        <v>49</v>
      </c>
      <c r="D883" s="3">
        <v>1829153.75</v>
      </c>
    </row>
    <row r="884" spans="1:4" x14ac:dyDescent="0.25">
      <c r="A884" s="5" t="s">
        <v>6</v>
      </c>
      <c r="B884" s="6" t="s">
        <v>5</v>
      </c>
      <c r="C884" s="6" t="s">
        <v>50</v>
      </c>
      <c r="D884" s="6">
        <v>1829125</v>
      </c>
    </row>
    <row r="885" spans="1:4" x14ac:dyDescent="0.25">
      <c r="A885" s="2" t="s">
        <v>6</v>
      </c>
      <c r="B885" s="3" t="s">
        <v>5</v>
      </c>
      <c r="C885" s="3" t="s">
        <v>51</v>
      </c>
      <c r="D885" s="3">
        <v>1829284.625</v>
      </c>
    </row>
    <row r="886" spans="1:4" x14ac:dyDescent="0.25">
      <c r="A886" s="5" t="s">
        <v>6</v>
      </c>
      <c r="B886" s="6" t="s">
        <v>5</v>
      </c>
      <c r="C886" s="6" t="s">
        <v>52</v>
      </c>
      <c r="D886" s="6">
        <v>1829838.625</v>
      </c>
    </row>
    <row r="887" spans="1:4" x14ac:dyDescent="0.25">
      <c r="A887" s="2" t="s">
        <v>6</v>
      </c>
      <c r="B887" s="3" t="s">
        <v>5</v>
      </c>
      <c r="C887" s="3" t="s">
        <v>53</v>
      </c>
      <c r="D887" s="3">
        <v>1832077.375</v>
      </c>
    </row>
    <row r="888" spans="1:4" x14ac:dyDescent="0.25">
      <c r="A888" s="5" t="s">
        <v>6</v>
      </c>
      <c r="B888" s="6" t="s">
        <v>5</v>
      </c>
      <c r="C888" s="6" t="s">
        <v>54</v>
      </c>
      <c r="D888" s="6">
        <v>1835489.625</v>
      </c>
    </row>
    <row r="889" spans="1:4" x14ac:dyDescent="0.25">
      <c r="A889" s="5" t="s">
        <v>6</v>
      </c>
      <c r="B889" s="6" t="s">
        <v>5</v>
      </c>
      <c r="C889" s="6" t="s">
        <v>55</v>
      </c>
      <c r="D889" s="6">
        <v>3959510</v>
      </c>
    </row>
    <row r="890" spans="1:4" x14ac:dyDescent="0.25">
      <c r="A890" s="5" t="s">
        <v>6</v>
      </c>
      <c r="B890" s="6" t="s">
        <v>5</v>
      </c>
      <c r="C890" s="6" t="s">
        <v>56</v>
      </c>
      <c r="D890" s="6">
        <v>3452450.5</v>
      </c>
    </row>
    <row r="891" spans="1:4" x14ac:dyDescent="0.25">
      <c r="A891" s="5" t="s">
        <v>6</v>
      </c>
      <c r="B891" s="6" t="s">
        <v>5</v>
      </c>
      <c r="C891" s="6" t="s">
        <v>57</v>
      </c>
      <c r="D891" s="6">
        <v>2227239.75</v>
      </c>
    </row>
    <row r="892" spans="1:4" x14ac:dyDescent="0.25">
      <c r="A892" s="5" t="s">
        <v>6</v>
      </c>
      <c r="B892" s="6" t="s">
        <v>5</v>
      </c>
      <c r="C892" s="6" t="s">
        <v>58</v>
      </c>
      <c r="D892" s="6">
        <v>1454753.125</v>
      </c>
    </row>
    <row r="893" spans="1:4" x14ac:dyDescent="0.25">
      <c r="A893" s="5" t="s">
        <v>6</v>
      </c>
      <c r="B893" s="6" t="s">
        <v>5</v>
      </c>
      <c r="C893" s="6" t="s">
        <v>59</v>
      </c>
      <c r="D893" s="6">
        <v>928407.3125</v>
      </c>
    </row>
    <row r="894" spans="1:4" x14ac:dyDescent="0.25">
      <c r="A894" s="5" t="s">
        <v>6</v>
      </c>
      <c r="B894" s="6" t="s">
        <v>5</v>
      </c>
      <c r="C894" s="6" t="s">
        <v>60</v>
      </c>
      <c r="D894" s="6">
        <v>516296.21875</v>
      </c>
    </row>
    <row r="895" spans="1:4" x14ac:dyDescent="0.25">
      <c r="A895" s="5" t="s">
        <v>6</v>
      </c>
      <c r="B895" s="6" t="s">
        <v>5</v>
      </c>
      <c r="C895" s="6" t="s">
        <v>61</v>
      </c>
      <c r="D895" s="6">
        <v>384368</v>
      </c>
    </row>
    <row r="896" spans="1:4" x14ac:dyDescent="0.25">
      <c r="A896" s="5" t="s">
        <v>6</v>
      </c>
      <c r="B896" s="6" t="s">
        <v>5</v>
      </c>
      <c r="C896" s="6" t="s">
        <v>62</v>
      </c>
      <c r="D896" s="6">
        <v>427190.0625</v>
      </c>
    </row>
    <row r="897" spans="1:4" x14ac:dyDescent="0.25">
      <c r="A897" s="5" t="s">
        <v>6</v>
      </c>
      <c r="B897" s="6" t="s">
        <v>5</v>
      </c>
      <c r="C897" s="6" t="s">
        <v>63</v>
      </c>
      <c r="D897" s="6">
        <v>766892.75</v>
      </c>
    </row>
    <row r="898" spans="1:4" x14ac:dyDescent="0.25">
      <c r="A898" s="5" t="s">
        <v>6</v>
      </c>
      <c r="B898" s="6" t="s">
        <v>5</v>
      </c>
      <c r="C898" s="6" t="s">
        <v>64</v>
      </c>
      <c r="D898" s="6">
        <v>1747303.25</v>
      </c>
    </row>
    <row r="899" spans="1:4" x14ac:dyDescent="0.25">
      <c r="A899" s="5" t="s">
        <v>6</v>
      </c>
      <c r="B899" s="6" t="s">
        <v>5</v>
      </c>
      <c r="C899" s="6" t="s">
        <v>65</v>
      </c>
      <c r="D899" s="6">
        <v>2582542.5</v>
      </c>
    </row>
    <row r="900" spans="1:4" x14ac:dyDescent="0.25">
      <c r="A900" s="5" t="s">
        <v>6</v>
      </c>
      <c r="B900" s="6" t="s">
        <v>5</v>
      </c>
      <c r="C900" s="6" t="s">
        <v>66</v>
      </c>
      <c r="D900" s="6">
        <v>3930563.5</v>
      </c>
    </row>
    <row r="901" spans="1:4" x14ac:dyDescent="0.25">
      <c r="A901" s="2" t="s">
        <v>23</v>
      </c>
      <c r="B901" s="3" t="s">
        <v>5</v>
      </c>
      <c r="C901" s="3" t="s">
        <v>36</v>
      </c>
      <c r="D901" s="3">
        <v>1870826.25</v>
      </c>
    </row>
    <row r="902" spans="1:4" x14ac:dyDescent="0.25">
      <c r="A902" s="5" t="s">
        <v>23</v>
      </c>
      <c r="B902" s="6" t="s">
        <v>5</v>
      </c>
      <c r="C902" s="6" t="s">
        <v>37</v>
      </c>
      <c r="D902" s="6">
        <v>1870826.25</v>
      </c>
    </row>
    <row r="903" spans="1:4" x14ac:dyDescent="0.25">
      <c r="A903" s="2" t="s">
        <v>23</v>
      </c>
      <c r="B903" s="3" t="s">
        <v>5</v>
      </c>
      <c r="C903" s="3" t="s">
        <v>38</v>
      </c>
      <c r="D903" s="3">
        <v>1870826.25</v>
      </c>
    </row>
    <row r="904" spans="1:4" x14ac:dyDescent="0.25">
      <c r="A904" s="5" t="s">
        <v>23</v>
      </c>
      <c r="B904" s="6" t="s">
        <v>5</v>
      </c>
      <c r="C904" s="6" t="s">
        <v>39</v>
      </c>
      <c r="D904" s="6">
        <v>1870826.25</v>
      </c>
    </row>
    <row r="905" spans="1:4" x14ac:dyDescent="0.25">
      <c r="A905" s="2" t="s">
        <v>23</v>
      </c>
      <c r="B905" s="3" t="s">
        <v>5</v>
      </c>
      <c r="C905" s="3" t="s">
        <v>40</v>
      </c>
      <c r="D905" s="3">
        <v>1870826.25</v>
      </c>
    </row>
    <row r="906" spans="1:4" x14ac:dyDescent="0.25">
      <c r="A906" s="5" t="s">
        <v>23</v>
      </c>
      <c r="B906" s="6" t="s">
        <v>5</v>
      </c>
      <c r="C906" s="6" t="s">
        <v>41</v>
      </c>
      <c r="D906" s="6">
        <v>1870826.25</v>
      </c>
    </row>
    <row r="907" spans="1:4" x14ac:dyDescent="0.25">
      <c r="A907" s="2" t="s">
        <v>23</v>
      </c>
      <c r="B907" s="3" t="s">
        <v>5</v>
      </c>
      <c r="C907" s="3" t="s">
        <v>42</v>
      </c>
      <c r="D907" s="3">
        <v>1871724.25</v>
      </c>
    </row>
    <row r="908" spans="1:4" x14ac:dyDescent="0.25">
      <c r="A908" s="5" t="s">
        <v>23</v>
      </c>
      <c r="B908" s="6" t="s">
        <v>5</v>
      </c>
      <c r="C908" s="6" t="s">
        <v>43</v>
      </c>
      <c r="D908" s="6">
        <v>1854190.5</v>
      </c>
    </row>
    <row r="909" spans="1:4" x14ac:dyDescent="0.25">
      <c r="A909" s="2" t="s">
        <v>23</v>
      </c>
      <c r="B909" s="3" t="s">
        <v>5</v>
      </c>
      <c r="C909" s="3" t="s">
        <v>44</v>
      </c>
      <c r="D909" s="3">
        <v>1854190.5</v>
      </c>
    </row>
    <row r="910" spans="1:4" x14ac:dyDescent="0.25">
      <c r="A910" s="5" t="s">
        <v>23</v>
      </c>
      <c r="B910" s="6" t="s">
        <v>5</v>
      </c>
      <c r="C910" s="6" t="s">
        <v>45</v>
      </c>
      <c r="D910" s="6">
        <v>1854190.5</v>
      </c>
    </row>
    <row r="911" spans="1:4" x14ac:dyDescent="0.25">
      <c r="A911" s="2" t="s">
        <v>23</v>
      </c>
      <c r="B911" s="3" t="s">
        <v>5</v>
      </c>
      <c r="C911" s="3" t="s">
        <v>46</v>
      </c>
      <c r="D911" s="3">
        <v>1854190.5</v>
      </c>
    </row>
    <row r="912" spans="1:4" x14ac:dyDescent="0.25">
      <c r="A912" s="5" t="s">
        <v>23</v>
      </c>
      <c r="B912" s="6" t="s">
        <v>5</v>
      </c>
      <c r="C912" s="6" t="s">
        <v>47</v>
      </c>
      <c r="D912" s="6">
        <v>1854190.5</v>
      </c>
    </row>
    <row r="913" spans="1:4" x14ac:dyDescent="0.25">
      <c r="A913" s="2" t="s">
        <v>23</v>
      </c>
      <c r="B913" s="3" t="s">
        <v>5</v>
      </c>
      <c r="C913" s="3" t="s">
        <v>48</v>
      </c>
      <c r="D913" s="3">
        <v>1854190.5</v>
      </c>
    </row>
    <row r="914" spans="1:4" x14ac:dyDescent="0.25">
      <c r="A914" s="5" t="s">
        <v>23</v>
      </c>
      <c r="B914" s="6" t="s">
        <v>5</v>
      </c>
      <c r="C914" s="6" t="s">
        <v>49</v>
      </c>
      <c r="D914" s="6">
        <v>1854190.5</v>
      </c>
    </row>
    <row r="915" spans="1:4" x14ac:dyDescent="0.25">
      <c r="A915" s="2" t="s">
        <v>23</v>
      </c>
      <c r="B915" s="3" t="s">
        <v>5</v>
      </c>
      <c r="C915" s="3" t="s">
        <v>50</v>
      </c>
      <c r="D915" s="3">
        <v>1854190.5</v>
      </c>
    </row>
    <row r="916" spans="1:4" x14ac:dyDescent="0.25">
      <c r="A916" s="5" t="s">
        <v>23</v>
      </c>
      <c r="B916" s="6" t="s">
        <v>5</v>
      </c>
      <c r="C916" s="6" t="s">
        <v>51</v>
      </c>
      <c r="D916" s="6">
        <v>1854190.5</v>
      </c>
    </row>
    <row r="917" spans="1:4" x14ac:dyDescent="0.25">
      <c r="A917" s="2" t="s">
        <v>23</v>
      </c>
      <c r="B917" s="3" t="s">
        <v>5</v>
      </c>
      <c r="C917" s="3" t="s">
        <v>52</v>
      </c>
      <c r="D917" s="3">
        <v>1854190.5</v>
      </c>
    </row>
    <row r="918" spans="1:4" x14ac:dyDescent="0.25">
      <c r="A918" s="5" t="s">
        <v>23</v>
      </c>
      <c r="B918" s="6" t="s">
        <v>5</v>
      </c>
      <c r="C918" s="6" t="s">
        <v>53</v>
      </c>
      <c r="D918" s="6">
        <v>1854190.5</v>
      </c>
    </row>
    <row r="919" spans="1:4" x14ac:dyDescent="0.25">
      <c r="A919" s="2" t="s">
        <v>23</v>
      </c>
      <c r="B919" s="3" t="s">
        <v>5</v>
      </c>
      <c r="C919" s="3" t="s">
        <v>54</v>
      </c>
      <c r="D919" s="3">
        <v>1855080.5</v>
      </c>
    </row>
    <row r="920" spans="1:4" x14ac:dyDescent="0.25">
      <c r="A920" s="5" t="s">
        <v>23</v>
      </c>
      <c r="B920" s="6" t="s">
        <v>5</v>
      </c>
      <c r="C920" s="6" t="s">
        <v>55</v>
      </c>
      <c r="D920" s="6">
        <v>4018236.5</v>
      </c>
    </row>
    <row r="921" spans="1:4" x14ac:dyDescent="0.25">
      <c r="A921" s="5" t="s">
        <v>23</v>
      </c>
      <c r="B921" s="6" t="s">
        <v>5</v>
      </c>
      <c r="C921" s="6" t="s">
        <v>56</v>
      </c>
      <c r="D921" s="6">
        <v>3495443</v>
      </c>
    </row>
    <row r="922" spans="1:4" x14ac:dyDescent="0.25">
      <c r="A922" s="5" t="s">
        <v>23</v>
      </c>
      <c r="B922" s="6" t="s">
        <v>5</v>
      </c>
      <c r="C922" s="6" t="s">
        <v>57</v>
      </c>
      <c r="D922" s="6">
        <v>2266196.5</v>
      </c>
    </row>
    <row r="923" spans="1:4" x14ac:dyDescent="0.25">
      <c r="A923" s="5" t="s">
        <v>23</v>
      </c>
      <c r="B923" s="6" t="s">
        <v>5</v>
      </c>
      <c r="C923" s="6" t="s">
        <v>58</v>
      </c>
      <c r="D923" s="6">
        <v>1479278.25</v>
      </c>
    </row>
    <row r="924" spans="1:4" x14ac:dyDescent="0.25">
      <c r="A924" s="5" t="s">
        <v>23</v>
      </c>
      <c r="B924" s="6" t="s">
        <v>5</v>
      </c>
      <c r="C924" s="6" t="s">
        <v>59</v>
      </c>
      <c r="D924" s="6">
        <v>945119.75</v>
      </c>
    </row>
    <row r="925" spans="1:4" x14ac:dyDescent="0.25">
      <c r="A925" s="5" t="s">
        <v>23</v>
      </c>
      <c r="B925" s="6" t="s">
        <v>5</v>
      </c>
      <c r="C925" s="6" t="s">
        <v>60</v>
      </c>
      <c r="D925" s="6">
        <v>525748.375</v>
      </c>
    </row>
    <row r="926" spans="1:4" x14ac:dyDescent="0.25">
      <c r="A926" s="5" t="s">
        <v>23</v>
      </c>
      <c r="B926" s="6" t="s">
        <v>5</v>
      </c>
      <c r="C926" s="6" t="s">
        <v>61</v>
      </c>
      <c r="D926" s="6">
        <v>391413.25</v>
      </c>
    </row>
    <row r="927" spans="1:4" x14ac:dyDescent="0.25">
      <c r="A927" s="5" t="s">
        <v>23</v>
      </c>
      <c r="B927" s="6" t="s">
        <v>5</v>
      </c>
      <c r="C927" s="6" t="s">
        <v>62</v>
      </c>
      <c r="D927" s="6">
        <v>435055.125</v>
      </c>
    </row>
    <row r="928" spans="1:4" x14ac:dyDescent="0.25">
      <c r="A928" s="5" t="s">
        <v>23</v>
      </c>
      <c r="B928" s="6" t="s">
        <v>5</v>
      </c>
      <c r="C928" s="6" t="s">
        <v>63</v>
      </c>
      <c r="D928" s="6">
        <v>781008.0625</v>
      </c>
    </row>
    <row r="929" spans="1:4" x14ac:dyDescent="0.25">
      <c r="A929" s="5" t="s">
        <v>23</v>
      </c>
      <c r="B929" s="6" t="s">
        <v>5</v>
      </c>
      <c r="C929" s="6" t="s">
        <v>64</v>
      </c>
      <c r="D929" s="6">
        <v>1778634.5</v>
      </c>
    </row>
    <row r="930" spans="1:4" x14ac:dyDescent="0.25">
      <c r="A930" s="5" t="s">
        <v>23</v>
      </c>
      <c r="B930" s="6" t="s">
        <v>5</v>
      </c>
      <c r="C930" s="6" t="s">
        <v>65</v>
      </c>
      <c r="D930" s="6">
        <v>2627833</v>
      </c>
    </row>
    <row r="931" spans="1:4" x14ac:dyDescent="0.25">
      <c r="A931" s="5" t="s">
        <v>23</v>
      </c>
      <c r="B931" s="6" t="s">
        <v>5</v>
      </c>
      <c r="C931" s="6" t="s">
        <v>66</v>
      </c>
      <c r="D931" s="6">
        <v>3986187</v>
      </c>
    </row>
    <row r="932" spans="1:4" x14ac:dyDescent="0.25">
      <c r="A932" s="5" t="s">
        <v>32</v>
      </c>
      <c r="B932" s="6" t="s">
        <v>5</v>
      </c>
      <c r="C932" s="6" t="s">
        <v>36</v>
      </c>
      <c r="D932" s="6">
        <v>1130988.625</v>
      </c>
    </row>
    <row r="933" spans="1:4" x14ac:dyDescent="0.25">
      <c r="A933" s="2" t="s">
        <v>32</v>
      </c>
      <c r="B933" s="3" t="s">
        <v>5</v>
      </c>
      <c r="C933" s="3" t="s">
        <v>37</v>
      </c>
      <c r="D933" s="3">
        <v>1130988.625</v>
      </c>
    </row>
    <row r="934" spans="1:4" x14ac:dyDescent="0.25">
      <c r="A934" s="5" t="s">
        <v>32</v>
      </c>
      <c r="B934" s="6" t="s">
        <v>5</v>
      </c>
      <c r="C934" s="6" t="s">
        <v>38</v>
      </c>
      <c r="D934" s="6">
        <v>1130988.625</v>
      </c>
    </row>
    <row r="935" spans="1:4" x14ac:dyDescent="0.25">
      <c r="A935" s="2" t="s">
        <v>32</v>
      </c>
      <c r="B935" s="3" t="s">
        <v>5</v>
      </c>
      <c r="C935" s="3" t="s">
        <v>39</v>
      </c>
      <c r="D935" s="3">
        <v>1130988.625</v>
      </c>
    </row>
    <row r="936" spans="1:4" x14ac:dyDescent="0.25">
      <c r="A936" s="5" t="s">
        <v>32</v>
      </c>
      <c r="B936" s="6" t="s">
        <v>5</v>
      </c>
      <c r="C936" s="6" t="s">
        <v>40</v>
      </c>
      <c r="D936" s="6">
        <v>1130988.625</v>
      </c>
    </row>
    <row r="937" spans="1:4" x14ac:dyDescent="0.25">
      <c r="A937" s="2" t="s">
        <v>32</v>
      </c>
      <c r="B937" s="3" t="s">
        <v>5</v>
      </c>
      <c r="C937" s="3" t="s">
        <v>41</v>
      </c>
      <c r="D937" s="3">
        <v>1130988.625</v>
      </c>
    </row>
    <row r="938" spans="1:4" x14ac:dyDescent="0.25">
      <c r="A938" s="5" t="s">
        <v>32</v>
      </c>
      <c r="B938" s="6" t="s">
        <v>5</v>
      </c>
      <c r="C938" s="6" t="s">
        <v>42</v>
      </c>
      <c r="D938" s="6">
        <v>1131531.5</v>
      </c>
    </row>
    <row r="939" spans="1:4" x14ac:dyDescent="0.25">
      <c r="A939" s="2" t="s">
        <v>32</v>
      </c>
      <c r="B939" s="3" t="s">
        <v>5</v>
      </c>
      <c r="C939" s="3" t="s">
        <v>43</v>
      </c>
      <c r="D939" s="3">
        <v>1099513.75</v>
      </c>
    </row>
    <row r="940" spans="1:4" x14ac:dyDescent="0.25">
      <c r="A940" s="5" t="s">
        <v>32</v>
      </c>
      <c r="B940" s="6" t="s">
        <v>5</v>
      </c>
      <c r="C940" s="6" t="s">
        <v>44</v>
      </c>
      <c r="D940" s="6">
        <v>1099513.75</v>
      </c>
    </row>
    <row r="941" spans="1:4" x14ac:dyDescent="0.25">
      <c r="A941" s="2" t="s">
        <v>32</v>
      </c>
      <c r="B941" s="3" t="s">
        <v>5</v>
      </c>
      <c r="C941" s="3" t="s">
        <v>45</v>
      </c>
      <c r="D941" s="3">
        <v>1099513.75</v>
      </c>
    </row>
    <row r="942" spans="1:4" x14ac:dyDescent="0.25">
      <c r="A942" s="5" t="s">
        <v>32</v>
      </c>
      <c r="B942" s="6" t="s">
        <v>5</v>
      </c>
      <c r="C942" s="6" t="s">
        <v>46</v>
      </c>
      <c r="D942" s="6">
        <v>1099513.75</v>
      </c>
    </row>
    <row r="943" spans="1:4" x14ac:dyDescent="0.25">
      <c r="A943" s="2" t="s">
        <v>32</v>
      </c>
      <c r="B943" s="3" t="s">
        <v>5</v>
      </c>
      <c r="C943" s="3" t="s">
        <v>47</v>
      </c>
      <c r="D943" s="3">
        <v>1099513.75</v>
      </c>
    </row>
    <row r="944" spans="1:4" x14ac:dyDescent="0.25">
      <c r="A944" s="5" t="s">
        <v>32</v>
      </c>
      <c r="B944" s="6" t="s">
        <v>5</v>
      </c>
      <c r="C944" s="6" t="s">
        <v>48</v>
      </c>
      <c r="D944" s="6">
        <v>1099513.75</v>
      </c>
    </row>
    <row r="945" spans="1:4" x14ac:dyDescent="0.25">
      <c r="A945" s="2" t="s">
        <v>32</v>
      </c>
      <c r="B945" s="3" t="s">
        <v>5</v>
      </c>
      <c r="C945" s="3" t="s">
        <v>49</v>
      </c>
      <c r="D945" s="3">
        <v>1099513.75</v>
      </c>
    </row>
    <row r="946" spans="1:4" x14ac:dyDescent="0.25">
      <c r="A946" s="5" t="s">
        <v>32</v>
      </c>
      <c r="B946" s="6" t="s">
        <v>5</v>
      </c>
      <c r="C946" s="6" t="s">
        <v>50</v>
      </c>
      <c r="D946" s="6">
        <v>1099513.75</v>
      </c>
    </row>
    <row r="947" spans="1:4" x14ac:dyDescent="0.25">
      <c r="A947" s="2" t="s">
        <v>32</v>
      </c>
      <c r="B947" s="3" t="s">
        <v>5</v>
      </c>
      <c r="C947" s="3" t="s">
        <v>51</v>
      </c>
      <c r="D947" s="3">
        <v>1099513.75</v>
      </c>
    </row>
    <row r="948" spans="1:4" x14ac:dyDescent="0.25">
      <c r="A948" s="5" t="s">
        <v>32</v>
      </c>
      <c r="B948" s="6" t="s">
        <v>5</v>
      </c>
      <c r="C948" s="6" t="s">
        <v>52</v>
      </c>
      <c r="D948" s="6">
        <v>1099513.75</v>
      </c>
    </row>
    <row r="949" spans="1:4" x14ac:dyDescent="0.25">
      <c r="A949" s="2" t="s">
        <v>32</v>
      </c>
      <c r="B949" s="3" t="s">
        <v>5</v>
      </c>
      <c r="C949" s="3" t="s">
        <v>53</v>
      </c>
      <c r="D949" s="3">
        <v>1099513.75</v>
      </c>
    </row>
    <row r="950" spans="1:4" x14ac:dyDescent="0.25">
      <c r="A950" s="5" t="s">
        <v>32</v>
      </c>
      <c r="B950" s="6" t="s">
        <v>5</v>
      </c>
      <c r="C950" s="6" t="s">
        <v>54</v>
      </c>
      <c r="D950" s="6">
        <v>1100041.5</v>
      </c>
    </row>
    <row r="951" spans="1:4" x14ac:dyDescent="0.25">
      <c r="A951" s="5" t="s">
        <v>32</v>
      </c>
      <c r="B951" s="6" t="s">
        <v>5</v>
      </c>
      <c r="C951" s="6" t="s">
        <v>55</v>
      </c>
      <c r="D951" s="6">
        <v>2422583.5</v>
      </c>
    </row>
    <row r="952" spans="1:4" x14ac:dyDescent="0.25">
      <c r="A952" s="5" t="s">
        <v>32</v>
      </c>
      <c r="B952" s="6" t="s">
        <v>5</v>
      </c>
      <c r="C952" s="6" t="s">
        <v>56</v>
      </c>
      <c r="D952" s="6">
        <v>2107392.75</v>
      </c>
    </row>
    <row r="953" spans="1:4" x14ac:dyDescent="0.25">
      <c r="A953" s="5" t="s">
        <v>32</v>
      </c>
      <c r="B953" s="6" t="s">
        <v>5</v>
      </c>
      <c r="C953" s="6" t="s">
        <v>57</v>
      </c>
      <c r="D953" s="6">
        <v>1366283.375</v>
      </c>
    </row>
    <row r="954" spans="1:4" x14ac:dyDescent="0.25">
      <c r="A954" s="5" t="s">
        <v>32</v>
      </c>
      <c r="B954" s="6" t="s">
        <v>5</v>
      </c>
      <c r="C954" s="6" t="s">
        <v>58</v>
      </c>
      <c r="D954" s="6">
        <v>891852.8125</v>
      </c>
    </row>
    <row r="955" spans="1:4" x14ac:dyDescent="0.25">
      <c r="A955" s="5" t="s">
        <v>32</v>
      </c>
      <c r="B955" s="6" t="s">
        <v>5</v>
      </c>
      <c r="C955" s="6" t="s">
        <v>59</v>
      </c>
      <c r="D955" s="6">
        <v>569810.125</v>
      </c>
    </row>
    <row r="956" spans="1:4" x14ac:dyDescent="0.25">
      <c r="A956" s="5" t="s">
        <v>32</v>
      </c>
      <c r="B956" s="6" t="s">
        <v>5</v>
      </c>
      <c r="C956" s="6" t="s">
        <v>60</v>
      </c>
      <c r="D956" s="6">
        <v>316972.25</v>
      </c>
    </row>
    <row r="957" spans="1:4" x14ac:dyDescent="0.25">
      <c r="A957" s="5" t="s">
        <v>32</v>
      </c>
      <c r="B957" s="6" t="s">
        <v>5</v>
      </c>
      <c r="C957" s="6" t="s">
        <v>61</v>
      </c>
      <c r="D957" s="6">
        <v>235981.953125</v>
      </c>
    </row>
    <row r="958" spans="1:4" x14ac:dyDescent="0.25">
      <c r="A958" s="5" t="s">
        <v>32</v>
      </c>
      <c r="B958" s="6" t="s">
        <v>5</v>
      </c>
      <c r="C958" s="6" t="s">
        <v>62</v>
      </c>
      <c r="D958" s="6">
        <v>262293.53125</v>
      </c>
    </row>
    <row r="959" spans="1:4" x14ac:dyDescent="0.25">
      <c r="A959" s="5" t="s">
        <v>32</v>
      </c>
      <c r="B959" s="6" t="s">
        <v>5</v>
      </c>
      <c r="C959" s="6" t="s">
        <v>63</v>
      </c>
      <c r="D959" s="6">
        <v>470867.59375</v>
      </c>
    </row>
    <row r="960" spans="1:4" x14ac:dyDescent="0.25">
      <c r="A960" s="5" t="s">
        <v>32</v>
      </c>
      <c r="B960" s="6" t="s">
        <v>5</v>
      </c>
      <c r="C960" s="6" t="s">
        <v>64</v>
      </c>
      <c r="D960" s="6">
        <v>1072333.75</v>
      </c>
    </row>
    <row r="961" spans="1:4" x14ac:dyDescent="0.25">
      <c r="A961" s="5" t="s">
        <v>32</v>
      </c>
      <c r="B961" s="6" t="s">
        <v>5</v>
      </c>
      <c r="C961" s="6" t="s">
        <v>65</v>
      </c>
      <c r="D961" s="6">
        <v>1584313.25</v>
      </c>
    </row>
    <row r="962" spans="1:4" x14ac:dyDescent="0.25">
      <c r="A962" s="5" t="s">
        <v>32</v>
      </c>
      <c r="B962" s="6" t="s">
        <v>5</v>
      </c>
      <c r="C962" s="6" t="s">
        <v>66</v>
      </c>
      <c r="D962" s="6">
        <v>2403261</v>
      </c>
    </row>
  </sheetData>
  <autoFilter ref="A1:A9385" xr:uid="{2BF9B2ED-5AF8-40C3-AA10-F6D4AE7D2C9E}"/>
  <sortState xmlns:xlrd2="http://schemas.microsoft.com/office/spreadsheetml/2017/richdata2" ref="A2:D9385">
    <sortCondition ref="A1:A9385"/>
  </sortState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2B23-C0EB-4558-B6B2-8027D9504A73}">
  <dimension ref="A1:D962"/>
  <sheetViews>
    <sheetView workbookViewId="0">
      <selection activeCell="D1" sqref="D1:D1048576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13</v>
      </c>
      <c r="B2" s="3" t="s">
        <v>5</v>
      </c>
      <c r="C2" s="3" t="s">
        <v>36</v>
      </c>
      <c r="D2" s="4">
        <v>10213730</v>
      </c>
    </row>
    <row r="3" spans="1:4" x14ac:dyDescent="0.25">
      <c r="A3" s="5" t="s">
        <v>13</v>
      </c>
      <c r="B3" s="6" t="s">
        <v>5</v>
      </c>
      <c r="C3" s="6" t="s">
        <v>37</v>
      </c>
      <c r="D3" s="7">
        <v>9804317</v>
      </c>
    </row>
    <row r="4" spans="1:4" x14ac:dyDescent="0.25">
      <c r="A4" s="2" t="s">
        <v>13</v>
      </c>
      <c r="B4" s="3" t="s">
        <v>5</v>
      </c>
      <c r="C4" s="3" t="s">
        <v>38</v>
      </c>
      <c r="D4" s="4">
        <v>9524849</v>
      </c>
    </row>
    <row r="5" spans="1:4" x14ac:dyDescent="0.25">
      <c r="A5" s="5" t="s">
        <v>13</v>
      </c>
      <c r="B5" s="6" t="s">
        <v>5</v>
      </c>
      <c r="C5" s="6" t="s">
        <v>39</v>
      </c>
      <c r="D5" s="7">
        <v>9942284</v>
      </c>
    </row>
    <row r="6" spans="1:4" x14ac:dyDescent="0.25">
      <c r="A6" s="2" t="s">
        <v>13</v>
      </c>
      <c r="B6" s="3" t="s">
        <v>5</v>
      </c>
      <c r="C6" s="3" t="s">
        <v>40</v>
      </c>
      <c r="D6" s="4">
        <v>10228577</v>
      </c>
    </row>
    <row r="7" spans="1:4" x14ac:dyDescent="0.25">
      <c r="A7" s="5" t="s">
        <v>13</v>
      </c>
      <c r="B7" s="6" t="s">
        <v>5</v>
      </c>
      <c r="C7" s="6" t="s">
        <v>41</v>
      </c>
      <c r="D7" s="7">
        <v>10194379</v>
      </c>
    </row>
    <row r="8" spans="1:4" x14ac:dyDescent="0.25">
      <c r="A8" s="2" t="s">
        <v>13</v>
      </c>
      <c r="B8" s="3" t="s">
        <v>5</v>
      </c>
      <c r="C8" s="3" t="s">
        <v>42</v>
      </c>
      <c r="D8" s="4">
        <v>10288972</v>
      </c>
    </row>
    <row r="9" spans="1:4" x14ac:dyDescent="0.25">
      <c r="A9" s="5" t="s">
        <v>13</v>
      </c>
      <c r="B9" s="6" t="s">
        <v>5</v>
      </c>
      <c r="C9" s="6" t="s">
        <v>43</v>
      </c>
      <c r="D9" s="7">
        <v>10032272</v>
      </c>
    </row>
    <row r="10" spans="1:4" x14ac:dyDescent="0.25">
      <c r="A10" s="2" t="s">
        <v>13</v>
      </c>
      <c r="B10" s="3" t="s">
        <v>5</v>
      </c>
      <c r="C10" s="3" t="s">
        <v>44</v>
      </c>
      <c r="D10" s="4">
        <v>9827739</v>
      </c>
    </row>
    <row r="11" spans="1:4" x14ac:dyDescent="0.25">
      <c r="A11" s="5" t="s">
        <v>13</v>
      </c>
      <c r="B11" s="6" t="s">
        <v>5</v>
      </c>
      <c r="C11" s="6" t="s">
        <v>45</v>
      </c>
      <c r="D11" s="7">
        <v>10205371</v>
      </c>
    </row>
    <row r="12" spans="1:4" x14ac:dyDescent="0.25">
      <c r="A12" s="2" t="s">
        <v>13</v>
      </c>
      <c r="B12" s="3" t="s">
        <v>5</v>
      </c>
      <c r="C12" s="3" t="s">
        <v>46</v>
      </c>
      <c r="D12" s="4">
        <v>10371547</v>
      </c>
    </row>
    <row r="13" spans="1:4" x14ac:dyDescent="0.25">
      <c r="A13" s="5" t="s">
        <v>13</v>
      </c>
      <c r="B13" s="6" t="s">
        <v>5</v>
      </c>
      <c r="C13" s="6" t="s">
        <v>47</v>
      </c>
      <c r="D13" s="7">
        <v>10264053</v>
      </c>
    </row>
    <row r="14" spans="1:4" x14ac:dyDescent="0.25">
      <c r="A14" s="2" t="s">
        <v>13</v>
      </c>
      <c r="B14" s="3" t="s">
        <v>5</v>
      </c>
      <c r="C14" s="3" t="s">
        <v>48</v>
      </c>
      <c r="D14" s="4">
        <v>10320680</v>
      </c>
    </row>
    <row r="15" spans="1:4" x14ac:dyDescent="0.25">
      <c r="A15" s="5" t="s">
        <v>13</v>
      </c>
      <c r="B15" s="6" t="s">
        <v>5</v>
      </c>
      <c r="C15" s="6" t="s">
        <v>49</v>
      </c>
      <c r="D15" s="7">
        <v>9907205</v>
      </c>
    </row>
    <row r="16" spans="1:4" x14ac:dyDescent="0.25">
      <c r="A16" s="2" t="s">
        <v>13</v>
      </c>
      <c r="B16" s="3" t="s">
        <v>5</v>
      </c>
      <c r="C16" s="3" t="s">
        <v>50</v>
      </c>
      <c r="D16" s="4">
        <v>9625108</v>
      </c>
    </row>
    <row r="17" spans="1:4" x14ac:dyDescent="0.25">
      <c r="A17" s="5" t="s">
        <v>13</v>
      </c>
      <c r="B17" s="6" t="s">
        <v>5</v>
      </c>
      <c r="C17" s="6" t="s">
        <v>51</v>
      </c>
      <c r="D17" s="7">
        <v>10046710</v>
      </c>
    </row>
    <row r="18" spans="1:4" x14ac:dyDescent="0.25">
      <c r="A18" s="2" t="s">
        <v>13</v>
      </c>
      <c r="B18" s="3" t="s">
        <v>5</v>
      </c>
      <c r="C18" s="3" t="s">
        <v>52</v>
      </c>
      <c r="D18" s="4">
        <v>10335519</v>
      </c>
    </row>
    <row r="19" spans="1:4" x14ac:dyDescent="0.25">
      <c r="A19" s="5" t="s">
        <v>13</v>
      </c>
      <c r="B19" s="6" t="s">
        <v>5</v>
      </c>
      <c r="C19" s="6" t="s">
        <v>53</v>
      </c>
      <c r="D19" s="7">
        <v>10300678</v>
      </c>
    </row>
    <row r="20" spans="1:4" x14ac:dyDescent="0.25">
      <c r="A20" s="2" t="s">
        <v>13</v>
      </c>
      <c r="B20" s="3" t="s">
        <v>5</v>
      </c>
      <c r="C20" s="3" t="s">
        <v>54</v>
      </c>
      <c r="D20" s="4">
        <v>10396107</v>
      </c>
    </row>
    <row r="21" spans="1:4" x14ac:dyDescent="0.25">
      <c r="A21" s="5" t="s">
        <v>13</v>
      </c>
      <c r="B21" s="6" t="s">
        <v>5</v>
      </c>
      <c r="C21" s="6" t="s">
        <v>55</v>
      </c>
      <c r="D21" s="7">
        <v>21196574</v>
      </c>
    </row>
    <row r="22" spans="1:4" x14ac:dyDescent="0.25">
      <c r="A22" s="5" t="s">
        <v>13</v>
      </c>
      <c r="B22" s="6" t="s">
        <v>5</v>
      </c>
      <c r="C22" s="6" t="s">
        <v>56</v>
      </c>
      <c r="D22" s="7">
        <v>21091540</v>
      </c>
    </row>
    <row r="23" spans="1:4" x14ac:dyDescent="0.25">
      <c r="A23" s="5" t="s">
        <v>13</v>
      </c>
      <c r="B23" s="6" t="s">
        <v>5</v>
      </c>
      <c r="C23" s="6" t="s">
        <v>57</v>
      </c>
      <c r="D23" s="7">
        <v>23992692</v>
      </c>
    </row>
    <row r="24" spans="1:4" x14ac:dyDescent="0.25">
      <c r="A24" s="5" t="s">
        <v>13</v>
      </c>
      <c r="B24" s="6" t="s">
        <v>5</v>
      </c>
      <c r="C24" s="6" t="s">
        <v>58</v>
      </c>
      <c r="D24" s="7">
        <v>21701862</v>
      </c>
    </row>
    <row r="25" spans="1:4" x14ac:dyDescent="0.25">
      <c r="A25" s="5" t="s">
        <v>13</v>
      </c>
      <c r="B25" s="6" t="s">
        <v>5</v>
      </c>
      <c r="C25" s="6" t="s">
        <v>59</v>
      </c>
      <c r="D25" s="7">
        <v>21559926</v>
      </c>
    </row>
    <row r="26" spans="1:4" x14ac:dyDescent="0.25">
      <c r="A26" s="5" t="s">
        <v>13</v>
      </c>
      <c r="B26" s="6" t="s">
        <v>5</v>
      </c>
      <c r="C26" s="6" t="s">
        <v>60</v>
      </c>
      <c r="D26" s="7">
        <v>22584696</v>
      </c>
    </row>
    <row r="27" spans="1:4" x14ac:dyDescent="0.25">
      <c r="A27" s="5" t="s">
        <v>13</v>
      </c>
      <c r="B27" s="6" t="s">
        <v>5</v>
      </c>
      <c r="C27" s="6" t="s">
        <v>61</v>
      </c>
      <c r="D27" s="7">
        <v>25403524</v>
      </c>
    </row>
    <row r="28" spans="1:4" x14ac:dyDescent="0.25">
      <c r="A28" s="5" t="s">
        <v>13</v>
      </c>
      <c r="B28" s="6" t="s">
        <v>5</v>
      </c>
      <c r="C28" s="6" t="s">
        <v>62</v>
      </c>
      <c r="D28" s="7">
        <v>27032940</v>
      </c>
    </row>
    <row r="29" spans="1:4" x14ac:dyDescent="0.25">
      <c r="A29" s="5" t="s">
        <v>13</v>
      </c>
      <c r="B29" s="6" t="s">
        <v>5</v>
      </c>
      <c r="C29" s="6" t="s">
        <v>63</v>
      </c>
      <c r="D29" s="7">
        <v>23600952</v>
      </c>
    </row>
    <row r="30" spans="1:4" x14ac:dyDescent="0.25">
      <c r="A30" s="5" t="s">
        <v>13</v>
      </c>
      <c r="B30" s="6" t="s">
        <v>5</v>
      </c>
      <c r="C30" s="6" t="s">
        <v>64</v>
      </c>
      <c r="D30" s="7">
        <v>23226244</v>
      </c>
    </row>
    <row r="31" spans="1:4" x14ac:dyDescent="0.25">
      <c r="A31" s="5" t="s">
        <v>13</v>
      </c>
      <c r="B31" s="6" t="s">
        <v>5</v>
      </c>
      <c r="C31" s="6" t="s">
        <v>65</v>
      </c>
      <c r="D31" s="7">
        <v>24807398</v>
      </c>
    </row>
    <row r="32" spans="1:4" x14ac:dyDescent="0.25">
      <c r="A32" s="5" t="s">
        <v>13</v>
      </c>
      <c r="B32" s="6" t="s">
        <v>5</v>
      </c>
      <c r="C32" s="6" t="s">
        <v>66</v>
      </c>
      <c r="D32" s="7">
        <v>27671648</v>
      </c>
    </row>
    <row r="33" spans="1:4" x14ac:dyDescent="0.25">
      <c r="A33" s="5" t="s">
        <v>8</v>
      </c>
      <c r="B33" s="6" t="s">
        <v>5</v>
      </c>
      <c r="C33" s="6" t="s">
        <v>36</v>
      </c>
      <c r="D33" s="7">
        <v>1176305.125</v>
      </c>
    </row>
    <row r="34" spans="1:4" x14ac:dyDescent="0.25">
      <c r="A34" s="2" t="s">
        <v>8</v>
      </c>
      <c r="B34" s="3" t="s">
        <v>5</v>
      </c>
      <c r="C34" s="3" t="s">
        <v>37</v>
      </c>
      <c r="D34" s="4">
        <v>1126891.375</v>
      </c>
    </row>
    <row r="35" spans="1:4" x14ac:dyDescent="0.25">
      <c r="A35" s="5" t="s">
        <v>8</v>
      </c>
      <c r="B35" s="6" t="s">
        <v>5</v>
      </c>
      <c r="C35" s="6" t="s">
        <v>38</v>
      </c>
      <c r="D35" s="7">
        <v>1091870.875</v>
      </c>
    </row>
    <row r="36" spans="1:4" x14ac:dyDescent="0.25">
      <c r="A36" s="2" t="s">
        <v>8</v>
      </c>
      <c r="B36" s="3" t="s">
        <v>5</v>
      </c>
      <c r="C36" s="3" t="s">
        <v>39</v>
      </c>
      <c r="D36" s="4">
        <v>1142073.625</v>
      </c>
    </row>
    <row r="37" spans="1:4" x14ac:dyDescent="0.25">
      <c r="A37" s="5" t="s">
        <v>8</v>
      </c>
      <c r="B37" s="6" t="s">
        <v>5</v>
      </c>
      <c r="C37" s="6" t="s">
        <v>40</v>
      </c>
      <c r="D37" s="7">
        <v>1179708.25</v>
      </c>
    </row>
    <row r="38" spans="1:4" x14ac:dyDescent="0.25">
      <c r="A38" s="2" t="s">
        <v>8</v>
      </c>
      <c r="B38" s="3" t="s">
        <v>5</v>
      </c>
      <c r="C38" s="3" t="s">
        <v>41</v>
      </c>
      <c r="D38" s="4">
        <v>1178561.625</v>
      </c>
    </row>
    <row r="39" spans="1:4" x14ac:dyDescent="0.25">
      <c r="A39" s="5" t="s">
        <v>8</v>
      </c>
      <c r="B39" s="6" t="s">
        <v>5</v>
      </c>
      <c r="C39" s="6" t="s">
        <v>42</v>
      </c>
      <c r="D39" s="7">
        <v>1190919.25</v>
      </c>
    </row>
    <row r="40" spans="1:4" x14ac:dyDescent="0.25">
      <c r="A40" s="2" t="s">
        <v>8</v>
      </c>
      <c r="B40" s="3" t="s">
        <v>5</v>
      </c>
      <c r="C40" s="3" t="s">
        <v>43</v>
      </c>
      <c r="D40" s="4">
        <v>1140098</v>
      </c>
    </row>
    <row r="41" spans="1:4" x14ac:dyDescent="0.25">
      <c r="A41" s="5" t="s">
        <v>8</v>
      </c>
      <c r="B41" s="6" t="s">
        <v>5</v>
      </c>
      <c r="C41" s="6" t="s">
        <v>44</v>
      </c>
      <c r="D41" s="7">
        <v>1119811.75</v>
      </c>
    </row>
    <row r="42" spans="1:4" x14ac:dyDescent="0.25">
      <c r="A42" s="2" t="s">
        <v>8</v>
      </c>
      <c r="B42" s="3" t="s">
        <v>5</v>
      </c>
      <c r="C42" s="3" t="s">
        <v>45</v>
      </c>
      <c r="D42" s="4">
        <v>1160790.5</v>
      </c>
    </row>
    <row r="43" spans="1:4" x14ac:dyDescent="0.25">
      <c r="A43" s="5" t="s">
        <v>8</v>
      </c>
      <c r="B43" s="6" t="s">
        <v>5</v>
      </c>
      <c r="C43" s="6" t="s">
        <v>46</v>
      </c>
      <c r="D43" s="7">
        <v>1174916.375</v>
      </c>
    </row>
    <row r="44" spans="1:4" x14ac:dyDescent="0.25">
      <c r="A44" s="2" t="s">
        <v>8</v>
      </c>
      <c r="B44" s="3" t="s">
        <v>5</v>
      </c>
      <c r="C44" s="3" t="s">
        <v>47</v>
      </c>
      <c r="D44" s="4">
        <v>1159884.875</v>
      </c>
    </row>
    <row r="45" spans="1:4" x14ac:dyDescent="0.25">
      <c r="A45" s="5" t="s">
        <v>8</v>
      </c>
      <c r="B45" s="6" t="s">
        <v>5</v>
      </c>
      <c r="C45" s="6" t="s">
        <v>48</v>
      </c>
      <c r="D45" s="7">
        <v>1164717.75</v>
      </c>
    </row>
    <row r="46" spans="1:4" x14ac:dyDescent="0.25">
      <c r="A46" s="2" t="s">
        <v>8</v>
      </c>
      <c r="B46" s="3" t="s">
        <v>5</v>
      </c>
      <c r="C46" s="3" t="s">
        <v>49</v>
      </c>
      <c r="D46" s="4">
        <v>1115803.875</v>
      </c>
    </row>
    <row r="47" spans="1:4" x14ac:dyDescent="0.25">
      <c r="A47" s="5" t="s">
        <v>8</v>
      </c>
      <c r="B47" s="6" t="s">
        <v>5</v>
      </c>
      <c r="C47" s="6" t="s">
        <v>50</v>
      </c>
      <c r="D47" s="7">
        <v>1081144.875</v>
      </c>
    </row>
    <row r="48" spans="1:4" x14ac:dyDescent="0.25">
      <c r="A48" s="2" t="s">
        <v>8</v>
      </c>
      <c r="B48" s="3" t="s">
        <v>5</v>
      </c>
      <c r="C48" s="3" t="s">
        <v>51</v>
      </c>
      <c r="D48" s="4">
        <v>1130840.5</v>
      </c>
    </row>
    <row r="49" spans="1:4" x14ac:dyDescent="0.25">
      <c r="A49" s="5" t="s">
        <v>8</v>
      </c>
      <c r="B49" s="6" t="s">
        <v>5</v>
      </c>
      <c r="C49" s="6" t="s">
        <v>52</v>
      </c>
      <c r="D49" s="7">
        <v>1168077.25</v>
      </c>
    </row>
    <row r="50" spans="1:4" x14ac:dyDescent="0.25">
      <c r="A50" s="2" t="s">
        <v>8</v>
      </c>
      <c r="B50" s="3" t="s">
        <v>5</v>
      </c>
      <c r="C50" s="3" t="s">
        <v>53</v>
      </c>
      <c r="D50" s="4">
        <v>1166925.625</v>
      </c>
    </row>
    <row r="51" spans="1:4" x14ac:dyDescent="0.25">
      <c r="A51" s="5" t="s">
        <v>8</v>
      </c>
      <c r="B51" s="6" t="s">
        <v>5</v>
      </c>
      <c r="C51" s="6" t="s">
        <v>54</v>
      </c>
      <c r="D51" s="7">
        <v>1179152.625</v>
      </c>
    </row>
    <row r="52" spans="1:4" x14ac:dyDescent="0.25">
      <c r="A52" s="5" t="s">
        <v>8</v>
      </c>
      <c r="B52" s="6" t="s">
        <v>5</v>
      </c>
      <c r="C52" s="6" t="s">
        <v>55</v>
      </c>
      <c r="D52" s="7">
        <v>1167450.125</v>
      </c>
    </row>
    <row r="53" spans="1:4" x14ac:dyDescent="0.25">
      <c r="A53" s="5" t="s">
        <v>8</v>
      </c>
      <c r="B53" s="6" t="s">
        <v>5</v>
      </c>
      <c r="C53" s="6" t="s">
        <v>56</v>
      </c>
      <c r="D53" s="7">
        <v>1161665.25</v>
      </c>
    </row>
    <row r="54" spans="1:4" x14ac:dyDescent="0.25">
      <c r="A54" s="5" t="s">
        <v>8</v>
      </c>
      <c r="B54" s="6" t="s">
        <v>5</v>
      </c>
      <c r="C54" s="6" t="s">
        <v>57</v>
      </c>
      <c r="D54" s="7">
        <v>1321452.875</v>
      </c>
    </row>
    <row r="55" spans="1:4" x14ac:dyDescent="0.25">
      <c r="A55" s="5" t="s">
        <v>8</v>
      </c>
      <c r="B55" s="6" t="s">
        <v>5</v>
      </c>
      <c r="C55" s="6" t="s">
        <v>58</v>
      </c>
      <c r="D55" s="7">
        <v>1195280</v>
      </c>
    </row>
    <row r="56" spans="1:4" x14ac:dyDescent="0.25">
      <c r="A56" s="5" t="s">
        <v>8</v>
      </c>
      <c r="B56" s="6" t="s">
        <v>5</v>
      </c>
      <c r="C56" s="6" t="s">
        <v>59</v>
      </c>
      <c r="D56" s="7">
        <v>1187462.5</v>
      </c>
    </row>
    <row r="57" spans="1:4" x14ac:dyDescent="0.25">
      <c r="A57" s="5" t="s">
        <v>8</v>
      </c>
      <c r="B57" s="6" t="s">
        <v>5</v>
      </c>
      <c r="C57" s="6" t="s">
        <v>60</v>
      </c>
      <c r="D57" s="7">
        <v>1243904.25</v>
      </c>
    </row>
    <row r="58" spans="1:4" x14ac:dyDescent="0.25">
      <c r="A58" s="5" t="s">
        <v>8</v>
      </c>
      <c r="B58" s="6" t="s">
        <v>5</v>
      </c>
      <c r="C58" s="6" t="s">
        <v>61</v>
      </c>
      <c r="D58" s="7">
        <v>1399157.625</v>
      </c>
    </row>
    <row r="59" spans="1:4" x14ac:dyDescent="0.25">
      <c r="A59" s="5" t="s">
        <v>8</v>
      </c>
      <c r="B59" s="6" t="s">
        <v>5</v>
      </c>
      <c r="C59" s="6" t="s">
        <v>62</v>
      </c>
      <c r="D59" s="7">
        <v>1488901.375</v>
      </c>
    </row>
    <row r="60" spans="1:4" x14ac:dyDescent="0.25">
      <c r="A60" s="5" t="s">
        <v>8</v>
      </c>
      <c r="B60" s="6" t="s">
        <v>5</v>
      </c>
      <c r="C60" s="6" t="s">
        <v>63</v>
      </c>
      <c r="D60" s="7">
        <v>1299876.625</v>
      </c>
    </row>
    <row r="61" spans="1:4" x14ac:dyDescent="0.25">
      <c r="A61" s="5" t="s">
        <v>8</v>
      </c>
      <c r="B61" s="6" t="s">
        <v>5</v>
      </c>
      <c r="C61" s="6" t="s">
        <v>64</v>
      </c>
      <c r="D61" s="7">
        <v>1279238.75</v>
      </c>
    </row>
    <row r="62" spans="1:4" x14ac:dyDescent="0.25">
      <c r="A62" s="5" t="s">
        <v>8</v>
      </c>
      <c r="B62" s="6" t="s">
        <v>5</v>
      </c>
      <c r="C62" s="6" t="s">
        <v>65</v>
      </c>
      <c r="D62" s="7">
        <v>1366324.5</v>
      </c>
    </row>
    <row r="63" spans="1:4" x14ac:dyDescent="0.25">
      <c r="A63" s="5" t="s">
        <v>8</v>
      </c>
      <c r="B63" s="6" t="s">
        <v>5</v>
      </c>
      <c r="C63" s="6" t="s">
        <v>66</v>
      </c>
      <c r="D63" s="7">
        <v>1524079.625</v>
      </c>
    </row>
    <row r="64" spans="1:4" x14ac:dyDescent="0.25">
      <c r="A64" s="5" t="s">
        <v>28</v>
      </c>
      <c r="B64" s="6" t="s">
        <v>5</v>
      </c>
      <c r="C64" s="6" t="s">
        <v>36</v>
      </c>
      <c r="D64" s="7">
        <v>5753640.5</v>
      </c>
    </row>
    <row r="65" spans="1:4" x14ac:dyDescent="0.25">
      <c r="A65" s="2" t="s">
        <v>28</v>
      </c>
      <c r="B65" s="3" t="s">
        <v>5</v>
      </c>
      <c r="C65" s="3" t="s">
        <v>37</v>
      </c>
      <c r="D65" s="4">
        <v>5523738.5</v>
      </c>
    </row>
    <row r="66" spans="1:4" x14ac:dyDescent="0.25">
      <c r="A66" s="5" t="s">
        <v>28</v>
      </c>
      <c r="B66" s="6" t="s">
        <v>5</v>
      </c>
      <c r="C66" s="6" t="s">
        <v>38</v>
      </c>
      <c r="D66" s="7">
        <v>5367016</v>
      </c>
    </row>
    <row r="67" spans="1:4" x14ac:dyDescent="0.25">
      <c r="A67" s="2" t="s">
        <v>28</v>
      </c>
      <c r="B67" s="3" t="s">
        <v>5</v>
      </c>
      <c r="C67" s="3" t="s">
        <v>39</v>
      </c>
      <c r="D67" s="4">
        <v>5601455</v>
      </c>
    </row>
    <row r="68" spans="1:4" x14ac:dyDescent="0.25">
      <c r="A68" s="5" t="s">
        <v>28</v>
      </c>
      <c r="B68" s="6" t="s">
        <v>5</v>
      </c>
      <c r="C68" s="6" t="s">
        <v>40</v>
      </c>
      <c r="D68" s="7">
        <v>5761350.5</v>
      </c>
    </row>
    <row r="69" spans="1:4" x14ac:dyDescent="0.25">
      <c r="A69" s="2" t="s">
        <v>28</v>
      </c>
      <c r="B69" s="3" t="s">
        <v>5</v>
      </c>
      <c r="C69" s="3" t="s">
        <v>41</v>
      </c>
      <c r="D69" s="4">
        <v>5741220</v>
      </c>
    </row>
    <row r="70" spans="1:4" x14ac:dyDescent="0.25">
      <c r="A70" s="5" t="s">
        <v>28</v>
      </c>
      <c r="B70" s="6" t="s">
        <v>5</v>
      </c>
      <c r="C70" s="6" t="s">
        <v>42</v>
      </c>
      <c r="D70" s="7">
        <v>5794243.5</v>
      </c>
    </row>
    <row r="71" spans="1:4" x14ac:dyDescent="0.25">
      <c r="A71" s="2" t="s">
        <v>28</v>
      </c>
      <c r="B71" s="3" t="s">
        <v>5</v>
      </c>
      <c r="C71" s="3" t="s">
        <v>43</v>
      </c>
      <c r="D71" s="4">
        <v>5659318.5</v>
      </c>
    </row>
    <row r="72" spans="1:4" x14ac:dyDescent="0.25">
      <c r="A72" s="5" t="s">
        <v>28</v>
      </c>
      <c r="B72" s="6" t="s">
        <v>5</v>
      </c>
      <c r="C72" s="6" t="s">
        <v>44</v>
      </c>
      <c r="D72" s="7">
        <v>5543168</v>
      </c>
    </row>
    <row r="73" spans="1:4" x14ac:dyDescent="0.25">
      <c r="A73" s="2" t="s">
        <v>28</v>
      </c>
      <c r="B73" s="3" t="s">
        <v>5</v>
      </c>
      <c r="C73" s="3" t="s">
        <v>45</v>
      </c>
      <c r="D73" s="4">
        <v>5756744</v>
      </c>
    </row>
    <row r="74" spans="1:4" x14ac:dyDescent="0.25">
      <c r="A74" s="5" t="s">
        <v>28</v>
      </c>
      <c r="B74" s="6" t="s">
        <v>5</v>
      </c>
      <c r="C74" s="6" t="s">
        <v>46</v>
      </c>
      <c r="D74" s="7">
        <v>5851931</v>
      </c>
    </row>
    <row r="75" spans="1:4" x14ac:dyDescent="0.25">
      <c r="A75" s="2" t="s">
        <v>28</v>
      </c>
      <c r="B75" s="3" t="s">
        <v>5</v>
      </c>
      <c r="C75" s="3" t="s">
        <v>47</v>
      </c>
      <c r="D75" s="4">
        <v>5792160.5</v>
      </c>
    </row>
    <row r="76" spans="1:4" x14ac:dyDescent="0.25">
      <c r="A76" s="5" t="s">
        <v>28</v>
      </c>
      <c r="B76" s="6" t="s">
        <v>5</v>
      </c>
      <c r="C76" s="6" t="s">
        <v>48</v>
      </c>
      <c r="D76" s="7">
        <v>5824628</v>
      </c>
    </row>
    <row r="77" spans="1:4" x14ac:dyDescent="0.25">
      <c r="A77" s="2" t="s">
        <v>28</v>
      </c>
      <c r="B77" s="3" t="s">
        <v>5</v>
      </c>
      <c r="C77" s="3" t="s">
        <v>49</v>
      </c>
      <c r="D77" s="4">
        <v>5591988</v>
      </c>
    </row>
    <row r="78" spans="1:4" x14ac:dyDescent="0.25">
      <c r="A78" s="5" t="s">
        <v>28</v>
      </c>
      <c r="B78" s="6" t="s">
        <v>5</v>
      </c>
      <c r="C78" s="6" t="s">
        <v>50</v>
      </c>
      <c r="D78" s="7">
        <v>5433464.5</v>
      </c>
    </row>
    <row r="79" spans="1:4" x14ac:dyDescent="0.25">
      <c r="A79" s="2" t="s">
        <v>28</v>
      </c>
      <c r="B79" s="3" t="s">
        <v>5</v>
      </c>
      <c r="C79" s="3" t="s">
        <v>51</v>
      </c>
      <c r="D79" s="4">
        <v>5670707.5</v>
      </c>
    </row>
    <row r="80" spans="1:4" x14ac:dyDescent="0.25">
      <c r="A80" s="5" t="s">
        <v>28</v>
      </c>
      <c r="B80" s="6" t="s">
        <v>5</v>
      </c>
      <c r="C80" s="6" t="s">
        <v>52</v>
      </c>
      <c r="D80" s="7">
        <v>5832363</v>
      </c>
    </row>
    <row r="81" spans="1:4" x14ac:dyDescent="0.25">
      <c r="A81" s="2" t="s">
        <v>28</v>
      </c>
      <c r="B81" s="3" t="s">
        <v>5</v>
      </c>
      <c r="C81" s="3" t="s">
        <v>53</v>
      </c>
      <c r="D81" s="4">
        <v>5811859</v>
      </c>
    </row>
    <row r="82" spans="1:4" x14ac:dyDescent="0.25">
      <c r="A82" s="5" t="s">
        <v>28</v>
      </c>
      <c r="B82" s="6" t="s">
        <v>5</v>
      </c>
      <c r="C82" s="6" t="s">
        <v>54</v>
      </c>
      <c r="D82" s="7">
        <v>5865467</v>
      </c>
    </row>
    <row r="83" spans="1:4" x14ac:dyDescent="0.25">
      <c r="A83" s="5" t="s">
        <v>28</v>
      </c>
      <c r="B83" s="6" t="s">
        <v>5</v>
      </c>
      <c r="C83" s="6" t="s">
        <v>55</v>
      </c>
      <c r="D83" s="7">
        <v>8829024</v>
      </c>
    </row>
    <row r="84" spans="1:4" x14ac:dyDescent="0.25">
      <c r="A84" s="5" t="s">
        <v>28</v>
      </c>
      <c r="B84" s="6" t="s">
        <v>5</v>
      </c>
      <c r="C84" s="6" t="s">
        <v>56</v>
      </c>
      <c r="D84" s="7">
        <v>8718425</v>
      </c>
    </row>
    <row r="85" spans="1:4" x14ac:dyDescent="0.25">
      <c r="A85" s="5" t="s">
        <v>28</v>
      </c>
      <c r="B85" s="6" t="s">
        <v>5</v>
      </c>
      <c r="C85" s="6" t="s">
        <v>57</v>
      </c>
      <c r="D85" s="7">
        <v>9841509</v>
      </c>
    </row>
    <row r="86" spans="1:4" x14ac:dyDescent="0.25">
      <c r="A86" s="5" t="s">
        <v>28</v>
      </c>
      <c r="B86" s="6" t="s">
        <v>5</v>
      </c>
      <c r="C86" s="6" t="s">
        <v>58</v>
      </c>
      <c r="D86" s="7">
        <v>8851312</v>
      </c>
    </row>
    <row r="87" spans="1:4" x14ac:dyDescent="0.25">
      <c r="A87" s="5" t="s">
        <v>28</v>
      </c>
      <c r="B87" s="6" t="s">
        <v>5</v>
      </c>
      <c r="C87" s="6" t="s">
        <v>59</v>
      </c>
      <c r="D87" s="7">
        <v>8800883</v>
      </c>
    </row>
    <row r="88" spans="1:4" x14ac:dyDescent="0.25">
      <c r="A88" s="5" t="s">
        <v>28</v>
      </c>
      <c r="B88" s="6" t="s">
        <v>5</v>
      </c>
      <c r="C88" s="6" t="s">
        <v>60</v>
      </c>
      <c r="D88" s="7">
        <v>9228404</v>
      </c>
    </row>
    <row r="89" spans="1:4" x14ac:dyDescent="0.25">
      <c r="A89" s="5" t="s">
        <v>28</v>
      </c>
      <c r="B89" s="6" t="s">
        <v>5</v>
      </c>
      <c r="C89" s="6" t="s">
        <v>61</v>
      </c>
      <c r="D89" s="7">
        <v>10442618</v>
      </c>
    </row>
    <row r="90" spans="1:4" x14ac:dyDescent="0.25">
      <c r="A90" s="5" t="s">
        <v>28</v>
      </c>
      <c r="B90" s="6" t="s">
        <v>5</v>
      </c>
      <c r="C90" s="6" t="s">
        <v>62</v>
      </c>
      <c r="D90" s="7">
        <v>11059491</v>
      </c>
    </row>
    <row r="91" spans="1:4" x14ac:dyDescent="0.25">
      <c r="A91" s="5" t="s">
        <v>28</v>
      </c>
      <c r="B91" s="6" t="s">
        <v>5</v>
      </c>
      <c r="C91" s="6" t="s">
        <v>63</v>
      </c>
      <c r="D91" s="7">
        <v>9655263</v>
      </c>
    </row>
    <row r="92" spans="1:4" x14ac:dyDescent="0.25">
      <c r="A92" s="5" t="s">
        <v>28</v>
      </c>
      <c r="B92" s="6" t="s">
        <v>5</v>
      </c>
      <c r="C92" s="6" t="s">
        <v>64</v>
      </c>
      <c r="D92" s="7">
        <v>9496012</v>
      </c>
    </row>
    <row r="93" spans="1:4" x14ac:dyDescent="0.25">
      <c r="A93" s="5" t="s">
        <v>28</v>
      </c>
      <c r="B93" s="6" t="s">
        <v>5</v>
      </c>
      <c r="C93" s="6" t="s">
        <v>65</v>
      </c>
      <c r="D93" s="7">
        <v>10134055</v>
      </c>
    </row>
    <row r="94" spans="1:4" x14ac:dyDescent="0.25">
      <c r="A94" s="5" t="s">
        <v>28</v>
      </c>
      <c r="B94" s="6" t="s">
        <v>5</v>
      </c>
      <c r="C94" s="6" t="s">
        <v>66</v>
      </c>
      <c r="D94" s="7">
        <v>11344861</v>
      </c>
    </row>
    <row r="95" spans="1:4" x14ac:dyDescent="0.25">
      <c r="A95" s="2" t="s">
        <v>27</v>
      </c>
      <c r="B95" s="3" t="s">
        <v>5</v>
      </c>
      <c r="C95" s="3" t="s">
        <v>36</v>
      </c>
      <c r="D95" s="4">
        <v>4352365.5</v>
      </c>
    </row>
    <row r="96" spans="1:4" x14ac:dyDescent="0.25">
      <c r="A96" s="5" t="s">
        <v>27</v>
      </c>
      <c r="B96" s="6" t="s">
        <v>5</v>
      </c>
      <c r="C96" s="6" t="s">
        <v>37</v>
      </c>
      <c r="D96" s="7">
        <v>4179210.5</v>
      </c>
    </row>
    <row r="97" spans="1:4" x14ac:dyDescent="0.25">
      <c r="A97" s="2" t="s">
        <v>27</v>
      </c>
      <c r="B97" s="3" t="s">
        <v>5</v>
      </c>
      <c r="C97" s="3" t="s">
        <v>38</v>
      </c>
      <c r="D97" s="4">
        <v>4061788.25</v>
      </c>
    </row>
    <row r="98" spans="1:4" x14ac:dyDescent="0.25">
      <c r="A98" s="5" t="s">
        <v>27</v>
      </c>
      <c r="B98" s="6" t="s">
        <v>5</v>
      </c>
      <c r="C98" s="6" t="s">
        <v>39</v>
      </c>
      <c r="D98" s="7">
        <v>4238469.5</v>
      </c>
    </row>
    <row r="99" spans="1:4" x14ac:dyDescent="0.25">
      <c r="A99" s="2" t="s">
        <v>27</v>
      </c>
      <c r="B99" s="3" t="s">
        <v>5</v>
      </c>
      <c r="C99" s="3" t="s">
        <v>40</v>
      </c>
      <c r="D99" s="4">
        <v>4357840.5</v>
      </c>
    </row>
    <row r="100" spans="1:4" x14ac:dyDescent="0.25">
      <c r="A100" s="5" t="s">
        <v>27</v>
      </c>
      <c r="B100" s="6" t="s">
        <v>5</v>
      </c>
      <c r="C100" s="6" t="s">
        <v>41</v>
      </c>
      <c r="D100" s="7">
        <v>4341769.5</v>
      </c>
    </row>
    <row r="101" spans="1:4" x14ac:dyDescent="0.25">
      <c r="A101" s="2" t="s">
        <v>27</v>
      </c>
      <c r="B101" s="3" t="s">
        <v>5</v>
      </c>
      <c r="C101" s="3" t="s">
        <v>42</v>
      </c>
      <c r="D101" s="4">
        <v>4380885.5</v>
      </c>
    </row>
    <row r="102" spans="1:4" x14ac:dyDescent="0.25">
      <c r="A102" s="5" t="s">
        <v>27</v>
      </c>
      <c r="B102" s="6" t="s">
        <v>5</v>
      </c>
      <c r="C102" s="6" t="s">
        <v>43</v>
      </c>
      <c r="D102" s="7">
        <v>4268684</v>
      </c>
    </row>
    <row r="103" spans="1:4" x14ac:dyDescent="0.25">
      <c r="A103" s="2" t="s">
        <v>27</v>
      </c>
      <c r="B103" s="3" t="s">
        <v>5</v>
      </c>
      <c r="C103" s="3" t="s">
        <v>44</v>
      </c>
      <c r="D103" s="4">
        <v>4179960.75</v>
      </c>
    </row>
    <row r="104" spans="1:4" x14ac:dyDescent="0.25">
      <c r="A104" s="5" t="s">
        <v>27</v>
      </c>
      <c r="B104" s="6" t="s">
        <v>5</v>
      </c>
      <c r="C104" s="6" t="s">
        <v>45</v>
      </c>
      <c r="D104" s="7">
        <v>4341817.5</v>
      </c>
    </row>
    <row r="105" spans="1:4" x14ac:dyDescent="0.25">
      <c r="A105" s="2" t="s">
        <v>27</v>
      </c>
      <c r="B105" s="3" t="s">
        <v>5</v>
      </c>
      <c r="C105" s="3" t="s">
        <v>46</v>
      </c>
      <c r="D105" s="4">
        <v>4414965</v>
      </c>
    </row>
    <row r="106" spans="1:4" x14ac:dyDescent="0.25">
      <c r="A106" s="5" t="s">
        <v>27</v>
      </c>
      <c r="B106" s="6" t="s">
        <v>5</v>
      </c>
      <c r="C106" s="6" t="s">
        <v>47</v>
      </c>
      <c r="D106" s="7">
        <v>4370957.5</v>
      </c>
    </row>
    <row r="107" spans="1:4" x14ac:dyDescent="0.25">
      <c r="A107" s="2" t="s">
        <v>27</v>
      </c>
      <c r="B107" s="3" t="s">
        <v>5</v>
      </c>
      <c r="C107" s="3" t="s">
        <v>48</v>
      </c>
      <c r="D107" s="4">
        <v>4395772</v>
      </c>
    </row>
    <row r="108" spans="1:4" x14ac:dyDescent="0.25">
      <c r="A108" s="5" t="s">
        <v>27</v>
      </c>
      <c r="B108" s="6" t="s">
        <v>5</v>
      </c>
      <c r="C108" s="6" t="s">
        <v>49</v>
      </c>
      <c r="D108" s="7">
        <v>4220964</v>
      </c>
    </row>
    <row r="109" spans="1:4" x14ac:dyDescent="0.25">
      <c r="A109" s="2" t="s">
        <v>27</v>
      </c>
      <c r="B109" s="3" t="s">
        <v>5</v>
      </c>
      <c r="C109" s="3" t="s">
        <v>50</v>
      </c>
      <c r="D109" s="4">
        <v>4102468.75</v>
      </c>
    </row>
    <row r="110" spans="1:4" x14ac:dyDescent="0.25">
      <c r="A110" s="5" t="s">
        <v>27</v>
      </c>
      <c r="B110" s="6" t="s">
        <v>5</v>
      </c>
      <c r="C110" s="6" t="s">
        <v>51</v>
      </c>
      <c r="D110" s="7">
        <v>4280847.5</v>
      </c>
    </row>
    <row r="111" spans="1:4" x14ac:dyDescent="0.25">
      <c r="A111" s="2" t="s">
        <v>27</v>
      </c>
      <c r="B111" s="3" t="s">
        <v>5</v>
      </c>
      <c r="C111" s="3" t="s">
        <v>52</v>
      </c>
      <c r="D111" s="4">
        <v>4401249.5</v>
      </c>
    </row>
    <row r="112" spans="1:4" x14ac:dyDescent="0.25">
      <c r="A112" s="5" t="s">
        <v>27</v>
      </c>
      <c r="B112" s="6" t="s">
        <v>5</v>
      </c>
      <c r="C112" s="6" t="s">
        <v>53</v>
      </c>
      <c r="D112" s="7">
        <v>4384923.5</v>
      </c>
    </row>
    <row r="113" spans="1:4" x14ac:dyDescent="0.25">
      <c r="A113" s="2" t="s">
        <v>27</v>
      </c>
      <c r="B113" s="3" t="s">
        <v>5</v>
      </c>
      <c r="C113" s="3" t="s">
        <v>54</v>
      </c>
      <c r="D113" s="4">
        <v>4424381.5</v>
      </c>
    </row>
    <row r="114" spans="1:4" x14ac:dyDescent="0.25">
      <c r="A114" s="2" t="s">
        <v>27</v>
      </c>
      <c r="B114" s="3" t="s">
        <v>5</v>
      </c>
      <c r="C114" s="3" t="s">
        <v>55</v>
      </c>
      <c r="D114" s="4">
        <v>9252496</v>
      </c>
    </row>
    <row r="115" spans="1:4" x14ac:dyDescent="0.25">
      <c r="A115" s="2" t="s">
        <v>27</v>
      </c>
      <c r="B115" s="3" t="s">
        <v>5</v>
      </c>
      <c r="C115" s="3" t="s">
        <v>56</v>
      </c>
      <c r="D115" s="4">
        <v>9206648</v>
      </c>
    </row>
    <row r="116" spans="1:4" x14ac:dyDescent="0.25">
      <c r="A116" s="2" t="s">
        <v>27</v>
      </c>
      <c r="B116" s="3" t="s">
        <v>5</v>
      </c>
      <c r="C116" s="3" t="s">
        <v>57</v>
      </c>
      <c r="D116" s="4">
        <v>10473027</v>
      </c>
    </row>
    <row r="117" spans="1:4" x14ac:dyDescent="0.25">
      <c r="A117" s="2" t="s">
        <v>27</v>
      </c>
      <c r="B117" s="3" t="s">
        <v>5</v>
      </c>
      <c r="C117" s="3" t="s">
        <v>58</v>
      </c>
      <c r="D117" s="4">
        <v>9473059</v>
      </c>
    </row>
    <row r="118" spans="1:4" x14ac:dyDescent="0.25">
      <c r="A118" s="2" t="s">
        <v>27</v>
      </c>
      <c r="B118" s="3" t="s">
        <v>5</v>
      </c>
      <c r="C118" s="3" t="s">
        <v>59</v>
      </c>
      <c r="D118" s="4">
        <v>9411103</v>
      </c>
    </row>
    <row r="119" spans="1:4" x14ac:dyDescent="0.25">
      <c r="A119" s="2" t="s">
        <v>27</v>
      </c>
      <c r="B119" s="3" t="s">
        <v>5</v>
      </c>
      <c r="C119" s="3" t="s">
        <v>60</v>
      </c>
      <c r="D119" s="4">
        <v>9858425</v>
      </c>
    </row>
    <row r="120" spans="1:4" x14ac:dyDescent="0.25">
      <c r="A120" s="2" t="s">
        <v>27</v>
      </c>
      <c r="B120" s="3" t="s">
        <v>5</v>
      </c>
      <c r="C120" s="3" t="s">
        <v>61</v>
      </c>
      <c r="D120" s="4">
        <v>11088869</v>
      </c>
    </row>
    <row r="121" spans="1:4" x14ac:dyDescent="0.25">
      <c r="A121" s="2" t="s">
        <v>27</v>
      </c>
      <c r="B121" s="3" t="s">
        <v>5</v>
      </c>
      <c r="C121" s="3" t="s">
        <v>62</v>
      </c>
      <c r="D121" s="4">
        <v>11800123</v>
      </c>
    </row>
    <row r="122" spans="1:4" x14ac:dyDescent="0.25">
      <c r="A122" s="2" t="s">
        <v>27</v>
      </c>
      <c r="B122" s="3" t="s">
        <v>5</v>
      </c>
      <c r="C122" s="3" t="s">
        <v>63</v>
      </c>
      <c r="D122" s="4">
        <v>10302029</v>
      </c>
    </row>
    <row r="123" spans="1:4" x14ac:dyDescent="0.25">
      <c r="A123" s="2" t="s">
        <v>27</v>
      </c>
      <c r="B123" s="3" t="s">
        <v>5</v>
      </c>
      <c r="C123" s="3" t="s">
        <v>64</v>
      </c>
      <c r="D123" s="4">
        <v>10138465</v>
      </c>
    </row>
    <row r="124" spans="1:4" x14ac:dyDescent="0.25">
      <c r="A124" s="2" t="s">
        <v>27</v>
      </c>
      <c r="B124" s="3" t="s">
        <v>5</v>
      </c>
      <c r="C124" s="3" t="s">
        <v>65</v>
      </c>
      <c r="D124" s="4">
        <v>10828654</v>
      </c>
    </row>
    <row r="125" spans="1:4" x14ac:dyDescent="0.25">
      <c r="A125" s="2" t="s">
        <v>27</v>
      </c>
      <c r="B125" s="3" t="s">
        <v>5</v>
      </c>
      <c r="C125" s="3" t="s">
        <v>66</v>
      </c>
      <c r="D125" s="4">
        <v>12078924</v>
      </c>
    </row>
    <row r="126" spans="1:4" x14ac:dyDescent="0.25">
      <c r="A126" s="5" t="s">
        <v>16</v>
      </c>
      <c r="B126" s="6" t="s">
        <v>5</v>
      </c>
      <c r="C126" s="6" t="s">
        <v>36</v>
      </c>
      <c r="D126" s="7">
        <v>9750325</v>
      </c>
    </row>
    <row r="127" spans="1:4" x14ac:dyDescent="0.25">
      <c r="A127" s="2" t="s">
        <v>16</v>
      </c>
      <c r="B127" s="3" t="s">
        <v>5</v>
      </c>
      <c r="C127" s="3" t="s">
        <v>37</v>
      </c>
      <c r="D127" s="4">
        <v>9354652</v>
      </c>
    </row>
    <row r="128" spans="1:4" x14ac:dyDescent="0.25">
      <c r="A128" s="5" t="s">
        <v>16</v>
      </c>
      <c r="B128" s="6" t="s">
        <v>5</v>
      </c>
      <c r="C128" s="6" t="s">
        <v>38</v>
      </c>
      <c r="D128" s="7">
        <v>9081508</v>
      </c>
    </row>
    <row r="129" spans="1:4" x14ac:dyDescent="0.25">
      <c r="A129" s="2" t="s">
        <v>16</v>
      </c>
      <c r="B129" s="3" t="s">
        <v>5</v>
      </c>
      <c r="C129" s="3" t="s">
        <v>39</v>
      </c>
      <c r="D129" s="4">
        <v>9484551</v>
      </c>
    </row>
    <row r="130" spans="1:4" x14ac:dyDescent="0.25">
      <c r="A130" s="5" t="s">
        <v>16</v>
      </c>
      <c r="B130" s="6" t="s">
        <v>5</v>
      </c>
      <c r="C130" s="6" t="s">
        <v>40</v>
      </c>
      <c r="D130" s="7">
        <v>9767918</v>
      </c>
    </row>
    <row r="131" spans="1:4" x14ac:dyDescent="0.25">
      <c r="A131" s="2" t="s">
        <v>16</v>
      </c>
      <c r="B131" s="3" t="s">
        <v>5</v>
      </c>
      <c r="C131" s="3" t="s">
        <v>41</v>
      </c>
      <c r="D131" s="4">
        <v>9741220</v>
      </c>
    </row>
    <row r="132" spans="1:4" x14ac:dyDescent="0.25">
      <c r="A132" s="5" t="s">
        <v>16</v>
      </c>
      <c r="B132" s="6" t="s">
        <v>5</v>
      </c>
      <c r="C132" s="6" t="s">
        <v>42</v>
      </c>
      <c r="D132" s="7">
        <v>9835128</v>
      </c>
    </row>
    <row r="133" spans="1:4" x14ac:dyDescent="0.25">
      <c r="A133" s="2" t="s">
        <v>16</v>
      </c>
      <c r="B133" s="3" t="s">
        <v>5</v>
      </c>
      <c r="C133" s="3" t="s">
        <v>43</v>
      </c>
      <c r="D133" s="4">
        <v>9559479</v>
      </c>
    </row>
    <row r="134" spans="1:4" x14ac:dyDescent="0.25">
      <c r="A134" s="5" t="s">
        <v>16</v>
      </c>
      <c r="B134" s="6" t="s">
        <v>5</v>
      </c>
      <c r="C134" s="6" t="s">
        <v>44</v>
      </c>
      <c r="D134" s="7">
        <v>9371095</v>
      </c>
    </row>
    <row r="135" spans="1:4" x14ac:dyDescent="0.25">
      <c r="A135" s="2" t="s">
        <v>16</v>
      </c>
      <c r="B135" s="3" t="s">
        <v>5</v>
      </c>
      <c r="C135" s="3" t="s">
        <v>45</v>
      </c>
      <c r="D135" s="4">
        <v>9726665</v>
      </c>
    </row>
    <row r="136" spans="1:4" x14ac:dyDescent="0.25">
      <c r="A136" s="5" t="s">
        <v>16</v>
      </c>
      <c r="B136" s="6" t="s">
        <v>5</v>
      </c>
      <c r="C136" s="6" t="s">
        <v>46</v>
      </c>
      <c r="D136" s="7">
        <v>9874883</v>
      </c>
    </row>
    <row r="137" spans="1:4" x14ac:dyDescent="0.25">
      <c r="A137" s="2" t="s">
        <v>16</v>
      </c>
      <c r="B137" s="3" t="s">
        <v>5</v>
      </c>
      <c r="C137" s="3" t="s">
        <v>47</v>
      </c>
      <c r="D137" s="4">
        <v>9766331</v>
      </c>
    </row>
    <row r="138" spans="1:4" x14ac:dyDescent="0.25">
      <c r="A138" s="5" t="s">
        <v>16</v>
      </c>
      <c r="B138" s="6" t="s">
        <v>5</v>
      </c>
      <c r="C138" s="6" t="s">
        <v>48</v>
      </c>
      <c r="D138" s="7">
        <v>9816983</v>
      </c>
    </row>
    <row r="139" spans="1:4" x14ac:dyDescent="0.25">
      <c r="A139" s="2" t="s">
        <v>16</v>
      </c>
      <c r="B139" s="3" t="s">
        <v>5</v>
      </c>
      <c r="C139" s="3" t="s">
        <v>49</v>
      </c>
      <c r="D139" s="4">
        <v>9418857</v>
      </c>
    </row>
    <row r="140" spans="1:4" x14ac:dyDescent="0.25">
      <c r="A140" s="5" t="s">
        <v>16</v>
      </c>
      <c r="B140" s="6" t="s">
        <v>5</v>
      </c>
      <c r="C140" s="6" t="s">
        <v>50</v>
      </c>
      <c r="D140" s="7">
        <v>9144170</v>
      </c>
    </row>
    <row r="141" spans="1:4" x14ac:dyDescent="0.25">
      <c r="A141" s="2" t="s">
        <v>16</v>
      </c>
      <c r="B141" s="3" t="s">
        <v>5</v>
      </c>
      <c r="C141" s="3" t="s">
        <v>51</v>
      </c>
      <c r="D141" s="4">
        <v>9549735</v>
      </c>
    </row>
    <row r="142" spans="1:4" x14ac:dyDescent="0.25">
      <c r="A142" s="5" t="s">
        <v>16</v>
      </c>
      <c r="B142" s="6" t="s">
        <v>5</v>
      </c>
      <c r="C142" s="6" t="s">
        <v>52</v>
      </c>
      <c r="D142" s="7">
        <v>9834512</v>
      </c>
    </row>
    <row r="143" spans="1:4" x14ac:dyDescent="0.25">
      <c r="A143" s="2" t="s">
        <v>16</v>
      </c>
      <c r="B143" s="3" t="s">
        <v>5</v>
      </c>
      <c r="C143" s="3" t="s">
        <v>53</v>
      </c>
      <c r="D143" s="4">
        <v>9807317</v>
      </c>
    </row>
    <row r="144" spans="1:4" x14ac:dyDescent="0.25">
      <c r="A144" s="5" t="s">
        <v>16</v>
      </c>
      <c r="B144" s="6" t="s">
        <v>5</v>
      </c>
      <c r="C144" s="6" t="s">
        <v>54</v>
      </c>
      <c r="D144" s="7">
        <v>9901697</v>
      </c>
    </row>
    <row r="145" spans="1:4" x14ac:dyDescent="0.25">
      <c r="A145" s="2" t="s">
        <v>16</v>
      </c>
      <c r="B145" s="3" t="s">
        <v>5</v>
      </c>
      <c r="C145" s="3" t="s">
        <v>55</v>
      </c>
      <c r="D145" s="4">
        <v>20466154</v>
      </c>
    </row>
    <row r="146" spans="1:4" x14ac:dyDescent="0.25">
      <c r="A146" s="2" t="s">
        <v>16</v>
      </c>
      <c r="B146" s="3" t="s">
        <v>5</v>
      </c>
      <c r="C146" s="3" t="s">
        <v>56</v>
      </c>
      <c r="D146" s="4">
        <v>20364742</v>
      </c>
    </row>
    <row r="147" spans="1:4" x14ac:dyDescent="0.25">
      <c r="A147" s="2" t="s">
        <v>16</v>
      </c>
      <c r="B147" s="3" t="s">
        <v>5</v>
      </c>
      <c r="C147" s="3" t="s">
        <v>57</v>
      </c>
      <c r="D147" s="4">
        <v>23165924</v>
      </c>
    </row>
    <row r="148" spans="1:4" x14ac:dyDescent="0.25">
      <c r="A148" s="2" t="s">
        <v>16</v>
      </c>
      <c r="B148" s="3" t="s">
        <v>5</v>
      </c>
      <c r="C148" s="3" t="s">
        <v>58</v>
      </c>
      <c r="D148" s="4">
        <v>20954034</v>
      </c>
    </row>
    <row r="149" spans="1:4" x14ac:dyDescent="0.25">
      <c r="A149" s="2" t="s">
        <v>16</v>
      </c>
      <c r="B149" s="3" t="s">
        <v>5</v>
      </c>
      <c r="C149" s="3" t="s">
        <v>59</v>
      </c>
      <c r="D149" s="4">
        <v>20816988</v>
      </c>
    </row>
    <row r="150" spans="1:4" x14ac:dyDescent="0.25">
      <c r="A150" s="2" t="s">
        <v>16</v>
      </c>
      <c r="B150" s="3" t="s">
        <v>5</v>
      </c>
      <c r="C150" s="3" t="s">
        <v>60</v>
      </c>
      <c r="D150" s="4">
        <v>21806446</v>
      </c>
    </row>
    <row r="151" spans="1:4" x14ac:dyDescent="0.25">
      <c r="A151" s="2" t="s">
        <v>16</v>
      </c>
      <c r="B151" s="3" t="s">
        <v>5</v>
      </c>
      <c r="C151" s="3" t="s">
        <v>61</v>
      </c>
      <c r="D151" s="4">
        <v>24528140</v>
      </c>
    </row>
    <row r="152" spans="1:4" x14ac:dyDescent="0.25">
      <c r="A152" s="2" t="s">
        <v>16</v>
      </c>
      <c r="B152" s="3" t="s">
        <v>5</v>
      </c>
      <c r="C152" s="3" t="s">
        <v>62</v>
      </c>
      <c r="D152" s="4">
        <v>26101404</v>
      </c>
    </row>
    <row r="153" spans="1:4" x14ac:dyDescent="0.25">
      <c r="A153" s="2" t="s">
        <v>16</v>
      </c>
      <c r="B153" s="3" t="s">
        <v>5</v>
      </c>
      <c r="C153" s="3" t="s">
        <v>63</v>
      </c>
      <c r="D153" s="4">
        <v>22787680</v>
      </c>
    </row>
    <row r="154" spans="1:4" x14ac:dyDescent="0.25">
      <c r="A154" s="2" t="s">
        <v>16</v>
      </c>
      <c r="B154" s="3" t="s">
        <v>5</v>
      </c>
      <c r="C154" s="3" t="s">
        <v>64</v>
      </c>
      <c r="D154" s="4">
        <v>22425882</v>
      </c>
    </row>
    <row r="155" spans="1:4" x14ac:dyDescent="0.25">
      <c r="A155" s="2" t="s">
        <v>16</v>
      </c>
      <c r="B155" s="3" t="s">
        <v>5</v>
      </c>
      <c r="C155" s="3" t="s">
        <v>65</v>
      </c>
      <c r="D155" s="4">
        <v>23952552</v>
      </c>
    </row>
    <row r="156" spans="1:4" x14ac:dyDescent="0.25">
      <c r="A156" s="2" t="s">
        <v>16</v>
      </c>
      <c r="B156" s="3" t="s">
        <v>5</v>
      </c>
      <c r="C156" s="3" t="s">
        <v>66</v>
      </c>
      <c r="D156" s="4">
        <v>26718104</v>
      </c>
    </row>
    <row r="157" spans="1:4" x14ac:dyDescent="0.25">
      <c r="A157" s="2" t="s">
        <v>17</v>
      </c>
      <c r="B157" s="3" t="s">
        <v>5</v>
      </c>
      <c r="C157" s="3" t="s">
        <v>36</v>
      </c>
      <c r="D157" s="4">
        <v>8881372</v>
      </c>
    </row>
    <row r="158" spans="1:4" x14ac:dyDescent="0.25">
      <c r="A158" s="5" t="s">
        <v>17</v>
      </c>
      <c r="B158" s="6" t="s">
        <v>5</v>
      </c>
      <c r="C158" s="6" t="s">
        <v>37</v>
      </c>
      <c r="D158" s="7">
        <v>8527703</v>
      </c>
    </row>
    <row r="159" spans="1:4" x14ac:dyDescent="0.25">
      <c r="A159" s="2" t="s">
        <v>17</v>
      </c>
      <c r="B159" s="3" t="s">
        <v>5</v>
      </c>
      <c r="C159" s="3" t="s">
        <v>38</v>
      </c>
      <c r="D159" s="4">
        <v>8287279.5</v>
      </c>
    </row>
    <row r="160" spans="1:4" x14ac:dyDescent="0.25">
      <c r="A160" s="5" t="s">
        <v>17</v>
      </c>
      <c r="B160" s="6" t="s">
        <v>5</v>
      </c>
      <c r="C160" s="6" t="s">
        <v>39</v>
      </c>
      <c r="D160" s="7">
        <v>8648108</v>
      </c>
    </row>
    <row r="161" spans="1:4" x14ac:dyDescent="0.25">
      <c r="A161" s="2" t="s">
        <v>17</v>
      </c>
      <c r="B161" s="3" t="s">
        <v>5</v>
      </c>
      <c r="C161" s="3" t="s">
        <v>40</v>
      </c>
      <c r="D161" s="4">
        <v>8892380</v>
      </c>
    </row>
    <row r="162" spans="1:4" x14ac:dyDescent="0.25">
      <c r="A162" s="5" t="s">
        <v>17</v>
      </c>
      <c r="B162" s="6" t="s">
        <v>5</v>
      </c>
      <c r="C162" s="6" t="s">
        <v>41</v>
      </c>
      <c r="D162" s="7">
        <v>8859799</v>
      </c>
    </row>
    <row r="163" spans="1:4" x14ac:dyDescent="0.25">
      <c r="A163" s="2" t="s">
        <v>17</v>
      </c>
      <c r="B163" s="3" t="s">
        <v>5</v>
      </c>
      <c r="C163" s="3" t="s">
        <v>42</v>
      </c>
      <c r="D163" s="4">
        <v>8940942</v>
      </c>
    </row>
    <row r="164" spans="1:4" x14ac:dyDescent="0.25">
      <c r="A164" s="5" t="s">
        <v>17</v>
      </c>
      <c r="B164" s="6" t="s">
        <v>5</v>
      </c>
      <c r="C164" s="6" t="s">
        <v>43</v>
      </c>
      <c r="D164" s="7">
        <v>8757044</v>
      </c>
    </row>
    <row r="165" spans="1:4" x14ac:dyDescent="0.25">
      <c r="A165" s="2" t="s">
        <v>17</v>
      </c>
      <c r="B165" s="3" t="s">
        <v>5</v>
      </c>
      <c r="C165" s="3" t="s">
        <v>44</v>
      </c>
      <c r="D165" s="4">
        <v>8575628</v>
      </c>
    </row>
    <row r="166" spans="1:4" x14ac:dyDescent="0.25">
      <c r="A166" s="5" t="s">
        <v>17</v>
      </c>
      <c r="B166" s="6" t="s">
        <v>5</v>
      </c>
      <c r="C166" s="6" t="s">
        <v>45</v>
      </c>
      <c r="D166" s="7">
        <v>8907151</v>
      </c>
    </row>
    <row r="167" spans="1:4" x14ac:dyDescent="0.25">
      <c r="A167" s="2" t="s">
        <v>17</v>
      </c>
      <c r="B167" s="3" t="s">
        <v>5</v>
      </c>
      <c r="C167" s="3" t="s">
        <v>46</v>
      </c>
      <c r="D167" s="4">
        <v>9057040</v>
      </c>
    </row>
    <row r="168" spans="1:4" x14ac:dyDescent="0.25">
      <c r="A168" s="5" t="s">
        <v>17</v>
      </c>
      <c r="B168" s="6" t="s">
        <v>5</v>
      </c>
      <c r="C168" s="6" t="s">
        <v>47</v>
      </c>
      <c r="D168" s="7">
        <v>8966057</v>
      </c>
    </row>
    <row r="169" spans="1:4" x14ac:dyDescent="0.25">
      <c r="A169" s="2" t="s">
        <v>17</v>
      </c>
      <c r="B169" s="3" t="s">
        <v>5</v>
      </c>
      <c r="C169" s="3" t="s">
        <v>48</v>
      </c>
      <c r="D169" s="4">
        <v>9017185</v>
      </c>
    </row>
    <row r="170" spans="1:4" x14ac:dyDescent="0.25">
      <c r="A170" s="5" t="s">
        <v>17</v>
      </c>
      <c r="B170" s="6" t="s">
        <v>5</v>
      </c>
      <c r="C170" s="6" t="s">
        <v>49</v>
      </c>
      <c r="D170" s="7">
        <v>8658251</v>
      </c>
    </row>
    <row r="171" spans="1:4" x14ac:dyDescent="0.25">
      <c r="A171" s="2" t="s">
        <v>17</v>
      </c>
      <c r="B171" s="3" t="s">
        <v>5</v>
      </c>
      <c r="C171" s="3" t="s">
        <v>50</v>
      </c>
      <c r="D171" s="4">
        <v>8414346</v>
      </c>
    </row>
    <row r="172" spans="1:4" x14ac:dyDescent="0.25">
      <c r="A172" s="5" t="s">
        <v>17</v>
      </c>
      <c r="B172" s="6" t="s">
        <v>5</v>
      </c>
      <c r="C172" s="6" t="s">
        <v>51</v>
      </c>
      <c r="D172" s="7">
        <v>8780565</v>
      </c>
    </row>
    <row r="173" spans="1:4" x14ac:dyDescent="0.25">
      <c r="A173" s="2" t="s">
        <v>17</v>
      </c>
      <c r="B173" s="3" t="s">
        <v>5</v>
      </c>
      <c r="C173" s="3" t="s">
        <v>52</v>
      </c>
      <c r="D173" s="4">
        <v>9028261</v>
      </c>
    </row>
    <row r="174" spans="1:4" x14ac:dyDescent="0.25">
      <c r="A174" s="5" t="s">
        <v>17</v>
      </c>
      <c r="B174" s="6" t="s">
        <v>5</v>
      </c>
      <c r="C174" s="6" t="s">
        <v>53</v>
      </c>
      <c r="D174" s="7">
        <v>8995000</v>
      </c>
    </row>
    <row r="175" spans="1:4" x14ac:dyDescent="0.25">
      <c r="A175" s="2" t="s">
        <v>17</v>
      </c>
      <c r="B175" s="3" t="s">
        <v>5</v>
      </c>
      <c r="C175" s="3" t="s">
        <v>54</v>
      </c>
      <c r="D175" s="4">
        <v>9077280</v>
      </c>
    </row>
    <row r="176" spans="1:4" x14ac:dyDescent="0.25">
      <c r="A176" s="5" t="s">
        <v>17</v>
      </c>
      <c r="B176" s="6" t="s">
        <v>5</v>
      </c>
      <c r="C176" s="6" t="s">
        <v>55</v>
      </c>
      <c r="D176" s="7">
        <v>8106998</v>
      </c>
    </row>
    <row r="177" spans="1:4" x14ac:dyDescent="0.25">
      <c r="A177" s="5" t="s">
        <v>17</v>
      </c>
      <c r="B177" s="6" t="s">
        <v>5</v>
      </c>
      <c r="C177" s="6" t="s">
        <v>56</v>
      </c>
      <c r="D177" s="7">
        <v>8066826.5</v>
      </c>
    </row>
    <row r="178" spans="1:4" x14ac:dyDescent="0.25">
      <c r="A178" s="5" t="s">
        <v>17</v>
      </c>
      <c r="B178" s="6" t="s">
        <v>5</v>
      </c>
      <c r="C178" s="6" t="s">
        <v>57</v>
      </c>
      <c r="D178" s="7">
        <v>9176423</v>
      </c>
    </row>
    <row r="179" spans="1:4" x14ac:dyDescent="0.25">
      <c r="A179" s="5" t="s">
        <v>17</v>
      </c>
      <c r="B179" s="6" t="s">
        <v>5</v>
      </c>
      <c r="C179" s="6" t="s">
        <v>58</v>
      </c>
      <c r="D179" s="7">
        <v>8300254.5</v>
      </c>
    </row>
    <row r="180" spans="1:4" x14ac:dyDescent="0.25">
      <c r="A180" s="5" t="s">
        <v>17</v>
      </c>
      <c r="B180" s="6" t="s">
        <v>5</v>
      </c>
      <c r="C180" s="6" t="s">
        <v>59</v>
      </c>
      <c r="D180" s="7">
        <v>8245968.5</v>
      </c>
    </row>
    <row r="181" spans="1:4" x14ac:dyDescent="0.25">
      <c r="A181" s="5" t="s">
        <v>17</v>
      </c>
      <c r="B181" s="6" t="s">
        <v>5</v>
      </c>
      <c r="C181" s="6" t="s">
        <v>60</v>
      </c>
      <c r="D181" s="7">
        <v>8637910</v>
      </c>
    </row>
    <row r="182" spans="1:4" x14ac:dyDescent="0.25">
      <c r="A182" s="5" t="s">
        <v>17</v>
      </c>
      <c r="B182" s="6" t="s">
        <v>5</v>
      </c>
      <c r="C182" s="6" t="s">
        <v>61</v>
      </c>
      <c r="D182" s="7">
        <v>9716020</v>
      </c>
    </row>
    <row r="183" spans="1:4" x14ac:dyDescent="0.25">
      <c r="A183" s="5" t="s">
        <v>17</v>
      </c>
      <c r="B183" s="6" t="s">
        <v>5</v>
      </c>
      <c r="C183" s="6" t="s">
        <v>62</v>
      </c>
      <c r="D183" s="7">
        <v>10339219</v>
      </c>
    </row>
    <row r="184" spans="1:4" x14ac:dyDescent="0.25">
      <c r="A184" s="5" t="s">
        <v>17</v>
      </c>
      <c r="B184" s="6" t="s">
        <v>5</v>
      </c>
      <c r="C184" s="6" t="s">
        <v>63</v>
      </c>
      <c r="D184" s="7">
        <v>9026594</v>
      </c>
    </row>
    <row r="185" spans="1:4" x14ac:dyDescent="0.25">
      <c r="A185" s="5" t="s">
        <v>17</v>
      </c>
      <c r="B185" s="6" t="s">
        <v>5</v>
      </c>
      <c r="C185" s="6" t="s">
        <v>64</v>
      </c>
      <c r="D185" s="7">
        <v>8883280</v>
      </c>
    </row>
    <row r="186" spans="1:4" x14ac:dyDescent="0.25">
      <c r="A186" s="5" t="s">
        <v>17</v>
      </c>
      <c r="B186" s="6" t="s">
        <v>5</v>
      </c>
      <c r="C186" s="6" t="s">
        <v>65</v>
      </c>
      <c r="D186" s="7">
        <v>9488021</v>
      </c>
    </row>
    <row r="187" spans="1:4" x14ac:dyDescent="0.25">
      <c r="A187" s="5" t="s">
        <v>17</v>
      </c>
      <c r="B187" s="6" t="s">
        <v>5</v>
      </c>
      <c r="C187" s="6" t="s">
        <v>66</v>
      </c>
      <c r="D187" s="7">
        <v>10583503</v>
      </c>
    </row>
    <row r="188" spans="1:4" x14ac:dyDescent="0.25">
      <c r="A188" s="5" t="s">
        <v>30</v>
      </c>
      <c r="B188" s="6" t="s">
        <v>5</v>
      </c>
      <c r="C188" s="6" t="s">
        <v>36</v>
      </c>
      <c r="D188" s="7">
        <v>2002080.5</v>
      </c>
    </row>
    <row r="189" spans="1:4" x14ac:dyDescent="0.25">
      <c r="A189" s="2" t="s">
        <v>30</v>
      </c>
      <c r="B189" s="3" t="s">
        <v>5</v>
      </c>
      <c r="C189" s="3" t="s">
        <v>37</v>
      </c>
      <c r="D189" s="4">
        <v>1921833.125</v>
      </c>
    </row>
    <row r="190" spans="1:4" x14ac:dyDescent="0.25">
      <c r="A190" s="5" t="s">
        <v>30</v>
      </c>
      <c r="B190" s="6" t="s">
        <v>5</v>
      </c>
      <c r="C190" s="6" t="s">
        <v>38</v>
      </c>
      <c r="D190" s="7">
        <v>1867012.375</v>
      </c>
    </row>
    <row r="191" spans="1:4" x14ac:dyDescent="0.25">
      <c r="A191" s="2" t="s">
        <v>30</v>
      </c>
      <c r="B191" s="3" t="s">
        <v>5</v>
      </c>
      <c r="C191" s="3" t="s">
        <v>39</v>
      </c>
      <c r="D191" s="4">
        <v>1948800.5</v>
      </c>
    </row>
    <row r="192" spans="1:4" x14ac:dyDescent="0.25">
      <c r="A192" s="5" t="s">
        <v>30</v>
      </c>
      <c r="B192" s="6" t="s">
        <v>5</v>
      </c>
      <c r="C192" s="6" t="s">
        <v>40</v>
      </c>
      <c r="D192" s="7">
        <v>2004989</v>
      </c>
    </row>
    <row r="193" spans="1:4" x14ac:dyDescent="0.25">
      <c r="A193" s="2" t="s">
        <v>30</v>
      </c>
      <c r="B193" s="3" t="s">
        <v>5</v>
      </c>
      <c r="C193" s="3" t="s">
        <v>41</v>
      </c>
      <c r="D193" s="4">
        <v>1998327</v>
      </c>
    </row>
    <row r="194" spans="1:4" x14ac:dyDescent="0.25">
      <c r="A194" s="5" t="s">
        <v>30</v>
      </c>
      <c r="B194" s="6" t="s">
        <v>5</v>
      </c>
      <c r="C194" s="6" t="s">
        <v>42</v>
      </c>
      <c r="D194" s="7">
        <v>2016809.875</v>
      </c>
    </row>
    <row r="195" spans="1:4" x14ac:dyDescent="0.25">
      <c r="A195" s="2" t="s">
        <v>30</v>
      </c>
      <c r="B195" s="3" t="s">
        <v>5</v>
      </c>
      <c r="C195" s="3" t="s">
        <v>43</v>
      </c>
      <c r="D195" s="4">
        <v>1958345.875</v>
      </c>
    </row>
    <row r="196" spans="1:4" x14ac:dyDescent="0.25">
      <c r="A196" s="5" t="s">
        <v>30</v>
      </c>
      <c r="B196" s="6" t="s">
        <v>5</v>
      </c>
      <c r="C196" s="6" t="s">
        <v>44</v>
      </c>
      <c r="D196" s="7">
        <v>1918512.875</v>
      </c>
    </row>
    <row r="197" spans="1:4" x14ac:dyDescent="0.25">
      <c r="A197" s="2" t="s">
        <v>30</v>
      </c>
      <c r="B197" s="3" t="s">
        <v>5</v>
      </c>
      <c r="C197" s="3" t="s">
        <v>45</v>
      </c>
      <c r="D197" s="4">
        <v>1992219.75</v>
      </c>
    </row>
    <row r="198" spans="1:4" x14ac:dyDescent="0.25">
      <c r="A198" s="5" t="s">
        <v>30</v>
      </c>
      <c r="B198" s="6" t="s">
        <v>5</v>
      </c>
      <c r="C198" s="6" t="s">
        <v>46</v>
      </c>
      <c r="D198" s="7">
        <v>2024537</v>
      </c>
    </row>
    <row r="199" spans="1:4" x14ac:dyDescent="0.25">
      <c r="A199" s="2" t="s">
        <v>30</v>
      </c>
      <c r="B199" s="3" t="s">
        <v>5</v>
      </c>
      <c r="C199" s="3" t="s">
        <v>47</v>
      </c>
      <c r="D199" s="4">
        <v>2003574</v>
      </c>
    </row>
    <row r="200" spans="1:4" x14ac:dyDescent="0.25">
      <c r="A200" s="5" t="s">
        <v>30</v>
      </c>
      <c r="B200" s="6" t="s">
        <v>5</v>
      </c>
      <c r="C200" s="6" t="s">
        <v>48</v>
      </c>
      <c r="D200" s="7">
        <v>2014563.875</v>
      </c>
    </row>
    <row r="201" spans="1:4" x14ac:dyDescent="0.25">
      <c r="A201" s="2" t="s">
        <v>30</v>
      </c>
      <c r="B201" s="3" t="s">
        <v>5</v>
      </c>
      <c r="C201" s="3" t="s">
        <v>49</v>
      </c>
      <c r="D201" s="4">
        <v>1933848.875</v>
      </c>
    </row>
    <row r="202" spans="1:4" x14ac:dyDescent="0.25">
      <c r="A202" s="5" t="s">
        <v>30</v>
      </c>
      <c r="B202" s="6" t="s">
        <v>5</v>
      </c>
      <c r="C202" s="6" t="s">
        <v>50</v>
      </c>
      <c r="D202" s="7">
        <v>1878728.875</v>
      </c>
    </row>
    <row r="203" spans="1:4" x14ac:dyDescent="0.25">
      <c r="A203" s="2" t="s">
        <v>30</v>
      </c>
      <c r="B203" s="3" t="s">
        <v>5</v>
      </c>
      <c r="C203" s="3" t="s">
        <v>51</v>
      </c>
      <c r="D203" s="4">
        <v>1960998.125</v>
      </c>
    </row>
    <row r="204" spans="1:4" x14ac:dyDescent="0.25">
      <c r="A204" s="5" t="s">
        <v>30</v>
      </c>
      <c r="B204" s="6" t="s">
        <v>5</v>
      </c>
      <c r="C204" s="6" t="s">
        <v>52</v>
      </c>
      <c r="D204" s="7">
        <v>2017466.875</v>
      </c>
    </row>
    <row r="205" spans="1:4" x14ac:dyDescent="0.25">
      <c r="A205" s="2" t="s">
        <v>30</v>
      </c>
      <c r="B205" s="3" t="s">
        <v>5</v>
      </c>
      <c r="C205" s="3" t="s">
        <v>53</v>
      </c>
      <c r="D205" s="4">
        <v>2010722</v>
      </c>
    </row>
    <row r="206" spans="1:4" x14ac:dyDescent="0.25">
      <c r="A206" s="5" t="s">
        <v>30</v>
      </c>
      <c r="B206" s="6" t="s">
        <v>5</v>
      </c>
      <c r="C206" s="6" t="s">
        <v>54</v>
      </c>
      <c r="D206" s="7">
        <v>2029298.75</v>
      </c>
    </row>
    <row r="207" spans="1:4" x14ac:dyDescent="0.25">
      <c r="A207" s="5" t="s">
        <v>30</v>
      </c>
      <c r="B207" s="6" t="s">
        <v>5</v>
      </c>
      <c r="C207" s="6" t="s">
        <v>55</v>
      </c>
      <c r="D207" s="7">
        <v>12440538</v>
      </c>
    </row>
    <row r="208" spans="1:4" x14ac:dyDescent="0.25">
      <c r="A208" s="5" t="s">
        <v>30</v>
      </c>
      <c r="B208" s="6" t="s">
        <v>5</v>
      </c>
      <c r="C208" s="6" t="s">
        <v>56</v>
      </c>
      <c r="D208" s="7">
        <v>12378893</v>
      </c>
    </row>
    <row r="209" spans="1:4" x14ac:dyDescent="0.25">
      <c r="A209" s="5" t="s">
        <v>30</v>
      </c>
      <c r="B209" s="6" t="s">
        <v>5</v>
      </c>
      <c r="C209" s="6" t="s">
        <v>57</v>
      </c>
      <c r="D209" s="7">
        <v>14081616</v>
      </c>
    </row>
    <row r="210" spans="1:4" x14ac:dyDescent="0.25">
      <c r="A210" s="5" t="s">
        <v>30</v>
      </c>
      <c r="B210" s="6" t="s">
        <v>5</v>
      </c>
      <c r="C210" s="6" t="s">
        <v>58</v>
      </c>
      <c r="D210" s="7">
        <v>12737097</v>
      </c>
    </row>
    <row r="211" spans="1:4" x14ac:dyDescent="0.25">
      <c r="A211" s="5" t="s">
        <v>30</v>
      </c>
      <c r="B211" s="6" t="s">
        <v>5</v>
      </c>
      <c r="C211" s="6" t="s">
        <v>59</v>
      </c>
      <c r="D211" s="7">
        <v>12653793</v>
      </c>
    </row>
    <row r="212" spans="1:4" x14ac:dyDescent="0.25">
      <c r="A212" s="5" t="s">
        <v>30</v>
      </c>
      <c r="B212" s="6" t="s">
        <v>5</v>
      </c>
      <c r="C212" s="6" t="s">
        <v>60</v>
      </c>
      <c r="D212" s="7">
        <v>13255245</v>
      </c>
    </row>
    <row r="213" spans="1:4" x14ac:dyDescent="0.25">
      <c r="A213" s="5" t="s">
        <v>30</v>
      </c>
      <c r="B213" s="6" t="s">
        <v>5</v>
      </c>
      <c r="C213" s="6" t="s">
        <v>61</v>
      </c>
      <c r="D213" s="7">
        <v>14909652</v>
      </c>
    </row>
    <row r="214" spans="1:4" x14ac:dyDescent="0.25">
      <c r="A214" s="5" t="s">
        <v>30</v>
      </c>
      <c r="B214" s="6" t="s">
        <v>5</v>
      </c>
      <c r="C214" s="6" t="s">
        <v>62</v>
      </c>
      <c r="D214" s="7">
        <v>15865975</v>
      </c>
    </row>
    <row r="215" spans="1:4" x14ac:dyDescent="0.25">
      <c r="A215" s="5" t="s">
        <v>30</v>
      </c>
      <c r="B215" s="6" t="s">
        <v>5</v>
      </c>
      <c r="C215" s="6" t="s">
        <v>63</v>
      </c>
      <c r="D215" s="7">
        <v>13851698</v>
      </c>
    </row>
    <row r="216" spans="1:4" x14ac:dyDescent="0.25">
      <c r="A216" s="5" t="s">
        <v>30</v>
      </c>
      <c r="B216" s="6" t="s">
        <v>5</v>
      </c>
      <c r="C216" s="6" t="s">
        <v>64</v>
      </c>
      <c r="D216" s="7">
        <v>13631777</v>
      </c>
    </row>
    <row r="217" spans="1:4" x14ac:dyDescent="0.25">
      <c r="A217" s="5" t="s">
        <v>30</v>
      </c>
      <c r="B217" s="6" t="s">
        <v>5</v>
      </c>
      <c r="C217" s="6" t="s">
        <v>65</v>
      </c>
      <c r="D217" s="7">
        <v>14559777</v>
      </c>
    </row>
    <row r="218" spans="1:4" x14ac:dyDescent="0.25">
      <c r="A218" s="5" t="s">
        <v>30</v>
      </c>
      <c r="B218" s="6" t="s">
        <v>5</v>
      </c>
      <c r="C218" s="6" t="s">
        <v>66</v>
      </c>
      <c r="D218" s="7">
        <v>16240840</v>
      </c>
    </row>
    <row r="219" spans="1:4" x14ac:dyDescent="0.25">
      <c r="A219" s="5" t="s">
        <v>24</v>
      </c>
      <c r="B219" s="6" t="s">
        <v>5</v>
      </c>
      <c r="C219" s="6" t="s">
        <v>36</v>
      </c>
      <c r="D219" s="7">
        <v>890924.0625</v>
      </c>
    </row>
    <row r="220" spans="1:4" x14ac:dyDescent="0.25">
      <c r="A220" s="2" t="s">
        <v>24</v>
      </c>
      <c r="B220" s="3" t="s">
        <v>5</v>
      </c>
      <c r="C220" s="3" t="s">
        <v>37</v>
      </c>
      <c r="D220" s="4">
        <v>854898.5625</v>
      </c>
    </row>
    <row r="221" spans="1:4" x14ac:dyDescent="0.25">
      <c r="A221" s="5" t="s">
        <v>24</v>
      </c>
      <c r="B221" s="6" t="s">
        <v>5</v>
      </c>
      <c r="C221" s="6" t="s">
        <v>38</v>
      </c>
      <c r="D221" s="7">
        <v>829992.875</v>
      </c>
    </row>
    <row r="222" spans="1:4" x14ac:dyDescent="0.25">
      <c r="A222" s="2" t="s">
        <v>24</v>
      </c>
      <c r="B222" s="3" t="s">
        <v>5</v>
      </c>
      <c r="C222" s="3" t="s">
        <v>39</v>
      </c>
      <c r="D222" s="4">
        <v>866642.9375</v>
      </c>
    </row>
    <row r="223" spans="1:4" x14ac:dyDescent="0.25">
      <c r="A223" s="5" t="s">
        <v>24</v>
      </c>
      <c r="B223" s="6" t="s">
        <v>5</v>
      </c>
      <c r="C223" s="6" t="s">
        <v>40</v>
      </c>
      <c r="D223" s="7">
        <v>892371.5</v>
      </c>
    </row>
    <row r="224" spans="1:4" x14ac:dyDescent="0.25">
      <c r="A224" s="2" t="s">
        <v>24</v>
      </c>
      <c r="B224" s="3" t="s">
        <v>5</v>
      </c>
      <c r="C224" s="3" t="s">
        <v>41</v>
      </c>
      <c r="D224" s="4">
        <v>889799.875</v>
      </c>
    </row>
    <row r="225" spans="1:4" x14ac:dyDescent="0.25">
      <c r="A225" s="5" t="s">
        <v>24</v>
      </c>
      <c r="B225" s="6" t="s">
        <v>5</v>
      </c>
      <c r="C225" s="6" t="s">
        <v>42</v>
      </c>
      <c r="D225" s="7">
        <v>898390.125</v>
      </c>
    </row>
    <row r="226" spans="1:4" x14ac:dyDescent="0.25">
      <c r="A226" s="2" t="s">
        <v>24</v>
      </c>
      <c r="B226" s="3" t="s">
        <v>5</v>
      </c>
      <c r="C226" s="3" t="s">
        <v>43</v>
      </c>
      <c r="D226" s="4">
        <v>870219.1875</v>
      </c>
    </row>
    <row r="227" spans="1:4" x14ac:dyDescent="0.25">
      <c r="A227" s="5" t="s">
        <v>24</v>
      </c>
      <c r="B227" s="6" t="s">
        <v>5</v>
      </c>
      <c r="C227" s="6" t="s">
        <v>44</v>
      </c>
      <c r="D227" s="7">
        <v>853060.1875</v>
      </c>
    </row>
    <row r="228" spans="1:4" x14ac:dyDescent="0.25">
      <c r="A228" s="2" t="s">
        <v>24</v>
      </c>
      <c r="B228" s="3" t="s">
        <v>5</v>
      </c>
      <c r="C228" s="3" t="s">
        <v>45</v>
      </c>
      <c r="D228" s="4">
        <v>885486.4375</v>
      </c>
    </row>
    <row r="229" spans="1:4" x14ac:dyDescent="0.25">
      <c r="A229" s="5" t="s">
        <v>24</v>
      </c>
      <c r="B229" s="6" t="s">
        <v>5</v>
      </c>
      <c r="C229" s="6" t="s">
        <v>46</v>
      </c>
      <c r="D229" s="7">
        <v>899172.8125</v>
      </c>
    </row>
    <row r="230" spans="1:4" x14ac:dyDescent="0.25">
      <c r="A230" s="2" t="s">
        <v>24</v>
      </c>
      <c r="B230" s="3" t="s">
        <v>5</v>
      </c>
      <c r="C230" s="3" t="s">
        <v>47</v>
      </c>
      <c r="D230" s="4">
        <v>889422.25</v>
      </c>
    </row>
    <row r="231" spans="1:4" x14ac:dyDescent="0.25">
      <c r="A231" s="5" t="s">
        <v>24</v>
      </c>
      <c r="B231" s="6" t="s">
        <v>5</v>
      </c>
      <c r="C231" s="6" t="s">
        <v>48</v>
      </c>
      <c r="D231" s="7">
        <v>894113</v>
      </c>
    </row>
    <row r="232" spans="1:4" x14ac:dyDescent="0.25">
      <c r="A232" s="2" t="s">
        <v>24</v>
      </c>
      <c r="B232" s="3" t="s">
        <v>5</v>
      </c>
      <c r="C232" s="3" t="s">
        <v>49</v>
      </c>
      <c r="D232" s="4">
        <v>857963.125</v>
      </c>
    </row>
    <row r="233" spans="1:4" x14ac:dyDescent="0.25">
      <c r="A233" s="5" t="s">
        <v>24</v>
      </c>
      <c r="B233" s="6" t="s">
        <v>5</v>
      </c>
      <c r="C233" s="6" t="s">
        <v>50</v>
      </c>
      <c r="D233" s="7">
        <v>832973.5</v>
      </c>
    </row>
    <row r="234" spans="1:4" x14ac:dyDescent="0.25">
      <c r="A234" s="2" t="s">
        <v>24</v>
      </c>
      <c r="B234" s="3" t="s">
        <v>5</v>
      </c>
      <c r="C234" s="3" t="s">
        <v>51</v>
      </c>
      <c r="D234" s="4">
        <v>869750.3125</v>
      </c>
    </row>
    <row r="235" spans="1:4" x14ac:dyDescent="0.25">
      <c r="A235" s="5" t="s">
        <v>24</v>
      </c>
      <c r="B235" s="6" t="s">
        <v>5</v>
      </c>
      <c r="C235" s="6" t="s">
        <v>52</v>
      </c>
      <c r="D235" s="7">
        <v>895561.8125</v>
      </c>
    </row>
    <row r="236" spans="1:4" x14ac:dyDescent="0.25">
      <c r="A236" s="2" t="s">
        <v>24</v>
      </c>
      <c r="B236" s="3" t="s">
        <v>5</v>
      </c>
      <c r="C236" s="3" t="s">
        <v>53</v>
      </c>
      <c r="D236" s="4">
        <v>892975.4375</v>
      </c>
    </row>
    <row r="237" spans="1:4" x14ac:dyDescent="0.25">
      <c r="A237" s="5" t="s">
        <v>24</v>
      </c>
      <c r="B237" s="6" t="s">
        <v>5</v>
      </c>
      <c r="C237" s="6" t="s">
        <v>54</v>
      </c>
      <c r="D237" s="7">
        <v>901594.125</v>
      </c>
    </row>
    <row r="238" spans="1:4" x14ac:dyDescent="0.25">
      <c r="A238" s="2" t="s">
        <v>24</v>
      </c>
      <c r="B238" s="3" t="s">
        <v>5</v>
      </c>
      <c r="C238" s="3" t="s">
        <v>55</v>
      </c>
      <c r="D238" s="4">
        <v>1161855.25</v>
      </c>
    </row>
    <row r="239" spans="1:4" x14ac:dyDescent="0.25">
      <c r="A239" s="2" t="s">
        <v>24</v>
      </c>
      <c r="B239" s="3" t="s">
        <v>5</v>
      </c>
      <c r="C239" s="3" t="s">
        <v>56</v>
      </c>
      <c r="D239" s="4">
        <v>1156098</v>
      </c>
    </row>
    <row r="240" spans="1:4" x14ac:dyDescent="0.25">
      <c r="A240" s="2" t="s">
        <v>24</v>
      </c>
      <c r="B240" s="3" t="s">
        <v>5</v>
      </c>
      <c r="C240" s="3" t="s">
        <v>57</v>
      </c>
      <c r="D240" s="4">
        <v>1315120</v>
      </c>
    </row>
    <row r="241" spans="1:4" x14ac:dyDescent="0.25">
      <c r="A241" s="2" t="s">
        <v>24</v>
      </c>
      <c r="B241" s="3" t="s">
        <v>5</v>
      </c>
      <c r="C241" s="3" t="s">
        <v>58</v>
      </c>
      <c r="D241" s="4">
        <v>1189551.75</v>
      </c>
    </row>
    <row r="242" spans="1:4" x14ac:dyDescent="0.25">
      <c r="A242" s="2" t="s">
        <v>24</v>
      </c>
      <c r="B242" s="3" t="s">
        <v>5</v>
      </c>
      <c r="C242" s="3" t="s">
        <v>59</v>
      </c>
      <c r="D242" s="4">
        <v>1181771.875</v>
      </c>
    </row>
    <row r="243" spans="1:4" x14ac:dyDescent="0.25">
      <c r="A243" s="2" t="s">
        <v>24</v>
      </c>
      <c r="B243" s="3" t="s">
        <v>5</v>
      </c>
      <c r="C243" s="3" t="s">
        <v>60</v>
      </c>
      <c r="D243" s="4">
        <v>1237943</v>
      </c>
    </row>
    <row r="244" spans="1:4" x14ac:dyDescent="0.25">
      <c r="A244" s="2" t="s">
        <v>24</v>
      </c>
      <c r="B244" s="3" t="s">
        <v>5</v>
      </c>
      <c r="C244" s="3" t="s">
        <v>61</v>
      </c>
      <c r="D244" s="4">
        <v>1392452.5</v>
      </c>
    </row>
    <row r="245" spans="1:4" x14ac:dyDescent="0.25">
      <c r="A245" s="2" t="s">
        <v>24</v>
      </c>
      <c r="B245" s="3" t="s">
        <v>5</v>
      </c>
      <c r="C245" s="3" t="s">
        <v>62</v>
      </c>
      <c r="D245" s="4">
        <v>1481766</v>
      </c>
    </row>
    <row r="246" spans="1:4" x14ac:dyDescent="0.25">
      <c r="A246" s="2" t="s">
        <v>24</v>
      </c>
      <c r="B246" s="3" t="s">
        <v>5</v>
      </c>
      <c r="C246" s="3" t="s">
        <v>63</v>
      </c>
      <c r="D246" s="4">
        <v>1293647.25</v>
      </c>
    </row>
    <row r="247" spans="1:4" x14ac:dyDescent="0.25">
      <c r="A247" s="2" t="s">
        <v>24</v>
      </c>
      <c r="B247" s="3" t="s">
        <v>5</v>
      </c>
      <c r="C247" s="3" t="s">
        <v>64</v>
      </c>
      <c r="D247" s="4">
        <v>1273108.25</v>
      </c>
    </row>
    <row r="248" spans="1:4" x14ac:dyDescent="0.25">
      <c r="A248" s="2" t="s">
        <v>24</v>
      </c>
      <c r="B248" s="3" t="s">
        <v>5</v>
      </c>
      <c r="C248" s="3" t="s">
        <v>65</v>
      </c>
      <c r="D248" s="4">
        <v>1359776.625</v>
      </c>
    </row>
    <row r="249" spans="1:4" x14ac:dyDescent="0.25">
      <c r="A249" s="2" t="s">
        <v>24</v>
      </c>
      <c r="B249" s="3" t="s">
        <v>5</v>
      </c>
      <c r="C249" s="3" t="s">
        <v>66</v>
      </c>
      <c r="D249" s="4">
        <v>1516775.75</v>
      </c>
    </row>
    <row r="250" spans="1:4" x14ac:dyDescent="0.25">
      <c r="A250" s="2" t="s">
        <v>21</v>
      </c>
      <c r="B250" s="3" t="s">
        <v>5</v>
      </c>
      <c r="C250" s="3" t="s">
        <v>36</v>
      </c>
      <c r="D250" s="4">
        <v>33048578</v>
      </c>
    </row>
    <row r="251" spans="1:4" x14ac:dyDescent="0.25">
      <c r="A251" s="5" t="s">
        <v>21</v>
      </c>
      <c r="B251" s="6" t="s">
        <v>5</v>
      </c>
      <c r="C251" s="6" t="s">
        <v>37</v>
      </c>
      <c r="D251" s="7">
        <v>31750394</v>
      </c>
    </row>
    <row r="252" spans="1:4" x14ac:dyDescent="0.25">
      <c r="A252" s="2" t="s">
        <v>21</v>
      </c>
      <c r="B252" s="3" t="s">
        <v>5</v>
      </c>
      <c r="C252" s="3" t="s">
        <v>38</v>
      </c>
      <c r="D252" s="4">
        <v>30882508</v>
      </c>
    </row>
    <row r="253" spans="1:4" x14ac:dyDescent="0.25">
      <c r="A253" s="5" t="s">
        <v>21</v>
      </c>
      <c r="B253" s="6" t="s">
        <v>5</v>
      </c>
      <c r="C253" s="6" t="s">
        <v>39</v>
      </c>
      <c r="D253" s="7">
        <v>32209978</v>
      </c>
    </row>
    <row r="254" spans="1:4" x14ac:dyDescent="0.25">
      <c r="A254" s="2" t="s">
        <v>21</v>
      </c>
      <c r="B254" s="3" t="s">
        <v>5</v>
      </c>
      <c r="C254" s="3" t="s">
        <v>40</v>
      </c>
      <c r="D254" s="4">
        <v>33078422</v>
      </c>
    </row>
    <row r="255" spans="1:4" x14ac:dyDescent="0.25">
      <c r="A255" s="5" t="s">
        <v>21</v>
      </c>
      <c r="B255" s="6" t="s">
        <v>5</v>
      </c>
      <c r="C255" s="6" t="s">
        <v>41</v>
      </c>
      <c r="D255" s="7">
        <v>32934050</v>
      </c>
    </row>
    <row r="256" spans="1:4" x14ac:dyDescent="0.25">
      <c r="A256" s="2" t="s">
        <v>21</v>
      </c>
      <c r="B256" s="3" t="s">
        <v>5</v>
      </c>
      <c r="C256" s="3" t="s">
        <v>42</v>
      </c>
      <c r="D256" s="4">
        <v>33220730</v>
      </c>
    </row>
    <row r="257" spans="1:4" x14ac:dyDescent="0.25">
      <c r="A257" s="5" t="s">
        <v>21</v>
      </c>
      <c r="B257" s="6" t="s">
        <v>5</v>
      </c>
      <c r="C257" s="6" t="s">
        <v>43</v>
      </c>
      <c r="D257" s="7">
        <v>30676562</v>
      </c>
    </row>
    <row r="258" spans="1:4" x14ac:dyDescent="0.25">
      <c r="A258" s="2" t="s">
        <v>21</v>
      </c>
      <c r="B258" s="3" t="s">
        <v>5</v>
      </c>
      <c r="C258" s="3" t="s">
        <v>44</v>
      </c>
      <c r="D258" s="4">
        <v>30015620</v>
      </c>
    </row>
    <row r="259" spans="1:4" x14ac:dyDescent="0.25">
      <c r="A259" s="5" t="s">
        <v>21</v>
      </c>
      <c r="B259" s="6" t="s">
        <v>5</v>
      </c>
      <c r="C259" s="6" t="s">
        <v>45</v>
      </c>
      <c r="D259" s="7">
        <v>31192102</v>
      </c>
    </row>
    <row r="260" spans="1:4" x14ac:dyDescent="0.25">
      <c r="A260" s="2" t="s">
        <v>21</v>
      </c>
      <c r="B260" s="3" t="s">
        <v>5</v>
      </c>
      <c r="C260" s="3" t="s">
        <v>46</v>
      </c>
      <c r="D260" s="4">
        <v>31752834</v>
      </c>
    </row>
    <row r="261" spans="1:4" x14ac:dyDescent="0.25">
      <c r="A261" s="5" t="s">
        <v>21</v>
      </c>
      <c r="B261" s="6" t="s">
        <v>5</v>
      </c>
      <c r="C261" s="6" t="s">
        <v>47</v>
      </c>
      <c r="D261" s="7">
        <v>31454476</v>
      </c>
    </row>
    <row r="262" spans="1:4" x14ac:dyDescent="0.25">
      <c r="A262" s="2" t="s">
        <v>21</v>
      </c>
      <c r="B262" s="3" t="s">
        <v>5</v>
      </c>
      <c r="C262" s="3" t="s">
        <v>48</v>
      </c>
      <c r="D262" s="4">
        <v>31645104</v>
      </c>
    </row>
    <row r="263" spans="1:4" x14ac:dyDescent="0.25">
      <c r="A263" s="5" t="s">
        <v>21</v>
      </c>
      <c r="B263" s="6" t="s">
        <v>5</v>
      </c>
      <c r="C263" s="6" t="s">
        <v>49</v>
      </c>
      <c r="D263" s="7">
        <v>30401540</v>
      </c>
    </row>
    <row r="264" spans="1:4" x14ac:dyDescent="0.25">
      <c r="A264" s="2" t="s">
        <v>21</v>
      </c>
      <c r="B264" s="3" t="s">
        <v>5</v>
      </c>
      <c r="C264" s="3" t="s">
        <v>50</v>
      </c>
      <c r="D264" s="4">
        <v>29569808</v>
      </c>
    </row>
    <row r="265" spans="1:4" x14ac:dyDescent="0.25">
      <c r="A265" s="5" t="s">
        <v>21</v>
      </c>
      <c r="B265" s="6" t="s">
        <v>5</v>
      </c>
      <c r="C265" s="6" t="s">
        <v>51</v>
      </c>
      <c r="D265" s="7">
        <v>30841348</v>
      </c>
    </row>
    <row r="266" spans="1:4" x14ac:dyDescent="0.25">
      <c r="A266" s="2" t="s">
        <v>21</v>
      </c>
      <c r="B266" s="3" t="s">
        <v>5</v>
      </c>
      <c r="C266" s="3" t="s">
        <v>52</v>
      </c>
      <c r="D266" s="4">
        <v>31674028</v>
      </c>
    </row>
    <row r="267" spans="1:4" x14ac:dyDescent="0.25">
      <c r="A267" s="5" t="s">
        <v>21</v>
      </c>
      <c r="B267" s="6" t="s">
        <v>5</v>
      </c>
      <c r="C267" s="6" t="s">
        <v>53</v>
      </c>
      <c r="D267" s="7">
        <v>31536438</v>
      </c>
    </row>
    <row r="268" spans="1:4" x14ac:dyDescent="0.25">
      <c r="A268" s="2" t="s">
        <v>21</v>
      </c>
      <c r="B268" s="3" t="s">
        <v>5</v>
      </c>
      <c r="C268" s="3" t="s">
        <v>54</v>
      </c>
      <c r="D268" s="4">
        <v>31811314</v>
      </c>
    </row>
    <row r="269" spans="1:4" x14ac:dyDescent="0.25">
      <c r="A269" s="5" t="s">
        <v>21</v>
      </c>
      <c r="B269" s="6" t="s">
        <v>5</v>
      </c>
      <c r="C269" s="6" t="s">
        <v>55</v>
      </c>
      <c r="D269" s="7">
        <v>18726224</v>
      </c>
    </row>
    <row r="270" spans="1:4" x14ac:dyDescent="0.25">
      <c r="A270" s="5" t="s">
        <v>21</v>
      </c>
      <c r="B270" s="6" t="s">
        <v>5</v>
      </c>
      <c r="C270" s="6" t="s">
        <v>56</v>
      </c>
      <c r="D270" s="7">
        <v>18633432</v>
      </c>
    </row>
    <row r="271" spans="1:4" x14ac:dyDescent="0.25">
      <c r="A271" s="5" t="s">
        <v>21</v>
      </c>
      <c r="B271" s="6" t="s">
        <v>5</v>
      </c>
      <c r="C271" s="6" t="s">
        <v>57</v>
      </c>
      <c r="D271" s="7">
        <v>21196472</v>
      </c>
    </row>
    <row r="272" spans="1:4" x14ac:dyDescent="0.25">
      <c r="A272" s="5" t="s">
        <v>21</v>
      </c>
      <c r="B272" s="6" t="s">
        <v>5</v>
      </c>
      <c r="C272" s="6" t="s">
        <v>58</v>
      </c>
      <c r="D272" s="7">
        <v>19172624</v>
      </c>
    </row>
    <row r="273" spans="1:4" x14ac:dyDescent="0.25">
      <c r="A273" s="5" t="s">
        <v>21</v>
      </c>
      <c r="B273" s="6" t="s">
        <v>5</v>
      </c>
      <c r="C273" s="6" t="s">
        <v>59</v>
      </c>
      <c r="D273" s="7">
        <v>19047230</v>
      </c>
    </row>
    <row r="274" spans="1:4" x14ac:dyDescent="0.25">
      <c r="A274" s="5" t="s">
        <v>21</v>
      </c>
      <c r="B274" s="6" t="s">
        <v>5</v>
      </c>
      <c r="C274" s="6" t="s">
        <v>60</v>
      </c>
      <c r="D274" s="7">
        <v>19952568</v>
      </c>
    </row>
    <row r="275" spans="1:4" x14ac:dyDescent="0.25">
      <c r="A275" s="5" t="s">
        <v>21</v>
      </c>
      <c r="B275" s="6" t="s">
        <v>5</v>
      </c>
      <c r="C275" s="6" t="s">
        <v>61</v>
      </c>
      <c r="D275" s="7">
        <v>22442880</v>
      </c>
    </row>
    <row r="276" spans="1:4" x14ac:dyDescent="0.25">
      <c r="A276" s="5" t="s">
        <v>21</v>
      </c>
      <c r="B276" s="6" t="s">
        <v>5</v>
      </c>
      <c r="C276" s="6" t="s">
        <v>62</v>
      </c>
      <c r="D276" s="7">
        <v>23882392</v>
      </c>
    </row>
    <row r="277" spans="1:4" x14ac:dyDescent="0.25">
      <c r="A277" s="5" t="s">
        <v>21</v>
      </c>
      <c r="B277" s="6" t="s">
        <v>5</v>
      </c>
      <c r="C277" s="6" t="s">
        <v>63</v>
      </c>
      <c r="D277" s="7">
        <v>20850384</v>
      </c>
    </row>
    <row r="278" spans="1:4" x14ac:dyDescent="0.25">
      <c r="A278" s="5" t="s">
        <v>21</v>
      </c>
      <c r="B278" s="6" t="s">
        <v>5</v>
      </c>
      <c r="C278" s="6" t="s">
        <v>64</v>
      </c>
      <c r="D278" s="7">
        <v>20519346</v>
      </c>
    </row>
    <row r="279" spans="1:4" x14ac:dyDescent="0.25">
      <c r="A279" s="5" t="s">
        <v>21</v>
      </c>
      <c r="B279" s="6" t="s">
        <v>5</v>
      </c>
      <c r="C279" s="6" t="s">
        <v>65</v>
      </c>
      <c r="D279" s="7">
        <v>21916228</v>
      </c>
    </row>
    <row r="280" spans="1:4" x14ac:dyDescent="0.25">
      <c r="A280" s="5" t="s">
        <v>21</v>
      </c>
      <c r="B280" s="6" t="s">
        <v>5</v>
      </c>
      <c r="C280" s="6" t="s">
        <v>66</v>
      </c>
      <c r="D280" s="7">
        <v>24446662</v>
      </c>
    </row>
    <row r="281" spans="1:4" x14ac:dyDescent="0.25">
      <c r="A281" s="5" t="s">
        <v>22</v>
      </c>
      <c r="B281" s="6" t="s">
        <v>5</v>
      </c>
      <c r="C281" s="6" t="s">
        <v>36</v>
      </c>
      <c r="D281" s="7">
        <v>15236926</v>
      </c>
    </row>
    <row r="282" spans="1:4" x14ac:dyDescent="0.25">
      <c r="A282" s="2" t="s">
        <v>22</v>
      </c>
      <c r="B282" s="3" t="s">
        <v>5</v>
      </c>
      <c r="C282" s="3" t="s">
        <v>37</v>
      </c>
      <c r="D282" s="4">
        <v>14625927</v>
      </c>
    </row>
    <row r="283" spans="1:4" x14ac:dyDescent="0.25">
      <c r="A283" s="5" t="s">
        <v>22</v>
      </c>
      <c r="B283" s="6" t="s">
        <v>5</v>
      </c>
      <c r="C283" s="6" t="s">
        <v>38</v>
      </c>
      <c r="D283" s="7">
        <v>14208262</v>
      </c>
    </row>
    <row r="284" spans="1:4" x14ac:dyDescent="0.25">
      <c r="A284" s="2" t="s">
        <v>22</v>
      </c>
      <c r="B284" s="3" t="s">
        <v>5</v>
      </c>
      <c r="C284" s="3" t="s">
        <v>39</v>
      </c>
      <c r="D284" s="4">
        <v>14830990</v>
      </c>
    </row>
    <row r="285" spans="1:4" x14ac:dyDescent="0.25">
      <c r="A285" s="5" t="s">
        <v>22</v>
      </c>
      <c r="B285" s="6" t="s">
        <v>5</v>
      </c>
      <c r="C285" s="6" t="s">
        <v>40</v>
      </c>
      <c r="D285" s="7">
        <v>15259036</v>
      </c>
    </row>
    <row r="286" spans="1:4" x14ac:dyDescent="0.25">
      <c r="A286" s="2" t="s">
        <v>22</v>
      </c>
      <c r="B286" s="3" t="s">
        <v>5</v>
      </c>
      <c r="C286" s="3" t="s">
        <v>41</v>
      </c>
      <c r="D286" s="4">
        <v>15208491</v>
      </c>
    </row>
    <row r="287" spans="1:4" x14ac:dyDescent="0.25">
      <c r="A287" s="5" t="s">
        <v>22</v>
      </c>
      <c r="B287" s="6" t="s">
        <v>5</v>
      </c>
      <c r="C287" s="6" t="s">
        <v>42</v>
      </c>
      <c r="D287" s="7">
        <v>15349951</v>
      </c>
    </row>
    <row r="288" spans="1:4" x14ac:dyDescent="0.25">
      <c r="A288" s="2" t="s">
        <v>22</v>
      </c>
      <c r="B288" s="3" t="s">
        <v>5</v>
      </c>
      <c r="C288" s="3" t="s">
        <v>43</v>
      </c>
      <c r="D288" s="4">
        <v>14938389</v>
      </c>
    </row>
    <row r="289" spans="1:4" x14ac:dyDescent="0.25">
      <c r="A289" s="5" t="s">
        <v>22</v>
      </c>
      <c r="B289" s="6" t="s">
        <v>5</v>
      </c>
      <c r="C289" s="6" t="s">
        <v>44</v>
      </c>
      <c r="D289" s="7">
        <v>14634831</v>
      </c>
    </row>
    <row r="290" spans="1:4" x14ac:dyDescent="0.25">
      <c r="A290" s="2" t="s">
        <v>22</v>
      </c>
      <c r="B290" s="3" t="s">
        <v>5</v>
      </c>
      <c r="C290" s="3" t="s">
        <v>45</v>
      </c>
      <c r="D290" s="4">
        <v>15196751</v>
      </c>
    </row>
    <row r="291" spans="1:4" x14ac:dyDescent="0.25">
      <c r="A291" s="5" t="s">
        <v>22</v>
      </c>
      <c r="B291" s="6" t="s">
        <v>5</v>
      </c>
      <c r="C291" s="6" t="s">
        <v>46</v>
      </c>
      <c r="D291" s="7">
        <v>15443187</v>
      </c>
    </row>
    <row r="292" spans="1:4" x14ac:dyDescent="0.25">
      <c r="A292" s="2" t="s">
        <v>22</v>
      </c>
      <c r="B292" s="3" t="s">
        <v>5</v>
      </c>
      <c r="C292" s="3" t="s">
        <v>47</v>
      </c>
      <c r="D292" s="4">
        <v>15282778</v>
      </c>
    </row>
    <row r="293" spans="1:4" x14ac:dyDescent="0.25">
      <c r="A293" s="5" t="s">
        <v>22</v>
      </c>
      <c r="B293" s="6" t="s">
        <v>5</v>
      </c>
      <c r="C293" s="6" t="s">
        <v>48</v>
      </c>
      <c r="D293" s="7">
        <v>15366765</v>
      </c>
    </row>
    <row r="294" spans="1:4" x14ac:dyDescent="0.25">
      <c r="A294" s="2" t="s">
        <v>22</v>
      </c>
      <c r="B294" s="3" t="s">
        <v>5</v>
      </c>
      <c r="C294" s="3" t="s">
        <v>49</v>
      </c>
      <c r="D294" s="4">
        <v>14750823</v>
      </c>
    </row>
    <row r="295" spans="1:4" x14ac:dyDescent="0.25">
      <c r="A295" s="5" t="s">
        <v>22</v>
      </c>
      <c r="B295" s="6" t="s">
        <v>5</v>
      </c>
      <c r="C295" s="6" t="s">
        <v>50</v>
      </c>
      <c r="D295" s="7">
        <v>14329946</v>
      </c>
    </row>
    <row r="296" spans="1:4" x14ac:dyDescent="0.25">
      <c r="A296" s="2" t="s">
        <v>22</v>
      </c>
      <c r="B296" s="3" t="s">
        <v>5</v>
      </c>
      <c r="C296" s="3" t="s">
        <v>51</v>
      </c>
      <c r="D296" s="4">
        <v>14957743</v>
      </c>
    </row>
    <row r="297" spans="1:4" x14ac:dyDescent="0.25">
      <c r="A297" s="5" t="s">
        <v>22</v>
      </c>
      <c r="B297" s="6" t="s">
        <v>5</v>
      </c>
      <c r="C297" s="6" t="s">
        <v>52</v>
      </c>
      <c r="D297" s="7">
        <v>15388873</v>
      </c>
    </row>
    <row r="298" spans="1:4" x14ac:dyDescent="0.25">
      <c r="A298" s="2" t="s">
        <v>22</v>
      </c>
      <c r="B298" s="3" t="s">
        <v>5</v>
      </c>
      <c r="C298" s="3" t="s">
        <v>53</v>
      </c>
      <c r="D298" s="4">
        <v>15337563</v>
      </c>
    </row>
    <row r="299" spans="1:4" x14ac:dyDescent="0.25">
      <c r="A299" s="5" t="s">
        <v>22</v>
      </c>
      <c r="B299" s="6" t="s">
        <v>5</v>
      </c>
      <c r="C299" s="6" t="s">
        <v>54</v>
      </c>
      <c r="D299" s="7">
        <v>15480051</v>
      </c>
    </row>
    <row r="300" spans="1:4" x14ac:dyDescent="0.25">
      <c r="A300" s="2" t="s">
        <v>22</v>
      </c>
      <c r="B300" s="3" t="s">
        <v>5</v>
      </c>
      <c r="C300" s="3" t="s">
        <v>55</v>
      </c>
      <c r="D300" s="4">
        <v>25181544</v>
      </c>
    </row>
    <row r="301" spans="1:4" x14ac:dyDescent="0.25">
      <c r="A301" s="2" t="s">
        <v>22</v>
      </c>
      <c r="B301" s="3" t="s">
        <v>5</v>
      </c>
      <c r="C301" s="3" t="s">
        <v>56</v>
      </c>
      <c r="D301" s="4">
        <v>25056768</v>
      </c>
    </row>
    <row r="302" spans="1:4" x14ac:dyDescent="0.25">
      <c r="A302" s="2" t="s">
        <v>22</v>
      </c>
      <c r="B302" s="3" t="s">
        <v>5</v>
      </c>
      <c r="C302" s="3" t="s">
        <v>57</v>
      </c>
      <c r="D302" s="4">
        <v>28503336</v>
      </c>
    </row>
    <row r="303" spans="1:4" x14ac:dyDescent="0.25">
      <c r="A303" s="2" t="s">
        <v>22</v>
      </c>
      <c r="B303" s="3" t="s">
        <v>5</v>
      </c>
      <c r="C303" s="3" t="s">
        <v>58</v>
      </c>
      <c r="D303" s="4">
        <v>25781828</v>
      </c>
    </row>
    <row r="304" spans="1:4" x14ac:dyDescent="0.25">
      <c r="A304" s="2" t="s">
        <v>22</v>
      </c>
      <c r="B304" s="3" t="s">
        <v>5</v>
      </c>
      <c r="C304" s="3" t="s">
        <v>59</v>
      </c>
      <c r="D304" s="4">
        <v>25613208</v>
      </c>
    </row>
    <row r="305" spans="1:4" x14ac:dyDescent="0.25">
      <c r="A305" s="2" t="s">
        <v>22</v>
      </c>
      <c r="B305" s="3" t="s">
        <v>5</v>
      </c>
      <c r="C305" s="3" t="s">
        <v>60</v>
      </c>
      <c r="D305" s="4">
        <v>26830636</v>
      </c>
    </row>
    <row r="306" spans="1:4" x14ac:dyDescent="0.25">
      <c r="A306" s="2" t="s">
        <v>22</v>
      </c>
      <c r="B306" s="3" t="s">
        <v>5</v>
      </c>
      <c r="C306" s="3" t="s">
        <v>61</v>
      </c>
      <c r="D306" s="4">
        <v>30179408</v>
      </c>
    </row>
    <row r="307" spans="1:4" x14ac:dyDescent="0.25">
      <c r="A307" s="2" t="s">
        <v>22</v>
      </c>
      <c r="B307" s="3" t="s">
        <v>5</v>
      </c>
      <c r="C307" s="3" t="s">
        <v>62</v>
      </c>
      <c r="D307" s="4">
        <v>32115156</v>
      </c>
    </row>
    <row r="308" spans="1:4" x14ac:dyDescent="0.25">
      <c r="A308" s="2" t="s">
        <v>22</v>
      </c>
      <c r="B308" s="3" t="s">
        <v>5</v>
      </c>
      <c r="C308" s="3" t="s">
        <v>63</v>
      </c>
      <c r="D308" s="4">
        <v>28037950</v>
      </c>
    </row>
    <row r="309" spans="1:4" x14ac:dyDescent="0.25">
      <c r="A309" s="2" t="s">
        <v>22</v>
      </c>
      <c r="B309" s="3" t="s">
        <v>5</v>
      </c>
      <c r="C309" s="3" t="s">
        <v>64</v>
      </c>
      <c r="D309" s="4">
        <v>27592796</v>
      </c>
    </row>
    <row r="310" spans="1:4" x14ac:dyDescent="0.25">
      <c r="A310" s="2" t="s">
        <v>22</v>
      </c>
      <c r="B310" s="3" t="s">
        <v>5</v>
      </c>
      <c r="C310" s="3" t="s">
        <v>65</v>
      </c>
      <c r="D310" s="4">
        <v>29471208</v>
      </c>
    </row>
    <row r="311" spans="1:4" x14ac:dyDescent="0.25">
      <c r="A311" s="2" t="s">
        <v>22</v>
      </c>
      <c r="B311" s="3" t="s">
        <v>5</v>
      </c>
      <c r="C311" s="3" t="s">
        <v>66</v>
      </c>
      <c r="D311" s="4">
        <v>32873938</v>
      </c>
    </row>
    <row r="312" spans="1:4" x14ac:dyDescent="0.25">
      <c r="A312" s="2" t="s">
        <v>35</v>
      </c>
      <c r="B312" s="3" t="s">
        <v>5</v>
      </c>
      <c r="C312" s="3" t="s">
        <v>36</v>
      </c>
      <c r="D312" s="4">
        <v>2718016.75</v>
      </c>
    </row>
    <row r="313" spans="1:4" x14ac:dyDescent="0.25">
      <c r="A313" s="5" t="s">
        <v>35</v>
      </c>
      <c r="B313" s="6" t="s">
        <v>5</v>
      </c>
      <c r="C313" s="6" t="s">
        <v>37</v>
      </c>
      <c r="D313" s="7">
        <v>2606653.75</v>
      </c>
    </row>
    <row r="314" spans="1:4" x14ac:dyDescent="0.25">
      <c r="A314" s="2" t="s">
        <v>35</v>
      </c>
      <c r="B314" s="3" t="s">
        <v>5</v>
      </c>
      <c r="C314" s="3" t="s">
        <v>38</v>
      </c>
      <c r="D314" s="4">
        <v>2529348.5</v>
      </c>
    </row>
    <row r="315" spans="1:4" x14ac:dyDescent="0.25">
      <c r="A315" s="5" t="s">
        <v>35</v>
      </c>
      <c r="B315" s="6" t="s">
        <v>5</v>
      </c>
      <c r="C315" s="6" t="s">
        <v>39</v>
      </c>
      <c r="D315" s="7">
        <v>2642714.25</v>
      </c>
    </row>
    <row r="316" spans="1:4" x14ac:dyDescent="0.25">
      <c r="A316" s="2" t="s">
        <v>35</v>
      </c>
      <c r="B316" s="3" t="s">
        <v>5</v>
      </c>
      <c r="C316" s="3" t="s">
        <v>40</v>
      </c>
      <c r="D316" s="4">
        <v>2723844.75</v>
      </c>
    </row>
    <row r="317" spans="1:4" x14ac:dyDescent="0.25">
      <c r="A317" s="5" t="s">
        <v>35</v>
      </c>
      <c r="B317" s="6" t="s">
        <v>5</v>
      </c>
      <c r="C317" s="6" t="s">
        <v>41</v>
      </c>
      <c r="D317" s="7">
        <v>2717732.75</v>
      </c>
    </row>
    <row r="318" spans="1:4" x14ac:dyDescent="0.25">
      <c r="A318" s="2" t="s">
        <v>35</v>
      </c>
      <c r="B318" s="3" t="s">
        <v>5</v>
      </c>
      <c r="C318" s="3" t="s">
        <v>42</v>
      </c>
      <c r="D318" s="4">
        <v>2744375</v>
      </c>
    </row>
    <row r="319" spans="1:4" x14ac:dyDescent="0.25">
      <c r="A319" s="5" t="s">
        <v>35</v>
      </c>
      <c r="B319" s="6" t="s">
        <v>5</v>
      </c>
      <c r="C319" s="6" t="s">
        <v>43</v>
      </c>
      <c r="D319" s="7">
        <v>2656399.75</v>
      </c>
    </row>
    <row r="320" spans="1:4" x14ac:dyDescent="0.25">
      <c r="A320" s="2" t="s">
        <v>35</v>
      </c>
      <c r="B320" s="3" t="s">
        <v>5</v>
      </c>
      <c r="C320" s="3" t="s">
        <v>44</v>
      </c>
      <c r="D320" s="4">
        <v>2605303</v>
      </c>
    </row>
    <row r="321" spans="1:4" x14ac:dyDescent="0.25">
      <c r="A321" s="5" t="s">
        <v>35</v>
      </c>
      <c r="B321" s="6" t="s">
        <v>5</v>
      </c>
      <c r="C321" s="6" t="s">
        <v>45</v>
      </c>
      <c r="D321" s="7">
        <v>2703259</v>
      </c>
    </row>
    <row r="322" spans="1:4" x14ac:dyDescent="0.25">
      <c r="A322" s="2" t="s">
        <v>35</v>
      </c>
      <c r="B322" s="3" t="s">
        <v>5</v>
      </c>
      <c r="C322" s="3" t="s">
        <v>46</v>
      </c>
      <c r="D322" s="4">
        <v>2742203</v>
      </c>
    </row>
    <row r="323" spans="1:4" x14ac:dyDescent="0.25">
      <c r="A323" s="5" t="s">
        <v>35</v>
      </c>
      <c r="B323" s="6" t="s">
        <v>5</v>
      </c>
      <c r="C323" s="6" t="s">
        <v>47</v>
      </c>
      <c r="D323" s="7">
        <v>2710754.75</v>
      </c>
    </row>
    <row r="324" spans="1:4" x14ac:dyDescent="0.25">
      <c r="A324" s="2" t="s">
        <v>35</v>
      </c>
      <c r="B324" s="3" t="s">
        <v>5</v>
      </c>
      <c r="C324" s="3" t="s">
        <v>48</v>
      </c>
      <c r="D324" s="4">
        <v>2724026</v>
      </c>
    </row>
    <row r="325" spans="1:4" x14ac:dyDescent="0.25">
      <c r="A325" s="5" t="s">
        <v>35</v>
      </c>
      <c r="B325" s="6" t="s">
        <v>5</v>
      </c>
      <c r="C325" s="6" t="s">
        <v>49</v>
      </c>
      <c r="D325" s="7">
        <v>2612508.5</v>
      </c>
    </row>
    <row r="326" spans="1:4" x14ac:dyDescent="0.25">
      <c r="A326" s="2" t="s">
        <v>35</v>
      </c>
      <c r="B326" s="3" t="s">
        <v>5</v>
      </c>
      <c r="C326" s="3" t="s">
        <v>50</v>
      </c>
      <c r="D326" s="4">
        <v>2535152</v>
      </c>
    </row>
    <row r="327" spans="1:4" x14ac:dyDescent="0.25">
      <c r="A327" s="5" t="s">
        <v>35</v>
      </c>
      <c r="B327" s="6" t="s">
        <v>5</v>
      </c>
      <c r="C327" s="6" t="s">
        <v>51</v>
      </c>
      <c r="D327" s="7">
        <v>2648684</v>
      </c>
    </row>
    <row r="328" spans="1:4" x14ac:dyDescent="0.25">
      <c r="A328" s="2" t="s">
        <v>35</v>
      </c>
      <c r="B328" s="3" t="s">
        <v>5</v>
      </c>
      <c r="C328" s="3" t="s">
        <v>52</v>
      </c>
      <c r="D328" s="4">
        <v>2729799.25</v>
      </c>
    </row>
    <row r="329" spans="1:4" x14ac:dyDescent="0.25">
      <c r="A329" s="5" t="s">
        <v>35</v>
      </c>
      <c r="B329" s="6" t="s">
        <v>5</v>
      </c>
      <c r="C329" s="6" t="s">
        <v>53</v>
      </c>
      <c r="D329" s="7">
        <v>2723558</v>
      </c>
    </row>
    <row r="330" spans="1:4" x14ac:dyDescent="0.25">
      <c r="A330" s="2" t="s">
        <v>35</v>
      </c>
      <c r="B330" s="3" t="s">
        <v>5</v>
      </c>
      <c r="C330" s="3" t="s">
        <v>54</v>
      </c>
      <c r="D330" s="4">
        <v>2750196.5</v>
      </c>
    </row>
    <row r="331" spans="1:4" x14ac:dyDescent="0.25">
      <c r="A331" s="5" t="s">
        <v>35</v>
      </c>
      <c r="B331" s="6" t="s">
        <v>5</v>
      </c>
      <c r="C331" s="6" t="s">
        <v>55</v>
      </c>
      <c r="D331" s="7">
        <v>7608823.5</v>
      </c>
    </row>
    <row r="332" spans="1:4" x14ac:dyDescent="0.25">
      <c r="A332" s="5" t="s">
        <v>35</v>
      </c>
      <c r="B332" s="6" t="s">
        <v>5</v>
      </c>
      <c r="C332" s="6" t="s">
        <v>56</v>
      </c>
      <c r="D332" s="7">
        <v>7568715</v>
      </c>
    </row>
    <row r="333" spans="1:4" x14ac:dyDescent="0.25">
      <c r="A333" s="5" t="s">
        <v>35</v>
      </c>
      <c r="B333" s="6" t="s">
        <v>5</v>
      </c>
      <c r="C333" s="6" t="s">
        <v>57</v>
      </c>
      <c r="D333" s="7">
        <v>8558775</v>
      </c>
    </row>
    <row r="334" spans="1:4" x14ac:dyDescent="0.25">
      <c r="A334" s="5" t="s">
        <v>35</v>
      </c>
      <c r="B334" s="6" t="s">
        <v>5</v>
      </c>
      <c r="C334" s="6" t="s">
        <v>58</v>
      </c>
      <c r="D334" s="7">
        <v>7738991</v>
      </c>
    </row>
    <row r="335" spans="1:4" x14ac:dyDescent="0.25">
      <c r="A335" s="5" t="s">
        <v>35</v>
      </c>
      <c r="B335" s="6" t="s">
        <v>5</v>
      </c>
      <c r="C335" s="6" t="s">
        <v>59</v>
      </c>
      <c r="D335" s="7">
        <v>7671061</v>
      </c>
    </row>
    <row r="336" spans="1:4" x14ac:dyDescent="0.25">
      <c r="A336" s="5" t="s">
        <v>35</v>
      </c>
      <c r="B336" s="6" t="s">
        <v>5</v>
      </c>
      <c r="C336" s="6" t="s">
        <v>60</v>
      </c>
      <c r="D336" s="7">
        <v>8002594.5</v>
      </c>
    </row>
    <row r="337" spans="1:4" x14ac:dyDescent="0.25">
      <c r="A337" s="5" t="s">
        <v>35</v>
      </c>
      <c r="B337" s="6" t="s">
        <v>5</v>
      </c>
      <c r="C337" s="6" t="s">
        <v>61</v>
      </c>
      <c r="D337" s="7">
        <v>8987677</v>
      </c>
    </row>
    <row r="338" spans="1:4" x14ac:dyDescent="0.25">
      <c r="A338" s="5" t="s">
        <v>35</v>
      </c>
      <c r="B338" s="6" t="s">
        <v>5</v>
      </c>
      <c r="C338" s="6" t="s">
        <v>62</v>
      </c>
      <c r="D338" s="7">
        <v>9565080</v>
      </c>
    </row>
    <row r="339" spans="1:4" x14ac:dyDescent="0.25">
      <c r="A339" s="5" t="s">
        <v>35</v>
      </c>
      <c r="B339" s="6" t="s">
        <v>5</v>
      </c>
      <c r="C339" s="6" t="s">
        <v>63</v>
      </c>
      <c r="D339" s="7">
        <v>8369164.5</v>
      </c>
    </row>
    <row r="340" spans="1:4" x14ac:dyDescent="0.25">
      <c r="A340" s="5" t="s">
        <v>35</v>
      </c>
      <c r="B340" s="6" t="s">
        <v>5</v>
      </c>
      <c r="C340" s="6" t="s">
        <v>64</v>
      </c>
      <c r="D340" s="7">
        <v>8270910</v>
      </c>
    </row>
    <row r="341" spans="1:4" x14ac:dyDescent="0.25">
      <c r="A341" s="5" t="s">
        <v>35</v>
      </c>
      <c r="B341" s="6" t="s">
        <v>5</v>
      </c>
      <c r="C341" s="6" t="s">
        <v>65</v>
      </c>
      <c r="D341" s="7">
        <v>8839783</v>
      </c>
    </row>
    <row r="342" spans="1:4" x14ac:dyDescent="0.25">
      <c r="A342" s="5" t="s">
        <v>35</v>
      </c>
      <c r="B342" s="6" t="s">
        <v>5</v>
      </c>
      <c r="C342" s="6" t="s">
        <v>66</v>
      </c>
      <c r="D342" s="7">
        <v>9836393</v>
      </c>
    </row>
    <row r="343" spans="1:4" x14ac:dyDescent="0.25">
      <c r="A343" s="2" t="s">
        <v>25</v>
      </c>
      <c r="B343" s="3" t="s">
        <v>5</v>
      </c>
      <c r="C343" s="3" t="s">
        <v>36</v>
      </c>
      <c r="D343" s="4">
        <v>11875039</v>
      </c>
    </row>
    <row r="344" spans="1:4" x14ac:dyDescent="0.25">
      <c r="A344" s="5" t="s">
        <v>25</v>
      </c>
      <c r="B344" s="6" t="s">
        <v>5</v>
      </c>
      <c r="C344" s="6" t="s">
        <v>37</v>
      </c>
      <c r="D344" s="7">
        <v>11400858</v>
      </c>
    </row>
    <row r="345" spans="1:4" x14ac:dyDescent="0.25">
      <c r="A345" s="2" t="s">
        <v>25</v>
      </c>
      <c r="B345" s="3" t="s">
        <v>5</v>
      </c>
      <c r="C345" s="3" t="s">
        <v>38</v>
      </c>
      <c r="D345" s="4">
        <v>11078023</v>
      </c>
    </row>
    <row r="346" spans="1:4" x14ac:dyDescent="0.25">
      <c r="A346" s="5" t="s">
        <v>25</v>
      </c>
      <c r="B346" s="6" t="s">
        <v>5</v>
      </c>
      <c r="C346" s="6" t="s">
        <v>39</v>
      </c>
      <c r="D346" s="7">
        <v>11561443</v>
      </c>
    </row>
    <row r="347" spans="1:4" x14ac:dyDescent="0.25">
      <c r="A347" s="2" t="s">
        <v>25</v>
      </c>
      <c r="B347" s="3" t="s">
        <v>5</v>
      </c>
      <c r="C347" s="3" t="s">
        <v>40</v>
      </c>
      <c r="D347" s="4">
        <v>11890799</v>
      </c>
    </row>
    <row r="348" spans="1:4" x14ac:dyDescent="0.25">
      <c r="A348" s="5" t="s">
        <v>25</v>
      </c>
      <c r="B348" s="6" t="s">
        <v>5</v>
      </c>
      <c r="C348" s="6" t="s">
        <v>41</v>
      </c>
      <c r="D348" s="7">
        <v>11848878</v>
      </c>
    </row>
    <row r="349" spans="1:4" x14ac:dyDescent="0.25">
      <c r="A349" s="2" t="s">
        <v>25</v>
      </c>
      <c r="B349" s="3" t="s">
        <v>5</v>
      </c>
      <c r="C349" s="3" t="s">
        <v>42</v>
      </c>
      <c r="D349" s="4">
        <v>11957715</v>
      </c>
    </row>
    <row r="350" spans="1:4" x14ac:dyDescent="0.25">
      <c r="A350" s="5" t="s">
        <v>25</v>
      </c>
      <c r="B350" s="6" t="s">
        <v>5</v>
      </c>
      <c r="C350" s="6" t="s">
        <v>43</v>
      </c>
      <c r="D350" s="7">
        <v>11652794</v>
      </c>
    </row>
    <row r="351" spans="1:4" x14ac:dyDescent="0.25">
      <c r="A351" s="2" t="s">
        <v>25</v>
      </c>
      <c r="B351" s="3" t="s">
        <v>5</v>
      </c>
      <c r="C351" s="3" t="s">
        <v>44</v>
      </c>
      <c r="D351" s="4">
        <v>11413274</v>
      </c>
    </row>
    <row r="352" spans="1:4" x14ac:dyDescent="0.25">
      <c r="A352" s="5" t="s">
        <v>25</v>
      </c>
      <c r="B352" s="6" t="s">
        <v>5</v>
      </c>
      <c r="C352" s="6" t="s">
        <v>45</v>
      </c>
      <c r="D352" s="7">
        <v>11853368</v>
      </c>
    </row>
    <row r="353" spans="1:4" x14ac:dyDescent="0.25">
      <c r="A353" s="2" t="s">
        <v>25</v>
      </c>
      <c r="B353" s="3" t="s">
        <v>5</v>
      </c>
      <c r="C353" s="3" t="s">
        <v>46</v>
      </c>
      <c r="D353" s="4">
        <v>12049948</v>
      </c>
    </row>
    <row r="354" spans="1:4" x14ac:dyDescent="0.25">
      <c r="A354" s="5" t="s">
        <v>25</v>
      </c>
      <c r="B354" s="6" t="s">
        <v>5</v>
      </c>
      <c r="C354" s="6" t="s">
        <v>47</v>
      </c>
      <c r="D354" s="7">
        <v>11927328</v>
      </c>
    </row>
    <row r="355" spans="1:4" x14ac:dyDescent="0.25">
      <c r="A355" s="2" t="s">
        <v>25</v>
      </c>
      <c r="B355" s="3" t="s">
        <v>5</v>
      </c>
      <c r="C355" s="3" t="s">
        <v>48</v>
      </c>
      <c r="D355" s="4">
        <v>11994303</v>
      </c>
    </row>
    <row r="356" spans="1:4" x14ac:dyDescent="0.25">
      <c r="A356" s="5" t="s">
        <v>25</v>
      </c>
      <c r="B356" s="6" t="s">
        <v>5</v>
      </c>
      <c r="C356" s="6" t="s">
        <v>49</v>
      </c>
      <c r="D356" s="7">
        <v>11515544</v>
      </c>
    </row>
    <row r="357" spans="1:4" x14ac:dyDescent="0.25">
      <c r="A357" s="2" t="s">
        <v>25</v>
      </c>
      <c r="B357" s="3" t="s">
        <v>5</v>
      </c>
      <c r="C357" s="3" t="s">
        <v>50</v>
      </c>
      <c r="D357" s="4">
        <v>11189710</v>
      </c>
    </row>
    <row r="358" spans="1:4" x14ac:dyDescent="0.25">
      <c r="A358" s="5" t="s">
        <v>25</v>
      </c>
      <c r="B358" s="6" t="s">
        <v>5</v>
      </c>
      <c r="C358" s="6" t="s">
        <v>51</v>
      </c>
      <c r="D358" s="7">
        <v>11677824</v>
      </c>
    </row>
    <row r="359" spans="1:4" x14ac:dyDescent="0.25">
      <c r="A359" s="2" t="s">
        <v>25</v>
      </c>
      <c r="B359" s="3" t="s">
        <v>5</v>
      </c>
      <c r="C359" s="3" t="s">
        <v>52</v>
      </c>
      <c r="D359" s="4">
        <v>12010090</v>
      </c>
    </row>
    <row r="360" spans="1:4" x14ac:dyDescent="0.25">
      <c r="A360" s="5" t="s">
        <v>25</v>
      </c>
      <c r="B360" s="6" t="s">
        <v>5</v>
      </c>
      <c r="C360" s="6" t="s">
        <v>53</v>
      </c>
      <c r="D360" s="7">
        <v>11967514</v>
      </c>
    </row>
    <row r="361" spans="1:4" x14ac:dyDescent="0.25">
      <c r="A361" s="2" t="s">
        <v>25</v>
      </c>
      <c r="B361" s="3" t="s">
        <v>5</v>
      </c>
      <c r="C361" s="3" t="s">
        <v>54</v>
      </c>
      <c r="D361" s="4">
        <v>12077321</v>
      </c>
    </row>
    <row r="362" spans="1:4" x14ac:dyDescent="0.25">
      <c r="A362" s="5" t="s">
        <v>25</v>
      </c>
      <c r="B362" s="6" t="s">
        <v>5</v>
      </c>
      <c r="C362" s="6" t="s">
        <v>55</v>
      </c>
      <c r="D362" s="7">
        <v>13124574</v>
      </c>
    </row>
    <row r="363" spans="1:4" x14ac:dyDescent="0.25">
      <c r="A363" s="5" t="s">
        <v>25</v>
      </c>
      <c r="B363" s="6" t="s">
        <v>5</v>
      </c>
      <c r="C363" s="6" t="s">
        <v>56</v>
      </c>
      <c r="D363" s="7">
        <v>13059541</v>
      </c>
    </row>
    <row r="364" spans="1:4" x14ac:dyDescent="0.25">
      <c r="A364" s="5" t="s">
        <v>25</v>
      </c>
      <c r="B364" s="6" t="s">
        <v>5</v>
      </c>
      <c r="C364" s="6" t="s">
        <v>57</v>
      </c>
      <c r="D364" s="7">
        <v>14855886</v>
      </c>
    </row>
    <row r="365" spans="1:4" x14ac:dyDescent="0.25">
      <c r="A365" s="5" t="s">
        <v>25</v>
      </c>
      <c r="B365" s="6" t="s">
        <v>5</v>
      </c>
      <c r="C365" s="6" t="s">
        <v>58</v>
      </c>
      <c r="D365" s="7">
        <v>13437442</v>
      </c>
    </row>
    <row r="366" spans="1:4" x14ac:dyDescent="0.25">
      <c r="A366" s="5" t="s">
        <v>25</v>
      </c>
      <c r="B366" s="6" t="s">
        <v>5</v>
      </c>
      <c r="C366" s="6" t="s">
        <v>59</v>
      </c>
      <c r="D366" s="7">
        <v>13349558</v>
      </c>
    </row>
    <row r="367" spans="1:4" x14ac:dyDescent="0.25">
      <c r="A367" s="5" t="s">
        <v>25</v>
      </c>
      <c r="B367" s="6" t="s">
        <v>5</v>
      </c>
      <c r="C367" s="6" t="s">
        <v>60</v>
      </c>
      <c r="D367" s="7">
        <v>13984080</v>
      </c>
    </row>
    <row r="368" spans="1:4" x14ac:dyDescent="0.25">
      <c r="A368" s="5" t="s">
        <v>25</v>
      </c>
      <c r="B368" s="6" t="s">
        <v>5</v>
      </c>
      <c r="C368" s="6" t="s">
        <v>61</v>
      </c>
      <c r="D368" s="7">
        <v>15729454</v>
      </c>
    </row>
    <row r="369" spans="1:4" x14ac:dyDescent="0.25">
      <c r="A369" s="5" t="s">
        <v>25</v>
      </c>
      <c r="B369" s="6" t="s">
        <v>5</v>
      </c>
      <c r="C369" s="6" t="s">
        <v>62</v>
      </c>
      <c r="D369" s="7">
        <v>16738360</v>
      </c>
    </row>
    <row r="370" spans="1:4" x14ac:dyDescent="0.25">
      <c r="A370" s="5" t="s">
        <v>25</v>
      </c>
      <c r="B370" s="6" t="s">
        <v>5</v>
      </c>
      <c r="C370" s="6" t="s">
        <v>63</v>
      </c>
      <c r="D370" s="7">
        <v>14613328</v>
      </c>
    </row>
    <row r="371" spans="1:4" x14ac:dyDescent="0.25">
      <c r="A371" s="5" t="s">
        <v>25</v>
      </c>
      <c r="B371" s="6" t="s">
        <v>5</v>
      </c>
      <c r="C371" s="6" t="s">
        <v>64</v>
      </c>
      <c r="D371" s="7">
        <v>14381314</v>
      </c>
    </row>
    <row r="372" spans="1:4" x14ac:dyDescent="0.25">
      <c r="A372" s="5" t="s">
        <v>25</v>
      </c>
      <c r="B372" s="6" t="s">
        <v>5</v>
      </c>
      <c r="C372" s="6" t="s">
        <v>65</v>
      </c>
      <c r="D372" s="7">
        <v>15360340</v>
      </c>
    </row>
    <row r="373" spans="1:4" x14ac:dyDescent="0.25">
      <c r="A373" s="5" t="s">
        <v>25</v>
      </c>
      <c r="B373" s="6" t="s">
        <v>5</v>
      </c>
      <c r="C373" s="6" t="s">
        <v>66</v>
      </c>
      <c r="D373" s="7">
        <v>17133838</v>
      </c>
    </row>
    <row r="374" spans="1:4" x14ac:dyDescent="0.25">
      <c r="A374" s="5" t="s">
        <v>26</v>
      </c>
      <c r="B374" s="6" t="s">
        <v>5</v>
      </c>
      <c r="C374" s="6" t="s">
        <v>36</v>
      </c>
      <c r="D374" s="7">
        <v>5939170</v>
      </c>
    </row>
    <row r="375" spans="1:4" x14ac:dyDescent="0.25">
      <c r="A375" s="2" t="s">
        <v>26</v>
      </c>
      <c r="B375" s="3" t="s">
        <v>5</v>
      </c>
      <c r="C375" s="3" t="s">
        <v>37</v>
      </c>
      <c r="D375" s="4">
        <v>5701941.5</v>
      </c>
    </row>
    <row r="376" spans="1:4" x14ac:dyDescent="0.25">
      <c r="A376" s="5" t="s">
        <v>26</v>
      </c>
      <c r="B376" s="6" t="s">
        <v>5</v>
      </c>
      <c r="C376" s="6" t="s">
        <v>38</v>
      </c>
      <c r="D376" s="7">
        <v>5540275.5</v>
      </c>
    </row>
    <row r="377" spans="1:4" x14ac:dyDescent="0.25">
      <c r="A377" s="2" t="s">
        <v>26</v>
      </c>
      <c r="B377" s="3" t="s">
        <v>5</v>
      </c>
      <c r="C377" s="3" t="s">
        <v>39</v>
      </c>
      <c r="D377" s="4">
        <v>5782234.5</v>
      </c>
    </row>
    <row r="378" spans="1:4" x14ac:dyDescent="0.25">
      <c r="A378" s="5" t="s">
        <v>26</v>
      </c>
      <c r="B378" s="6" t="s">
        <v>5</v>
      </c>
      <c r="C378" s="6" t="s">
        <v>40</v>
      </c>
      <c r="D378" s="7">
        <v>5947137</v>
      </c>
    </row>
    <row r="379" spans="1:4" x14ac:dyDescent="0.25">
      <c r="A379" s="2" t="s">
        <v>26</v>
      </c>
      <c r="B379" s="3" t="s">
        <v>5</v>
      </c>
      <c r="C379" s="3" t="s">
        <v>41</v>
      </c>
      <c r="D379" s="4">
        <v>5926314</v>
      </c>
    </row>
    <row r="380" spans="1:4" x14ac:dyDescent="0.25">
      <c r="A380" s="5" t="s">
        <v>26</v>
      </c>
      <c r="B380" s="6" t="s">
        <v>5</v>
      </c>
      <c r="C380" s="6" t="s">
        <v>42</v>
      </c>
      <c r="D380" s="7">
        <v>5980823</v>
      </c>
    </row>
    <row r="381" spans="1:4" x14ac:dyDescent="0.25">
      <c r="A381" s="2" t="s">
        <v>26</v>
      </c>
      <c r="B381" s="3" t="s">
        <v>5</v>
      </c>
      <c r="C381" s="3" t="s">
        <v>43</v>
      </c>
      <c r="D381" s="4">
        <v>5837496.5</v>
      </c>
    </row>
    <row r="382" spans="1:4" x14ac:dyDescent="0.25">
      <c r="A382" s="5" t="s">
        <v>26</v>
      </c>
      <c r="B382" s="6" t="s">
        <v>5</v>
      </c>
      <c r="C382" s="6" t="s">
        <v>44</v>
      </c>
      <c r="D382" s="7">
        <v>5717558.5</v>
      </c>
    </row>
    <row r="383" spans="1:4" x14ac:dyDescent="0.25">
      <c r="A383" s="2" t="s">
        <v>26</v>
      </c>
      <c r="B383" s="3" t="s">
        <v>5</v>
      </c>
      <c r="C383" s="3" t="s">
        <v>45</v>
      </c>
      <c r="D383" s="4">
        <v>5937965.5</v>
      </c>
    </row>
    <row r="384" spans="1:4" x14ac:dyDescent="0.25">
      <c r="A384" s="5" t="s">
        <v>26</v>
      </c>
      <c r="B384" s="6" t="s">
        <v>5</v>
      </c>
      <c r="C384" s="6" t="s">
        <v>46</v>
      </c>
      <c r="D384" s="7">
        <v>6036168.5</v>
      </c>
    </row>
    <row r="385" spans="1:4" x14ac:dyDescent="0.25">
      <c r="A385" s="2" t="s">
        <v>26</v>
      </c>
      <c r="B385" s="3" t="s">
        <v>5</v>
      </c>
      <c r="C385" s="3" t="s">
        <v>47</v>
      </c>
      <c r="D385" s="4">
        <v>5974683</v>
      </c>
    </row>
    <row r="386" spans="1:4" x14ac:dyDescent="0.25">
      <c r="A386" s="5" t="s">
        <v>26</v>
      </c>
      <c r="B386" s="6" t="s">
        <v>5</v>
      </c>
      <c r="C386" s="6" t="s">
        <v>48</v>
      </c>
      <c r="D386" s="7">
        <v>6008125.5</v>
      </c>
    </row>
    <row r="387" spans="1:4" x14ac:dyDescent="0.25">
      <c r="A387" s="2" t="s">
        <v>26</v>
      </c>
      <c r="B387" s="3" t="s">
        <v>5</v>
      </c>
      <c r="C387" s="3" t="s">
        <v>49</v>
      </c>
      <c r="D387" s="4">
        <v>5768246</v>
      </c>
    </row>
    <row r="388" spans="1:4" x14ac:dyDescent="0.25">
      <c r="A388" s="5" t="s">
        <v>26</v>
      </c>
      <c r="B388" s="6" t="s">
        <v>5</v>
      </c>
      <c r="C388" s="6" t="s">
        <v>50</v>
      </c>
      <c r="D388" s="7">
        <v>5604841</v>
      </c>
    </row>
    <row r="389" spans="1:4" x14ac:dyDescent="0.25">
      <c r="A389" s="2" t="s">
        <v>26</v>
      </c>
      <c r="B389" s="3" t="s">
        <v>5</v>
      </c>
      <c r="C389" s="3" t="s">
        <v>51</v>
      </c>
      <c r="D389" s="4">
        <v>5849517</v>
      </c>
    </row>
    <row r="390" spans="1:4" x14ac:dyDescent="0.25">
      <c r="A390" s="5" t="s">
        <v>26</v>
      </c>
      <c r="B390" s="6" t="s">
        <v>5</v>
      </c>
      <c r="C390" s="6" t="s">
        <v>52</v>
      </c>
      <c r="D390" s="7">
        <v>6016111.5</v>
      </c>
    </row>
    <row r="391" spans="1:4" x14ac:dyDescent="0.25">
      <c r="A391" s="2" t="s">
        <v>26</v>
      </c>
      <c r="B391" s="3" t="s">
        <v>5</v>
      </c>
      <c r="C391" s="3" t="s">
        <v>53</v>
      </c>
      <c r="D391" s="4">
        <v>5994915.5</v>
      </c>
    </row>
    <row r="392" spans="1:4" x14ac:dyDescent="0.25">
      <c r="A392" s="5" t="s">
        <v>26</v>
      </c>
      <c r="B392" s="6" t="s">
        <v>5</v>
      </c>
      <c r="C392" s="6" t="s">
        <v>54</v>
      </c>
      <c r="D392" s="7">
        <v>6049986.5</v>
      </c>
    </row>
    <row r="393" spans="1:4" x14ac:dyDescent="0.25">
      <c r="A393" s="2" t="s">
        <v>26</v>
      </c>
      <c r="B393" s="3" t="s">
        <v>5</v>
      </c>
      <c r="C393" s="3" t="s">
        <v>55</v>
      </c>
      <c r="D393" s="4">
        <v>9534673</v>
      </c>
    </row>
    <row r="394" spans="1:4" x14ac:dyDescent="0.25">
      <c r="A394" s="2" t="s">
        <v>26</v>
      </c>
      <c r="B394" s="3" t="s">
        <v>5</v>
      </c>
      <c r="C394" s="3" t="s">
        <v>56</v>
      </c>
      <c r="D394" s="4">
        <v>9487429</v>
      </c>
    </row>
    <row r="395" spans="1:4" x14ac:dyDescent="0.25">
      <c r="A395" s="2" t="s">
        <v>26</v>
      </c>
      <c r="B395" s="3" t="s">
        <v>5</v>
      </c>
      <c r="C395" s="3" t="s">
        <v>57</v>
      </c>
      <c r="D395" s="4">
        <v>10792430</v>
      </c>
    </row>
    <row r="396" spans="1:4" x14ac:dyDescent="0.25">
      <c r="A396" s="2" t="s">
        <v>26</v>
      </c>
      <c r="B396" s="3" t="s">
        <v>5</v>
      </c>
      <c r="C396" s="3" t="s">
        <v>58</v>
      </c>
      <c r="D396" s="4">
        <v>9761964</v>
      </c>
    </row>
    <row r="397" spans="1:4" x14ac:dyDescent="0.25">
      <c r="A397" s="2" t="s">
        <v>26</v>
      </c>
      <c r="B397" s="3" t="s">
        <v>5</v>
      </c>
      <c r="C397" s="3" t="s">
        <v>59</v>
      </c>
      <c r="D397" s="4">
        <v>9698118</v>
      </c>
    </row>
    <row r="398" spans="1:4" x14ac:dyDescent="0.25">
      <c r="A398" s="2" t="s">
        <v>26</v>
      </c>
      <c r="B398" s="3" t="s">
        <v>5</v>
      </c>
      <c r="C398" s="3" t="s">
        <v>60</v>
      </c>
      <c r="D398" s="4">
        <v>10159081</v>
      </c>
    </row>
    <row r="399" spans="1:4" x14ac:dyDescent="0.25">
      <c r="A399" s="2" t="s">
        <v>26</v>
      </c>
      <c r="B399" s="3" t="s">
        <v>5</v>
      </c>
      <c r="C399" s="3" t="s">
        <v>61</v>
      </c>
      <c r="D399" s="4">
        <v>11427051</v>
      </c>
    </row>
    <row r="400" spans="1:4" x14ac:dyDescent="0.25">
      <c r="A400" s="2" t="s">
        <v>26</v>
      </c>
      <c r="B400" s="3" t="s">
        <v>5</v>
      </c>
      <c r="C400" s="3" t="s">
        <v>62</v>
      </c>
      <c r="D400" s="4">
        <v>12159998</v>
      </c>
    </row>
    <row r="401" spans="1:4" x14ac:dyDescent="0.25">
      <c r="A401" s="2" t="s">
        <v>26</v>
      </c>
      <c r="B401" s="3" t="s">
        <v>5</v>
      </c>
      <c r="C401" s="3" t="s">
        <v>63</v>
      </c>
      <c r="D401" s="4">
        <v>10616215</v>
      </c>
    </row>
    <row r="402" spans="1:4" x14ac:dyDescent="0.25">
      <c r="A402" s="2" t="s">
        <v>26</v>
      </c>
      <c r="B402" s="3" t="s">
        <v>5</v>
      </c>
      <c r="C402" s="3" t="s">
        <v>64</v>
      </c>
      <c r="D402" s="4">
        <v>10447663</v>
      </c>
    </row>
    <row r="403" spans="1:4" x14ac:dyDescent="0.25">
      <c r="A403" s="2" t="s">
        <v>26</v>
      </c>
      <c r="B403" s="3" t="s">
        <v>5</v>
      </c>
      <c r="C403" s="3" t="s">
        <v>65</v>
      </c>
      <c r="D403" s="4">
        <v>11158902</v>
      </c>
    </row>
    <row r="404" spans="1:4" x14ac:dyDescent="0.25">
      <c r="A404" s="2" t="s">
        <v>26</v>
      </c>
      <c r="B404" s="3" t="s">
        <v>5</v>
      </c>
      <c r="C404" s="3" t="s">
        <v>66</v>
      </c>
      <c r="D404" s="4">
        <v>12447301</v>
      </c>
    </row>
    <row r="405" spans="1:4" x14ac:dyDescent="0.25">
      <c r="A405" s="2" t="s">
        <v>9</v>
      </c>
      <c r="B405" s="3" t="s">
        <v>5</v>
      </c>
      <c r="C405" s="3" t="s">
        <v>36</v>
      </c>
      <c r="D405" s="4">
        <v>3366853</v>
      </c>
    </row>
    <row r="406" spans="1:4" x14ac:dyDescent="0.25">
      <c r="A406" s="5" t="s">
        <v>9</v>
      </c>
      <c r="B406" s="6" t="s">
        <v>5</v>
      </c>
      <c r="C406" s="6" t="s">
        <v>37</v>
      </c>
      <c r="D406" s="7">
        <v>3231520</v>
      </c>
    </row>
    <row r="407" spans="1:4" x14ac:dyDescent="0.25">
      <c r="A407" s="2" t="s">
        <v>9</v>
      </c>
      <c r="B407" s="3" t="s">
        <v>5</v>
      </c>
      <c r="C407" s="3" t="s">
        <v>38</v>
      </c>
      <c r="D407" s="4">
        <v>3139107</v>
      </c>
    </row>
    <row r="408" spans="1:4" x14ac:dyDescent="0.25">
      <c r="A408" s="5" t="s">
        <v>9</v>
      </c>
      <c r="B408" s="6" t="s">
        <v>5</v>
      </c>
      <c r="C408" s="6" t="s">
        <v>39</v>
      </c>
      <c r="D408" s="7">
        <v>3277139</v>
      </c>
    </row>
    <row r="409" spans="1:4" x14ac:dyDescent="0.25">
      <c r="A409" s="2" t="s">
        <v>9</v>
      </c>
      <c r="B409" s="3" t="s">
        <v>5</v>
      </c>
      <c r="C409" s="3" t="s">
        <v>40</v>
      </c>
      <c r="D409" s="4">
        <v>3372134</v>
      </c>
    </row>
    <row r="410" spans="1:4" x14ac:dyDescent="0.25">
      <c r="A410" s="5" t="s">
        <v>9</v>
      </c>
      <c r="B410" s="6" t="s">
        <v>5</v>
      </c>
      <c r="C410" s="6" t="s">
        <v>41</v>
      </c>
      <c r="D410" s="7">
        <v>3361290.25</v>
      </c>
    </row>
    <row r="411" spans="1:4" x14ac:dyDescent="0.25">
      <c r="A411" s="2" t="s">
        <v>9</v>
      </c>
      <c r="B411" s="3" t="s">
        <v>5</v>
      </c>
      <c r="C411" s="3" t="s">
        <v>42</v>
      </c>
      <c r="D411" s="4">
        <v>3392532</v>
      </c>
    </row>
    <row r="412" spans="1:4" x14ac:dyDescent="0.25">
      <c r="A412" s="5" t="s">
        <v>9</v>
      </c>
      <c r="B412" s="6" t="s">
        <v>5</v>
      </c>
      <c r="C412" s="6" t="s">
        <v>43</v>
      </c>
      <c r="D412" s="7">
        <v>3309488.25</v>
      </c>
    </row>
    <row r="413" spans="1:4" x14ac:dyDescent="0.25">
      <c r="A413" s="2" t="s">
        <v>9</v>
      </c>
      <c r="B413" s="3" t="s">
        <v>5</v>
      </c>
      <c r="C413" s="3" t="s">
        <v>44</v>
      </c>
      <c r="D413" s="4">
        <v>3242273.5</v>
      </c>
    </row>
    <row r="414" spans="1:4" x14ac:dyDescent="0.25">
      <c r="A414" s="5" t="s">
        <v>9</v>
      </c>
      <c r="B414" s="6" t="s">
        <v>5</v>
      </c>
      <c r="C414" s="6" t="s">
        <v>45</v>
      </c>
      <c r="D414" s="7">
        <v>3366612.5</v>
      </c>
    </row>
    <row r="415" spans="1:4" x14ac:dyDescent="0.25">
      <c r="A415" s="2" t="s">
        <v>9</v>
      </c>
      <c r="B415" s="3" t="s">
        <v>5</v>
      </c>
      <c r="C415" s="3" t="s">
        <v>46</v>
      </c>
      <c r="D415" s="4">
        <v>3420736</v>
      </c>
    </row>
    <row r="416" spans="1:4" x14ac:dyDescent="0.25">
      <c r="A416" s="5" t="s">
        <v>9</v>
      </c>
      <c r="B416" s="6" t="s">
        <v>5</v>
      </c>
      <c r="C416" s="6" t="s">
        <v>47</v>
      </c>
      <c r="D416" s="7">
        <v>3384854.5</v>
      </c>
    </row>
    <row r="417" spans="1:4" x14ac:dyDescent="0.25">
      <c r="A417" s="2" t="s">
        <v>9</v>
      </c>
      <c r="B417" s="3" t="s">
        <v>5</v>
      </c>
      <c r="C417" s="3" t="s">
        <v>48</v>
      </c>
      <c r="D417" s="4">
        <v>3403271</v>
      </c>
    </row>
    <row r="418" spans="1:4" x14ac:dyDescent="0.25">
      <c r="A418" s="5" t="s">
        <v>9</v>
      </c>
      <c r="B418" s="6" t="s">
        <v>5</v>
      </c>
      <c r="C418" s="6" t="s">
        <v>49</v>
      </c>
      <c r="D418" s="7">
        <v>3266577</v>
      </c>
    </row>
    <row r="419" spans="1:4" x14ac:dyDescent="0.25">
      <c r="A419" s="2" t="s">
        <v>9</v>
      </c>
      <c r="B419" s="3" t="s">
        <v>5</v>
      </c>
      <c r="C419" s="3" t="s">
        <v>50</v>
      </c>
      <c r="D419" s="4">
        <v>3173297.75</v>
      </c>
    </row>
    <row r="420" spans="1:4" x14ac:dyDescent="0.25">
      <c r="A420" s="5" t="s">
        <v>9</v>
      </c>
      <c r="B420" s="6" t="s">
        <v>5</v>
      </c>
      <c r="C420" s="6" t="s">
        <v>51</v>
      </c>
      <c r="D420" s="7">
        <v>3312729.5</v>
      </c>
    </row>
    <row r="421" spans="1:4" x14ac:dyDescent="0.25">
      <c r="A421" s="2" t="s">
        <v>9</v>
      </c>
      <c r="B421" s="3" t="s">
        <v>5</v>
      </c>
      <c r="C421" s="3" t="s">
        <v>52</v>
      </c>
      <c r="D421" s="4">
        <v>3408534.5</v>
      </c>
    </row>
    <row r="422" spans="1:4" x14ac:dyDescent="0.25">
      <c r="A422" s="5" t="s">
        <v>9</v>
      </c>
      <c r="B422" s="6" t="s">
        <v>5</v>
      </c>
      <c r="C422" s="6" t="s">
        <v>53</v>
      </c>
      <c r="D422" s="7">
        <v>3397444.5</v>
      </c>
    </row>
    <row r="423" spans="1:4" x14ac:dyDescent="0.25">
      <c r="A423" s="2" t="s">
        <v>9</v>
      </c>
      <c r="B423" s="3" t="s">
        <v>5</v>
      </c>
      <c r="C423" s="3" t="s">
        <v>54</v>
      </c>
      <c r="D423" s="4">
        <v>3428955</v>
      </c>
    </row>
    <row r="424" spans="1:4" x14ac:dyDescent="0.25">
      <c r="A424" s="5" t="s">
        <v>9</v>
      </c>
      <c r="B424" s="6" t="s">
        <v>5</v>
      </c>
      <c r="C424" s="6" t="s">
        <v>55</v>
      </c>
      <c r="D424" s="7">
        <v>6339449</v>
      </c>
    </row>
    <row r="425" spans="1:4" x14ac:dyDescent="0.25">
      <c r="A425" s="5" t="s">
        <v>9</v>
      </c>
      <c r="B425" s="6" t="s">
        <v>5</v>
      </c>
      <c r="C425" s="6" t="s">
        <v>56</v>
      </c>
      <c r="D425" s="7">
        <v>6308035</v>
      </c>
    </row>
    <row r="426" spans="1:4" x14ac:dyDescent="0.25">
      <c r="A426" s="5" t="s">
        <v>9</v>
      </c>
      <c r="B426" s="6" t="s">
        <v>5</v>
      </c>
      <c r="C426" s="6" t="s">
        <v>57</v>
      </c>
      <c r="D426" s="7">
        <v>7175708.5</v>
      </c>
    </row>
    <row r="427" spans="1:4" x14ac:dyDescent="0.25">
      <c r="A427" s="5" t="s">
        <v>9</v>
      </c>
      <c r="B427" s="6" t="s">
        <v>5</v>
      </c>
      <c r="C427" s="6" t="s">
        <v>58</v>
      </c>
      <c r="D427" s="7">
        <v>6490569.5</v>
      </c>
    </row>
    <row r="428" spans="1:4" x14ac:dyDescent="0.25">
      <c r="A428" s="5" t="s">
        <v>9</v>
      </c>
      <c r="B428" s="6" t="s">
        <v>5</v>
      </c>
      <c r="C428" s="6" t="s">
        <v>59</v>
      </c>
      <c r="D428" s="7">
        <v>6448119.5</v>
      </c>
    </row>
    <row r="429" spans="1:4" x14ac:dyDescent="0.25">
      <c r="A429" s="5" t="s">
        <v>9</v>
      </c>
      <c r="B429" s="6" t="s">
        <v>5</v>
      </c>
      <c r="C429" s="6" t="s">
        <v>60</v>
      </c>
      <c r="D429" s="7">
        <v>6754607</v>
      </c>
    </row>
    <row r="430" spans="1:4" x14ac:dyDescent="0.25">
      <c r="A430" s="5" t="s">
        <v>9</v>
      </c>
      <c r="B430" s="6" t="s">
        <v>5</v>
      </c>
      <c r="C430" s="6" t="s">
        <v>61</v>
      </c>
      <c r="D430" s="7">
        <v>7597659</v>
      </c>
    </row>
    <row r="431" spans="1:4" x14ac:dyDescent="0.25">
      <c r="A431" s="5" t="s">
        <v>9</v>
      </c>
      <c r="B431" s="6" t="s">
        <v>5</v>
      </c>
      <c r="C431" s="6" t="s">
        <v>62</v>
      </c>
      <c r="D431" s="7">
        <v>8084984</v>
      </c>
    </row>
    <row r="432" spans="1:4" x14ac:dyDescent="0.25">
      <c r="A432" s="5" t="s">
        <v>9</v>
      </c>
      <c r="B432" s="6" t="s">
        <v>5</v>
      </c>
      <c r="C432" s="6" t="s">
        <v>63</v>
      </c>
      <c r="D432" s="7">
        <v>7058548.5</v>
      </c>
    </row>
    <row r="433" spans="1:4" x14ac:dyDescent="0.25">
      <c r="A433" s="5" t="s">
        <v>9</v>
      </c>
      <c r="B433" s="6" t="s">
        <v>5</v>
      </c>
      <c r="C433" s="6" t="s">
        <v>64</v>
      </c>
      <c r="D433" s="7">
        <v>6946480.5</v>
      </c>
    </row>
    <row r="434" spans="1:4" x14ac:dyDescent="0.25">
      <c r="A434" s="5" t="s">
        <v>9</v>
      </c>
      <c r="B434" s="6" t="s">
        <v>5</v>
      </c>
      <c r="C434" s="6" t="s">
        <v>65</v>
      </c>
      <c r="D434" s="7">
        <v>7419371</v>
      </c>
    </row>
    <row r="435" spans="1:4" x14ac:dyDescent="0.25">
      <c r="A435" s="5" t="s">
        <v>9</v>
      </c>
      <c r="B435" s="6" t="s">
        <v>5</v>
      </c>
      <c r="C435" s="6" t="s">
        <v>66</v>
      </c>
      <c r="D435" s="7">
        <v>8276007</v>
      </c>
    </row>
    <row r="436" spans="1:4" x14ac:dyDescent="0.25">
      <c r="A436" s="2" t="s">
        <v>19</v>
      </c>
      <c r="B436" s="3" t="s">
        <v>5</v>
      </c>
      <c r="C436" s="3" t="s">
        <v>36</v>
      </c>
      <c r="D436" s="4">
        <v>25737222</v>
      </c>
    </row>
    <row r="437" spans="1:4" x14ac:dyDescent="0.25">
      <c r="A437" s="5" t="s">
        <v>19</v>
      </c>
      <c r="B437" s="6" t="s">
        <v>5</v>
      </c>
      <c r="C437" s="6" t="s">
        <v>37</v>
      </c>
      <c r="D437" s="7">
        <v>24710744</v>
      </c>
    </row>
    <row r="438" spans="1:4" x14ac:dyDescent="0.25">
      <c r="A438" s="2" t="s">
        <v>19</v>
      </c>
      <c r="B438" s="3" t="s">
        <v>5</v>
      </c>
      <c r="C438" s="3" t="s">
        <v>38</v>
      </c>
      <c r="D438" s="4">
        <v>24014212</v>
      </c>
    </row>
    <row r="439" spans="1:4" x14ac:dyDescent="0.25">
      <c r="A439" s="5" t="s">
        <v>19</v>
      </c>
      <c r="B439" s="6" t="s">
        <v>5</v>
      </c>
      <c r="C439" s="6" t="s">
        <v>39</v>
      </c>
      <c r="D439" s="7">
        <v>25061910</v>
      </c>
    </row>
    <row r="440" spans="1:4" x14ac:dyDescent="0.25">
      <c r="A440" s="2" t="s">
        <v>19</v>
      </c>
      <c r="B440" s="3" t="s">
        <v>5</v>
      </c>
      <c r="C440" s="3" t="s">
        <v>40</v>
      </c>
      <c r="D440" s="4">
        <v>25771332</v>
      </c>
    </row>
    <row r="441" spans="1:4" x14ac:dyDescent="0.25">
      <c r="A441" s="5" t="s">
        <v>19</v>
      </c>
      <c r="B441" s="6" t="s">
        <v>5</v>
      </c>
      <c r="C441" s="6" t="s">
        <v>41</v>
      </c>
      <c r="D441" s="7">
        <v>25678328</v>
      </c>
    </row>
    <row r="442" spans="1:4" x14ac:dyDescent="0.25">
      <c r="A442" s="2" t="s">
        <v>19</v>
      </c>
      <c r="B442" s="3" t="s">
        <v>5</v>
      </c>
      <c r="C442" s="3" t="s">
        <v>42</v>
      </c>
      <c r="D442" s="4">
        <v>25912656</v>
      </c>
    </row>
    <row r="443" spans="1:4" x14ac:dyDescent="0.25">
      <c r="A443" s="5" t="s">
        <v>19</v>
      </c>
      <c r="B443" s="6" t="s">
        <v>5</v>
      </c>
      <c r="C443" s="6" t="s">
        <v>43</v>
      </c>
      <c r="D443" s="7">
        <v>25394100</v>
      </c>
    </row>
    <row r="444" spans="1:4" x14ac:dyDescent="0.25">
      <c r="A444" s="2" t="s">
        <v>19</v>
      </c>
      <c r="B444" s="3" t="s">
        <v>5</v>
      </c>
      <c r="C444" s="3" t="s">
        <v>44</v>
      </c>
      <c r="D444" s="4">
        <v>24867694</v>
      </c>
    </row>
    <row r="445" spans="1:4" x14ac:dyDescent="0.25">
      <c r="A445" s="5" t="s">
        <v>19</v>
      </c>
      <c r="B445" s="6" t="s">
        <v>5</v>
      </c>
      <c r="C445" s="6" t="s">
        <v>45</v>
      </c>
      <c r="D445" s="7">
        <v>25828566</v>
      </c>
    </row>
    <row r="446" spans="1:4" x14ac:dyDescent="0.25">
      <c r="A446" s="2" t="s">
        <v>19</v>
      </c>
      <c r="B446" s="3" t="s">
        <v>5</v>
      </c>
      <c r="C446" s="3" t="s">
        <v>46</v>
      </c>
      <c r="D446" s="4">
        <v>26261302</v>
      </c>
    </row>
    <row r="447" spans="1:4" x14ac:dyDescent="0.25">
      <c r="A447" s="5" t="s">
        <v>19</v>
      </c>
      <c r="B447" s="6" t="s">
        <v>5</v>
      </c>
      <c r="C447" s="6" t="s">
        <v>47</v>
      </c>
      <c r="D447" s="7">
        <v>25995890</v>
      </c>
    </row>
    <row r="448" spans="1:4" x14ac:dyDescent="0.25">
      <c r="A448" s="2" t="s">
        <v>19</v>
      </c>
      <c r="B448" s="3" t="s">
        <v>5</v>
      </c>
      <c r="C448" s="3" t="s">
        <v>48</v>
      </c>
      <c r="D448" s="4">
        <v>26143260</v>
      </c>
    </row>
    <row r="449" spans="1:4" x14ac:dyDescent="0.25">
      <c r="A449" s="5" t="s">
        <v>19</v>
      </c>
      <c r="B449" s="6" t="s">
        <v>5</v>
      </c>
      <c r="C449" s="6" t="s">
        <v>49</v>
      </c>
      <c r="D449" s="7">
        <v>25101260</v>
      </c>
    </row>
    <row r="450" spans="1:4" x14ac:dyDescent="0.25">
      <c r="A450" s="2" t="s">
        <v>19</v>
      </c>
      <c r="B450" s="3" t="s">
        <v>5</v>
      </c>
      <c r="C450" s="3" t="s">
        <v>50</v>
      </c>
      <c r="D450" s="4">
        <v>24394616</v>
      </c>
    </row>
    <row r="451" spans="1:4" x14ac:dyDescent="0.25">
      <c r="A451" s="5" t="s">
        <v>19</v>
      </c>
      <c r="B451" s="6" t="s">
        <v>5</v>
      </c>
      <c r="C451" s="6" t="s">
        <v>51</v>
      </c>
      <c r="D451" s="7">
        <v>25458234</v>
      </c>
    </row>
    <row r="452" spans="1:4" x14ac:dyDescent="0.25">
      <c r="A452" s="2" t="s">
        <v>19</v>
      </c>
      <c r="B452" s="3" t="s">
        <v>5</v>
      </c>
      <c r="C452" s="3" t="s">
        <v>52</v>
      </c>
      <c r="D452" s="4">
        <v>26177426</v>
      </c>
    </row>
    <row r="453" spans="1:4" x14ac:dyDescent="0.25">
      <c r="A453" s="5" t="s">
        <v>19</v>
      </c>
      <c r="B453" s="6" t="s">
        <v>5</v>
      </c>
      <c r="C453" s="6" t="s">
        <v>53</v>
      </c>
      <c r="D453" s="7">
        <v>26082112</v>
      </c>
    </row>
    <row r="454" spans="1:4" x14ac:dyDescent="0.25">
      <c r="A454" s="2" t="s">
        <v>19</v>
      </c>
      <c r="B454" s="3" t="s">
        <v>5</v>
      </c>
      <c r="C454" s="3" t="s">
        <v>54</v>
      </c>
      <c r="D454" s="4">
        <v>26319674</v>
      </c>
    </row>
    <row r="455" spans="1:4" x14ac:dyDescent="0.25">
      <c r="A455" s="5" t="s">
        <v>19</v>
      </c>
      <c r="B455" s="6" t="s">
        <v>5</v>
      </c>
      <c r="C455" s="6" t="s">
        <v>55</v>
      </c>
      <c r="D455" s="7">
        <v>29652510</v>
      </c>
    </row>
    <row r="456" spans="1:4" x14ac:dyDescent="0.25">
      <c r="A456" s="5" t="s">
        <v>19</v>
      </c>
      <c r="B456" s="6" t="s">
        <v>5</v>
      </c>
      <c r="C456" s="6" t="s">
        <v>56</v>
      </c>
      <c r="D456" s="7">
        <v>29505580</v>
      </c>
    </row>
    <row r="457" spans="1:4" x14ac:dyDescent="0.25">
      <c r="A457" s="5" t="s">
        <v>19</v>
      </c>
      <c r="B457" s="6" t="s">
        <v>5</v>
      </c>
      <c r="C457" s="6" t="s">
        <v>57</v>
      </c>
      <c r="D457" s="7">
        <v>33564084</v>
      </c>
    </row>
    <row r="458" spans="1:4" x14ac:dyDescent="0.25">
      <c r="A458" s="5" t="s">
        <v>19</v>
      </c>
      <c r="B458" s="6" t="s">
        <v>5</v>
      </c>
      <c r="C458" s="6" t="s">
        <v>58</v>
      </c>
      <c r="D458" s="7">
        <v>30359374</v>
      </c>
    </row>
    <row r="459" spans="1:4" x14ac:dyDescent="0.25">
      <c r="A459" s="5" t="s">
        <v>19</v>
      </c>
      <c r="B459" s="6" t="s">
        <v>5</v>
      </c>
      <c r="C459" s="6" t="s">
        <v>59</v>
      </c>
      <c r="D459" s="7">
        <v>30160816</v>
      </c>
    </row>
    <row r="460" spans="1:4" x14ac:dyDescent="0.25">
      <c r="A460" s="5" t="s">
        <v>19</v>
      </c>
      <c r="B460" s="6" t="s">
        <v>5</v>
      </c>
      <c r="C460" s="6" t="s">
        <v>60</v>
      </c>
      <c r="D460" s="7">
        <v>31594398</v>
      </c>
    </row>
    <row r="461" spans="1:4" x14ac:dyDescent="0.25">
      <c r="A461" s="5" t="s">
        <v>19</v>
      </c>
      <c r="B461" s="6" t="s">
        <v>5</v>
      </c>
      <c r="C461" s="6" t="s">
        <v>61</v>
      </c>
      <c r="D461" s="7">
        <v>35537744</v>
      </c>
    </row>
    <row r="462" spans="1:4" x14ac:dyDescent="0.25">
      <c r="A462" s="5" t="s">
        <v>19</v>
      </c>
      <c r="B462" s="6" t="s">
        <v>5</v>
      </c>
      <c r="C462" s="6" t="s">
        <v>62</v>
      </c>
      <c r="D462" s="7">
        <v>37817176</v>
      </c>
    </row>
    <row r="463" spans="1:4" x14ac:dyDescent="0.25">
      <c r="A463" s="5" t="s">
        <v>19</v>
      </c>
      <c r="B463" s="6" t="s">
        <v>5</v>
      </c>
      <c r="C463" s="6" t="s">
        <v>63</v>
      </c>
      <c r="D463" s="7">
        <v>33016066</v>
      </c>
    </row>
    <row r="464" spans="1:4" x14ac:dyDescent="0.25">
      <c r="A464" s="5" t="s">
        <v>19</v>
      </c>
      <c r="B464" s="6" t="s">
        <v>5</v>
      </c>
      <c r="C464" s="6" t="s">
        <v>64</v>
      </c>
      <c r="D464" s="7">
        <v>32491874</v>
      </c>
    </row>
    <row r="465" spans="1:4" x14ac:dyDescent="0.25">
      <c r="A465" s="5" t="s">
        <v>19</v>
      </c>
      <c r="B465" s="6" t="s">
        <v>5</v>
      </c>
      <c r="C465" s="6" t="s">
        <v>65</v>
      </c>
      <c r="D465" s="7">
        <v>34703800</v>
      </c>
    </row>
    <row r="466" spans="1:4" x14ac:dyDescent="0.25">
      <c r="A466" s="5" t="s">
        <v>19</v>
      </c>
      <c r="B466" s="6" t="s">
        <v>5</v>
      </c>
      <c r="C466" s="6" t="s">
        <v>66</v>
      </c>
      <c r="D466" s="7">
        <v>38710684</v>
      </c>
    </row>
    <row r="467" spans="1:4" x14ac:dyDescent="0.25">
      <c r="A467" s="5" t="s">
        <v>20</v>
      </c>
      <c r="B467" s="6" t="s">
        <v>5</v>
      </c>
      <c r="C467" s="6" t="s">
        <v>36</v>
      </c>
      <c r="D467" s="7">
        <v>5176326</v>
      </c>
    </row>
    <row r="468" spans="1:4" x14ac:dyDescent="0.25">
      <c r="A468" s="2" t="s">
        <v>20</v>
      </c>
      <c r="B468" s="3" t="s">
        <v>5</v>
      </c>
      <c r="C468" s="3" t="s">
        <v>37</v>
      </c>
      <c r="D468" s="4">
        <v>4969462.5</v>
      </c>
    </row>
    <row r="469" spans="1:4" x14ac:dyDescent="0.25">
      <c r="A469" s="5" t="s">
        <v>20</v>
      </c>
      <c r="B469" s="6" t="s">
        <v>5</v>
      </c>
      <c r="C469" s="6" t="s">
        <v>38</v>
      </c>
      <c r="D469" s="7">
        <v>4828547.5</v>
      </c>
    </row>
    <row r="470" spans="1:4" x14ac:dyDescent="0.25">
      <c r="A470" s="2" t="s">
        <v>20</v>
      </c>
      <c r="B470" s="3" t="s">
        <v>5</v>
      </c>
      <c r="C470" s="3" t="s">
        <v>39</v>
      </c>
      <c r="D470" s="4">
        <v>5039553.5</v>
      </c>
    </row>
    <row r="471" spans="1:4" x14ac:dyDescent="0.25">
      <c r="A471" s="5" t="s">
        <v>20</v>
      </c>
      <c r="B471" s="6" t="s">
        <v>5</v>
      </c>
      <c r="C471" s="6" t="s">
        <v>40</v>
      </c>
      <c r="D471" s="7">
        <v>5183330</v>
      </c>
    </row>
    <row r="472" spans="1:4" x14ac:dyDescent="0.25">
      <c r="A472" s="2" t="s">
        <v>20</v>
      </c>
      <c r="B472" s="3" t="s">
        <v>5</v>
      </c>
      <c r="C472" s="3" t="s">
        <v>41</v>
      </c>
      <c r="D472" s="4">
        <v>5165198</v>
      </c>
    </row>
    <row r="473" spans="1:4" x14ac:dyDescent="0.25">
      <c r="A473" s="5" t="s">
        <v>20</v>
      </c>
      <c r="B473" s="6" t="s">
        <v>5</v>
      </c>
      <c r="C473" s="6" t="s">
        <v>42</v>
      </c>
      <c r="D473" s="7">
        <v>5212894.5</v>
      </c>
    </row>
    <row r="474" spans="1:4" x14ac:dyDescent="0.25">
      <c r="A474" s="2" t="s">
        <v>20</v>
      </c>
      <c r="B474" s="3" t="s">
        <v>5</v>
      </c>
      <c r="C474" s="3" t="s">
        <v>43</v>
      </c>
      <c r="D474" s="4">
        <v>5100465.5</v>
      </c>
    </row>
    <row r="475" spans="1:4" x14ac:dyDescent="0.25">
      <c r="A475" s="5" t="s">
        <v>20</v>
      </c>
      <c r="B475" s="6" t="s">
        <v>5</v>
      </c>
      <c r="C475" s="6" t="s">
        <v>44</v>
      </c>
      <c r="D475" s="7">
        <v>4995633.5</v>
      </c>
    </row>
    <row r="476" spans="1:4" x14ac:dyDescent="0.25">
      <c r="A476" s="2" t="s">
        <v>20</v>
      </c>
      <c r="B476" s="3" t="s">
        <v>5</v>
      </c>
      <c r="C476" s="3" t="s">
        <v>45</v>
      </c>
      <c r="D476" s="4">
        <v>5188140</v>
      </c>
    </row>
    <row r="477" spans="1:4" x14ac:dyDescent="0.25">
      <c r="A477" s="5" t="s">
        <v>20</v>
      </c>
      <c r="B477" s="6" t="s">
        <v>5</v>
      </c>
      <c r="C477" s="6" t="s">
        <v>46</v>
      </c>
      <c r="D477" s="7">
        <v>5274024</v>
      </c>
    </row>
    <row r="478" spans="1:4" x14ac:dyDescent="0.25">
      <c r="A478" s="2" t="s">
        <v>20</v>
      </c>
      <c r="B478" s="3" t="s">
        <v>5</v>
      </c>
      <c r="C478" s="3" t="s">
        <v>47</v>
      </c>
      <c r="D478" s="4">
        <v>5220126</v>
      </c>
    </row>
    <row r="479" spans="1:4" x14ac:dyDescent="0.25">
      <c r="A479" s="5" t="s">
        <v>20</v>
      </c>
      <c r="B479" s="6" t="s">
        <v>5</v>
      </c>
      <c r="C479" s="6" t="s">
        <v>48</v>
      </c>
      <c r="D479" s="7">
        <v>5249426.5</v>
      </c>
    </row>
    <row r="480" spans="1:4" x14ac:dyDescent="0.25">
      <c r="A480" s="2" t="s">
        <v>20</v>
      </c>
      <c r="B480" s="3" t="s">
        <v>5</v>
      </c>
      <c r="C480" s="3" t="s">
        <v>49</v>
      </c>
      <c r="D480" s="4">
        <v>5039751</v>
      </c>
    </row>
    <row r="481" spans="1:4" x14ac:dyDescent="0.25">
      <c r="A481" s="5" t="s">
        <v>20</v>
      </c>
      <c r="B481" s="6" t="s">
        <v>5</v>
      </c>
      <c r="C481" s="6" t="s">
        <v>50</v>
      </c>
      <c r="D481" s="7">
        <v>4896991.5</v>
      </c>
    </row>
    <row r="482" spans="1:4" x14ac:dyDescent="0.25">
      <c r="A482" s="2" t="s">
        <v>20</v>
      </c>
      <c r="B482" s="3" t="s">
        <v>5</v>
      </c>
      <c r="C482" s="3" t="s">
        <v>51</v>
      </c>
      <c r="D482" s="4">
        <v>5110878.5</v>
      </c>
    </row>
    <row r="483" spans="1:4" x14ac:dyDescent="0.25">
      <c r="A483" s="5" t="s">
        <v>20</v>
      </c>
      <c r="B483" s="6" t="s">
        <v>5</v>
      </c>
      <c r="C483" s="6" t="s">
        <v>52</v>
      </c>
      <c r="D483" s="7">
        <v>5256451.5</v>
      </c>
    </row>
    <row r="484" spans="1:4" x14ac:dyDescent="0.25">
      <c r="A484" s="2" t="s">
        <v>20</v>
      </c>
      <c r="B484" s="3" t="s">
        <v>5</v>
      </c>
      <c r="C484" s="3" t="s">
        <v>53</v>
      </c>
      <c r="D484" s="4">
        <v>5237926</v>
      </c>
    </row>
    <row r="485" spans="1:4" x14ac:dyDescent="0.25">
      <c r="A485" s="5" t="s">
        <v>20</v>
      </c>
      <c r="B485" s="6" t="s">
        <v>5</v>
      </c>
      <c r="C485" s="6" t="s">
        <v>54</v>
      </c>
      <c r="D485" s="7">
        <v>5286218.5</v>
      </c>
    </row>
    <row r="486" spans="1:4" x14ac:dyDescent="0.25">
      <c r="A486" s="2" t="s">
        <v>20</v>
      </c>
      <c r="B486" s="3" t="s">
        <v>5</v>
      </c>
      <c r="C486" s="3" t="s">
        <v>55</v>
      </c>
      <c r="D486" s="4">
        <v>8964033</v>
      </c>
    </row>
    <row r="487" spans="1:4" x14ac:dyDescent="0.25">
      <c r="A487" s="2" t="s">
        <v>20</v>
      </c>
      <c r="B487" s="3" t="s">
        <v>5</v>
      </c>
      <c r="C487" s="3" t="s">
        <v>56</v>
      </c>
      <c r="D487" s="4">
        <v>8919615</v>
      </c>
    </row>
    <row r="488" spans="1:4" x14ac:dyDescent="0.25">
      <c r="A488" s="2" t="s">
        <v>20</v>
      </c>
      <c r="B488" s="3" t="s">
        <v>5</v>
      </c>
      <c r="C488" s="3" t="s">
        <v>57</v>
      </c>
      <c r="D488" s="4">
        <v>10146513</v>
      </c>
    </row>
    <row r="489" spans="1:4" x14ac:dyDescent="0.25">
      <c r="A489" s="2" t="s">
        <v>20</v>
      </c>
      <c r="B489" s="3" t="s">
        <v>5</v>
      </c>
      <c r="C489" s="3" t="s">
        <v>58</v>
      </c>
      <c r="D489" s="4">
        <v>9177720</v>
      </c>
    </row>
    <row r="490" spans="1:4" x14ac:dyDescent="0.25">
      <c r="A490" s="2" t="s">
        <v>20</v>
      </c>
      <c r="B490" s="3" t="s">
        <v>5</v>
      </c>
      <c r="C490" s="3" t="s">
        <v>59</v>
      </c>
      <c r="D490" s="4">
        <v>9117696</v>
      </c>
    </row>
    <row r="491" spans="1:4" x14ac:dyDescent="0.25">
      <c r="A491" s="2" t="s">
        <v>20</v>
      </c>
      <c r="B491" s="3" t="s">
        <v>5</v>
      </c>
      <c r="C491" s="3" t="s">
        <v>60</v>
      </c>
      <c r="D491" s="4">
        <v>9551071</v>
      </c>
    </row>
    <row r="492" spans="1:4" x14ac:dyDescent="0.25">
      <c r="A492" s="2" t="s">
        <v>20</v>
      </c>
      <c r="B492" s="3" t="s">
        <v>5</v>
      </c>
      <c r="C492" s="3" t="s">
        <v>61</v>
      </c>
      <c r="D492" s="4">
        <v>10743155</v>
      </c>
    </row>
    <row r="493" spans="1:4" x14ac:dyDescent="0.25">
      <c r="A493" s="2" t="s">
        <v>20</v>
      </c>
      <c r="B493" s="3" t="s">
        <v>5</v>
      </c>
      <c r="C493" s="3" t="s">
        <v>62</v>
      </c>
      <c r="D493" s="4">
        <v>11432233</v>
      </c>
    </row>
    <row r="494" spans="1:4" x14ac:dyDescent="0.25">
      <c r="A494" s="2" t="s">
        <v>20</v>
      </c>
      <c r="B494" s="3" t="s">
        <v>5</v>
      </c>
      <c r="C494" s="3" t="s">
        <v>63</v>
      </c>
      <c r="D494" s="4">
        <v>9980846</v>
      </c>
    </row>
    <row r="495" spans="1:4" x14ac:dyDescent="0.25">
      <c r="A495" s="2" t="s">
        <v>20</v>
      </c>
      <c r="B495" s="3" t="s">
        <v>5</v>
      </c>
      <c r="C495" s="3" t="s">
        <v>64</v>
      </c>
      <c r="D495" s="4">
        <v>9822381</v>
      </c>
    </row>
    <row r="496" spans="1:4" x14ac:dyDescent="0.25">
      <c r="A496" s="2" t="s">
        <v>20</v>
      </c>
      <c r="B496" s="3" t="s">
        <v>5</v>
      </c>
      <c r="C496" s="3" t="s">
        <v>65</v>
      </c>
      <c r="D496" s="4">
        <v>10491051</v>
      </c>
    </row>
    <row r="497" spans="1:4" x14ac:dyDescent="0.25">
      <c r="A497" s="2" t="s">
        <v>20</v>
      </c>
      <c r="B497" s="3" t="s">
        <v>5</v>
      </c>
      <c r="C497" s="3" t="s">
        <v>66</v>
      </c>
      <c r="D497" s="4">
        <v>11702344</v>
      </c>
    </row>
    <row r="498" spans="1:4" x14ac:dyDescent="0.25">
      <c r="A498" s="2" t="s">
        <v>31</v>
      </c>
      <c r="B498" s="3" t="s">
        <v>5</v>
      </c>
      <c r="C498" s="3" t="s">
        <v>36</v>
      </c>
      <c r="D498" s="4">
        <v>11562439</v>
      </c>
    </row>
    <row r="499" spans="1:4" x14ac:dyDescent="0.25">
      <c r="A499" s="5" t="s">
        <v>31</v>
      </c>
      <c r="B499" s="6" t="s">
        <v>5</v>
      </c>
      <c r="C499" s="6" t="s">
        <v>37</v>
      </c>
      <c r="D499" s="7">
        <v>11104644</v>
      </c>
    </row>
    <row r="500" spans="1:4" x14ac:dyDescent="0.25">
      <c r="A500" s="2" t="s">
        <v>31</v>
      </c>
      <c r="B500" s="3" t="s">
        <v>5</v>
      </c>
      <c r="C500" s="3" t="s">
        <v>38</v>
      </c>
      <c r="D500" s="4">
        <v>10795972</v>
      </c>
    </row>
    <row r="501" spans="1:4" x14ac:dyDescent="0.25">
      <c r="A501" s="5" t="s">
        <v>31</v>
      </c>
      <c r="B501" s="6" t="s">
        <v>5</v>
      </c>
      <c r="C501" s="6" t="s">
        <v>39</v>
      </c>
      <c r="D501" s="7">
        <v>11263628</v>
      </c>
    </row>
    <row r="502" spans="1:4" x14ac:dyDescent="0.25">
      <c r="A502" s="2" t="s">
        <v>31</v>
      </c>
      <c r="B502" s="3" t="s">
        <v>5</v>
      </c>
      <c r="C502" s="3" t="s">
        <v>40</v>
      </c>
      <c r="D502" s="4">
        <v>11575386</v>
      </c>
    </row>
    <row r="503" spans="1:4" x14ac:dyDescent="0.25">
      <c r="A503" s="5" t="s">
        <v>31</v>
      </c>
      <c r="B503" s="6" t="s">
        <v>5</v>
      </c>
      <c r="C503" s="6" t="s">
        <v>41</v>
      </c>
      <c r="D503" s="7">
        <v>11529523</v>
      </c>
    </row>
    <row r="504" spans="1:4" x14ac:dyDescent="0.25">
      <c r="A504" s="2" t="s">
        <v>31</v>
      </c>
      <c r="B504" s="3" t="s">
        <v>5</v>
      </c>
      <c r="C504" s="3" t="s">
        <v>42</v>
      </c>
      <c r="D504" s="4">
        <v>11632419</v>
      </c>
    </row>
    <row r="505" spans="1:4" x14ac:dyDescent="0.25">
      <c r="A505" s="5" t="s">
        <v>31</v>
      </c>
      <c r="B505" s="6" t="s">
        <v>5</v>
      </c>
      <c r="C505" s="6" t="s">
        <v>43</v>
      </c>
      <c r="D505" s="7">
        <v>11434879</v>
      </c>
    </row>
    <row r="506" spans="1:4" x14ac:dyDescent="0.25">
      <c r="A506" s="2" t="s">
        <v>31</v>
      </c>
      <c r="B506" s="3" t="s">
        <v>5</v>
      </c>
      <c r="C506" s="3" t="s">
        <v>44</v>
      </c>
      <c r="D506" s="4">
        <v>11193303</v>
      </c>
    </row>
    <row r="507" spans="1:4" x14ac:dyDescent="0.25">
      <c r="A507" s="5" t="s">
        <v>31</v>
      </c>
      <c r="B507" s="6" t="s">
        <v>5</v>
      </c>
      <c r="C507" s="6" t="s">
        <v>45</v>
      </c>
      <c r="D507" s="7">
        <v>11628915</v>
      </c>
    </row>
    <row r="508" spans="1:4" x14ac:dyDescent="0.25">
      <c r="A508" s="2" t="s">
        <v>31</v>
      </c>
      <c r="B508" s="3" t="s">
        <v>5</v>
      </c>
      <c r="C508" s="3" t="s">
        <v>46</v>
      </c>
      <c r="D508" s="4">
        <v>11830686</v>
      </c>
    </row>
    <row r="509" spans="1:4" x14ac:dyDescent="0.25">
      <c r="A509" s="5" t="s">
        <v>31</v>
      </c>
      <c r="B509" s="6" t="s">
        <v>5</v>
      </c>
      <c r="C509" s="6" t="s">
        <v>47</v>
      </c>
      <c r="D509" s="7">
        <v>11715417</v>
      </c>
    </row>
    <row r="510" spans="1:4" x14ac:dyDescent="0.25">
      <c r="A510" s="2" t="s">
        <v>31</v>
      </c>
      <c r="B510" s="3" t="s">
        <v>5</v>
      </c>
      <c r="C510" s="3" t="s">
        <v>48</v>
      </c>
      <c r="D510" s="4">
        <v>11784040</v>
      </c>
    </row>
    <row r="511" spans="1:4" x14ac:dyDescent="0.25">
      <c r="A511" s="5" t="s">
        <v>31</v>
      </c>
      <c r="B511" s="6" t="s">
        <v>5</v>
      </c>
      <c r="C511" s="6" t="s">
        <v>49</v>
      </c>
      <c r="D511" s="7">
        <v>11317706</v>
      </c>
    </row>
    <row r="512" spans="1:4" x14ac:dyDescent="0.25">
      <c r="A512" s="2" t="s">
        <v>31</v>
      </c>
      <c r="B512" s="3" t="s">
        <v>5</v>
      </c>
      <c r="C512" s="3" t="s">
        <v>50</v>
      </c>
      <c r="D512" s="4">
        <v>11003431</v>
      </c>
    </row>
    <row r="513" spans="1:4" x14ac:dyDescent="0.25">
      <c r="A513" s="5" t="s">
        <v>31</v>
      </c>
      <c r="B513" s="6" t="s">
        <v>5</v>
      </c>
      <c r="C513" s="6" t="s">
        <v>51</v>
      </c>
      <c r="D513" s="7">
        <v>11479839</v>
      </c>
    </row>
    <row r="514" spans="1:4" x14ac:dyDescent="0.25">
      <c r="A514" s="2" t="s">
        <v>31</v>
      </c>
      <c r="B514" s="3" t="s">
        <v>5</v>
      </c>
      <c r="C514" s="3" t="s">
        <v>52</v>
      </c>
      <c r="D514" s="4">
        <v>11797067</v>
      </c>
    </row>
    <row r="515" spans="1:4" x14ac:dyDescent="0.25">
      <c r="A515" s="5" t="s">
        <v>31</v>
      </c>
      <c r="B515" s="6" t="s">
        <v>5</v>
      </c>
      <c r="C515" s="6" t="s">
        <v>53</v>
      </c>
      <c r="D515" s="7">
        <v>11750027</v>
      </c>
    </row>
    <row r="516" spans="1:4" x14ac:dyDescent="0.25">
      <c r="A516" s="2" t="s">
        <v>31</v>
      </c>
      <c r="B516" s="3" t="s">
        <v>5</v>
      </c>
      <c r="C516" s="3" t="s">
        <v>54</v>
      </c>
      <c r="D516" s="4">
        <v>11854732</v>
      </c>
    </row>
    <row r="517" spans="1:4" x14ac:dyDescent="0.25">
      <c r="A517" s="2" t="s">
        <v>31</v>
      </c>
      <c r="B517" s="3" t="s">
        <v>5</v>
      </c>
      <c r="C517" s="3" t="s">
        <v>55</v>
      </c>
      <c r="D517" s="4">
        <v>9412669</v>
      </c>
    </row>
    <row r="518" spans="1:4" x14ac:dyDescent="0.25">
      <c r="A518" s="2" t="s">
        <v>31</v>
      </c>
      <c r="B518" s="3" t="s">
        <v>5</v>
      </c>
      <c r="C518" s="3" t="s">
        <v>56</v>
      </c>
      <c r="D518" s="4">
        <v>9366029</v>
      </c>
    </row>
    <row r="519" spans="1:4" x14ac:dyDescent="0.25">
      <c r="A519" s="2" t="s">
        <v>31</v>
      </c>
      <c r="B519" s="3" t="s">
        <v>5</v>
      </c>
      <c r="C519" s="3" t="s">
        <v>57</v>
      </c>
      <c r="D519" s="4">
        <v>10654331</v>
      </c>
    </row>
    <row r="520" spans="1:4" x14ac:dyDescent="0.25">
      <c r="A520" s="2" t="s">
        <v>31</v>
      </c>
      <c r="B520" s="3" t="s">
        <v>5</v>
      </c>
      <c r="C520" s="3" t="s">
        <v>58</v>
      </c>
      <c r="D520" s="4">
        <v>9637052</v>
      </c>
    </row>
    <row r="521" spans="1:4" x14ac:dyDescent="0.25">
      <c r="A521" s="2" t="s">
        <v>31</v>
      </c>
      <c r="B521" s="3" t="s">
        <v>5</v>
      </c>
      <c r="C521" s="3" t="s">
        <v>59</v>
      </c>
      <c r="D521" s="4">
        <v>9574022</v>
      </c>
    </row>
    <row r="522" spans="1:4" x14ac:dyDescent="0.25">
      <c r="A522" s="2" t="s">
        <v>31</v>
      </c>
      <c r="B522" s="3" t="s">
        <v>5</v>
      </c>
      <c r="C522" s="3" t="s">
        <v>60</v>
      </c>
      <c r="D522" s="4">
        <v>10029087</v>
      </c>
    </row>
    <row r="523" spans="1:4" x14ac:dyDescent="0.25">
      <c r="A523" s="2" t="s">
        <v>31</v>
      </c>
      <c r="B523" s="3" t="s">
        <v>5</v>
      </c>
      <c r="C523" s="3" t="s">
        <v>61</v>
      </c>
      <c r="D523" s="4">
        <v>11280832</v>
      </c>
    </row>
    <row r="524" spans="1:4" x14ac:dyDescent="0.25">
      <c r="A524" s="2" t="s">
        <v>31</v>
      </c>
      <c r="B524" s="3" t="s">
        <v>5</v>
      </c>
      <c r="C524" s="3" t="s">
        <v>62</v>
      </c>
      <c r="D524" s="4">
        <v>12004400</v>
      </c>
    </row>
    <row r="525" spans="1:4" x14ac:dyDescent="0.25">
      <c r="A525" s="2" t="s">
        <v>31</v>
      </c>
      <c r="B525" s="3" t="s">
        <v>5</v>
      </c>
      <c r="C525" s="3" t="s">
        <v>63</v>
      </c>
      <c r="D525" s="4">
        <v>10480371</v>
      </c>
    </row>
    <row r="526" spans="1:4" x14ac:dyDescent="0.25">
      <c r="A526" s="2" t="s">
        <v>31</v>
      </c>
      <c r="B526" s="3" t="s">
        <v>5</v>
      </c>
      <c r="C526" s="3" t="s">
        <v>64</v>
      </c>
      <c r="D526" s="4">
        <v>10313976</v>
      </c>
    </row>
    <row r="527" spans="1:4" x14ac:dyDescent="0.25">
      <c r="A527" s="2" t="s">
        <v>31</v>
      </c>
      <c r="B527" s="3" t="s">
        <v>5</v>
      </c>
      <c r="C527" s="3" t="s">
        <v>65</v>
      </c>
      <c r="D527" s="4">
        <v>11016115</v>
      </c>
    </row>
    <row r="528" spans="1:4" x14ac:dyDescent="0.25">
      <c r="A528" s="2" t="s">
        <v>31</v>
      </c>
      <c r="B528" s="3" t="s">
        <v>5</v>
      </c>
      <c r="C528" s="3" t="s">
        <v>66</v>
      </c>
      <c r="D528" s="4">
        <v>12288027</v>
      </c>
    </row>
    <row r="529" spans="1:4" x14ac:dyDescent="0.25">
      <c r="A529" s="2" t="s">
        <v>7</v>
      </c>
      <c r="B529" s="3" t="s">
        <v>5</v>
      </c>
      <c r="C529" s="3" t="s">
        <v>36</v>
      </c>
      <c r="D529" s="4">
        <v>8442803</v>
      </c>
    </row>
    <row r="530" spans="1:4" x14ac:dyDescent="0.25">
      <c r="A530" s="5" t="s">
        <v>7</v>
      </c>
      <c r="B530" s="6" t="s">
        <v>5</v>
      </c>
      <c r="C530" s="6" t="s">
        <v>37</v>
      </c>
      <c r="D530" s="7">
        <v>8106406</v>
      </c>
    </row>
    <row r="531" spans="1:4" x14ac:dyDescent="0.25">
      <c r="A531" s="2" t="s">
        <v>7</v>
      </c>
      <c r="B531" s="3" t="s">
        <v>5</v>
      </c>
      <c r="C531" s="3" t="s">
        <v>38</v>
      </c>
      <c r="D531" s="4">
        <v>7877870</v>
      </c>
    </row>
    <row r="532" spans="1:4" x14ac:dyDescent="0.25">
      <c r="A532" s="5" t="s">
        <v>7</v>
      </c>
      <c r="B532" s="6" t="s">
        <v>5</v>
      </c>
      <c r="C532" s="6" t="s">
        <v>39</v>
      </c>
      <c r="D532" s="7">
        <v>8221006</v>
      </c>
    </row>
    <row r="533" spans="1:4" x14ac:dyDescent="0.25">
      <c r="A533" s="2" t="s">
        <v>7</v>
      </c>
      <c r="B533" s="3" t="s">
        <v>5</v>
      </c>
      <c r="C533" s="3" t="s">
        <v>40</v>
      </c>
      <c r="D533" s="4">
        <v>8453730</v>
      </c>
    </row>
    <row r="534" spans="1:4" x14ac:dyDescent="0.25">
      <c r="A534" s="5" t="s">
        <v>7</v>
      </c>
      <c r="B534" s="6" t="s">
        <v>5</v>
      </c>
      <c r="C534" s="6" t="s">
        <v>41</v>
      </c>
      <c r="D534" s="7">
        <v>8423108</v>
      </c>
    </row>
    <row r="535" spans="1:4" x14ac:dyDescent="0.25">
      <c r="A535" s="2" t="s">
        <v>7</v>
      </c>
      <c r="B535" s="3" t="s">
        <v>5</v>
      </c>
      <c r="C535" s="3" t="s">
        <v>42</v>
      </c>
      <c r="D535" s="4">
        <v>8499754</v>
      </c>
    </row>
    <row r="536" spans="1:4" x14ac:dyDescent="0.25">
      <c r="A536" s="5" t="s">
        <v>7</v>
      </c>
      <c r="B536" s="6" t="s">
        <v>5</v>
      </c>
      <c r="C536" s="6" t="s">
        <v>43</v>
      </c>
      <c r="D536" s="7">
        <v>8295033.5</v>
      </c>
    </row>
    <row r="537" spans="1:4" x14ac:dyDescent="0.25">
      <c r="A537" s="2" t="s">
        <v>7</v>
      </c>
      <c r="B537" s="3" t="s">
        <v>5</v>
      </c>
      <c r="C537" s="3" t="s">
        <v>44</v>
      </c>
      <c r="D537" s="4">
        <v>8123413</v>
      </c>
    </row>
    <row r="538" spans="1:4" x14ac:dyDescent="0.25">
      <c r="A538" s="5" t="s">
        <v>7</v>
      </c>
      <c r="B538" s="6" t="s">
        <v>5</v>
      </c>
      <c r="C538" s="6" t="s">
        <v>45</v>
      </c>
      <c r="D538" s="7">
        <v>8437371</v>
      </c>
    </row>
    <row r="539" spans="1:4" x14ac:dyDescent="0.25">
      <c r="A539" s="2" t="s">
        <v>7</v>
      </c>
      <c r="B539" s="3" t="s">
        <v>5</v>
      </c>
      <c r="C539" s="3" t="s">
        <v>46</v>
      </c>
      <c r="D539" s="4">
        <v>8578646</v>
      </c>
    </row>
    <row r="540" spans="1:4" x14ac:dyDescent="0.25">
      <c r="A540" s="5" t="s">
        <v>7</v>
      </c>
      <c r="B540" s="6" t="s">
        <v>5</v>
      </c>
      <c r="C540" s="6" t="s">
        <v>47</v>
      </c>
      <c r="D540" s="7">
        <v>8492356</v>
      </c>
    </row>
    <row r="541" spans="1:4" x14ac:dyDescent="0.25">
      <c r="A541" s="2" t="s">
        <v>7</v>
      </c>
      <c r="B541" s="3" t="s">
        <v>5</v>
      </c>
      <c r="C541" s="3" t="s">
        <v>48</v>
      </c>
      <c r="D541" s="4">
        <v>8540351</v>
      </c>
    </row>
    <row r="542" spans="1:4" x14ac:dyDescent="0.25">
      <c r="A542" s="5" t="s">
        <v>7</v>
      </c>
      <c r="B542" s="6" t="s">
        <v>5</v>
      </c>
      <c r="C542" s="6" t="s">
        <v>49</v>
      </c>
      <c r="D542" s="7">
        <v>8200208.5</v>
      </c>
    </row>
    <row r="543" spans="1:4" x14ac:dyDescent="0.25">
      <c r="A543" s="2" t="s">
        <v>7</v>
      </c>
      <c r="B543" s="3" t="s">
        <v>5</v>
      </c>
      <c r="C543" s="3" t="s">
        <v>50</v>
      </c>
      <c r="D543" s="4">
        <v>7969220</v>
      </c>
    </row>
    <row r="544" spans="1:4" x14ac:dyDescent="0.25">
      <c r="A544" s="5" t="s">
        <v>7</v>
      </c>
      <c r="B544" s="6" t="s">
        <v>5</v>
      </c>
      <c r="C544" s="6" t="s">
        <v>51</v>
      </c>
      <c r="D544" s="7">
        <v>8316197</v>
      </c>
    </row>
    <row r="545" spans="1:4" x14ac:dyDescent="0.25">
      <c r="A545" s="2" t="s">
        <v>7</v>
      </c>
      <c r="B545" s="3" t="s">
        <v>5</v>
      </c>
      <c r="C545" s="3" t="s">
        <v>52</v>
      </c>
      <c r="D545" s="4">
        <v>8551303</v>
      </c>
    </row>
    <row r="546" spans="1:4" x14ac:dyDescent="0.25">
      <c r="A546" s="5" t="s">
        <v>7</v>
      </c>
      <c r="B546" s="6" t="s">
        <v>5</v>
      </c>
      <c r="C546" s="6" t="s">
        <v>53</v>
      </c>
      <c r="D546" s="7">
        <v>8520148</v>
      </c>
    </row>
    <row r="547" spans="1:4" x14ac:dyDescent="0.25">
      <c r="A547" s="2" t="s">
        <v>7</v>
      </c>
      <c r="B547" s="3" t="s">
        <v>5</v>
      </c>
      <c r="C547" s="3" t="s">
        <v>54</v>
      </c>
      <c r="D547" s="4">
        <v>8597585</v>
      </c>
    </row>
    <row r="548" spans="1:4" x14ac:dyDescent="0.25">
      <c r="A548" s="2" t="s">
        <v>7</v>
      </c>
      <c r="B548" s="3" t="s">
        <v>5</v>
      </c>
      <c r="C548" s="3" t="s">
        <v>55</v>
      </c>
      <c r="D548" s="4">
        <v>43845248</v>
      </c>
    </row>
    <row r="549" spans="1:4" x14ac:dyDescent="0.25">
      <c r="A549" s="2" t="s">
        <v>7</v>
      </c>
      <c r="B549" s="3" t="s">
        <v>5</v>
      </c>
      <c r="C549" s="3" t="s">
        <v>56</v>
      </c>
      <c r="D549" s="4">
        <v>43627992</v>
      </c>
    </row>
    <row r="550" spans="1:4" x14ac:dyDescent="0.25">
      <c r="A550" s="2" t="s">
        <v>7</v>
      </c>
      <c r="B550" s="3" t="s">
        <v>5</v>
      </c>
      <c r="C550" s="3" t="s">
        <v>57</v>
      </c>
      <c r="D550" s="4">
        <v>49629048</v>
      </c>
    </row>
    <row r="551" spans="1:4" x14ac:dyDescent="0.25">
      <c r="A551" s="2" t="s">
        <v>7</v>
      </c>
      <c r="B551" s="3" t="s">
        <v>5</v>
      </c>
      <c r="C551" s="3" t="s">
        <v>58</v>
      </c>
      <c r="D551" s="4">
        <v>44890448</v>
      </c>
    </row>
    <row r="552" spans="1:4" x14ac:dyDescent="0.25">
      <c r="A552" s="2" t="s">
        <v>7</v>
      </c>
      <c r="B552" s="3" t="s">
        <v>5</v>
      </c>
      <c r="C552" s="3" t="s">
        <v>59</v>
      </c>
      <c r="D552" s="4">
        <v>44596856</v>
      </c>
    </row>
    <row r="553" spans="1:4" x14ac:dyDescent="0.25">
      <c r="A553" s="2" t="s">
        <v>7</v>
      </c>
      <c r="B553" s="3" t="s">
        <v>5</v>
      </c>
      <c r="C553" s="3" t="s">
        <v>60</v>
      </c>
      <c r="D553" s="4">
        <v>46716600</v>
      </c>
    </row>
    <row r="554" spans="1:4" x14ac:dyDescent="0.25">
      <c r="A554" s="2" t="s">
        <v>7</v>
      </c>
      <c r="B554" s="3" t="s">
        <v>5</v>
      </c>
      <c r="C554" s="3" t="s">
        <v>61</v>
      </c>
      <c r="D554" s="4">
        <v>52547364</v>
      </c>
    </row>
    <row r="555" spans="1:4" x14ac:dyDescent="0.25">
      <c r="A555" s="2" t="s">
        <v>7</v>
      </c>
      <c r="B555" s="3" t="s">
        <v>5</v>
      </c>
      <c r="C555" s="3" t="s">
        <v>62</v>
      </c>
      <c r="D555" s="4">
        <v>55917824</v>
      </c>
    </row>
    <row r="556" spans="1:4" x14ac:dyDescent="0.25">
      <c r="A556" s="2" t="s">
        <v>7</v>
      </c>
      <c r="B556" s="3" t="s">
        <v>5</v>
      </c>
      <c r="C556" s="3" t="s">
        <v>63</v>
      </c>
      <c r="D556" s="4">
        <v>48818732</v>
      </c>
    </row>
    <row r="557" spans="1:4" x14ac:dyDescent="0.25">
      <c r="A557" s="2" t="s">
        <v>7</v>
      </c>
      <c r="B557" s="3" t="s">
        <v>5</v>
      </c>
      <c r="C557" s="3" t="s">
        <v>64</v>
      </c>
      <c r="D557" s="4">
        <v>48043640</v>
      </c>
    </row>
    <row r="558" spans="1:4" x14ac:dyDescent="0.25">
      <c r="A558" s="2" t="s">
        <v>7</v>
      </c>
      <c r="B558" s="3" t="s">
        <v>5</v>
      </c>
      <c r="C558" s="3" t="s">
        <v>65</v>
      </c>
      <c r="D558" s="4">
        <v>51314280</v>
      </c>
    </row>
    <row r="559" spans="1:4" x14ac:dyDescent="0.25">
      <c r="A559" s="2" t="s">
        <v>7</v>
      </c>
      <c r="B559" s="3" t="s">
        <v>5</v>
      </c>
      <c r="C559" s="3" t="s">
        <v>66</v>
      </c>
      <c r="D559" s="4">
        <v>57238996</v>
      </c>
    </row>
    <row r="560" spans="1:4" x14ac:dyDescent="0.25">
      <c r="A560" s="5" t="s">
        <v>12</v>
      </c>
      <c r="B560" s="6" t="s">
        <v>5</v>
      </c>
      <c r="C560" s="6" t="s">
        <v>36</v>
      </c>
      <c r="D560" s="7">
        <v>1809473.25</v>
      </c>
    </row>
    <row r="561" spans="1:4" x14ac:dyDescent="0.25">
      <c r="A561" s="2" t="s">
        <v>12</v>
      </c>
      <c r="B561" s="3" t="s">
        <v>5</v>
      </c>
      <c r="C561" s="3" t="s">
        <v>37</v>
      </c>
      <c r="D561" s="4">
        <v>1736666.125</v>
      </c>
    </row>
    <row r="562" spans="1:4" x14ac:dyDescent="0.25">
      <c r="A562" s="5" t="s">
        <v>12</v>
      </c>
      <c r="B562" s="6" t="s">
        <v>5</v>
      </c>
      <c r="C562" s="6" t="s">
        <v>38</v>
      </c>
      <c r="D562" s="7">
        <v>1686688.75</v>
      </c>
    </row>
    <row r="563" spans="1:4" x14ac:dyDescent="0.25">
      <c r="A563" s="2" t="s">
        <v>12</v>
      </c>
      <c r="B563" s="3" t="s">
        <v>5</v>
      </c>
      <c r="C563" s="3" t="s">
        <v>39</v>
      </c>
      <c r="D563" s="4">
        <v>1760856.5</v>
      </c>
    </row>
    <row r="564" spans="1:4" x14ac:dyDescent="0.25">
      <c r="A564" s="5" t="s">
        <v>12</v>
      </c>
      <c r="B564" s="6" t="s">
        <v>5</v>
      </c>
      <c r="C564" s="6" t="s">
        <v>40</v>
      </c>
      <c r="D564" s="7">
        <v>1812326.125</v>
      </c>
    </row>
    <row r="565" spans="1:4" x14ac:dyDescent="0.25">
      <c r="A565" s="2" t="s">
        <v>12</v>
      </c>
      <c r="B565" s="3" t="s">
        <v>5</v>
      </c>
      <c r="C565" s="3" t="s">
        <v>41</v>
      </c>
      <c r="D565" s="4">
        <v>1806720.375</v>
      </c>
    </row>
    <row r="566" spans="1:4" x14ac:dyDescent="0.25">
      <c r="A566" s="5" t="s">
        <v>12</v>
      </c>
      <c r="B566" s="6" t="s">
        <v>5</v>
      </c>
      <c r="C566" s="6" t="s">
        <v>42</v>
      </c>
      <c r="D566" s="7">
        <v>1823547</v>
      </c>
    </row>
    <row r="567" spans="1:4" x14ac:dyDescent="0.25">
      <c r="A567" s="2" t="s">
        <v>12</v>
      </c>
      <c r="B567" s="3" t="s">
        <v>5</v>
      </c>
      <c r="C567" s="3" t="s">
        <v>43</v>
      </c>
      <c r="D567" s="4">
        <v>1759800.625</v>
      </c>
    </row>
    <row r="568" spans="1:4" x14ac:dyDescent="0.25">
      <c r="A568" s="5" t="s">
        <v>12</v>
      </c>
      <c r="B568" s="6" t="s">
        <v>5</v>
      </c>
      <c r="C568" s="6" t="s">
        <v>44</v>
      </c>
      <c r="D568" s="7">
        <v>1724483.375</v>
      </c>
    </row>
    <row r="569" spans="1:4" x14ac:dyDescent="0.25">
      <c r="A569" s="2" t="s">
        <v>12</v>
      </c>
      <c r="B569" s="3" t="s">
        <v>5</v>
      </c>
      <c r="C569" s="3" t="s">
        <v>45</v>
      </c>
      <c r="D569" s="4">
        <v>1790461.25</v>
      </c>
    </row>
    <row r="570" spans="1:4" x14ac:dyDescent="0.25">
      <c r="A570" s="5" t="s">
        <v>12</v>
      </c>
      <c r="B570" s="6" t="s">
        <v>5</v>
      </c>
      <c r="C570" s="6" t="s">
        <v>46</v>
      </c>
      <c r="D570" s="7">
        <v>1818727.5</v>
      </c>
    </row>
    <row r="571" spans="1:4" x14ac:dyDescent="0.25">
      <c r="A571" s="2" t="s">
        <v>12</v>
      </c>
      <c r="B571" s="3" t="s">
        <v>5</v>
      </c>
      <c r="C571" s="3" t="s">
        <v>47</v>
      </c>
      <c r="D571" s="4">
        <v>1799564.375</v>
      </c>
    </row>
    <row r="572" spans="1:4" x14ac:dyDescent="0.25">
      <c r="A572" s="5" t="s">
        <v>12</v>
      </c>
      <c r="B572" s="6" t="s">
        <v>5</v>
      </c>
      <c r="C572" s="6" t="s">
        <v>48</v>
      </c>
      <c r="D572" s="7">
        <v>1809145.625</v>
      </c>
    </row>
    <row r="573" spans="1:4" x14ac:dyDescent="0.25">
      <c r="A573" s="2" t="s">
        <v>12</v>
      </c>
      <c r="B573" s="3" t="s">
        <v>5</v>
      </c>
      <c r="C573" s="3" t="s">
        <v>49</v>
      </c>
      <c r="D573" s="4">
        <v>1736370.875</v>
      </c>
    </row>
    <row r="574" spans="1:4" x14ac:dyDescent="0.25">
      <c r="A574" s="5" t="s">
        <v>12</v>
      </c>
      <c r="B574" s="6" t="s">
        <v>5</v>
      </c>
      <c r="C574" s="6" t="s">
        <v>50</v>
      </c>
      <c r="D574" s="7">
        <v>1686427.125</v>
      </c>
    </row>
    <row r="575" spans="1:4" x14ac:dyDescent="0.25">
      <c r="A575" s="2" t="s">
        <v>12</v>
      </c>
      <c r="B575" s="3" t="s">
        <v>5</v>
      </c>
      <c r="C575" s="3" t="s">
        <v>51</v>
      </c>
      <c r="D575" s="4">
        <v>1760564.25</v>
      </c>
    </row>
    <row r="576" spans="1:4" x14ac:dyDescent="0.25">
      <c r="A576" s="5" t="s">
        <v>12</v>
      </c>
      <c r="B576" s="6" t="s">
        <v>5</v>
      </c>
      <c r="C576" s="6" t="s">
        <v>52</v>
      </c>
      <c r="D576" s="7">
        <v>1811983.75</v>
      </c>
    </row>
    <row r="577" spans="1:4" x14ac:dyDescent="0.25">
      <c r="A577" s="2" t="s">
        <v>12</v>
      </c>
      <c r="B577" s="3" t="s">
        <v>5</v>
      </c>
      <c r="C577" s="3" t="s">
        <v>53</v>
      </c>
      <c r="D577" s="4">
        <v>1806354.875</v>
      </c>
    </row>
    <row r="578" spans="1:4" x14ac:dyDescent="0.25">
      <c r="A578" s="5" t="s">
        <v>12</v>
      </c>
      <c r="B578" s="6" t="s">
        <v>5</v>
      </c>
      <c r="C578" s="6" t="s">
        <v>54</v>
      </c>
      <c r="D578" s="7">
        <v>1823165.875</v>
      </c>
    </row>
    <row r="579" spans="1:4" x14ac:dyDescent="0.25">
      <c r="A579" s="2" t="s">
        <v>12</v>
      </c>
      <c r="B579" s="3" t="s">
        <v>5</v>
      </c>
      <c r="C579" s="3" t="s">
        <v>55</v>
      </c>
      <c r="D579" s="4">
        <v>11825638</v>
      </c>
    </row>
    <row r="580" spans="1:4" x14ac:dyDescent="0.25">
      <c r="A580" s="2" t="s">
        <v>12</v>
      </c>
      <c r="B580" s="3" t="s">
        <v>5</v>
      </c>
      <c r="C580" s="3" t="s">
        <v>56</v>
      </c>
      <c r="D580" s="4">
        <v>11767038</v>
      </c>
    </row>
    <row r="581" spans="1:4" x14ac:dyDescent="0.25">
      <c r="A581" s="2" t="s">
        <v>12</v>
      </c>
      <c r="B581" s="3" t="s">
        <v>5</v>
      </c>
      <c r="C581" s="3" t="s">
        <v>57</v>
      </c>
      <c r="D581" s="4">
        <v>13385601</v>
      </c>
    </row>
    <row r="582" spans="1:4" x14ac:dyDescent="0.25">
      <c r="A582" s="2" t="s">
        <v>12</v>
      </c>
      <c r="B582" s="3" t="s">
        <v>5</v>
      </c>
      <c r="C582" s="3" t="s">
        <v>58</v>
      </c>
      <c r="D582" s="4">
        <v>12107540</v>
      </c>
    </row>
    <row r="583" spans="1:4" x14ac:dyDescent="0.25">
      <c r="A583" s="2" t="s">
        <v>12</v>
      </c>
      <c r="B583" s="3" t="s">
        <v>5</v>
      </c>
      <c r="C583" s="3" t="s">
        <v>59</v>
      </c>
      <c r="D583" s="4">
        <v>12028353</v>
      </c>
    </row>
    <row r="584" spans="1:4" x14ac:dyDescent="0.25">
      <c r="A584" s="2" t="s">
        <v>12</v>
      </c>
      <c r="B584" s="3" t="s">
        <v>5</v>
      </c>
      <c r="C584" s="3" t="s">
        <v>60</v>
      </c>
      <c r="D584" s="4">
        <v>12600077</v>
      </c>
    </row>
    <row r="585" spans="1:4" x14ac:dyDescent="0.25">
      <c r="A585" s="2" t="s">
        <v>12</v>
      </c>
      <c r="B585" s="3" t="s">
        <v>5</v>
      </c>
      <c r="C585" s="3" t="s">
        <v>61</v>
      </c>
      <c r="D585" s="4">
        <v>14172710</v>
      </c>
    </row>
    <row r="586" spans="1:4" x14ac:dyDescent="0.25">
      <c r="A586" s="2" t="s">
        <v>12</v>
      </c>
      <c r="B586" s="3" t="s">
        <v>5</v>
      </c>
      <c r="C586" s="3" t="s">
        <v>62</v>
      </c>
      <c r="D586" s="4">
        <v>15081766</v>
      </c>
    </row>
    <row r="587" spans="1:4" x14ac:dyDescent="0.25">
      <c r="A587" s="2" t="s">
        <v>12</v>
      </c>
      <c r="B587" s="3" t="s">
        <v>5</v>
      </c>
      <c r="C587" s="3" t="s">
        <v>63</v>
      </c>
      <c r="D587" s="4">
        <v>13167048</v>
      </c>
    </row>
    <row r="588" spans="1:4" x14ac:dyDescent="0.25">
      <c r="A588" s="2" t="s">
        <v>12</v>
      </c>
      <c r="B588" s="3" t="s">
        <v>5</v>
      </c>
      <c r="C588" s="3" t="s">
        <v>64</v>
      </c>
      <c r="D588" s="4">
        <v>12957997</v>
      </c>
    </row>
    <row r="589" spans="1:4" x14ac:dyDescent="0.25">
      <c r="A589" s="2" t="s">
        <v>12</v>
      </c>
      <c r="B589" s="3" t="s">
        <v>5</v>
      </c>
      <c r="C589" s="3" t="s">
        <v>65</v>
      </c>
      <c r="D589" s="4">
        <v>13840130</v>
      </c>
    </row>
    <row r="590" spans="1:4" x14ac:dyDescent="0.25">
      <c r="A590" s="2" t="s">
        <v>12</v>
      </c>
      <c r="B590" s="3" t="s">
        <v>5</v>
      </c>
      <c r="C590" s="3" t="s">
        <v>66</v>
      </c>
      <c r="D590" s="4">
        <v>15438103</v>
      </c>
    </row>
    <row r="591" spans="1:4" x14ac:dyDescent="0.25">
      <c r="A591" s="5" t="s">
        <v>34</v>
      </c>
      <c r="B591" s="6" t="s">
        <v>5</v>
      </c>
      <c r="C591" s="6" t="s">
        <v>36</v>
      </c>
      <c r="D591" s="6">
        <v>1515407.25</v>
      </c>
    </row>
    <row r="592" spans="1:4" x14ac:dyDescent="0.25">
      <c r="A592" s="2" t="s">
        <v>34</v>
      </c>
      <c r="B592" s="3" t="s">
        <v>5</v>
      </c>
      <c r="C592" s="3" t="s">
        <v>37</v>
      </c>
      <c r="D592" s="3">
        <v>1454899.875</v>
      </c>
    </row>
    <row r="593" spans="1:4" x14ac:dyDescent="0.25">
      <c r="A593" s="5" t="s">
        <v>34</v>
      </c>
      <c r="B593" s="6" t="s">
        <v>5</v>
      </c>
      <c r="C593" s="6" t="s">
        <v>38</v>
      </c>
      <c r="D593" s="6">
        <v>1413526.75</v>
      </c>
    </row>
    <row r="594" spans="1:4" x14ac:dyDescent="0.25">
      <c r="A594" s="2" t="s">
        <v>34</v>
      </c>
      <c r="B594" s="3" t="s">
        <v>5</v>
      </c>
      <c r="C594" s="3" t="s">
        <v>39</v>
      </c>
      <c r="D594" s="3">
        <v>1475240.25</v>
      </c>
    </row>
    <row r="595" spans="1:4" x14ac:dyDescent="0.25">
      <c r="A595" s="5" t="s">
        <v>34</v>
      </c>
      <c r="B595" s="6" t="s">
        <v>5</v>
      </c>
      <c r="C595" s="6" t="s">
        <v>40</v>
      </c>
      <c r="D595" s="6">
        <v>1517434.25</v>
      </c>
    </row>
    <row r="596" spans="1:4" x14ac:dyDescent="0.25">
      <c r="A596" s="2" t="s">
        <v>34</v>
      </c>
      <c r="B596" s="3" t="s">
        <v>5</v>
      </c>
      <c r="C596" s="3" t="s">
        <v>41</v>
      </c>
      <c r="D596" s="3">
        <v>1512207.5</v>
      </c>
    </row>
    <row r="597" spans="1:4" x14ac:dyDescent="0.25">
      <c r="A597" s="5" t="s">
        <v>34</v>
      </c>
      <c r="B597" s="6" t="s">
        <v>5</v>
      </c>
      <c r="C597" s="6" t="s">
        <v>42</v>
      </c>
      <c r="D597" s="6">
        <v>1526028.625</v>
      </c>
    </row>
    <row r="598" spans="1:4" x14ac:dyDescent="0.25">
      <c r="A598" s="2" t="s">
        <v>34</v>
      </c>
      <c r="B598" s="3" t="s">
        <v>5</v>
      </c>
      <c r="C598" s="3" t="s">
        <v>43</v>
      </c>
      <c r="D598" s="3">
        <v>1480215.625</v>
      </c>
    </row>
    <row r="599" spans="1:4" x14ac:dyDescent="0.25">
      <c r="A599" s="5" t="s">
        <v>34</v>
      </c>
      <c r="B599" s="6" t="s">
        <v>5</v>
      </c>
      <c r="C599" s="6" t="s">
        <v>44</v>
      </c>
      <c r="D599" s="6">
        <v>1449938.25</v>
      </c>
    </row>
    <row r="600" spans="1:4" x14ac:dyDescent="0.25">
      <c r="A600" s="2" t="s">
        <v>34</v>
      </c>
      <c r="B600" s="3" t="s">
        <v>5</v>
      </c>
      <c r="C600" s="3" t="s">
        <v>45</v>
      </c>
      <c r="D600" s="3">
        <v>1505821.5</v>
      </c>
    </row>
    <row r="601" spans="1:4" x14ac:dyDescent="0.25">
      <c r="A601" s="5" t="s">
        <v>34</v>
      </c>
      <c r="B601" s="6" t="s">
        <v>5</v>
      </c>
      <c r="C601" s="6" t="s">
        <v>46</v>
      </c>
      <c r="D601" s="6">
        <v>1530472.25</v>
      </c>
    </row>
    <row r="602" spans="1:4" x14ac:dyDescent="0.25">
      <c r="A602" s="2" t="s">
        <v>34</v>
      </c>
      <c r="B602" s="3" t="s">
        <v>5</v>
      </c>
      <c r="C602" s="3" t="s">
        <v>47</v>
      </c>
      <c r="D602" s="3">
        <v>1514949.25</v>
      </c>
    </row>
    <row r="603" spans="1:4" x14ac:dyDescent="0.25">
      <c r="A603" s="5" t="s">
        <v>34</v>
      </c>
      <c r="B603" s="6" t="s">
        <v>5</v>
      </c>
      <c r="C603" s="6" t="s">
        <v>48</v>
      </c>
      <c r="D603" s="6">
        <v>1523298.75</v>
      </c>
    </row>
    <row r="604" spans="1:4" x14ac:dyDescent="0.25">
      <c r="A604" s="2" t="s">
        <v>34</v>
      </c>
      <c r="B604" s="3" t="s">
        <v>5</v>
      </c>
      <c r="C604" s="3" t="s">
        <v>49</v>
      </c>
      <c r="D604" s="3">
        <v>1462487.375</v>
      </c>
    </row>
    <row r="605" spans="1:4" x14ac:dyDescent="0.25">
      <c r="A605" s="5" t="s">
        <v>34</v>
      </c>
      <c r="B605" s="6" t="s">
        <v>5</v>
      </c>
      <c r="C605" s="6" t="s">
        <v>50</v>
      </c>
      <c r="D605" s="6">
        <v>1420913.5</v>
      </c>
    </row>
    <row r="606" spans="1:4" x14ac:dyDescent="0.25">
      <c r="A606" s="2" t="s">
        <v>34</v>
      </c>
      <c r="B606" s="3" t="s">
        <v>5</v>
      </c>
      <c r="C606" s="3" t="s">
        <v>51</v>
      </c>
      <c r="D606" s="3">
        <v>1482939</v>
      </c>
    </row>
    <row r="607" spans="1:4" x14ac:dyDescent="0.25">
      <c r="A607" s="5" t="s">
        <v>34</v>
      </c>
      <c r="B607" s="6" t="s">
        <v>5</v>
      </c>
      <c r="C607" s="6" t="s">
        <v>52</v>
      </c>
      <c r="D607" s="6">
        <v>1525328.25</v>
      </c>
    </row>
    <row r="608" spans="1:4" x14ac:dyDescent="0.25">
      <c r="A608" s="2" t="s">
        <v>34</v>
      </c>
      <c r="B608" s="3" t="s">
        <v>5</v>
      </c>
      <c r="C608" s="3" t="s">
        <v>53</v>
      </c>
      <c r="D608" s="3">
        <v>1520060</v>
      </c>
    </row>
    <row r="609" spans="1:4" x14ac:dyDescent="0.25">
      <c r="A609" s="5" t="s">
        <v>34</v>
      </c>
      <c r="B609" s="6" t="s">
        <v>5</v>
      </c>
      <c r="C609" s="6" t="s">
        <v>54</v>
      </c>
      <c r="D609" s="6">
        <v>1533946.125</v>
      </c>
    </row>
    <row r="610" spans="1:4" x14ac:dyDescent="0.25">
      <c r="A610" s="5" t="s">
        <v>34</v>
      </c>
      <c r="B610" s="6" t="s">
        <v>5</v>
      </c>
      <c r="C610" s="6" t="s">
        <v>55</v>
      </c>
      <c r="D610" s="6">
        <v>1201165.625</v>
      </c>
    </row>
    <row r="611" spans="1:4" x14ac:dyDescent="0.25">
      <c r="A611" s="5" t="s">
        <v>34</v>
      </c>
      <c r="B611" s="6" t="s">
        <v>5</v>
      </c>
      <c r="C611" s="6" t="s">
        <v>56</v>
      </c>
      <c r="D611" s="6">
        <v>1195213.625</v>
      </c>
    </row>
    <row r="612" spans="1:4" x14ac:dyDescent="0.25">
      <c r="A612" s="5" t="s">
        <v>34</v>
      </c>
      <c r="B612" s="6" t="s">
        <v>5</v>
      </c>
      <c r="C612" s="6" t="s">
        <v>57</v>
      </c>
      <c r="D612" s="6">
        <v>1359616</v>
      </c>
    </row>
    <row r="613" spans="1:4" x14ac:dyDescent="0.25">
      <c r="A613" s="5" t="s">
        <v>34</v>
      </c>
      <c r="B613" s="6" t="s">
        <v>5</v>
      </c>
      <c r="C613" s="6" t="s">
        <v>58</v>
      </c>
      <c r="D613" s="6">
        <v>1229799.25</v>
      </c>
    </row>
    <row r="614" spans="1:4" x14ac:dyDescent="0.25">
      <c r="A614" s="5" t="s">
        <v>34</v>
      </c>
      <c r="B614" s="6" t="s">
        <v>5</v>
      </c>
      <c r="C614" s="6" t="s">
        <v>59</v>
      </c>
      <c r="D614" s="6">
        <v>1221756.125</v>
      </c>
    </row>
    <row r="615" spans="1:4" x14ac:dyDescent="0.25">
      <c r="A615" s="5" t="s">
        <v>34</v>
      </c>
      <c r="B615" s="6" t="s">
        <v>5</v>
      </c>
      <c r="C615" s="6" t="s">
        <v>60</v>
      </c>
      <c r="D615" s="6">
        <v>1279827.75</v>
      </c>
    </row>
    <row r="616" spans="1:4" x14ac:dyDescent="0.25">
      <c r="A616" s="5" t="s">
        <v>34</v>
      </c>
      <c r="B616" s="6" t="s">
        <v>5</v>
      </c>
      <c r="C616" s="6" t="s">
        <v>61</v>
      </c>
      <c r="D616" s="6">
        <v>1439564.875</v>
      </c>
    </row>
    <row r="617" spans="1:4" x14ac:dyDescent="0.25">
      <c r="A617" s="5" t="s">
        <v>34</v>
      </c>
      <c r="B617" s="6" t="s">
        <v>5</v>
      </c>
      <c r="C617" s="6" t="s">
        <v>62</v>
      </c>
      <c r="D617" s="6">
        <v>1531900.625</v>
      </c>
    </row>
    <row r="618" spans="1:4" x14ac:dyDescent="0.25">
      <c r="A618" s="5" t="s">
        <v>34</v>
      </c>
      <c r="B618" s="6" t="s">
        <v>5</v>
      </c>
      <c r="C618" s="6" t="s">
        <v>63</v>
      </c>
      <c r="D618" s="6">
        <v>1337416.875</v>
      </c>
    </row>
    <row r="619" spans="1:4" x14ac:dyDescent="0.25">
      <c r="A619" s="5" t="s">
        <v>34</v>
      </c>
      <c r="B619" s="6" t="s">
        <v>5</v>
      </c>
      <c r="C619" s="6" t="s">
        <v>64</v>
      </c>
      <c r="D619" s="6">
        <v>1316182.75</v>
      </c>
    </row>
    <row r="620" spans="1:4" x14ac:dyDescent="0.25">
      <c r="A620" s="5" t="s">
        <v>34</v>
      </c>
      <c r="B620" s="6" t="s">
        <v>5</v>
      </c>
      <c r="C620" s="6" t="s">
        <v>65</v>
      </c>
      <c r="D620" s="6">
        <v>1405783.625</v>
      </c>
    </row>
    <row r="621" spans="1:4" x14ac:dyDescent="0.25">
      <c r="A621" s="5" t="s">
        <v>34</v>
      </c>
      <c r="B621" s="6" t="s">
        <v>5</v>
      </c>
      <c r="C621" s="6" t="s">
        <v>66</v>
      </c>
      <c r="D621" s="6">
        <v>1568094.625</v>
      </c>
    </row>
    <row r="622" spans="1:4" x14ac:dyDescent="0.25">
      <c r="A622" s="5" t="s">
        <v>14</v>
      </c>
      <c r="B622" s="6" t="s">
        <v>5</v>
      </c>
      <c r="C622" s="6" t="s">
        <v>36</v>
      </c>
      <c r="D622" s="6">
        <v>28471866</v>
      </c>
    </row>
    <row r="623" spans="1:4" x14ac:dyDescent="0.25">
      <c r="A623" s="2" t="s">
        <v>14</v>
      </c>
      <c r="B623" s="3" t="s">
        <v>5</v>
      </c>
      <c r="C623" s="3" t="s">
        <v>37</v>
      </c>
      <c r="D623" s="3">
        <v>27327576</v>
      </c>
    </row>
    <row r="624" spans="1:4" x14ac:dyDescent="0.25">
      <c r="A624" s="5" t="s">
        <v>14</v>
      </c>
      <c r="B624" s="6" t="s">
        <v>5</v>
      </c>
      <c r="C624" s="6" t="s">
        <v>38</v>
      </c>
      <c r="D624" s="6">
        <v>26543928</v>
      </c>
    </row>
    <row r="625" spans="1:4" x14ac:dyDescent="0.25">
      <c r="A625" s="2" t="s">
        <v>14</v>
      </c>
      <c r="B625" s="3" t="s">
        <v>5</v>
      </c>
      <c r="C625" s="3" t="s">
        <v>39</v>
      </c>
      <c r="D625" s="3">
        <v>27710112</v>
      </c>
    </row>
    <row r="626" spans="1:4" x14ac:dyDescent="0.25">
      <c r="A626" s="5" t="s">
        <v>14</v>
      </c>
      <c r="B626" s="6" t="s">
        <v>5</v>
      </c>
      <c r="C626" s="6" t="s">
        <v>40</v>
      </c>
      <c r="D626" s="6">
        <v>28514934</v>
      </c>
    </row>
    <row r="627" spans="1:4" x14ac:dyDescent="0.25">
      <c r="A627" s="2" t="s">
        <v>14</v>
      </c>
      <c r="B627" s="3" t="s">
        <v>5</v>
      </c>
      <c r="C627" s="3" t="s">
        <v>41</v>
      </c>
      <c r="D627" s="3">
        <v>28423386</v>
      </c>
    </row>
    <row r="628" spans="1:4" x14ac:dyDescent="0.25">
      <c r="A628" s="5" t="s">
        <v>14</v>
      </c>
      <c r="B628" s="6" t="s">
        <v>5</v>
      </c>
      <c r="C628" s="6" t="s">
        <v>42</v>
      </c>
      <c r="D628" s="6">
        <v>28690056</v>
      </c>
    </row>
    <row r="629" spans="1:4" x14ac:dyDescent="0.25">
      <c r="A629" s="2" t="s">
        <v>14</v>
      </c>
      <c r="B629" s="3" t="s">
        <v>5</v>
      </c>
      <c r="C629" s="3" t="s">
        <v>43</v>
      </c>
      <c r="D629" s="3">
        <v>27785300</v>
      </c>
    </row>
    <row r="630" spans="1:4" x14ac:dyDescent="0.25">
      <c r="A630" s="5" t="s">
        <v>14</v>
      </c>
      <c r="B630" s="6" t="s">
        <v>5</v>
      </c>
      <c r="C630" s="6" t="s">
        <v>44</v>
      </c>
      <c r="D630" s="6">
        <v>27223998</v>
      </c>
    </row>
    <row r="631" spans="1:4" x14ac:dyDescent="0.25">
      <c r="A631" s="2" t="s">
        <v>14</v>
      </c>
      <c r="B631" s="3" t="s">
        <v>5</v>
      </c>
      <c r="C631" s="3" t="s">
        <v>45</v>
      </c>
      <c r="D631" s="3">
        <v>28266742</v>
      </c>
    </row>
    <row r="632" spans="1:4" x14ac:dyDescent="0.25">
      <c r="A632" s="5" t="s">
        <v>14</v>
      </c>
      <c r="B632" s="6" t="s">
        <v>5</v>
      </c>
      <c r="C632" s="6" t="s">
        <v>46</v>
      </c>
      <c r="D632" s="6">
        <v>28720004</v>
      </c>
    </row>
    <row r="633" spans="1:4" x14ac:dyDescent="0.25">
      <c r="A633" s="2" t="s">
        <v>14</v>
      </c>
      <c r="B633" s="3" t="s">
        <v>5</v>
      </c>
      <c r="C633" s="3" t="s">
        <v>47</v>
      </c>
      <c r="D633" s="3">
        <v>28418024</v>
      </c>
    </row>
    <row r="634" spans="1:4" x14ac:dyDescent="0.25">
      <c r="A634" s="5" t="s">
        <v>14</v>
      </c>
      <c r="B634" s="6" t="s">
        <v>5</v>
      </c>
      <c r="C634" s="6" t="s">
        <v>48</v>
      </c>
      <c r="D634" s="6">
        <v>28572722</v>
      </c>
    </row>
    <row r="635" spans="1:4" x14ac:dyDescent="0.25">
      <c r="A635" s="2" t="s">
        <v>14</v>
      </c>
      <c r="B635" s="3" t="s">
        <v>5</v>
      </c>
      <c r="C635" s="3" t="s">
        <v>49</v>
      </c>
      <c r="D635" s="3">
        <v>27424730</v>
      </c>
    </row>
    <row r="636" spans="1:4" x14ac:dyDescent="0.25">
      <c r="A636" s="5" t="s">
        <v>14</v>
      </c>
      <c r="B636" s="6" t="s">
        <v>5</v>
      </c>
      <c r="C636" s="6" t="s">
        <v>50</v>
      </c>
      <c r="D636" s="6">
        <v>26638748</v>
      </c>
    </row>
    <row r="637" spans="1:4" x14ac:dyDescent="0.25">
      <c r="A637" s="2" t="s">
        <v>14</v>
      </c>
      <c r="B637" s="3" t="s">
        <v>5</v>
      </c>
      <c r="C637" s="3" t="s">
        <v>51</v>
      </c>
      <c r="D637" s="3">
        <v>27808738</v>
      </c>
    </row>
    <row r="638" spans="1:4" x14ac:dyDescent="0.25">
      <c r="A638" s="5" t="s">
        <v>14</v>
      </c>
      <c r="B638" s="6" t="s">
        <v>5</v>
      </c>
      <c r="C638" s="6" t="s">
        <v>52</v>
      </c>
      <c r="D638" s="6">
        <v>28615682</v>
      </c>
    </row>
    <row r="639" spans="1:4" x14ac:dyDescent="0.25">
      <c r="A639" s="2" t="s">
        <v>14</v>
      </c>
      <c r="B639" s="3" t="s">
        <v>5</v>
      </c>
      <c r="C639" s="3" t="s">
        <v>53</v>
      </c>
      <c r="D639" s="3">
        <v>28523372</v>
      </c>
    </row>
    <row r="640" spans="1:4" x14ac:dyDescent="0.25">
      <c r="A640" s="5" t="s">
        <v>14</v>
      </c>
      <c r="B640" s="6" t="s">
        <v>5</v>
      </c>
      <c r="C640" s="6" t="s">
        <v>54</v>
      </c>
      <c r="D640" s="6">
        <v>28790760</v>
      </c>
    </row>
    <row r="641" spans="1:4" x14ac:dyDescent="0.25">
      <c r="A641" s="2" t="s">
        <v>14</v>
      </c>
      <c r="B641" s="3" t="s">
        <v>5</v>
      </c>
      <c r="C641" s="3" t="s">
        <v>55</v>
      </c>
      <c r="D641" s="3">
        <v>34846464</v>
      </c>
    </row>
    <row r="642" spans="1:4" x14ac:dyDescent="0.25">
      <c r="A642" s="2" t="s">
        <v>14</v>
      </c>
      <c r="B642" s="3" t="s">
        <v>5</v>
      </c>
      <c r="C642" s="3" t="s">
        <v>56</v>
      </c>
      <c r="D642" s="3">
        <v>34673796</v>
      </c>
    </row>
    <row r="643" spans="1:4" x14ac:dyDescent="0.25">
      <c r="A643" s="2" t="s">
        <v>14</v>
      </c>
      <c r="B643" s="3" t="s">
        <v>5</v>
      </c>
      <c r="C643" s="3" t="s">
        <v>57</v>
      </c>
      <c r="D643" s="3">
        <v>39443192</v>
      </c>
    </row>
    <row r="644" spans="1:4" x14ac:dyDescent="0.25">
      <c r="A644" s="2" t="s">
        <v>14</v>
      </c>
      <c r="B644" s="3" t="s">
        <v>5</v>
      </c>
      <c r="C644" s="3" t="s">
        <v>58</v>
      </c>
      <c r="D644" s="3">
        <v>35677144</v>
      </c>
    </row>
    <row r="645" spans="1:4" x14ac:dyDescent="0.25">
      <c r="A645" s="2" t="s">
        <v>14</v>
      </c>
      <c r="B645" s="3" t="s">
        <v>5</v>
      </c>
      <c r="C645" s="3" t="s">
        <v>59</v>
      </c>
      <c r="D645" s="3">
        <v>35443804</v>
      </c>
    </row>
    <row r="646" spans="1:4" x14ac:dyDescent="0.25">
      <c r="A646" s="2" t="s">
        <v>14</v>
      </c>
      <c r="B646" s="3" t="s">
        <v>5</v>
      </c>
      <c r="C646" s="3" t="s">
        <v>60</v>
      </c>
      <c r="D646" s="3">
        <v>37128492</v>
      </c>
    </row>
    <row r="647" spans="1:4" x14ac:dyDescent="0.25">
      <c r="A647" s="2" t="s">
        <v>14</v>
      </c>
      <c r="B647" s="3" t="s">
        <v>5</v>
      </c>
      <c r="C647" s="3" t="s">
        <v>61</v>
      </c>
      <c r="D647" s="3">
        <v>41762552</v>
      </c>
    </row>
    <row r="648" spans="1:4" x14ac:dyDescent="0.25">
      <c r="A648" s="2" t="s">
        <v>14</v>
      </c>
      <c r="B648" s="3" t="s">
        <v>5</v>
      </c>
      <c r="C648" s="3" t="s">
        <v>62</v>
      </c>
      <c r="D648" s="3">
        <v>44441260</v>
      </c>
    </row>
    <row r="649" spans="1:4" x14ac:dyDescent="0.25">
      <c r="A649" s="2" t="s">
        <v>14</v>
      </c>
      <c r="B649" s="3" t="s">
        <v>5</v>
      </c>
      <c r="C649" s="3" t="s">
        <v>63</v>
      </c>
      <c r="D649" s="3">
        <v>38799184</v>
      </c>
    </row>
    <row r="650" spans="1:4" x14ac:dyDescent="0.25">
      <c r="A650" s="2" t="s">
        <v>14</v>
      </c>
      <c r="B650" s="3" t="s">
        <v>5</v>
      </c>
      <c r="C650" s="3" t="s">
        <v>64</v>
      </c>
      <c r="D650" s="3">
        <v>38183176</v>
      </c>
    </row>
    <row r="651" spans="1:4" x14ac:dyDescent="0.25">
      <c r="A651" s="2" t="s">
        <v>14</v>
      </c>
      <c r="B651" s="3" t="s">
        <v>5</v>
      </c>
      <c r="C651" s="3" t="s">
        <v>65</v>
      </c>
      <c r="D651" s="3">
        <v>40782536</v>
      </c>
    </row>
    <row r="652" spans="1:4" x14ac:dyDescent="0.25">
      <c r="A652" s="2" t="s">
        <v>14</v>
      </c>
      <c r="B652" s="3" t="s">
        <v>5</v>
      </c>
      <c r="C652" s="3" t="s">
        <v>66</v>
      </c>
      <c r="D652" s="3">
        <v>45491272</v>
      </c>
    </row>
    <row r="653" spans="1:4" x14ac:dyDescent="0.25">
      <c r="A653" s="2" t="s">
        <v>15</v>
      </c>
      <c r="B653" s="3" t="s">
        <v>5</v>
      </c>
      <c r="C653" s="3" t="s">
        <v>36</v>
      </c>
      <c r="D653" s="3">
        <v>12345354</v>
      </c>
    </row>
    <row r="654" spans="1:4" x14ac:dyDescent="0.25">
      <c r="A654" s="5" t="s">
        <v>15</v>
      </c>
      <c r="B654" s="6" t="s">
        <v>5</v>
      </c>
      <c r="C654" s="6" t="s">
        <v>37</v>
      </c>
      <c r="D654" s="6">
        <v>11857836</v>
      </c>
    </row>
    <row r="655" spans="1:4" x14ac:dyDescent="0.25">
      <c r="A655" s="2" t="s">
        <v>15</v>
      </c>
      <c r="B655" s="3" t="s">
        <v>5</v>
      </c>
      <c r="C655" s="3" t="s">
        <v>38</v>
      </c>
      <c r="D655" s="3">
        <v>11529865</v>
      </c>
    </row>
    <row r="656" spans="1:4" x14ac:dyDescent="0.25">
      <c r="A656" s="5" t="s">
        <v>15</v>
      </c>
      <c r="B656" s="6" t="s">
        <v>5</v>
      </c>
      <c r="C656" s="6" t="s">
        <v>39</v>
      </c>
      <c r="D656" s="6">
        <v>12027739</v>
      </c>
    </row>
    <row r="657" spans="1:4" x14ac:dyDescent="0.25">
      <c r="A657" s="2" t="s">
        <v>15</v>
      </c>
      <c r="B657" s="3" t="s">
        <v>5</v>
      </c>
      <c r="C657" s="3" t="s">
        <v>40</v>
      </c>
      <c r="D657" s="3">
        <v>12358399</v>
      </c>
    </row>
    <row r="658" spans="1:4" x14ac:dyDescent="0.25">
      <c r="A658" s="5" t="s">
        <v>15</v>
      </c>
      <c r="B658" s="6" t="s">
        <v>5</v>
      </c>
      <c r="C658" s="6" t="s">
        <v>41</v>
      </c>
      <c r="D658" s="6">
        <v>12308066</v>
      </c>
    </row>
    <row r="659" spans="1:4" x14ac:dyDescent="0.25">
      <c r="A659" s="2" t="s">
        <v>15</v>
      </c>
      <c r="B659" s="3" t="s">
        <v>5</v>
      </c>
      <c r="C659" s="3" t="s">
        <v>42</v>
      </c>
      <c r="D659" s="3">
        <v>12416615</v>
      </c>
    </row>
    <row r="660" spans="1:4" x14ac:dyDescent="0.25">
      <c r="A660" s="5" t="s">
        <v>15</v>
      </c>
      <c r="B660" s="6" t="s">
        <v>5</v>
      </c>
      <c r="C660" s="6" t="s">
        <v>43</v>
      </c>
      <c r="D660" s="6">
        <v>12153905</v>
      </c>
    </row>
    <row r="661" spans="1:4" x14ac:dyDescent="0.25">
      <c r="A661" s="2" t="s">
        <v>15</v>
      </c>
      <c r="B661" s="3" t="s">
        <v>5</v>
      </c>
      <c r="C661" s="3" t="s">
        <v>44</v>
      </c>
      <c r="D661" s="3">
        <v>11895868</v>
      </c>
    </row>
    <row r="662" spans="1:4" x14ac:dyDescent="0.25">
      <c r="A662" s="5" t="s">
        <v>15</v>
      </c>
      <c r="B662" s="6" t="s">
        <v>5</v>
      </c>
      <c r="C662" s="6" t="s">
        <v>45</v>
      </c>
      <c r="D662" s="6">
        <v>12359951</v>
      </c>
    </row>
    <row r="663" spans="1:4" x14ac:dyDescent="0.25">
      <c r="A663" s="2" t="s">
        <v>15</v>
      </c>
      <c r="B663" s="3" t="s">
        <v>5</v>
      </c>
      <c r="C663" s="3" t="s">
        <v>46</v>
      </c>
      <c r="D663" s="3">
        <v>12576572</v>
      </c>
    </row>
    <row r="664" spans="1:4" x14ac:dyDescent="0.25">
      <c r="A664" s="5" t="s">
        <v>15</v>
      </c>
      <c r="B664" s="6" t="s">
        <v>5</v>
      </c>
      <c r="C664" s="6" t="s">
        <v>47</v>
      </c>
      <c r="D664" s="6">
        <v>12455758</v>
      </c>
    </row>
    <row r="665" spans="1:4" x14ac:dyDescent="0.25">
      <c r="A665" s="2" t="s">
        <v>15</v>
      </c>
      <c r="B665" s="3" t="s">
        <v>5</v>
      </c>
      <c r="C665" s="3" t="s">
        <v>48</v>
      </c>
      <c r="D665" s="3">
        <v>12529233</v>
      </c>
    </row>
    <row r="666" spans="1:4" x14ac:dyDescent="0.25">
      <c r="A666" s="5" t="s">
        <v>15</v>
      </c>
      <c r="B666" s="6" t="s">
        <v>5</v>
      </c>
      <c r="C666" s="6" t="s">
        <v>49</v>
      </c>
      <c r="D666" s="6">
        <v>12034653</v>
      </c>
    </row>
    <row r="667" spans="1:4" x14ac:dyDescent="0.25">
      <c r="A667" s="2" t="s">
        <v>15</v>
      </c>
      <c r="B667" s="3" t="s">
        <v>5</v>
      </c>
      <c r="C667" s="3" t="s">
        <v>50</v>
      </c>
      <c r="D667" s="3">
        <v>11702072</v>
      </c>
    </row>
    <row r="668" spans="1:4" x14ac:dyDescent="0.25">
      <c r="A668" s="5" t="s">
        <v>15</v>
      </c>
      <c r="B668" s="6" t="s">
        <v>5</v>
      </c>
      <c r="C668" s="6" t="s">
        <v>51</v>
      </c>
      <c r="D668" s="6">
        <v>12207190</v>
      </c>
    </row>
    <row r="669" spans="1:4" x14ac:dyDescent="0.25">
      <c r="A669" s="2" t="s">
        <v>15</v>
      </c>
      <c r="B669" s="3" t="s">
        <v>5</v>
      </c>
      <c r="C669" s="3" t="s">
        <v>52</v>
      </c>
      <c r="D669" s="3">
        <v>12542328</v>
      </c>
    </row>
    <row r="670" spans="1:4" x14ac:dyDescent="0.25">
      <c r="A670" s="5" t="s">
        <v>15</v>
      </c>
      <c r="B670" s="6" t="s">
        <v>5</v>
      </c>
      <c r="C670" s="6" t="s">
        <v>53</v>
      </c>
      <c r="D670" s="6">
        <v>12490985</v>
      </c>
    </row>
    <row r="671" spans="1:4" x14ac:dyDescent="0.25">
      <c r="A671" s="2" t="s">
        <v>15</v>
      </c>
      <c r="B671" s="3" t="s">
        <v>5</v>
      </c>
      <c r="C671" s="3" t="s">
        <v>54</v>
      </c>
      <c r="D671" s="3">
        <v>12601016</v>
      </c>
    </row>
    <row r="672" spans="1:4" x14ac:dyDescent="0.25">
      <c r="A672" s="5" t="s">
        <v>15</v>
      </c>
      <c r="B672" s="6" t="s">
        <v>5</v>
      </c>
      <c r="C672" s="6" t="s">
        <v>55</v>
      </c>
      <c r="D672" s="6">
        <v>27166702</v>
      </c>
    </row>
    <row r="673" spans="1:4" x14ac:dyDescent="0.25">
      <c r="A673" s="5" t="s">
        <v>15</v>
      </c>
      <c r="B673" s="6" t="s">
        <v>5</v>
      </c>
      <c r="C673" s="6" t="s">
        <v>56</v>
      </c>
      <c r="D673" s="6">
        <v>27032090</v>
      </c>
    </row>
    <row r="674" spans="1:4" x14ac:dyDescent="0.25">
      <c r="A674" s="5" t="s">
        <v>15</v>
      </c>
      <c r="B674" s="6" t="s">
        <v>5</v>
      </c>
      <c r="C674" s="6" t="s">
        <v>57</v>
      </c>
      <c r="D674" s="6">
        <v>30750364</v>
      </c>
    </row>
    <row r="675" spans="1:4" x14ac:dyDescent="0.25">
      <c r="A675" s="5" t="s">
        <v>15</v>
      </c>
      <c r="B675" s="6" t="s">
        <v>5</v>
      </c>
      <c r="C675" s="6" t="s">
        <v>58</v>
      </c>
      <c r="D675" s="6">
        <v>27814308</v>
      </c>
    </row>
    <row r="676" spans="1:4" x14ac:dyDescent="0.25">
      <c r="A676" s="5" t="s">
        <v>15</v>
      </c>
      <c r="B676" s="6" t="s">
        <v>5</v>
      </c>
      <c r="C676" s="6" t="s">
        <v>59</v>
      </c>
      <c r="D676" s="6">
        <v>27632398</v>
      </c>
    </row>
    <row r="677" spans="1:4" x14ac:dyDescent="0.25">
      <c r="A677" s="5" t="s">
        <v>15</v>
      </c>
      <c r="B677" s="6" t="s">
        <v>5</v>
      </c>
      <c r="C677" s="6" t="s">
        <v>60</v>
      </c>
      <c r="D677" s="6">
        <v>28945800</v>
      </c>
    </row>
    <row r="678" spans="1:4" x14ac:dyDescent="0.25">
      <c r="A678" s="5" t="s">
        <v>15</v>
      </c>
      <c r="B678" s="6" t="s">
        <v>5</v>
      </c>
      <c r="C678" s="6" t="s">
        <v>61</v>
      </c>
      <c r="D678" s="6">
        <v>32558568</v>
      </c>
    </row>
    <row r="679" spans="1:4" x14ac:dyDescent="0.25">
      <c r="A679" s="5" t="s">
        <v>15</v>
      </c>
      <c r="B679" s="6" t="s">
        <v>5</v>
      </c>
      <c r="C679" s="6" t="s">
        <v>62</v>
      </c>
      <c r="D679" s="6">
        <v>34646912</v>
      </c>
    </row>
    <row r="680" spans="1:4" x14ac:dyDescent="0.25">
      <c r="A680" s="5" t="s">
        <v>15</v>
      </c>
      <c r="B680" s="6" t="s">
        <v>5</v>
      </c>
      <c r="C680" s="6" t="s">
        <v>63</v>
      </c>
      <c r="D680" s="6">
        <v>30248286</v>
      </c>
    </row>
    <row r="681" spans="1:4" x14ac:dyDescent="0.25">
      <c r="A681" s="5" t="s">
        <v>15</v>
      </c>
      <c r="B681" s="6" t="s">
        <v>5</v>
      </c>
      <c r="C681" s="6" t="s">
        <v>64</v>
      </c>
      <c r="D681" s="6">
        <v>29768036</v>
      </c>
    </row>
    <row r="682" spans="1:4" x14ac:dyDescent="0.25">
      <c r="A682" s="5" t="s">
        <v>15</v>
      </c>
      <c r="B682" s="6" t="s">
        <v>5</v>
      </c>
      <c r="C682" s="6" t="s">
        <v>65</v>
      </c>
      <c r="D682" s="6">
        <v>31794540</v>
      </c>
    </row>
    <row r="683" spans="1:4" x14ac:dyDescent="0.25">
      <c r="A683" s="5" t="s">
        <v>15</v>
      </c>
      <c r="B683" s="6" t="s">
        <v>5</v>
      </c>
      <c r="C683" s="6" t="s">
        <v>66</v>
      </c>
      <c r="D683" s="6">
        <v>35465520</v>
      </c>
    </row>
    <row r="684" spans="1:4" x14ac:dyDescent="0.25">
      <c r="A684" s="2" t="s">
        <v>33</v>
      </c>
      <c r="B684" s="3" t="s">
        <v>5</v>
      </c>
      <c r="C684" s="3" t="s">
        <v>36</v>
      </c>
      <c r="D684" s="3">
        <v>5438962</v>
      </c>
    </row>
    <row r="685" spans="1:4" x14ac:dyDescent="0.25">
      <c r="A685" s="5" t="s">
        <v>33</v>
      </c>
      <c r="B685" s="6" t="s">
        <v>5</v>
      </c>
      <c r="C685" s="6" t="s">
        <v>37</v>
      </c>
      <c r="D685" s="6">
        <v>5220862.5</v>
      </c>
    </row>
    <row r="686" spans="1:4" x14ac:dyDescent="0.25">
      <c r="A686" s="2" t="s">
        <v>33</v>
      </c>
      <c r="B686" s="3" t="s">
        <v>5</v>
      </c>
      <c r="C686" s="3" t="s">
        <v>38</v>
      </c>
      <c r="D686" s="3">
        <v>5071833</v>
      </c>
    </row>
    <row r="687" spans="1:4" x14ac:dyDescent="0.25">
      <c r="A687" s="5" t="s">
        <v>33</v>
      </c>
      <c r="B687" s="6" t="s">
        <v>5</v>
      </c>
      <c r="C687" s="6" t="s">
        <v>39</v>
      </c>
      <c r="D687" s="6">
        <v>5294075.5</v>
      </c>
    </row>
    <row r="688" spans="1:4" x14ac:dyDescent="0.25">
      <c r="A688" s="2" t="s">
        <v>33</v>
      </c>
      <c r="B688" s="3" t="s">
        <v>5</v>
      </c>
      <c r="C688" s="3" t="s">
        <v>40</v>
      </c>
      <c r="D688" s="3">
        <v>5447007</v>
      </c>
    </row>
    <row r="689" spans="1:4" x14ac:dyDescent="0.25">
      <c r="A689" s="5" t="s">
        <v>33</v>
      </c>
      <c r="B689" s="6" t="s">
        <v>5</v>
      </c>
      <c r="C689" s="6" t="s">
        <v>41</v>
      </c>
      <c r="D689" s="6">
        <v>5429065</v>
      </c>
    </row>
    <row r="690" spans="1:4" x14ac:dyDescent="0.25">
      <c r="A690" s="2" t="s">
        <v>33</v>
      </c>
      <c r="B690" s="3" t="s">
        <v>5</v>
      </c>
      <c r="C690" s="3" t="s">
        <v>42</v>
      </c>
      <c r="D690" s="3">
        <v>5479237</v>
      </c>
    </row>
    <row r="691" spans="1:4" x14ac:dyDescent="0.25">
      <c r="A691" s="5" t="s">
        <v>33</v>
      </c>
      <c r="B691" s="6" t="s">
        <v>5</v>
      </c>
      <c r="C691" s="6" t="s">
        <v>43</v>
      </c>
      <c r="D691" s="6">
        <v>5306471.5</v>
      </c>
    </row>
    <row r="692" spans="1:4" x14ac:dyDescent="0.25">
      <c r="A692" s="2" t="s">
        <v>33</v>
      </c>
      <c r="B692" s="3" t="s">
        <v>5</v>
      </c>
      <c r="C692" s="3" t="s">
        <v>44</v>
      </c>
      <c r="D692" s="3">
        <v>5198716</v>
      </c>
    </row>
    <row r="693" spans="1:4" x14ac:dyDescent="0.25">
      <c r="A693" s="5" t="s">
        <v>33</v>
      </c>
      <c r="B693" s="6" t="s">
        <v>5</v>
      </c>
      <c r="C693" s="6" t="s">
        <v>45</v>
      </c>
      <c r="D693" s="6">
        <v>5398351.5</v>
      </c>
    </row>
    <row r="694" spans="1:4" x14ac:dyDescent="0.25">
      <c r="A694" s="2" t="s">
        <v>33</v>
      </c>
      <c r="B694" s="3" t="s">
        <v>5</v>
      </c>
      <c r="C694" s="3" t="s">
        <v>46</v>
      </c>
      <c r="D694" s="3">
        <v>5485619</v>
      </c>
    </row>
    <row r="695" spans="1:4" x14ac:dyDescent="0.25">
      <c r="A695" s="5" t="s">
        <v>33</v>
      </c>
      <c r="B695" s="6" t="s">
        <v>5</v>
      </c>
      <c r="C695" s="6" t="s">
        <v>47</v>
      </c>
      <c r="D695" s="6">
        <v>5428716</v>
      </c>
    </row>
    <row r="696" spans="1:4" x14ac:dyDescent="0.25">
      <c r="A696" s="2" t="s">
        <v>33</v>
      </c>
      <c r="B696" s="3" t="s">
        <v>5</v>
      </c>
      <c r="C696" s="3" t="s">
        <v>48</v>
      </c>
      <c r="D696" s="3">
        <v>5458342.5</v>
      </c>
    </row>
    <row r="697" spans="1:4" x14ac:dyDescent="0.25">
      <c r="A697" s="5" t="s">
        <v>33</v>
      </c>
      <c r="B697" s="6" t="s">
        <v>5</v>
      </c>
      <c r="C697" s="6" t="s">
        <v>49</v>
      </c>
      <c r="D697" s="6">
        <v>5239550.5</v>
      </c>
    </row>
    <row r="698" spans="1:4" x14ac:dyDescent="0.25">
      <c r="A698" s="2" t="s">
        <v>33</v>
      </c>
      <c r="B698" s="3" t="s">
        <v>5</v>
      </c>
      <c r="C698" s="3" t="s">
        <v>50</v>
      </c>
      <c r="D698" s="3">
        <v>5090102</v>
      </c>
    </row>
    <row r="699" spans="1:4" x14ac:dyDescent="0.25">
      <c r="A699" s="5" t="s">
        <v>33</v>
      </c>
      <c r="B699" s="6" t="s">
        <v>5</v>
      </c>
      <c r="C699" s="6" t="s">
        <v>51</v>
      </c>
      <c r="D699" s="6">
        <v>5313062</v>
      </c>
    </row>
    <row r="700" spans="1:4" x14ac:dyDescent="0.25">
      <c r="A700" s="2" t="s">
        <v>33</v>
      </c>
      <c r="B700" s="3" t="s">
        <v>5</v>
      </c>
      <c r="C700" s="3" t="s">
        <v>52</v>
      </c>
      <c r="D700" s="3">
        <v>5466354.5</v>
      </c>
    </row>
    <row r="701" spans="1:4" x14ac:dyDescent="0.25">
      <c r="A701" s="5" t="s">
        <v>33</v>
      </c>
      <c r="B701" s="6" t="s">
        <v>5</v>
      </c>
      <c r="C701" s="6" t="s">
        <v>53</v>
      </c>
      <c r="D701" s="6">
        <v>5448240.5</v>
      </c>
    </row>
    <row r="702" spans="1:4" x14ac:dyDescent="0.25">
      <c r="A702" s="2" t="s">
        <v>33</v>
      </c>
      <c r="B702" s="3" t="s">
        <v>5</v>
      </c>
      <c r="C702" s="3" t="s">
        <v>54</v>
      </c>
      <c r="D702" s="3">
        <v>5498535.5</v>
      </c>
    </row>
    <row r="703" spans="1:4" x14ac:dyDescent="0.25">
      <c r="A703" s="2" t="s">
        <v>33</v>
      </c>
      <c r="B703" s="3" t="s">
        <v>5</v>
      </c>
      <c r="C703" s="3" t="s">
        <v>55</v>
      </c>
      <c r="D703" s="3">
        <v>19828800</v>
      </c>
    </row>
    <row r="704" spans="1:4" x14ac:dyDescent="0.25">
      <c r="A704" s="2" t="s">
        <v>33</v>
      </c>
      <c r="B704" s="3" t="s">
        <v>5</v>
      </c>
      <c r="C704" s="3" t="s">
        <v>56</v>
      </c>
      <c r="D704" s="3">
        <v>19730544</v>
      </c>
    </row>
    <row r="705" spans="1:4" x14ac:dyDescent="0.25">
      <c r="A705" s="2" t="s">
        <v>33</v>
      </c>
      <c r="B705" s="3" t="s">
        <v>5</v>
      </c>
      <c r="C705" s="3" t="s">
        <v>57</v>
      </c>
      <c r="D705" s="3">
        <v>22444490</v>
      </c>
    </row>
    <row r="706" spans="1:4" x14ac:dyDescent="0.25">
      <c r="A706" s="2" t="s">
        <v>33</v>
      </c>
      <c r="B706" s="3" t="s">
        <v>5</v>
      </c>
      <c r="C706" s="3" t="s">
        <v>58</v>
      </c>
      <c r="D706" s="3">
        <v>20301482</v>
      </c>
    </row>
    <row r="707" spans="1:4" x14ac:dyDescent="0.25">
      <c r="A707" s="2" t="s">
        <v>33</v>
      </c>
      <c r="B707" s="3" t="s">
        <v>5</v>
      </c>
      <c r="C707" s="3" t="s">
        <v>59</v>
      </c>
      <c r="D707" s="3">
        <v>20168706</v>
      </c>
    </row>
    <row r="708" spans="1:4" x14ac:dyDescent="0.25">
      <c r="A708" s="2" t="s">
        <v>33</v>
      </c>
      <c r="B708" s="3" t="s">
        <v>5</v>
      </c>
      <c r="C708" s="3" t="s">
        <v>60</v>
      </c>
      <c r="D708" s="3">
        <v>21127350</v>
      </c>
    </row>
    <row r="709" spans="1:4" x14ac:dyDescent="0.25">
      <c r="A709" s="2" t="s">
        <v>33</v>
      </c>
      <c r="B709" s="3" t="s">
        <v>5</v>
      </c>
      <c r="C709" s="3" t="s">
        <v>61</v>
      </c>
      <c r="D709" s="3">
        <v>23764284</v>
      </c>
    </row>
    <row r="710" spans="1:4" x14ac:dyDescent="0.25">
      <c r="A710" s="2" t="s">
        <v>33</v>
      </c>
      <c r="B710" s="3" t="s">
        <v>5</v>
      </c>
      <c r="C710" s="3" t="s">
        <v>62</v>
      </c>
      <c r="D710" s="3">
        <v>25288558</v>
      </c>
    </row>
    <row r="711" spans="1:4" x14ac:dyDescent="0.25">
      <c r="A711" s="2" t="s">
        <v>33</v>
      </c>
      <c r="B711" s="3" t="s">
        <v>5</v>
      </c>
      <c r="C711" s="3" t="s">
        <v>63</v>
      </c>
      <c r="D711" s="3">
        <v>22078030</v>
      </c>
    </row>
    <row r="712" spans="1:4" x14ac:dyDescent="0.25">
      <c r="A712" s="2" t="s">
        <v>33</v>
      </c>
      <c r="B712" s="3" t="s">
        <v>5</v>
      </c>
      <c r="C712" s="3" t="s">
        <v>64</v>
      </c>
      <c r="D712" s="3">
        <v>21727498</v>
      </c>
    </row>
    <row r="713" spans="1:4" x14ac:dyDescent="0.25">
      <c r="A713" s="2" t="s">
        <v>33</v>
      </c>
      <c r="B713" s="3" t="s">
        <v>5</v>
      </c>
      <c r="C713" s="3" t="s">
        <v>65</v>
      </c>
      <c r="D713" s="3">
        <v>23206626</v>
      </c>
    </row>
    <row r="714" spans="1:4" x14ac:dyDescent="0.25">
      <c r="A714" s="2" t="s">
        <v>33</v>
      </c>
      <c r="B714" s="3" t="s">
        <v>5</v>
      </c>
      <c r="C714" s="3" t="s">
        <v>66</v>
      </c>
      <c r="D714" s="3">
        <v>25886052</v>
      </c>
    </row>
    <row r="715" spans="1:4" x14ac:dyDescent="0.25">
      <c r="A715" s="2" t="s">
        <v>4</v>
      </c>
      <c r="B715" s="3" t="s">
        <v>5</v>
      </c>
      <c r="C715" s="3" t="s">
        <v>36</v>
      </c>
      <c r="D715" s="3">
        <v>2981629</v>
      </c>
    </row>
    <row r="716" spans="1:4" x14ac:dyDescent="0.25">
      <c r="A716" s="5" t="s">
        <v>4</v>
      </c>
      <c r="B716" s="6" t="s">
        <v>5</v>
      </c>
      <c r="C716" s="6" t="s">
        <v>37</v>
      </c>
      <c r="D716" s="6">
        <v>2861096</v>
      </c>
    </row>
    <row r="717" spans="1:4" x14ac:dyDescent="0.25">
      <c r="A717" s="2" t="s">
        <v>4</v>
      </c>
      <c r="B717" s="3" t="s">
        <v>5</v>
      </c>
      <c r="C717" s="3" t="s">
        <v>38</v>
      </c>
      <c r="D717" s="3">
        <v>2778290.5</v>
      </c>
    </row>
    <row r="718" spans="1:4" x14ac:dyDescent="0.25">
      <c r="A718" s="5" t="s">
        <v>4</v>
      </c>
      <c r="B718" s="6" t="s">
        <v>5</v>
      </c>
      <c r="C718" s="6" t="s">
        <v>39</v>
      </c>
      <c r="D718" s="6">
        <v>2901100.25</v>
      </c>
    </row>
    <row r="719" spans="1:4" x14ac:dyDescent="0.25">
      <c r="A719" s="2" t="s">
        <v>4</v>
      </c>
      <c r="B719" s="3" t="s">
        <v>5</v>
      </c>
      <c r="C719" s="3" t="s">
        <v>40</v>
      </c>
      <c r="D719" s="3">
        <v>2986740.75</v>
      </c>
    </row>
    <row r="720" spans="1:4" x14ac:dyDescent="0.25">
      <c r="A720" s="5" t="s">
        <v>4</v>
      </c>
      <c r="B720" s="6" t="s">
        <v>5</v>
      </c>
      <c r="C720" s="6" t="s">
        <v>41</v>
      </c>
      <c r="D720" s="6">
        <v>2978003.5</v>
      </c>
    </row>
    <row r="721" spans="1:4" x14ac:dyDescent="0.25">
      <c r="A721" s="2" t="s">
        <v>4</v>
      </c>
      <c r="B721" s="3" t="s">
        <v>5</v>
      </c>
      <c r="C721" s="3" t="s">
        <v>42</v>
      </c>
      <c r="D721" s="3">
        <v>3006216.5</v>
      </c>
    </row>
    <row r="722" spans="1:4" x14ac:dyDescent="0.25">
      <c r="A722" s="5" t="s">
        <v>4</v>
      </c>
      <c r="B722" s="6" t="s">
        <v>5</v>
      </c>
      <c r="C722" s="6" t="s">
        <v>43</v>
      </c>
      <c r="D722" s="6">
        <v>2920014.5</v>
      </c>
    </row>
    <row r="723" spans="1:4" x14ac:dyDescent="0.25">
      <c r="A723" s="2" t="s">
        <v>4</v>
      </c>
      <c r="B723" s="3" t="s">
        <v>5</v>
      </c>
      <c r="C723" s="3" t="s">
        <v>44</v>
      </c>
      <c r="D723" s="3">
        <v>2861781.25</v>
      </c>
    </row>
    <row r="724" spans="1:4" x14ac:dyDescent="0.25">
      <c r="A724" s="5" t="s">
        <v>4</v>
      </c>
      <c r="B724" s="6" t="s">
        <v>5</v>
      </c>
      <c r="C724" s="6" t="s">
        <v>45</v>
      </c>
      <c r="D724" s="6">
        <v>2970843.75</v>
      </c>
    </row>
    <row r="725" spans="1:4" x14ac:dyDescent="0.25">
      <c r="A725" s="2" t="s">
        <v>4</v>
      </c>
      <c r="B725" s="3" t="s">
        <v>5</v>
      </c>
      <c r="C725" s="3" t="s">
        <v>46</v>
      </c>
      <c r="D725" s="3">
        <v>3017090</v>
      </c>
    </row>
    <row r="726" spans="1:4" x14ac:dyDescent="0.25">
      <c r="A726" s="5" t="s">
        <v>4</v>
      </c>
      <c r="B726" s="6" t="s">
        <v>5</v>
      </c>
      <c r="C726" s="6" t="s">
        <v>47</v>
      </c>
      <c r="D726" s="6">
        <v>2984548</v>
      </c>
    </row>
    <row r="727" spans="1:4" x14ac:dyDescent="0.25">
      <c r="A727" s="2" t="s">
        <v>4</v>
      </c>
      <c r="B727" s="3" t="s">
        <v>5</v>
      </c>
      <c r="C727" s="3" t="s">
        <v>48</v>
      </c>
      <c r="D727" s="3">
        <v>3000308.25</v>
      </c>
    </row>
    <row r="728" spans="1:4" x14ac:dyDescent="0.25">
      <c r="A728" s="5" t="s">
        <v>4</v>
      </c>
      <c r="B728" s="6" t="s">
        <v>5</v>
      </c>
      <c r="C728" s="6" t="s">
        <v>49</v>
      </c>
      <c r="D728" s="6">
        <v>2879098</v>
      </c>
    </row>
    <row r="729" spans="1:4" x14ac:dyDescent="0.25">
      <c r="A729" s="2" t="s">
        <v>4</v>
      </c>
      <c r="B729" s="3" t="s">
        <v>5</v>
      </c>
      <c r="C729" s="3" t="s">
        <v>50</v>
      </c>
      <c r="D729" s="3">
        <v>2795874.5</v>
      </c>
    </row>
    <row r="730" spans="1:4" x14ac:dyDescent="0.25">
      <c r="A730" s="5" t="s">
        <v>4</v>
      </c>
      <c r="B730" s="6" t="s">
        <v>5</v>
      </c>
      <c r="C730" s="6" t="s">
        <v>51</v>
      </c>
      <c r="D730" s="6">
        <v>2919382.5</v>
      </c>
    </row>
    <row r="731" spans="1:4" x14ac:dyDescent="0.25">
      <c r="A731" s="2" t="s">
        <v>4</v>
      </c>
      <c r="B731" s="3" t="s">
        <v>5</v>
      </c>
      <c r="C731" s="3" t="s">
        <v>52</v>
      </c>
      <c r="D731" s="3">
        <v>3005395</v>
      </c>
    </row>
    <row r="732" spans="1:4" x14ac:dyDescent="0.25">
      <c r="A732" s="5" t="s">
        <v>4</v>
      </c>
      <c r="B732" s="6" t="s">
        <v>5</v>
      </c>
      <c r="C732" s="6" t="s">
        <v>53</v>
      </c>
      <c r="D732" s="6">
        <v>2996505.5</v>
      </c>
    </row>
    <row r="733" spans="1:4" x14ac:dyDescent="0.25">
      <c r="A733" s="2" t="s">
        <v>4</v>
      </c>
      <c r="B733" s="3" t="s">
        <v>5</v>
      </c>
      <c r="C733" s="3" t="s">
        <v>54</v>
      </c>
      <c r="D733" s="3">
        <v>3024842.75</v>
      </c>
    </row>
    <row r="734" spans="1:4" x14ac:dyDescent="0.25">
      <c r="A734" s="2" t="s">
        <v>4</v>
      </c>
      <c r="B734" s="3" t="s">
        <v>5</v>
      </c>
      <c r="C734" s="3" t="s">
        <v>55</v>
      </c>
      <c r="D734" s="3">
        <v>1509111.375</v>
      </c>
    </row>
    <row r="735" spans="1:4" x14ac:dyDescent="0.25">
      <c r="A735" s="2" t="s">
        <v>4</v>
      </c>
      <c r="B735" s="3" t="s">
        <v>5</v>
      </c>
      <c r="C735" s="3" t="s">
        <v>56</v>
      </c>
      <c r="D735" s="3">
        <v>1501633.625</v>
      </c>
    </row>
    <row r="736" spans="1:4" x14ac:dyDescent="0.25">
      <c r="A736" s="2" t="s">
        <v>4</v>
      </c>
      <c r="B736" s="3" t="s">
        <v>5</v>
      </c>
      <c r="C736" s="3" t="s">
        <v>57</v>
      </c>
      <c r="D736" s="3">
        <v>1708183.75</v>
      </c>
    </row>
    <row r="737" spans="1:4" x14ac:dyDescent="0.25">
      <c r="A737" s="2" t="s">
        <v>4</v>
      </c>
      <c r="B737" s="3" t="s">
        <v>5</v>
      </c>
      <c r="C737" s="3" t="s">
        <v>58</v>
      </c>
      <c r="D737" s="3">
        <v>1545085.875</v>
      </c>
    </row>
    <row r="738" spans="1:4" x14ac:dyDescent="0.25">
      <c r="A738" s="2" t="s">
        <v>4</v>
      </c>
      <c r="B738" s="3" t="s">
        <v>5</v>
      </c>
      <c r="C738" s="3" t="s">
        <v>59</v>
      </c>
      <c r="D738" s="3">
        <v>1534980.625</v>
      </c>
    </row>
    <row r="739" spans="1:4" x14ac:dyDescent="0.25">
      <c r="A739" s="2" t="s">
        <v>4</v>
      </c>
      <c r="B739" s="3" t="s">
        <v>5</v>
      </c>
      <c r="C739" s="3" t="s">
        <v>60</v>
      </c>
      <c r="D739" s="3">
        <v>1607940.25</v>
      </c>
    </row>
    <row r="740" spans="1:4" x14ac:dyDescent="0.25">
      <c r="A740" s="2" t="s">
        <v>4</v>
      </c>
      <c r="B740" s="3" t="s">
        <v>5</v>
      </c>
      <c r="C740" s="3" t="s">
        <v>61</v>
      </c>
      <c r="D740" s="3">
        <v>1808629.5</v>
      </c>
    </row>
    <row r="741" spans="1:4" x14ac:dyDescent="0.25">
      <c r="A741" s="2" t="s">
        <v>4</v>
      </c>
      <c r="B741" s="3" t="s">
        <v>5</v>
      </c>
      <c r="C741" s="3" t="s">
        <v>62</v>
      </c>
      <c r="D741" s="3">
        <v>1924637.5</v>
      </c>
    </row>
    <row r="742" spans="1:4" x14ac:dyDescent="0.25">
      <c r="A742" s="2" t="s">
        <v>4</v>
      </c>
      <c r="B742" s="3" t="s">
        <v>5</v>
      </c>
      <c r="C742" s="3" t="s">
        <v>63</v>
      </c>
      <c r="D742" s="3">
        <v>1680293.625</v>
      </c>
    </row>
    <row r="743" spans="1:4" x14ac:dyDescent="0.25">
      <c r="A743" s="2" t="s">
        <v>4</v>
      </c>
      <c r="B743" s="3" t="s">
        <v>5</v>
      </c>
      <c r="C743" s="3" t="s">
        <v>64</v>
      </c>
      <c r="D743" s="3">
        <v>1653615.875</v>
      </c>
    </row>
    <row r="744" spans="1:4" x14ac:dyDescent="0.25">
      <c r="A744" s="2" t="s">
        <v>4</v>
      </c>
      <c r="B744" s="3" t="s">
        <v>5</v>
      </c>
      <c r="C744" s="3" t="s">
        <v>65</v>
      </c>
      <c r="D744" s="3">
        <v>1766187.875</v>
      </c>
    </row>
    <row r="745" spans="1:4" x14ac:dyDescent="0.25">
      <c r="A745" s="2" t="s">
        <v>4</v>
      </c>
      <c r="B745" s="3" t="s">
        <v>5</v>
      </c>
      <c r="C745" s="3" t="s">
        <v>66</v>
      </c>
      <c r="D745" s="3">
        <v>1970111</v>
      </c>
    </row>
    <row r="746" spans="1:4" x14ac:dyDescent="0.25">
      <c r="A746" s="5" t="s">
        <v>10</v>
      </c>
      <c r="B746" s="6" t="s">
        <v>5</v>
      </c>
      <c r="C746" s="6" t="s">
        <v>36</v>
      </c>
      <c r="D746" s="6">
        <v>7758894</v>
      </c>
    </row>
    <row r="747" spans="1:4" x14ac:dyDescent="0.25">
      <c r="A747" s="2" t="s">
        <v>10</v>
      </c>
      <c r="B747" s="3" t="s">
        <v>5</v>
      </c>
      <c r="C747" s="3" t="s">
        <v>37</v>
      </c>
      <c r="D747" s="3">
        <v>7449741</v>
      </c>
    </row>
    <row r="748" spans="1:4" x14ac:dyDescent="0.25">
      <c r="A748" s="5" t="s">
        <v>10</v>
      </c>
      <c r="B748" s="6" t="s">
        <v>5</v>
      </c>
      <c r="C748" s="6" t="s">
        <v>38</v>
      </c>
      <c r="D748" s="6">
        <v>7240152</v>
      </c>
    </row>
    <row r="749" spans="1:4" x14ac:dyDescent="0.25">
      <c r="A749" s="2" t="s">
        <v>10</v>
      </c>
      <c r="B749" s="3" t="s">
        <v>5</v>
      </c>
      <c r="C749" s="3" t="s">
        <v>39</v>
      </c>
      <c r="D749" s="3">
        <v>7555618</v>
      </c>
    </row>
    <row r="750" spans="1:4" x14ac:dyDescent="0.25">
      <c r="A750" s="5" t="s">
        <v>10</v>
      </c>
      <c r="B750" s="6" t="s">
        <v>5</v>
      </c>
      <c r="C750" s="6" t="s">
        <v>40</v>
      </c>
      <c r="D750" s="6">
        <v>7768979</v>
      </c>
    </row>
    <row r="751" spans="1:4" x14ac:dyDescent="0.25">
      <c r="A751" s="2" t="s">
        <v>10</v>
      </c>
      <c r="B751" s="3" t="s">
        <v>5</v>
      </c>
      <c r="C751" s="3" t="s">
        <v>41</v>
      </c>
      <c r="D751" s="3">
        <v>7740639.5</v>
      </c>
    </row>
    <row r="752" spans="1:4" x14ac:dyDescent="0.25">
      <c r="A752" s="5" t="s">
        <v>10</v>
      </c>
      <c r="B752" s="6" t="s">
        <v>5</v>
      </c>
      <c r="C752" s="6" t="s">
        <v>42</v>
      </c>
      <c r="D752" s="6">
        <v>7810893</v>
      </c>
    </row>
    <row r="753" spans="1:4" x14ac:dyDescent="0.25">
      <c r="A753" s="2" t="s">
        <v>10</v>
      </c>
      <c r="B753" s="3" t="s">
        <v>5</v>
      </c>
      <c r="C753" s="3" t="s">
        <v>43</v>
      </c>
      <c r="D753" s="3">
        <v>7636222</v>
      </c>
    </row>
    <row r="754" spans="1:4" x14ac:dyDescent="0.25">
      <c r="A754" s="5" t="s">
        <v>10</v>
      </c>
      <c r="B754" s="6" t="s">
        <v>5</v>
      </c>
      <c r="C754" s="6" t="s">
        <v>44</v>
      </c>
      <c r="D754" s="6">
        <v>7477692</v>
      </c>
    </row>
    <row r="755" spans="1:4" x14ac:dyDescent="0.25">
      <c r="A755" s="2" t="s">
        <v>10</v>
      </c>
      <c r="B755" s="3" t="s">
        <v>5</v>
      </c>
      <c r="C755" s="3" t="s">
        <v>45</v>
      </c>
      <c r="D755" s="3">
        <v>7766890</v>
      </c>
    </row>
    <row r="756" spans="1:4" x14ac:dyDescent="0.25">
      <c r="A756" s="5" t="s">
        <v>10</v>
      </c>
      <c r="B756" s="6" t="s">
        <v>5</v>
      </c>
      <c r="C756" s="6" t="s">
        <v>46</v>
      </c>
      <c r="D756" s="6">
        <v>7897460</v>
      </c>
    </row>
    <row r="757" spans="1:4" x14ac:dyDescent="0.25">
      <c r="A757" s="2" t="s">
        <v>10</v>
      </c>
      <c r="B757" s="3" t="s">
        <v>5</v>
      </c>
      <c r="C757" s="3" t="s">
        <v>47</v>
      </c>
      <c r="D757" s="3">
        <v>7818049.5</v>
      </c>
    </row>
    <row r="758" spans="1:4" x14ac:dyDescent="0.25">
      <c r="A758" s="5" t="s">
        <v>10</v>
      </c>
      <c r="B758" s="6" t="s">
        <v>5</v>
      </c>
      <c r="C758" s="6" t="s">
        <v>48</v>
      </c>
      <c r="D758" s="6">
        <v>7862464</v>
      </c>
    </row>
    <row r="759" spans="1:4" x14ac:dyDescent="0.25">
      <c r="A759" s="2" t="s">
        <v>10</v>
      </c>
      <c r="B759" s="3" t="s">
        <v>5</v>
      </c>
      <c r="C759" s="3" t="s">
        <v>49</v>
      </c>
      <c r="D759" s="3">
        <v>7549362.5</v>
      </c>
    </row>
    <row r="760" spans="1:4" x14ac:dyDescent="0.25">
      <c r="A760" s="5" t="s">
        <v>10</v>
      </c>
      <c r="B760" s="6" t="s">
        <v>5</v>
      </c>
      <c r="C760" s="6" t="s">
        <v>50</v>
      </c>
      <c r="D760" s="6">
        <v>7337208.5</v>
      </c>
    </row>
    <row r="761" spans="1:4" x14ac:dyDescent="0.25">
      <c r="A761" s="2" t="s">
        <v>10</v>
      </c>
      <c r="B761" s="3" t="s">
        <v>5</v>
      </c>
      <c r="C761" s="3" t="s">
        <v>51</v>
      </c>
      <c r="D761" s="3">
        <v>7656727.5</v>
      </c>
    </row>
    <row r="762" spans="1:4" x14ac:dyDescent="0.25">
      <c r="A762" s="5" t="s">
        <v>10</v>
      </c>
      <c r="B762" s="6" t="s">
        <v>5</v>
      </c>
      <c r="C762" s="6" t="s">
        <v>52</v>
      </c>
      <c r="D762" s="6">
        <v>7872556</v>
      </c>
    </row>
    <row r="763" spans="1:4" x14ac:dyDescent="0.25">
      <c r="A763" s="2" t="s">
        <v>10</v>
      </c>
      <c r="B763" s="3" t="s">
        <v>5</v>
      </c>
      <c r="C763" s="3" t="s">
        <v>53</v>
      </c>
      <c r="D763" s="3">
        <v>7843613.5</v>
      </c>
    </row>
    <row r="764" spans="1:4" x14ac:dyDescent="0.25">
      <c r="A764" s="5" t="s">
        <v>10</v>
      </c>
      <c r="B764" s="6" t="s">
        <v>5</v>
      </c>
      <c r="C764" s="6" t="s">
        <v>54</v>
      </c>
      <c r="D764" s="6">
        <v>7914685.5</v>
      </c>
    </row>
    <row r="765" spans="1:4" x14ac:dyDescent="0.25">
      <c r="A765" s="2" t="s">
        <v>10</v>
      </c>
      <c r="B765" s="3" t="s">
        <v>5</v>
      </c>
      <c r="C765" s="3" t="s">
        <v>55</v>
      </c>
      <c r="D765" s="3">
        <v>5023448.5</v>
      </c>
    </row>
    <row r="766" spans="1:4" x14ac:dyDescent="0.25">
      <c r="A766" s="2" t="s">
        <v>10</v>
      </c>
      <c r="B766" s="3" t="s">
        <v>5</v>
      </c>
      <c r="C766" s="3" t="s">
        <v>56</v>
      </c>
      <c r="D766" s="3">
        <v>4998556.5</v>
      </c>
    </row>
    <row r="767" spans="1:4" x14ac:dyDescent="0.25">
      <c r="A767" s="2" t="s">
        <v>10</v>
      </c>
      <c r="B767" s="3" t="s">
        <v>5</v>
      </c>
      <c r="C767" s="3" t="s">
        <v>57</v>
      </c>
      <c r="D767" s="3">
        <v>5686110.5</v>
      </c>
    </row>
    <row r="768" spans="1:4" x14ac:dyDescent="0.25">
      <c r="A768" s="2" t="s">
        <v>10</v>
      </c>
      <c r="B768" s="3" t="s">
        <v>5</v>
      </c>
      <c r="C768" s="3" t="s">
        <v>58</v>
      </c>
      <c r="D768" s="3">
        <v>5143198.5</v>
      </c>
    </row>
    <row r="769" spans="1:4" x14ac:dyDescent="0.25">
      <c r="A769" s="2" t="s">
        <v>10</v>
      </c>
      <c r="B769" s="3" t="s">
        <v>5</v>
      </c>
      <c r="C769" s="3" t="s">
        <v>59</v>
      </c>
      <c r="D769" s="3">
        <v>5109561</v>
      </c>
    </row>
    <row r="770" spans="1:4" x14ac:dyDescent="0.25">
      <c r="A770" s="2" t="s">
        <v>10</v>
      </c>
      <c r="B770" s="3" t="s">
        <v>5</v>
      </c>
      <c r="C770" s="3" t="s">
        <v>60</v>
      </c>
      <c r="D770" s="3">
        <v>5352425</v>
      </c>
    </row>
    <row r="771" spans="1:4" x14ac:dyDescent="0.25">
      <c r="A771" s="2" t="s">
        <v>10</v>
      </c>
      <c r="B771" s="3" t="s">
        <v>5</v>
      </c>
      <c r="C771" s="3" t="s">
        <v>61</v>
      </c>
      <c r="D771" s="3">
        <v>6020468.5</v>
      </c>
    </row>
    <row r="772" spans="1:4" x14ac:dyDescent="0.25">
      <c r="A772" s="2" t="s">
        <v>10</v>
      </c>
      <c r="B772" s="3" t="s">
        <v>5</v>
      </c>
      <c r="C772" s="3" t="s">
        <v>62</v>
      </c>
      <c r="D772" s="3">
        <v>6406629</v>
      </c>
    </row>
    <row r="773" spans="1:4" x14ac:dyDescent="0.25">
      <c r="A773" s="2" t="s">
        <v>10</v>
      </c>
      <c r="B773" s="3" t="s">
        <v>5</v>
      </c>
      <c r="C773" s="3" t="s">
        <v>63</v>
      </c>
      <c r="D773" s="3">
        <v>5593270.5</v>
      </c>
    </row>
    <row r="774" spans="1:4" x14ac:dyDescent="0.25">
      <c r="A774" s="2" t="s">
        <v>10</v>
      </c>
      <c r="B774" s="3" t="s">
        <v>5</v>
      </c>
      <c r="C774" s="3" t="s">
        <v>64</v>
      </c>
      <c r="D774" s="3">
        <v>5504467</v>
      </c>
    </row>
    <row r="775" spans="1:4" x14ac:dyDescent="0.25">
      <c r="A775" s="2" t="s">
        <v>10</v>
      </c>
      <c r="B775" s="3" t="s">
        <v>5</v>
      </c>
      <c r="C775" s="3" t="s">
        <v>65</v>
      </c>
      <c r="D775" s="3">
        <v>5879191</v>
      </c>
    </row>
    <row r="776" spans="1:4" x14ac:dyDescent="0.25">
      <c r="A776" s="2" t="s">
        <v>10</v>
      </c>
      <c r="B776" s="3" t="s">
        <v>5</v>
      </c>
      <c r="C776" s="3" t="s">
        <v>66</v>
      </c>
      <c r="D776" s="3">
        <v>6557998.5</v>
      </c>
    </row>
    <row r="777" spans="1:4" x14ac:dyDescent="0.25">
      <c r="A777" s="2" t="s">
        <v>11</v>
      </c>
      <c r="B777" s="3" t="s">
        <v>5</v>
      </c>
      <c r="C777" s="3" t="s">
        <v>36</v>
      </c>
      <c r="D777" s="3">
        <v>2968789.25</v>
      </c>
    </row>
    <row r="778" spans="1:4" x14ac:dyDescent="0.25">
      <c r="A778" s="5" t="s">
        <v>11</v>
      </c>
      <c r="B778" s="6" t="s">
        <v>5</v>
      </c>
      <c r="C778" s="6" t="s">
        <v>37</v>
      </c>
      <c r="D778" s="6">
        <v>2850324.75</v>
      </c>
    </row>
    <row r="779" spans="1:4" x14ac:dyDescent="0.25">
      <c r="A779" s="2" t="s">
        <v>11</v>
      </c>
      <c r="B779" s="3" t="s">
        <v>5</v>
      </c>
      <c r="C779" s="3" t="s">
        <v>38</v>
      </c>
      <c r="D779" s="3">
        <v>2770010.25</v>
      </c>
    </row>
    <row r="780" spans="1:4" x14ac:dyDescent="0.25">
      <c r="A780" s="5" t="s">
        <v>11</v>
      </c>
      <c r="B780" s="6" t="s">
        <v>5</v>
      </c>
      <c r="C780" s="6" t="s">
        <v>39</v>
      </c>
      <c r="D780" s="6">
        <v>2890978.5</v>
      </c>
    </row>
    <row r="781" spans="1:4" x14ac:dyDescent="0.25">
      <c r="A781" s="2" t="s">
        <v>11</v>
      </c>
      <c r="B781" s="3" t="s">
        <v>5</v>
      </c>
      <c r="C781" s="3" t="s">
        <v>40</v>
      </c>
      <c r="D781" s="3">
        <v>2972828.5</v>
      </c>
    </row>
    <row r="782" spans="1:4" x14ac:dyDescent="0.25">
      <c r="A782" s="5" t="s">
        <v>11</v>
      </c>
      <c r="B782" s="6" t="s">
        <v>5</v>
      </c>
      <c r="C782" s="6" t="s">
        <v>41</v>
      </c>
      <c r="D782" s="6">
        <v>2962143.5</v>
      </c>
    </row>
    <row r="783" spans="1:4" x14ac:dyDescent="0.25">
      <c r="A783" s="2" t="s">
        <v>11</v>
      </c>
      <c r="B783" s="3" t="s">
        <v>5</v>
      </c>
      <c r="C783" s="3" t="s">
        <v>42</v>
      </c>
      <c r="D783" s="3">
        <v>2989136</v>
      </c>
    </row>
    <row r="784" spans="1:4" x14ac:dyDescent="0.25">
      <c r="A784" s="5" t="s">
        <v>11</v>
      </c>
      <c r="B784" s="6" t="s">
        <v>5</v>
      </c>
      <c r="C784" s="6" t="s">
        <v>43</v>
      </c>
      <c r="D784" s="6">
        <v>2934407.5</v>
      </c>
    </row>
    <row r="785" spans="1:4" x14ac:dyDescent="0.25">
      <c r="A785" s="2" t="s">
        <v>11</v>
      </c>
      <c r="B785" s="3" t="s">
        <v>5</v>
      </c>
      <c r="C785" s="3" t="s">
        <v>44</v>
      </c>
      <c r="D785" s="3">
        <v>2873496.5</v>
      </c>
    </row>
    <row r="786" spans="1:4" x14ac:dyDescent="0.25">
      <c r="A786" s="5" t="s">
        <v>11</v>
      </c>
      <c r="B786" s="6" t="s">
        <v>5</v>
      </c>
      <c r="C786" s="6" t="s">
        <v>45</v>
      </c>
      <c r="D786" s="6">
        <v>2984527</v>
      </c>
    </row>
    <row r="787" spans="1:4" x14ac:dyDescent="0.25">
      <c r="A787" s="2" t="s">
        <v>11</v>
      </c>
      <c r="B787" s="3" t="s">
        <v>5</v>
      </c>
      <c r="C787" s="3" t="s">
        <v>46</v>
      </c>
      <c r="D787" s="3">
        <v>3034491.25</v>
      </c>
    </row>
    <row r="788" spans="1:4" x14ac:dyDescent="0.25">
      <c r="A788" s="5" t="s">
        <v>11</v>
      </c>
      <c r="B788" s="6" t="s">
        <v>5</v>
      </c>
      <c r="C788" s="6" t="s">
        <v>47</v>
      </c>
      <c r="D788" s="6">
        <v>3003769</v>
      </c>
    </row>
    <row r="789" spans="1:4" x14ac:dyDescent="0.25">
      <c r="A789" s="2" t="s">
        <v>11</v>
      </c>
      <c r="B789" s="3" t="s">
        <v>5</v>
      </c>
      <c r="C789" s="3" t="s">
        <v>48</v>
      </c>
      <c r="D789" s="3">
        <v>3020774.75</v>
      </c>
    </row>
    <row r="790" spans="1:4" x14ac:dyDescent="0.25">
      <c r="A790" s="5" t="s">
        <v>11</v>
      </c>
      <c r="B790" s="6" t="s">
        <v>5</v>
      </c>
      <c r="C790" s="6" t="s">
        <v>49</v>
      </c>
      <c r="D790" s="6">
        <v>2900331.25</v>
      </c>
    </row>
    <row r="791" spans="1:4" x14ac:dyDescent="0.25">
      <c r="A791" s="2" t="s">
        <v>11</v>
      </c>
      <c r="B791" s="3" t="s">
        <v>5</v>
      </c>
      <c r="C791" s="3" t="s">
        <v>50</v>
      </c>
      <c r="D791" s="3">
        <v>2818733.75</v>
      </c>
    </row>
    <row r="792" spans="1:4" x14ac:dyDescent="0.25">
      <c r="A792" s="5" t="s">
        <v>11</v>
      </c>
      <c r="B792" s="6" t="s">
        <v>5</v>
      </c>
      <c r="C792" s="6" t="s">
        <v>51</v>
      </c>
      <c r="D792" s="6">
        <v>2941732.75</v>
      </c>
    </row>
    <row r="793" spans="1:4" x14ac:dyDescent="0.25">
      <c r="A793" s="2" t="s">
        <v>11</v>
      </c>
      <c r="B793" s="3" t="s">
        <v>5</v>
      </c>
      <c r="C793" s="3" t="s">
        <v>52</v>
      </c>
      <c r="D793" s="3">
        <v>3024815.75</v>
      </c>
    </row>
    <row r="794" spans="1:4" x14ac:dyDescent="0.25">
      <c r="A794" s="5" t="s">
        <v>11</v>
      </c>
      <c r="B794" s="6" t="s">
        <v>5</v>
      </c>
      <c r="C794" s="6" t="s">
        <v>53</v>
      </c>
      <c r="D794" s="6">
        <v>3013824.5</v>
      </c>
    </row>
    <row r="795" spans="1:4" x14ac:dyDescent="0.25">
      <c r="A795" s="2" t="s">
        <v>11</v>
      </c>
      <c r="B795" s="3" t="s">
        <v>5</v>
      </c>
      <c r="C795" s="3" t="s">
        <v>54</v>
      </c>
      <c r="D795" s="3">
        <v>3041225</v>
      </c>
    </row>
    <row r="796" spans="1:4" x14ac:dyDescent="0.25">
      <c r="A796" s="5" t="s">
        <v>11</v>
      </c>
      <c r="B796" s="6" t="s">
        <v>5</v>
      </c>
      <c r="C796" s="6" t="s">
        <v>55</v>
      </c>
      <c r="D796" s="6">
        <v>4950213.5</v>
      </c>
    </row>
    <row r="797" spans="1:4" x14ac:dyDescent="0.25">
      <c r="A797" s="5" t="s">
        <v>11</v>
      </c>
      <c r="B797" s="6" t="s">
        <v>5</v>
      </c>
      <c r="C797" s="6" t="s">
        <v>56</v>
      </c>
      <c r="D797" s="6">
        <v>4925684</v>
      </c>
    </row>
    <row r="798" spans="1:4" x14ac:dyDescent="0.25">
      <c r="A798" s="5" t="s">
        <v>11</v>
      </c>
      <c r="B798" s="6" t="s">
        <v>5</v>
      </c>
      <c r="C798" s="6" t="s">
        <v>57</v>
      </c>
      <c r="D798" s="6">
        <v>5603215</v>
      </c>
    </row>
    <row r="799" spans="1:4" x14ac:dyDescent="0.25">
      <c r="A799" s="5" t="s">
        <v>11</v>
      </c>
      <c r="B799" s="6" t="s">
        <v>5</v>
      </c>
      <c r="C799" s="6" t="s">
        <v>58</v>
      </c>
      <c r="D799" s="6">
        <v>5068218</v>
      </c>
    </row>
    <row r="800" spans="1:4" x14ac:dyDescent="0.25">
      <c r="A800" s="5" t="s">
        <v>11</v>
      </c>
      <c r="B800" s="6" t="s">
        <v>5</v>
      </c>
      <c r="C800" s="6" t="s">
        <v>59</v>
      </c>
      <c r="D800" s="6">
        <v>5035070.5</v>
      </c>
    </row>
    <row r="801" spans="1:4" x14ac:dyDescent="0.25">
      <c r="A801" s="5" t="s">
        <v>11</v>
      </c>
      <c r="B801" s="6" t="s">
        <v>5</v>
      </c>
      <c r="C801" s="6" t="s">
        <v>60</v>
      </c>
      <c r="D801" s="6">
        <v>5274394</v>
      </c>
    </row>
    <row r="802" spans="1:4" x14ac:dyDescent="0.25">
      <c r="A802" s="5" t="s">
        <v>11</v>
      </c>
      <c r="B802" s="6" t="s">
        <v>5</v>
      </c>
      <c r="C802" s="6" t="s">
        <v>61</v>
      </c>
      <c r="D802" s="6">
        <v>5932699</v>
      </c>
    </row>
    <row r="803" spans="1:4" x14ac:dyDescent="0.25">
      <c r="A803" s="5" t="s">
        <v>11</v>
      </c>
      <c r="B803" s="6" t="s">
        <v>5</v>
      </c>
      <c r="C803" s="6" t="s">
        <v>62</v>
      </c>
      <c r="D803" s="6">
        <v>6313230.5</v>
      </c>
    </row>
    <row r="804" spans="1:4" x14ac:dyDescent="0.25">
      <c r="A804" s="5" t="s">
        <v>11</v>
      </c>
      <c r="B804" s="6" t="s">
        <v>5</v>
      </c>
      <c r="C804" s="6" t="s">
        <v>63</v>
      </c>
      <c r="D804" s="6">
        <v>5511728.5</v>
      </c>
    </row>
    <row r="805" spans="1:4" x14ac:dyDescent="0.25">
      <c r="A805" s="5" t="s">
        <v>11</v>
      </c>
      <c r="B805" s="6" t="s">
        <v>5</v>
      </c>
      <c r="C805" s="6" t="s">
        <v>64</v>
      </c>
      <c r="D805" s="6">
        <v>5424219.5</v>
      </c>
    </row>
    <row r="806" spans="1:4" x14ac:dyDescent="0.25">
      <c r="A806" s="5" t="s">
        <v>11</v>
      </c>
      <c r="B806" s="6" t="s">
        <v>5</v>
      </c>
      <c r="C806" s="6" t="s">
        <v>65</v>
      </c>
      <c r="D806" s="6">
        <v>5793480.5</v>
      </c>
    </row>
    <row r="807" spans="1:4" x14ac:dyDescent="0.25">
      <c r="A807" s="5" t="s">
        <v>11</v>
      </c>
      <c r="B807" s="6" t="s">
        <v>5</v>
      </c>
      <c r="C807" s="6" t="s">
        <v>66</v>
      </c>
      <c r="D807" s="6">
        <v>6462392</v>
      </c>
    </row>
    <row r="808" spans="1:4" x14ac:dyDescent="0.25">
      <c r="A808" s="2" t="s">
        <v>29</v>
      </c>
      <c r="B808" s="3" t="s">
        <v>5</v>
      </c>
      <c r="C808" s="3" t="s">
        <v>36</v>
      </c>
      <c r="D808" s="3">
        <v>382911.25</v>
      </c>
    </row>
    <row r="809" spans="1:4" x14ac:dyDescent="0.25">
      <c r="A809" s="5" t="s">
        <v>29</v>
      </c>
      <c r="B809" s="6" t="s">
        <v>5</v>
      </c>
      <c r="C809" s="6" t="s">
        <v>37</v>
      </c>
      <c r="D809" s="6">
        <v>367457.5</v>
      </c>
    </row>
    <row r="810" spans="1:4" x14ac:dyDescent="0.25">
      <c r="A810" s="2" t="s">
        <v>29</v>
      </c>
      <c r="B810" s="3" t="s">
        <v>5</v>
      </c>
      <c r="C810" s="3" t="s">
        <v>38</v>
      </c>
      <c r="D810" s="3">
        <v>356775</v>
      </c>
    </row>
    <row r="811" spans="1:4" x14ac:dyDescent="0.25">
      <c r="A811" s="5" t="s">
        <v>29</v>
      </c>
      <c r="B811" s="6" t="s">
        <v>5</v>
      </c>
      <c r="C811" s="6" t="s">
        <v>39</v>
      </c>
      <c r="D811" s="6">
        <v>372498.15625</v>
      </c>
    </row>
    <row r="812" spans="1:4" x14ac:dyDescent="0.25">
      <c r="A812" s="2" t="s">
        <v>29</v>
      </c>
      <c r="B812" s="3" t="s">
        <v>5</v>
      </c>
      <c r="C812" s="3" t="s">
        <v>40</v>
      </c>
      <c r="D812" s="3">
        <v>383503.59375</v>
      </c>
    </row>
    <row r="813" spans="1:4" x14ac:dyDescent="0.25">
      <c r="A813" s="5" t="s">
        <v>29</v>
      </c>
      <c r="B813" s="6" t="s">
        <v>5</v>
      </c>
      <c r="C813" s="6" t="s">
        <v>41</v>
      </c>
      <c r="D813" s="6">
        <v>382362.34375</v>
      </c>
    </row>
    <row r="814" spans="1:4" x14ac:dyDescent="0.25">
      <c r="A814" s="2" t="s">
        <v>29</v>
      </c>
      <c r="B814" s="3" t="s">
        <v>5</v>
      </c>
      <c r="C814" s="3" t="s">
        <v>42</v>
      </c>
      <c r="D814" s="3">
        <v>386054.25</v>
      </c>
    </row>
    <row r="815" spans="1:4" x14ac:dyDescent="0.25">
      <c r="A815" s="5" t="s">
        <v>29</v>
      </c>
      <c r="B815" s="6" t="s">
        <v>5</v>
      </c>
      <c r="C815" s="6" t="s">
        <v>43</v>
      </c>
      <c r="D815" s="6">
        <v>374816.15625</v>
      </c>
    </row>
    <row r="816" spans="1:4" x14ac:dyDescent="0.25">
      <c r="A816" s="2" t="s">
        <v>29</v>
      </c>
      <c r="B816" s="3" t="s">
        <v>5</v>
      </c>
      <c r="C816" s="3" t="s">
        <v>44</v>
      </c>
      <c r="D816" s="3">
        <v>367395.75</v>
      </c>
    </row>
    <row r="817" spans="1:4" x14ac:dyDescent="0.25">
      <c r="A817" s="5" t="s">
        <v>29</v>
      </c>
      <c r="B817" s="6" t="s">
        <v>5</v>
      </c>
      <c r="C817" s="6" t="s">
        <v>45</v>
      </c>
      <c r="D817" s="6">
        <v>381382.65625</v>
      </c>
    </row>
    <row r="818" spans="1:4" x14ac:dyDescent="0.25">
      <c r="A818" s="2" t="s">
        <v>29</v>
      </c>
      <c r="B818" s="3" t="s">
        <v>5</v>
      </c>
      <c r="C818" s="3" t="s">
        <v>46</v>
      </c>
      <c r="D818" s="3">
        <v>387340.21875</v>
      </c>
    </row>
    <row r="819" spans="1:4" x14ac:dyDescent="0.25">
      <c r="A819" s="5" t="s">
        <v>29</v>
      </c>
      <c r="B819" s="6" t="s">
        <v>5</v>
      </c>
      <c r="C819" s="6" t="s">
        <v>47</v>
      </c>
      <c r="D819" s="6">
        <v>383173.3125</v>
      </c>
    </row>
    <row r="820" spans="1:4" x14ac:dyDescent="0.25">
      <c r="A820" s="2" t="s">
        <v>29</v>
      </c>
      <c r="B820" s="3" t="s">
        <v>5</v>
      </c>
      <c r="C820" s="3" t="s">
        <v>48</v>
      </c>
      <c r="D820" s="3">
        <v>385217.78125</v>
      </c>
    </row>
    <row r="821" spans="1:4" x14ac:dyDescent="0.25">
      <c r="A821" s="5" t="s">
        <v>29</v>
      </c>
      <c r="B821" s="6" t="s">
        <v>5</v>
      </c>
      <c r="C821" s="6" t="s">
        <v>49</v>
      </c>
      <c r="D821" s="6">
        <v>369672.46875</v>
      </c>
    </row>
    <row r="822" spans="1:4" x14ac:dyDescent="0.25">
      <c r="A822" s="2" t="s">
        <v>29</v>
      </c>
      <c r="B822" s="3" t="s">
        <v>5</v>
      </c>
      <c r="C822" s="3" t="s">
        <v>50</v>
      </c>
      <c r="D822" s="3">
        <v>358927.53125</v>
      </c>
    </row>
    <row r="823" spans="1:4" x14ac:dyDescent="0.25">
      <c r="A823" s="5" t="s">
        <v>29</v>
      </c>
      <c r="B823" s="6" t="s">
        <v>5</v>
      </c>
      <c r="C823" s="6" t="s">
        <v>51</v>
      </c>
      <c r="D823" s="6">
        <v>374743.9375</v>
      </c>
    </row>
    <row r="824" spans="1:4" x14ac:dyDescent="0.25">
      <c r="A824" s="2" t="s">
        <v>29</v>
      </c>
      <c r="B824" s="3" t="s">
        <v>5</v>
      </c>
      <c r="C824" s="3" t="s">
        <v>52</v>
      </c>
      <c r="D824" s="3">
        <v>385812.5</v>
      </c>
    </row>
    <row r="825" spans="1:4" x14ac:dyDescent="0.25">
      <c r="A825" s="5" t="s">
        <v>29</v>
      </c>
      <c r="B825" s="6" t="s">
        <v>5</v>
      </c>
      <c r="C825" s="6" t="s">
        <v>53</v>
      </c>
      <c r="D825" s="6">
        <v>384662.46875</v>
      </c>
    </row>
    <row r="826" spans="1:4" x14ac:dyDescent="0.25">
      <c r="A826" s="2" t="s">
        <v>29</v>
      </c>
      <c r="B826" s="3" t="s">
        <v>5</v>
      </c>
      <c r="C826" s="3" t="s">
        <v>54</v>
      </c>
      <c r="D826" s="3">
        <v>388375.625</v>
      </c>
    </row>
    <row r="827" spans="1:4" x14ac:dyDescent="0.25">
      <c r="A827" s="2" t="s">
        <v>29</v>
      </c>
      <c r="B827" s="3" t="s">
        <v>5</v>
      </c>
      <c r="C827" s="3" t="s">
        <v>55</v>
      </c>
      <c r="D827" s="3">
        <v>20442.373046875</v>
      </c>
    </row>
    <row r="828" spans="1:4" x14ac:dyDescent="0.25">
      <c r="A828" s="2" t="s">
        <v>29</v>
      </c>
      <c r="B828" s="3" t="s">
        <v>5</v>
      </c>
      <c r="C828" s="3" t="s">
        <v>56</v>
      </c>
      <c r="D828" s="3">
        <v>20340.369140625</v>
      </c>
    </row>
    <row r="829" spans="1:4" x14ac:dyDescent="0.25">
      <c r="A829" s="2" t="s">
        <v>29</v>
      </c>
      <c r="B829" s="3" t="s">
        <v>5</v>
      </c>
      <c r="C829" s="3" t="s">
        <v>57</v>
      </c>
      <c r="D829" s="3">
        <v>23135.431640625</v>
      </c>
    </row>
    <row r="830" spans="1:4" x14ac:dyDescent="0.25">
      <c r="A830" s="2" t="s">
        <v>29</v>
      </c>
      <c r="B830" s="3" t="s">
        <v>5</v>
      </c>
      <c r="C830" s="3" t="s">
        <v>58</v>
      </c>
      <c r="D830" s="3">
        <v>20926.22265625</v>
      </c>
    </row>
    <row r="831" spans="1:4" x14ac:dyDescent="0.25">
      <c r="A831" s="2" t="s">
        <v>29</v>
      </c>
      <c r="B831" s="3" t="s">
        <v>5</v>
      </c>
      <c r="C831" s="3" t="s">
        <v>59</v>
      </c>
      <c r="D831" s="3">
        <v>20789.529296875</v>
      </c>
    </row>
    <row r="832" spans="1:4" x14ac:dyDescent="0.25">
      <c r="A832" s="2" t="s">
        <v>29</v>
      </c>
      <c r="B832" s="3" t="s">
        <v>5</v>
      </c>
      <c r="C832" s="3" t="s">
        <v>60</v>
      </c>
      <c r="D832" s="3">
        <v>21777.654296875</v>
      </c>
    </row>
    <row r="833" spans="1:4" x14ac:dyDescent="0.25">
      <c r="A833" s="2" t="s">
        <v>29</v>
      </c>
      <c r="B833" s="3" t="s">
        <v>5</v>
      </c>
      <c r="C833" s="3" t="s">
        <v>61</v>
      </c>
      <c r="D833" s="3">
        <v>24495.671875</v>
      </c>
    </row>
    <row r="834" spans="1:4" x14ac:dyDescent="0.25">
      <c r="A834" s="2" t="s">
        <v>29</v>
      </c>
      <c r="B834" s="3" t="s">
        <v>5</v>
      </c>
      <c r="C834" s="3" t="s">
        <v>62</v>
      </c>
      <c r="D834" s="3">
        <v>26066.765625</v>
      </c>
    </row>
    <row r="835" spans="1:4" x14ac:dyDescent="0.25">
      <c r="A835" s="2" t="s">
        <v>29</v>
      </c>
      <c r="B835" s="3" t="s">
        <v>5</v>
      </c>
      <c r="C835" s="3" t="s">
        <v>63</v>
      </c>
      <c r="D835" s="3">
        <v>22757.455078125</v>
      </c>
    </row>
    <row r="836" spans="1:4" x14ac:dyDescent="0.25">
      <c r="A836" s="2" t="s">
        <v>29</v>
      </c>
      <c r="B836" s="3" t="s">
        <v>5</v>
      </c>
      <c r="C836" s="3" t="s">
        <v>64</v>
      </c>
      <c r="D836" s="3">
        <v>22396.3359375</v>
      </c>
    </row>
    <row r="837" spans="1:4" x14ac:dyDescent="0.25">
      <c r="A837" s="2" t="s">
        <v>29</v>
      </c>
      <c r="B837" s="3" t="s">
        <v>5</v>
      </c>
      <c r="C837" s="3" t="s">
        <v>65</v>
      </c>
      <c r="D837" s="3">
        <v>23920.779296875</v>
      </c>
    </row>
    <row r="838" spans="1:4" x14ac:dyDescent="0.25">
      <c r="A838" s="2" t="s">
        <v>29</v>
      </c>
      <c r="B838" s="3" t="s">
        <v>5</v>
      </c>
      <c r="C838" s="3" t="s">
        <v>66</v>
      </c>
      <c r="D838" s="3">
        <v>26682.408203125</v>
      </c>
    </row>
    <row r="839" spans="1:4" x14ac:dyDescent="0.25">
      <c r="A839" s="5" t="s">
        <v>18</v>
      </c>
      <c r="B839" s="6" t="s">
        <v>5</v>
      </c>
      <c r="C839" s="6" t="s">
        <v>36</v>
      </c>
      <c r="D839" s="6">
        <v>4420537</v>
      </c>
    </row>
    <row r="840" spans="1:4" x14ac:dyDescent="0.25">
      <c r="A840" s="2" t="s">
        <v>18</v>
      </c>
      <c r="B840" s="3" t="s">
        <v>5</v>
      </c>
      <c r="C840" s="3" t="s">
        <v>37</v>
      </c>
      <c r="D840" s="3">
        <v>4244133.5</v>
      </c>
    </row>
    <row r="841" spans="1:4" x14ac:dyDescent="0.25">
      <c r="A841" s="5" t="s">
        <v>18</v>
      </c>
      <c r="B841" s="6" t="s">
        <v>5</v>
      </c>
      <c r="C841" s="6" t="s">
        <v>38</v>
      </c>
      <c r="D841" s="6">
        <v>4124237.75</v>
      </c>
    </row>
    <row r="842" spans="1:4" x14ac:dyDescent="0.25">
      <c r="A842" s="2" t="s">
        <v>18</v>
      </c>
      <c r="B842" s="3" t="s">
        <v>5</v>
      </c>
      <c r="C842" s="3" t="s">
        <v>39</v>
      </c>
      <c r="D842" s="3">
        <v>4304096</v>
      </c>
    </row>
    <row r="843" spans="1:4" x14ac:dyDescent="0.25">
      <c r="A843" s="5" t="s">
        <v>18</v>
      </c>
      <c r="B843" s="6" t="s">
        <v>5</v>
      </c>
      <c r="C843" s="6" t="s">
        <v>40</v>
      </c>
      <c r="D843" s="6">
        <v>4426449</v>
      </c>
    </row>
    <row r="844" spans="1:4" x14ac:dyDescent="0.25">
      <c r="A844" s="2" t="s">
        <v>18</v>
      </c>
      <c r="B844" s="3" t="s">
        <v>5</v>
      </c>
      <c r="C844" s="3" t="s">
        <v>41</v>
      </c>
      <c r="D844" s="3">
        <v>4410728</v>
      </c>
    </row>
    <row r="845" spans="1:4" x14ac:dyDescent="0.25">
      <c r="A845" s="5" t="s">
        <v>18</v>
      </c>
      <c r="B845" s="6" t="s">
        <v>5</v>
      </c>
      <c r="C845" s="6" t="s">
        <v>42</v>
      </c>
      <c r="D845" s="6">
        <v>4450925.5</v>
      </c>
    </row>
    <row r="846" spans="1:4" x14ac:dyDescent="0.25">
      <c r="A846" s="2" t="s">
        <v>18</v>
      </c>
      <c r="B846" s="3" t="s">
        <v>5</v>
      </c>
      <c r="C846" s="3" t="s">
        <v>43</v>
      </c>
      <c r="D846" s="3">
        <v>4331943</v>
      </c>
    </row>
    <row r="847" spans="1:4" x14ac:dyDescent="0.25">
      <c r="A847" s="5" t="s">
        <v>18</v>
      </c>
      <c r="B847" s="6" t="s">
        <v>5</v>
      </c>
      <c r="C847" s="6" t="s">
        <v>44</v>
      </c>
      <c r="D847" s="6">
        <v>4242672</v>
      </c>
    </row>
    <row r="848" spans="1:4" x14ac:dyDescent="0.25">
      <c r="A848" s="2" t="s">
        <v>18</v>
      </c>
      <c r="B848" s="3" t="s">
        <v>5</v>
      </c>
      <c r="C848" s="3" t="s">
        <v>45</v>
      </c>
      <c r="D848" s="3">
        <v>4406424.5</v>
      </c>
    </row>
    <row r="849" spans="1:4" x14ac:dyDescent="0.25">
      <c r="A849" s="5" t="s">
        <v>18</v>
      </c>
      <c r="B849" s="6" t="s">
        <v>5</v>
      </c>
      <c r="C849" s="6" t="s">
        <v>46</v>
      </c>
      <c r="D849" s="6">
        <v>4479671.5</v>
      </c>
    </row>
    <row r="850" spans="1:4" x14ac:dyDescent="0.25">
      <c r="A850" s="2" t="s">
        <v>18</v>
      </c>
      <c r="B850" s="3" t="s">
        <v>5</v>
      </c>
      <c r="C850" s="3" t="s">
        <v>47</v>
      </c>
      <c r="D850" s="3">
        <v>4434275.5</v>
      </c>
    </row>
    <row r="851" spans="1:4" x14ac:dyDescent="0.25">
      <c r="A851" s="5" t="s">
        <v>18</v>
      </c>
      <c r="B851" s="6" t="s">
        <v>5</v>
      </c>
      <c r="C851" s="6" t="s">
        <v>48</v>
      </c>
      <c r="D851" s="6">
        <v>4459162</v>
      </c>
    </row>
    <row r="852" spans="1:4" x14ac:dyDescent="0.25">
      <c r="A852" s="2" t="s">
        <v>18</v>
      </c>
      <c r="B852" s="3" t="s">
        <v>5</v>
      </c>
      <c r="C852" s="3" t="s">
        <v>49</v>
      </c>
      <c r="D852" s="3">
        <v>4281287.5</v>
      </c>
    </row>
    <row r="853" spans="1:4" x14ac:dyDescent="0.25">
      <c r="A853" s="5" t="s">
        <v>18</v>
      </c>
      <c r="B853" s="6" t="s">
        <v>5</v>
      </c>
      <c r="C853" s="6" t="s">
        <v>50</v>
      </c>
      <c r="D853" s="6">
        <v>4160437</v>
      </c>
    </row>
    <row r="854" spans="1:4" x14ac:dyDescent="0.25">
      <c r="A854" s="2" t="s">
        <v>18</v>
      </c>
      <c r="B854" s="3" t="s">
        <v>5</v>
      </c>
      <c r="C854" s="3" t="s">
        <v>51</v>
      </c>
      <c r="D854" s="3">
        <v>4341804.5</v>
      </c>
    </row>
    <row r="855" spans="1:4" x14ac:dyDescent="0.25">
      <c r="A855" s="5" t="s">
        <v>18</v>
      </c>
      <c r="B855" s="6" t="s">
        <v>5</v>
      </c>
      <c r="C855" s="6" t="s">
        <v>52</v>
      </c>
      <c r="D855" s="6">
        <v>4465075</v>
      </c>
    </row>
    <row r="856" spans="1:4" x14ac:dyDescent="0.25">
      <c r="A856" s="2" t="s">
        <v>18</v>
      </c>
      <c r="B856" s="3" t="s">
        <v>5</v>
      </c>
      <c r="C856" s="3" t="s">
        <v>53</v>
      </c>
      <c r="D856" s="3">
        <v>4449127</v>
      </c>
    </row>
    <row r="857" spans="1:4" x14ac:dyDescent="0.25">
      <c r="A857" s="5" t="s">
        <v>18</v>
      </c>
      <c r="B857" s="6" t="s">
        <v>5</v>
      </c>
      <c r="C857" s="6" t="s">
        <v>54</v>
      </c>
      <c r="D857" s="6">
        <v>4489630.5</v>
      </c>
    </row>
    <row r="858" spans="1:4" x14ac:dyDescent="0.25">
      <c r="A858" s="2" t="s">
        <v>18</v>
      </c>
      <c r="B858" s="3" t="s">
        <v>5</v>
      </c>
      <c r="C858" s="3" t="s">
        <v>55</v>
      </c>
      <c r="D858" s="3">
        <v>26148366</v>
      </c>
    </row>
    <row r="859" spans="1:4" x14ac:dyDescent="0.25">
      <c r="A859" s="2" t="s">
        <v>18</v>
      </c>
      <c r="B859" s="3" t="s">
        <v>5</v>
      </c>
      <c r="C859" s="3" t="s">
        <v>56</v>
      </c>
      <c r="D859" s="3">
        <v>26018800</v>
      </c>
    </row>
    <row r="860" spans="1:4" x14ac:dyDescent="0.25">
      <c r="A860" s="2" t="s">
        <v>18</v>
      </c>
      <c r="B860" s="3" t="s">
        <v>5</v>
      </c>
      <c r="C860" s="3" t="s">
        <v>57</v>
      </c>
      <c r="D860" s="3">
        <v>29597700</v>
      </c>
    </row>
    <row r="861" spans="1:4" x14ac:dyDescent="0.25">
      <c r="A861" s="2" t="s">
        <v>18</v>
      </c>
      <c r="B861" s="3" t="s">
        <v>5</v>
      </c>
      <c r="C861" s="3" t="s">
        <v>58</v>
      </c>
      <c r="D861" s="3">
        <v>26771698</v>
      </c>
    </row>
    <row r="862" spans="1:4" x14ac:dyDescent="0.25">
      <c r="A862" s="2" t="s">
        <v>18</v>
      </c>
      <c r="B862" s="3" t="s">
        <v>5</v>
      </c>
      <c r="C862" s="3" t="s">
        <v>59</v>
      </c>
      <c r="D862" s="3">
        <v>26596606</v>
      </c>
    </row>
    <row r="863" spans="1:4" x14ac:dyDescent="0.25">
      <c r="A863" s="2" t="s">
        <v>18</v>
      </c>
      <c r="B863" s="3" t="s">
        <v>5</v>
      </c>
      <c r="C863" s="3" t="s">
        <v>60</v>
      </c>
      <c r="D863" s="3">
        <v>27860776</v>
      </c>
    </row>
    <row r="864" spans="1:4" x14ac:dyDescent="0.25">
      <c r="A864" s="2" t="s">
        <v>18</v>
      </c>
      <c r="B864" s="3" t="s">
        <v>5</v>
      </c>
      <c r="C864" s="3" t="s">
        <v>61</v>
      </c>
      <c r="D864" s="3">
        <v>31338120</v>
      </c>
    </row>
    <row r="865" spans="1:4" x14ac:dyDescent="0.25">
      <c r="A865" s="2" t="s">
        <v>18</v>
      </c>
      <c r="B865" s="3" t="s">
        <v>5</v>
      </c>
      <c r="C865" s="3" t="s">
        <v>62</v>
      </c>
      <c r="D865" s="3">
        <v>33348192</v>
      </c>
    </row>
    <row r="866" spans="1:4" x14ac:dyDescent="0.25">
      <c r="A866" s="2" t="s">
        <v>18</v>
      </c>
      <c r="B866" s="3" t="s">
        <v>5</v>
      </c>
      <c r="C866" s="3" t="s">
        <v>63</v>
      </c>
      <c r="D866" s="3">
        <v>29114440</v>
      </c>
    </row>
    <row r="867" spans="1:4" x14ac:dyDescent="0.25">
      <c r="A867" s="2" t="s">
        <v>18</v>
      </c>
      <c r="B867" s="3" t="s">
        <v>5</v>
      </c>
      <c r="C867" s="3" t="s">
        <v>64</v>
      </c>
      <c r="D867" s="3">
        <v>28652198</v>
      </c>
    </row>
    <row r="868" spans="1:4" x14ac:dyDescent="0.25">
      <c r="A868" s="2" t="s">
        <v>18</v>
      </c>
      <c r="B868" s="3" t="s">
        <v>5</v>
      </c>
      <c r="C868" s="3" t="s">
        <v>65</v>
      </c>
      <c r="D868" s="3">
        <v>30602730</v>
      </c>
    </row>
    <row r="869" spans="1:4" x14ac:dyDescent="0.25">
      <c r="A869" s="2" t="s">
        <v>18</v>
      </c>
      <c r="B869" s="3" t="s">
        <v>5</v>
      </c>
      <c r="C869" s="3" t="s">
        <v>66</v>
      </c>
      <c r="D869" s="3">
        <v>34136104</v>
      </c>
    </row>
    <row r="870" spans="1:4" x14ac:dyDescent="0.25">
      <c r="A870" s="5" t="s">
        <v>6</v>
      </c>
      <c r="B870" s="6" t="s">
        <v>5</v>
      </c>
      <c r="C870" s="6" t="s">
        <v>36</v>
      </c>
      <c r="D870" s="6">
        <v>4874331</v>
      </c>
    </row>
    <row r="871" spans="1:4" x14ac:dyDescent="0.25">
      <c r="A871" s="2" t="s">
        <v>6</v>
      </c>
      <c r="B871" s="3" t="s">
        <v>5</v>
      </c>
      <c r="C871" s="3" t="s">
        <v>37</v>
      </c>
      <c r="D871" s="3">
        <v>4680817</v>
      </c>
    </row>
    <row r="872" spans="1:4" x14ac:dyDescent="0.25">
      <c r="A872" s="5" t="s">
        <v>6</v>
      </c>
      <c r="B872" s="6" t="s">
        <v>5</v>
      </c>
      <c r="C872" s="6" t="s">
        <v>38</v>
      </c>
      <c r="D872" s="6">
        <v>4549873.5</v>
      </c>
    </row>
    <row r="873" spans="1:4" x14ac:dyDescent="0.25">
      <c r="A873" s="2" t="s">
        <v>6</v>
      </c>
      <c r="B873" s="3" t="s">
        <v>5</v>
      </c>
      <c r="C873" s="3" t="s">
        <v>39</v>
      </c>
      <c r="D873" s="3">
        <v>4747376.5</v>
      </c>
    </row>
    <row r="874" spans="1:4" x14ac:dyDescent="0.25">
      <c r="A874" s="5" t="s">
        <v>6</v>
      </c>
      <c r="B874" s="6" t="s">
        <v>5</v>
      </c>
      <c r="C874" s="6" t="s">
        <v>40</v>
      </c>
      <c r="D874" s="6">
        <v>4880097</v>
      </c>
    </row>
    <row r="875" spans="1:4" x14ac:dyDescent="0.25">
      <c r="A875" s="2" t="s">
        <v>6</v>
      </c>
      <c r="B875" s="3" t="s">
        <v>5</v>
      </c>
      <c r="C875" s="3" t="s">
        <v>41</v>
      </c>
      <c r="D875" s="3">
        <v>4861485</v>
      </c>
    </row>
    <row r="876" spans="1:4" x14ac:dyDescent="0.25">
      <c r="A876" s="5" t="s">
        <v>6</v>
      </c>
      <c r="B876" s="6" t="s">
        <v>5</v>
      </c>
      <c r="C876" s="6" t="s">
        <v>42</v>
      </c>
      <c r="D876" s="6">
        <v>4905261.5</v>
      </c>
    </row>
    <row r="877" spans="1:4" x14ac:dyDescent="0.25">
      <c r="A877" s="2" t="s">
        <v>6</v>
      </c>
      <c r="B877" s="3" t="s">
        <v>5</v>
      </c>
      <c r="C877" s="3" t="s">
        <v>43</v>
      </c>
      <c r="D877" s="3">
        <v>4569561.5</v>
      </c>
    </row>
    <row r="878" spans="1:4" x14ac:dyDescent="0.25">
      <c r="A878" s="5" t="s">
        <v>6</v>
      </c>
      <c r="B878" s="6" t="s">
        <v>5</v>
      </c>
      <c r="C878" s="6" t="s">
        <v>44</v>
      </c>
      <c r="D878" s="6">
        <v>4474275</v>
      </c>
    </row>
    <row r="879" spans="1:4" x14ac:dyDescent="0.25">
      <c r="A879" s="2" t="s">
        <v>6</v>
      </c>
      <c r="B879" s="3" t="s">
        <v>5</v>
      </c>
      <c r="C879" s="3" t="s">
        <v>45</v>
      </c>
      <c r="D879" s="3">
        <v>4647667.5</v>
      </c>
    </row>
    <row r="880" spans="1:4" x14ac:dyDescent="0.25">
      <c r="A880" s="5" t="s">
        <v>6</v>
      </c>
      <c r="B880" s="6" t="s">
        <v>5</v>
      </c>
      <c r="C880" s="6" t="s">
        <v>46</v>
      </c>
      <c r="D880" s="6">
        <v>4726618.5</v>
      </c>
    </row>
    <row r="881" spans="1:4" x14ac:dyDescent="0.25">
      <c r="A881" s="2" t="s">
        <v>6</v>
      </c>
      <c r="B881" s="3" t="s">
        <v>5</v>
      </c>
      <c r="C881" s="3" t="s">
        <v>47</v>
      </c>
      <c r="D881" s="3">
        <v>4679663.5</v>
      </c>
    </row>
    <row r="882" spans="1:4" x14ac:dyDescent="0.25">
      <c r="A882" s="5" t="s">
        <v>6</v>
      </c>
      <c r="B882" s="6" t="s">
        <v>5</v>
      </c>
      <c r="C882" s="6" t="s">
        <v>48</v>
      </c>
      <c r="D882" s="6">
        <v>4706519</v>
      </c>
    </row>
    <row r="883" spans="1:4" x14ac:dyDescent="0.25">
      <c r="A883" s="2" t="s">
        <v>6</v>
      </c>
      <c r="B883" s="3" t="s">
        <v>5</v>
      </c>
      <c r="C883" s="3" t="s">
        <v>49</v>
      </c>
      <c r="D883" s="3">
        <v>4519545</v>
      </c>
    </row>
    <row r="884" spans="1:4" x14ac:dyDescent="0.25">
      <c r="A884" s="5" t="s">
        <v>6</v>
      </c>
      <c r="B884" s="6" t="s">
        <v>5</v>
      </c>
      <c r="C884" s="6" t="s">
        <v>50</v>
      </c>
      <c r="D884" s="6">
        <v>4392934.5</v>
      </c>
    </row>
    <row r="885" spans="1:4" x14ac:dyDescent="0.25">
      <c r="A885" s="2" t="s">
        <v>6</v>
      </c>
      <c r="B885" s="3" t="s">
        <v>5</v>
      </c>
      <c r="C885" s="3" t="s">
        <v>51</v>
      </c>
      <c r="D885" s="3">
        <v>4583742</v>
      </c>
    </row>
    <row r="886" spans="1:4" x14ac:dyDescent="0.25">
      <c r="A886" s="5" t="s">
        <v>6</v>
      </c>
      <c r="B886" s="6" t="s">
        <v>5</v>
      </c>
      <c r="C886" s="6" t="s">
        <v>52</v>
      </c>
      <c r="D886" s="6">
        <v>4712168</v>
      </c>
    </row>
    <row r="887" spans="1:4" x14ac:dyDescent="0.25">
      <c r="A887" s="2" t="s">
        <v>6</v>
      </c>
      <c r="B887" s="3" t="s">
        <v>5</v>
      </c>
      <c r="C887" s="3" t="s">
        <v>53</v>
      </c>
      <c r="D887" s="3">
        <v>4694355.5</v>
      </c>
    </row>
    <row r="888" spans="1:4" x14ac:dyDescent="0.25">
      <c r="A888" s="5" t="s">
        <v>6</v>
      </c>
      <c r="B888" s="6" t="s">
        <v>5</v>
      </c>
      <c r="C888" s="6" t="s">
        <v>54</v>
      </c>
      <c r="D888" s="6">
        <v>4736716</v>
      </c>
    </row>
    <row r="889" spans="1:4" x14ac:dyDescent="0.25">
      <c r="A889" s="5" t="s">
        <v>6</v>
      </c>
      <c r="B889" s="6" t="s">
        <v>5</v>
      </c>
      <c r="C889" s="6" t="s">
        <v>55</v>
      </c>
      <c r="D889" s="6">
        <v>4244101</v>
      </c>
    </row>
    <row r="890" spans="1:4" x14ac:dyDescent="0.25">
      <c r="A890" s="5" t="s">
        <v>6</v>
      </c>
      <c r="B890" s="6" t="s">
        <v>5</v>
      </c>
      <c r="C890" s="6" t="s">
        <v>56</v>
      </c>
      <c r="D890" s="6">
        <v>4223070.5</v>
      </c>
    </row>
    <row r="891" spans="1:4" x14ac:dyDescent="0.25">
      <c r="A891" s="5" t="s">
        <v>6</v>
      </c>
      <c r="B891" s="6" t="s">
        <v>5</v>
      </c>
      <c r="C891" s="6" t="s">
        <v>57</v>
      </c>
      <c r="D891" s="6">
        <v>4803956</v>
      </c>
    </row>
    <row r="892" spans="1:4" x14ac:dyDescent="0.25">
      <c r="A892" s="5" t="s">
        <v>6</v>
      </c>
      <c r="B892" s="6" t="s">
        <v>5</v>
      </c>
      <c r="C892" s="6" t="s">
        <v>58</v>
      </c>
      <c r="D892" s="6">
        <v>4345272</v>
      </c>
    </row>
    <row r="893" spans="1:4" x14ac:dyDescent="0.25">
      <c r="A893" s="5" t="s">
        <v>6</v>
      </c>
      <c r="B893" s="6" t="s">
        <v>5</v>
      </c>
      <c r="C893" s="6" t="s">
        <v>59</v>
      </c>
      <c r="D893" s="6">
        <v>4316853.5</v>
      </c>
    </row>
    <row r="894" spans="1:4" x14ac:dyDescent="0.25">
      <c r="A894" s="5" t="s">
        <v>6</v>
      </c>
      <c r="B894" s="6" t="s">
        <v>5</v>
      </c>
      <c r="C894" s="6" t="s">
        <v>60</v>
      </c>
      <c r="D894" s="6">
        <v>4522038.5</v>
      </c>
    </row>
    <row r="895" spans="1:4" x14ac:dyDescent="0.25">
      <c r="A895" s="5" t="s">
        <v>6</v>
      </c>
      <c r="B895" s="6" t="s">
        <v>5</v>
      </c>
      <c r="C895" s="6" t="s">
        <v>61</v>
      </c>
      <c r="D895" s="6">
        <v>5086440.5</v>
      </c>
    </row>
    <row r="896" spans="1:4" x14ac:dyDescent="0.25">
      <c r="A896" s="5" t="s">
        <v>6</v>
      </c>
      <c r="B896" s="6" t="s">
        <v>5</v>
      </c>
      <c r="C896" s="6" t="s">
        <v>62</v>
      </c>
      <c r="D896" s="6">
        <v>5412692</v>
      </c>
    </row>
    <row r="897" spans="1:4" x14ac:dyDescent="0.25">
      <c r="A897" s="5" t="s">
        <v>6</v>
      </c>
      <c r="B897" s="6" t="s">
        <v>5</v>
      </c>
      <c r="C897" s="6" t="s">
        <v>63</v>
      </c>
      <c r="D897" s="6">
        <v>4725519.5</v>
      </c>
    </row>
    <row r="898" spans="1:4" x14ac:dyDescent="0.25">
      <c r="A898" s="5" t="s">
        <v>6</v>
      </c>
      <c r="B898" s="6" t="s">
        <v>5</v>
      </c>
      <c r="C898" s="6" t="s">
        <v>64</v>
      </c>
      <c r="D898" s="6">
        <v>4650493</v>
      </c>
    </row>
    <row r="899" spans="1:4" x14ac:dyDescent="0.25">
      <c r="A899" s="5" t="s">
        <v>6</v>
      </c>
      <c r="B899" s="6" t="s">
        <v>5</v>
      </c>
      <c r="C899" s="6" t="s">
        <v>65</v>
      </c>
      <c r="D899" s="6">
        <v>4967082</v>
      </c>
    </row>
    <row r="900" spans="1:4" x14ac:dyDescent="0.25">
      <c r="A900" s="5" t="s">
        <v>6</v>
      </c>
      <c r="B900" s="6" t="s">
        <v>5</v>
      </c>
      <c r="C900" s="6" t="s">
        <v>66</v>
      </c>
      <c r="D900" s="6">
        <v>5540577.5</v>
      </c>
    </row>
    <row r="901" spans="1:4" x14ac:dyDescent="0.25">
      <c r="A901" s="2" t="s">
        <v>23</v>
      </c>
      <c r="B901" s="3" t="s">
        <v>5</v>
      </c>
      <c r="C901" s="3" t="s">
        <v>36</v>
      </c>
      <c r="D901" s="3">
        <v>6133471</v>
      </c>
    </row>
    <row r="902" spans="1:4" x14ac:dyDescent="0.25">
      <c r="A902" s="5" t="s">
        <v>23</v>
      </c>
      <c r="B902" s="6" t="s">
        <v>5</v>
      </c>
      <c r="C902" s="6" t="s">
        <v>37</v>
      </c>
      <c r="D902" s="6">
        <v>5884488.5</v>
      </c>
    </row>
    <row r="903" spans="1:4" x14ac:dyDescent="0.25">
      <c r="A903" s="2" t="s">
        <v>23</v>
      </c>
      <c r="B903" s="3" t="s">
        <v>5</v>
      </c>
      <c r="C903" s="3" t="s">
        <v>38</v>
      </c>
      <c r="D903" s="3">
        <v>5712442.5</v>
      </c>
    </row>
    <row r="904" spans="1:4" x14ac:dyDescent="0.25">
      <c r="A904" s="5" t="s">
        <v>23</v>
      </c>
      <c r="B904" s="6" t="s">
        <v>5</v>
      </c>
      <c r="C904" s="6" t="s">
        <v>39</v>
      </c>
      <c r="D904" s="6">
        <v>5965916</v>
      </c>
    </row>
    <row r="905" spans="1:4" x14ac:dyDescent="0.25">
      <c r="A905" s="2" t="s">
        <v>23</v>
      </c>
      <c r="B905" s="3" t="s">
        <v>5</v>
      </c>
      <c r="C905" s="3" t="s">
        <v>40</v>
      </c>
      <c r="D905" s="3">
        <v>6144537.5</v>
      </c>
    </row>
    <row r="906" spans="1:4" x14ac:dyDescent="0.25">
      <c r="A906" s="5" t="s">
        <v>23</v>
      </c>
      <c r="B906" s="6" t="s">
        <v>5</v>
      </c>
      <c r="C906" s="6" t="s">
        <v>41</v>
      </c>
      <c r="D906" s="6">
        <v>6127921.5</v>
      </c>
    </row>
    <row r="907" spans="1:4" x14ac:dyDescent="0.25">
      <c r="A907" s="2" t="s">
        <v>23</v>
      </c>
      <c r="B907" s="3" t="s">
        <v>5</v>
      </c>
      <c r="C907" s="3" t="s">
        <v>42</v>
      </c>
      <c r="D907" s="3">
        <v>6187032.5</v>
      </c>
    </row>
    <row r="908" spans="1:4" x14ac:dyDescent="0.25">
      <c r="A908" s="5" t="s">
        <v>23</v>
      </c>
      <c r="B908" s="6" t="s">
        <v>5</v>
      </c>
      <c r="C908" s="6" t="s">
        <v>43</v>
      </c>
      <c r="D908" s="6">
        <v>5994895</v>
      </c>
    </row>
    <row r="909" spans="1:4" x14ac:dyDescent="0.25">
      <c r="A909" s="2" t="s">
        <v>23</v>
      </c>
      <c r="B909" s="3" t="s">
        <v>5</v>
      </c>
      <c r="C909" s="3" t="s">
        <v>44</v>
      </c>
      <c r="D909" s="3">
        <v>5877171.5</v>
      </c>
    </row>
    <row r="910" spans="1:4" x14ac:dyDescent="0.25">
      <c r="A910" s="5" t="s">
        <v>23</v>
      </c>
      <c r="B910" s="6" t="s">
        <v>5</v>
      </c>
      <c r="C910" s="6" t="s">
        <v>45</v>
      </c>
      <c r="D910" s="6">
        <v>6100014.5</v>
      </c>
    </row>
    <row r="911" spans="1:4" x14ac:dyDescent="0.25">
      <c r="A911" s="2" t="s">
        <v>23</v>
      </c>
      <c r="B911" s="3" t="s">
        <v>5</v>
      </c>
      <c r="C911" s="3" t="s">
        <v>46</v>
      </c>
      <c r="D911" s="3">
        <v>6192560.5</v>
      </c>
    </row>
    <row r="912" spans="1:4" x14ac:dyDescent="0.25">
      <c r="A912" s="5" t="s">
        <v>23</v>
      </c>
      <c r="B912" s="6" t="s">
        <v>5</v>
      </c>
      <c r="C912" s="6" t="s">
        <v>47</v>
      </c>
      <c r="D912" s="6">
        <v>6124359</v>
      </c>
    </row>
    <row r="913" spans="1:4" x14ac:dyDescent="0.25">
      <c r="A913" s="2" t="s">
        <v>23</v>
      </c>
      <c r="B913" s="3" t="s">
        <v>5</v>
      </c>
      <c r="C913" s="3" t="s">
        <v>48</v>
      </c>
      <c r="D913" s="3">
        <v>6155972.5</v>
      </c>
    </row>
    <row r="914" spans="1:4" x14ac:dyDescent="0.25">
      <c r="A914" s="5" t="s">
        <v>23</v>
      </c>
      <c r="B914" s="6" t="s">
        <v>5</v>
      </c>
      <c r="C914" s="6" t="s">
        <v>49</v>
      </c>
      <c r="D914" s="6">
        <v>5906194</v>
      </c>
    </row>
    <row r="915" spans="1:4" x14ac:dyDescent="0.25">
      <c r="A915" s="2" t="s">
        <v>23</v>
      </c>
      <c r="B915" s="3" t="s">
        <v>5</v>
      </c>
      <c r="C915" s="3" t="s">
        <v>50</v>
      </c>
      <c r="D915" s="3">
        <v>5733666</v>
      </c>
    </row>
    <row r="916" spans="1:4" x14ac:dyDescent="0.25">
      <c r="A916" s="5" t="s">
        <v>23</v>
      </c>
      <c r="B916" s="6" t="s">
        <v>5</v>
      </c>
      <c r="C916" s="6" t="s">
        <v>51</v>
      </c>
      <c r="D916" s="6">
        <v>5987961</v>
      </c>
    </row>
    <row r="917" spans="1:4" x14ac:dyDescent="0.25">
      <c r="A917" s="2" t="s">
        <v>23</v>
      </c>
      <c r="B917" s="3" t="s">
        <v>5</v>
      </c>
      <c r="C917" s="3" t="s">
        <v>52</v>
      </c>
      <c r="D917" s="3">
        <v>6166993</v>
      </c>
    </row>
    <row r="918" spans="1:4" x14ac:dyDescent="0.25">
      <c r="A918" s="5" t="s">
        <v>23</v>
      </c>
      <c r="B918" s="6" t="s">
        <v>5</v>
      </c>
      <c r="C918" s="6" t="s">
        <v>53</v>
      </c>
      <c r="D918" s="6">
        <v>6150170</v>
      </c>
    </row>
    <row r="919" spans="1:4" x14ac:dyDescent="0.25">
      <c r="A919" s="2" t="s">
        <v>23</v>
      </c>
      <c r="B919" s="3" t="s">
        <v>5</v>
      </c>
      <c r="C919" s="3" t="s">
        <v>54</v>
      </c>
      <c r="D919" s="3">
        <v>6209421</v>
      </c>
    </row>
    <row r="920" spans="1:4" x14ac:dyDescent="0.25">
      <c r="A920" s="5" t="s">
        <v>23</v>
      </c>
      <c r="B920" s="6" t="s">
        <v>5</v>
      </c>
      <c r="C920" s="6" t="s">
        <v>55</v>
      </c>
      <c r="D920" s="6">
        <v>13809280</v>
      </c>
    </row>
    <row r="921" spans="1:4" x14ac:dyDescent="0.25">
      <c r="A921" s="5" t="s">
        <v>23</v>
      </c>
      <c r="B921" s="6" t="s">
        <v>5</v>
      </c>
      <c r="C921" s="6" t="s">
        <v>56</v>
      </c>
      <c r="D921" s="6">
        <v>13740853</v>
      </c>
    </row>
    <row r="922" spans="1:4" x14ac:dyDescent="0.25">
      <c r="A922" s="5" t="s">
        <v>23</v>
      </c>
      <c r="B922" s="6" t="s">
        <v>5</v>
      </c>
      <c r="C922" s="6" t="s">
        <v>57</v>
      </c>
      <c r="D922" s="6">
        <v>15630914</v>
      </c>
    </row>
    <row r="923" spans="1:4" x14ac:dyDescent="0.25">
      <c r="A923" s="5" t="s">
        <v>23</v>
      </c>
      <c r="B923" s="6" t="s">
        <v>5</v>
      </c>
      <c r="C923" s="6" t="s">
        <v>58</v>
      </c>
      <c r="D923" s="6">
        <v>14138469</v>
      </c>
    </row>
    <row r="924" spans="1:4" x14ac:dyDescent="0.25">
      <c r="A924" s="5" t="s">
        <v>23</v>
      </c>
      <c r="B924" s="6" t="s">
        <v>5</v>
      </c>
      <c r="C924" s="6" t="s">
        <v>59</v>
      </c>
      <c r="D924" s="6">
        <v>14046000</v>
      </c>
    </row>
    <row r="925" spans="1:4" x14ac:dyDescent="0.25">
      <c r="A925" s="5" t="s">
        <v>23</v>
      </c>
      <c r="B925" s="6" t="s">
        <v>5</v>
      </c>
      <c r="C925" s="6" t="s">
        <v>60</v>
      </c>
      <c r="D925" s="6">
        <v>14713624</v>
      </c>
    </row>
    <row r="926" spans="1:4" x14ac:dyDescent="0.25">
      <c r="A926" s="5" t="s">
        <v>23</v>
      </c>
      <c r="B926" s="6" t="s">
        <v>5</v>
      </c>
      <c r="C926" s="6" t="s">
        <v>61</v>
      </c>
      <c r="D926" s="6">
        <v>16550055</v>
      </c>
    </row>
    <row r="927" spans="1:4" x14ac:dyDescent="0.25">
      <c r="A927" s="5" t="s">
        <v>23</v>
      </c>
      <c r="B927" s="6" t="s">
        <v>5</v>
      </c>
      <c r="C927" s="6" t="s">
        <v>62</v>
      </c>
      <c r="D927" s="6">
        <v>17611594</v>
      </c>
    </row>
    <row r="928" spans="1:4" x14ac:dyDescent="0.25">
      <c r="A928" s="5" t="s">
        <v>23</v>
      </c>
      <c r="B928" s="6" t="s">
        <v>5</v>
      </c>
      <c r="C928" s="6" t="s">
        <v>63</v>
      </c>
      <c r="D928" s="6">
        <v>15375700</v>
      </c>
    </row>
    <row r="929" spans="1:4" x14ac:dyDescent="0.25">
      <c r="A929" s="5" t="s">
        <v>23</v>
      </c>
      <c r="B929" s="6" t="s">
        <v>5</v>
      </c>
      <c r="C929" s="6" t="s">
        <v>64</v>
      </c>
      <c r="D929" s="6">
        <v>15131582</v>
      </c>
    </row>
    <row r="930" spans="1:4" x14ac:dyDescent="0.25">
      <c r="A930" s="5" t="s">
        <v>23</v>
      </c>
      <c r="B930" s="6" t="s">
        <v>5</v>
      </c>
      <c r="C930" s="6" t="s">
        <v>65</v>
      </c>
      <c r="D930" s="6">
        <v>16161683</v>
      </c>
    </row>
    <row r="931" spans="1:4" x14ac:dyDescent="0.25">
      <c r="A931" s="5" t="s">
        <v>23</v>
      </c>
      <c r="B931" s="6" t="s">
        <v>5</v>
      </c>
      <c r="C931" s="6" t="s">
        <v>66</v>
      </c>
      <c r="D931" s="6">
        <v>18027704</v>
      </c>
    </row>
    <row r="932" spans="1:4" x14ac:dyDescent="0.25">
      <c r="A932" s="5" t="s">
        <v>32</v>
      </c>
      <c r="B932" s="6" t="s">
        <v>5</v>
      </c>
      <c r="C932" s="6" t="s">
        <v>36</v>
      </c>
      <c r="D932" s="6">
        <v>3272053</v>
      </c>
    </row>
    <row r="933" spans="1:4" x14ac:dyDescent="0.25">
      <c r="A933" s="2" t="s">
        <v>32</v>
      </c>
      <c r="B933" s="3" t="s">
        <v>5</v>
      </c>
      <c r="C933" s="3" t="s">
        <v>37</v>
      </c>
      <c r="D933" s="3">
        <v>3140682.5</v>
      </c>
    </row>
    <row r="934" spans="1:4" x14ac:dyDescent="0.25">
      <c r="A934" s="5" t="s">
        <v>32</v>
      </c>
      <c r="B934" s="6" t="s">
        <v>5</v>
      </c>
      <c r="C934" s="6" t="s">
        <v>38</v>
      </c>
      <c r="D934" s="6">
        <v>3050764.75</v>
      </c>
    </row>
    <row r="935" spans="1:4" x14ac:dyDescent="0.25">
      <c r="A935" s="2" t="s">
        <v>32</v>
      </c>
      <c r="B935" s="3" t="s">
        <v>5</v>
      </c>
      <c r="C935" s="3" t="s">
        <v>39</v>
      </c>
      <c r="D935" s="3">
        <v>3184649.5</v>
      </c>
    </row>
    <row r="936" spans="1:4" x14ac:dyDescent="0.25">
      <c r="A936" s="5" t="s">
        <v>32</v>
      </c>
      <c r="B936" s="6" t="s">
        <v>5</v>
      </c>
      <c r="C936" s="6" t="s">
        <v>40</v>
      </c>
      <c r="D936" s="6">
        <v>3276883.5</v>
      </c>
    </row>
    <row r="937" spans="1:4" x14ac:dyDescent="0.25">
      <c r="A937" s="2" t="s">
        <v>32</v>
      </c>
      <c r="B937" s="3" t="s">
        <v>5</v>
      </c>
      <c r="C937" s="3" t="s">
        <v>41</v>
      </c>
      <c r="D937" s="3">
        <v>3266199.25</v>
      </c>
    </row>
    <row r="938" spans="1:4" x14ac:dyDescent="0.25">
      <c r="A938" s="5" t="s">
        <v>32</v>
      </c>
      <c r="B938" s="6" t="s">
        <v>5</v>
      </c>
      <c r="C938" s="6" t="s">
        <v>42</v>
      </c>
      <c r="D938" s="6">
        <v>3296792.5</v>
      </c>
    </row>
    <row r="939" spans="1:4" x14ac:dyDescent="0.25">
      <c r="A939" s="2" t="s">
        <v>32</v>
      </c>
      <c r="B939" s="3" t="s">
        <v>5</v>
      </c>
      <c r="C939" s="3" t="s">
        <v>43</v>
      </c>
      <c r="D939" s="3">
        <v>3212831.25</v>
      </c>
    </row>
    <row r="940" spans="1:4" x14ac:dyDescent="0.25">
      <c r="A940" s="5" t="s">
        <v>32</v>
      </c>
      <c r="B940" s="6" t="s">
        <v>5</v>
      </c>
      <c r="C940" s="6" t="s">
        <v>44</v>
      </c>
      <c r="D940" s="6">
        <v>3147745</v>
      </c>
    </row>
    <row r="941" spans="1:4" x14ac:dyDescent="0.25">
      <c r="A941" s="2" t="s">
        <v>32</v>
      </c>
      <c r="B941" s="3" t="s">
        <v>5</v>
      </c>
      <c r="C941" s="3" t="s">
        <v>45</v>
      </c>
      <c r="D941" s="3">
        <v>3268444</v>
      </c>
    </row>
    <row r="942" spans="1:4" x14ac:dyDescent="0.25">
      <c r="A942" s="5" t="s">
        <v>32</v>
      </c>
      <c r="B942" s="6" t="s">
        <v>5</v>
      </c>
      <c r="C942" s="6" t="s">
        <v>46</v>
      </c>
      <c r="D942" s="6">
        <v>3321187</v>
      </c>
    </row>
    <row r="943" spans="1:4" x14ac:dyDescent="0.25">
      <c r="A943" s="2" t="s">
        <v>32</v>
      </c>
      <c r="B943" s="3" t="s">
        <v>5</v>
      </c>
      <c r="C943" s="3" t="s">
        <v>47</v>
      </c>
      <c r="D943" s="3">
        <v>3286459.5</v>
      </c>
    </row>
    <row r="944" spans="1:4" x14ac:dyDescent="0.25">
      <c r="A944" s="5" t="s">
        <v>32</v>
      </c>
      <c r="B944" s="6" t="s">
        <v>5</v>
      </c>
      <c r="C944" s="6" t="s">
        <v>48</v>
      </c>
      <c r="D944" s="6">
        <v>3304466.25</v>
      </c>
    </row>
    <row r="945" spans="1:4" x14ac:dyDescent="0.25">
      <c r="A945" s="2" t="s">
        <v>32</v>
      </c>
      <c r="B945" s="3" t="s">
        <v>5</v>
      </c>
      <c r="C945" s="3" t="s">
        <v>49</v>
      </c>
      <c r="D945" s="3">
        <v>3171856</v>
      </c>
    </row>
    <row r="946" spans="1:4" x14ac:dyDescent="0.25">
      <c r="A946" s="5" t="s">
        <v>32</v>
      </c>
      <c r="B946" s="6" t="s">
        <v>5</v>
      </c>
      <c r="C946" s="6" t="s">
        <v>50</v>
      </c>
      <c r="D946" s="6">
        <v>3081128.5</v>
      </c>
    </row>
    <row r="947" spans="1:4" x14ac:dyDescent="0.25">
      <c r="A947" s="2" t="s">
        <v>32</v>
      </c>
      <c r="B947" s="3" t="s">
        <v>5</v>
      </c>
      <c r="C947" s="3" t="s">
        <v>51</v>
      </c>
      <c r="D947" s="3">
        <v>3216284</v>
      </c>
    </row>
    <row r="948" spans="1:4" x14ac:dyDescent="0.25">
      <c r="A948" s="5" t="s">
        <v>32</v>
      </c>
      <c r="B948" s="6" t="s">
        <v>5</v>
      </c>
      <c r="C948" s="6" t="s">
        <v>52</v>
      </c>
      <c r="D948" s="6">
        <v>3309300.25</v>
      </c>
    </row>
    <row r="949" spans="1:4" x14ac:dyDescent="0.25">
      <c r="A949" s="2" t="s">
        <v>32</v>
      </c>
      <c r="B949" s="3" t="s">
        <v>5</v>
      </c>
      <c r="C949" s="3" t="s">
        <v>53</v>
      </c>
      <c r="D949" s="3">
        <v>3298432.5</v>
      </c>
    </row>
    <row r="950" spans="1:4" x14ac:dyDescent="0.25">
      <c r="A950" s="5" t="s">
        <v>32</v>
      </c>
      <c r="B950" s="6" t="s">
        <v>5</v>
      </c>
      <c r="C950" s="6" t="s">
        <v>54</v>
      </c>
      <c r="D950" s="6">
        <v>3329286.5</v>
      </c>
    </row>
    <row r="951" spans="1:4" x14ac:dyDescent="0.25">
      <c r="A951" s="5" t="s">
        <v>32</v>
      </c>
      <c r="B951" s="6" t="s">
        <v>5</v>
      </c>
      <c r="C951" s="6" t="s">
        <v>55</v>
      </c>
      <c r="D951" s="6">
        <v>5752781.5</v>
      </c>
    </row>
    <row r="952" spans="1:4" x14ac:dyDescent="0.25">
      <c r="A952" s="5" t="s">
        <v>32</v>
      </c>
      <c r="B952" s="6" t="s">
        <v>5</v>
      </c>
      <c r="C952" s="6" t="s">
        <v>56</v>
      </c>
      <c r="D952" s="6">
        <v>5724275.5</v>
      </c>
    </row>
    <row r="953" spans="1:4" x14ac:dyDescent="0.25">
      <c r="A953" s="5" t="s">
        <v>32</v>
      </c>
      <c r="B953" s="6" t="s">
        <v>5</v>
      </c>
      <c r="C953" s="6" t="s">
        <v>57</v>
      </c>
      <c r="D953" s="6">
        <v>6511652</v>
      </c>
    </row>
    <row r="954" spans="1:4" x14ac:dyDescent="0.25">
      <c r="A954" s="5" t="s">
        <v>32</v>
      </c>
      <c r="B954" s="6" t="s">
        <v>5</v>
      </c>
      <c r="C954" s="6" t="s">
        <v>58</v>
      </c>
      <c r="D954" s="6">
        <v>5889917</v>
      </c>
    </row>
    <row r="955" spans="1:4" x14ac:dyDescent="0.25">
      <c r="A955" s="5" t="s">
        <v>32</v>
      </c>
      <c r="B955" s="6" t="s">
        <v>5</v>
      </c>
      <c r="C955" s="6" t="s">
        <v>59</v>
      </c>
      <c r="D955" s="6">
        <v>5851396</v>
      </c>
    </row>
    <row r="956" spans="1:4" x14ac:dyDescent="0.25">
      <c r="A956" s="5" t="s">
        <v>32</v>
      </c>
      <c r="B956" s="6" t="s">
        <v>5</v>
      </c>
      <c r="C956" s="6" t="s">
        <v>60</v>
      </c>
      <c r="D956" s="6">
        <v>6129519.5</v>
      </c>
    </row>
    <row r="957" spans="1:4" x14ac:dyDescent="0.25">
      <c r="A957" s="5" t="s">
        <v>32</v>
      </c>
      <c r="B957" s="6" t="s">
        <v>5</v>
      </c>
      <c r="C957" s="6" t="s">
        <v>61</v>
      </c>
      <c r="D957" s="6">
        <v>6894554.5</v>
      </c>
    </row>
    <row r="958" spans="1:4" x14ac:dyDescent="0.25">
      <c r="A958" s="5" t="s">
        <v>32</v>
      </c>
      <c r="B958" s="6" t="s">
        <v>5</v>
      </c>
      <c r="C958" s="6" t="s">
        <v>62</v>
      </c>
      <c r="D958" s="6">
        <v>7336779.5</v>
      </c>
    </row>
    <row r="959" spans="1:4" x14ac:dyDescent="0.25">
      <c r="A959" s="5" t="s">
        <v>32</v>
      </c>
      <c r="B959" s="6" t="s">
        <v>5</v>
      </c>
      <c r="C959" s="6" t="s">
        <v>63</v>
      </c>
      <c r="D959" s="6">
        <v>6405333</v>
      </c>
    </row>
    <row r="960" spans="1:4" x14ac:dyDescent="0.25">
      <c r="A960" s="5" t="s">
        <v>32</v>
      </c>
      <c r="B960" s="6" t="s">
        <v>5</v>
      </c>
      <c r="C960" s="6" t="s">
        <v>64</v>
      </c>
      <c r="D960" s="6">
        <v>6303636</v>
      </c>
    </row>
    <row r="961" spans="1:4" x14ac:dyDescent="0.25">
      <c r="A961" s="5" t="s">
        <v>32</v>
      </c>
      <c r="B961" s="6" t="s">
        <v>5</v>
      </c>
      <c r="C961" s="6" t="s">
        <v>65</v>
      </c>
      <c r="D961" s="6">
        <v>6732764.5</v>
      </c>
    </row>
    <row r="962" spans="1:4" x14ac:dyDescent="0.25">
      <c r="A962" s="5" t="s">
        <v>32</v>
      </c>
      <c r="B962" s="6" t="s">
        <v>5</v>
      </c>
      <c r="C962" s="6" t="s">
        <v>66</v>
      </c>
      <c r="D962" s="6">
        <v>7510126</v>
      </c>
    </row>
  </sheetData>
  <sortState xmlns:xlrd2="http://schemas.microsoft.com/office/spreadsheetml/2017/richdata2" ref="A2:D962">
    <sortCondition ref="A1:A962"/>
  </sortState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2D7F-7B06-4121-935B-1C69EB325959}">
  <dimension ref="A1:D962"/>
  <sheetViews>
    <sheetView topLeftCell="A917" workbookViewId="0">
      <selection activeCell="D917" sqref="D1:D1048576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13</v>
      </c>
      <c r="B2" s="3" t="s">
        <v>5</v>
      </c>
      <c r="C2" s="3" t="s">
        <v>36</v>
      </c>
      <c r="D2" s="4">
        <v>14081.13671875</v>
      </c>
    </row>
    <row r="3" spans="1:4" x14ac:dyDescent="0.25">
      <c r="A3" s="5" t="s">
        <v>13</v>
      </c>
      <c r="B3" s="6" t="s">
        <v>5</v>
      </c>
      <c r="C3" s="6" t="s">
        <v>37</v>
      </c>
      <c r="D3" s="7">
        <v>14081.13671875</v>
      </c>
    </row>
    <row r="4" spans="1:4" x14ac:dyDescent="0.25">
      <c r="A4" s="2" t="s">
        <v>13</v>
      </c>
      <c r="B4" s="3" t="s">
        <v>5</v>
      </c>
      <c r="C4" s="3" t="s">
        <v>38</v>
      </c>
      <c r="D4" s="4">
        <v>14081.13671875</v>
      </c>
    </row>
    <row r="5" spans="1:4" x14ac:dyDescent="0.25">
      <c r="A5" s="5" t="s">
        <v>13</v>
      </c>
      <c r="B5" s="6" t="s">
        <v>5</v>
      </c>
      <c r="C5" s="6" t="s">
        <v>39</v>
      </c>
      <c r="D5" s="7">
        <v>14081.13671875</v>
      </c>
    </row>
    <row r="6" spans="1:4" x14ac:dyDescent="0.25">
      <c r="A6" s="2" t="s">
        <v>13</v>
      </c>
      <c r="B6" s="3" t="s">
        <v>5</v>
      </c>
      <c r="C6" s="3" t="s">
        <v>40</v>
      </c>
      <c r="D6" s="4">
        <v>14081.13671875</v>
      </c>
    </row>
    <row r="7" spans="1:4" x14ac:dyDescent="0.25">
      <c r="A7" s="5" t="s">
        <v>13</v>
      </c>
      <c r="B7" s="6" t="s">
        <v>5</v>
      </c>
      <c r="C7" s="6" t="s">
        <v>41</v>
      </c>
      <c r="D7" s="7">
        <v>14081.13671875</v>
      </c>
    </row>
    <row r="8" spans="1:4" x14ac:dyDescent="0.25">
      <c r="A8" s="2" t="s">
        <v>13</v>
      </c>
      <c r="B8" s="3" t="s">
        <v>5</v>
      </c>
      <c r="C8" s="3" t="s">
        <v>42</v>
      </c>
      <c r="D8" s="4">
        <v>14087.896484375</v>
      </c>
    </row>
    <row r="9" spans="1:4" x14ac:dyDescent="0.25">
      <c r="A9" s="5" t="s">
        <v>13</v>
      </c>
      <c r="B9" s="6" t="s">
        <v>5</v>
      </c>
      <c r="C9" s="6" t="s">
        <v>43</v>
      </c>
      <c r="D9" s="7">
        <v>14402.0693359375</v>
      </c>
    </row>
    <row r="10" spans="1:4" x14ac:dyDescent="0.25">
      <c r="A10" s="2" t="s">
        <v>13</v>
      </c>
      <c r="B10" s="3" t="s">
        <v>5</v>
      </c>
      <c r="C10" s="3" t="s">
        <v>44</v>
      </c>
      <c r="D10" s="4">
        <v>14402.0693359375</v>
      </c>
    </row>
    <row r="11" spans="1:4" x14ac:dyDescent="0.25">
      <c r="A11" s="5" t="s">
        <v>13</v>
      </c>
      <c r="B11" s="6" t="s">
        <v>5</v>
      </c>
      <c r="C11" s="6" t="s">
        <v>45</v>
      </c>
      <c r="D11" s="7">
        <v>14402.0693359375</v>
      </c>
    </row>
    <row r="12" spans="1:4" x14ac:dyDescent="0.25">
      <c r="A12" s="2" t="s">
        <v>13</v>
      </c>
      <c r="B12" s="3" t="s">
        <v>5</v>
      </c>
      <c r="C12" s="3" t="s">
        <v>46</v>
      </c>
      <c r="D12" s="4">
        <v>14402.0693359375</v>
      </c>
    </row>
    <row r="13" spans="1:4" x14ac:dyDescent="0.25">
      <c r="A13" s="5" t="s">
        <v>13</v>
      </c>
      <c r="B13" s="6" t="s">
        <v>5</v>
      </c>
      <c r="C13" s="6" t="s">
        <v>47</v>
      </c>
      <c r="D13" s="7">
        <v>14402.0693359375</v>
      </c>
    </row>
    <row r="14" spans="1:4" x14ac:dyDescent="0.25">
      <c r="A14" s="2" t="s">
        <v>13</v>
      </c>
      <c r="B14" s="3" t="s">
        <v>5</v>
      </c>
      <c r="C14" s="3" t="s">
        <v>48</v>
      </c>
      <c r="D14" s="4">
        <v>14402.0693359375</v>
      </c>
    </row>
    <row r="15" spans="1:4" x14ac:dyDescent="0.25">
      <c r="A15" s="5" t="s">
        <v>13</v>
      </c>
      <c r="B15" s="6" t="s">
        <v>5</v>
      </c>
      <c r="C15" s="6" t="s">
        <v>49</v>
      </c>
      <c r="D15" s="7">
        <v>14402.0693359375</v>
      </c>
    </row>
    <row r="16" spans="1:4" x14ac:dyDescent="0.25">
      <c r="A16" s="2" t="s">
        <v>13</v>
      </c>
      <c r="B16" s="3" t="s">
        <v>5</v>
      </c>
      <c r="C16" s="3" t="s">
        <v>50</v>
      </c>
      <c r="D16" s="4">
        <v>14402.0693359375</v>
      </c>
    </row>
    <row r="17" spans="1:4" x14ac:dyDescent="0.25">
      <c r="A17" s="5" t="s">
        <v>13</v>
      </c>
      <c r="B17" s="6" t="s">
        <v>5</v>
      </c>
      <c r="C17" s="6" t="s">
        <v>51</v>
      </c>
      <c r="D17" s="7">
        <v>14402.0693359375</v>
      </c>
    </row>
    <row r="18" spans="1:4" x14ac:dyDescent="0.25">
      <c r="A18" s="2" t="s">
        <v>13</v>
      </c>
      <c r="B18" s="3" t="s">
        <v>5</v>
      </c>
      <c r="C18" s="3" t="s">
        <v>52</v>
      </c>
      <c r="D18" s="4">
        <v>14402.0693359375</v>
      </c>
    </row>
    <row r="19" spans="1:4" x14ac:dyDescent="0.25">
      <c r="A19" s="5" t="s">
        <v>13</v>
      </c>
      <c r="B19" s="6" t="s">
        <v>5</v>
      </c>
      <c r="C19" s="6" t="s">
        <v>53</v>
      </c>
      <c r="D19" s="7">
        <v>14402.0693359375</v>
      </c>
    </row>
    <row r="20" spans="1:4" x14ac:dyDescent="0.25">
      <c r="A20" s="2" t="s">
        <v>13</v>
      </c>
      <c r="B20" s="3" t="s">
        <v>5</v>
      </c>
      <c r="C20" s="3" t="s">
        <v>54</v>
      </c>
      <c r="D20" s="4">
        <v>14408.9833984375</v>
      </c>
    </row>
    <row r="21" spans="1:4" x14ac:dyDescent="0.25">
      <c r="A21" s="2" t="s">
        <v>13</v>
      </c>
      <c r="B21" s="3" t="s">
        <v>5</v>
      </c>
      <c r="C21" s="3" t="s">
        <v>55</v>
      </c>
      <c r="D21" s="4">
        <v>14869.6103515625</v>
      </c>
    </row>
    <row r="22" spans="1:4" x14ac:dyDescent="0.25">
      <c r="A22" s="5" t="s">
        <v>13</v>
      </c>
      <c r="B22" s="6" t="s">
        <v>5</v>
      </c>
      <c r="C22" s="6" t="s">
        <v>56</v>
      </c>
      <c r="D22" s="7">
        <v>14869.6103515625</v>
      </c>
    </row>
    <row r="23" spans="1:4" x14ac:dyDescent="0.25">
      <c r="A23" s="2" t="s">
        <v>13</v>
      </c>
      <c r="B23" s="3" t="s">
        <v>5</v>
      </c>
      <c r="C23" s="3" t="s">
        <v>57</v>
      </c>
      <c r="D23" s="4">
        <v>14869.6103515625</v>
      </c>
    </row>
    <row r="24" spans="1:4" x14ac:dyDescent="0.25">
      <c r="A24" s="5" t="s">
        <v>13</v>
      </c>
      <c r="B24" s="6" t="s">
        <v>5</v>
      </c>
      <c r="C24" s="6" t="s">
        <v>58</v>
      </c>
      <c r="D24" s="7">
        <v>14869.6103515625</v>
      </c>
    </row>
    <row r="25" spans="1:4" x14ac:dyDescent="0.25">
      <c r="A25" s="2" t="s">
        <v>13</v>
      </c>
      <c r="B25" s="3" t="s">
        <v>5</v>
      </c>
      <c r="C25" s="3" t="s">
        <v>59</v>
      </c>
      <c r="D25" s="4">
        <v>14869.6103515625</v>
      </c>
    </row>
    <row r="26" spans="1:4" x14ac:dyDescent="0.25">
      <c r="A26" s="5" t="s">
        <v>13</v>
      </c>
      <c r="B26" s="6" t="s">
        <v>5</v>
      </c>
      <c r="C26" s="6" t="s">
        <v>60</v>
      </c>
      <c r="D26" s="7">
        <v>14869.6103515625</v>
      </c>
    </row>
    <row r="27" spans="1:4" x14ac:dyDescent="0.25">
      <c r="A27" s="2" t="s">
        <v>13</v>
      </c>
      <c r="B27" s="3" t="s">
        <v>5</v>
      </c>
      <c r="C27" s="3" t="s">
        <v>61</v>
      </c>
      <c r="D27" s="4">
        <v>14869.6103515625</v>
      </c>
    </row>
    <row r="28" spans="1:4" x14ac:dyDescent="0.25">
      <c r="A28" s="5" t="s">
        <v>13</v>
      </c>
      <c r="B28" s="6" t="s">
        <v>5</v>
      </c>
      <c r="C28" s="6" t="s">
        <v>62</v>
      </c>
      <c r="D28" s="7">
        <v>14869.6103515625</v>
      </c>
    </row>
    <row r="29" spans="1:4" x14ac:dyDescent="0.25">
      <c r="A29" s="2" t="s">
        <v>13</v>
      </c>
      <c r="B29" s="3" t="s">
        <v>5</v>
      </c>
      <c r="C29" s="3" t="s">
        <v>63</v>
      </c>
      <c r="D29" s="4">
        <v>14869.6103515625</v>
      </c>
    </row>
    <row r="30" spans="1:4" x14ac:dyDescent="0.25">
      <c r="A30" s="5" t="s">
        <v>13</v>
      </c>
      <c r="B30" s="6" t="s">
        <v>5</v>
      </c>
      <c r="C30" s="6" t="s">
        <v>64</v>
      </c>
      <c r="D30" s="7">
        <v>14869.6103515625</v>
      </c>
    </row>
    <row r="31" spans="1:4" x14ac:dyDescent="0.25">
      <c r="A31" s="2" t="s">
        <v>13</v>
      </c>
      <c r="B31" s="3" t="s">
        <v>5</v>
      </c>
      <c r="C31" s="3" t="s">
        <v>65</v>
      </c>
      <c r="D31" s="4">
        <v>14869.6103515625</v>
      </c>
    </row>
    <row r="32" spans="1:4" x14ac:dyDescent="0.25">
      <c r="A32" s="5" t="s">
        <v>13</v>
      </c>
      <c r="B32" s="6" t="s">
        <v>5</v>
      </c>
      <c r="C32" s="6" t="s">
        <v>66</v>
      </c>
      <c r="D32" s="7">
        <v>14876.7490234375</v>
      </c>
    </row>
    <row r="33" spans="1:4" x14ac:dyDescent="0.25">
      <c r="A33" s="5" t="s">
        <v>8</v>
      </c>
      <c r="B33" s="6" t="s">
        <v>5</v>
      </c>
      <c r="C33" s="6" t="s">
        <v>36</v>
      </c>
      <c r="D33" s="7">
        <v>6471.15576171875</v>
      </c>
    </row>
    <row r="34" spans="1:4" x14ac:dyDescent="0.25">
      <c r="A34" s="2" t="s">
        <v>8</v>
      </c>
      <c r="B34" s="3" t="s">
        <v>5</v>
      </c>
      <c r="C34" s="3" t="s">
        <v>37</v>
      </c>
      <c r="D34" s="4">
        <v>6471.15576171875</v>
      </c>
    </row>
    <row r="35" spans="1:4" x14ac:dyDescent="0.25">
      <c r="A35" s="5" t="s">
        <v>8</v>
      </c>
      <c r="B35" s="6" t="s">
        <v>5</v>
      </c>
      <c r="C35" s="6" t="s">
        <v>38</v>
      </c>
      <c r="D35" s="7">
        <v>6471.15576171875</v>
      </c>
    </row>
    <row r="36" spans="1:4" x14ac:dyDescent="0.25">
      <c r="A36" s="2" t="s">
        <v>8</v>
      </c>
      <c r="B36" s="3" t="s">
        <v>5</v>
      </c>
      <c r="C36" s="3" t="s">
        <v>39</v>
      </c>
      <c r="D36" s="4">
        <v>6471.15576171875</v>
      </c>
    </row>
    <row r="37" spans="1:4" x14ac:dyDescent="0.25">
      <c r="A37" s="5" t="s">
        <v>8</v>
      </c>
      <c r="B37" s="6" t="s">
        <v>5</v>
      </c>
      <c r="C37" s="6" t="s">
        <v>40</v>
      </c>
      <c r="D37" s="7">
        <v>6471.15576171875</v>
      </c>
    </row>
    <row r="38" spans="1:4" x14ac:dyDescent="0.25">
      <c r="A38" s="2" t="s">
        <v>8</v>
      </c>
      <c r="B38" s="3" t="s">
        <v>5</v>
      </c>
      <c r="C38" s="3" t="s">
        <v>41</v>
      </c>
      <c r="D38" s="4">
        <v>6471.15576171875</v>
      </c>
    </row>
    <row r="39" spans="1:4" x14ac:dyDescent="0.25">
      <c r="A39" s="5" t="s">
        <v>8</v>
      </c>
      <c r="B39" s="6" t="s">
        <v>5</v>
      </c>
      <c r="C39" s="6" t="s">
        <v>42</v>
      </c>
      <c r="D39" s="7">
        <v>6474.26220703125</v>
      </c>
    </row>
    <row r="40" spans="1:4" x14ac:dyDescent="0.25">
      <c r="A40" s="2" t="s">
        <v>8</v>
      </c>
      <c r="B40" s="3" t="s">
        <v>5</v>
      </c>
      <c r="C40" s="3" t="s">
        <v>43</v>
      </c>
      <c r="D40" s="4">
        <v>6618.64404296875</v>
      </c>
    </row>
    <row r="41" spans="1:4" x14ac:dyDescent="0.25">
      <c r="A41" s="5" t="s">
        <v>8</v>
      </c>
      <c r="B41" s="6" t="s">
        <v>5</v>
      </c>
      <c r="C41" s="6" t="s">
        <v>44</v>
      </c>
      <c r="D41" s="7">
        <v>6618.64404296875</v>
      </c>
    </row>
    <row r="42" spans="1:4" x14ac:dyDescent="0.25">
      <c r="A42" s="2" t="s">
        <v>8</v>
      </c>
      <c r="B42" s="3" t="s">
        <v>5</v>
      </c>
      <c r="C42" s="3" t="s">
        <v>45</v>
      </c>
      <c r="D42" s="4">
        <v>6618.64404296875</v>
      </c>
    </row>
    <row r="43" spans="1:4" x14ac:dyDescent="0.25">
      <c r="A43" s="5" t="s">
        <v>8</v>
      </c>
      <c r="B43" s="6" t="s">
        <v>5</v>
      </c>
      <c r="C43" s="6" t="s">
        <v>46</v>
      </c>
      <c r="D43" s="7">
        <v>6618.64404296875</v>
      </c>
    </row>
    <row r="44" spans="1:4" x14ac:dyDescent="0.25">
      <c r="A44" s="2" t="s">
        <v>8</v>
      </c>
      <c r="B44" s="3" t="s">
        <v>5</v>
      </c>
      <c r="C44" s="3" t="s">
        <v>47</v>
      </c>
      <c r="D44" s="4">
        <v>6618.64404296875</v>
      </c>
    </row>
    <row r="45" spans="1:4" x14ac:dyDescent="0.25">
      <c r="A45" s="5" t="s">
        <v>8</v>
      </c>
      <c r="B45" s="6" t="s">
        <v>5</v>
      </c>
      <c r="C45" s="6" t="s">
        <v>48</v>
      </c>
      <c r="D45" s="7">
        <v>6618.64404296875</v>
      </c>
    </row>
    <row r="46" spans="1:4" x14ac:dyDescent="0.25">
      <c r="A46" s="2" t="s">
        <v>8</v>
      </c>
      <c r="B46" s="3" t="s">
        <v>5</v>
      </c>
      <c r="C46" s="3" t="s">
        <v>49</v>
      </c>
      <c r="D46" s="4">
        <v>6618.64404296875</v>
      </c>
    </row>
    <row r="47" spans="1:4" x14ac:dyDescent="0.25">
      <c r="A47" s="5" t="s">
        <v>8</v>
      </c>
      <c r="B47" s="6" t="s">
        <v>5</v>
      </c>
      <c r="C47" s="6" t="s">
        <v>50</v>
      </c>
      <c r="D47" s="7">
        <v>6618.64404296875</v>
      </c>
    </row>
    <row r="48" spans="1:4" x14ac:dyDescent="0.25">
      <c r="A48" s="2" t="s">
        <v>8</v>
      </c>
      <c r="B48" s="3" t="s">
        <v>5</v>
      </c>
      <c r="C48" s="3" t="s">
        <v>51</v>
      </c>
      <c r="D48" s="4">
        <v>6618.64404296875</v>
      </c>
    </row>
    <row r="49" spans="1:4" x14ac:dyDescent="0.25">
      <c r="A49" s="5" t="s">
        <v>8</v>
      </c>
      <c r="B49" s="6" t="s">
        <v>5</v>
      </c>
      <c r="C49" s="6" t="s">
        <v>52</v>
      </c>
      <c r="D49" s="7">
        <v>6618.64404296875</v>
      </c>
    </row>
    <row r="50" spans="1:4" x14ac:dyDescent="0.25">
      <c r="A50" s="2" t="s">
        <v>8</v>
      </c>
      <c r="B50" s="3" t="s">
        <v>5</v>
      </c>
      <c r="C50" s="3" t="s">
        <v>53</v>
      </c>
      <c r="D50" s="4">
        <v>6618.64404296875</v>
      </c>
    </row>
    <row r="51" spans="1:4" x14ac:dyDescent="0.25">
      <c r="A51" s="5" t="s">
        <v>8</v>
      </c>
      <c r="B51" s="6" t="s">
        <v>5</v>
      </c>
      <c r="C51" s="6" t="s">
        <v>54</v>
      </c>
      <c r="D51" s="7">
        <v>6621.8212890625</v>
      </c>
    </row>
    <row r="52" spans="1:4" x14ac:dyDescent="0.25">
      <c r="A52" s="5" t="s">
        <v>8</v>
      </c>
      <c r="B52" s="6" t="s">
        <v>5</v>
      </c>
      <c r="C52" s="6" t="s">
        <v>55</v>
      </c>
      <c r="D52" s="7">
        <v>6532.7978515625</v>
      </c>
    </row>
    <row r="53" spans="1:4" x14ac:dyDescent="0.25">
      <c r="A53" s="2" t="s">
        <v>8</v>
      </c>
      <c r="B53" s="3" t="s">
        <v>5</v>
      </c>
      <c r="C53" s="3" t="s">
        <v>56</v>
      </c>
      <c r="D53" s="4">
        <v>6532.7978515625</v>
      </c>
    </row>
    <row r="54" spans="1:4" x14ac:dyDescent="0.25">
      <c r="A54" s="5" t="s">
        <v>8</v>
      </c>
      <c r="B54" s="6" t="s">
        <v>5</v>
      </c>
      <c r="C54" s="6" t="s">
        <v>57</v>
      </c>
      <c r="D54" s="7">
        <v>6532.7978515625</v>
      </c>
    </row>
    <row r="55" spans="1:4" x14ac:dyDescent="0.25">
      <c r="A55" s="2" t="s">
        <v>8</v>
      </c>
      <c r="B55" s="3" t="s">
        <v>5</v>
      </c>
      <c r="C55" s="3" t="s">
        <v>58</v>
      </c>
      <c r="D55" s="4">
        <v>6532.7978515625</v>
      </c>
    </row>
    <row r="56" spans="1:4" x14ac:dyDescent="0.25">
      <c r="A56" s="5" t="s">
        <v>8</v>
      </c>
      <c r="B56" s="6" t="s">
        <v>5</v>
      </c>
      <c r="C56" s="6" t="s">
        <v>59</v>
      </c>
      <c r="D56" s="7">
        <v>6532.7978515625</v>
      </c>
    </row>
    <row r="57" spans="1:4" x14ac:dyDescent="0.25">
      <c r="A57" s="2" t="s">
        <v>8</v>
      </c>
      <c r="B57" s="3" t="s">
        <v>5</v>
      </c>
      <c r="C57" s="3" t="s">
        <v>60</v>
      </c>
      <c r="D57" s="4">
        <v>6532.7978515625</v>
      </c>
    </row>
    <row r="58" spans="1:4" x14ac:dyDescent="0.25">
      <c r="A58" s="5" t="s">
        <v>8</v>
      </c>
      <c r="B58" s="6" t="s">
        <v>5</v>
      </c>
      <c r="C58" s="6" t="s">
        <v>61</v>
      </c>
      <c r="D58" s="7">
        <v>6532.7978515625</v>
      </c>
    </row>
    <row r="59" spans="1:4" x14ac:dyDescent="0.25">
      <c r="A59" s="2" t="s">
        <v>8</v>
      </c>
      <c r="B59" s="3" t="s">
        <v>5</v>
      </c>
      <c r="C59" s="3" t="s">
        <v>62</v>
      </c>
      <c r="D59" s="4">
        <v>6532.7978515625</v>
      </c>
    </row>
    <row r="60" spans="1:4" x14ac:dyDescent="0.25">
      <c r="A60" s="5" t="s">
        <v>8</v>
      </c>
      <c r="B60" s="6" t="s">
        <v>5</v>
      </c>
      <c r="C60" s="6" t="s">
        <v>63</v>
      </c>
      <c r="D60" s="7">
        <v>6532.7978515625</v>
      </c>
    </row>
    <row r="61" spans="1:4" x14ac:dyDescent="0.25">
      <c r="A61" s="2" t="s">
        <v>8</v>
      </c>
      <c r="B61" s="3" t="s">
        <v>5</v>
      </c>
      <c r="C61" s="3" t="s">
        <v>64</v>
      </c>
      <c r="D61" s="4">
        <v>6532.7978515625</v>
      </c>
    </row>
    <row r="62" spans="1:4" x14ac:dyDescent="0.25">
      <c r="A62" s="5" t="s">
        <v>8</v>
      </c>
      <c r="B62" s="6" t="s">
        <v>5</v>
      </c>
      <c r="C62" s="6" t="s">
        <v>65</v>
      </c>
      <c r="D62" s="7">
        <v>6532.7978515625</v>
      </c>
    </row>
    <row r="63" spans="1:4" x14ac:dyDescent="0.25">
      <c r="A63" s="2" t="s">
        <v>8</v>
      </c>
      <c r="B63" s="3" t="s">
        <v>5</v>
      </c>
      <c r="C63" s="3" t="s">
        <v>66</v>
      </c>
      <c r="D63" s="4">
        <v>6535.93408203125</v>
      </c>
    </row>
    <row r="64" spans="1:4" x14ac:dyDescent="0.25">
      <c r="A64" s="5" t="s">
        <v>28</v>
      </c>
      <c r="B64" s="6" t="s">
        <v>5</v>
      </c>
      <c r="C64" s="6" t="s">
        <v>36</v>
      </c>
      <c r="D64" s="7">
        <v>5101.89697265625</v>
      </c>
    </row>
    <row r="65" spans="1:4" x14ac:dyDescent="0.25">
      <c r="A65" s="2" t="s">
        <v>28</v>
      </c>
      <c r="B65" s="3" t="s">
        <v>5</v>
      </c>
      <c r="C65" s="3" t="s">
        <v>37</v>
      </c>
      <c r="D65" s="4">
        <v>5101.89697265625</v>
      </c>
    </row>
    <row r="66" spans="1:4" x14ac:dyDescent="0.25">
      <c r="A66" s="5" t="s">
        <v>28</v>
      </c>
      <c r="B66" s="6" t="s">
        <v>5</v>
      </c>
      <c r="C66" s="6" t="s">
        <v>38</v>
      </c>
      <c r="D66" s="7">
        <v>5101.89697265625</v>
      </c>
    </row>
    <row r="67" spans="1:4" x14ac:dyDescent="0.25">
      <c r="A67" s="2" t="s">
        <v>28</v>
      </c>
      <c r="B67" s="3" t="s">
        <v>5</v>
      </c>
      <c r="C67" s="3" t="s">
        <v>39</v>
      </c>
      <c r="D67" s="4">
        <v>5101.89697265625</v>
      </c>
    </row>
    <row r="68" spans="1:4" x14ac:dyDescent="0.25">
      <c r="A68" s="5" t="s">
        <v>28</v>
      </c>
      <c r="B68" s="6" t="s">
        <v>5</v>
      </c>
      <c r="C68" s="6" t="s">
        <v>40</v>
      </c>
      <c r="D68" s="7">
        <v>5101.89697265625</v>
      </c>
    </row>
    <row r="69" spans="1:4" x14ac:dyDescent="0.25">
      <c r="A69" s="2" t="s">
        <v>28</v>
      </c>
      <c r="B69" s="3" t="s">
        <v>5</v>
      </c>
      <c r="C69" s="3" t="s">
        <v>41</v>
      </c>
      <c r="D69" s="4">
        <v>5101.89697265625</v>
      </c>
    </row>
    <row r="70" spans="1:4" x14ac:dyDescent="0.25">
      <c r="A70" s="5" t="s">
        <v>28</v>
      </c>
      <c r="B70" s="6" t="s">
        <v>5</v>
      </c>
      <c r="C70" s="6" t="s">
        <v>42</v>
      </c>
      <c r="D70" s="7">
        <v>5104.34619140625</v>
      </c>
    </row>
    <row r="71" spans="1:4" x14ac:dyDescent="0.25">
      <c r="A71" s="2" t="s">
        <v>28</v>
      </c>
      <c r="B71" s="3" t="s">
        <v>5</v>
      </c>
      <c r="C71" s="3" t="s">
        <v>43</v>
      </c>
      <c r="D71" s="4">
        <v>5218.25341796875</v>
      </c>
    </row>
    <row r="72" spans="1:4" x14ac:dyDescent="0.25">
      <c r="A72" s="5" t="s">
        <v>28</v>
      </c>
      <c r="B72" s="6" t="s">
        <v>5</v>
      </c>
      <c r="C72" s="6" t="s">
        <v>44</v>
      </c>
      <c r="D72" s="7">
        <v>5218.25341796875</v>
      </c>
    </row>
    <row r="73" spans="1:4" x14ac:dyDescent="0.25">
      <c r="A73" s="2" t="s">
        <v>28</v>
      </c>
      <c r="B73" s="3" t="s">
        <v>5</v>
      </c>
      <c r="C73" s="3" t="s">
        <v>45</v>
      </c>
      <c r="D73" s="4">
        <v>5218.25341796875</v>
      </c>
    </row>
    <row r="74" spans="1:4" x14ac:dyDescent="0.25">
      <c r="A74" s="5" t="s">
        <v>28</v>
      </c>
      <c r="B74" s="6" t="s">
        <v>5</v>
      </c>
      <c r="C74" s="6" t="s">
        <v>46</v>
      </c>
      <c r="D74" s="7">
        <v>5218.25341796875</v>
      </c>
    </row>
    <row r="75" spans="1:4" x14ac:dyDescent="0.25">
      <c r="A75" s="2" t="s">
        <v>28</v>
      </c>
      <c r="B75" s="3" t="s">
        <v>5</v>
      </c>
      <c r="C75" s="3" t="s">
        <v>47</v>
      </c>
      <c r="D75" s="4">
        <v>5218.25341796875</v>
      </c>
    </row>
    <row r="76" spans="1:4" x14ac:dyDescent="0.25">
      <c r="A76" s="5" t="s">
        <v>28</v>
      </c>
      <c r="B76" s="6" t="s">
        <v>5</v>
      </c>
      <c r="C76" s="6" t="s">
        <v>48</v>
      </c>
      <c r="D76" s="7">
        <v>5218.25341796875</v>
      </c>
    </row>
    <row r="77" spans="1:4" x14ac:dyDescent="0.25">
      <c r="A77" s="2" t="s">
        <v>28</v>
      </c>
      <c r="B77" s="3" t="s">
        <v>5</v>
      </c>
      <c r="C77" s="3" t="s">
        <v>49</v>
      </c>
      <c r="D77" s="4">
        <v>5218.25341796875</v>
      </c>
    </row>
    <row r="78" spans="1:4" x14ac:dyDescent="0.25">
      <c r="A78" s="5" t="s">
        <v>28</v>
      </c>
      <c r="B78" s="6" t="s">
        <v>5</v>
      </c>
      <c r="C78" s="6" t="s">
        <v>50</v>
      </c>
      <c r="D78" s="7">
        <v>5218.25341796875</v>
      </c>
    </row>
    <row r="79" spans="1:4" x14ac:dyDescent="0.25">
      <c r="A79" s="2" t="s">
        <v>28</v>
      </c>
      <c r="B79" s="3" t="s">
        <v>5</v>
      </c>
      <c r="C79" s="3" t="s">
        <v>51</v>
      </c>
      <c r="D79" s="4">
        <v>5218.25341796875</v>
      </c>
    </row>
    <row r="80" spans="1:4" x14ac:dyDescent="0.25">
      <c r="A80" s="5" t="s">
        <v>28</v>
      </c>
      <c r="B80" s="6" t="s">
        <v>5</v>
      </c>
      <c r="C80" s="6" t="s">
        <v>52</v>
      </c>
      <c r="D80" s="7">
        <v>5218.25341796875</v>
      </c>
    </row>
    <row r="81" spans="1:4" x14ac:dyDescent="0.25">
      <c r="A81" s="2" t="s">
        <v>28</v>
      </c>
      <c r="B81" s="3" t="s">
        <v>5</v>
      </c>
      <c r="C81" s="3" t="s">
        <v>53</v>
      </c>
      <c r="D81" s="4">
        <v>5218.25341796875</v>
      </c>
    </row>
    <row r="82" spans="1:4" x14ac:dyDescent="0.25">
      <c r="A82" s="5" t="s">
        <v>28</v>
      </c>
      <c r="B82" s="6" t="s">
        <v>5</v>
      </c>
      <c r="C82" s="6" t="s">
        <v>54</v>
      </c>
      <c r="D82" s="7">
        <v>5220.75830078125</v>
      </c>
    </row>
    <row r="83" spans="1:4" x14ac:dyDescent="0.25">
      <c r="A83" s="5" t="s">
        <v>28</v>
      </c>
      <c r="B83" s="6" t="s">
        <v>5</v>
      </c>
      <c r="C83" s="6" t="s">
        <v>55</v>
      </c>
      <c r="D83" s="7">
        <v>5171.72314453125</v>
      </c>
    </row>
    <row r="84" spans="1:4" x14ac:dyDescent="0.25">
      <c r="A84" s="2" t="s">
        <v>28</v>
      </c>
      <c r="B84" s="3" t="s">
        <v>5</v>
      </c>
      <c r="C84" s="3" t="s">
        <v>56</v>
      </c>
      <c r="D84" s="4">
        <v>5171.72314453125</v>
      </c>
    </row>
    <row r="85" spans="1:4" x14ac:dyDescent="0.25">
      <c r="A85" s="5" t="s">
        <v>28</v>
      </c>
      <c r="B85" s="6" t="s">
        <v>5</v>
      </c>
      <c r="C85" s="6" t="s">
        <v>57</v>
      </c>
      <c r="D85" s="7">
        <v>5171.72314453125</v>
      </c>
    </row>
    <row r="86" spans="1:4" x14ac:dyDescent="0.25">
      <c r="A86" s="2" t="s">
        <v>28</v>
      </c>
      <c r="B86" s="3" t="s">
        <v>5</v>
      </c>
      <c r="C86" s="3" t="s">
        <v>58</v>
      </c>
      <c r="D86" s="4">
        <v>5171.72314453125</v>
      </c>
    </row>
    <row r="87" spans="1:4" x14ac:dyDescent="0.25">
      <c r="A87" s="5" t="s">
        <v>28</v>
      </c>
      <c r="B87" s="6" t="s">
        <v>5</v>
      </c>
      <c r="C87" s="6" t="s">
        <v>59</v>
      </c>
      <c r="D87" s="7">
        <v>5171.72314453125</v>
      </c>
    </row>
    <row r="88" spans="1:4" x14ac:dyDescent="0.25">
      <c r="A88" s="2" t="s">
        <v>28</v>
      </c>
      <c r="B88" s="3" t="s">
        <v>5</v>
      </c>
      <c r="C88" s="3" t="s">
        <v>60</v>
      </c>
      <c r="D88" s="4">
        <v>5171.72314453125</v>
      </c>
    </row>
    <row r="89" spans="1:4" x14ac:dyDescent="0.25">
      <c r="A89" s="5" t="s">
        <v>28</v>
      </c>
      <c r="B89" s="6" t="s">
        <v>5</v>
      </c>
      <c r="C89" s="6" t="s">
        <v>61</v>
      </c>
      <c r="D89" s="7">
        <v>5171.72314453125</v>
      </c>
    </row>
    <row r="90" spans="1:4" x14ac:dyDescent="0.25">
      <c r="A90" s="2" t="s">
        <v>28</v>
      </c>
      <c r="B90" s="3" t="s">
        <v>5</v>
      </c>
      <c r="C90" s="3" t="s">
        <v>62</v>
      </c>
      <c r="D90" s="4">
        <v>5171.72314453125</v>
      </c>
    </row>
    <row r="91" spans="1:4" x14ac:dyDescent="0.25">
      <c r="A91" s="5" t="s">
        <v>28</v>
      </c>
      <c r="B91" s="6" t="s">
        <v>5</v>
      </c>
      <c r="C91" s="6" t="s">
        <v>63</v>
      </c>
      <c r="D91" s="7">
        <v>5171.72314453125</v>
      </c>
    </row>
    <row r="92" spans="1:4" x14ac:dyDescent="0.25">
      <c r="A92" s="2" t="s">
        <v>28</v>
      </c>
      <c r="B92" s="3" t="s">
        <v>5</v>
      </c>
      <c r="C92" s="3" t="s">
        <v>64</v>
      </c>
      <c r="D92" s="4">
        <v>5171.72314453125</v>
      </c>
    </row>
    <row r="93" spans="1:4" x14ac:dyDescent="0.25">
      <c r="A93" s="5" t="s">
        <v>28</v>
      </c>
      <c r="B93" s="6" t="s">
        <v>5</v>
      </c>
      <c r="C93" s="6" t="s">
        <v>65</v>
      </c>
      <c r="D93" s="7">
        <v>5171.72314453125</v>
      </c>
    </row>
    <row r="94" spans="1:4" x14ac:dyDescent="0.25">
      <c r="A94" s="2" t="s">
        <v>28</v>
      </c>
      <c r="B94" s="3" t="s">
        <v>5</v>
      </c>
      <c r="C94" s="3" t="s">
        <v>66</v>
      </c>
      <c r="D94" s="4">
        <v>5174.20556640625</v>
      </c>
    </row>
    <row r="95" spans="1:4" x14ac:dyDescent="0.25">
      <c r="A95" s="2" t="s">
        <v>27</v>
      </c>
      <c r="B95" s="3" t="s">
        <v>5</v>
      </c>
      <c r="C95" s="3" t="s">
        <v>36</v>
      </c>
      <c r="D95" s="4">
        <v>3785.84692382812</v>
      </c>
    </row>
    <row r="96" spans="1:4" x14ac:dyDescent="0.25">
      <c r="A96" s="5" t="s">
        <v>27</v>
      </c>
      <c r="B96" s="6" t="s">
        <v>5</v>
      </c>
      <c r="C96" s="6" t="s">
        <v>37</v>
      </c>
      <c r="D96" s="7">
        <v>3785.84692382812</v>
      </c>
    </row>
    <row r="97" spans="1:4" x14ac:dyDescent="0.25">
      <c r="A97" s="2" t="s">
        <v>27</v>
      </c>
      <c r="B97" s="3" t="s">
        <v>5</v>
      </c>
      <c r="C97" s="3" t="s">
        <v>38</v>
      </c>
      <c r="D97" s="4">
        <v>3785.84692382812</v>
      </c>
    </row>
    <row r="98" spans="1:4" x14ac:dyDescent="0.25">
      <c r="A98" s="5" t="s">
        <v>27</v>
      </c>
      <c r="B98" s="6" t="s">
        <v>5</v>
      </c>
      <c r="C98" s="6" t="s">
        <v>39</v>
      </c>
      <c r="D98" s="7">
        <v>3785.84692382812</v>
      </c>
    </row>
    <row r="99" spans="1:4" x14ac:dyDescent="0.25">
      <c r="A99" s="2" t="s">
        <v>27</v>
      </c>
      <c r="B99" s="3" t="s">
        <v>5</v>
      </c>
      <c r="C99" s="3" t="s">
        <v>40</v>
      </c>
      <c r="D99" s="4">
        <v>3785.84692382812</v>
      </c>
    </row>
    <row r="100" spans="1:4" x14ac:dyDescent="0.25">
      <c r="A100" s="5" t="s">
        <v>27</v>
      </c>
      <c r="B100" s="6" t="s">
        <v>5</v>
      </c>
      <c r="C100" s="6" t="s">
        <v>41</v>
      </c>
      <c r="D100" s="7">
        <v>3785.84692382812</v>
      </c>
    </row>
    <row r="101" spans="1:4" x14ac:dyDescent="0.25">
      <c r="A101" s="2" t="s">
        <v>27</v>
      </c>
      <c r="B101" s="3" t="s">
        <v>5</v>
      </c>
      <c r="C101" s="3" t="s">
        <v>42</v>
      </c>
      <c r="D101" s="4">
        <v>3787.66430664062</v>
      </c>
    </row>
    <row r="102" spans="1:4" x14ac:dyDescent="0.25">
      <c r="A102" s="5" t="s">
        <v>27</v>
      </c>
      <c r="B102" s="6" t="s">
        <v>5</v>
      </c>
      <c r="C102" s="6" t="s">
        <v>43</v>
      </c>
      <c r="D102" s="7">
        <v>3872.1328125</v>
      </c>
    </row>
    <row r="103" spans="1:4" x14ac:dyDescent="0.25">
      <c r="A103" s="2" t="s">
        <v>27</v>
      </c>
      <c r="B103" s="3" t="s">
        <v>5</v>
      </c>
      <c r="C103" s="3" t="s">
        <v>44</v>
      </c>
      <c r="D103" s="4">
        <v>3872.1328125</v>
      </c>
    </row>
    <row r="104" spans="1:4" x14ac:dyDescent="0.25">
      <c r="A104" s="5" t="s">
        <v>27</v>
      </c>
      <c r="B104" s="6" t="s">
        <v>5</v>
      </c>
      <c r="C104" s="6" t="s">
        <v>45</v>
      </c>
      <c r="D104" s="7">
        <v>3872.1328125</v>
      </c>
    </row>
    <row r="105" spans="1:4" x14ac:dyDescent="0.25">
      <c r="A105" s="2" t="s">
        <v>27</v>
      </c>
      <c r="B105" s="3" t="s">
        <v>5</v>
      </c>
      <c r="C105" s="3" t="s">
        <v>46</v>
      </c>
      <c r="D105" s="4">
        <v>3872.1328125</v>
      </c>
    </row>
    <row r="106" spans="1:4" x14ac:dyDescent="0.25">
      <c r="A106" s="5" t="s">
        <v>27</v>
      </c>
      <c r="B106" s="6" t="s">
        <v>5</v>
      </c>
      <c r="C106" s="6" t="s">
        <v>47</v>
      </c>
      <c r="D106" s="7">
        <v>3872.1328125</v>
      </c>
    </row>
    <row r="107" spans="1:4" x14ac:dyDescent="0.25">
      <c r="A107" s="2" t="s">
        <v>27</v>
      </c>
      <c r="B107" s="3" t="s">
        <v>5</v>
      </c>
      <c r="C107" s="3" t="s">
        <v>48</v>
      </c>
      <c r="D107" s="4">
        <v>3872.1328125</v>
      </c>
    </row>
    <row r="108" spans="1:4" x14ac:dyDescent="0.25">
      <c r="A108" s="5" t="s">
        <v>27</v>
      </c>
      <c r="B108" s="6" t="s">
        <v>5</v>
      </c>
      <c r="C108" s="6" t="s">
        <v>49</v>
      </c>
      <c r="D108" s="7">
        <v>3872.1328125</v>
      </c>
    </row>
    <row r="109" spans="1:4" x14ac:dyDescent="0.25">
      <c r="A109" s="2" t="s">
        <v>27</v>
      </c>
      <c r="B109" s="3" t="s">
        <v>5</v>
      </c>
      <c r="C109" s="3" t="s">
        <v>50</v>
      </c>
      <c r="D109" s="4">
        <v>3872.1328125</v>
      </c>
    </row>
    <row r="110" spans="1:4" x14ac:dyDescent="0.25">
      <c r="A110" s="5" t="s">
        <v>27</v>
      </c>
      <c r="B110" s="6" t="s">
        <v>5</v>
      </c>
      <c r="C110" s="6" t="s">
        <v>51</v>
      </c>
      <c r="D110" s="7">
        <v>3872.1328125</v>
      </c>
    </row>
    <row r="111" spans="1:4" x14ac:dyDescent="0.25">
      <c r="A111" s="2" t="s">
        <v>27</v>
      </c>
      <c r="B111" s="3" t="s">
        <v>5</v>
      </c>
      <c r="C111" s="3" t="s">
        <v>52</v>
      </c>
      <c r="D111" s="4">
        <v>3872.1328125</v>
      </c>
    </row>
    <row r="112" spans="1:4" x14ac:dyDescent="0.25">
      <c r="A112" s="5" t="s">
        <v>27</v>
      </c>
      <c r="B112" s="6" t="s">
        <v>5</v>
      </c>
      <c r="C112" s="6" t="s">
        <v>53</v>
      </c>
      <c r="D112" s="7">
        <v>3872.1328125</v>
      </c>
    </row>
    <row r="113" spans="1:4" x14ac:dyDescent="0.25">
      <c r="A113" s="2" t="s">
        <v>27</v>
      </c>
      <c r="B113" s="3" t="s">
        <v>5</v>
      </c>
      <c r="C113" s="3" t="s">
        <v>54</v>
      </c>
      <c r="D113" s="4">
        <v>3873.99145507812</v>
      </c>
    </row>
    <row r="114" spans="1:4" x14ac:dyDescent="0.25">
      <c r="A114" s="2" t="s">
        <v>27</v>
      </c>
      <c r="B114" s="3" t="s">
        <v>5</v>
      </c>
      <c r="C114" s="3" t="s">
        <v>55</v>
      </c>
      <c r="D114" s="4">
        <v>3725.151123046875</v>
      </c>
    </row>
    <row r="115" spans="1:4" x14ac:dyDescent="0.25">
      <c r="A115" s="5" t="s">
        <v>27</v>
      </c>
      <c r="B115" s="6" t="s">
        <v>5</v>
      </c>
      <c r="C115" s="6" t="s">
        <v>56</v>
      </c>
      <c r="D115" s="7">
        <v>3725.151123046875</v>
      </c>
    </row>
    <row r="116" spans="1:4" x14ac:dyDescent="0.25">
      <c r="A116" s="2" t="s">
        <v>27</v>
      </c>
      <c r="B116" s="3" t="s">
        <v>5</v>
      </c>
      <c r="C116" s="3" t="s">
        <v>57</v>
      </c>
      <c r="D116" s="4">
        <v>3725.151123046875</v>
      </c>
    </row>
    <row r="117" spans="1:4" x14ac:dyDescent="0.25">
      <c r="A117" s="5" t="s">
        <v>27</v>
      </c>
      <c r="B117" s="6" t="s">
        <v>5</v>
      </c>
      <c r="C117" s="6" t="s">
        <v>58</v>
      </c>
      <c r="D117" s="7">
        <v>3725.151123046875</v>
      </c>
    </row>
    <row r="118" spans="1:4" x14ac:dyDescent="0.25">
      <c r="A118" s="2" t="s">
        <v>27</v>
      </c>
      <c r="B118" s="3" t="s">
        <v>5</v>
      </c>
      <c r="C118" s="3" t="s">
        <v>59</v>
      </c>
      <c r="D118" s="4">
        <v>3725.151123046875</v>
      </c>
    </row>
    <row r="119" spans="1:4" x14ac:dyDescent="0.25">
      <c r="A119" s="5" t="s">
        <v>27</v>
      </c>
      <c r="B119" s="6" t="s">
        <v>5</v>
      </c>
      <c r="C119" s="6" t="s">
        <v>60</v>
      </c>
      <c r="D119" s="7">
        <v>3725.151123046875</v>
      </c>
    </row>
    <row r="120" spans="1:4" x14ac:dyDescent="0.25">
      <c r="A120" s="2" t="s">
        <v>27</v>
      </c>
      <c r="B120" s="3" t="s">
        <v>5</v>
      </c>
      <c r="C120" s="3" t="s">
        <v>61</v>
      </c>
      <c r="D120" s="4">
        <v>3725.151123046875</v>
      </c>
    </row>
    <row r="121" spans="1:4" x14ac:dyDescent="0.25">
      <c r="A121" s="5" t="s">
        <v>27</v>
      </c>
      <c r="B121" s="6" t="s">
        <v>5</v>
      </c>
      <c r="C121" s="6" t="s">
        <v>62</v>
      </c>
      <c r="D121" s="7">
        <v>3725.151123046875</v>
      </c>
    </row>
    <row r="122" spans="1:4" x14ac:dyDescent="0.25">
      <c r="A122" s="2" t="s">
        <v>27</v>
      </c>
      <c r="B122" s="3" t="s">
        <v>5</v>
      </c>
      <c r="C122" s="3" t="s">
        <v>63</v>
      </c>
      <c r="D122" s="4">
        <v>3725.151123046875</v>
      </c>
    </row>
    <row r="123" spans="1:4" x14ac:dyDescent="0.25">
      <c r="A123" s="5" t="s">
        <v>27</v>
      </c>
      <c r="B123" s="6" t="s">
        <v>5</v>
      </c>
      <c r="C123" s="6" t="s">
        <v>64</v>
      </c>
      <c r="D123" s="7">
        <v>3725.151123046875</v>
      </c>
    </row>
    <row r="124" spans="1:4" x14ac:dyDescent="0.25">
      <c r="A124" s="2" t="s">
        <v>27</v>
      </c>
      <c r="B124" s="3" t="s">
        <v>5</v>
      </c>
      <c r="C124" s="3" t="s">
        <v>65</v>
      </c>
      <c r="D124" s="4">
        <v>3725.151123046875</v>
      </c>
    </row>
    <row r="125" spans="1:4" x14ac:dyDescent="0.25">
      <c r="A125" s="5" t="s">
        <v>27</v>
      </c>
      <c r="B125" s="6" t="s">
        <v>5</v>
      </c>
      <c r="C125" s="6" t="s">
        <v>66</v>
      </c>
      <c r="D125" s="7">
        <v>3726.939453125</v>
      </c>
    </row>
    <row r="126" spans="1:4" x14ac:dyDescent="0.25">
      <c r="A126" s="5" t="s">
        <v>16</v>
      </c>
      <c r="B126" s="6" t="s">
        <v>5</v>
      </c>
      <c r="C126" s="6" t="s">
        <v>36</v>
      </c>
      <c r="D126" s="7">
        <v>22221.154296875</v>
      </c>
    </row>
    <row r="127" spans="1:4" x14ac:dyDescent="0.25">
      <c r="A127" s="2" t="s">
        <v>16</v>
      </c>
      <c r="B127" s="3" t="s">
        <v>5</v>
      </c>
      <c r="C127" s="3" t="s">
        <v>37</v>
      </c>
      <c r="D127" s="4">
        <v>22221.154296875</v>
      </c>
    </row>
    <row r="128" spans="1:4" x14ac:dyDescent="0.25">
      <c r="A128" s="5" t="s">
        <v>16</v>
      </c>
      <c r="B128" s="6" t="s">
        <v>5</v>
      </c>
      <c r="C128" s="6" t="s">
        <v>38</v>
      </c>
      <c r="D128" s="7">
        <v>22221.154296875</v>
      </c>
    </row>
    <row r="129" spans="1:4" x14ac:dyDescent="0.25">
      <c r="A129" s="2" t="s">
        <v>16</v>
      </c>
      <c r="B129" s="3" t="s">
        <v>5</v>
      </c>
      <c r="C129" s="3" t="s">
        <v>39</v>
      </c>
      <c r="D129" s="4">
        <v>22221.154296875</v>
      </c>
    </row>
    <row r="130" spans="1:4" x14ac:dyDescent="0.25">
      <c r="A130" s="5" t="s">
        <v>16</v>
      </c>
      <c r="B130" s="6" t="s">
        <v>5</v>
      </c>
      <c r="C130" s="6" t="s">
        <v>40</v>
      </c>
      <c r="D130" s="7">
        <v>22221.154296875</v>
      </c>
    </row>
    <row r="131" spans="1:4" x14ac:dyDescent="0.25">
      <c r="A131" s="2" t="s">
        <v>16</v>
      </c>
      <c r="B131" s="3" t="s">
        <v>5</v>
      </c>
      <c r="C131" s="3" t="s">
        <v>41</v>
      </c>
      <c r="D131" s="4">
        <v>22221.154296875</v>
      </c>
    </row>
    <row r="132" spans="1:4" x14ac:dyDescent="0.25">
      <c r="A132" s="5" t="s">
        <v>16</v>
      </c>
      <c r="B132" s="6" t="s">
        <v>5</v>
      </c>
      <c r="C132" s="6" t="s">
        <v>42</v>
      </c>
      <c r="D132" s="7">
        <v>22231.822265625</v>
      </c>
    </row>
    <row r="133" spans="1:4" x14ac:dyDescent="0.25">
      <c r="A133" s="2" t="s">
        <v>16</v>
      </c>
      <c r="B133" s="3" t="s">
        <v>5</v>
      </c>
      <c r="C133" s="3" t="s">
        <v>43</v>
      </c>
      <c r="D133" s="4">
        <v>22726.298828125</v>
      </c>
    </row>
    <row r="134" spans="1:4" x14ac:dyDescent="0.25">
      <c r="A134" s="5" t="s">
        <v>16</v>
      </c>
      <c r="B134" s="6" t="s">
        <v>5</v>
      </c>
      <c r="C134" s="6" t="s">
        <v>44</v>
      </c>
      <c r="D134" s="7">
        <v>22726.298828125</v>
      </c>
    </row>
    <row r="135" spans="1:4" x14ac:dyDescent="0.25">
      <c r="A135" s="2" t="s">
        <v>16</v>
      </c>
      <c r="B135" s="3" t="s">
        <v>5</v>
      </c>
      <c r="C135" s="3" t="s">
        <v>45</v>
      </c>
      <c r="D135" s="4">
        <v>22726.298828125</v>
      </c>
    </row>
    <row r="136" spans="1:4" x14ac:dyDescent="0.25">
      <c r="A136" s="5" t="s">
        <v>16</v>
      </c>
      <c r="B136" s="6" t="s">
        <v>5</v>
      </c>
      <c r="C136" s="6" t="s">
        <v>46</v>
      </c>
      <c r="D136" s="7">
        <v>22726.298828125</v>
      </c>
    </row>
    <row r="137" spans="1:4" x14ac:dyDescent="0.25">
      <c r="A137" s="2" t="s">
        <v>16</v>
      </c>
      <c r="B137" s="3" t="s">
        <v>5</v>
      </c>
      <c r="C137" s="3" t="s">
        <v>47</v>
      </c>
      <c r="D137" s="4">
        <v>22726.298828125</v>
      </c>
    </row>
    <row r="138" spans="1:4" x14ac:dyDescent="0.25">
      <c r="A138" s="5" t="s">
        <v>16</v>
      </c>
      <c r="B138" s="6" t="s">
        <v>5</v>
      </c>
      <c r="C138" s="6" t="s">
        <v>48</v>
      </c>
      <c r="D138" s="7">
        <v>22726.298828125</v>
      </c>
    </row>
    <row r="139" spans="1:4" x14ac:dyDescent="0.25">
      <c r="A139" s="2" t="s">
        <v>16</v>
      </c>
      <c r="B139" s="3" t="s">
        <v>5</v>
      </c>
      <c r="C139" s="3" t="s">
        <v>49</v>
      </c>
      <c r="D139" s="4">
        <v>22726.298828125</v>
      </c>
    </row>
    <row r="140" spans="1:4" x14ac:dyDescent="0.25">
      <c r="A140" s="5" t="s">
        <v>16</v>
      </c>
      <c r="B140" s="6" t="s">
        <v>5</v>
      </c>
      <c r="C140" s="6" t="s">
        <v>50</v>
      </c>
      <c r="D140" s="7">
        <v>22726.298828125</v>
      </c>
    </row>
    <row r="141" spans="1:4" x14ac:dyDescent="0.25">
      <c r="A141" s="2" t="s">
        <v>16</v>
      </c>
      <c r="B141" s="3" t="s">
        <v>5</v>
      </c>
      <c r="C141" s="3" t="s">
        <v>51</v>
      </c>
      <c r="D141" s="4">
        <v>22726.298828125</v>
      </c>
    </row>
    <row r="142" spans="1:4" x14ac:dyDescent="0.25">
      <c r="A142" s="5" t="s">
        <v>16</v>
      </c>
      <c r="B142" s="6" t="s">
        <v>5</v>
      </c>
      <c r="C142" s="6" t="s">
        <v>52</v>
      </c>
      <c r="D142" s="7">
        <v>22726.298828125</v>
      </c>
    </row>
    <row r="143" spans="1:4" x14ac:dyDescent="0.25">
      <c r="A143" s="2" t="s">
        <v>16</v>
      </c>
      <c r="B143" s="3" t="s">
        <v>5</v>
      </c>
      <c r="C143" s="3" t="s">
        <v>53</v>
      </c>
      <c r="D143" s="4">
        <v>22726.298828125</v>
      </c>
    </row>
    <row r="144" spans="1:4" x14ac:dyDescent="0.25">
      <c r="A144" s="5" t="s">
        <v>16</v>
      </c>
      <c r="B144" s="6" t="s">
        <v>5</v>
      </c>
      <c r="C144" s="6" t="s">
        <v>54</v>
      </c>
      <c r="D144" s="7">
        <v>22737.20703125</v>
      </c>
    </row>
    <row r="145" spans="1:4" x14ac:dyDescent="0.25">
      <c r="A145" s="5" t="s">
        <v>16</v>
      </c>
      <c r="B145" s="6" t="s">
        <v>5</v>
      </c>
      <c r="C145" s="6" t="s">
        <v>55</v>
      </c>
      <c r="D145" s="7">
        <v>23445.638671875</v>
      </c>
    </row>
    <row r="146" spans="1:4" x14ac:dyDescent="0.25">
      <c r="A146" s="2" t="s">
        <v>16</v>
      </c>
      <c r="B146" s="3" t="s">
        <v>5</v>
      </c>
      <c r="C146" s="3" t="s">
        <v>56</v>
      </c>
      <c r="D146" s="4">
        <v>23445.638671875</v>
      </c>
    </row>
    <row r="147" spans="1:4" x14ac:dyDescent="0.25">
      <c r="A147" s="5" t="s">
        <v>16</v>
      </c>
      <c r="B147" s="6" t="s">
        <v>5</v>
      </c>
      <c r="C147" s="6" t="s">
        <v>57</v>
      </c>
      <c r="D147" s="7">
        <v>23445.638671875</v>
      </c>
    </row>
    <row r="148" spans="1:4" x14ac:dyDescent="0.25">
      <c r="A148" s="2" t="s">
        <v>16</v>
      </c>
      <c r="B148" s="3" t="s">
        <v>5</v>
      </c>
      <c r="C148" s="3" t="s">
        <v>58</v>
      </c>
      <c r="D148" s="4">
        <v>23445.638671875</v>
      </c>
    </row>
    <row r="149" spans="1:4" x14ac:dyDescent="0.25">
      <c r="A149" s="5" t="s">
        <v>16</v>
      </c>
      <c r="B149" s="6" t="s">
        <v>5</v>
      </c>
      <c r="C149" s="6" t="s">
        <v>59</v>
      </c>
      <c r="D149" s="7">
        <v>23445.638671875</v>
      </c>
    </row>
    <row r="150" spans="1:4" x14ac:dyDescent="0.25">
      <c r="A150" s="2" t="s">
        <v>16</v>
      </c>
      <c r="B150" s="3" t="s">
        <v>5</v>
      </c>
      <c r="C150" s="3" t="s">
        <v>60</v>
      </c>
      <c r="D150" s="4">
        <v>23445.638671875</v>
      </c>
    </row>
    <row r="151" spans="1:4" x14ac:dyDescent="0.25">
      <c r="A151" s="5" t="s">
        <v>16</v>
      </c>
      <c r="B151" s="6" t="s">
        <v>5</v>
      </c>
      <c r="C151" s="6" t="s">
        <v>61</v>
      </c>
      <c r="D151" s="7">
        <v>23445.638671875</v>
      </c>
    </row>
    <row r="152" spans="1:4" x14ac:dyDescent="0.25">
      <c r="A152" s="2" t="s">
        <v>16</v>
      </c>
      <c r="B152" s="3" t="s">
        <v>5</v>
      </c>
      <c r="C152" s="3" t="s">
        <v>62</v>
      </c>
      <c r="D152" s="4">
        <v>23445.638671875</v>
      </c>
    </row>
    <row r="153" spans="1:4" x14ac:dyDescent="0.25">
      <c r="A153" s="5" t="s">
        <v>16</v>
      </c>
      <c r="B153" s="6" t="s">
        <v>5</v>
      </c>
      <c r="C153" s="6" t="s">
        <v>63</v>
      </c>
      <c r="D153" s="7">
        <v>23445.638671875</v>
      </c>
    </row>
    <row r="154" spans="1:4" x14ac:dyDescent="0.25">
      <c r="A154" s="2" t="s">
        <v>16</v>
      </c>
      <c r="B154" s="3" t="s">
        <v>5</v>
      </c>
      <c r="C154" s="3" t="s">
        <v>64</v>
      </c>
      <c r="D154" s="4">
        <v>23445.638671875</v>
      </c>
    </row>
    <row r="155" spans="1:4" x14ac:dyDescent="0.25">
      <c r="A155" s="5" t="s">
        <v>16</v>
      </c>
      <c r="B155" s="6" t="s">
        <v>5</v>
      </c>
      <c r="C155" s="6" t="s">
        <v>65</v>
      </c>
      <c r="D155" s="7">
        <v>23445.638671875</v>
      </c>
    </row>
    <row r="156" spans="1:4" x14ac:dyDescent="0.25">
      <c r="A156" s="2" t="s">
        <v>16</v>
      </c>
      <c r="B156" s="3" t="s">
        <v>5</v>
      </c>
      <c r="C156" s="3" t="s">
        <v>66</v>
      </c>
      <c r="D156" s="4">
        <v>23456.89453125</v>
      </c>
    </row>
    <row r="157" spans="1:4" x14ac:dyDescent="0.25">
      <c r="A157" s="2" t="s">
        <v>17</v>
      </c>
      <c r="B157" s="3" t="s">
        <v>5</v>
      </c>
      <c r="C157" s="3" t="s">
        <v>36</v>
      </c>
      <c r="D157" s="4">
        <v>5729.68701171875</v>
      </c>
    </row>
    <row r="158" spans="1:4" x14ac:dyDescent="0.25">
      <c r="A158" s="5" t="s">
        <v>17</v>
      </c>
      <c r="B158" s="6" t="s">
        <v>5</v>
      </c>
      <c r="C158" s="6" t="s">
        <v>37</v>
      </c>
      <c r="D158" s="7">
        <v>5729.68701171875</v>
      </c>
    </row>
    <row r="159" spans="1:4" x14ac:dyDescent="0.25">
      <c r="A159" s="2" t="s">
        <v>17</v>
      </c>
      <c r="B159" s="3" t="s">
        <v>5</v>
      </c>
      <c r="C159" s="3" t="s">
        <v>38</v>
      </c>
      <c r="D159" s="4">
        <v>5729.68701171875</v>
      </c>
    </row>
    <row r="160" spans="1:4" x14ac:dyDescent="0.25">
      <c r="A160" s="5" t="s">
        <v>17</v>
      </c>
      <c r="B160" s="6" t="s">
        <v>5</v>
      </c>
      <c r="C160" s="6" t="s">
        <v>39</v>
      </c>
      <c r="D160" s="7">
        <v>5729.68701171875</v>
      </c>
    </row>
    <row r="161" spans="1:4" x14ac:dyDescent="0.25">
      <c r="A161" s="2" t="s">
        <v>17</v>
      </c>
      <c r="B161" s="3" t="s">
        <v>5</v>
      </c>
      <c r="C161" s="3" t="s">
        <v>40</v>
      </c>
      <c r="D161" s="4">
        <v>5729.68701171875</v>
      </c>
    </row>
    <row r="162" spans="1:4" x14ac:dyDescent="0.25">
      <c r="A162" s="5" t="s">
        <v>17</v>
      </c>
      <c r="B162" s="6" t="s">
        <v>5</v>
      </c>
      <c r="C162" s="6" t="s">
        <v>41</v>
      </c>
      <c r="D162" s="7">
        <v>5729.68701171875</v>
      </c>
    </row>
    <row r="163" spans="1:4" x14ac:dyDescent="0.25">
      <c r="A163" s="2" t="s">
        <v>17</v>
      </c>
      <c r="B163" s="3" t="s">
        <v>5</v>
      </c>
      <c r="C163" s="3" t="s">
        <v>42</v>
      </c>
      <c r="D163" s="4">
        <v>5732.4375</v>
      </c>
    </row>
    <row r="164" spans="1:4" x14ac:dyDescent="0.25">
      <c r="A164" s="5" t="s">
        <v>17</v>
      </c>
      <c r="B164" s="6" t="s">
        <v>5</v>
      </c>
      <c r="C164" s="6" t="s">
        <v>43</v>
      </c>
      <c r="D164" s="7">
        <v>5860.28955078125</v>
      </c>
    </row>
    <row r="165" spans="1:4" x14ac:dyDescent="0.25">
      <c r="A165" s="2" t="s">
        <v>17</v>
      </c>
      <c r="B165" s="3" t="s">
        <v>5</v>
      </c>
      <c r="C165" s="3" t="s">
        <v>44</v>
      </c>
      <c r="D165" s="4">
        <v>5860.28955078125</v>
      </c>
    </row>
    <row r="166" spans="1:4" x14ac:dyDescent="0.25">
      <c r="A166" s="5" t="s">
        <v>17</v>
      </c>
      <c r="B166" s="6" t="s">
        <v>5</v>
      </c>
      <c r="C166" s="6" t="s">
        <v>45</v>
      </c>
      <c r="D166" s="7">
        <v>5860.28955078125</v>
      </c>
    </row>
    <row r="167" spans="1:4" x14ac:dyDescent="0.25">
      <c r="A167" s="2" t="s">
        <v>17</v>
      </c>
      <c r="B167" s="3" t="s">
        <v>5</v>
      </c>
      <c r="C167" s="3" t="s">
        <v>46</v>
      </c>
      <c r="D167" s="4">
        <v>5860.28955078125</v>
      </c>
    </row>
    <row r="168" spans="1:4" x14ac:dyDescent="0.25">
      <c r="A168" s="5" t="s">
        <v>17</v>
      </c>
      <c r="B168" s="6" t="s">
        <v>5</v>
      </c>
      <c r="C168" s="6" t="s">
        <v>47</v>
      </c>
      <c r="D168" s="7">
        <v>5860.28955078125</v>
      </c>
    </row>
    <row r="169" spans="1:4" x14ac:dyDescent="0.25">
      <c r="A169" s="2" t="s">
        <v>17</v>
      </c>
      <c r="B169" s="3" t="s">
        <v>5</v>
      </c>
      <c r="C169" s="3" t="s">
        <v>48</v>
      </c>
      <c r="D169" s="4">
        <v>5860.28955078125</v>
      </c>
    </row>
    <row r="170" spans="1:4" x14ac:dyDescent="0.25">
      <c r="A170" s="5" t="s">
        <v>17</v>
      </c>
      <c r="B170" s="6" t="s">
        <v>5</v>
      </c>
      <c r="C170" s="6" t="s">
        <v>49</v>
      </c>
      <c r="D170" s="7">
        <v>5860.28955078125</v>
      </c>
    </row>
    <row r="171" spans="1:4" x14ac:dyDescent="0.25">
      <c r="A171" s="2" t="s">
        <v>17</v>
      </c>
      <c r="B171" s="3" t="s">
        <v>5</v>
      </c>
      <c r="C171" s="3" t="s">
        <v>50</v>
      </c>
      <c r="D171" s="4">
        <v>5860.28955078125</v>
      </c>
    </row>
    <row r="172" spans="1:4" x14ac:dyDescent="0.25">
      <c r="A172" s="5" t="s">
        <v>17</v>
      </c>
      <c r="B172" s="6" t="s">
        <v>5</v>
      </c>
      <c r="C172" s="6" t="s">
        <v>51</v>
      </c>
      <c r="D172" s="7">
        <v>5860.28955078125</v>
      </c>
    </row>
    <row r="173" spans="1:4" x14ac:dyDescent="0.25">
      <c r="A173" s="2" t="s">
        <v>17</v>
      </c>
      <c r="B173" s="3" t="s">
        <v>5</v>
      </c>
      <c r="C173" s="3" t="s">
        <v>52</v>
      </c>
      <c r="D173" s="4">
        <v>5860.28955078125</v>
      </c>
    </row>
    <row r="174" spans="1:4" x14ac:dyDescent="0.25">
      <c r="A174" s="5" t="s">
        <v>17</v>
      </c>
      <c r="B174" s="6" t="s">
        <v>5</v>
      </c>
      <c r="C174" s="6" t="s">
        <v>53</v>
      </c>
      <c r="D174" s="7">
        <v>5860.28955078125</v>
      </c>
    </row>
    <row r="175" spans="1:4" x14ac:dyDescent="0.25">
      <c r="A175" s="2" t="s">
        <v>17</v>
      </c>
      <c r="B175" s="3" t="s">
        <v>5</v>
      </c>
      <c r="C175" s="3" t="s">
        <v>54</v>
      </c>
      <c r="D175" s="4">
        <v>5863.1025390625</v>
      </c>
    </row>
    <row r="176" spans="1:4" x14ac:dyDescent="0.25">
      <c r="A176" s="2" t="s">
        <v>17</v>
      </c>
      <c r="B176" s="3" t="s">
        <v>5</v>
      </c>
      <c r="C176" s="3" t="s">
        <v>55</v>
      </c>
      <c r="D176" s="4">
        <v>5947.56640625</v>
      </c>
    </row>
    <row r="177" spans="1:4" x14ac:dyDescent="0.25">
      <c r="A177" s="5" t="s">
        <v>17</v>
      </c>
      <c r="B177" s="6" t="s">
        <v>5</v>
      </c>
      <c r="C177" s="6" t="s">
        <v>56</v>
      </c>
      <c r="D177" s="7">
        <v>5947.56640625</v>
      </c>
    </row>
    <row r="178" spans="1:4" x14ac:dyDescent="0.25">
      <c r="A178" s="2" t="s">
        <v>17</v>
      </c>
      <c r="B178" s="3" t="s">
        <v>5</v>
      </c>
      <c r="C178" s="3" t="s">
        <v>57</v>
      </c>
      <c r="D178" s="4">
        <v>5947.56640625</v>
      </c>
    </row>
    <row r="179" spans="1:4" x14ac:dyDescent="0.25">
      <c r="A179" s="5" t="s">
        <v>17</v>
      </c>
      <c r="B179" s="6" t="s">
        <v>5</v>
      </c>
      <c r="C179" s="6" t="s">
        <v>58</v>
      </c>
      <c r="D179" s="7">
        <v>5947.56640625</v>
      </c>
    </row>
    <row r="180" spans="1:4" x14ac:dyDescent="0.25">
      <c r="A180" s="2" t="s">
        <v>17</v>
      </c>
      <c r="B180" s="3" t="s">
        <v>5</v>
      </c>
      <c r="C180" s="3" t="s">
        <v>59</v>
      </c>
      <c r="D180" s="4">
        <v>5947.56640625</v>
      </c>
    </row>
    <row r="181" spans="1:4" x14ac:dyDescent="0.25">
      <c r="A181" s="5" t="s">
        <v>17</v>
      </c>
      <c r="B181" s="6" t="s">
        <v>5</v>
      </c>
      <c r="C181" s="6" t="s">
        <v>60</v>
      </c>
      <c r="D181" s="7">
        <v>5947.56640625</v>
      </c>
    </row>
    <row r="182" spans="1:4" x14ac:dyDescent="0.25">
      <c r="A182" s="2" t="s">
        <v>17</v>
      </c>
      <c r="B182" s="3" t="s">
        <v>5</v>
      </c>
      <c r="C182" s="3" t="s">
        <v>61</v>
      </c>
      <c r="D182" s="4">
        <v>5947.56640625</v>
      </c>
    </row>
    <row r="183" spans="1:4" x14ac:dyDescent="0.25">
      <c r="A183" s="5" t="s">
        <v>17</v>
      </c>
      <c r="B183" s="6" t="s">
        <v>5</v>
      </c>
      <c r="C183" s="6" t="s">
        <v>62</v>
      </c>
      <c r="D183" s="7">
        <v>5947.56640625</v>
      </c>
    </row>
    <row r="184" spans="1:4" x14ac:dyDescent="0.25">
      <c r="A184" s="2" t="s">
        <v>17</v>
      </c>
      <c r="B184" s="3" t="s">
        <v>5</v>
      </c>
      <c r="C184" s="3" t="s">
        <v>63</v>
      </c>
      <c r="D184" s="4">
        <v>5947.56640625</v>
      </c>
    </row>
    <row r="185" spans="1:4" x14ac:dyDescent="0.25">
      <c r="A185" s="5" t="s">
        <v>17</v>
      </c>
      <c r="B185" s="6" t="s">
        <v>5</v>
      </c>
      <c r="C185" s="6" t="s">
        <v>64</v>
      </c>
      <c r="D185" s="7">
        <v>5947.56640625</v>
      </c>
    </row>
    <row r="186" spans="1:4" x14ac:dyDescent="0.25">
      <c r="A186" s="2" t="s">
        <v>17</v>
      </c>
      <c r="B186" s="3" t="s">
        <v>5</v>
      </c>
      <c r="C186" s="3" t="s">
        <v>65</v>
      </c>
      <c r="D186" s="4">
        <v>5947.56640625</v>
      </c>
    </row>
    <row r="187" spans="1:4" x14ac:dyDescent="0.25">
      <c r="A187" s="5" t="s">
        <v>17</v>
      </c>
      <c r="B187" s="6" t="s">
        <v>5</v>
      </c>
      <c r="C187" s="6" t="s">
        <v>66</v>
      </c>
      <c r="D187" s="7">
        <v>5950.42138671875</v>
      </c>
    </row>
    <row r="188" spans="1:4" x14ac:dyDescent="0.25">
      <c r="A188" s="5" t="s">
        <v>30</v>
      </c>
      <c r="B188" s="6" t="s">
        <v>5</v>
      </c>
      <c r="C188" s="6" t="s">
        <v>36</v>
      </c>
      <c r="D188" s="7">
        <v>2326.06689453125</v>
      </c>
    </row>
    <row r="189" spans="1:4" x14ac:dyDescent="0.25">
      <c r="A189" s="2" t="s">
        <v>30</v>
      </c>
      <c r="B189" s="3" t="s">
        <v>5</v>
      </c>
      <c r="C189" s="3" t="s">
        <v>37</v>
      </c>
      <c r="D189" s="4">
        <v>2326.06689453125</v>
      </c>
    </row>
    <row r="190" spans="1:4" x14ac:dyDescent="0.25">
      <c r="A190" s="5" t="s">
        <v>30</v>
      </c>
      <c r="B190" s="6" t="s">
        <v>5</v>
      </c>
      <c r="C190" s="6" t="s">
        <v>38</v>
      </c>
      <c r="D190" s="7">
        <v>2326.06689453125</v>
      </c>
    </row>
    <row r="191" spans="1:4" x14ac:dyDescent="0.25">
      <c r="A191" s="2" t="s">
        <v>30</v>
      </c>
      <c r="B191" s="3" t="s">
        <v>5</v>
      </c>
      <c r="C191" s="3" t="s">
        <v>39</v>
      </c>
      <c r="D191" s="4">
        <v>2326.06689453125</v>
      </c>
    </row>
    <row r="192" spans="1:4" x14ac:dyDescent="0.25">
      <c r="A192" s="5" t="s">
        <v>30</v>
      </c>
      <c r="B192" s="6" t="s">
        <v>5</v>
      </c>
      <c r="C192" s="6" t="s">
        <v>40</v>
      </c>
      <c r="D192" s="7">
        <v>2326.06689453125</v>
      </c>
    </row>
    <row r="193" spans="1:4" x14ac:dyDescent="0.25">
      <c r="A193" s="2" t="s">
        <v>30</v>
      </c>
      <c r="B193" s="3" t="s">
        <v>5</v>
      </c>
      <c r="C193" s="3" t="s">
        <v>41</v>
      </c>
      <c r="D193" s="4">
        <v>2326.06689453125</v>
      </c>
    </row>
    <row r="194" spans="1:4" x14ac:dyDescent="0.25">
      <c r="A194" s="5" t="s">
        <v>30</v>
      </c>
      <c r="B194" s="6" t="s">
        <v>5</v>
      </c>
      <c r="C194" s="6" t="s">
        <v>42</v>
      </c>
      <c r="D194" s="7">
        <v>2327.18359375</v>
      </c>
    </row>
    <row r="195" spans="1:4" x14ac:dyDescent="0.25">
      <c r="A195" s="2" t="s">
        <v>30</v>
      </c>
      <c r="B195" s="3" t="s">
        <v>5</v>
      </c>
      <c r="C195" s="3" t="s">
        <v>43</v>
      </c>
      <c r="D195" s="4">
        <v>2379.08203125</v>
      </c>
    </row>
    <row r="196" spans="1:4" x14ac:dyDescent="0.25">
      <c r="A196" s="5" t="s">
        <v>30</v>
      </c>
      <c r="B196" s="6" t="s">
        <v>5</v>
      </c>
      <c r="C196" s="6" t="s">
        <v>44</v>
      </c>
      <c r="D196" s="7">
        <v>2379.08203125</v>
      </c>
    </row>
    <row r="197" spans="1:4" x14ac:dyDescent="0.25">
      <c r="A197" s="2" t="s">
        <v>30</v>
      </c>
      <c r="B197" s="3" t="s">
        <v>5</v>
      </c>
      <c r="C197" s="3" t="s">
        <v>45</v>
      </c>
      <c r="D197" s="4">
        <v>2379.08203125</v>
      </c>
    </row>
    <row r="198" spans="1:4" x14ac:dyDescent="0.25">
      <c r="A198" s="5" t="s">
        <v>30</v>
      </c>
      <c r="B198" s="6" t="s">
        <v>5</v>
      </c>
      <c r="C198" s="6" t="s">
        <v>46</v>
      </c>
      <c r="D198" s="7">
        <v>2379.08203125</v>
      </c>
    </row>
    <row r="199" spans="1:4" x14ac:dyDescent="0.25">
      <c r="A199" s="2" t="s">
        <v>30</v>
      </c>
      <c r="B199" s="3" t="s">
        <v>5</v>
      </c>
      <c r="C199" s="3" t="s">
        <v>47</v>
      </c>
      <c r="D199" s="4">
        <v>2379.08203125</v>
      </c>
    </row>
    <row r="200" spans="1:4" x14ac:dyDescent="0.25">
      <c r="A200" s="5" t="s">
        <v>30</v>
      </c>
      <c r="B200" s="6" t="s">
        <v>5</v>
      </c>
      <c r="C200" s="6" t="s">
        <v>48</v>
      </c>
      <c r="D200" s="7">
        <v>2379.08203125</v>
      </c>
    </row>
    <row r="201" spans="1:4" x14ac:dyDescent="0.25">
      <c r="A201" s="2" t="s">
        <v>30</v>
      </c>
      <c r="B201" s="3" t="s">
        <v>5</v>
      </c>
      <c r="C201" s="3" t="s">
        <v>49</v>
      </c>
      <c r="D201" s="4">
        <v>2379.08203125</v>
      </c>
    </row>
    <row r="202" spans="1:4" x14ac:dyDescent="0.25">
      <c r="A202" s="5" t="s">
        <v>30</v>
      </c>
      <c r="B202" s="6" t="s">
        <v>5</v>
      </c>
      <c r="C202" s="6" t="s">
        <v>50</v>
      </c>
      <c r="D202" s="7">
        <v>2379.08203125</v>
      </c>
    </row>
    <row r="203" spans="1:4" x14ac:dyDescent="0.25">
      <c r="A203" s="2" t="s">
        <v>30</v>
      </c>
      <c r="B203" s="3" t="s">
        <v>5</v>
      </c>
      <c r="C203" s="3" t="s">
        <v>51</v>
      </c>
      <c r="D203" s="4">
        <v>2379.08203125</v>
      </c>
    </row>
    <row r="204" spans="1:4" x14ac:dyDescent="0.25">
      <c r="A204" s="5" t="s">
        <v>30</v>
      </c>
      <c r="B204" s="6" t="s">
        <v>5</v>
      </c>
      <c r="C204" s="6" t="s">
        <v>52</v>
      </c>
      <c r="D204" s="7">
        <v>2379.08203125</v>
      </c>
    </row>
    <row r="205" spans="1:4" x14ac:dyDescent="0.25">
      <c r="A205" s="2" t="s">
        <v>30</v>
      </c>
      <c r="B205" s="3" t="s">
        <v>5</v>
      </c>
      <c r="C205" s="3" t="s">
        <v>53</v>
      </c>
      <c r="D205" s="4">
        <v>2379.08203125</v>
      </c>
    </row>
    <row r="206" spans="1:4" x14ac:dyDescent="0.25">
      <c r="A206" s="5" t="s">
        <v>30</v>
      </c>
      <c r="B206" s="6" t="s">
        <v>5</v>
      </c>
      <c r="C206" s="6" t="s">
        <v>54</v>
      </c>
      <c r="D206" s="7">
        <v>2380.22387695312</v>
      </c>
    </row>
    <row r="207" spans="1:4" x14ac:dyDescent="0.25">
      <c r="A207" s="5" t="s">
        <v>30</v>
      </c>
      <c r="B207" s="6" t="s">
        <v>5</v>
      </c>
      <c r="C207" s="6" t="s">
        <v>55</v>
      </c>
      <c r="D207" s="7">
        <v>2527.588623046875</v>
      </c>
    </row>
    <row r="208" spans="1:4" x14ac:dyDescent="0.25">
      <c r="A208" s="2" t="s">
        <v>30</v>
      </c>
      <c r="B208" s="3" t="s">
        <v>5</v>
      </c>
      <c r="C208" s="3" t="s">
        <v>56</v>
      </c>
      <c r="D208" s="4">
        <v>2527.588623046875</v>
      </c>
    </row>
    <row r="209" spans="1:4" x14ac:dyDescent="0.25">
      <c r="A209" s="5" t="s">
        <v>30</v>
      </c>
      <c r="B209" s="6" t="s">
        <v>5</v>
      </c>
      <c r="C209" s="6" t="s">
        <v>57</v>
      </c>
      <c r="D209" s="7">
        <v>2527.588623046875</v>
      </c>
    </row>
    <row r="210" spans="1:4" x14ac:dyDescent="0.25">
      <c r="A210" s="2" t="s">
        <v>30</v>
      </c>
      <c r="B210" s="3" t="s">
        <v>5</v>
      </c>
      <c r="C210" s="3" t="s">
        <v>58</v>
      </c>
      <c r="D210" s="4">
        <v>2527.588623046875</v>
      </c>
    </row>
    <row r="211" spans="1:4" x14ac:dyDescent="0.25">
      <c r="A211" s="5" t="s">
        <v>30</v>
      </c>
      <c r="B211" s="6" t="s">
        <v>5</v>
      </c>
      <c r="C211" s="6" t="s">
        <v>59</v>
      </c>
      <c r="D211" s="7">
        <v>2527.588623046875</v>
      </c>
    </row>
    <row r="212" spans="1:4" x14ac:dyDescent="0.25">
      <c r="A212" s="2" t="s">
        <v>30</v>
      </c>
      <c r="B212" s="3" t="s">
        <v>5</v>
      </c>
      <c r="C212" s="3" t="s">
        <v>60</v>
      </c>
      <c r="D212" s="4">
        <v>2527.588623046875</v>
      </c>
    </row>
    <row r="213" spans="1:4" x14ac:dyDescent="0.25">
      <c r="A213" s="5" t="s">
        <v>30</v>
      </c>
      <c r="B213" s="6" t="s">
        <v>5</v>
      </c>
      <c r="C213" s="6" t="s">
        <v>61</v>
      </c>
      <c r="D213" s="7">
        <v>2527.588623046875</v>
      </c>
    </row>
    <row r="214" spans="1:4" x14ac:dyDescent="0.25">
      <c r="A214" s="2" t="s">
        <v>30</v>
      </c>
      <c r="B214" s="3" t="s">
        <v>5</v>
      </c>
      <c r="C214" s="3" t="s">
        <v>62</v>
      </c>
      <c r="D214" s="4">
        <v>2527.588623046875</v>
      </c>
    </row>
    <row r="215" spans="1:4" x14ac:dyDescent="0.25">
      <c r="A215" s="5" t="s">
        <v>30</v>
      </c>
      <c r="B215" s="6" t="s">
        <v>5</v>
      </c>
      <c r="C215" s="6" t="s">
        <v>63</v>
      </c>
      <c r="D215" s="7">
        <v>2527.588623046875</v>
      </c>
    </row>
    <row r="216" spans="1:4" x14ac:dyDescent="0.25">
      <c r="A216" s="2" t="s">
        <v>30</v>
      </c>
      <c r="B216" s="3" t="s">
        <v>5</v>
      </c>
      <c r="C216" s="3" t="s">
        <v>64</v>
      </c>
      <c r="D216" s="4">
        <v>2527.588623046875</v>
      </c>
    </row>
    <row r="217" spans="1:4" x14ac:dyDescent="0.25">
      <c r="A217" s="5" t="s">
        <v>30</v>
      </c>
      <c r="B217" s="6" t="s">
        <v>5</v>
      </c>
      <c r="C217" s="6" t="s">
        <v>65</v>
      </c>
      <c r="D217" s="7">
        <v>2527.588623046875</v>
      </c>
    </row>
    <row r="218" spans="1:4" x14ac:dyDescent="0.25">
      <c r="A218" s="2" t="s">
        <v>30</v>
      </c>
      <c r="B218" s="3" t="s">
        <v>5</v>
      </c>
      <c r="C218" s="3" t="s">
        <v>66</v>
      </c>
      <c r="D218" s="4">
        <v>2528.8017578125</v>
      </c>
    </row>
    <row r="219" spans="1:4" x14ac:dyDescent="0.25">
      <c r="A219" s="5" t="s">
        <v>24</v>
      </c>
      <c r="B219" s="6" t="s">
        <v>5</v>
      </c>
      <c r="C219" s="6" t="s">
        <v>36</v>
      </c>
      <c r="D219" s="7">
        <v>756.65765380859398</v>
      </c>
    </row>
    <row r="220" spans="1:4" x14ac:dyDescent="0.25">
      <c r="A220" s="2" t="s">
        <v>24</v>
      </c>
      <c r="B220" s="3" t="s">
        <v>5</v>
      </c>
      <c r="C220" s="3" t="s">
        <v>37</v>
      </c>
      <c r="D220" s="4">
        <v>756.65765380859398</v>
      </c>
    </row>
    <row r="221" spans="1:4" x14ac:dyDescent="0.25">
      <c r="A221" s="5" t="s">
        <v>24</v>
      </c>
      <c r="B221" s="6" t="s">
        <v>5</v>
      </c>
      <c r="C221" s="6" t="s">
        <v>38</v>
      </c>
      <c r="D221" s="7">
        <v>756.65765380859398</v>
      </c>
    </row>
    <row r="222" spans="1:4" x14ac:dyDescent="0.25">
      <c r="A222" s="2" t="s">
        <v>24</v>
      </c>
      <c r="B222" s="3" t="s">
        <v>5</v>
      </c>
      <c r="C222" s="3" t="s">
        <v>39</v>
      </c>
      <c r="D222" s="4">
        <v>756.65765380859398</v>
      </c>
    </row>
    <row r="223" spans="1:4" x14ac:dyDescent="0.25">
      <c r="A223" s="5" t="s">
        <v>24</v>
      </c>
      <c r="B223" s="6" t="s">
        <v>5</v>
      </c>
      <c r="C223" s="6" t="s">
        <v>40</v>
      </c>
      <c r="D223" s="7">
        <v>756.65765380859398</v>
      </c>
    </row>
    <row r="224" spans="1:4" x14ac:dyDescent="0.25">
      <c r="A224" s="2" t="s">
        <v>24</v>
      </c>
      <c r="B224" s="3" t="s">
        <v>5</v>
      </c>
      <c r="C224" s="3" t="s">
        <v>41</v>
      </c>
      <c r="D224" s="4">
        <v>756.65765380859398</v>
      </c>
    </row>
    <row r="225" spans="1:4" x14ac:dyDescent="0.25">
      <c r="A225" s="5" t="s">
        <v>24</v>
      </c>
      <c r="B225" s="6" t="s">
        <v>5</v>
      </c>
      <c r="C225" s="6" t="s">
        <v>42</v>
      </c>
      <c r="D225" s="7">
        <v>757.02087402343795</v>
      </c>
    </row>
    <row r="226" spans="1:4" x14ac:dyDescent="0.25">
      <c r="A226" s="2" t="s">
        <v>24</v>
      </c>
      <c r="B226" s="3" t="s">
        <v>5</v>
      </c>
      <c r="C226" s="3" t="s">
        <v>43</v>
      </c>
      <c r="D226" s="4">
        <v>773.90313720703102</v>
      </c>
    </row>
    <row r="227" spans="1:4" x14ac:dyDescent="0.25">
      <c r="A227" s="5" t="s">
        <v>24</v>
      </c>
      <c r="B227" s="6" t="s">
        <v>5</v>
      </c>
      <c r="C227" s="6" t="s">
        <v>44</v>
      </c>
      <c r="D227" s="7">
        <v>773.90313720703102</v>
      </c>
    </row>
    <row r="228" spans="1:4" x14ac:dyDescent="0.25">
      <c r="A228" s="2" t="s">
        <v>24</v>
      </c>
      <c r="B228" s="3" t="s">
        <v>5</v>
      </c>
      <c r="C228" s="3" t="s">
        <v>45</v>
      </c>
      <c r="D228" s="4">
        <v>773.90313720703102</v>
      </c>
    </row>
    <row r="229" spans="1:4" x14ac:dyDescent="0.25">
      <c r="A229" s="5" t="s">
        <v>24</v>
      </c>
      <c r="B229" s="6" t="s">
        <v>5</v>
      </c>
      <c r="C229" s="6" t="s">
        <v>46</v>
      </c>
      <c r="D229" s="7">
        <v>773.90313720703102</v>
      </c>
    </row>
    <row r="230" spans="1:4" x14ac:dyDescent="0.25">
      <c r="A230" s="2" t="s">
        <v>24</v>
      </c>
      <c r="B230" s="3" t="s">
        <v>5</v>
      </c>
      <c r="C230" s="3" t="s">
        <v>47</v>
      </c>
      <c r="D230" s="4">
        <v>773.90313720703102</v>
      </c>
    </row>
    <row r="231" spans="1:4" x14ac:dyDescent="0.25">
      <c r="A231" s="5" t="s">
        <v>24</v>
      </c>
      <c r="B231" s="6" t="s">
        <v>5</v>
      </c>
      <c r="C231" s="6" t="s">
        <v>48</v>
      </c>
      <c r="D231" s="7">
        <v>773.90313720703102</v>
      </c>
    </row>
    <row r="232" spans="1:4" x14ac:dyDescent="0.25">
      <c r="A232" s="2" t="s">
        <v>24</v>
      </c>
      <c r="B232" s="3" t="s">
        <v>5</v>
      </c>
      <c r="C232" s="3" t="s">
        <v>49</v>
      </c>
      <c r="D232" s="4">
        <v>773.90313720703102</v>
      </c>
    </row>
    <row r="233" spans="1:4" x14ac:dyDescent="0.25">
      <c r="A233" s="5" t="s">
        <v>24</v>
      </c>
      <c r="B233" s="6" t="s">
        <v>5</v>
      </c>
      <c r="C233" s="6" t="s">
        <v>50</v>
      </c>
      <c r="D233" s="7">
        <v>773.90313720703102</v>
      </c>
    </row>
    <row r="234" spans="1:4" x14ac:dyDescent="0.25">
      <c r="A234" s="2" t="s">
        <v>24</v>
      </c>
      <c r="B234" s="3" t="s">
        <v>5</v>
      </c>
      <c r="C234" s="3" t="s">
        <v>51</v>
      </c>
      <c r="D234" s="4">
        <v>773.90313720703102</v>
      </c>
    </row>
    <row r="235" spans="1:4" x14ac:dyDescent="0.25">
      <c r="A235" s="5" t="s">
        <v>24</v>
      </c>
      <c r="B235" s="6" t="s">
        <v>5</v>
      </c>
      <c r="C235" s="6" t="s">
        <v>52</v>
      </c>
      <c r="D235" s="7">
        <v>773.90313720703102</v>
      </c>
    </row>
    <row r="236" spans="1:4" x14ac:dyDescent="0.25">
      <c r="A236" s="2" t="s">
        <v>24</v>
      </c>
      <c r="B236" s="3" t="s">
        <v>5</v>
      </c>
      <c r="C236" s="3" t="s">
        <v>53</v>
      </c>
      <c r="D236" s="4">
        <v>773.90313720703102</v>
      </c>
    </row>
    <row r="237" spans="1:4" x14ac:dyDescent="0.25">
      <c r="A237" s="5" t="s">
        <v>24</v>
      </c>
      <c r="B237" s="6" t="s">
        <v>5</v>
      </c>
      <c r="C237" s="6" t="s">
        <v>54</v>
      </c>
      <c r="D237" s="7">
        <v>774.27459716796898</v>
      </c>
    </row>
    <row r="238" spans="1:4" x14ac:dyDescent="0.25">
      <c r="A238" s="5" t="s">
        <v>24</v>
      </c>
      <c r="B238" s="6" t="s">
        <v>5</v>
      </c>
      <c r="C238" s="6" t="s">
        <v>55</v>
      </c>
      <c r="D238" s="7">
        <v>766.440185546875</v>
      </c>
    </row>
    <row r="239" spans="1:4" x14ac:dyDescent="0.25">
      <c r="A239" s="2" t="s">
        <v>24</v>
      </c>
      <c r="B239" s="3" t="s">
        <v>5</v>
      </c>
      <c r="C239" s="3" t="s">
        <v>56</v>
      </c>
      <c r="D239" s="4">
        <v>766.440185546875</v>
      </c>
    </row>
    <row r="240" spans="1:4" x14ac:dyDescent="0.25">
      <c r="A240" s="5" t="s">
        <v>24</v>
      </c>
      <c r="B240" s="6" t="s">
        <v>5</v>
      </c>
      <c r="C240" s="6" t="s">
        <v>57</v>
      </c>
      <c r="D240" s="7">
        <v>766.440185546875</v>
      </c>
    </row>
    <row r="241" spans="1:4" x14ac:dyDescent="0.25">
      <c r="A241" s="2" t="s">
        <v>24</v>
      </c>
      <c r="B241" s="3" t="s">
        <v>5</v>
      </c>
      <c r="C241" s="3" t="s">
        <v>58</v>
      </c>
      <c r="D241" s="4">
        <v>766.440185546875</v>
      </c>
    </row>
    <row r="242" spans="1:4" x14ac:dyDescent="0.25">
      <c r="A242" s="5" t="s">
        <v>24</v>
      </c>
      <c r="B242" s="6" t="s">
        <v>5</v>
      </c>
      <c r="C242" s="6" t="s">
        <v>59</v>
      </c>
      <c r="D242" s="7">
        <v>766.440185546875</v>
      </c>
    </row>
    <row r="243" spans="1:4" x14ac:dyDescent="0.25">
      <c r="A243" s="2" t="s">
        <v>24</v>
      </c>
      <c r="B243" s="3" t="s">
        <v>5</v>
      </c>
      <c r="C243" s="3" t="s">
        <v>60</v>
      </c>
      <c r="D243" s="4">
        <v>766.440185546875</v>
      </c>
    </row>
    <row r="244" spans="1:4" x14ac:dyDescent="0.25">
      <c r="A244" s="5" t="s">
        <v>24</v>
      </c>
      <c r="B244" s="6" t="s">
        <v>5</v>
      </c>
      <c r="C244" s="6" t="s">
        <v>61</v>
      </c>
      <c r="D244" s="7">
        <v>766.440185546875</v>
      </c>
    </row>
    <row r="245" spans="1:4" x14ac:dyDescent="0.25">
      <c r="A245" s="2" t="s">
        <v>24</v>
      </c>
      <c r="B245" s="3" t="s">
        <v>5</v>
      </c>
      <c r="C245" s="3" t="s">
        <v>62</v>
      </c>
      <c r="D245" s="4">
        <v>766.440185546875</v>
      </c>
    </row>
    <row r="246" spans="1:4" x14ac:dyDescent="0.25">
      <c r="A246" s="5" t="s">
        <v>24</v>
      </c>
      <c r="B246" s="6" t="s">
        <v>5</v>
      </c>
      <c r="C246" s="6" t="s">
        <v>63</v>
      </c>
      <c r="D246" s="7">
        <v>766.440185546875</v>
      </c>
    </row>
    <row r="247" spans="1:4" x14ac:dyDescent="0.25">
      <c r="A247" s="2" t="s">
        <v>24</v>
      </c>
      <c r="B247" s="3" t="s">
        <v>5</v>
      </c>
      <c r="C247" s="3" t="s">
        <v>64</v>
      </c>
      <c r="D247" s="4">
        <v>766.440185546875</v>
      </c>
    </row>
    <row r="248" spans="1:4" x14ac:dyDescent="0.25">
      <c r="A248" s="5" t="s">
        <v>24</v>
      </c>
      <c r="B248" s="6" t="s">
        <v>5</v>
      </c>
      <c r="C248" s="6" t="s">
        <v>65</v>
      </c>
      <c r="D248" s="7">
        <v>766.440185546875</v>
      </c>
    </row>
    <row r="249" spans="1:4" x14ac:dyDescent="0.25">
      <c r="A249" s="2" t="s">
        <v>24</v>
      </c>
      <c r="B249" s="3" t="s">
        <v>5</v>
      </c>
      <c r="C249" s="3" t="s">
        <v>66</v>
      </c>
      <c r="D249" s="4">
        <v>766.80816650390625</v>
      </c>
    </row>
    <row r="250" spans="1:4" x14ac:dyDescent="0.25">
      <c r="A250" s="2" t="s">
        <v>21</v>
      </c>
      <c r="B250" s="3" t="s">
        <v>5</v>
      </c>
      <c r="C250" s="3" t="s">
        <v>36</v>
      </c>
      <c r="D250" s="4">
        <v>17829.80859375</v>
      </c>
    </row>
    <row r="251" spans="1:4" x14ac:dyDescent="0.25">
      <c r="A251" s="5" t="s">
        <v>21</v>
      </c>
      <c r="B251" s="6" t="s">
        <v>5</v>
      </c>
      <c r="C251" s="6" t="s">
        <v>37</v>
      </c>
      <c r="D251" s="7">
        <v>17829.80859375</v>
      </c>
    </row>
    <row r="252" spans="1:4" x14ac:dyDescent="0.25">
      <c r="A252" s="2" t="s">
        <v>21</v>
      </c>
      <c r="B252" s="3" t="s">
        <v>5</v>
      </c>
      <c r="C252" s="3" t="s">
        <v>38</v>
      </c>
      <c r="D252" s="4">
        <v>17829.80859375</v>
      </c>
    </row>
    <row r="253" spans="1:4" x14ac:dyDescent="0.25">
      <c r="A253" s="5" t="s">
        <v>21</v>
      </c>
      <c r="B253" s="6" t="s">
        <v>5</v>
      </c>
      <c r="C253" s="6" t="s">
        <v>39</v>
      </c>
      <c r="D253" s="7">
        <v>17829.80859375</v>
      </c>
    </row>
    <row r="254" spans="1:4" x14ac:dyDescent="0.25">
      <c r="A254" s="2" t="s">
        <v>21</v>
      </c>
      <c r="B254" s="3" t="s">
        <v>5</v>
      </c>
      <c r="C254" s="3" t="s">
        <v>40</v>
      </c>
      <c r="D254" s="4">
        <v>17829.80859375</v>
      </c>
    </row>
    <row r="255" spans="1:4" x14ac:dyDescent="0.25">
      <c r="A255" s="5" t="s">
        <v>21</v>
      </c>
      <c r="B255" s="6" t="s">
        <v>5</v>
      </c>
      <c r="C255" s="6" t="s">
        <v>41</v>
      </c>
      <c r="D255" s="7">
        <v>17829.80859375</v>
      </c>
    </row>
    <row r="256" spans="1:4" x14ac:dyDescent="0.25">
      <c r="A256" s="2" t="s">
        <v>21</v>
      </c>
      <c r="B256" s="3" t="s">
        <v>5</v>
      </c>
      <c r="C256" s="3" t="s">
        <v>42</v>
      </c>
      <c r="D256" s="4">
        <v>17838.3671875</v>
      </c>
    </row>
    <row r="257" spans="1:4" x14ac:dyDescent="0.25">
      <c r="A257" s="5" t="s">
        <v>21</v>
      </c>
      <c r="B257" s="6" t="s">
        <v>5</v>
      </c>
      <c r="C257" s="6" t="s">
        <v>43</v>
      </c>
      <c r="D257" s="7">
        <v>18236.1796875</v>
      </c>
    </row>
    <row r="258" spans="1:4" x14ac:dyDescent="0.25">
      <c r="A258" s="2" t="s">
        <v>21</v>
      </c>
      <c r="B258" s="3" t="s">
        <v>5</v>
      </c>
      <c r="C258" s="3" t="s">
        <v>44</v>
      </c>
      <c r="D258" s="4">
        <v>18236.1796875</v>
      </c>
    </row>
    <row r="259" spans="1:4" x14ac:dyDescent="0.25">
      <c r="A259" s="5" t="s">
        <v>21</v>
      </c>
      <c r="B259" s="6" t="s">
        <v>5</v>
      </c>
      <c r="C259" s="6" t="s">
        <v>45</v>
      </c>
      <c r="D259" s="7">
        <v>18236.1796875</v>
      </c>
    </row>
    <row r="260" spans="1:4" x14ac:dyDescent="0.25">
      <c r="A260" s="2" t="s">
        <v>21</v>
      </c>
      <c r="B260" s="3" t="s">
        <v>5</v>
      </c>
      <c r="C260" s="3" t="s">
        <v>46</v>
      </c>
      <c r="D260" s="4">
        <v>18236.1796875</v>
      </c>
    </row>
    <row r="261" spans="1:4" x14ac:dyDescent="0.25">
      <c r="A261" s="5" t="s">
        <v>21</v>
      </c>
      <c r="B261" s="6" t="s">
        <v>5</v>
      </c>
      <c r="C261" s="6" t="s">
        <v>47</v>
      </c>
      <c r="D261" s="7">
        <v>18236.1796875</v>
      </c>
    </row>
    <row r="262" spans="1:4" x14ac:dyDescent="0.25">
      <c r="A262" s="2" t="s">
        <v>21</v>
      </c>
      <c r="B262" s="3" t="s">
        <v>5</v>
      </c>
      <c r="C262" s="3" t="s">
        <v>48</v>
      </c>
      <c r="D262" s="4">
        <v>18236.1796875</v>
      </c>
    </row>
    <row r="263" spans="1:4" x14ac:dyDescent="0.25">
      <c r="A263" s="5" t="s">
        <v>21</v>
      </c>
      <c r="B263" s="6" t="s">
        <v>5</v>
      </c>
      <c r="C263" s="6" t="s">
        <v>49</v>
      </c>
      <c r="D263" s="7">
        <v>18236.1796875</v>
      </c>
    </row>
    <row r="264" spans="1:4" x14ac:dyDescent="0.25">
      <c r="A264" s="2" t="s">
        <v>21</v>
      </c>
      <c r="B264" s="3" t="s">
        <v>5</v>
      </c>
      <c r="C264" s="3" t="s">
        <v>50</v>
      </c>
      <c r="D264" s="4">
        <v>18236.1796875</v>
      </c>
    </row>
    <row r="265" spans="1:4" x14ac:dyDescent="0.25">
      <c r="A265" s="5" t="s">
        <v>21</v>
      </c>
      <c r="B265" s="6" t="s">
        <v>5</v>
      </c>
      <c r="C265" s="6" t="s">
        <v>51</v>
      </c>
      <c r="D265" s="7">
        <v>18236.1796875</v>
      </c>
    </row>
    <row r="266" spans="1:4" x14ac:dyDescent="0.25">
      <c r="A266" s="2" t="s">
        <v>21</v>
      </c>
      <c r="B266" s="3" t="s">
        <v>5</v>
      </c>
      <c r="C266" s="3" t="s">
        <v>52</v>
      </c>
      <c r="D266" s="4">
        <v>18236.1796875</v>
      </c>
    </row>
    <row r="267" spans="1:4" x14ac:dyDescent="0.25">
      <c r="A267" s="5" t="s">
        <v>21</v>
      </c>
      <c r="B267" s="6" t="s">
        <v>5</v>
      </c>
      <c r="C267" s="6" t="s">
        <v>53</v>
      </c>
      <c r="D267" s="7">
        <v>18236.1796875</v>
      </c>
    </row>
    <row r="268" spans="1:4" x14ac:dyDescent="0.25">
      <c r="A268" s="2" t="s">
        <v>21</v>
      </c>
      <c r="B268" s="3" t="s">
        <v>5</v>
      </c>
      <c r="C268" s="3" t="s">
        <v>54</v>
      </c>
      <c r="D268" s="4">
        <v>18244.93359375</v>
      </c>
    </row>
    <row r="269" spans="1:4" x14ac:dyDescent="0.25">
      <c r="A269" s="2" t="s">
        <v>21</v>
      </c>
      <c r="B269" s="3" t="s">
        <v>5</v>
      </c>
      <c r="C269" s="3" t="s">
        <v>55</v>
      </c>
      <c r="D269" s="4">
        <v>18411.8359375</v>
      </c>
    </row>
    <row r="270" spans="1:4" x14ac:dyDescent="0.25">
      <c r="A270" s="5" t="s">
        <v>21</v>
      </c>
      <c r="B270" s="6" t="s">
        <v>5</v>
      </c>
      <c r="C270" s="6" t="s">
        <v>56</v>
      </c>
      <c r="D270" s="7">
        <v>18411.8359375</v>
      </c>
    </row>
    <row r="271" spans="1:4" x14ac:dyDescent="0.25">
      <c r="A271" s="2" t="s">
        <v>21</v>
      </c>
      <c r="B271" s="3" t="s">
        <v>5</v>
      </c>
      <c r="C271" s="3" t="s">
        <v>57</v>
      </c>
      <c r="D271" s="4">
        <v>18411.8359375</v>
      </c>
    </row>
    <row r="272" spans="1:4" x14ac:dyDescent="0.25">
      <c r="A272" s="5" t="s">
        <v>21</v>
      </c>
      <c r="B272" s="6" t="s">
        <v>5</v>
      </c>
      <c r="C272" s="6" t="s">
        <v>58</v>
      </c>
      <c r="D272" s="7">
        <v>18411.8359375</v>
      </c>
    </row>
    <row r="273" spans="1:4" x14ac:dyDescent="0.25">
      <c r="A273" s="2" t="s">
        <v>21</v>
      </c>
      <c r="B273" s="3" t="s">
        <v>5</v>
      </c>
      <c r="C273" s="3" t="s">
        <v>59</v>
      </c>
      <c r="D273" s="4">
        <v>18411.8359375</v>
      </c>
    </row>
    <row r="274" spans="1:4" x14ac:dyDescent="0.25">
      <c r="A274" s="5" t="s">
        <v>21</v>
      </c>
      <c r="B274" s="6" t="s">
        <v>5</v>
      </c>
      <c r="C274" s="6" t="s">
        <v>60</v>
      </c>
      <c r="D274" s="7">
        <v>18411.8359375</v>
      </c>
    </row>
    <row r="275" spans="1:4" x14ac:dyDescent="0.25">
      <c r="A275" s="2" t="s">
        <v>21</v>
      </c>
      <c r="B275" s="3" t="s">
        <v>5</v>
      </c>
      <c r="C275" s="3" t="s">
        <v>61</v>
      </c>
      <c r="D275" s="4">
        <v>18411.8359375</v>
      </c>
    </row>
    <row r="276" spans="1:4" x14ac:dyDescent="0.25">
      <c r="A276" s="5" t="s">
        <v>21</v>
      </c>
      <c r="B276" s="6" t="s">
        <v>5</v>
      </c>
      <c r="C276" s="6" t="s">
        <v>62</v>
      </c>
      <c r="D276" s="7">
        <v>18411.8359375</v>
      </c>
    </row>
    <row r="277" spans="1:4" x14ac:dyDescent="0.25">
      <c r="A277" s="2" t="s">
        <v>21</v>
      </c>
      <c r="B277" s="3" t="s">
        <v>5</v>
      </c>
      <c r="C277" s="3" t="s">
        <v>63</v>
      </c>
      <c r="D277" s="4">
        <v>18411.8359375</v>
      </c>
    </row>
    <row r="278" spans="1:4" x14ac:dyDescent="0.25">
      <c r="A278" s="5" t="s">
        <v>21</v>
      </c>
      <c r="B278" s="6" t="s">
        <v>5</v>
      </c>
      <c r="C278" s="6" t="s">
        <v>64</v>
      </c>
      <c r="D278" s="7">
        <v>18411.8359375</v>
      </c>
    </row>
    <row r="279" spans="1:4" x14ac:dyDescent="0.25">
      <c r="A279" s="2" t="s">
        <v>21</v>
      </c>
      <c r="B279" s="3" t="s">
        <v>5</v>
      </c>
      <c r="C279" s="3" t="s">
        <v>65</v>
      </c>
      <c r="D279" s="4">
        <v>18411.8359375</v>
      </c>
    </row>
    <row r="280" spans="1:4" x14ac:dyDescent="0.25">
      <c r="A280" s="5" t="s">
        <v>21</v>
      </c>
      <c r="B280" s="6" t="s">
        <v>5</v>
      </c>
      <c r="C280" s="6" t="s">
        <v>66</v>
      </c>
      <c r="D280" s="7">
        <v>18420.673828125</v>
      </c>
    </row>
    <row r="281" spans="1:4" x14ac:dyDescent="0.25">
      <c r="A281" s="5" t="s">
        <v>22</v>
      </c>
      <c r="B281" s="6" t="s">
        <v>5</v>
      </c>
      <c r="C281" s="6" t="s">
        <v>36</v>
      </c>
      <c r="D281" s="7">
        <v>17581.62890625</v>
      </c>
    </row>
    <row r="282" spans="1:4" x14ac:dyDescent="0.25">
      <c r="A282" s="2" t="s">
        <v>22</v>
      </c>
      <c r="B282" s="3" t="s">
        <v>5</v>
      </c>
      <c r="C282" s="3" t="s">
        <v>37</v>
      </c>
      <c r="D282" s="4">
        <v>17581.62890625</v>
      </c>
    </row>
    <row r="283" spans="1:4" x14ac:dyDescent="0.25">
      <c r="A283" s="5" t="s">
        <v>22</v>
      </c>
      <c r="B283" s="6" t="s">
        <v>5</v>
      </c>
      <c r="C283" s="6" t="s">
        <v>38</v>
      </c>
      <c r="D283" s="7">
        <v>17581.62890625</v>
      </c>
    </row>
    <row r="284" spans="1:4" x14ac:dyDescent="0.25">
      <c r="A284" s="2" t="s">
        <v>22</v>
      </c>
      <c r="B284" s="3" t="s">
        <v>5</v>
      </c>
      <c r="C284" s="3" t="s">
        <v>39</v>
      </c>
      <c r="D284" s="4">
        <v>17581.62890625</v>
      </c>
    </row>
    <row r="285" spans="1:4" x14ac:dyDescent="0.25">
      <c r="A285" s="5" t="s">
        <v>22</v>
      </c>
      <c r="B285" s="6" t="s">
        <v>5</v>
      </c>
      <c r="C285" s="6" t="s">
        <v>40</v>
      </c>
      <c r="D285" s="7">
        <v>17581.62890625</v>
      </c>
    </row>
    <row r="286" spans="1:4" x14ac:dyDescent="0.25">
      <c r="A286" s="2" t="s">
        <v>22</v>
      </c>
      <c r="B286" s="3" t="s">
        <v>5</v>
      </c>
      <c r="C286" s="3" t="s">
        <v>41</v>
      </c>
      <c r="D286" s="4">
        <v>17581.62890625</v>
      </c>
    </row>
    <row r="287" spans="1:4" x14ac:dyDescent="0.25">
      <c r="A287" s="5" t="s">
        <v>22</v>
      </c>
      <c r="B287" s="6" t="s">
        <v>5</v>
      </c>
      <c r="C287" s="6" t="s">
        <v>42</v>
      </c>
      <c r="D287" s="7">
        <v>17590.068359375</v>
      </c>
    </row>
    <row r="288" spans="1:4" x14ac:dyDescent="0.25">
      <c r="A288" s="2" t="s">
        <v>22</v>
      </c>
      <c r="B288" s="3" t="s">
        <v>5</v>
      </c>
      <c r="C288" s="3" t="s">
        <v>43</v>
      </c>
      <c r="D288" s="4">
        <v>17982.34375</v>
      </c>
    </row>
    <row r="289" spans="1:4" x14ac:dyDescent="0.25">
      <c r="A289" s="5" t="s">
        <v>22</v>
      </c>
      <c r="B289" s="6" t="s">
        <v>5</v>
      </c>
      <c r="C289" s="6" t="s">
        <v>44</v>
      </c>
      <c r="D289" s="7">
        <v>17982.34375</v>
      </c>
    </row>
    <row r="290" spans="1:4" x14ac:dyDescent="0.25">
      <c r="A290" s="2" t="s">
        <v>22</v>
      </c>
      <c r="B290" s="3" t="s">
        <v>5</v>
      </c>
      <c r="C290" s="3" t="s">
        <v>45</v>
      </c>
      <c r="D290" s="4">
        <v>17982.34375</v>
      </c>
    </row>
    <row r="291" spans="1:4" x14ac:dyDescent="0.25">
      <c r="A291" s="5" t="s">
        <v>22</v>
      </c>
      <c r="B291" s="6" t="s">
        <v>5</v>
      </c>
      <c r="C291" s="6" t="s">
        <v>46</v>
      </c>
      <c r="D291" s="7">
        <v>17982.34375</v>
      </c>
    </row>
    <row r="292" spans="1:4" x14ac:dyDescent="0.25">
      <c r="A292" s="2" t="s">
        <v>22</v>
      </c>
      <c r="B292" s="3" t="s">
        <v>5</v>
      </c>
      <c r="C292" s="3" t="s">
        <v>47</v>
      </c>
      <c r="D292" s="4">
        <v>17982.34375</v>
      </c>
    </row>
    <row r="293" spans="1:4" x14ac:dyDescent="0.25">
      <c r="A293" s="5" t="s">
        <v>22</v>
      </c>
      <c r="B293" s="6" t="s">
        <v>5</v>
      </c>
      <c r="C293" s="6" t="s">
        <v>48</v>
      </c>
      <c r="D293" s="7">
        <v>17982.34375</v>
      </c>
    </row>
    <row r="294" spans="1:4" x14ac:dyDescent="0.25">
      <c r="A294" s="2" t="s">
        <v>22</v>
      </c>
      <c r="B294" s="3" t="s">
        <v>5</v>
      </c>
      <c r="C294" s="3" t="s">
        <v>49</v>
      </c>
      <c r="D294" s="4">
        <v>17982.34375</v>
      </c>
    </row>
    <row r="295" spans="1:4" x14ac:dyDescent="0.25">
      <c r="A295" s="5" t="s">
        <v>22</v>
      </c>
      <c r="B295" s="6" t="s">
        <v>5</v>
      </c>
      <c r="C295" s="6" t="s">
        <v>50</v>
      </c>
      <c r="D295" s="7">
        <v>17982.34375</v>
      </c>
    </row>
    <row r="296" spans="1:4" x14ac:dyDescent="0.25">
      <c r="A296" s="2" t="s">
        <v>22</v>
      </c>
      <c r="B296" s="3" t="s">
        <v>5</v>
      </c>
      <c r="C296" s="3" t="s">
        <v>51</v>
      </c>
      <c r="D296" s="4">
        <v>17982.34375</v>
      </c>
    </row>
    <row r="297" spans="1:4" x14ac:dyDescent="0.25">
      <c r="A297" s="5" t="s">
        <v>22</v>
      </c>
      <c r="B297" s="6" t="s">
        <v>5</v>
      </c>
      <c r="C297" s="6" t="s">
        <v>52</v>
      </c>
      <c r="D297" s="7">
        <v>17982.34375</v>
      </c>
    </row>
    <row r="298" spans="1:4" x14ac:dyDescent="0.25">
      <c r="A298" s="2" t="s">
        <v>22</v>
      </c>
      <c r="B298" s="3" t="s">
        <v>5</v>
      </c>
      <c r="C298" s="3" t="s">
        <v>53</v>
      </c>
      <c r="D298" s="4">
        <v>17982.34375</v>
      </c>
    </row>
    <row r="299" spans="1:4" x14ac:dyDescent="0.25">
      <c r="A299" s="5" t="s">
        <v>22</v>
      </c>
      <c r="B299" s="6" t="s">
        <v>5</v>
      </c>
      <c r="C299" s="6" t="s">
        <v>54</v>
      </c>
      <c r="D299" s="7">
        <v>17990.974609375</v>
      </c>
    </row>
    <row r="300" spans="1:4" x14ac:dyDescent="0.25">
      <c r="A300" s="5" t="s">
        <v>22</v>
      </c>
      <c r="B300" s="6" t="s">
        <v>5</v>
      </c>
      <c r="C300" s="6" t="s">
        <v>55</v>
      </c>
      <c r="D300" s="7">
        <v>18198.1171875</v>
      </c>
    </row>
    <row r="301" spans="1:4" x14ac:dyDescent="0.25">
      <c r="A301" s="2" t="s">
        <v>22</v>
      </c>
      <c r="B301" s="3" t="s">
        <v>5</v>
      </c>
      <c r="C301" s="3" t="s">
        <v>56</v>
      </c>
      <c r="D301" s="4">
        <v>18198.1171875</v>
      </c>
    </row>
    <row r="302" spans="1:4" x14ac:dyDescent="0.25">
      <c r="A302" s="5" t="s">
        <v>22</v>
      </c>
      <c r="B302" s="6" t="s">
        <v>5</v>
      </c>
      <c r="C302" s="6" t="s">
        <v>57</v>
      </c>
      <c r="D302" s="7">
        <v>18198.1171875</v>
      </c>
    </row>
    <row r="303" spans="1:4" x14ac:dyDescent="0.25">
      <c r="A303" s="2" t="s">
        <v>22</v>
      </c>
      <c r="B303" s="3" t="s">
        <v>5</v>
      </c>
      <c r="C303" s="3" t="s">
        <v>58</v>
      </c>
      <c r="D303" s="4">
        <v>18198.1171875</v>
      </c>
    </row>
    <row r="304" spans="1:4" x14ac:dyDescent="0.25">
      <c r="A304" s="5" t="s">
        <v>22</v>
      </c>
      <c r="B304" s="6" t="s">
        <v>5</v>
      </c>
      <c r="C304" s="6" t="s">
        <v>59</v>
      </c>
      <c r="D304" s="7">
        <v>18198.1171875</v>
      </c>
    </row>
    <row r="305" spans="1:4" x14ac:dyDescent="0.25">
      <c r="A305" s="2" t="s">
        <v>22</v>
      </c>
      <c r="B305" s="3" t="s">
        <v>5</v>
      </c>
      <c r="C305" s="3" t="s">
        <v>60</v>
      </c>
      <c r="D305" s="4">
        <v>18198.1171875</v>
      </c>
    </row>
    <row r="306" spans="1:4" x14ac:dyDescent="0.25">
      <c r="A306" s="5" t="s">
        <v>22</v>
      </c>
      <c r="B306" s="6" t="s">
        <v>5</v>
      </c>
      <c r="C306" s="6" t="s">
        <v>61</v>
      </c>
      <c r="D306" s="7">
        <v>18198.1171875</v>
      </c>
    </row>
    <row r="307" spans="1:4" x14ac:dyDescent="0.25">
      <c r="A307" s="2" t="s">
        <v>22</v>
      </c>
      <c r="B307" s="3" t="s">
        <v>5</v>
      </c>
      <c r="C307" s="3" t="s">
        <v>62</v>
      </c>
      <c r="D307" s="4">
        <v>18198.1171875</v>
      </c>
    </row>
    <row r="308" spans="1:4" x14ac:dyDescent="0.25">
      <c r="A308" s="5" t="s">
        <v>22</v>
      </c>
      <c r="B308" s="6" t="s">
        <v>5</v>
      </c>
      <c r="C308" s="6" t="s">
        <v>63</v>
      </c>
      <c r="D308" s="7">
        <v>18198.1171875</v>
      </c>
    </row>
    <row r="309" spans="1:4" x14ac:dyDescent="0.25">
      <c r="A309" s="2" t="s">
        <v>22</v>
      </c>
      <c r="B309" s="3" t="s">
        <v>5</v>
      </c>
      <c r="C309" s="3" t="s">
        <v>64</v>
      </c>
      <c r="D309" s="4">
        <v>18198.1171875</v>
      </c>
    </row>
    <row r="310" spans="1:4" x14ac:dyDescent="0.25">
      <c r="A310" s="5" t="s">
        <v>22</v>
      </c>
      <c r="B310" s="6" t="s">
        <v>5</v>
      </c>
      <c r="C310" s="6" t="s">
        <v>65</v>
      </c>
      <c r="D310" s="7">
        <v>18198.1171875</v>
      </c>
    </row>
    <row r="311" spans="1:4" x14ac:dyDescent="0.25">
      <c r="A311" s="2" t="s">
        <v>22</v>
      </c>
      <c r="B311" s="3" t="s">
        <v>5</v>
      </c>
      <c r="C311" s="3" t="s">
        <v>66</v>
      </c>
      <c r="D311" s="4">
        <v>18206.853515625</v>
      </c>
    </row>
    <row r="312" spans="1:4" x14ac:dyDescent="0.25">
      <c r="A312" s="2" t="s">
        <v>35</v>
      </c>
      <c r="B312" s="3" t="s">
        <v>5</v>
      </c>
      <c r="C312" s="3" t="s">
        <v>36</v>
      </c>
      <c r="D312" s="4">
        <v>9166.591796875</v>
      </c>
    </row>
    <row r="313" spans="1:4" x14ac:dyDescent="0.25">
      <c r="A313" s="5" t="s">
        <v>35</v>
      </c>
      <c r="B313" s="6" t="s">
        <v>5</v>
      </c>
      <c r="C313" s="6" t="s">
        <v>37</v>
      </c>
      <c r="D313" s="7">
        <v>9166.591796875</v>
      </c>
    </row>
    <row r="314" spans="1:4" x14ac:dyDescent="0.25">
      <c r="A314" s="2" t="s">
        <v>35</v>
      </c>
      <c r="B314" s="3" t="s">
        <v>5</v>
      </c>
      <c r="C314" s="3" t="s">
        <v>38</v>
      </c>
      <c r="D314" s="4">
        <v>9166.591796875</v>
      </c>
    </row>
    <row r="315" spans="1:4" x14ac:dyDescent="0.25">
      <c r="A315" s="5" t="s">
        <v>35</v>
      </c>
      <c r="B315" s="6" t="s">
        <v>5</v>
      </c>
      <c r="C315" s="6" t="s">
        <v>39</v>
      </c>
      <c r="D315" s="7">
        <v>9166.591796875</v>
      </c>
    </row>
    <row r="316" spans="1:4" x14ac:dyDescent="0.25">
      <c r="A316" s="2" t="s">
        <v>35</v>
      </c>
      <c r="B316" s="3" t="s">
        <v>5</v>
      </c>
      <c r="C316" s="3" t="s">
        <v>40</v>
      </c>
      <c r="D316" s="4">
        <v>9166.591796875</v>
      </c>
    </row>
    <row r="317" spans="1:4" x14ac:dyDescent="0.25">
      <c r="A317" s="5" t="s">
        <v>35</v>
      </c>
      <c r="B317" s="6" t="s">
        <v>5</v>
      </c>
      <c r="C317" s="6" t="s">
        <v>41</v>
      </c>
      <c r="D317" s="7">
        <v>9166.591796875</v>
      </c>
    </row>
    <row r="318" spans="1:4" x14ac:dyDescent="0.25">
      <c r="A318" s="2" t="s">
        <v>35</v>
      </c>
      <c r="B318" s="3" t="s">
        <v>5</v>
      </c>
      <c r="C318" s="3" t="s">
        <v>42</v>
      </c>
      <c r="D318" s="4">
        <v>9170.9921875</v>
      </c>
    </row>
    <row r="319" spans="1:4" x14ac:dyDescent="0.25">
      <c r="A319" s="5" t="s">
        <v>35</v>
      </c>
      <c r="B319" s="6" t="s">
        <v>5</v>
      </c>
      <c r="C319" s="6" t="s">
        <v>43</v>
      </c>
      <c r="D319" s="7">
        <v>9375.513671875</v>
      </c>
    </row>
    <row r="320" spans="1:4" x14ac:dyDescent="0.25">
      <c r="A320" s="2" t="s">
        <v>35</v>
      </c>
      <c r="B320" s="3" t="s">
        <v>5</v>
      </c>
      <c r="C320" s="3" t="s">
        <v>44</v>
      </c>
      <c r="D320" s="4">
        <v>9375.513671875</v>
      </c>
    </row>
    <row r="321" spans="1:4" x14ac:dyDescent="0.25">
      <c r="A321" s="5" t="s">
        <v>35</v>
      </c>
      <c r="B321" s="6" t="s">
        <v>5</v>
      </c>
      <c r="C321" s="6" t="s">
        <v>45</v>
      </c>
      <c r="D321" s="7">
        <v>9375.513671875</v>
      </c>
    </row>
    <row r="322" spans="1:4" x14ac:dyDescent="0.25">
      <c r="A322" s="2" t="s">
        <v>35</v>
      </c>
      <c r="B322" s="3" t="s">
        <v>5</v>
      </c>
      <c r="C322" s="3" t="s">
        <v>46</v>
      </c>
      <c r="D322" s="4">
        <v>9375.513671875</v>
      </c>
    </row>
    <row r="323" spans="1:4" x14ac:dyDescent="0.25">
      <c r="A323" s="5" t="s">
        <v>35</v>
      </c>
      <c r="B323" s="6" t="s">
        <v>5</v>
      </c>
      <c r="C323" s="6" t="s">
        <v>47</v>
      </c>
      <c r="D323" s="7">
        <v>9375.513671875</v>
      </c>
    </row>
    <row r="324" spans="1:4" x14ac:dyDescent="0.25">
      <c r="A324" s="2" t="s">
        <v>35</v>
      </c>
      <c r="B324" s="3" t="s">
        <v>5</v>
      </c>
      <c r="C324" s="3" t="s">
        <v>48</v>
      </c>
      <c r="D324" s="4">
        <v>9375.513671875</v>
      </c>
    </row>
    <row r="325" spans="1:4" x14ac:dyDescent="0.25">
      <c r="A325" s="5" t="s">
        <v>35</v>
      </c>
      <c r="B325" s="6" t="s">
        <v>5</v>
      </c>
      <c r="C325" s="6" t="s">
        <v>49</v>
      </c>
      <c r="D325" s="7">
        <v>9375.513671875</v>
      </c>
    </row>
    <row r="326" spans="1:4" x14ac:dyDescent="0.25">
      <c r="A326" s="2" t="s">
        <v>35</v>
      </c>
      <c r="B326" s="3" t="s">
        <v>5</v>
      </c>
      <c r="C326" s="3" t="s">
        <v>50</v>
      </c>
      <c r="D326" s="4">
        <v>9375.513671875</v>
      </c>
    </row>
    <row r="327" spans="1:4" x14ac:dyDescent="0.25">
      <c r="A327" s="5" t="s">
        <v>35</v>
      </c>
      <c r="B327" s="6" t="s">
        <v>5</v>
      </c>
      <c r="C327" s="6" t="s">
        <v>51</v>
      </c>
      <c r="D327" s="7">
        <v>9375.513671875</v>
      </c>
    </row>
    <row r="328" spans="1:4" x14ac:dyDescent="0.25">
      <c r="A328" s="2" t="s">
        <v>35</v>
      </c>
      <c r="B328" s="3" t="s">
        <v>5</v>
      </c>
      <c r="C328" s="3" t="s">
        <v>52</v>
      </c>
      <c r="D328" s="4">
        <v>9375.513671875</v>
      </c>
    </row>
    <row r="329" spans="1:4" x14ac:dyDescent="0.25">
      <c r="A329" s="5" t="s">
        <v>35</v>
      </c>
      <c r="B329" s="6" t="s">
        <v>5</v>
      </c>
      <c r="C329" s="6" t="s">
        <v>53</v>
      </c>
      <c r="D329" s="7">
        <v>9375.513671875</v>
      </c>
    </row>
    <row r="330" spans="1:4" x14ac:dyDescent="0.25">
      <c r="A330" s="2" t="s">
        <v>35</v>
      </c>
      <c r="B330" s="3" t="s">
        <v>5</v>
      </c>
      <c r="C330" s="3" t="s">
        <v>54</v>
      </c>
      <c r="D330" s="4">
        <v>9380.0146484375</v>
      </c>
    </row>
    <row r="331" spans="1:4" x14ac:dyDescent="0.25">
      <c r="A331" s="2" t="s">
        <v>35</v>
      </c>
      <c r="B331" s="3" t="s">
        <v>5</v>
      </c>
      <c r="C331" s="3" t="s">
        <v>55</v>
      </c>
      <c r="D331" s="4">
        <v>9238.2392578125</v>
      </c>
    </row>
    <row r="332" spans="1:4" x14ac:dyDescent="0.25">
      <c r="A332" s="5" t="s">
        <v>35</v>
      </c>
      <c r="B332" s="6" t="s">
        <v>5</v>
      </c>
      <c r="C332" s="6" t="s">
        <v>56</v>
      </c>
      <c r="D332" s="7">
        <v>9238.2392578125</v>
      </c>
    </row>
    <row r="333" spans="1:4" x14ac:dyDescent="0.25">
      <c r="A333" s="2" t="s">
        <v>35</v>
      </c>
      <c r="B333" s="3" t="s">
        <v>5</v>
      </c>
      <c r="C333" s="3" t="s">
        <v>57</v>
      </c>
      <c r="D333" s="4">
        <v>9238.2392578125</v>
      </c>
    </row>
    <row r="334" spans="1:4" x14ac:dyDescent="0.25">
      <c r="A334" s="5" t="s">
        <v>35</v>
      </c>
      <c r="B334" s="6" t="s">
        <v>5</v>
      </c>
      <c r="C334" s="6" t="s">
        <v>58</v>
      </c>
      <c r="D334" s="7">
        <v>9238.2392578125</v>
      </c>
    </row>
    <row r="335" spans="1:4" x14ac:dyDescent="0.25">
      <c r="A335" s="2" t="s">
        <v>35</v>
      </c>
      <c r="B335" s="3" t="s">
        <v>5</v>
      </c>
      <c r="C335" s="3" t="s">
        <v>59</v>
      </c>
      <c r="D335" s="4">
        <v>9238.2392578125</v>
      </c>
    </row>
    <row r="336" spans="1:4" x14ac:dyDescent="0.25">
      <c r="A336" s="5" t="s">
        <v>35</v>
      </c>
      <c r="B336" s="6" t="s">
        <v>5</v>
      </c>
      <c r="C336" s="6" t="s">
        <v>60</v>
      </c>
      <c r="D336" s="7">
        <v>9238.2392578125</v>
      </c>
    </row>
    <row r="337" spans="1:4" x14ac:dyDescent="0.25">
      <c r="A337" s="2" t="s">
        <v>35</v>
      </c>
      <c r="B337" s="3" t="s">
        <v>5</v>
      </c>
      <c r="C337" s="3" t="s">
        <v>61</v>
      </c>
      <c r="D337" s="4">
        <v>9238.2392578125</v>
      </c>
    </row>
    <row r="338" spans="1:4" x14ac:dyDescent="0.25">
      <c r="A338" s="5" t="s">
        <v>35</v>
      </c>
      <c r="B338" s="6" t="s">
        <v>5</v>
      </c>
      <c r="C338" s="6" t="s">
        <v>62</v>
      </c>
      <c r="D338" s="7">
        <v>9238.2392578125</v>
      </c>
    </row>
    <row r="339" spans="1:4" x14ac:dyDescent="0.25">
      <c r="A339" s="2" t="s">
        <v>35</v>
      </c>
      <c r="B339" s="3" t="s">
        <v>5</v>
      </c>
      <c r="C339" s="3" t="s">
        <v>63</v>
      </c>
      <c r="D339" s="4">
        <v>9238.2392578125</v>
      </c>
    </row>
    <row r="340" spans="1:4" x14ac:dyDescent="0.25">
      <c r="A340" s="5" t="s">
        <v>35</v>
      </c>
      <c r="B340" s="6" t="s">
        <v>5</v>
      </c>
      <c r="C340" s="6" t="s">
        <v>64</v>
      </c>
      <c r="D340" s="7">
        <v>9238.2392578125</v>
      </c>
    </row>
    <row r="341" spans="1:4" x14ac:dyDescent="0.25">
      <c r="A341" s="2" t="s">
        <v>35</v>
      </c>
      <c r="B341" s="3" t="s">
        <v>5</v>
      </c>
      <c r="C341" s="3" t="s">
        <v>65</v>
      </c>
      <c r="D341" s="4">
        <v>9238.2392578125</v>
      </c>
    </row>
    <row r="342" spans="1:4" x14ac:dyDescent="0.25">
      <c r="A342" s="5" t="s">
        <v>35</v>
      </c>
      <c r="B342" s="6" t="s">
        <v>5</v>
      </c>
      <c r="C342" s="6" t="s">
        <v>66</v>
      </c>
      <c r="D342" s="7">
        <v>9242.673828125</v>
      </c>
    </row>
    <row r="343" spans="1:4" x14ac:dyDescent="0.25">
      <c r="A343" s="2" t="s">
        <v>25</v>
      </c>
      <c r="B343" s="3" t="s">
        <v>5</v>
      </c>
      <c r="C343" s="3" t="s">
        <v>36</v>
      </c>
      <c r="D343" s="4">
        <v>10083.892578125</v>
      </c>
    </row>
    <row r="344" spans="1:4" x14ac:dyDescent="0.25">
      <c r="A344" s="5" t="s">
        <v>25</v>
      </c>
      <c r="B344" s="6" t="s">
        <v>5</v>
      </c>
      <c r="C344" s="6" t="s">
        <v>37</v>
      </c>
      <c r="D344" s="7">
        <v>10083.892578125</v>
      </c>
    </row>
    <row r="345" spans="1:4" x14ac:dyDescent="0.25">
      <c r="A345" s="2" t="s">
        <v>25</v>
      </c>
      <c r="B345" s="3" t="s">
        <v>5</v>
      </c>
      <c r="C345" s="3" t="s">
        <v>38</v>
      </c>
      <c r="D345" s="4">
        <v>10083.892578125</v>
      </c>
    </row>
    <row r="346" spans="1:4" x14ac:dyDescent="0.25">
      <c r="A346" s="5" t="s">
        <v>25</v>
      </c>
      <c r="B346" s="6" t="s">
        <v>5</v>
      </c>
      <c r="C346" s="6" t="s">
        <v>39</v>
      </c>
      <c r="D346" s="7">
        <v>10083.892578125</v>
      </c>
    </row>
    <row r="347" spans="1:4" x14ac:dyDescent="0.25">
      <c r="A347" s="2" t="s">
        <v>25</v>
      </c>
      <c r="B347" s="3" t="s">
        <v>5</v>
      </c>
      <c r="C347" s="3" t="s">
        <v>40</v>
      </c>
      <c r="D347" s="4">
        <v>10083.892578125</v>
      </c>
    </row>
    <row r="348" spans="1:4" x14ac:dyDescent="0.25">
      <c r="A348" s="5" t="s">
        <v>25</v>
      </c>
      <c r="B348" s="6" t="s">
        <v>5</v>
      </c>
      <c r="C348" s="6" t="s">
        <v>41</v>
      </c>
      <c r="D348" s="7">
        <v>10083.892578125</v>
      </c>
    </row>
    <row r="349" spans="1:4" x14ac:dyDescent="0.25">
      <c r="A349" s="2" t="s">
        <v>25</v>
      </c>
      <c r="B349" s="3" t="s">
        <v>5</v>
      </c>
      <c r="C349" s="3" t="s">
        <v>42</v>
      </c>
      <c r="D349" s="4">
        <v>10088.7333984375</v>
      </c>
    </row>
    <row r="350" spans="1:4" x14ac:dyDescent="0.25">
      <c r="A350" s="5" t="s">
        <v>25</v>
      </c>
      <c r="B350" s="6" t="s">
        <v>5</v>
      </c>
      <c r="C350" s="6" t="s">
        <v>43</v>
      </c>
      <c r="D350" s="7">
        <v>10313.7216796875</v>
      </c>
    </row>
    <row r="351" spans="1:4" x14ac:dyDescent="0.25">
      <c r="A351" s="2" t="s">
        <v>25</v>
      </c>
      <c r="B351" s="3" t="s">
        <v>5</v>
      </c>
      <c r="C351" s="3" t="s">
        <v>44</v>
      </c>
      <c r="D351" s="4">
        <v>10313.7216796875</v>
      </c>
    </row>
    <row r="352" spans="1:4" x14ac:dyDescent="0.25">
      <c r="A352" s="5" t="s">
        <v>25</v>
      </c>
      <c r="B352" s="6" t="s">
        <v>5</v>
      </c>
      <c r="C352" s="6" t="s">
        <v>45</v>
      </c>
      <c r="D352" s="7">
        <v>10313.7216796875</v>
      </c>
    </row>
    <row r="353" spans="1:4" x14ac:dyDescent="0.25">
      <c r="A353" s="2" t="s">
        <v>25</v>
      </c>
      <c r="B353" s="3" t="s">
        <v>5</v>
      </c>
      <c r="C353" s="3" t="s">
        <v>46</v>
      </c>
      <c r="D353" s="4">
        <v>10313.7216796875</v>
      </c>
    </row>
    <row r="354" spans="1:4" x14ac:dyDescent="0.25">
      <c r="A354" s="5" t="s">
        <v>25</v>
      </c>
      <c r="B354" s="6" t="s">
        <v>5</v>
      </c>
      <c r="C354" s="6" t="s">
        <v>47</v>
      </c>
      <c r="D354" s="7">
        <v>10313.7216796875</v>
      </c>
    </row>
    <row r="355" spans="1:4" x14ac:dyDescent="0.25">
      <c r="A355" s="2" t="s">
        <v>25</v>
      </c>
      <c r="B355" s="3" t="s">
        <v>5</v>
      </c>
      <c r="C355" s="3" t="s">
        <v>48</v>
      </c>
      <c r="D355" s="4">
        <v>10313.7216796875</v>
      </c>
    </row>
    <row r="356" spans="1:4" x14ac:dyDescent="0.25">
      <c r="A356" s="5" t="s">
        <v>25</v>
      </c>
      <c r="B356" s="6" t="s">
        <v>5</v>
      </c>
      <c r="C356" s="6" t="s">
        <v>49</v>
      </c>
      <c r="D356" s="7">
        <v>10313.7216796875</v>
      </c>
    </row>
    <row r="357" spans="1:4" x14ac:dyDescent="0.25">
      <c r="A357" s="2" t="s">
        <v>25</v>
      </c>
      <c r="B357" s="3" t="s">
        <v>5</v>
      </c>
      <c r="C357" s="3" t="s">
        <v>50</v>
      </c>
      <c r="D357" s="4">
        <v>10313.7216796875</v>
      </c>
    </row>
    <row r="358" spans="1:4" x14ac:dyDescent="0.25">
      <c r="A358" s="5" t="s">
        <v>25</v>
      </c>
      <c r="B358" s="6" t="s">
        <v>5</v>
      </c>
      <c r="C358" s="6" t="s">
        <v>51</v>
      </c>
      <c r="D358" s="7">
        <v>10313.7216796875</v>
      </c>
    </row>
    <row r="359" spans="1:4" x14ac:dyDescent="0.25">
      <c r="A359" s="2" t="s">
        <v>25</v>
      </c>
      <c r="B359" s="3" t="s">
        <v>5</v>
      </c>
      <c r="C359" s="3" t="s">
        <v>52</v>
      </c>
      <c r="D359" s="4">
        <v>10313.7216796875</v>
      </c>
    </row>
    <row r="360" spans="1:4" x14ac:dyDescent="0.25">
      <c r="A360" s="5" t="s">
        <v>25</v>
      </c>
      <c r="B360" s="6" t="s">
        <v>5</v>
      </c>
      <c r="C360" s="6" t="s">
        <v>53</v>
      </c>
      <c r="D360" s="7">
        <v>10313.7216796875</v>
      </c>
    </row>
    <row r="361" spans="1:4" x14ac:dyDescent="0.25">
      <c r="A361" s="2" t="s">
        <v>25</v>
      </c>
      <c r="B361" s="3" t="s">
        <v>5</v>
      </c>
      <c r="C361" s="3" t="s">
        <v>54</v>
      </c>
      <c r="D361" s="4">
        <v>10318.671875</v>
      </c>
    </row>
    <row r="362" spans="1:4" x14ac:dyDescent="0.25">
      <c r="A362" s="2" t="s">
        <v>25</v>
      </c>
      <c r="B362" s="3" t="s">
        <v>5</v>
      </c>
      <c r="C362" s="3" t="s">
        <v>55</v>
      </c>
      <c r="D362" s="4">
        <v>10806.185546875</v>
      </c>
    </row>
    <row r="363" spans="1:4" x14ac:dyDescent="0.25">
      <c r="A363" s="5" t="s">
        <v>25</v>
      </c>
      <c r="B363" s="6" t="s">
        <v>5</v>
      </c>
      <c r="C363" s="6" t="s">
        <v>56</v>
      </c>
      <c r="D363" s="7">
        <v>10806.185546875</v>
      </c>
    </row>
    <row r="364" spans="1:4" x14ac:dyDescent="0.25">
      <c r="A364" s="2" t="s">
        <v>25</v>
      </c>
      <c r="B364" s="3" t="s">
        <v>5</v>
      </c>
      <c r="C364" s="3" t="s">
        <v>57</v>
      </c>
      <c r="D364" s="4">
        <v>10806.185546875</v>
      </c>
    </row>
    <row r="365" spans="1:4" x14ac:dyDescent="0.25">
      <c r="A365" s="5" t="s">
        <v>25</v>
      </c>
      <c r="B365" s="6" t="s">
        <v>5</v>
      </c>
      <c r="C365" s="6" t="s">
        <v>58</v>
      </c>
      <c r="D365" s="7">
        <v>10806.185546875</v>
      </c>
    </row>
    <row r="366" spans="1:4" x14ac:dyDescent="0.25">
      <c r="A366" s="2" t="s">
        <v>25</v>
      </c>
      <c r="B366" s="3" t="s">
        <v>5</v>
      </c>
      <c r="C366" s="3" t="s">
        <v>59</v>
      </c>
      <c r="D366" s="4">
        <v>10806.185546875</v>
      </c>
    </row>
    <row r="367" spans="1:4" x14ac:dyDescent="0.25">
      <c r="A367" s="5" t="s">
        <v>25</v>
      </c>
      <c r="B367" s="6" t="s">
        <v>5</v>
      </c>
      <c r="C367" s="6" t="s">
        <v>60</v>
      </c>
      <c r="D367" s="7">
        <v>10806.185546875</v>
      </c>
    </row>
    <row r="368" spans="1:4" x14ac:dyDescent="0.25">
      <c r="A368" s="2" t="s">
        <v>25</v>
      </c>
      <c r="B368" s="3" t="s">
        <v>5</v>
      </c>
      <c r="C368" s="3" t="s">
        <v>61</v>
      </c>
      <c r="D368" s="4">
        <v>10806.185546875</v>
      </c>
    </row>
    <row r="369" spans="1:4" x14ac:dyDescent="0.25">
      <c r="A369" s="5" t="s">
        <v>25</v>
      </c>
      <c r="B369" s="6" t="s">
        <v>5</v>
      </c>
      <c r="C369" s="6" t="s">
        <v>62</v>
      </c>
      <c r="D369" s="7">
        <v>10806.185546875</v>
      </c>
    </row>
    <row r="370" spans="1:4" x14ac:dyDescent="0.25">
      <c r="A370" s="2" t="s">
        <v>25</v>
      </c>
      <c r="B370" s="3" t="s">
        <v>5</v>
      </c>
      <c r="C370" s="3" t="s">
        <v>63</v>
      </c>
      <c r="D370" s="4">
        <v>10806.185546875</v>
      </c>
    </row>
    <row r="371" spans="1:4" x14ac:dyDescent="0.25">
      <c r="A371" s="5" t="s">
        <v>25</v>
      </c>
      <c r="B371" s="6" t="s">
        <v>5</v>
      </c>
      <c r="C371" s="6" t="s">
        <v>64</v>
      </c>
      <c r="D371" s="7">
        <v>10806.185546875</v>
      </c>
    </row>
    <row r="372" spans="1:4" x14ac:dyDescent="0.25">
      <c r="A372" s="2" t="s">
        <v>25</v>
      </c>
      <c r="B372" s="3" t="s">
        <v>5</v>
      </c>
      <c r="C372" s="3" t="s">
        <v>65</v>
      </c>
      <c r="D372" s="4">
        <v>10806.185546875</v>
      </c>
    </row>
    <row r="373" spans="1:4" x14ac:dyDescent="0.25">
      <c r="A373" s="5" t="s">
        <v>25</v>
      </c>
      <c r="B373" s="6" t="s">
        <v>5</v>
      </c>
      <c r="C373" s="6" t="s">
        <v>66</v>
      </c>
      <c r="D373" s="7">
        <v>10811.373046875</v>
      </c>
    </row>
    <row r="374" spans="1:4" x14ac:dyDescent="0.25">
      <c r="A374" s="5" t="s">
        <v>26</v>
      </c>
      <c r="B374" s="6" t="s">
        <v>5</v>
      </c>
      <c r="C374" s="6" t="s">
        <v>36</v>
      </c>
      <c r="D374" s="7">
        <v>5509.8076171875</v>
      </c>
    </row>
    <row r="375" spans="1:4" x14ac:dyDescent="0.25">
      <c r="A375" s="2" t="s">
        <v>26</v>
      </c>
      <c r="B375" s="3" t="s">
        <v>5</v>
      </c>
      <c r="C375" s="3" t="s">
        <v>37</v>
      </c>
      <c r="D375" s="4">
        <v>5509.8076171875</v>
      </c>
    </row>
    <row r="376" spans="1:4" x14ac:dyDescent="0.25">
      <c r="A376" s="5" t="s">
        <v>26</v>
      </c>
      <c r="B376" s="6" t="s">
        <v>5</v>
      </c>
      <c r="C376" s="6" t="s">
        <v>38</v>
      </c>
      <c r="D376" s="7">
        <v>5509.8076171875</v>
      </c>
    </row>
    <row r="377" spans="1:4" x14ac:dyDescent="0.25">
      <c r="A377" s="2" t="s">
        <v>26</v>
      </c>
      <c r="B377" s="3" t="s">
        <v>5</v>
      </c>
      <c r="C377" s="3" t="s">
        <v>39</v>
      </c>
      <c r="D377" s="4">
        <v>5509.8076171875</v>
      </c>
    </row>
    <row r="378" spans="1:4" x14ac:dyDescent="0.25">
      <c r="A378" s="5" t="s">
        <v>26</v>
      </c>
      <c r="B378" s="6" t="s">
        <v>5</v>
      </c>
      <c r="C378" s="6" t="s">
        <v>40</v>
      </c>
      <c r="D378" s="7">
        <v>5509.8076171875</v>
      </c>
    </row>
    <row r="379" spans="1:4" x14ac:dyDescent="0.25">
      <c r="A379" s="2" t="s">
        <v>26</v>
      </c>
      <c r="B379" s="3" t="s">
        <v>5</v>
      </c>
      <c r="C379" s="3" t="s">
        <v>41</v>
      </c>
      <c r="D379" s="4">
        <v>5509.8076171875</v>
      </c>
    </row>
    <row r="380" spans="1:4" x14ac:dyDescent="0.25">
      <c r="A380" s="5" t="s">
        <v>26</v>
      </c>
      <c r="B380" s="6" t="s">
        <v>5</v>
      </c>
      <c r="C380" s="6" t="s">
        <v>42</v>
      </c>
      <c r="D380" s="7">
        <v>5512.4521484375</v>
      </c>
    </row>
    <row r="381" spans="1:4" x14ac:dyDescent="0.25">
      <c r="A381" s="2" t="s">
        <v>26</v>
      </c>
      <c r="B381" s="3" t="s">
        <v>5</v>
      </c>
      <c r="C381" s="3" t="s">
        <v>43</v>
      </c>
      <c r="D381" s="4">
        <v>5635.38525390625</v>
      </c>
    </row>
    <row r="382" spans="1:4" x14ac:dyDescent="0.25">
      <c r="A382" s="5" t="s">
        <v>26</v>
      </c>
      <c r="B382" s="6" t="s">
        <v>5</v>
      </c>
      <c r="C382" s="6" t="s">
        <v>44</v>
      </c>
      <c r="D382" s="7">
        <v>5635.38525390625</v>
      </c>
    </row>
    <row r="383" spans="1:4" x14ac:dyDescent="0.25">
      <c r="A383" s="2" t="s">
        <v>26</v>
      </c>
      <c r="B383" s="3" t="s">
        <v>5</v>
      </c>
      <c r="C383" s="3" t="s">
        <v>45</v>
      </c>
      <c r="D383" s="4">
        <v>5635.38525390625</v>
      </c>
    </row>
    <row r="384" spans="1:4" x14ac:dyDescent="0.25">
      <c r="A384" s="5" t="s">
        <v>26</v>
      </c>
      <c r="B384" s="6" t="s">
        <v>5</v>
      </c>
      <c r="C384" s="6" t="s">
        <v>46</v>
      </c>
      <c r="D384" s="7">
        <v>5635.38525390625</v>
      </c>
    </row>
    <row r="385" spans="1:4" x14ac:dyDescent="0.25">
      <c r="A385" s="2" t="s">
        <v>26</v>
      </c>
      <c r="B385" s="3" t="s">
        <v>5</v>
      </c>
      <c r="C385" s="3" t="s">
        <v>47</v>
      </c>
      <c r="D385" s="4">
        <v>5635.38525390625</v>
      </c>
    </row>
    <row r="386" spans="1:4" x14ac:dyDescent="0.25">
      <c r="A386" s="5" t="s">
        <v>26</v>
      </c>
      <c r="B386" s="6" t="s">
        <v>5</v>
      </c>
      <c r="C386" s="6" t="s">
        <v>48</v>
      </c>
      <c r="D386" s="7">
        <v>5635.38525390625</v>
      </c>
    </row>
    <row r="387" spans="1:4" x14ac:dyDescent="0.25">
      <c r="A387" s="2" t="s">
        <v>26</v>
      </c>
      <c r="B387" s="3" t="s">
        <v>5</v>
      </c>
      <c r="C387" s="3" t="s">
        <v>49</v>
      </c>
      <c r="D387" s="4">
        <v>5635.38525390625</v>
      </c>
    </row>
    <row r="388" spans="1:4" x14ac:dyDescent="0.25">
      <c r="A388" s="5" t="s">
        <v>26</v>
      </c>
      <c r="B388" s="6" t="s">
        <v>5</v>
      </c>
      <c r="C388" s="6" t="s">
        <v>50</v>
      </c>
      <c r="D388" s="7">
        <v>5635.38525390625</v>
      </c>
    </row>
    <row r="389" spans="1:4" x14ac:dyDescent="0.25">
      <c r="A389" s="2" t="s">
        <v>26</v>
      </c>
      <c r="B389" s="3" t="s">
        <v>5</v>
      </c>
      <c r="C389" s="3" t="s">
        <v>51</v>
      </c>
      <c r="D389" s="4">
        <v>5635.38525390625</v>
      </c>
    </row>
    <row r="390" spans="1:4" x14ac:dyDescent="0.25">
      <c r="A390" s="5" t="s">
        <v>26</v>
      </c>
      <c r="B390" s="6" t="s">
        <v>5</v>
      </c>
      <c r="C390" s="6" t="s">
        <v>52</v>
      </c>
      <c r="D390" s="7">
        <v>5635.38525390625</v>
      </c>
    </row>
    <row r="391" spans="1:4" x14ac:dyDescent="0.25">
      <c r="A391" s="2" t="s">
        <v>26</v>
      </c>
      <c r="B391" s="3" t="s">
        <v>5</v>
      </c>
      <c r="C391" s="3" t="s">
        <v>53</v>
      </c>
      <c r="D391" s="4">
        <v>5635.38525390625</v>
      </c>
    </row>
    <row r="392" spans="1:4" x14ac:dyDescent="0.25">
      <c r="A392" s="5" t="s">
        <v>26</v>
      </c>
      <c r="B392" s="6" t="s">
        <v>5</v>
      </c>
      <c r="C392" s="6" t="s">
        <v>54</v>
      </c>
      <c r="D392" s="7">
        <v>5638.09033203125</v>
      </c>
    </row>
    <row r="393" spans="1:4" x14ac:dyDescent="0.25">
      <c r="A393" s="5" t="s">
        <v>26</v>
      </c>
      <c r="B393" s="6" t="s">
        <v>5</v>
      </c>
      <c r="C393" s="6" t="s">
        <v>55</v>
      </c>
      <c r="D393" s="7">
        <v>5880.89794921875</v>
      </c>
    </row>
    <row r="394" spans="1:4" x14ac:dyDescent="0.25">
      <c r="A394" s="2" t="s">
        <v>26</v>
      </c>
      <c r="B394" s="3" t="s">
        <v>5</v>
      </c>
      <c r="C394" s="3" t="s">
        <v>56</v>
      </c>
      <c r="D394" s="4">
        <v>5880.89794921875</v>
      </c>
    </row>
    <row r="395" spans="1:4" x14ac:dyDescent="0.25">
      <c r="A395" s="5" t="s">
        <v>26</v>
      </c>
      <c r="B395" s="6" t="s">
        <v>5</v>
      </c>
      <c r="C395" s="6" t="s">
        <v>57</v>
      </c>
      <c r="D395" s="7">
        <v>5880.89794921875</v>
      </c>
    </row>
    <row r="396" spans="1:4" x14ac:dyDescent="0.25">
      <c r="A396" s="2" t="s">
        <v>26</v>
      </c>
      <c r="B396" s="3" t="s">
        <v>5</v>
      </c>
      <c r="C396" s="3" t="s">
        <v>58</v>
      </c>
      <c r="D396" s="4">
        <v>5880.89794921875</v>
      </c>
    </row>
    <row r="397" spans="1:4" x14ac:dyDescent="0.25">
      <c r="A397" s="5" t="s">
        <v>26</v>
      </c>
      <c r="B397" s="6" t="s">
        <v>5</v>
      </c>
      <c r="C397" s="6" t="s">
        <v>59</v>
      </c>
      <c r="D397" s="7">
        <v>5880.89794921875</v>
      </c>
    </row>
    <row r="398" spans="1:4" x14ac:dyDescent="0.25">
      <c r="A398" s="2" t="s">
        <v>26</v>
      </c>
      <c r="B398" s="3" t="s">
        <v>5</v>
      </c>
      <c r="C398" s="3" t="s">
        <v>60</v>
      </c>
      <c r="D398" s="4">
        <v>5880.89794921875</v>
      </c>
    </row>
    <row r="399" spans="1:4" x14ac:dyDescent="0.25">
      <c r="A399" s="5" t="s">
        <v>26</v>
      </c>
      <c r="B399" s="6" t="s">
        <v>5</v>
      </c>
      <c r="C399" s="6" t="s">
        <v>61</v>
      </c>
      <c r="D399" s="7">
        <v>5880.89794921875</v>
      </c>
    </row>
    <row r="400" spans="1:4" x14ac:dyDescent="0.25">
      <c r="A400" s="2" t="s">
        <v>26</v>
      </c>
      <c r="B400" s="3" t="s">
        <v>5</v>
      </c>
      <c r="C400" s="3" t="s">
        <v>62</v>
      </c>
      <c r="D400" s="4">
        <v>5880.89794921875</v>
      </c>
    </row>
    <row r="401" spans="1:4" x14ac:dyDescent="0.25">
      <c r="A401" s="5" t="s">
        <v>26</v>
      </c>
      <c r="B401" s="6" t="s">
        <v>5</v>
      </c>
      <c r="C401" s="6" t="s">
        <v>63</v>
      </c>
      <c r="D401" s="7">
        <v>5880.89794921875</v>
      </c>
    </row>
    <row r="402" spans="1:4" x14ac:dyDescent="0.25">
      <c r="A402" s="2" t="s">
        <v>26</v>
      </c>
      <c r="B402" s="3" t="s">
        <v>5</v>
      </c>
      <c r="C402" s="3" t="s">
        <v>64</v>
      </c>
      <c r="D402" s="4">
        <v>5880.89794921875</v>
      </c>
    </row>
    <row r="403" spans="1:4" x14ac:dyDescent="0.25">
      <c r="A403" s="5" t="s">
        <v>26</v>
      </c>
      <c r="B403" s="6" t="s">
        <v>5</v>
      </c>
      <c r="C403" s="6" t="s">
        <v>65</v>
      </c>
      <c r="D403" s="7">
        <v>5880.89794921875</v>
      </c>
    </row>
    <row r="404" spans="1:4" x14ac:dyDescent="0.25">
      <c r="A404" s="2" t="s">
        <v>26</v>
      </c>
      <c r="B404" s="3" t="s">
        <v>5</v>
      </c>
      <c r="C404" s="3" t="s">
        <v>66</v>
      </c>
      <c r="D404" s="4">
        <v>5883.720703125</v>
      </c>
    </row>
    <row r="405" spans="1:4" x14ac:dyDescent="0.25">
      <c r="A405" s="2" t="s">
        <v>9</v>
      </c>
      <c r="B405" s="3" t="s">
        <v>5</v>
      </c>
      <c r="C405" s="3" t="s">
        <v>36</v>
      </c>
      <c r="D405" s="4">
        <v>6444.873046875</v>
      </c>
    </row>
    <row r="406" spans="1:4" x14ac:dyDescent="0.25">
      <c r="A406" s="5" t="s">
        <v>9</v>
      </c>
      <c r="B406" s="6" t="s">
        <v>5</v>
      </c>
      <c r="C406" s="6" t="s">
        <v>37</v>
      </c>
      <c r="D406" s="7">
        <v>6444.873046875</v>
      </c>
    </row>
    <row r="407" spans="1:4" x14ac:dyDescent="0.25">
      <c r="A407" s="2" t="s">
        <v>9</v>
      </c>
      <c r="B407" s="3" t="s">
        <v>5</v>
      </c>
      <c r="C407" s="3" t="s">
        <v>38</v>
      </c>
      <c r="D407" s="4">
        <v>6444.873046875</v>
      </c>
    </row>
    <row r="408" spans="1:4" x14ac:dyDescent="0.25">
      <c r="A408" s="5" t="s">
        <v>9</v>
      </c>
      <c r="B408" s="6" t="s">
        <v>5</v>
      </c>
      <c r="C408" s="6" t="s">
        <v>39</v>
      </c>
      <c r="D408" s="7">
        <v>6444.873046875</v>
      </c>
    </row>
    <row r="409" spans="1:4" x14ac:dyDescent="0.25">
      <c r="A409" s="2" t="s">
        <v>9</v>
      </c>
      <c r="B409" s="3" t="s">
        <v>5</v>
      </c>
      <c r="C409" s="3" t="s">
        <v>40</v>
      </c>
      <c r="D409" s="4">
        <v>6444.873046875</v>
      </c>
    </row>
    <row r="410" spans="1:4" x14ac:dyDescent="0.25">
      <c r="A410" s="5" t="s">
        <v>9</v>
      </c>
      <c r="B410" s="6" t="s">
        <v>5</v>
      </c>
      <c r="C410" s="6" t="s">
        <v>41</v>
      </c>
      <c r="D410" s="7">
        <v>6444.873046875</v>
      </c>
    </row>
    <row r="411" spans="1:4" x14ac:dyDescent="0.25">
      <c r="A411" s="2" t="s">
        <v>9</v>
      </c>
      <c r="B411" s="3" t="s">
        <v>5</v>
      </c>
      <c r="C411" s="3" t="s">
        <v>42</v>
      </c>
      <c r="D411" s="4">
        <v>6447.966796875</v>
      </c>
    </row>
    <row r="412" spans="1:4" x14ac:dyDescent="0.25">
      <c r="A412" s="5" t="s">
        <v>9</v>
      </c>
      <c r="B412" s="6" t="s">
        <v>5</v>
      </c>
      <c r="C412" s="6" t="s">
        <v>43</v>
      </c>
      <c r="D412" s="7">
        <v>6591.47509765625</v>
      </c>
    </row>
    <row r="413" spans="1:4" x14ac:dyDescent="0.25">
      <c r="A413" s="2" t="s">
        <v>9</v>
      </c>
      <c r="B413" s="3" t="s">
        <v>5</v>
      </c>
      <c r="C413" s="3" t="s">
        <v>44</v>
      </c>
      <c r="D413" s="4">
        <v>6591.47509765625</v>
      </c>
    </row>
    <row r="414" spans="1:4" x14ac:dyDescent="0.25">
      <c r="A414" s="5" t="s">
        <v>9</v>
      </c>
      <c r="B414" s="6" t="s">
        <v>5</v>
      </c>
      <c r="C414" s="6" t="s">
        <v>45</v>
      </c>
      <c r="D414" s="7">
        <v>6591.47509765625</v>
      </c>
    </row>
    <row r="415" spans="1:4" x14ac:dyDescent="0.25">
      <c r="A415" s="2" t="s">
        <v>9</v>
      </c>
      <c r="B415" s="3" t="s">
        <v>5</v>
      </c>
      <c r="C415" s="3" t="s">
        <v>46</v>
      </c>
      <c r="D415" s="4">
        <v>6591.47509765625</v>
      </c>
    </row>
    <row r="416" spans="1:4" x14ac:dyDescent="0.25">
      <c r="A416" s="5" t="s">
        <v>9</v>
      </c>
      <c r="B416" s="6" t="s">
        <v>5</v>
      </c>
      <c r="C416" s="6" t="s">
        <v>47</v>
      </c>
      <c r="D416" s="7">
        <v>6591.47509765625</v>
      </c>
    </row>
    <row r="417" spans="1:4" x14ac:dyDescent="0.25">
      <c r="A417" s="2" t="s">
        <v>9</v>
      </c>
      <c r="B417" s="3" t="s">
        <v>5</v>
      </c>
      <c r="C417" s="3" t="s">
        <v>48</v>
      </c>
      <c r="D417" s="4">
        <v>6591.47509765625</v>
      </c>
    </row>
    <row r="418" spans="1:4" x14ac:dyDescent="0.25">
      <c r="A418" s="5" t="s">
        <v>9</v>
      </c>
      <c r="B418" s="6" t="s">
        <v>5</v>
      </c>
      <c r="C418" s="6" t="s">
        <v>49</v>
      </c>
      <c r="D418" s="7">
        <v>6591.47509765625</v>
      </c>
    </row>
    <row r="419" spans="1:4" x14ac:dyDescent="0.25">
      <c r="A419" s="2" t="s">
        <v>9</v>
      </c>
      <c r="B419" s="3" t="s">
        <v>5</v>
      </c>
      <c r="C419" s="3" t="s">
        <v>50</v>
      </c>
      <c r="D419" s="4">
        <v>6591.47509765625</v>
      </c>
    </row>
    <row r="420" spans="1:4" x14ac:dyDescent="0.25">
      <c r="A420" s="5" t="s">
        <v>9</v>
      </c>
      <c r="B420" s="6" t="s">
        <v>5</v>
      </c>
      <c r="C420" s="6" t="s">
        <v>51</v>
      </c>
      <c r="D420" s="7">
        <v>6591.47509765625</v>
      </c>
    </row>
    <row r="421" spans="1:4" x14ac:dyDescent="0.25">
      <c r="A421" s="2" t="s">
        <v>9</v>
      </c>
      <c r="B421" s="3" t="s">
        <v>5</v>
      </c>
      <c r="C421" s="3" t="s">
        <v>52</v>
      </c>
      <c r="D421" s="4">
        <v>6591.47509765625</v>
      </c>
    </row>
    <row r="422" spans="1:4" x14ac:dyDescent="0.25">
      <c r="A422" s="5" t="s">
        <v>9</v>
      </c>
      <c r="B422" s="6" t="s">
        <v>5</v>
      </c>
      <c r="C422" s="6" t="s">
        <v>53</v>
      </c>
      <c r="D422" s="7">
        <v>6591.47509765625</v>
      </c>
    </row>
    <row r="423" spans="1:4" x14ac:dyDescent="0.25">
      <c r="A423" s="2" t="s">
        <v>9</v>
      </c>
      <c r="B423" s="3" t="s">
        <v>5</v>
      </c>
      <c r="C423" s="3" t="s">
        <v>54</v>
      </c>
      <c r="D423" s="4">
        <v>6594.638671875</v>
      </c>
    </row>
    <row r="424" spans="1:4" x14ac:dyDescent="0.25">
      <c r="A424" s="2" t="s">
        <v>9</v>
      </c>
      <c r="B424" s="3" t="s">
        <v>5</v>
      </c>
      <c r="C424" s="3" t="s">
        <v>55</v>
      </c>
      <c r="D424" s="4">
        <v>6600.63037109375</v>
      </c>
    </row>
    <row r="425" spans="1:4" x14ac:dyDescent="0.25">
      <c r="A425" s="5" t="s">
        <v>9</v>
      </c>
      <c r="B425" s="6" t="s">
        <v>5</v>
      </c>
      <c r="C425" s="6" t="s">
        <v>56</v>
      </c>
      <c r="D425" s="7">
        <v>6600.63037109375</v>
      </c>
    </row>
    <row r="426" spans="1:4" x14ac:dyDescent="0.25">
      <c r="A426" s="2" t="s">
        <v>9</v>
      </c>
      <c r="B426" s="3" t="s">
        <v>5</v>
      </c>
      <c r="C426" s="3" t="s">
        <v>57</v>
      </c>
      <c r="D426" s="4">
        <v>6600.63037109375</v>
      </c>
    </row>
    <row r="427" spans="1:4" x14ac:dyDescent="0.25">
      <c r="A427" s="5" t="s">
        <v>9</v>
      </c>
      <c r="B427" s="6" t="s">
        <v>5</v>
      </c>
      <c r="C427" s="6" t="s">
        <v>58</v>
      </c>
      <c r="D427" s="7">
        <v>6600.63037109375</v>
      </c>
    </row>
    <row r="428" spans="1:4" x14ac:dyDescent="0.25">
      <c r="A428" s="2" t="s">
        <v>9</v>
      </c>
      <c r="B428" s="3" t="s">
        <v>5</v>
      </c>
      <c r="C428" s="3" t="s">
        <v>59</v>
      </c>
      <c r="D428" s="4">
        <v>6600.63037109375</v>
      </c>
    </row>
    <row r="429" spans="1:4" x14ac:dyDescent="0.25">
      <c r="A429" s="5" t="s">
        <v>9</v>
      </c>
      <c r="B429" s="6" t="s">
        <v>5</v>
      </c>
      <c r="C429" s="6" t="s">
        <v>60</v>
      </c>
      <c r="D429" s="7">
        <v>6600.63037109375</v>
      </c>
    </row>
    <row r="430" spans="1:4" x14ac:dyDescent="0.25">
      <c r="A430" s="2" t="s">
        <v>9</v>
      </c>
      <c r="B430" s="3" t="s">
        <v>5</v>
      </c>
      <c r="C430" s="3" t="s">
        <v>61</v>
      </c>
      <c r="D430" s="4">
        <v>6600.63037109375</v>
      </c>
    </row>
    <row r="431" spans="1:4" x14ac:dyDescent="0.25">
      <c r="A431" s="5" t="s">
        <v>9</v>
      </c>
      <c r="B431" s="6" t="s">
        <v>5</v>
      </c>
      <c r="C431" s="6" t="s">
        <v>62</v>
      </c>
      <c r="D431" s="7">
        <v>6600.63037109375</v>
      </c>
    </row>
    <row r="432" spans="1:4" x14ac:dyDescent="0.25">
      <c r="A432" s="2" t="s">
        <v>9</v>
      </c>
      <c r="B432" s="3" t="s">
        <v>5</v>
      </c>
      <c r="C432" s="3" t="s">
        <v>63</v>
      </c>
      <c r="D432" s="4">
        <v>6600.63037109375</v>
      </c>
    </row>
    <row r="433" spans="1:4" x14ac:dyDescent="0.25">
      <c r="A433" s="5" t="s">
        <v>9</v>
      </c>
      <c r="B433" s="6" t="s">
        <v>5</v>
      </c>
      <c r="C433" s="6" t="s">
        <v>64</v>
      </c>
      <c r="D433" s="7">
        <v>6600.63037109375</v>
      </c>
    </row>
    <row r="434" spans="1:4" x14ac:dyDescent="0.25">
      <c r="A434" s="2" t="s">
        <v>9</v>
      </c>
      <c r="B434" s="3" t="s">
        <v>5</v>
      </c>
      <c r="C434" s="3" t="s">
        <v>65</v>
      </c>
      <c r="D434" s="4">
        <v>6600.63037109375</v>
      </c>
    </row>
    <row r="435" spans="1:4" x14ac:dyDescent="0.25">
      <c r="A435" s="5" t="s">
        <v>9</v>
      </c>
      <c r="B435" s="6" t="s">
        <v>5</v>
      </c>
      <c r="C435" s="6" t="s">
        <v>66</v>
      </c>
      <c r="D435" s="7">
        <v>6603.798828125</v>
      </c>
    </row>
    <row r="436" spans="1:4" x14ac:dyDescent="0.25">
      <c r="A436" s="2" t="s">
        <v>19</v>
      </c>
      <c r="B436" s="3" t="s">
        <v>5</v>
      </c>
      <c r="C436" s="3" t="s">
        <v>36</v>
      </c>
      <c r="D436" s="4">
        <v>35650.3046875</v>
      </c>
    </row>
    <row r="437" spans="1:4" x14ac:dyDescent="0.25">
      <c r="A437" s="5" t="s">
        <v>19</v>
      </c>
      <c r="B437" s="6" t="s">
        <v>5</v>
      </c>
      <c r="C437" s="6" t="s">
        <v>37</v>
      </c>
      <c r="D437" s="7">
        <v>35650.3046875</v>
      </c>
    </row>
    <row r="438" spans="1:4" x14ac:dyDescent="0.25">
      <c r="A438" s="2" t="s">
        <v>19</v>
      </c>
      <c r="B438" s="3" t="s">
        <v>5</v>
      </c>
      <c r="C438" s="3" t="s">
        <v>38</v>
      </c>
      <c r="D438" s="4">
        <v>35650.3046875</v>
      </c>
    </row>
    <row r="439" spans="1:4" x14ac:dyDescent="0.25">
      <c r="A439" s="5" t="s">
        <v>19</v>
      </c>
      <c r="B439" s="6" t="s">
        <v>5</v>
      </c>
      <c r="C439" s="6" t="s">
        <v>39</v>
      </c>
      <c r="D439" s="7">
        <v>35650.3046875</v>
      </c>
    </row>
    <row r="440" spans="1:4" x14ac:dyDescent="0.25">
      <c r="A440" s="2" t="s">
        <v>19</v>
      </c>
      <c r="B440" s="3" t="s">
        <v>5</v>
      </c>
      <c r="C440" s="3" t="s">
        <v>40</v>
      </c>
      <c r="D440" s="4">
        <v>35650.3046875</v>
      </c>
    </row>
    <row r="441" spans="1:4" x14ac:dyDescent="0.25">
      <c r="A441" s="5" t="s">
        <v>19</v>
      </c>
      <c r="B441" s="6" t="s">
        <v>5</v>
      </c>
      <c r="C441" s="6" t="s">
        <v>41</v>
      </c>
      <c r="D441" s="7">
        <v>35650.3046875</v>
      </c>
    </row>
    <row r="442" spans="1:4" x14ac:dyDescent="0.25">
      <c r="A442" s="2" t="s">
        <v>19</v>
      </c>
      <c r="B442" s="3" t="s">
        <v>5</v>
      </c>
      <c r="C442" s="3" t="s">
        <v>42</v>
      </c>
      <c r="D442" s="4">
        <v>35667.41796875</v>
      </c>
    </row>
    <row r="443" spans="1:4" x14ac:dyDescent="0.25">
      <c r="A443" s="5" t="s">
        <v>19</v>
      </c>
      <c r="B443" s="6" t="s">
        <v>5</v>
      </c>
      <c r="C443" s="6" t="s">
        <v>43</v>
      </c>
      <c r="D443" s="7">
        <v>36462.8359375</v>
      </c>
    </row>
    <row r="444" spans="1:4" x14ac:dyDescent="0.25">
      <c r="A444" s="2" t="s">
        <v>19</v>
      </c>
      <c r="B444" s="3" t="s">
        <v>5</v>
      </c>
      <c r="C444" s="3" t="s">
        <v>44</v>
      </c>
      <c r="D444" s="4">
        <v>36462.8359375</v>
      </c>
    </row>
    <row r="445" spans="1:4" x14ac:dyDescent="0.25">
      <c r="A445" s="5" t="s">
        <v>19</v>
      </c>
      <c r="B445" s="6" t="s">
        <v>5</v>
      </c>
      <c r="C445" s="6" t="s">
        <v>45</v>
      </c>
      <c r="D445" s="7">
        <v>36462.8359375</v>
      </c>
    </row>
    <row r="446" spans="1:4" x14ac:dyDescent="0.25">
      <c r="A446" s="2" t="s">
        <v>19</v>
      </c>
      <c r="B446" s="3" t="s">
        <v>5</v>
      </c>
      <c r="C446" s="3" t="s">
        <v>46</v>
      </c>
      <c r="D446" s="4">
        <v>36462.8359375</v>
      </c>
    </row>
    <row r="447" spans="1:4" x14ac:dyDescent="0.25">
      <c r="A447" s="5" t="s">
        <v>19</v>
      </c>
      <c r="B447" s="6" t="s">
        <v>5</v>
      </c>
      <c r="C447" s="6" t="s">
        <v>47</v>
      </c>
      <c r="D447" s="7">
        <v>36462.8359375</v>
      </c>
    </row>
    <row r="448" spans="1:4" x14ac:dyDescent="0.25">
      <c r="A448" s="2" t="s">
        <v>19</v>
      </c>
      <c r="B448" s="3" t="s">
        <v>5</v>
      </c>
      <c r="C448" s="3" t="s">
        <v>48</v>
      </c>
      <c r="D448" s="4">
        <v>36462.8359375</v>
      </c>
    </row>
    <row r="449" spans="1:4" x14ac:dyDescent="0.25">
      <c r="A449" s="5" t="s">
        <v>19</v>
      </c>
      <c r="B449" s="6" t="s">
        <v>5</v>
      </c>
      <c r="C449" s="6" t="s">
        <v>49</v>
      </c>
      <c r="D449" s="7">
        <v>36462.8359375</v>
      </c>
    </row>
    <row r="450" spans="1:4" x14ac:dyDescent="0.25">
      <c r="A450" s="2" t="s">
        <v>19</v>
      </c>
      <c r="B450" s="3" t="s">
        <v>5</v>
      </c>
      <c r="C450" s="3" t="s">
        <v>50</v>
      </c>
      <c r="D450" s="4">
        <v>36462.8359375</v>
      </c>
    </row>
    <row r="451" spans="1:4" x14ac:dyDescent="0.25">
      <c r="A451" s="5" t="s">
        <v>19</v>
      </c>
      <c r="B451" s="6" t="s">
        <v>5</v>
      </c>
      <c r="C451" s="6" t="s">
        <v>51</v>
      </c>
      <c r="D451" s="7">
        <v>36462.8359375</v>
      </c>
    </row>
    <row r="452" spans="1:4" x14ac:dyDescent="0.25">
      <c r="A452" s="2" t="s">
        <v>19</v>
      </c>
      <c r="B452" s="3" t="s">
        <v>5</v>
      </c>
      <c r="C452" s="3" t="s">
        <v>52</v>
      </c>
      <c r="D452" s="4">
        <v>36462.8359375</v>
      </c>
    </row>
    <row r="453" spans="1:4" x14ac:dyDescent="0.25">
      <c r="A453" s="5" t="s">
        <v>19</v>
      </c>
      <c r="B453" s="6" t="s">
        <v>5</v>
      </c>
      <c r="C453" s="6" t="s">
        <v>53</v>
      </c>
      <c r="D453" s="7">
        <v>36462.8359375</v>
      </c>
    </row>
    <row r="454" spans="1:4" x14ac:dyDescent="0.25">
      <c r="A454" s="2" t="s">
        <v>19</v>
      </c>
      <c r="B454" s="3" t="s">
        <v>5</v>
      </c>
      <c r="C454" s="3" t="s">
        <v>54</v>
      </c>
      <c r="D454" s="4">
        <v>36480.33984375</v>
      </c>
    </row>
    <row r="455" spans="1:4" x14ac:dyDescent="0.25">
      <c r="A455" s="2" t="s">
        <v>19</v>
      </c>
      <c r="B455" s="3" t="s">
        <v>5</v>
      </c>
      <c r="C455" s="3" t="s">
        <v>55</v>
      </c>
      <c r="D455" s="4">
        <v>37251.3671875</v>
      </c>
    </row>
    <row r="456" spans="1:4" x14ac:dyDescent="0.25">
      <c r="A456" s="5" t="s">
        <v>19</v>
      </c>
      <c r="B456" s="6" t="s">
        <v>5</v>
      </c>
      <c r="C456" s="6" t="s">
        <v>56</v>
      </c>
      <c r="D456" s="7">
        <v>37251.3671875</v>
      </c>
    </row>
    <row r="457" spans="1:4" x14ac:dyDescent="0.25">
      <c r="A457" s="2" t="s">
        <v>19</v>
      </c>
      <c r="B457" s="3" t="s">
        <v>5</v>
      </c>
      <c r="C457" s="3" t="s">
        <v>57</v>
      </c>
      <c r="D457" s="4">
        <v>37251.3671875</v>
      </c>
    </row>
    <row r="458" spans="1:4" x14ac:dyDescent="0.25">
      <c r="A458" s="5" t="s">
        <v>19</v>
      </c>
      <c r="B458" s="6" t="s">
        <v>5</v>
      </c>
      <c r="C458" s="6" t="s">
        <v>58</v>
      </c>
      <c r="D458" s="7">
        <v>37251.3671875</v>
      </c>
    </row>
    <row r="459" spans="1:4" x14ac:dyDescent="0.25">
      <c r="A459" s="2" t="s">
        <v>19</v>
      </c>
      <c r="B459" s="3" t="s">
        <v>5</v>
      </c>
      <c r="C459" s="3" t="s">
        <v>59</v>
      </c>
      <c r="D459" s="4">
        <v>37251.3671875</v>
      </c>
    </row>
    <row r="460" spans="1:4" x14ac:dyDescent="0.25">
      <c r="A460" s="5" t="s">
        <v>19</v>
      </c>
      <c r="B460" s="6" t="s">
        <v>5</v>
      </c>
      <c r="C460" s="6" t="s">
        <v>60</v>
      </c>
      <c r="D460" s="7">
        <v>37251.3671875</v>
      </c>
    </row>
    <row r="461" spans="1:4" x14ac:dyDescent="0.25">
      <c r="A461" s="2" t="s">
        <v>19</v>
      </c>
      <c r="B461" s="3" t="s">
        <v>5</v>
      </c>
      <c r="C461" s="3" t="s">
        <v>61</v>
      </c>
      <c r="D461" s="4">
        <v>37251.3671875</v>
      </c>
    </row>
    <row r="462" spans="1:4" x14ac:dyDescent="0.25">
      <c r="A462" s="5" t="s">
        <v>19</v>
      </c>
      <c r="B462" s="6" t="s">
        <v>5</v>
      </c>
      <c r="C462" s="6" t="s">
        <v>62</v>
      </c>
      <c r="D462" s="7">
        <v>37251.3671875</v>
      </c>
    </row>
    <row r="463" spans="1:4" x14ac:dyDescent="0.25">
      <c r="A463" s="2" t="s">
        <v>19</v>
      </c>
      <c r="B463" s="3" t="s">
        <v>5</v>
      </c>
      <c r="C463" s="3" t="s">
        <v>63</v>
      </c>
      <c r="D463" s="4">
        <v>37251.3671875</v>
      </c>
    </row>
    <row r="464" spans="1:4" x14ac:dyDescent="0.25">
      <c r="A464" s="5" t="s">
        <v>19</v>
      </c>
      <c r="B464" s="6" t="s">
        <v>5</v>
      </c>
      <c r="C464" s="6" t="s">
        <v>64</v>
      </c>
      <c r="D464" s="7">
        <v>37251.3671875</v>
      </c>
    </row>
    <row r="465" spans="1:4" x14ac:dyDescent="0.25">
      <c r="A465" s="2" t="s">
        <v>19</v>
      </c>
      <c r="B465" s="3" t="s">
        <v>5</v>
      </c>
      <c r="C465" s="3" t="s">
        <v>65</v>
      </c>
      <c r="D465" s="4">
        <v>37251.3671875</v>
      </c>
    </row>
    <row r="466" spans="1:4" x14ac:dyDescent="0.25">
      <c r="A466" s="5" t="s">
        <v>19</v>
      </c>
      <c r="B466" s="6" t="s">
        <v>5</v>
      </c>
      <c r="C466" s="6" t="s">
        <v>66</v>
      </c>
      <c r="D466" s="7">
        <v>37269.25</v>
      </c>
    </row>
    <row r="467" spans="1:4" x14ac:dyDescent="0.25">
      <c r="A467" s="5" t="s">
        <v>20</v>
      </c>
      <c r="B467" s="6" t="s">
        <v>5</v>
      </c>
      <c r="C467" s="6" t="s">
        <v>36</v>
      </c>
      <c r="D467" s="7">
        <v>5690.99169921875</v>
      </c>
    </row>
    <row r="468" spans="1:4" x14ac:dyDescent="0.25">
      <c r="A468" s="2" t="s">
        <v>20</v>
      </c>
      <c r="B468" s="3" t="s">
        <v>5</v>
      </c>
      <c r="C468" s="3" t="s">
        <v>37</v>
      </c>
      <c r="D468" s="4">
        <v>5690.99169921875</v>
      </c>
    </row>
    <row r="469" spans="1:4" x14ac:dyDescent="0.25">
      <c r="A469" s="5" t="s">
        <v>20</v>
      </c>
      <c r="B469" s="6" t="s">
        <v>5</v>
      </c>
      <c r="C469" s="6" t="s">
        <v>38</v>
      </c>
      <c r="D469" s="7">
        <v>5690.99169921875</v>
      </c>
    </row>
    <row r="470" spans="1:4" x14ac:dyDescent="0.25">
      <c r="A470" s="2" t="s">
        <v>20</v>
      </c>
      <c r="B470" s="3" t="s">
        <v>5</v>
      </c>
      <c r="C470" s="3" t="s">
        <v>39</v>
      </c>
      <c r="D470" s="4">
        <v>5690.99169921875</v>
      </c>
    </row>
    <row r="471" spans="1:4" x14ac:dyDescent="0.25">
      <c r="A471" s="5" t="s">
        <v>20</v>
      </c>
      <c r="B471" s="6" t="s">
        <v>5</v>
      </c>
      <c r="C471" s="6" t="s">
        <v>40</v>
      </c>
      <c r="D471" s="7">
        <v>5690.99169921875</v>
      </c>
    </row>
    <row r="472" spans="1:4" x14ac:dyDescent="0.25">
      <c r="A472" s="2" t="s">
        <v>20</v>
      </c>
      <c r="B472" s="3" t="s">
        <v>5</v>
      </c>
      <c r="C472" s="3" t="s">
        <v>41</v>
      </c>
      <c r="D472" s="4">
        <v>5690.99169921875</v>
      </c>
    </row>
    <row r="473" spans="1:4" x14ac:dyDescent="0.25">
      <c r="A473" s="5" t="s">
        <v>20</v>
      </c>
      <c r="B473" s="6" t="s">
        <v>5</v>
      </c>
      <c r="C473" s="6" t="s">
        <v>42</v>
      </c>
      <c r="D473" s="7">
        <v>5693.7236328125</v>
      </c>
    </row>
    <row r="474" spans="1:4" x14ac:dyDescent="0.25">
      <c r="A474" s="2" t="s">
        <v>20</v>
      </c>
      <c r="B474" s="3" t="s">
        <v>5</v>
      </c>
      <c r="C474" s="3" t="s">
        <v>43</v>
      </c>
      <c r="D474" s="4">
        <v>5820.69873046875</v>
      </c>
    </row>
    <row r="475" spans="1:4" x14ac:dyDescent="0.25">
      <c r="A475" s="5" t="s">
        <v>20</v>
      </c>
      <c r="B475" s="6" t="s">
        <v>5</v>
      </c>
      <c r="C475" s="6" t="s">
        <v>44</v>
      </c>
      <c r="D475" s="7">
        <v>5820.69873046875</v>
      </c>
    </row>
    <row r="476" spans="1:4" x14ac:dyDescent="0.25">
      <c r="A476" s="2" t="s">
        <v>20</v>
      </c>
      <c r="B476" s="3" t="s">
        <v>5</v>
      </c>
      <c r="C476" s="3" t="s">
        <v>45</v>
      </c>
      <c r="D476" s="4">
        <v>5820.69873046875</v>
      </c>
    </row>
    <row r="477" spans="1:4" x14ac:dyDescent="0.25">
      <c r="A477" s="5" t="s">
        <v>20</v>
      </c>
      <c r="B477" s="6" t="s">
        <v>5</v>
      </c>
      <c r="C477" s="6" t="s">
        <v>46</v>
      </c>
      <c r="D477" s="7">
        <v>5820.69873046875</v>
      </c>
    </row>
    <row r="478" spans="1:4" x14ac:dyDescent="0.25">
      <c r="A478" s="2" t="s">
        <v>20</v>
      </c>
      <c r="B478" s="3" t="s">
        <v>5</v>
      </c>
      <c r="C478" s="3" t="s">
        <v>47</v>
      </c>
      <c r="D478" s="4">
        <v>5820.69873046875</v>
      </c>
    </row>
    <row r="479" spans="1:4" x14ac:dyDescent="0.25">
      <c r="A479" s="5" t="s">
        <v>20</v>
      </c>
      <c r="B479" s="6" t="s">
        <v>5</v>
      </c>
      <c r="C479" s="6" t="s">
        <v>48</v>
      </c>
      <c r="D479" s="7">
        <v>5820.69873046875</v>
      </c>
    </row>
    <row r="480" spans="1:4" x14ac:dyDescent="0.25">
      <c r="A480" s="2" t="s">
        <v>20</v>
      </c>
      <c r="B480" s="3" t="s">
        <v>5</v>
      </c>
      <c r="C480" s="3" t="s">
        <v>49</v>
      </c>
      <c r="D480" s="4">
        <v>5820.69873046875</v>
      </c>
    </row>
    <row r="481" spans="1:4" x14ac:dyDescent="0.25">
      <c r="A481" s="5" t="s">
        <v>20</v>
      </c>
      <c r="B481" s="6" t="s">
        <v>5</v>
      </c>
      <c r="C481" s="6" t="s">
        <v>50</v>
      </c>
      <c r="D481" s="7">
        <v>5820.69873046875</v>
      </c>
    </row>
    <row r="482" spans="1:4" x14ac:dyDescent="0.25">
      <c r="A482" s="2" t="s">
        <v>20</v>
      </c>
      <c r="B482" s="3" t="s">
        <v>5</v>
      </c>
      <c r="C482" s="3" t="s">
        <v>51</v>
      </c>
      <c r="D482" s="4">
        <v>5820.69873046875</v>
      </c>
    </row>
    <row r="483" spans="1:4" x14ac:dyDescent="0.25">
      <c r="A483" s="5" t="s">
        <v>20</v>
      </c>
      <c r="B483" s="6" t="s">
        <v>5</v>
      </c>
      <c r="C483" s="6" t="s">
        <v>52</v>
      </c>
      <c r="D483" s="7">
        <v>5820.69873046875</v>
      </c>
    </row>
    <row r="484" spans="1:4" x14ac:dyDescent="0.25">
      <c r="A484" s="2" t="s">
        <v>20</v>
      </c>
      <c r="B484" s="3" t="s">
        <v>5</v>
      </c>
      <c r="C484" s="3" t="s">
        <v>53</v>
      </c>
      <c r="D484" s="4">
        <v>5820.69873046875</v>
      </c>
    </row>
    <row r="485" spans="1:4" x14ac:dyDescent="0.25">
      <c r="A485" s="5" t="s">
        <v>20</v>
      </c>
      <c r="B485" s="6" t="s">
        <v>5</v>
      </c>
      <c r="C485" s="6" t="s">
        <v>54</v>
      </c>
      <c r="D485" s="7">
        <v>5823.4931640625</v>
      </c>
    </row>
    <row r="486" spans="1:4" x14ac:dyDescent="0.25">
      <c r="A486" s="5" t="s">
        <v>20</v>
      </c>
      <c r="B486" s="6" t="s">
        <v>5</v>
      </c>
      <c r="C486" s="6" t="s">
        <v>55</v>
      </c>
      <c r="D486" s="7">
        <v>5962.99169921875</v>
      </c>
    </row>
    <row r="487" spans="1:4" x14ac:dyDescent="0.25">
      <c r="A487" s="2" t="s">
        <v>20</v>
      </c>
      <c r="B487" s="3" t="s">
        <v>5</v>
      </c>
      <c r="C487" s="3" t="s">
        <v>56</v>
      </c>
      <c r="D487" s="4">
        <v>5962.99169921875</v>
      </c>
    </row>
    <row r="488" spans="1:4" x14ac:dyDescent="0.25">
      <c r="A488" s="5" t="s">
        <v>20</v>
      </c>
      <c r="B488" s="6" t="s">
        <v>5</v>
      </c>
      <c r="C488" s="6" t="s">
        <v>57</v>
      </c>
      <c r="D488" s="7">
        <v>5962.99169921875</v>
      </c>
    </row>
    <row r="489" spans="1:4" x14ac:dyDescent="0.25">
      <c r="A489" s="2" t="s">
        <v>20</v>
      </c>
      <c r="B489" s="3" t="s">
        <v>5</v>
      </c>
      <c r="C489" s="3" t="s">
        <v>58</v>
      </c>
      <c r="D489" s="4">
        <v>5962.99169921875</v>
      </c>
    </row>
    <row r="490" spans="1:4" x14ac:dyDescent="0.25">
      <c r="A490" s="5" t="s">
        <v>20</v>
      </c>
      <c r="B490" s="6" t="s">
        <v>5</v>
      </c>
      <c r="C490" s="6" t="s">
        <v>59</v>
      </c>
      <c r="D490" s="7">
        <v>5962.99169921875</v>
      </c>
    </row>
    <row r="491" spans="1:4" x14ac:dyDescent="0.25">
      <c r="A491" s="2" t="s">
        <v>20</v>
      </c>
      <c r="B491" s="3" t="s">
        <v>5</v>
      </c>
      <c r="C491" s="3" t="s">
        <v>60</v>
      </c>
      <c r="D491" s="4">
        <v>5962.99169921875</v>
      </c>
    </row>
    <row r="492" spans="1:4" x14ac:dyDescent="0.25">
      <c r="A492" s="5" t="s">
        <v>20</v>
      </c>
      <c r="B492" s="6" t="s">
        <v>5</v>
      </c>
      <c r="C492" s="6" t="s">
        <v>61</v>
      </c>
      <c r="D492" s="7">
        <v>5962.99169921875</v>
      </c>
    </row>
    <row r="493" spans="1:4" x14ac:dyDescent="0.25">
      <c r="A493" s="2" t="s">
        <v>20</v>
      </c>
      <c r="B493" s="3" t="s">
        <v>5</v>
      </c>
      <c r="C493" s="3" t="s">
        <v>62</v>
      </c>
      <c r="D493" s="4">
        <v>5962.99169921875</v>
      </c>
    </row>
    <row r="494" spans="1:4" x14ac:dyDescent="0.25">
      <c r="A494" s="5" t="s">
        <v>20</v>
      </c>
      <c r="B494" s="6" t="s">
        <v>5</v>
      </c>
      <c r="C494" s="6" t="s">
        <v>63</v>
      </c>
      <c r="D494" s="7">
        <v>5962.99169921875</v>
      </c>
    </row>
    <row r="495" spans="1:4" x14ac:dyDescent="0.25">
      <c r="A495" s="2" t="s">
        <v>20</v>
      </c>
      <c r="B495" s="3" t="s">
        <v>5</v>
      </c>
      <c r="C495" s="3" t="s">
        <v>64</v>
      </c>
      <c r="D495" s="4">
        <v>5962.99169921875</v>
      </c>
    </row>
    <row r="496" spans="1:4" x14ac:dyDescent="0.25">
      <c r="A496" s="5" t="s">
        <v>20</v>
      </c>
      <c r="B496" s="6" t="s">
        <v>5</v>
      </c>
      <c r="C496" s="6" t="s">
        <v>65</v>
      </c>
      <c r="D496" s="7">
        <v>5962.99169921875</v>
      </c>
    </row>
    <row r="497" spans="1:4" x14ac:dyDescent="0.25">
      <c r="A497" s="2" t="s">
        <v>20</v>
      </c>
      <c r="B497" s="3" t="s">
        <v>5</v>
      </c>
      <c r="C497" s="3" t="s">
        <v>66</v>
      </c>
      <c r="D497" s="4">
        <v>5965.853515625</v>
      </c>
    </row>
    <row r="498" spans="1:4" x14ac:dyDescent="0.25">
      <c r="A498" s="2" t="s">
        <v>31</v>
      </c>
      <c r="B498" s="3" t="s">
        <v>5</v>
      </c>
      <c r="C498" s="3" t="s">
        <v>36</v>
      </c>
      <c r="D498" s="4">
        <v>9813.1875</v>
      </c>
    </row>
    <row r="499" spans="1:4" x14ac:dyDescent="0.25">
      <c r="A499" s="5" t="s">
        <v>31</v>
      </c>
      <c r="B499" s="6" t="s">
        <v>5</v>
      </c>
      <c r="C499" s="6" t="s">
        <v>37</v>
      </c>
      <c r="D499" s="7">
        <v>9813.1875</v>
      </c>
    </row>
    <row r="500" spans="1:4" x14ac:dyDescent="0.25">
      <c r="A500" s="2" t="s">
        <v>31</v>
      </c>
      <c r="B500" s="3" t="s">
        <v>5</v>
      </c>
      <c r="C500" s="3" t="s">
        <v>38</v>
      </c>
      <c r="D500" s="4">
        <v>9813.1875</v>
      </c>
    </row>
    <row r="501" spans="1:4" x14ac:dyDescent="0.25">
      <c r="A501" s="5" t="s">
        <v>31</v>
      </c>
      <c r="B501" s="6" t="s">
        <v>5</v>
      </c>
      <c r="C501" s="6" t="s">
        <v>39</v>
      </c>
      <c r="D501" s="7">
        <v>9813.1875</v>
      </c>
    </row>
    <row r="502" spans="1:4" x14ac:dyDescent="0.25">
      <c r="A502" s="2" t="s">
        <v>31</v>
      </c>
      <c r="B502" s="3" t="s">
        <v>5</v>
      </c>
      <c r="C502" s="3" t="s">
        <v>40</v>
      </c>
      <c r="D502" s="4">
        <v>9813.1875</v>
      </c>
    </row>
    <row r="503" spans="1:4" x14ac:dyDescent="0.25">
      <c r="A503" s="5" t="s">
        <v>31</v>
      </c>
      <c r="B503" s="6" t="s">
        <v>5</v>
      </c>
      <c r="C503" s="6" t="s">
        <v>41</v>
      </c>
      <c r="D503" s="7">
        <v>9813.1875</v>
      </c>
    </row>
    <row r="504" spans="1:4" x14ac:dyDescent="0.25">
      <c r="A504" s="2" t="s">
        <v>31</v>
      </c>
      <c r="B504" s="3" t="s">
        <v>5</v>
      </c>
      <c r="C504" s="3" t="s">
        <v>42</v>
      </c>
      <c r="D504" s="4">
        <v>9817.8984375</v>
      </c>
    </row>
    <row r="505" spans="1:4" x14ac:dyDescent="0.25">
      <c r="A505" s="5" t="s">
        <v>31</v>
      </c>
      <c r="B505" s="6" t="s">
        <v>5</v>
      </c>
      <c r="C505" s="6" t="s">
        <v>43</v>
      </c>
      <c r="D505" s="7">
        <v>10036.6640625</v>
      </c>
    </row>
    <row r="506" spans="1:4" x14ac:dyDescent="0.25">
      <c r="A506" s="2" t="s">
        <v>31</v>
      </c>
      <c r="B506" s="3" t="s">
        <v>5</v>
      </c>
      <c r="C506" s="3" t="s">
        <v>44</v>
      </c>
      <c r="D506" s="4">
        <v>10036.6640625</v>
      </c>
    </row>
    <row r="507" spans="1:4" x14ac:dyDescent="0.25">
      <c r="A507" s="5" t="s">
        <v>31</v>
      </c>
      <c r="B507" s="6" t="s">
        <v>5</v>
      </c>
      <c r="C507" s="6" t="s">
        <v>45</v>
      </c>
      <c r="D507" s="7">
        <v>10036.6640625</v>
      </c>
    </row>
    <row r="508" spans="1:4" x14ac:dyDescent="0.25">
      <c r="A508" s="2" t="s">
        <v>31</v>
      </c>
      <c r="B508" s="3" t="s">
        <v>5</v>
      </c>
      <c r="C508" s="3" t="s">
        <v>46</v>
      </c>
      <c r="D508" s="4">
        <v>10036.6640625</v>
      </c>
    </row>
    <row r="509" spans="1:4" x14ac:dyDescent="0.25">
      <c r="A509" s="5" t="s">
        <v>31</v>
      </c>
      <c r="B509" s="6" t="s">
        <v>5</v>
      </c>
      <c r="C509" s="6" t="s">
        <v>47</v>
      </c>
      <c r="D509" s="7">
        <v>10036.6640625</v>
      </c>
    </row>
    <row r="510" spans="1:4" x14ac:dyDescent="0.25">
      <c r="A510" s="2" t="s">
        <v>31</v>
      </c>
      <c r="B510" s="3" t="s">
        <v>5</v>
      </c>
      <c r="C510" s="3" t="s">
        <v>48</v>
      </c>
      <c r="D510" s="4">
        <v>10036.6640625</v>
      </c>
    </row>
    <row r="511" spans="1:4" x14ac:dyDescent="0.25">
      <c r="A511" s="5" t="s">
        <v>31</v>
      </c>
      <c r="B511" s="6" t="s">
        <v>5</v>
      </c>
      <c r="C511" s="6" t="s">
        <v>49</v>
      </c>
      <c r="D511" s="7">
        <v>10036.6640625</v>
      </c>
    </row>
    <row r="512" spans="1:4" x14ac:dyDescent="0.25">
      <c r="A512" s="2" t="s">
        <v>31</v>
      </c>
      <c r="B512" s="3" t="s">
        <v>5</v>
      </c>
      <c r="C512" s="3" t="s">
        <v>50</v>
      </c>
      <c r="D512" s="4">
        <v>10036.6640625</v>
      </c>
    </row>
    <row r="513" spans="1:4" x14ac:dyDescent="0.25">
      <c r="A513" s="5" t="s">
        <v>31</v>
      </c>
      <c r="B513" s="6" t="s">
        <v>5</v>
      </c>
      <c r="C513" s="6" t="s">
        <v>51</v>
      </c>
      <c r="D513" s="7">
        <v>10036.6640625</v>
      </c>
    </row>
    <row r="514" spans="1:4" x14ac:dyDescent="0.25">
      <c r="A514" s="2" t="s">
        <v>31</v>
      </c>
      <c r="B514" s="3" t="s">
        <v>5</v>
      </c>
      <c r="C514" s="3" t="s">
        <v>52</v>
      </c>
      <c r="D514" s="4">
        <v>10036.6640625</v>
      </c>
    </row>
    <row r="515" spans="1:4" x14ac:dyDescent="0.25">
      <c r="A515" s="5" t="s">
        <v>31</v>
      </c>
      <c r="B515" s="6" t="s">
        <v>5</v>
      </c>
      <c r="C515" s="6" t="s">
        <v>53</v>
      </c>
      <c r="D515" s="7">
        <v>10036.6640625</v>
      </c>
    </row>
    <row r="516" spans="1:4" x14ac:dyDescent="0.25">
      <c r="A516" s="2" t="s">
        <v>31</v>
      </c>
      <c r="B516" s="3" t="s">
        <v>5</v>
      </c>
      <c r="C516" s="3" t="s">
        <v>54</v>
      </c>
      <c r="D516" s="4">
        <v>10041.482421875</v>
      </c>
    </row>
    <row r="517" spans="1:4" x14ac:dyDescent="0.25">
      <c r="A517" s="2" t="s">
        <v>31</v>
      </c>
      <c r="B517" s="3" t="s">
        <v>5</v>
      </c>
      <c r="C517" s="3" t="s">
        <v>55</v>
      </c>
      <c r="D517" s="4">
        <v>10419.498046875</v>
      </c>
    </row>
    <row r="518" spans="1:4" x14ac:dyDescent="0.25">
      <c r="A518" s="5" t="s">
        <v>31</v>
      </c>
      <c r="B518" s="6" t="s">
        <v>5</v>
      </c>
      <c r="C518" s="6" t="s">
        <v>56</v>
      </c>
      <c r="D518" s="7">
        <v>10419.498046875</v>
      </c>
    </row>
    <row r="519" spans="1:4" x14ac:dyDescent="0.25">
      <c r="A519" s="2" t="s">
        <v>31</v>
      </c>
      <c r="B519" s="3" t="s">
        <v>5</v>
      </c>
      <c r="C519" s="3" t="s">
        <v>57</v>
      </c>
      <c r="D519" s="4">
        <v>10419.498046875</v>
      </c>
    </row>
    <row r="520" spans="1:4" x14ac:dyDescent="0.25">
      <c r="A520" s="5" t="s">
        <v>31</v>
      </c>
      <c r="B520" s="6" t="s">
        <v>5</v>
      </c>
      <c r="C520" s="6" t="s">
        <v>58</v>
      </c>
      <c r="D520" s="7">
        <v>10419.498046875</v>
      </c>
    </row>
    <row r="521" spans="1:4" x14ac:dyDescent="0.25">
      <c r="A521" s="2" t="s">
        <v>31</v>
      </c>
      <c r="B521" s="3" t="s">
        <v>5</v>
      </c>
      <c r="C521" s="3" t="s">
        <v>59</v>
      </c>
      <c r="D521" s="4">
        <v>10419.498046875</v>
      </c>
    </row>
    <row r="522" spans="1:4" x14ac:dyDescent="0.25">
      <c r="A522" s="5" t="s">
        <v>31</v>
      </c>
      <c r="B522" s="6" t="s">
        <v>5</v>
      </c>
      <c r="C522" s="6" t="s">
        <v>60</v>
      </c>
      <c r="D522" s="7">
        <v>10419.498046875</v>
      </c>
    </row>
    <row r="523" spans="1:4" x14ac:dyDescent="0.25">
      <c r="A523" s="2" t="s">
        <v>31</v>
      </c>
      <c r="B523" s="3" t="s">
        <v>5</v>
      </c>
      <c r="C523" s="3" t="s">
        <v>61</v>
      </c>
      <c r="D523" s="4">
        <v>10419.498046875</v>
      </c>
    </row>
    <row r="524" spans="1:4" x14ac:dyDescent="0.25">
      <c r="A524" s="5" t="s">
        <v>31</v>
      </c>
      <c r="B524" s="6" t="s">
        <v>5</v>
      </c>
      <c r="C524" s="6" t="s">
        <v>62</v>
      </c>
      <c r="D524" s="7">
        <v>10419.498046875</v>
      </c>
    </row>
    <row r="525" spans="1:4" x14ac:dyDescent="0.25">
      <c r="A525" s="2" t="s">
        <v>31</v>
      </c>
      <c r="B525" s="3" t="s">
        <v>5</v>
      </c>
      <c r="C525" s="3" t="s">
        <v>63</v>
      </c>
      <c r="D525" s="4">
        <v>10419.498046875</v>
      </c>
    </row>
    <row r="526" spans="1:4" x14ac:dyDescent="0.25">
      <c r="A526" s="5" t="s">
        <v>31</v>
      </c>
      <c r="B526" s="6" t="s">
        <v>5</v>
      </c>
      <c r="C526" s="6" t="s">
        <v>64</v>
      </c>
      <c r="D526" s="7">
        <v>10419.498046875</v>
      </c>
    </row>
    <row r="527" spans="1:4" x14ac:dyDescent="0.25">
      <c r="A527" s="2" t="s">
        <v>31</v>
      </c>
      <c r="B527" s="3" t="s">
        <v>5</v>
      </c>
      <c r="C527" s="3" t="s">
        <v>65</v>
      </c>
      <c r="D527" s="4">
        <v>10419.498046875</v>
      </c>
    </row>
    <row r="528" spans="1:4" x14ac:dyDescent="0.25">
      <c r="A528" s="5" t="s">
        <v>31</v>
      </c>
      <c r="B528" s="6" t="s">
        <v>5</v>
      </c>
      <c r="C528" s="6" t="s">
        <v>66</v>
      </c>
      <c r="D528" s="7">
        <v>10424.498046875</v>
      </c>
    </row>
    <row r="529" spans="1:4" x14ac:dyDescent="0.25">
      <c r="A529" s="2" t="s">
        <v>7</v>
      </c>
      <c r="B529" s="3" t="s">
        <v>5</v>
      </c>
      <c r="C529" s="3" t="s">
        <v>36</v>
      </c>
      <c r="D529" s="4">
        <v>6778.33447265625</v>
      </c>
    </row>
    <row r="530" spans="1:4" x14ac:dyDescent="0.25">
      <c r="A530" s="5" t="s">
        <v>7</v>
      </c>
      <c r="B530" s="6" t="s">
        <v>5</v>
      </c>
      <c r="C530" s="6" t="s">
        <v>37</v>
      </c>
      <c r="D530" s="7">
        <v>6778.33447265625</v>
      </c>
    </row>
    <row r="531" spans="1:4" x14ac:dyDescent="0.25">
      <c r="A531" s="2" t="s">
        <v>7</v>
      </c>
      <c r="B531" s="3" t="s">
        <v>5</v>
      </c>
      <c r="C531" s="3" t="s">
        <v>38</v>
      </c>
      <c r="D531" s="4">
        <v>6778.33447265625</v>
      </c>
    </row>
    <row r="532" spans="1:4" x14ac:dyDescent="0.25">
      <c r="A532" s="5" t="s">
        <v>7</v>
      </c>
      <c r="B532" s="6" t="s">
        <v>5</v>
      </c>
      <c r="C532" s="6" t="s">
        <v>39</v>
      </c>
      <c r="D532" s="7">
        <v>6778.33447265625</v>
      </c>
    </row>
    <row r="533" spans="1:4" x14ac:dyDescent="0.25">
      <c r="A533" s="2" t="s">
        <v>7</v>
      </c>
      <c r="B533" s="3" t="s">
        <v>5</v>
      </c>
      <c r="C533" s="3" t="s">
        <v>40</v>
      </c>
      <c r="D533" s="4">
        <v>6778.33447265625</v>
      </c>
    </row>
    <row r="534" spans="1:4" x14ac:dyDescent="0.25">
      <c r="A534" s="5" t="s">
        <v>7</v>
      </c>
      <c r="B534" s="6" t="s">
        <v>5</v>
      </c>
      <c r="C534" s="6" t="s">
        <v>41</v>
      </c>
      <c r="D534" s="7">
        <v>6778.33447265625</v>
      </c>
    </row>
    <row r="535" spans="1:4" x14ac:dyDescent="0.25">
      <c r="A535" s="2" t="s">
        <v>7</v>
      </c>
      <c r="B535" s="3" t="s">
        <v>5</v>
      </c>
      <c r="C535" s="3" t="s">
        <v>42</v>
      </c>
      <c r="D535" s="4">
        <v>6781.58837890625</v>
      </c>
    </row>
    <row r="536" spans="1:4" x14ac:dyDescent="0.25">
      <c r="A536" s="5" t="s">
        <v>7</v>
      </c>
      <c r="B536" s="6" t="s">
        <v>5</v>
      </c>
      <c r="C536" s="6" t="s">
        <v>43</v>
      </c>
      <c r="D536" s="7">
        <v>6932.81982421875</v>
      </c>
    </row>
    <row r="537" spans="1:4" x14ac:dyDescent="0.25">
      <c r="A537" s="2" t="s">
        <v>7</v>
      </c>
      <c r="B537" s="3" t="s">
        <v>5</v>
      </c>
      <c r="C537" s="3" t="s">
        <v>44</v>
      </c>
      <c r="D537" s="4">
        <v>6932.81982421875</v>
      </c>
    </row>
    <row r="538" spans="1:4" x14ac:dyDescent="0.25">
      <c r="A538" s="5" t="s">
        <v>7</v>
      </c>
      <c r="B538" s="6" t="s">
        <v>5</v>
      </c>
      <c r="C538" s="6" t="s">
        <v>45</v>
      </c>
      <c r="D538" s="7">
        <v>6932.81982421875</v>
      </c>
    </row>
    <row r="539" spans="1:4" x14ac:dyDescent="0.25">
      <c r="A539" s="2" t="s">
        <v>7</v>
      </c>
      <c r="B539" s="3" t="s">
        <v>5</v>
      </c>
      <c r="C539" s="3" t="s">
        <v>46</v>
      </c>
      <c r="D539" s="4">
        <v>6932.81982421875</v>
      </c>
    </row>
    <row r="540" spans="1:4" x14ac:dyDescent="0.25">
      <c r="A540" s="5" t="s">
        <v>7</v>
      </c>
      <c r="B540" s="6" t="s">
        <v>5</v>
      </c>
      <c r="C540" s="6" t="s">
        <v>47</v>
      </c>
      <c r="D540" s="7">
        <v>6932.81982421875</v>
      </c>
    </row>
    <row r="541" spans="1:4" x14ac:dyDescent="0.25">
      <c r="A541" s="2" t="s">
        <v>7</v>
      </c>
      <c r="B541" s="3" t="s">
        <v>5</v>
      </c>
      <c r="C541" s="3" t="s">
        <v>48</v>
      </c>
      <c r="D541" s="4">
        <v>6932.81982421875</v>
      </c>
    </row>
    <row r="542" spans="1:4" x14ac:dyDescent="0.25">
      <c r="A542" s="5" t="s">
        <v>7</v>
      </c>
      <c r="B542" s="6" t="s">
        <v>5</v>
      </c>
      <c r="C542" s="6" t="s">
        <v>49</v>
      </c>
      <c r="D542" s="7">
        <v>6932.81982421875</v>
      </c>
    </row>
    <row r="543" spans="1:4" x14ac:dyDescent="0.25">
      <c r="A543" s="2" t="s">
        <v>7</v>
      </c>
      <c r="B543" s="3" t="s">
        <v>5</v>
      </c>
      <c r="C543" s="3" t="s">
        <v>50</v>
      </c>
      <c r="D543" s="4">
        <v>6932.81982421875</v>
      </c>
    </row>
    <row r="544" spans="1:4" x14ac:dyDescent="0.25">
      <c r="A544" s="5" t="s">
        <v>7</v>
      </c>
      <c r="B544" s="6" t="s">
        <v>5</v>
      </c>
      <c r="C544" s="6" t="s">
        <v>51</v>
      </c>
      <c r="D544" s="7">
        <v>6932.81982421875</v>
      </c>
    </row>
    <row r="545" spans="1:4" x14ac:dyDescent="0.25">
      <c r="A545" s="2" t="s">
        <v>7</v>
      </c>
      <c r="B545" s="3" t="s">
        <v>5</v>
      </c>
      <c r="C545" s="3" t="s">
        <v>52</v>
      </c>
      <c r="D545" s="4">
        <v>6932.81982421875</v>
      </c>
    </row>
    <row r="546" spans="1:4" x14ac:dyDescent="0.25">
      <c r="A546" s="5" t="s">
        <v>7</v>
      </c>
      <c r="B546" s="6" t="s">
        <v>5</v>
      </c>
      <c r="C546" s="6" t="s">
        <v>53</v>
      </c>
      <c r="D546" s="7">
        <v>6932.81982421875</v>
      </c>
    </row>
    <row r="547" spans="1:4" x14ac:dyDescent="0.25">
      <c r="A547" s="2" t="s">
        <v>7</v>
      </c>
      <c r="B547" s="3" t="s">
        <v>5</v>
      </c>
      <c r="C547" s="3" t="s">
        <v>54</v>
      </c>
      <c r="D547" s="4">
        <v>6936.1474609375</v>
      </c>
    </row>
    <row r="548" spans="1:4" x14ac:dyDescent="0.25">
      <c r="A548" s="2" t="s">
        <v>7</v>
      </c>
      <c r="B548" s="3" t="s">
        <v>5</v>
      </c>
      <c r="C548" s="3" t="s">
        <v>55</v>
      </c>
      <c r="D548" s="4">
        <v>6995.45458984375</v>
      </c>
    </row>
    <row r="549" spans="1:4" x14ac:dyDescent="0.25">
      <c r="A549" s="5" t="s">
        <v>7</v>
      </c>
      <c r="B549" s="6" t="s">
        <v>5</v>
      </c>
      <c r="C549" s="6" t="s">
        <v>56</v>
      </c>
      <c r="D549" s="7">
        <v>6995.45458984375</v>
      </c>
    </row>
    <row r="550" spans="1:4" x14ac:dyDescent="0.25">
      <c r="A550" s="2" t="s">
        <v>7</v>
      </c>
      <c r="B550" s="3" t="s">
        <v>5</v>
      </c>
      <c r="C550" s="3" t="s">
        <v>57</v>
      </c>
      <c r="D550" s="4">
        <v>6995.45458984375</v>
      </c>
    </row>
    <row r="551" spans="1:4" x14ac:dyDescent="0.25">
      <c r="A551" s="5" t="s">
        <v>7</v>
      </c>
      <c r="B551" s="6" t="s">
        <v>5</v>
      </c>
      <c r="C551" s="6" t="s">
        <v>58</v>
      </c>
      <c r="D551" s="7">
        <v>6995.45458984375</v>
      </c>
    </row>
    <row r="552" spans="1:4" x14ac:dyDescent="0.25">
      <c r="A552" s="2" t="s">
        <v>7</v>
      </c>
      <c r="B552" s="3" t="s">
        <v>5</v>
      </c>
      <c r="C552" s="3" t="s">
        <v>59</v>
      </c>
      <c r="D552" s="4">
        <v>6995.45458984375</v>
      </c>
    </row>
    <row r="553" spans="1:4" x14ac:dyDescent="0.25">
      <c r="A553" s="5" t="s">
        <v>7</v>
      </c>
      <c r="B553" s="6" t="s">
        <v>5</v>
      </c>
      <c r="C553" s="6" t="s">
        <v>60</v>
      </c>
      <c r="D553" s="7">
        <v>6995.45458984375</v>
      </c>
    </row>
    <row r="554" spans="1:4" x14ac:dyDescent="0.25">
      <c r="A554" s="2" t="s">
        <v>7</v>
      </c>
      <c r="B554" s="3" t="s">
        <v>5</v>
      </c>
      <c r="C554" s="3" t="s">
        <v>61</v>
      </c>
      <c r="D554" s="4">
        <v>6995.45458984375</v>
      </c>
    </row>
    <row r="555" spans="1:4" x14ac:dyDescent="0.25">
      <c r="A555" s="5" t="s">
        <v>7</v>
      </c>
      <c r="B555" s="6" t="s">
        <v>5</v>
      </c>
      <c r="C555" s="6" t="s">
        <v>62</v>
      </c>
      <c r="D555" s="7">
        <v>6995.45458984375</v>
      </c>
    </row>
    <row r="556" spans="1:4" x14ac:dyDescent="0.25">
      <c r="A556" s="2" t="s">
        <v>7</v>
      </c>
      <c r="B556" s="3" t="s">
        <v>5</v>
      </c>
      <c r="C556" s="3" t="s">
        <v>63</v>
      </c>
      <c r="D556" s="4">
        <v>6995.45458984375</v>
      </c>
    </row>
    <row r="557" spans="1:4" x14ac:dyDescent="0.25">
      <c r="A557" s="5" t="s">
        <v>7</v>
      </c>
      <c r="B557" s="6" t="s">
        <v>5</v>
      </c>
      <c r="C557" s="6" t="s">
        <v>64</v>
      </c>
      <c r="D557" s="7">
        <v>6995.45458984375</v>
      </c>
    </row>
    <row r="558" spans="1:4" x14ac:dyDescent="0.25">
      <c r="A558" s="2" t="s">
        <v>7</v>
      </c>
      <c r="B558" s="3" t="s">
        <v>5</v>
      </c>
      <c r="C558" s="3" t="s">
        <v>65</v>
      </c>
      <c r="D558" s="4">
        <v>6995.45458984375</v>
      </c>
    </row>
    <row r="559" spans="1:4" x14ac:dyDescent="0.25">
      <c r="A559" s="5" t="s">
        <v>7</v>
      </c>
      <c r="B559" s="6" t="s">
        <v>5</v>
      </c>
      <c r="C559" s="6" t="s">
        <v>66</v>
      </c>
      <c r="D559" s="7">
        <v>6998.81298828125</v>
      </c>
    </row>
    <row r="560" spans="1:4" x14ac:dyDescent="0.25">
      <c r="A560" s="5" t="s">
        <v>12</v>
      </c>
      <c r="B560" s="6" t="s">
        <v>5</v>
      </c>
      <c r="C560" s="6" t="s">
        <v>36</v>
      </c>
      <c r="D560" s="7">
        <v>2238.20971679688</v>
      </c>
    </row>
    <row r="561" spans="1:4" x14ac:dyDescent="0.25">
      <c r="A561" s="2" t="s">
        <v>12</v>
      </c>
      <c r="B561" s="3" t="s">
        <v>5</v>
      </c>
      <c r="C561" s="3" t="s">
        <v>37</v>
      </c>
      <c r="D561" s="4">
        <v>2238.20971679688</v>
      </c>
    </row>
    <row r="562" spans="1:4" x14ac:dyDescent="0.25">
      <c r="A562" s="5" t="s">
        <v>12</v>
      </c>
      <c r="B562" s="6" t="s">
        <v>5</v>
      </c>
      <c r="C562" s="6" t="s">
        <v>38</v>
      </c>
      <c r="D562" s="7">
        <v>2238.20971679688</v>
      </c>
    </row>
    <row r="563" spans="1:4" x14ac:dyDescent="0.25">
      <c r="A563" s="2" t="s">
        <v>12</v>
      </c>
      <c r="B563" s="3" t="s">
        <v>5</v>
      </c>
      <c r="C563" s="3" t="s">
        <v>39</v>
      </c>
      <c r="D563" s="4">
        <v>2238.20971679688</v>
      </c>
    </row>
    <row r="564" spans="1:4" x14ac:dyDescent="0.25">
      <c r="A564" s="5" t="s">
        <v>12</v>
      </c>
      <c r="B564" s="6" t="s">
        <v>5</v>
      </c>
      <c r="C564" s="6" t="s">
        <v>40</v>
      </c>
      <c r="D564" s="7">
        <v>2238.20971679688</v>
      </c>
    </row>
    <row r="565" spans="1:4" x14ac:dyDescent="0.25">
      <c r="A565" s="2" t="s">
        <v>12</v>
      </c>
      <c r="B565" s="3" t="s">
        <v>5</v>
      </c>
      <c r="C565" s="3" t="s">
        <v>41</v>
      </c>
      <c r="D565" s="4">
        <v>2238.20971679688</v>
      </c>
    </row>
    <row r="566" spans="1:4" x14ac:dyDescent="0.25">
      <c r="A566" s="5" t="s">
        <v>12</v>
      </c>
      <c r="B566" s="6" t="s">
        <v>5</v>
      </c>
      <c r="C566" s="6" t="s">
        <v>42</v>
      </c>
      <c r="D566" s="7">
        <v>2239.2841796875</v>
      </c>
    </row>
    <row r="567" spans="1:4" x14ac:dyDescent="0.25">
      <c r="A567" s="2" t="s">
        <v>12</v>
      </c>
      <c r="B567" s="3" t="s">
        <v>5</v>
      </c>
      <c r="C567" s="3" t="s">
        <v>43</v>
      </c>
      <c r="D567" s="4">
        <v>2289.22216796875</v>
      </c>
    </row>
    <row r="568" spans="1:4" x14ac:dyDescent="0.25">
      <c r="A568" s="5" t="s">
        <v>12</v>
      </c>
      <c r="B568" s="6" t="s">
        <v>5</v>
      </c>
      <c r="C568" s="6" t="s">
        <v>44</v>
      </c>
      <c r="D568" s="7">
        <v>2289.22216796875</v>
      </c>
    </row>
    <row r="569" spans="1:4" x14ac:dyDescent="0.25">
      <c r="A569" s="2" t="s">
        <v>12</v>
      </c>
      <c r="B569" s="3" t="s">
        <v>5</v>
      </c>
      <c r="C569" s="3" t="s">
        <v>45</v>
      </c>
      <c r="D569" s="4">
        <v>2289.22216796875</v>
      </c>
    </row>
    <row r="570" spans="1:4" x14ac:dyDescent="0.25">
      <c r="A570" s="5" t="s">
        <v>12</v>
      </c>
      <c r="B570" s="6" t="s">
        <v>5</v>
      </c>
      <c r="C570" s="6" t="s">
        <v>46</v>
      </c>
      <c r="D570" s="7">
        <v>2289.22216796875</v>
      </c>
    </row>
    <row r="571" spans="1:4" x14ac:dyDescent="0.25">
      <c r="A571" s="2" t="s">
        <v>12</v>
      </c>
      <c r="B571" s="3" t="s">
        <v>5</v>
      </c>
      <c r="C571" s="3" t="s">
        <v>47</v>
      </c>
      <c r="D571" s="4">
        <v>2289.22216796875</v>
      </c>
    </row>
    <row r="572" spans="1:4" x14ac:dyDescent="0.25">
      <c r="A572" s="5" t="s">
        <v>12</v>
      </c>
      <c r="B572" s="6" t="s">
        <v>5</v>
      </c>
      <c r="C572" s="6" t="s">
        <v>48</v>
      </c>
      <c r="D572" s="7">
        <v>2289.22216796875</v>
      </c>
    </row>
    <row r="573" spans="1:4" x14ac:dyDescent="0.25">
      <c r="A573" s="2" t="s">
        <v>12</v>
      </c>
      <c r="B573" s="3" t="s">
        <v>5</v>
      </c>
      <c r="C573" s="3" t="s">
        <v>49</v>
      </c>
      <c r="D573" s="4">
        <v>2289.22216796875</v>
      </c>
    </row>
    <row r="574" spans="1:4" x14ac:dyDescent="0.25">
      <c r="A574" s="5" t="s">
        <v>12</v>
      </c>
      <c r="B574" s="6" t="s">
        <v>5</v>
      </c>
      <c r="C574" s="6" t="s">
        <v>50</v>
      </c>
      <c r="D574" s="7">
        <v>2289.22216796875</v>
      </c>
    </row>
    <row r="575" spans="1:4" x14ac:dyDescent="0.25">
      <c r="A575" s="2" t="s">
        <v>12</v>
      </c>
      <c r="B575" s="3" t="s">
        <v>5</v>
      </c>
      <c r="C575" s="3" t="s">
        <v>51</v>
      </c>
      <c r="D575" s="4">
        <v>2289.22216796875</v>
      </c>
    </row>
    <row r="576" spans="1:4" x14ac:dyDescent="0.25">
      <c r="A576" s="5" t="s">
        <v>12</v>
      </c>
      <c r="B576" s="6" t="s">
        <v>5</v>
      </c>
      <c r="C576" s="6" t="s">
        <v>52</v>
      </c>
      <c r="D576" s="7">
        <v>2289.22216796875</v>
      </c>
    </row>
    <row r="577" spans="1:4" x14ac:dyDescent="0.25">
      <c r="A577" s="2" t="s">
        <v>12</v>
      </c>
      <c r="B577" s="3" t="s">
        <v>5</v>
      </c>
      <c r="C577" s="3" t="s">
        <v>53</v>
      </c>
      <c r="D577" s="4">
        <v>2289.22216796875</v>
      </c>
    </row>
    <row r="578" spans="1:4" x14ac:dyDescent="0.25">
      <c r="A578" s="5" t="s">
        <v>12</v>
      </c>
      <c r="B578" s="6" t="s">
        <v>5</v>
      </c>
      <c r="C578" s="6" t="s">
        <v>54</v>
      </c>
      <c r="D578" s="7">
        <v>2290.32104492188</v>
      </c>
    </row>
    <row r="579" spans="1:4" x14ac:dyDescent="0.25">
      <c r="A579" s="5" t="s">
        <v>12</v>
      </c>
      <c r="B579" s="6" t="s">
        <v>5</v>
      </c>
      <c r="C579" s="6" t="s">
        <v>55</v>
      </c>
      <c r="D579" s="7">
        <v>2337.58203125</v>
      </c>
    </row>
    <row r="580" spans="1:4" x14ac:dyDescent="0.25">
      <c r="A580" s="2" t="s">
        <v>12</v>
      </c>
      <c r="B580" s="3" t="s">
        <v>5</v>
      </c>
      <c r="C580" s="3" t="s">
        <v>56</v>
      </c>
      <c r="D580" s="4">
        <v>2337.58203125</v>
      </c>
    </row>
    <row r="581" spans="1:4" x14ac:dyDescent="0.25">
      <c r="A581" s="5" t="s">
        <v>12</v>
      </c>
      <c r="B581" s="6" t="s">
        <v>5</v>
      </c>
      <c r="C581" s="6" t="s">
        <v>57</v>
      </c>
      <c r="D581" s="7">
        <v>2337.58203125</v>
      </c>
    </row>
    <row r="582" spans="1:4" x14ac:dyDescent="0.25">
      <c r="A582" s="2" t="s">
        <v>12</v>
      </c>
      <c r="B582" s="3" t="s">
        <v>5</v>
      </c>
      <c r="C582" s="3" t="s">
        <v>58</v>
      </c>
      <c r="D582" s="4">
        <v>2337.58203125</v>
      </c>
    </row>
    <row r="583" spans="1:4" x14ac:dyDescent="0.25">
      <c r="A583" s="5" t="s">
        <v>12</v>
      </c>
      <c r="B583" s="6" t="s">
        <v>5</v>
      </c>
      <c r="C583" s="6" t="s">
        <v>59</v>
      </c>
      <c r="D583" s="7">
        <v>2337.58203125</v>
      </c>
    </row>
    <row r="584" spans="1:4" x14ac:dyDescent="0.25">
      <c r="A584" s="2" t="s">
        <v>12</v>
      </c>
      <c r="B584" s="3" t="s">
        <v>5</v>
      </c>
      <c r="C584" s="3" t="s">
        <v>60</v>
      </c>
      <c r="D584" s="4">
        <v>2337.58203125</v>
      </c>
    </row>
    <row r="585" spans="1:4" x14ac:dyDescent="0.25">
      <c r="A585" s="5" t="s">
        <v>12</v>
      </c>
      <c r="B585" s="6" t="s">
        <v>5</v>
      </c>
      <c r="C585" s="6" t="s">
        <v>61</v>
      </c>
      <c r="D585" s="7">
        <v>2337.58203125</v>
      </c>
    </row>
    <row r="586" spans="1:4" x14ac:dyDescent="0.25">
      <c r="A586" s="2" t="s">
        <v>12</v>
      </c>
      <c r="B586" s="3" t="s">
        <v>5</v>
      </c>
      <c r="C586" s="3" t="s">
        <v>62</v>
      </c>
      <c r="D586" s="4">
        <v>2337.58203125</v>
      </c>
    </row>
    <row r="587" spans="1:4" x14ac:dyDescent="0.25">
      <c r="A587" s="5" t="s">
        <v>12</v>
      </c>
      <c r="B587" s="6" t="s">
        <v>5</v>
      </c>
      <c r="C587" s="6" t="s">
        <v>63</v>
      </c>
      <c r="D587" s="7">
        <v>2337.58203125</v>
      </c>
    </row>
    <row r="588" spans="1:4" x14ac:dyDescent="0.25">
      <c r="A588" s="2" t="s">
        <v>12</v>
      </c>
      <c r="B588" s="3" t="s">
        <v>5</v>
      </c>
      <c r="C588" s="3" t="s">
        <v>64</v>
      </c>
      <c r="D588" s="4">
        <v>2337.58203125</v>
      </c>
    </row>
    <row r="589" spans="1:4" x14ac:dyDescent="0.25">
      <c r="A589" s="5" t="s">
        <v>12</v>
      </c>
      <c r="B589" s="6" t="s">
        <v>5</v>
      </c>
      <c r="C589" s="6" t="s">
        <v>65</v>
      </c>
      <c r="D589" s="7">
        <v>2337.58203125</v>
      </c>
    </row>
    <row r="590" spans="1:4" x14ac:dyDescent="0.25">
      <c r="A590" s="2" t="s">
        <v>12</v>
      </c>
      <c r="B590" s="3" t="s">
        <v>5</v>
      </c>
      <c r="C590" s="3" t="s">
        <v>66</v>
      </c>
      <c r="D590" s="4">
        <v>2338.7041015625</v>
      </c>
    </row>
    <row r="591" spans="1:4" x14ac:dyDescent="0.25">
      <c r="A591" s="5" t="s">
        <v>34</v>
      </c>
      <c r="B591" s="6" t="s">
        <v>5</v>
      </c>
      <c r="C591" s="6" t="s">
        <v>36</v>
      </c>
      <c r="D591" s="6">
        <v>683.69854736328102</v>
      </c>
    </row>
    <row r="592" spans="1:4" x14ac:dyDescent="0.25">
      <c r="A592" s="2" t="s">
        <v>34</v>
      </c>
      <c r="B592" s="3" t="s">
        <v>5</v>
      </c>
      <c r="C592" s="3" t="s">
        <v>37</v>
      </c>
      <c r="D592" s="3">
        <v>683.69854736328102</v>
      </c>
    </row>
    <row r="593" spans="1:4" x14ac:dyDescent="0.25">
      <c r="A593" s="5" t="s">
        <v>34</v>
      </c>
      <c r="B593" s="6" t="s">
        <v>5</v>
      </c>
      <c r="C593" s="6" t="s">
        <v>38</v>
      </c>
      <c r="D593" s="6">
        <v>683.69854736328102</v>
      </c>
    </row>
    <row r="594" spans="1:4" x14ac:dyDescent="0.25">
      <c r="A594" s="2" t="s">
        <v>34</v>
      </c>
      <c r="B594" s="3" t="s">
        <v>5</v>
      </c>
      <c r="C594" s="3" t="s">
        <v>39</v>
      </c>
      <c r="D594" s="3">
        <v>683.69854736328102</v>
      </c>
    </row>
    <row r="595" spans="1:4" x14ac:dyDescent="0.25">
      <c r="A595" s="5" t="s">
        <v>34</v>
      </c>
      <c r="B595" s="6" t="s">
        <v>5</v>
      </c>
      <c r="C595" s="6" t="s">
        <v>40</v>
      </c>
      <c r="D595" s="6">
        <v>683.69854736328102</v>
      </c>
    </row>
    <row r="596" spans="1:4" x14ac:dyDescent="0.25">
      <c r="A596" s="2" t="s">
        <v>34</v>
      </c>
      <c r="B596" s="3" t="s">
        <v>5</v>
      </c>
      <c r="C596" s="3" t="s">
        <v>41</v>
      </c>
      <c r="D596" s="3">
        <v>683.69854736328102</v>
      </c>
    </row>
    <row r="597" spans="1:4" x14ac:dyDescent="0.25">
      <c r="A597" s="5" t="s">
        <v>34</v>
      </c>
      <c r="B597" s="6" t="s">
        <v>5</v>
      </c>
      <c r="C597" s="6" t="s">
        <v>42</v>
      </c>
      <c r="D597" s="6">
        <v>684.02679443359398</v>
      </c>
    </row>
    <row r="598" spans="1:4" x14ac:dyDescent="0.25">
      <c r="A598" s="2" t="s">
        <v>34</v>
      </c>
      <c r="B598" s="3" t="s">
        <v>5</v>
      </c>
      <c r="C598" s="3" t="s">
        <v>43</v>
      </c>
      <c r="D598" s="3">
        <v>699.28118896484398</v>
      </c>
    </row>
    <row r="599" spans="1:4" x14ac:dyDescent="0.25">
      <c r="A599" s="5" t="s">
        <v>34</v>
      </c>
      <c r="B599" s="6" t="s">
        <v>5</v>
      </c>
      <c r="C599" s="6" t="s">
        <v>44</v>
      </c>
      <c r="D599" s="6">
        <v>699.28118896484398</v>
      </c>
    </row>
    <row r="600" spans="1:4" x14ac:dyDescent="0.25">
      <c r="A600" s="2" t="s">
        <v>34</v>
      </c>
      <c r="B600" s="3" t="s">
        <v>5</v>
      </c>
      <c r="C600" s="3" t="s">
        <v>45</v>
      </c>
      <c r="D600" s="3">
        <v>699.28118896484398</v>
      </c>
    </row>
    <row r="601" spans="1:4" x14ac:dyDescent="0.25">
      <c r="A601" s="5" t="s">
        <v>34</v>
      </c>
      <c r="B601" s="6" t="s">
        <v>5</v>
      </c>
      <c r="C601" s="6" t="s">
        <v>46</v>
      </c>
      <c r="D601" s="6">
        <v>699.28118896484398</v>
      </c>
    </row>
    <row r="602" spans="1:4" x14ac:dyDescent="0.25">
      <c r="A602" s="2" t="s">
        <v>34</v>
      </c>
      <c r="B602" s="3" t="s">
        <v>5</v>
      </c>
      <c r="C602" s="3" t="s">
        <v>47</v>
      </c>
      <c r="D602" s="3">
        <v>699.28118896484398</v>
      </c>
    </row>
    <row r="603" spans="1:4" x14ac:dyDescent="0.25">
      <c r="A603" s="5" t="s">
        <v>34</v>
      </c>
      <c r="B603" s="6" t="s">
        <v>5</v>
      </c>
      <c r="C603" s="6" t="s">
        <v>48</v>
      </c>
      <c r="D603" s="6">
        <v>699.28118896484398</v>
      </c>
    </row>
    <row r="604" spans="1:4" x14ac:dyDescent="0.25">
      <c r="A604" s="2" t="s">
        <v>34</v>
      </c>
      <c r="B604" s="3" t="s">
        <v>5</v>
      </c>
      <c r="C604" s="3" t="s">
        <v>49</v>
      </c>
      <c r="D604" s="3">
        <v>699.28118896484398</v>
      </c>
    </row>
    <row r="605" spans="1:4" x14ac:dyDescent="0.25">
      <c r="A605" s="5" t="s">
        <v>34</v>
      </c>
      <c r="B605" s="6" t="s">
        <v>5</v>
      </c>
      <c r="C605" s="6" t="s">
        <v>50</v>
      </c>
      <c r="D605" s="6">
        <v>699.28118896484398</v>
      </c>
    </row>
    <row r="606" spans="1:4" x14ac:dyDescent="0.25">
      <c r="A606" s="2" t="s">
        <v>34</v>
      </c>
      <c r="B606" s="3" t="s">
        <v>5</v>
      </c>
      <c r="C606" s="3" t="s">
        <v>51</v>
      </c>
      <c r="D606" s="3">
        <v>699.28118896484398</v>
      </c>
    </row>
    <row r="607" spans="1:4" x14ac:dyDescent="0.25">
      <c r="A607" s="5" t="s">
        <v>34</v>
      </c>
      <c r="B607" s="6" t="s">
        <v>5</v>
      </c>
      <c r="C607" s="6" t="s">
        <v>52</v>
      </c>
      <c r="D607" s="6">
        <v>699.28118896484398</v>
      </c>
    </row>
    <row r="608" spans="1:4" x14ac:dyDescent="0.25">
      <c r="A608" s="2" t="s">
        <v>34</v>
      </c>
      <c r="B608" s="3" t="s">
        <v>5</v>
      </c>
      <c r="C608" s="3" t="s">
        <v>53</v>
      </c>
      <c r="D608" s="3">
        <v>699.28118896484398</v>
      </c>
    </row>
    <row r="609" spans="1:4" x14ac:dyDescent="0.25">
      <c r="A609" s="5" t="s">
        <v>34</v>
      </c>
      <c r="B609" s="6" t="s">
        <v>5</v>
      </c>
      <c r="C609" s="6" t="s">
        <v>54</v>
      </c>
      <c r="D609" s="6">
        <v>699.61688232421898</v>
      </c>
    </row>
    <row r="610" spans="1:4" x14ac:dyDescent="0.25">
      <c r="A610" s="5" t="s">
        <v>34</v>
      </c>
      <c r="B610" s="6" t="s">
        <v>5</v>
      </c>
      <c r="C610" s="6" t="s">
        <v>55</v>
      </c>
      <c r="D610" s="6">
        <v>678.77764892578125</v>
      </c>
    </row>
    <row r="611" spans="1:4" x14ac:dyDescent="0.25">
      <c r="A611" s="2" t="s">
        <v>34</v>
      </c>
      <c r="B611" s="3" t="s">
        <v>5</v>
      </c>
      <c r="C611" s="3" t="s">
        <v>56</v>
      </c>
      <c r="D611" s="3">
        <v>678.77764892578125</v>
      </c>
    </row>
    <row r="612" spans="1:4" x14ac:dyDescent="0.25">
      <c r="A612" s="5" t="s">
        <v>34</v>
      </c>
      <c r="B612" s="6" t="s">
        <v>5</v>
      </c>
      <c r="C612" s="6" t="s">
        <v>57</v>
      </c>
      <c r="D612" s="6">
        <v>678.77764892578125</v>
      </c>
    </row>
    <row r="613" spans="1:4" x14ac:dyDescent="0.25">
      <c r="A613" s="2" t="s">
        <v>34</v>
      </c>
      <c r="B613" s="3" t="s">
        <v>5</v>
      </c>
      <c r="C613" s="3" t="s">
        <v>58</v>
      </c>
      <c r="D613" s="3">
        <v>678.77764892578125</v>
      </c>
    </row>
    <row r="614" spans="1:4" x14ac:dyDescent="0.25">
      <c r="A614" s="5" t="s">
        <v>34</v>
      </c>
      <c r="B614" s="6" t="s">
        <v>5</v>
      </c>
      <c r="C614" s="6" t="s">
        <v>59</v>
      </c>
      <c r="D614" s="6">
        <v>678.77764892578125</v>
      </c>
    </row>
    <row r="615" spans="1:4" x14ac:dyDescent="0.25">
      <c r="A615" s="2" t="s">
        <v>34</v>
      </c>
      <c r="B615" s="3" t="s">
        <v>5</v>
      </c>
      <c r="C615" s="3" t="s">
        <v>60</v>
      </c>
      <c r="D615" s="3">
        <v>678.77764892578125</v>
      </c>
    </row>
    <row r="616" spans="1:4" x14ac:dyDescent="0.25">
      <c r="A616" s="5" t="s">
        <v>34</v>
      </c>
      <c r="B616" s="6" t="s">
        <v>5</v>
      </c>
      <c r="C616" s="6" t="s">
        <v>61</v>
      </c>
      <c r="D616" s="6">
        <v>678.77764892578125</v>
      </c>
    </row>
    <row r="617" spans="1:4" x14ac:dyDescent="0.25">
      <c r="A617" s="2" t="s">
        <v>34</v>
      </c>
      <c r="B617" s="3" t="s">
        <v>5</v>
      </c>
      <c r="C617" s="3" t="s">
        <v>62</v>
      </c>
      <c r="D617" s="3">
        <v>678.77764892578125</v>
      </c>
    </row>
    <row r="618" spans="1:4" x14ac:dyDescent="0.25">
      <c r="A618" s="5" t="s">
        <v>34</v>
      </c>
      <c r="B618" s="6" t="s">
        <v>5</v>
      </c>
      <c r="C618" s="6" t="s">
        <v>63</v>
      </c>
      <c r="D618" s="6">
        <v>678.77764892578125</v>
      </c>
    </row>
    <row r="619" spans="1:4" x14ac:dyDescent="0.25">
      <c r="A619" s="2" t="s">
        <v>34</v>
      </c>
      <c r="B619" s="3" t="s">
        <v>5</v>
      </c>
      <c r="C619" s="3" t="s">
        <v>64</v>
      </c>
      <c r="D619" s="3">
        <v>678.77764892578125</v>
      </c>
    </row>
    <row r="620" spans="1:4" x14ac:dyDescent="0.25">
      <c r="A620" s="5" t="s">
        <v>34</v>
      </c>
      <c r="B620" s="6" t="s">
        <v>5</v>
      </c>
      <c r="C620" s="6" t="s">
        <v>65</v>
      </c>
      <c r="D620" s="6">
        <v>678.77764892578125</v>
      </c>
    </row>
    <row r="621" spans="1:4" x14ac:dyDescent="0.25">
      <c r="A621" s="2" t="s">
        <v>34</v>
      </c>
      <c r="B621" s="3" t="s">
        <v>5</v>
      </c>
      <c r="C621" s="3" t="s">
        <v>66</v>
      </c>
      <c r="D621" s="3">
        <v>679.10345458984375</v>
      </c>
    </row>
    <row r="622" spans="1:4" x14ac:dyDescent="0.25">
      <c r="A622" s="5" t="s">
        <v>14</v>
      </c>
      <c r="B622" s="6" t="s">
        <v>5</v>
      </c>
      <c r="C622" s="6" t="s">
        <v>36</v>
      </c>
      <c r="D622" s="6">
        <v>39034.58984375</v>
      </c>
    </row>
    <row r="623" spans="1:4" x14ac:dyDescent="0.25">
      <c r="A623" s="2" t="s">
        <v>14</v>
      </c>
      <c r="B623" s="3" t="s">
        <v>5</v>
      </c>
      <c r="C623" s="3" t="s">
        <v>37</v>
      </c>
      <c r="D623" s="3">
        <v>39034.58984375</v>
      </c>
    </row>
    <row r="624" spans="1:4" x14ac:dyDescent="0.25">
      <c r="A624" s="5" t="s">
        <v>14</v>
      </c>
      <c r="B624" s="6" t="s">
        <v>5</v>
      </c>
      <c r="C624" s="6" t="s">
        <v>38</v>
      </c>
      <c r="D624" s="6">
        <v>39034.58984375</v>
      </c>
    </row>
    <row r="625" spans="1:4" x14ac:dyDescent="0.25">
      <c r="A625" s="2" t="s">
        <v>14</v>
      </c>
      <c r="B625" s="3" t="s">
        <v>5</v>
      </c>
      <c r="C625" s="3" t="s">
        <v>39</v>
      </c>
      <c r="D625" s="3">
        <v>39034.58984375</v>
      </c>
    </row>
    <row r="626" spans="1:4" x14ac:dyDescent="0.25">
      <c r="A626" s="5" t="s">
        <v>14</v>
      </c>
      <c r="B626" s="6" t="s">
        <v>5</v>
      </c>
      <c r="C626" s="6" t="s">
        <v>40</v>
      </c>
      <c r="D626" s="6">
        <v>39034.58984375</v>
      </c>
    </row>
    <row r="627" spans="1:4" x14ac:dyDescent="0.25">
      <c r="A627" s="2" t="s">
        <v>14</v>
      </c>
      <c r="B627" s="3" t="s">
        <v>5</v>
      </c>
      <c r="C627" s="3" t="s">
        <v>41</v>
      </c>
      <c r="D627" s="3">
        <v>39034.58984375</v>
      </c>
    </row>
    <row r="628" spans="1:4" x14ac:dyDescent="0.25">
      <c r="A628" s="5" t="s">
        <v>14</v>
      </c>
      <c r="B628" s="6" t="s">
        <v>5</v>
      </c>
      <c r="C628" s="6" t="s">
        <v>42</v>
      </c>
      <c r="D628" s="6">
        <v>39053.328125</v>
      </c>
    </row>
    <row r="629" spans="1:4" x14ac:dyDescent="0.25">
      <c r="A629" s="2" t="s">
        <v>14</v>
      </c>
      <c r="B629" s="3" t="s">
        <v>5</v>
      </c>
      <c r="C629" s="3" t="s">
        <v>43</v>
      </c>
      <c r="D629" s="3">
        <v>39924.25390625</v>
      </c>
    </row>
    <row r="630" spans="1:4" x14ac:dyDescent="0.25">
      <c r="A630" s="5" t="s">
        <v>14</v>
      </c>
      <c r="B630" s="6" t="s">
        <v>5</v>
      </c>
      <c r="C630" s="6" t="s">
        <v>44</v>
      </c>
      <c r="D630" s="6">
        <v>39924.25390625</v>
      </c>
    </row>
    <row r="631" spans="1:4" x14ac:dyDescent="0.25">
      <c r="A631" s="2" t="s">
        <v>14</v>
      </c>
      <c r="B631" s="3" t="s">
        <v>5</v>
      </c>
      <c r="C631" s="3" t="s">
        <v>45</v>
      </c>
      <c r="D631" s="3">
        <v>39924.25390625</v>
      </c>
    </row>
    <row r="632" spans="1:4" x14ac:dyDescent="0.25">
      <c r="A632" s="5" t="s">
        <v>14</v>
      </c>
      <c r="B632" s="6" t="s">
        <v>5</v>
      </c>
      <c r="C632" s="6" t="s">
        <v>46</v>
      </c>
      <c r="D632" s="6">
        <v>39924.25390625</v>
      </c>
    </row>
    <row r="633" spans="1:4" x14ac:dyDescent="0.25">
      <c r="A633" s="2" t="s">
        <v>14</v>
      </c>
      <c r="B633" s="3" t="s">
        <v>5</v>
      </c>
      <c r="C633" s="3" t="s">
        <v>47</v>
      </c>
      <c r="D633" s="3">
        <v>39924.25390625</v>
      </c>
    </row>
    <row r="634" spans="1:4" x14ac:dyDescent="0.25">
      <c r="A634" s="5" t="s">
        <v>14</v>
      </c>
      <c r="B634" s="6" t="s">
        <v>5</v>
      </c>
      <c r="C634" s="6" t="s">
        <v>48</v>
      </c>
      <c r="D634" s="6">
        <v>39924.25390625</v>
      </c>
    </row>
    <row r="635" spans="1:4" x14ac:dyDescent="0.25">
      <c r="A635" s="2" t="s">
        <v>14</v>
      </c>
      <c r="B635" s="3" t="s">
        <v>5</v>
      </c>
      <c r="C635" s="3" t="s">
        <v>49</v>
      </c>
      <c r="D635" s="3">
        <v>39924.25390625</v>
      </c>
    </row>
    <row r="636" spans="1:4" x14ac:dyDescent="0.25">
      <c r="A636" s="5" t="s">
        <v>14</v>
      </c>
      <c r="B636" s="6" t="s">
        <v>5</v>
      </c>
      <c r="C636" s="6" t="s">
        <v>50</v>
      </c>
      <c r="D636" s="6">
        <v>39924.25390625</v>
      </c>
    </row>
    <row r="637" spans="1:4" x14ac:dyDescent="0.25">
      <c r="A637" s="2" t="s">
        <v>14</v>
      </c>
      <c r="B637" s="3" t="s">
        <v>5</v>
      </c>
      <c r="C637" s="3" t="s">
        <v>51</v>
      </c>
      <c r="D637" s="3">
        <v>39924.25390625</v>
      </c>
    </row>
    <row r="638" spans="1:4" x14ac:dyDescent="0.25">
      <c r="A638" s="5" t="s">
        <v>14</v>
      </c>
      <c r="B638" s="6" t="s">
        <v>5</v>
      </c>
      <c r="C638" s="6" t="s">
        <v>52</v>
      </c>
      <c r="D638" s="6">
        <v>39924.25390625</v>
      </c>
    </row>
    <row r="639" spans="1:4" x14ac:dyDescent="0.25">
      <c r="A639" s="2" t="s">
        <v>14</v>
      </c>
      <c r="B639" s="3" t="s">
        <v>5</v>
      </c>
      <c r="C639" s="3" t="s">
        <v>53</v>
      </c>
      <c r="D639" s="3">
        <v>39924.25390625</v>
      </c>
    </row>
    <row r="640" spans="1:4" x14ac:dyDescent="0.25">
      <c r="A640" s="5" t="s">
        <v>14</v>
      </c>
      <c r="B640" s="6" t="s">
        <v>5</v>
      </c>
      <c r="C640" s="6" t="s">
        <v>54</v>
      </c>
      <c r="D640" s="6">
        <v>39943.41796875</v>
      </c>
    </row>
    <row r="641" spans="1:4" x14ac:dyDescent="0.25">
      <c r="A641" s="5" t="s">
        <v>14</v>
      </c>
      <c r="B641" s="6" t="s">
        <v>5</v>
      </c>
      <c r="C641" s="6" t="s">
        <v>55</v>
      </c>
      <c r="D641" s="6">
        <v>41631.8125</v>
      </c>
    </row>
    <row r="642" spans="1:4" x14ac:dyDescent="0.25">
      <c r="A642" s="2" t="s">
        <v>14</v>
      </c>
      <c r="B642" s="3" t="s">
        <v>5</v>
      </c>
      <c r="C642" s="3" t="s">
        <v>56</v>
      </c>
      <c r="D642" s="3">
        <v>41631.8125</v>
      </c>
    </row>
    <row r="643" spans="1:4" x14ac:dyDescent="0.25">
      <c r="A643" s="5" t="s">
        <v>14</v>
      </c>
      <c r="B643" s="6" t="s">
        <v>5</v>
      </c>
      <c r="C643" s="6" t="s">
        <v>57</v>
      </c>
      <c r="D643" s="6">
        <v>41631.8125</v>
      </c>
    </row>
    <row r="644" spans="1:4" x14ac:dyDescent="0.25">
      <c r="A644" s="2" t="s">
        <v>14</v>
      </c>
      <c r="B644" s="3" t="s">
        <v>5</v>
      </c>
      <c r="C644" s="3" t="s">
        <v>58</v>
      </c>
      <c r="D644" s="3">
        <v>41631.8125</v>
      </c>
    </row>
    <row r="645" spans="1:4" x14ac:dyDescent="0.25">
      <c r="A645" s="5" t="s">
        <v>14</v>
      </c>
      <c r="B645" s="6" t="s">
        <v>5</v>
      </c>
      <c r="C645" s="6" t="s">
        <v>59</v>
      </c>
      <c r="D645" s="6">
        <v>41631.8125</v>
      </c>
    </row>
    <row r="646" spans="1:4" x14ac:dyDescent="0.25">
      <c r="A646" s="2" t="s">
        <v>14</v>
      </c>
      <c r="B646" s="3" t="s">
        <v>5</v>
      </c>
      <c r="C646" s="3" t="s">
        <v>60</v>
      </c>
      <c r="D646" s="3">
        <v>41631.8125</v>
      </c>
    </row>
    <row r="647" spans="1:4" x14ac:dyDescent="0.25">
      <c r="A647" s="5" t="s">
        <v>14</v>
      </c>
      <c r="B647" s="6" t="s">
        <v>5</v>
      </c>
      <c r="C647" s="6" t="s">
        <v>61</v>
      </c>
      <c r="D647" s="6">
        <v>41631.8125</v>
      </c>
    </row>
    <row r="648" spans="1:4" x14ac:dyDescent="0.25">
      <c r="A648" s="2" t="s">
        <v>14</v>
      </c>
      <c r="B648" s="3" t="s">
        <v>5</v>
      </c>
      <c r="C648" s="3" t="s">
        <v>62</v>
      </c>
      <c r="D648" s="3">
        <v>41631.8125</v>
      </c>
    </row>
    <row r="649" spans="1:4" x14ac:dyDescent="0.25">
      <c r="A649" s="5" t="s">
        <v>14</v>
      </c>
      <c r="B649" s="6" t="s">
        <v>5</v>
      </c>
      <c r="C649" s="6" t="s">
        <v>63</v>
      </c>
      <c r="D649" s="6">
        <v>41631.8125</v>
      </c>
    </row>
    <row r="650" spans="1:4" x14ac:dyDescent="0.25">
      <c r="A650" s="2" t="s">
        <v>14</v>
      </c>
      <c r="B650" s="3" t="s">
        <v>5</v>
      </c>
      <c r="C650" s="3" t="s">
        <v>64</v>
      </c>
      <c r="D650" s="3">
        <v>41631.8125</v>
      </c>
    </row>
    <row r="651" spans="1:4" x14ac:dyDescent="0.25">
      <c r="A651" s="5" t="s">
        <v>14</v>
      </c>
      <c r="B651" s="6" t="s">
        <v>5</v>
      </c>
      <c r="C651" s="6" t="s">
        <v>65</v>
      </c>
      <c r="D651" s="6">
        <v>41631.8125</v>
      </c>
    </row>
    <row r="652" spans="1:4" x14ac:dyDescent="0.25">
      <c r="A652" s="2" t="s">
        <v>14</v>
      </c>
      <c r="B652" s="3" t="s">
        <v>5</v>
      </c>
      <c r="C652" s="3" t="s">
        <v>66</v>
      </c>
      <c r="D652" s="3">
        <v>41651.796875</v>
      </c>
    </row>
    <row r="653" spans="1:4" x14ac:dyDescent="0.25">
      <c r="A653" s="2" t="s">
        <v>15</v>
      </c>
      <c r="B653" s="3" t="s">
        <v>5</v>
      </c>
      <c r="C653" s="3" t="s">
        <v>36</v>
      </c>
      <c r="D653" s="3">
        <v>6319.30517578125</v>
      </c>
    </row>
    <row r="654" spans="1:4" x14ac:dyDescent="0.25">
      <c r="A654" s="5" t="s">
        <v>15</v>
      </c>
      <c r="B654" s="6" t="s">
        <v>5</v>
      </c>
      <c r="C654" s="6" t="s">
        <v>37</v>
      </c>
      <c r="D654" s="6">
        <v>6319.30517578125</v>
      </c>
    </row>
    <row r="655" spans="1:4" x14ac:dyDescent="0.25">
      <c r="A655" s="2" t="s">
        <v>15</v>
      </c>
      <c r="B655" s="3" t="s">
        <v>5</v>
      </c>
      <c r="C655" s="3" t="s">
        <v>38</v>
      </c>
      <c r="D655" s="3">
        <v>6319.30517578125</v>
      </c>
    </row>
    <row r="656" spans="1:4" x14ac:dyDescent="0.25">
      <c r="A656" s="5" t="s">
        <v>15</v>
      </c>
      <c r="B656" s="6" t="s">
        <v>5</v>
      </c>
      <c r="C656" s="6" t="s">
        <v>39</v>
      </c>
      <c r="D656" s="6">
        <v>6319.30517578125</v>
      </c>
    </row>
    <row r="657" spans="1:4" x14ac:dyDescent="0.25">
      <c r="A657" s="2" t="s">
        <v>15</v>
      </c>
      <c r="B657" s="3" t="s">
        <v>5</v>
      </c>
      <c r="C657" s="3" t="s">
        <v>40</v>
      </c>
      <c r="D657" s="3">
        <v>6319.30517578125</v>
      </c>
    </row>
    <row r="658" spans="1:4" x14ac:dyDescent="0.25">
      <c r="A658" s="5" t="s">
        <v>15</v>
      </c>
      <c r="B658" s="6" t="s">
        <v>5</v>
      </c>
      <c r="C658" s="6" t="s">
        <v>41</v>
      </c>
      <c r="D658" s="6">
        <v>6319.30517578125</v>
      </c>
    </row>
    <row r="659" spans="1:4" x14ac:dyDescent="0.25">
      <c r="A659" s="2" t="s">
        <v>15</v>
      </c>
      <c r="B659" s="3" t="s">
        <v>5</v>
      </c>
      <c r="C659" s="3" t="s">
        <v>42</v>
      </c>
      <c r="D659" s="3">
        <v>6322.33837890625</v>
      </c>
    </row>
    <row r="660" spans="1:4" x14ac:dyDescent="0.25">
      <c r="A660" s="5" t="s">
        <v>15</v>
      </c>
      <c r="B660" s="6" t="s">
        <v>5</v>
      </c>
      <c r="C660" s="6" t="s">
        <v>43</v>
      </c>
      <c r="D660" s="6">
        <v>6463.33251953125</v>
      </c>
    </row>
    <row r="661" spans="1:4" x14ac:dyDescent="0.25">
      <c r="A661" s="2" t="s">
        <v>15</v>
      </c>
      <c r="B661" s="3" t="s">
        <v>5</v>
      </c>
      <c r="C661" s="3" t="s">
        <v>44</v>
      </c>
      <c r="D661" s="3">
        <v>6463.33251953125</v>
      </c>
    </row>
    <row r="662" spans="1:4" x14ac:dyDescent="0.25">
      <c r="A662" s="5" t="s">
        <v>15</v>
      </c>
      <c r="B662" s="6" t="s">
        <v>5</v>
      </c>
      <c r="C662" s="6" t="s">
        <v>45</v>
      </c>
      <c r="D662" s="6">
        <v>6463.33251953125</v>
      </c>
    </row>
    <row r="663" spans="1:4" x14ac:dyDescent="0.25">
      <c r="A663" s="2" t="s">
        <v>15</v>
      </c>
      <c r="B663" s="3" t="s">
        <v>5</v>
      </c>
      <c r="C663" s="3" t="s">
        <v>46</v>
      </c>
      <c r="D663" s="3">
        <v>6463.33251953125</v>
      </c>
    </row>
    <row r="664" spans="1:4" x14ac:dyDescent="0.25">
      <c r="A664" s="5" t="s">
        <v>15</v>
      </c>
      <c r="B664" s="6" t="s">
        <v>5</v>
      </c>
      <c r="C664" s="6" t="s">
        <v>47</v>
      </c>
      <c r="D664" s="6">
        <v>6463.33251953125</v>
      </c>
    </row>
    <row r="665" spans="1:4" x14ac:dyDescent="0.25">
      <c r="A665" s="2" t="s">
        <v>15</v>
      </c>
      <c r="B665" s="3" t="s">
        <v>5</v>
      </c>
      <c r="C665" s="3" t="s">
        <v>48</v>
      </c>
      <c r="D665" s="3">
        <v>6463.33251953125</v>
      </c>
    </row>
    <row r="666" spans="1:4" x14ac:dyDescent="0.25">
      <c r="A666" s="5" t="s">
        <v>15</v>
      </c>
      <c r="B666" s="6" t="s">
        <v>5</v>
      </c>
      <c r="C666" s="6" t="s">
        <v>49</v>
      </c>
      <c r="D666" s="6">
        <v>6463.33251953125</v>
      </c>
    </row>
    <row r="667" spans="1:4" x14ac:dyDescent="0.25">
      <c r="A667" s="2" t="s">
        <v>15</v>
      </c>
      <c r="B667" s="3" t="s">
        <v>5</v>
      </c>
      <c r="C667" s="3" t="s">
        <v>50</v>
      </c>
      <c r="D667" s="3">
        <v>6463.33251953125</v>
      </c>
    </row>
    <row r="668" spans="1:4" x14ac:dyDescent="0.25">
      <c r="A668" s="5" t="s">
        <v>15</v>
      </c>
      <c r="B668" s="6" t="s">
        <v>5</v>
      </c>
      <c r="C668" s="6" t="s">
        <v>51</v>
      </c>
      <c r="D668" s="6">
        <v>6463.33251953125</v>
      </c>
    </row>
    <row r="669" spans="1:4" x14ac:dyDescent="0.25">
      <c r="A669" s="2" t="s">
        <v>15</v>
      </c>
      <c r="B669" s="3" t="s">
        <v>5</v>
      </c>
      <c r="C669" s="3" t="s">
        <v>52</v>
      </c>
      <c r="D669" s="3">
        <v>6463.33251953125</v>
      </c>
    </row>
    <row r="670" spans="1:4" x14ac:dyDescent="0.25">
      <c r="A670" s="5" t="s">
        <v>15</v>
      </c>
      <c r="B670" s="6" t="s">
        <v>5</v>
      </c>
      <c r="C670" s="6" t="s">
        <v>53</v>
      </c>
      <c r="D670" s="6">
        <v>6463.33251953125</v>
      </c>
    </row>
    <row r="671" spans="1:4" x14ac:dyDescent="0.25">
      <c r="A671" s="2" t="s">
        <v>15</v>
      </c>
      <c r="B671" s="3" t="s">
        <v>5</v>
      </c>
      <c r="C671" s="3" t="s">
        <v>54</v>
      </c>
      <c r="D671" s="3">
        <v>6466.43505859375</v>
      </c>
    </row>
    <row r="672" spans="1:4" x14ac:dyDescent="0.25">
      <c r="A672" s="2" t="s">
        <v>15</v>
      </c>
      <c r="B672" s="3" t="s">
        <v>5</v>
      </c>
      <c r="C672" s="3" t="s">
        <v>55</v>
      </c>
      <c r="D672" s="3">
        <v>6352.87744140625</v>
      </c>
    </row>
    <row r="673" spans="1:4" x14ac:dyDescent="0.25">
      <c r="A673" s="5" t="s">
        <v>15</v>
      </c>
      <c r="B673" s="6" t="s">
        <v>5</v>
      </c>
      <c r="C673" s="6" t="s">
        <v>56</v>
      </c>
      <c r="D673" s="6">
        <v>6352.87744140625</v>
      </c>
    </row>
    <row r="674" spans="1:4" x14ac:dyDescent="0.25">
      <c r="A674" s="2" t="s">
        <v>15</v>
      </c>
      <c r="B674" s="3" t="s">
        <v>5</v>
      </c>
      <c r="C674" s="3" t="s">
        <v>57</v>
      </c>
      <c r="D674" s="3">
        <v>6352.87744140625</v>
      </c>
    </row>
    <row r="675" spans="1:4" x14ac:dyDescent="0.25">
      <c r="A675" s="5" t="s">
        <v>15</v>
      </c>
      <c r="B675" s="6" t="s">
        <v>5</v>
      </c>
      <c r="C675" s="6" t="s">
        <v>58</v>
      </c>
      <c r="D675" s="6">
        <v>6352.87744140625</v>
      </c>
    </row>
    <row r="676" spans="1:4" x14ac:dyDescent="0.25">
      <c r="A676" s="2" t="s">
        <v>15</v>
      </c>
      <c r="B676" s="3" t="s">
        <v>5</v>
      </c>
      <c r="C676" s="3" t="s">
        <v>59</v>
      </c>
      <c r="D676" s="3">
        <v>6352.87744140625</v>
      </c>
    </row>
    <row r="677" spans="1:4" x14ac:dyDescent="0.25">
      <c r="A677" s="5" t="s">
        <v>15</v>
      </c>
      <c r="B677" s="6" t="s">
        <v>5</v>
      </c>
      <c r="C677" s="6" t="s">
        <v>60</v>
      </c>
      <c r="D677" s="6">
        <v>6352.87744140625</v>
      </c>
    </row>
    <row r="678" spans="1:4" x14ac:dyDescent="0.25">
      <c r="A678" s="2" t="s">
        <v>15</v>
      </c>
      <c r="B678" s="3" t="s">
        <v>5</v>
      </c>
      <c r="C678" s="3" t="s">
        <v>61</v>
      </c>
      <c r="D678" s="3">
        <v>6352.87744140625</v>
      </c>
    </row>
    <row r="679" spans="1:4" x14ac:dyDescent="0.25">
      <c r="A679" s="5" t="s">
        <v>15</v>
      </c>
      <c r="B679" s="6" t="s">
        <v>5</v>
      </c>
      <c r="C679" s="6" t="s">
        <v>62</v>
      </c>
      <c r="D679" s="6">
        <v>6352.87744140625</v>
      </c>
    </row>
    <row r="680" spans="1:4" x14ac:dyDescent="0.25">
      <c r="A680" s="2" t="s">
        <v>15</v>
      </c>
      <c r="B680" s="3" t="s">
        <v>5</v>
      </c>
      <c r="C680" s="3" t="s">
        <v>63</v>
      </c>
      <c r="D680" s="3">
        <v>6352.87744140625</v>
      </c>
    </row>
    <row r="681" spans="1:4" x14ac:dyDescent="0.25">
      <c r="A681" s="5" t="s">
        <v>15</v>
      </c>
      <c r="B681" s="6" t="s">
        <v>5</v>
      </c>
      <c r="C681" s="6" t="s">
        <v>64</v>
      </c>
      <c r="D681" s="6">
        <v>6352.87744140625</v>
      </c>
    </row>
    <row r="682" spans="1:4" x14ac:dyDescent="0.25">
      <c r="A682" s="2" t="s">
        <v>15</v>
      </c>
      <c r="B682" s="3" t="s">
        <v>5</v>
      </c>
      <c r="C682" s="3" t="s">
        <v>65</v>
      </c>
      <c r="D682" s="3">
        <v>6352.87744140625</v>
      </c>
    </row>
    <row r="683" spans="1:4" x14ac:dyDescent="0.25">
      <c r="A683" s="5" t="s">
        <v>15</v>
      </c>
      <c r="B683" s="6" t="s">
        <v>5</v>
      </c>
      <c r="C683" s="6" t="s">
        <v>66</v>
      </c>
      <c r="D683" s="6">
        <v>6355.9267578125</v>
      </c>
    </row>
    <row r="684" spans="1:4" x14ac:dyDescent="0.25">
      <c r="A684" s="2" t="s">
        <v>33</v>
      </c>
      <c r="B684" s="3" t="s">
        <v>5</v>
      </c>
      <c r="C684" s="3" t="s">
        <v>36</v>
      </c>
      <c r="D684" s="3">
        <v>6286.4716796875</v>
      </c>
    </row>
    <row r="685" spans="1:4" x14ac:dyDescent="0.25">
      <c r="A685" s="5" t="s">
        <v>33</v>
      </c>
      <c r="B685" s="6" t="s">
        <v>5</v>
      </c>
      <c r="C685" s="6" t="s">
        <v>37</v>
      </c>
      <c r="D685" s="6">
        <v>6286.4716796875</v>
      </c>
    </row>
    <row r="686" spans="1:4" x14ac:dyDescent="0.25">
      <c r="A686" s="2" t="s">
        <v>33</v>
      </c>
      <c r="B686" s="3" t="s">
        <v>5</v>
      </c>
      <c r="C686" s="3" t="s">
        <v>38</v>
      </c>
      <c r="D686" s="3">
        <v>6286.4716796875</v>
      </c>
    </row>
    <row r="687" spans="1:4" x14ac:dyDescent="0.25">
      <c r="A687" s="5" t="s">
        <v>33</v>
      </c>
      <c r="B687" s="6" t="s">
        <v>5</v>
      </c>
      <c r="C687" s="6" t="s">
        <v>39</v>
      </c>
      <c r="D687" s="6">
        <v>6286.4716796875</v>
      </c>
    </row>
    <row r="688" spans="1:4" x14ac:dyDescent="0.25">
      <c r="A688" s="2" t="s">
        <v>33</v>
      </c>
      <c r="B688" s="3" t="s">
        <v>5</v>
      </c>
      <c r="C688" s="3" t="s">
        <v>40</v>
      </c>
      <c r="D688" s="3">
        <v>6286.4716796875</v>
      </c>
    </row>
    <row r="689" spans="1:4" x14ac:dyDescent="0.25">
      <c r="A689" s="5" t="s">
        <v>33</v>
      </c>
      <c r="B689" s="6" t="s">
        <v>5</v>
      </c>
      <c r="C689" s="6" t="s">
        <v>41</v>
      </c>
      <c r="D689" s="6">
        <v>6286.4716796875</v>
      </c>
    </row>
    <row r="690" spans="1:4" x14ac:dyDescent="0.25">
      <c r="A690" s="2" t="s">
        <v>33</v>
      </c>
      <c r="B690" s="3" t="s">
        <v>5</v>
      </c>
      <c r="C690" s="3" t="s">
        <v>42</v>
      </c>
      <c r="D690" s="3">
        <v>6289.48974609375</v>
      </c>
    </row>
    <row r="691" spans="1:4" x14ac:dyDescent="0.25">
      <c r="A691" s="5" t="s">
        <v>33</v>
      </c>
      <c r="B691" s="6" t="s">
        <v>5</v>
      </c>
      <c r="C691" s="6" t="s">
        <v>43</v>
      </c>
      <c r="D691" s="6">
        <v>6429.7509765625</v>
      </c>
    </row>
    <row r="692" spans="1:4" x14ac:dyDescent="0.25">
      <c r="A692" s="2" t="s">
        <v>33</v>
      </c>
      <c r="B692" s="3" t="s">
        <v>5</v>
      </c>
      <c r="C692" s="3" t="s">
        <v>44</v>
      </c>
      <c r="D692" s="3">
        <v>6429.7509765625</v>
      </c>
    </row>
    <row r="693" spans="1:4" x14ac:dyDescent="0.25">
      <c r="A693" s="5" t="s">
        <v>33</v>
      </c>
      <c r="B693" s="6" t="s">
        <v>5</v>
      </c>
      <c r="C693" s="6" t="s">
        <v>45</v>
      </c>
      <c r="D693" s="6">
        <v>6429.7509765625</v>
      </c>
    </row>
    <row r="694" spans="1:4" x14ac:dyDescent="0.25">
      <c r="A694" s="2" t="s">
        <v>33</v>
      </c>
      <c r="B694" s="3" t="s">
        <v>5</v>
      </c>
      <c r="C694" s="3" t="s">
        <v>46</v>
      </c>
      <c r="D694" s="3">
        <v>6429.7509765625</v>
      </c>
    </row>
    <row r="695" spans="1:4" x14ac:dyDescent="0.25">
      <c r="A695" s="5" t="s">
        <v>33</v>
      </c>
      <c r="B695" s="6" t="s">
        <v>5</v>
      </c>
      <c r="C695" s="6" t="s">
        <v>47</v>
      </c>
      <c r="D695" s="6">
        <v>6429.7509765625</v>
      </c>
    </row>
    <row r="696" spans="1:4" x14ac:dyDescent="0.25">
      <c r="A696" s="2" t="s">
        <v>33</v>
      </c>
      <c r="B696" s="3" t="s">
        <v>5</v>
      </c>
      <c r="C696" s="3" t="s">
        <v>48</v>
      </c>
      <c r="D696" s="3">
        <v>6429.7509765625</v>
      </c>
    </row>
    <row r="697" spans="1:4" x14ac:dyDescent="0.25">
      <c r="A697" s="5" t="s">
        <v>33</v>
      </c>
      <c r="B697" s="6" t="s">
        <v>5</v>
      </c>
      <c r="C697" s="6" t="s">
        <v>49</v>
      </c>
      <c r="D697" s="6">
        <v>6429.7509765625</v>
      </c>
    </row>
    <row r="698" spans="1:4" x14ac:dyDescent="0.25">
      <c r="A698" s="2" t="s">
        <v>33</v>
      </c>
      <c r="B698" s="3" t="s">
        <v>5</v>
      </c>
      <c r="C698" s="3" t="s">
        <v>50</v>
      </c>
      <c r="D698" s="3">
        <v>6429.7509765625</v>
      </c>
    </row>
    <row r="699" spans="1:4" x14ac:dyDescent="0.25">
      <c r="A699" s="5" t="s">
        <v>33</v>
      </c>
      <c r="B699" s="6" t="s">
        <v>5</v>
      </c>
      <c r="C699" s="6" t="s">
        <v>51</v>
      </c>
      <c r="D699" s="6">
        <v>6429.7509765625</v>
      </c>
    </row>
    <row r="700" spans="1:4" x14ac:dyDescent="0.25">
      <c r="A700" s="2" t="s">
        <v>33</v>
      </c>
      <c r="B700" s="3" t="s">
        <v>5</v>
      </c>
      <c r="C700" s="3" t="s">
        <v>52</v>
      </c>
      <c r="D700" s="3">
        <v>6429.7509765625</v>
      </c>
    </row>
    <row r="701" spans="1:4" x14ac:dyDescent="0.25">
      <c r="A701" s="5" t="s">
        <v>33</v>
      </c>
      <c r="B701" s="6" t="s">
        <v>5</v>
      </c>
      <c r="C701" s="6" t="s">
        <v>53</v>
      </c>
      <c r="D701" s="6">
        <v>6429.7509765625</v>
      </c>
    </row>
    <row r="702" spans="1:4" x14ac:dyDescent="0.25">
      <c r="A702" s="2" t="s">
        <v>33</v>
      </c>
      <c r="B702" s="3" t="s">
        <v>5</v>
      </c>
      <c r="C702" s="3" t="s">
        <v>54</v>
      </c>
      <c r="D702" s="3">
        <v>6432.83740234375</v>
      </c>
    </row>
    <row r="703" spans="1:4" x14ac:dyDescent="0.25">
      <c r="A703" s="2" t="s">
        <v>33</v>
      </c>
      <c r="B703" s="3" t="s">
        <v>5</v>
      </c>
      <c r="C703" s="3" t="s">
        <v>55</v>
      </c>
      <c r="D703" s="3">
        <v>6477.453125</v>
      </c>
    </row>
    <row r="704" spans="1:4" x14ac:dyDescent="0.25">
      <c r="A704" s="5" t="s">
        <v>33</v>
      </c>
      <c r="B704" s="6" t="s">
        <v>5</v>
      </c>
      <c r="C704" s="6" t="s">
        <v>56</v>
      </c>
      <c r="D704" s="6">
        <v>6477.453125</v>
      </c>
    </row>
    <row r="705" spans="1:4" x14ac:dyDescent="0.25">
      <c r="A705" s="2" t="s">
        <v>33</v>
      </c>
      <c r="B705" s="3" t="s">
        <v>5</v>
      </c>
      <c r="C705" s="3" t="s">
        <v>57</v>
      </c>
      <c r="D705" s="3">
        <v>6477.453125</v>
      </c>
    </row>
    <row r="706" spans="1:4" x14ac:dyDescent="0.25">
      <c r="A706" s="5" t="s">
        <v>33</v>
      </c>
      <c r="B706" s="6" t="s">
        <v>5</v>
      </c>
      <c r="C706" s="6" t="s">
        <v>58</v>
      </c>
      <c r="D706" s="6">
        <v>6477.453125</v>
      </c>
    </row>
    <row r="707" spans="1:4" x14ac:dyDescent="0.25">
      <c r="A707" s="2" t="s">
        <v>33</v>
      </c>
      <c r="B707" s="3" t="s">
        <v>5</v>
      </c>
      <c r="C707" s="3" t="s">
        <v>59</v>
      </c>
      <c r="D707" s="3">
        <v>6477.453125</v>
      </c>
    </row>
    <row r="708" spans="1:4" x14ac:dyDescent="0.25">
      <c r="A708" s="5" t="s">
        <v>33</v>
      </c>
      <c r="B708" s="6" t="s">
        <v>5</v>
      </c>
      <c r="C708" s="6" t="s">
        <v>60</v>
      </c>
      <c r="D708" s="6">
        <v>6477.453125</v>
      </c>
    </row>
    <row r="709" spans="1:4" x14ac:dyDescent="0.25">
      <c r="A709" s="2" t="s">
        <v>33</v>
      </c>
      <c r="B709" s="3" t="s">
        <v>5</v>
      </c>
      <c r="C709" s="3" t="s">
        <v>61</v>
      </c>
      <c r="D709" s="3">
        <v>6477.453125</v>
      </c>
    </row>
    <row r="710" spans="1:4" x14ac:dyDescent="0.25">
      <c r="A710" s="5" t="s">
        <v>33</v>
      </c>
      <c r="B710" s="6" t="s">
        <v>5</v>
      </c>
      <c r="C710" s="6" t="s">
        <v>62</v>
      </c>
      <c r="D710" s="6">
        <v>6477.453125</v>
      </c>
    </row>
    <row r="711" spans="1:4" x14ac:dyDescent="0.25">
      <c r="A711" s="2" t="s">
        <v>33</v>
      </c>
      <c r="B711" s="3" t="s">
        <v>5</v>
      </c>
      <c r="C711" s="3" t="s">
        <v>63</v>
      </c>
      <c r="D711" s="3">
        <v>6477.453125</v>
      </c>
    </row>
    <row r="712" spans="1:4" x14ac:dyDescent="0.25">
      <c r="A712" s="5" t="s">
        <v>33</v>
      </c>
      <c r="B712" s="6" t="s">
        <v>5</v>
      </c>
      <c r="C712" s="6" t="s">
        <v>64</v>
      </c>
      <c r="D712" s="6">
        <v>6477.453125</v>
      </c>
    </row>
    <row r="713" spans="1:4" x14ac:dyDescent="0.25">
      <c r="A713" s="2" t="s">
        <v>33</v>
      </c>
      <c r="B713" s="3" t="s">
        <v>5</v>
      </c>
      <c r="C713" s="3" t="s">
        <v>65</v>
      </c>
      <c r="D713" s="3">
        <v>6477.453125</v>
      </c>
    </row>
    <row r="714" spans="1:4" x14ac:dyDescent="0.25">
      <c r="A714" s="5" t="s">
        <v>33</v>
      </c>
      <c r="B714" s="6" t="s">
        <v>5</v>
      </c>
      <c r="C714" s="6" t="s">
        <v>66</v>
      </c>
      <c r="D714" s="6">
        <v>6480.5625</v>
      </c>
    </row>
    <row r="715" spans="1:4" x14ac:dyDescent="0.25">
      <c r="A715" s="2" t="s">
        <v>4</v>
      </c>
      <c r="B715" s="3" t="s">
        <v>5</v>
      </c>
      <c r="C715" s="3" t="s">
        <v>36</v>
      </c>
      <c r="D715" s="3">
        <v>6534.5517578125</v>
      </c>
    </row>
    <row r="716" spans="1:4" x14ac:dyDescent="0.25">
      <c r="A716" s="5" t="s">
        <v>4</v>
      </c>
      <c r="B716" s="6" t="s">
        <v>5</v>
      </c>
      <c r="C716" s="6" t="s">
        <v>37</v>
      </c>
      <c r="D716" s="6">
        <v>6534.5517578125</v>
      </c>
    </row>
    <row r="717" spans="1:4" x14ac:dyDescent="0.25">
      <c r="A717" s="2" t="s">
        <v>4</v>
      </c>
      <c r="B717" s="3" t="s">
        <v>5</v>
      </c>
      <c r="C717" s="3" t="s">
        <v>38</v>
      </c>
      <c r="D717" s="3">
        <v>6534.5517578125</v>
      </c>
    </row>
    <row r="718" spans="1:4" x14ac:dyDescent="0.25">
      <c r="A718" s="5" t="s">
        <v>4</v>
      </c>
      <c r="B718" s="6" t="s">
        <v>5</v>
      </c>
      <c r="C718" s="6" t="s">
        <v>39</v>
      </c>
      <c r="D718" s="6">
        <v>6534.5517578125</v>
      </c>
    </row>
    <row r="719" spans="1:4" x14ac:dyDescent="0.25">
      <c r="A719" s="2" t="s">
        <v>4</v>
      </c>
      <c r="B719" s="3" t="s">
        <v>5</v>
      </c>
      <c r="C719" s="3" t="s">
        <v>40</v>
      </c>
      <c r="D719" s="3">
        <v>6534.5517578125</v>
      </c>
    </row>
    <row r="720" spans="1:4" x14ac:dyDescent="0.25">
      <c r="A720" s="5" t="s">
        <v>4</v>
      </c>
      <c r="B720" s="6" t="s">
        <v>5</v>
      </c>
      <c r="C720" s="6" t="s">
        <v>41</v>
      </c>
      <c r="D720" s="6">
        <v>6534.5517578125</v>
      </c>
    </row>
    <row r="721" spans="1:4" x14ac:dyDescent="0.25">
      <c r="A721" s="2" t="s">
        <v>4</v>
      </c>
      <c r="B721" s="3" t="s">
        <v>5</v>
      </c>
      <c r="C721" s="3" t="s">
        <v>42</v>
      </c>
      <c r="D721" s="3">
        <v>6537.6884765625</v>
      </c>
    </row>
    <row r="722" spans="1:4" x14ac:dyDescent="0.25">
      <c r="A722" s="5" t="s">
        <v>4</v>
      </c>
      <c r="B722" s="6" t="s">
        <v>5</v>
      </c>
      <c r="C722" s="6" t="s">
        <v>43</v>
      </c>
      <c r="D722" s="6">
        <v>6683.4853515625</v>
      </c>
    </row>
    <row r="723" spans="1:4" x14ac:dyDescent="0.25">
      <c r="A723" s="2" t="s">
        <v>4</v>
      </c>
      <c r="B723" s="3" t="s">
        <v>5</v>
      </c>
      <c r="C723" s="3" t="s">
        <v>44</v>
      </c>
      <c r="D723" s="3">
        <v>6683.4853515625</v>
      </c>
    </row>
    <row r="724" spans="1:4" x14ac:dyDescent="0.25">
      <c r="A724" s="5" t="s">
        <v>4</v>
      </c>
      <c r="B724" s="6" t="s">
        <v>5</v>
      </c>
      <c r="C724" s="6" t="s">
        <v>45</v>
      </c>
      <c r="D724" s="6">
        <v>6683.4853515625</v>
      </c>
    </row>
    <row r="725" spans="1:4" x14ac:dyDescent="0.25">
      <c r="A725" s="2" t="s">
        <v>4</v>
      </c>
      <c r="B725" s="3" t="s">
        <v>5</v>
      </c>
      <c r="C725" s="3" t="s">
        <v>46</v>
      </c>
      <c r="D725" s="3">
        <v>6683.4853515625</v>
      </c>
    </row>
    <row r="726" spans="1:4" x14ac:dyDescent="0.25">
      <c r="A726" s="5" t="s">
        <v>4</v>
      </c>
      <c r="B726" s="6" t="s">
        <v>5</v>
      </c>
      <c r="C726" s="6" t="s">
        <v>47</v>
      </c>
      <c r="D726" s="6">
        <v>6683.4853515625</v>
      </c>
    </row>
    <row r="727" spans="1:4" x14ac:dyDescent="0.25">
      <c r="A727" s="2" t="s">
        <v>4</v>
      </c>
      <c r="B727" s="3" t="s">
        <v>5</v>
      </c>
      <c r="C727" s="3" t="s">
        <v>48</v>
      </c>
      <c r="D727" s="3">
        <v>6683.4853515625</v>
      </c>
    </row>
    <row r="728" spans="1:4" x14ac:dyDescent="0.25">
      <c r="A728" s="5" t="s">
        <v>4</v>
      </c>
      <c r="B728" s="6" t="s">
        <v>5</v>
      </c>
      <c r="C728" s="6" t="s">
        <v>49</v>
      </c>
      <c r="D728" s="6">
        <v>6683.4853515625</v>
      </c>
    </row>
    <row r="729" spans="1:4" x14ac:dyDescent="0.25">
      <c r="A729" s="2" t="s">
        <v>4</v>
      </c>
      <c r="B729" s="3" t="s">
        <v>5</v>
      </c>
      <c r="C729" s="3" t="s">
        <v>50</v>
      </c>
      <c r="D729" s="3">
        <v>6683.4853515625</v>
      </c>
    </row>
    <row r="730" spans="1:4" x14ac:dyDescent="0.25">
      <c r="A730" s="5" t="s">
        <v>4</v>
      </c>
      <c r="B730" s="6" t="s">
        <v>5</v>
      </c>
      <c r="C730" s="6" t="s">
        <v>51</v>
      </c>
      <c r="D730" s="6">
        <v>6683.4853515625</v>
      </c>
    </row>
    <row r="731" spans="1:4" x14ac:dyDescent="0.25">
      <c r="A731" s="2" t="s">
        <v>4</v>
      </c>
      <c r="B731" s="3" t="s">
        <v>5</v>
      </c>
      <c r="C731" s="3" t="s">
        <v>52</v>
      </c>
      <c r="D731" s="3">
        <v>6683.4853515625</v>
      </c>
    </row>
    <row r="732" spans="1:4" x14ac:dyDescent="0.25">
      <c r="A732" s="5" t="s">
        <v>4</v>
      </c>
      <c r="B732" s="6" t="s">
        <v>5</v>
      </c>
      <c r="C732" s="6" t="s">
        <v>53</v>
      </c>
      <c r="D732" s="6">
        <v>6683.4853515625</v>
      </c>
    </row>
    <row r="733" spans="1:4" x14ac:dyDescent="0.25">
      <c r="A733" s="2" t="s">
        <v>4</v>
      </c>
      <c r="B733" s="3" t="s">
        <v>5</v>
      </c>
      <c r="C733" s="3" t="s">
        <v>54</v>
      </c>
      <c r="D733" s="3">
        <v>6686.693359375</v>
      </c>
    </row>
    <row r="734" spans="1:4" x14ac:dyDescent="0.25">
      <c r="A734" s="2" t="s">
        <v>4</v>
      </c>
      <c r="B734" s="3" t="s">
        <v>5</v>
      </c>
      <c r="C734" s="3" t="s">
        <v>55</v>
      </c>
      <c r="D734" s="3">
        <v>6733.7607421875</v>
      </c>
    </row>
    <row r="735" spans="1:4" x14ac:dyDescent="0.25">
      <c r="A735" s="5" t="s">
        <v>4</v>
      </c>
      <c r="B735" s="6" t="s">
        <v>5</v>
      </c>
      <c r="C735" s="6" t="s">
        <v>56</v>
      </c>
      <c r="D735" s="6">
        <v>6733.7607421875</v>
      </c>
    </row>
    <row r="736" spans="1:4" x14ac:dyDescent="0.25">
      <c r="A736" s="2" t="s">
        <v>4</v>
      </c>
      <c r="B736" s="3" t="s">
        <v>5</v>
      </c>
      <c r="C736" s="3" t="s">
        <v>57</v>
      </c>
      <c r="D736" s="3">
        <v>6733.7607421875</v>
      </c>
    </row>
    <row r="737" spans="1:4" x14ac:dyDescent="0.25">
      <c r="A737" s="5" t="s">
        <v>4</v>
      </c>
      <c r="B737" s="6" t="s">
        <v>5</v>
      </c>
      <c r="C737" s="6" t="s">
        <v>58</v>
      </c>
      <c r="D737" s="6">
        <v>6733.7607421875</v>
      </c>
    </row>
    <row r="738" spans="1:4" x14ac:dyDescent="0.25">
      <c r="A738" s="2" t="s">
        <v>4</v>
      </c>
      <c r="B738" s="3" t="s">
        <v>5</v>
      </c>
      <c r="C738" s="3" t="s">
        <v>59</v>
      </c>
      <c r="D738" s="3">
        <v>6733.7607421875</v>
      </c>
    </row>
    <row r="739" spans="1:4" x14ac:dyDescent="0.25">
      <c r="A739" s="5" t="s">
        <v>4</v>
      </c>
      <c r="B739" s="6" t="s">
        <v>5</v>
      </c>
      <c r="C739" s="6" t="s">
        <v>60</v>
      </c>
      <c r="D739" s="6">
        <v>6733.7607421875</v>
      </c>
    </row>
    <row r="740" spans="1:4" x14ac:dyDescent="0.25">
      <c r="A740" s="2" t="s">
        <v>4</v>
      </c>
      <c r="B740" s="3" t="s">
        <v>5</v>
      </c>
      <c r="C740" s="3" t="s">
        <v>61</v>
      </c>
      <c r="D740" s="3">
        <v>6733.7607421875</v>
      </c>
    </row>
    <row r="741" spans="1:4" x14ac:dyDescent="0.25">
      <c r="A741" s="5" t="s">
        <v>4</v>
      </c>
      <c r="B741" s="6" t="s">
        <v>5</v>
      </c>
      <c r="C741" s="6" t="s">
        <v>62</v>
      </c>
      <c r="D741" s="6">
        <v>6733.7607421875</v>
      </c>
    </row>
    <row r="742" spans="1:4" x14ac:dyDescent="0.25">
      <c r="A742" s="2" t="s">
        <v>4</v>
      </c>
      <c r="B742" s="3" t="s">
        <v>5</v>
      </c>
      <c r="C742" s="3" t="s">
        <v>63</v>
      </c>
      <c r="D742" s="3">
        <v>6733.7607421875</v>
      </c>
    </row>
    <row r="743" spans="1:4" x14ac:dyDescent="0.25">
      <c r="A743" s="5" t="s">
        <v>4</v>
      </c>
      <c r="B743" s="6" t="s">
        <v>5</v>
      </c>
      <c r="C743" s="6" t="s">
        <v>64</v>
      </c>
      <c r="D743" s="6">
        <v>6733.7607421875</v>
      </c>
    </row>
    <row r="744" spans="1:4" x14ac:dyDescent="0.25">
      <c r="A744" s="2" t="s">
        <v>4</v>
      </c>
      <c r="B744" s="3" t="s">
        <v>5</v>
      </c>
      <c r="C744" s="3" t="s">
        <v>65</v>
      </c>
      <c r="D744" s="3">
        <v>6733.7607421875</v>
      </c>
    </row>
    <row r="745" spans="1:4" x14ac:dyDescent="0.25">
      <c r="A745" s="5" t="s">
        <v>4</v>
      </c>
      <c r="B745" s="6" t="s">
        <v>5</v>
      </c>
      <c r="C745" s="6" t="s">
        <v>66</v>
      </c>
      <c r="D745" s="6">
        <v>6736.9921875</v>
      </c>
    </row>
    <row r="746" spans="1:4" x14ac:dyDescent="0.25">
      <c r="A746" s="5" t="s">
        <v>10</v>
      </c>
      <c r="B746" s="6" t="s">
        <v>5</v>
      </c>
      <c r="C746" s="6" t="s">
        <v>36</v>
      </c>
      <c r="D746" s="6">
        <v>9582.5302734375</v>
      </c>
    </row>
    <row r="747" spans="1:4" x14ac:dyDescent="0.25">
      <c r="A747" s="2" t="s">
        <v>10</v>
      </c>
      <c r="B747" s="3" t="s">
        <v>5</v>
      </c>
      <c r="C747" s="3" t="s">
        <v>37</v>
      </c>
      <c r="D747" s="3">
        <v>9582.5302734375</v>
      </c>
    </row>
    <row r="748" spans="1:4" x14ac:dyDescent="0.25">
      <c r="A748" s="5" t="s">
        <v>10</v>
      </c>
      <c r="B748" s="6" t="s">
        <v>5</v>
      </c>
      <c r="C748" s="6" t="s">
        <v>38</v>
      </c>
      <c r="D748" s="6">
        <v>9582.5302734375</v>
      </c>
    </row>
    <row r="749" spans="1:4" x14ac:dyDescent="0.25">
      <c r="A749" s="2" t="s">
        <v>10</v>
      </c>
      <c r="B749" s="3" t="s">
        <v>5</v>
      </c>
      <c r="C749" s="3" t="s">
        <v>39</v>
      </c>
      <c r="D749" s="3">
        <v>9582.5302734375</v>
      </c>
    </row>
    <row r="750" spans="1:4" x14ac:dyDescent="0.25">
      <c r="A750" s="5" t="s">
        <v>10</v>
      </c>
      <c r="B750" s="6" t="s">
        <v>5</v>
      </c>
      <c r="C750" s="6" t="s">
        <v>40</v>
      </c>
      <c r="D750" s="6">
        <v>9582.5302734375</v>
      </c>
    </row>
    <row r="751" spans="1:4" x14ac:dyDescent="0.25">
      <c r="A751" s="2" t="s">
        <v>10</v>
      </c>
      <c r="B751" s="3" t="s">
        <v>5</v>
      </c>
      <c r="C751" s="3" t="s">
        <v>41</v>
      </c>
      <c r="D751" s="3">
        <v>9582.5302734375</v>
      </c>
    </row>
    <row r="752" spans="1:4" x14ac:dyDescent="0.25">
      <c r="A752" s="5" t="s">
        <v>10</v>
      </c>
      <c r="B752" s="6" t="s">
        <v>5</v>
      </c>
      <c r="C752" s="6" t="s">
        <v>42</v>
      </c>
      <c r="D752" s="6">
        <v>9587.1298828125</v>
      </c>
    </row>
    <row r="753" spans="1:4" x14ac:dyDescent="0.25">
      <c r="A753" s="2" t="s">
        <v>10</v>
      </c>
      <c r="B753" s="3" t="s">
        <v>5</v>
      </c>
      <c r="C753" s="3" t="s">
        <v>43</v>
      </c>
      <c r="D753" s="3">
        <v>9800.931640625</v>
      </c>
    </row>
    <row r="754" spans="1:4" x14ac:dyDescent="0.25">
      <c r="A754" s="5" t="s">
        <v>10</v>
      </c>
      <c r="B754" s="6" t="s">
        <v>5</v>
      </c>
      <c r="C754" s="6" t="s">
        <v>44</v>
      </c>
      <c r="D754" s="6">
        <v>9800.931640625</v>
      </c>
    </row>
    <row r="755" spans="1:4" x14ac:dyDescent="0.25">
      <c r="A755" s="2" t="s">
        <v>10</v>
      </c>
      <c r="B755" s="3" t="s">
        <v>5</v>
      </c>
      <c r="C755" s="3" t="s">
        <v>45</v>
      </c>
      <c r="D755" s="3">
        <v>9800.931640625</v>
      </c>
    </row>
    <row r="756" spans="1:4" x14ac:dyDescent="0.25">
      <c r="A756" s="5" t="s">
        <v>10</v>
      </c>
      <c r="B756" s="6" t="s">
        <v>5</v>
      </c>
      <c r="C756" s="6" t="s">
        <v>46</v>
      </c>
      <c r="D756" s="6">
        <v>9800.931640625</v>
      </c>
    </row>
    <row r="757" spans="1:4" x14ac:dyDescent="0.25">
      <c r="A757" s="2" t="s">
        <v>10</v>
      </c>
      <c r="B757" s="3" t="s">
        <v>5</v>
      </c>
      <c r="C757" s="3" t="s">
        <v>47</v>
      </c>
      <c r="D757" s="3">
        <v>9800.931640625</v>
      </c>
    </row>
    <row r="758" spans="1:4" x14ac:dyDescent="0.25">
      <c r="A758" s="5" t="s">
        <v>10</v>
      </c>
      <c r="B758" s="6" t="s">
        <v>5</v>
      </c>
      <c r="C758" s="6" t="s">
        <v>48</v>
      </c>
      <c r="D758" s="6">
        <v>9800.931640625</v>
      </c>
    </row>
    <row r="759" spans="1:4" x14ac:dyDescent="0.25">
      <c r="A759" s="2" t="s">
        <v>10</v>
      </c>
      <c r="B759" s="3" t="s">
        <v>5</v>
      </c>
      <c r="C759" s="3" t="s">
        <v>49</v>
      </c>
      <c r="D759" s="3">
        <v>9800.931640625</v>
      </c>
    </row>
    <row r="760" spans="1:4" x14ac:dyDescent="0.25">
      <c r="A760" s="5" t="s">
        <v>10</v>
      </c>
      <c r="B760" s="6" t="s">
        <v>5</v>
      </c>
      <c r="C760" s="6" t="s">
        <v>50</v>
      </c>
      <c r="D760" s="6">
        <v>9800.931640625</v>
      </c>
    </row>
    <row r="761" spans="1:4" x14ac:dyDescent="0.25">
      <c r="A761" s="2" t="s">
        <v>10</v>
      </c>
      <c r="B761" s="3" t="s">
        <v>5</v>
      </c>
      <c r="C761" s="3" t="s">
        <v>51</v>
      </c>
      <c r="D761" s="3">
        <v>9800.931640625</v>
      </c>
    </row>
    <row r="762" spans="1:4" x14ac:dyDescent="0.25">
      <c r="A762" s="5" t="s">
        <v>10</v>
      </c>
      <c r="B762" s="6" t="s">
        <v>5</v>
      </c>
      <c r="C762" s="6" t="s">
        <v>52</v>
      </c>
      <c r="D762" s="6">
        <v>9800.931640625</v>
      </c>
    </row>
    <row r="763" spans="1:4" x14ac:dyDescent="0.25">
      <c r="A763" s="2" t="s">
        <v>10</v>
      </c>
      <c r="B763" s="3" t="s">
        <v>5</v>
      </c>
      <c r="C763" s="3" t="s">
        <v>53</v>
      </c>
      <c r="D763" s="3">
        <v>9800.931640625</v>
      </c>
    </row>
    <row r="764" spans="1:4" x14ac:dyDescent="0.25">
      <c r="A764" s="5" t="s">
        <v>10</v>
      </c>
      <c r="B764" s="6" t="s">
        <v>5</v>
      </c>
      <c r="C764" s="6" t="s">
        <v>54</v>
      </c>
      <c r="D764" s="6">
        <v>9805.63671875</v>
      </c>
    </row>
    <row r="765" spans="1:4" x14ac:dyDescent="0.25">
      <c r="A765" s="5" t="s">
        <v>10</v>
      </c>
      <c r="B765" s="6" t="s">
        <v>5</v>
      </c>
      <c r="C765" s="6" t="s">
        <v>55</v>
      </c>
      <c r="D765" s="6">
        <v>10046.369140625</v>
      </c>
    </row>
    <row r="766" spans="1:4" x14ac:dyDescent="0.25">
      <c r="A766" s="2" t="s">
        <v>10</v>
      </c>
      <c r="B766" s="3" t="s">
        <v>5</v>
      </c>
      <c r="C766" s="3" t="s">
        <v>56</v>
      </c>
      <c r="D766" s="3">
        <v>10046.369140625</v>
      </c>
    </row>
    <row r="767" spans="1:4" x14ac:dyDescent="0.25">
      <c r="A767" s="5" t="s">
        <v>10</v>
      </c>
      <c r="B767" s="6" t="s">
        <v>5</v>
      </c>
      <c r="C767" s="6" t="s">
        <v>57</v>
      </c>
      <c r="D767" s="6">
        <v>10046.369140625</v>
      </c>
    </row>
    <row r="768" spans="1:4" x14ac:dyDescent="0.25">
      <c r="A768" s="2" t="s">
        <v>10</v>
      </c>
      <c r="B768" s="3" t="s">
        <v>5</v>
      </c>
      <c r="C768" s="3" t="s">
        <v>58</v>
      </c>
      <c r="D768" s="3">
        <v>10046.369140625</v>
      </c>
    </row>
    <row r="769" spans="1:4" x14ac:dyDescent="0.25">
      <c r="A769" s="5" t="s">
        <v>10</v>
      </c>
      <c r="B769" s="6" t="s">
        <v>5</v>
      </c>
      <c r="C769" s="6" t="s">
        <v>59</v>
      </c>
      <c r="D769" s="6">
        <v>10046.369140625</v>
      </c>
    </row>
    <row r="770" spans="1:4" x14ac:dyDescent="0.25">
      <c r="A770" s="2" t="s">
        <v>10</v>
      </c>
      <c r="B770" s="3" t="s">
        <v>5</v>
      </c>
      <c r="C770" s="3" t="s">
        <v>60</v>
      </c>
      <c r="D770" s="3">
        <v>10046.369140625</v>
      </c>
    </row>
    <row r="771" spans="1:4" x14ac:dyDescent="0.25">
      <c r="A771" s="5" t="s">
        <v>10</v>
      </c>
      <c r="B771" s="6" t="s">
        <v>5</v>
      </c>
      <c r="C771" s="6" t="s">
        <v>61</v>
      </c>
      <c r="D771" s="6">
        <v>10046.369140625</v>
      </c>
    </row>
    <row r="772" spans="1:4" x14ac:dyDescent="0.25">
      <c r="A772" s="2" t="s">
        <v>10</v>
      </c>
      <c r="B772" s="3" t="s">
        <v>5</v>
      </c>
      <c r="C772" s="3" t="s">
        <v>62</v>
      </c>
      <c r="D772" s="3">
        <v>10046.369140625</v>
      </c>
    </row>
    <row r="773" spans="1:4" x14ac:dyDescent="0.25">
      <c r="A773" s="5" t="s">
        <v>10</v>
      </c>
      <c r="B773" s="6" t="s">
        <v>5</v>
      </c>
      <c r="C773" s="6" t="s">
        <v>63</v>
      </c>
      <c r="D773" s="6">
        <v>10046.369140625</v>
      </c>
    </row>
    <row r="774" spans="1:4" x14ac:dyDescent="0.25">
      <c r="A774" s="2" t="s">
        <v>10</v>
      </c>
      <c r="B774" s="3" t="s">
        <v>5</v>
      </c>
      <c r="C774" s="3" t="s">
        <v>64</v>
      </c>
      <c r="D774" s="3">
        <v>10046.369140625</v>
      </c>
    </row>
    <row r="775" spans="1:4" x14ac:dyDescent="0.25">
      <c r="A775" s="5" t="s">
        <v>10</v>
      </c>
      <c r="B775" s="6" t="s">
        <v>5</v>
      </c>
      <c r="C775" s="6" t="s">
        <v>65</v>
      </c>
      <c r="D775" s="6">
        <v>10046.369140625</v>
      </c>
    </row>
    <row r="776" spans="1:4" x14ac:dyDescent="0.25">
      <c r="A776" s="2" t="s">
        <v>10</v>
      </c>
      <c r="B776" s="3" t="s">
        <v>5</v>
      </c>
      <c r="C776" s="3" t="s">
        <v>66</v>
      </c>
      <c r="D776" s="3">
        <v>10051.1923828125</v>
      </c>
    </row>
    <row r="777" spans="1:4" x14ac:dyDescent="0.25">
      <c r="A777" s="2" t="s">
        <v>11</v>
      </c>
      <c r="B777" s="3" t="s">
        <v>5</v>
      </c>
      <c r="C777" s="3" t="s">
        <v>36</v>
      </c>
      <c r="D777" s="3">
        <v>5231.92236328125</v>
      </c>
    </row>
    <row r="778" spans="1:4" x14ac:dyDescent="0.25">
      <c r="A778" s="5" t="s">
        <v>11</v>
      </c>
      <c r="B778" s="6" t="s">
        <v>5</v>
      </c>
      <c r="C778" s="6" t="s">
        <v>37</v>
      </c>
      <c r="D778" s="6">
        <v>5231.92236328125</v>
      </c>
    </row>
    <row r="779" spans="1:4" x14ac:dyDescent="0.25">
      <c r="A779" s="2" t="s">
        <v>11</v>
      </c>
      <c r="B779" s="3" t="s">
        <v>5</v>
      </c>
      <c r="C779" s="3" t="s">
        <v>38</v>
      </c>
      <c r="D779" s="3">
        <v>5231.92236328125</v>
      </c>
    </row>
    <row r="780" spans="1:4" x14ac:dyDescent="0.25">
      <c r="A780" s="5" t="s">
        <v>11</v>
      </c>
      <c r="B780" s="6" t="s">
        <v>5</v>
      </c>
      <c r="C780" s="6" t="s">
        <v>39</v>
      </c>
      <c r="D780" s="6">
        <v>5231.92236328125</v>
      </c>
    </row>
    <row r="781" spans="1:4" x14ac:dyDescent="0.25">
      <c r="A781" s="2" t="s">
        <v>11</v>
      </c>
      <c r="B781" s="3" t="s">
        <v>5</v>
      </c>
      <c r="C781" s="3" t="s">
        <v>40</v>
      </c>
      <c r="D781" s="3">
        <v>5231.92236328125</v>
      </c>
    </row>
    <row r="782" spans="1:4" x14ac:dyDescent="0.25">
      <c r="A782" s="5" t="s">
        <v>11</v>
      </c>
      <c r="B782" s="6" t="s">
        <v>5</v>
      </c>
      <c r="C782" s="6" t="s">
        <v>41</v>
      </c>
      <c r="D782" s="6">
        <v>5231.92236328125</v>
      </c>
    </row>
    <row r="783" spans="1:4" x14ac:dyDescent="0.25">
      <c r="A783" s="2" t="s">
        <v>11</v>
      </c>
      <c r="B783" s="3" t="s">
        <v>5</v>
      </c>
      <c r="C783" s="3" t="s">
        <v>42</v>
      </c>
      <c r="D783" s="3">
        <v>5234.43408203125</v>
      </c>
    </row>
    <row r="784" spans="1:4" x14ac:dyDescent="0.25">
      <c r="A784" s="5" t="s">
        <v>11</v>
      </c>
      <c r="B784" s="6" t="s">
        <v>5</v>
      </c>
      <c r="C784" s="6" t="s">
        <v>43</v>
      </c>
      <c r="D784" s="6">
        <v>5351.1669921875</v>
      </c>
    </row>
    <row r="785" spans="1:4" x14ac:dyDescent="0.25">
      <c r="A785" s="2" t="s">
        <v>11</v>
      </c>
      <c r="B785" s="3" t="s">
        <v>5</v>
      </c>
      <c r="C785" s="3" t="s">
        <v>44</v>
      </c>
      <c r="D785" s="3">
        <v>5351.1669921875</v>
      </c>
    </row>
    <row r="786" spans="1:4" x14ac:dyDescent="0.25">
      <c r="A786" s="5" t="s">
        <v>11</v>
      </c>
      <c r="B786" s="6" t="s">
        <v>5</v>
      </c>
      <c r="C786" s="6" t="s">
        <v>45</v>
      </c>
      <c r="D786" s="6">
        <v>5351.1669921875</v>
      </c>
    </row>
    <row r="787" spans="1:4" x14ac:dyDescent="0.25">
      <c r="A787" s="2" t="s">
        <v>11</v>
      </c>
      <c r="B787" s="3" t="s">
        <v>5</v>
      </c>
      <c r="C787" s="3" t="s">
        <v>46</v>
      </c>
      <c r="D787" s="3">
        <v>5351.1669921875</v>
      </c>
    </row>
    <row r="788" spans="1:4" x14ac:dyDescent="0.25">
      <c r="A788" s="5" t="s">
        <v>11</v>
      </c>
      <c r="B788" s="6" t="s">
        <v>5</v>
      </c>
      <c r="C788" s="6" t="s">
        <v>47</v>
      </c>
      <c r="D788" s="6">
        <v>5351.1669921875</v>
      </c>
    </row>
    <row r="789" spans="1:4" x14ac:dyDescent="0.25">
      <c r="A789" s="2" t="s">
        <v>11</v>
      </c>
      <c r="B789" s="3" t="s">
        <v>5</v>
      </c>
      <c r="C789" s="3" t="s">
        <v>48</v>
      </c>
      <c r="D789" s="3">
        <v>5351.1669921875</v>
      </c>
    </row>
    <row r="790" spans="1:4" x14ac:dyDescent="0.25">
      <c r="A790" s="5" t="s">
        <v>11</v>
      </c>
      <c r="B790" s="6" t="s">
        <v>5</v>
      </c>
      <c r="C790" s="6" t="s">
        <v>49</v>
      </c>
      <c r="D790" s="6">
        <v>5351.1669921875</v>
      </c>
    </row>
    <row r="791" spans="1:4" x14ac:dyDescent="0.25">
      <c r="A791" s="2" t="s">
        <v>11</v>
      </c>
      <c r="B791" s="3" t="s">
        <v>5</v>
      </c>
      <c r="C791" s="3" t="s">
        <v>50</v>
      </c>
      <c r="D791" s="3">
        <v>5351.1669921875</v>
      </c>
    </row>
    <row r="792" spans="1:4" x14ac:dyDescent="0.25">
      <c r="A792" s="5" t="s">
        <v>11</v>
      </c>
      <c r="B792" s="6" t="s">
        <v>5</v>
      </c>
      <c r="C792" s="6" t="s">
        <v>51</v>
      </c>
      <c r="D792" s="6">
        <v>5351.1669921875</v>
      </c>
    </row>
    <row r="793" spans="1:4" x14ac:dyDescent="0.25">
      <c r="A793" s="2" t="s">
        <v>11</v>
      </c>
      <c r="B793" s="3" t="s">
        <v>5</v>
      </c>
      <c r="C793" s="3" t="s">
        <v>52</v>
      </c>
      <c r="D793" s="3">
        <v>5351.1669921875</v>
      </c>
    </row>
    <row r="794" spans="1:4" x14ac:dyDescent="0.25">
      <c r="A794" s="5" t="s">
        <v>11</v>
      </c>
      <c r="B794" s="6" t="s">
        <v>5</v>
      </c>
      <c r="C794" s="6" t="s">
        <v>53</v>
      </c>
      <c r="D794" s="6">
        <v>5351.1669921875</v>
      </c>
    </row>
    <row r="795" spans="1:4" x14ac:dyDescent="0.25">
      <c r="A795" s="2" t="s">
        <v>11</v>
      </c>
      <c r="B795" s="3" t="s">
        <v>5</v>
      </c>
      <c r="C795" s="3" t="s">
        <v>54</v>
      </c>
      <c r="D795" s="3">
        <v>5353.7353515625</v>
      </c>
    </row>
    <row r="796" spans="1:4" x14ac:dyDescent="0.25">
      <c r="A796" s="2" t="s">
        <v>11</v>
      </c>
      <c r="B796" s="3" t="s">
        <v>5</v>
      </c>
      <c r="C796" s="3" t="s">
        <v>55</v>
      </c>
      <c r="D796" s="3">
        <v>5243.69970703125</v>
      </c>
    </row>
    <row r="797" spans="1:4" x14ac:dyDescent="0.25">
      <c r="A797" s="5" t="s">
        <v>11</v>
      </c>
      <c r="B797" s="6" t="s">
        <v>5</v>
      </c>
      <c r="C797" s="6" t="s">
        <v>56</v>
      </c>
      <c r="D797" s="6">
        <v>5243.69970703125</v>
      </c>
    </row>
    <row r="798" spans="1:4" x14ac:dyDescent="0.25">
      <c r="A798" s="2" t="s">
        <v>11</v>
      </c>
      <c r="B798" s="3" t="s">
        <v>5</v>
      </c>
      <c r="C798" s="3" t="s">
        <v>57</v>
      </c>
      <c r="D798" s="3">
        <v>5243.69970703125</v>
      </c>
    </row>
    <row r="799" spans="1:4" x14ac:dyDescent="0.25">
      <c r="A799" s="5" t="s">
        <v>11</v>
      </c>
      <c r="B799" s="6" t="s">
        <v>5</v>
      </c>
      <c r="C799" s="6" t="s">
        <v>58</v>
      </c>
      <c r="D799" s="6">
        <v>5243.69970703125</v>
      </c>
    </row>
    <row r="800" spans="1:4" x14ac:dyDescent="0.25">
      <c r="A800" s="2" t="s">
        <v>11</v>
      </c>
      <c r="B800" s="3" t="s">
        <v>5</v>
      </c>
      <c r="C800" s="3" t="s">
        <v>59</v>
      </c>
      <c r="D800" s="3">
        <v>5243.69970703125</v>
      </c>
    </row>
    <row r="801" spans="1:4" x14ac:dyDescent="0.25">
      <c r="A801" s="5" t="s">
        <v>11</v>
      </c>
      <c r="B801" s="6" t="s">
        <v>5</v>
      </c>
      <c r="C801" s="6" t="s">
        <v>60</v>
      </c>
      <c r="D801" s="6">
        <v>5243.69970703125</v>
      </c>
    </row>
    <row r="802" spans="1:4" x14ac:dyDescent="0.25">
      <c r="A802" s="2" t="s">
        <v>11</v>
      </c>
      <c r="B802" s="3" t="s">
        <v>5</v>
      </c>
      <c r="C802" s="3" t="s">
        <v>61</v>
      </c>
      <c r="D802" s="3">
        <v>5243.69970703125</v>
      </c>
    </row>
    <row r="803" spans="1:4" x14ac:dyDescent="0.25">
      <c r="A803" s="5" t="s">
        <v>11</v>
      </c>
      <c r="B803" s="6" t="s">
        <v>5</v>
      </c>
      <c r="C803" s="6" t="s">
        <v>62</v>
      </c>
      <c r="D803" s="6">
        <v>5243.69970703125</v>
      </c>
    </row>
    <row r="804" spans="1:4" x14ac:dyDescent="0.25">
      <c r="A804" s="2" t="s">
        <v>11</v>
      </c>
      <c r="B804" s="3" t="s">
        <v>5</v>
      </c>
      <c r="C804" s="3" t="s">
        <v>63</v>
      </c>
      <c r="D804" s="3">
        <v>5243.69970703125</v>
      </c>
    </row>
    <row r="805" spans="1:4" x14ac:dyDescent="0.25">
      <c r="A805" s="5" t="s">
        <v>11</v>
      </c>
      <c r="B805" s="6" t="s">
        <v>5</v>
      </c>
      <c r="C805" s="6" t="s">
        <v>64</v>
      </c>
      <c r="D805" s="6">
        <v>5243.69970703125</v>
      </c>
    </row>
    <row r="806" spans="1:4" x14ac:dyDescent="0.25">
      <c r="A806" s="2" t="s">
        <v>11</v>
      </c>
      <c r="B806" s="3" t="s">
        <v>5</v>
      </c>
      <c r="C806" s="3" t="s">
        <v>65</v>
      </c>
      <c r="D806" s="3">
        <v>5243.69970703125</v>
      </c>
    </row>
    <row r="807" spans="1:4" x14ac:dyDescent="0.25">
      <c r="A807" s="5" t="s">
        <v>11</v>
      </c>
      <c r="B807" s="6" t="s">
        <v>5</v>
      </c>
      <c r="C807" s="6" t="s">
        <v>66</v>
      </c>
      <c r="D807" s="6">
        <v>5246.216796875</v>
      </c>
    </row>
    <row r="808" spans="1:4" x14ac:dyDescent="0.25">
      <c r="A808" s="2" t="s">
        <v>29</v>
      </c>
      <c r="B808" s="3" t="s">
        <v>5</v>
      </c>
      <c r="C808" s="3" t="s">
        <v>36</v>
      </c>
      <c r="D808" s="3">
        <v>176.22972106933599</v>
      </c>
    </row>
    <row r="809" spans="1:4" x14ac:dyDescent="0.25">
      <c r="A809" s="5" t="s">
        <v>29</v>
      </c>
      <c r="B809" s="6" t="s">
        <v>5</v>
      </c>
      <c r="C809" s="6" t="s">
        <v>37</v>
      </c>
      <c r="D809" s="6">
        <v>176.22972106933599</v>
      </c>
    </row>
    <row r="810" spans="1:4" x14ac:dyDescent="0.25">
      <c r="A810" s="2" t="s">
        <v>29</v>
      </c>
      <c r="B810" s="3" t="s">
        <v>5</v>
      </c>
      <c r="C810" s="3" t="s">
        <v>38</v>
      </c>
      <c r="D810" s="3">
        <v>176.22972106933599</v>
      </c>
    </row>
    <row r="811" spans="1:4" x14ac:dyDescent="0.25">
      <c r="A811" s="5" t="s">
        <v>29</v>
      </c>
      <c r="B811" s="6" t="s">
        <v>5</v>
      </c>
      <c r="C811" s="6" t="s">
        <v>39</v>
      </c>
      <c r="D811" s="6">
        <v>176.22972106933599</v>
      </c>
    </row>
    <row r="812" spans="1:4" x14ac:dyDescent="0.25">
      <c r="A812" s="2" t="s">
        <v>29</v>
      </c>
      <c r="B812" s="3" t="s">
        <v>5</v>
      </c>
      <c r="C812" s="3" t="s">
        <v>40</v>
      </c>
      <c r="D812" s="3">
        <v>176.22972106933599</v>
      </c>
    </row>
    <row r="813" spans="1:4" x14ac:dyDescent="0.25">
      <c r="A813" s="5" t="s">
        <v>29</v>
      </c>
      <c r="B813" s="6" t="s">
        <v>5</v>
      </c>
      <c r="C813" s="6" t="s">
        <v>41</v>
      </c>
      <c r="D813" s="6">
        <v>176.22972106933599</v>
      </c>
    </row>
    <row r="814" spans="1:4" x14ac:dyDescent="0.25">
      <c r="A814" s="2" t="s">
        <v>29</v>
      </c>
      <c r="B814" s="3" t="s">
        <v>5</v>
      </c>
      <c r="C814" s="3" t="s">
        <v>42</v>
      </c>
      <c r="D814" s="3">
        <v>176.31431579589801</v>
      </c>
    </row>
    <row r="815" spans="1:4" x14ac:dyDescent="0.25">
      <c r="A815" s="5" t="s">
        <v>29</v>
      </c>
      <c r="B815" s="6" t="s">
        <v>5</v>
      </c>
      <c r="C815" s="6" t="s">
        <v>43</v>
      </c>
      <c r="D815" s="6">
        <v>180.24629211425801</v>
      </c>
    </row>
    <row r="816" spans="1:4" x14ac:dyDescent="0.25">
      <c r="A816" s="2" t="s">
        <v>29</v>
      </c>
      <c r="B816" s="3" t="s">
        <v>5</v>
      </c>
      <c r="C816" s="3" t="s">
        <v>44</v>
      </c>
      <c r="D816" s="3">
        <v>180.24629211425801</v>
      </c>
    </row>
    <row r="817" spans="1:4" x14ac:dyDescent="0.25">
      <c r="A817" s="5" t="s">
        <v>29</v>
      </c>
      <c r="B817" s="6" t="s">
        <v>5</v>
      </c>
      <c r="C817" s="6" t="s">
        <v>45</v>
      </c>
      <c r="D817" s="6">
        <v>180.24629211425801</v>
      </c>
    </row>
    <row r="818" spans="1:4" x14ac:dyDescent="0.25">
      <c r="A818" s="2" t="s">
        <v>29</v>
      </c>
      <c r="B818" s="3" t="s">
        <v>5</v>
      </c>
      <c r="C818" s="3" t="s">
        <v>46</v>
      </c>
      <c r="D818" s="3">
        <v>180.24629211425801</v>
      </c>
    </row>
    <row r="819" spans="1:4" x14ac:dyDescent="0.25">
      <c r="A819" s="5" t="s">
        <v>29</v>
      </c>
      <c r="B819" s="6" t="s">
        <v>5</v>
      </c>
      <c r="C819" s="6" t="s">
        <v>47</v>
      </c>
      <c r="D819" s="6">
        <v>180.24629211425801</v>
      </c>
    </row>
    <row r="820" spans="1:4" x14ac:dyDescent="0.25">
      <c r="A820" s="2" t="s">
        <v>29</v>
      </c>
      <c r="B820" s="3" t="s">
        <v>5</v>
      </c>
      <c r="C820" s="3" t="s">
        <v>48</v>
      </c>
      <c r="D820" s="3">
        <v>180.24629211425801</v>
      </c>
    </row>
    <row r="821" spans="1:4" x14ac:dyDescent="0.25">
      <c r="A821" s="5" t="s">
        <v>29</v>
      </c>
      <c r="B821" s="6" t="s">
        <v>5</v>
      </c>
      <c r="C821" s="6" t="s">
        <v>49</v>
      </c>
      <c r="D821" s="6">
        <v>180.24629211425801</v>
      </c>
    </row>
    <row r="822" spans="1:4" x14ac:dyDescent="0.25">
      <c r="A822" s="2" t="s">
        <v>29</v>
      </c>
      <c r="B822" s="3" t="s">
        <v>5</v>
      </c>
      <c r="C822" s="3" t="s">
        <v>50</v>
      </c>
      <c r="D822" s="3">
        <v>180.24629211425801</v>
      </c>
    </row>
    <row r="823" spans="1:4" x14ac:dyDescent="0.25">
      <c r="A823" s="5" t="s">
        <v>29</v>
      </c>
      <c r="B823" s="6" t="s">
        <v>5</v>
      </c>
      <c r="C823" s="6" t="s">
        <v>51</v>
      </c>
      <c r="D823" s="6">
        <v>180.24629211425801</v>
      </c>
    </row>
    <row r="824" spans="1:4" x14ac:dyDescent="0.25">
      <c r="A824" s="2" t="s">
        <v>29</v>
      </c>
      <c r="B824" s="3" t="s">
        <v>5</v>
      </c>
      <c r="C824" s="3" t="s">
        <v>52</v>
      </c>
      <c r="D824" s="3">
        <v>180.24629211425801</v>
      </c>
    </row>
    <row r="825" spans="1:4" x14ac:dyDescent="0.25">
      <c r="A825" s="5" t="s">
        <v>29</v>
      </c>
      <c r="B825" s="6" t="s">
        <v>5</v>
      </c>
      <c r="C825" s="6" t="s">
        <v>53</v>
      </c>
      <c r="D825" s="6">
        <v>180.24629211425801</v>
      </c>
    </row>
    <row r="826" spans="1:4" x14ac:dyDescent="0.25">
      <c r="A826" s="2" t="s">
        <v>29</v>
      </c>
      <c r="B826" s="3" t="s">
        <v>5</v>
      </c>
      <c r="C826" s="3" t="s">
        <v>54</v>
      </c>
      <c r="D826" s="3">
        <v>180.33282470703099</v>
      </c>
    </row>
    <row r="827" spans="1:4" x14ac:dyDescent="0.25">
      <c r="A827" s="2" t="s">
        <v>29</v>
      </c>
      <c r="B827" s="3" t="s">
        <v>5</v>
      </c>
      <c r="C827" s="3" t="s">
        <v>55</v>
      </c>
      <c r="D827" s="3">
        <v>165.44609069824219</v>
      </c>
    </row>
    <row r="828" spans="1:4" x14ac:dyDescent="0.25">
      <c r="A828" s="5" t="s">
        <v>29</v>
      </c>
      <c r="B828" s="6" t="s">
        <v>5</v>
      </c>
      <c r="C828" s="6" t="s">
        <v>56</v>
      </c>
      <c r="D828" s="6">
        <v>165.44609069824219</v>
      </c>
    </row>
    <row r="829" spans="1:4" x14ac:dyDescent="0.25">
      <c r="A829" s="2" t="s">
        <v>29</v>
      </c>
      <c r="B829" s="3" t="s">
        <v>5</v>
      </c>
      <c r="C829" s="3" t="s">
        <v>57</v>
      </c>
      <c r="D829" s="3">
        <v>165.44609069824219</v>
      </c>
    </row>
    <row r="830" spans="1:4" x14ac:dyDescent="0.25">
      <c r="A830" s="5" t="s">
        <v>29</v>
      </c>
      <c r="B830" s="6" t="s">
        <v>5</v>
      </c>
      <c r="C830" s="6" t="s">
        <v>58</v>
      </c>
      <c r="D830" s="6">
        <v>165.44609069824219</v>
      </c>
    </row>
    <row r="831" spans="1:4" x14ac:dyDescent="0.25">
      <c r="A831" s="2" t="s">
        <v>29</v>
      </c>
      <c r="B831" s="3" t="s">
        <v>5</v>
      </c>
      <c r="C831" s="3" t="s">
        <v>59</v>
      </c>
      <c r="D831" s="3">
        <v>165.44609069824219</v>
      </c>
    </row>
    <row r="832" spans="1:4" x14ac:dyDescent="0.25">
      <c r="A832" s="5" t="s">
        <v>29</v>
      </c>
      <c r="B832" s="6" t="s">
        <v>5</v>
      </c>
      <c r="C832" s="6" t="s">
        <v>60</v>
      </c>
      <c r="D832" s="6">
        <v>165.44609069824219</v>
      </c>
    </row>
    <row r="833" spans="1:4" x14ac:dyDescent="0.25">
      <c r="A833" s="2" t="s">
        <v>29</v>
      </c>
      <c r="B833" s="3" t="s">
        <v>5</v>
      </c>
      <c r="C833" s="3" t="s">
        <v>61</v>
      </c>
      <c r="D833" s="3">
        <v>165.44609069824219</v>
      </c>
    </row>
    <row r="834" spans="1:4" x14ac:dyDescent="0.25">
      <c r="A834" s="5" t="s">
        <v>29</v>
      </c>
      <c r="B834" s="6" t="s">
        <v>5</v>
      </c>
      <c r="C834" s="6" t="s">
        <v>62</v>
      </c>
      <c r="D834" s="6">
        <v>165.44609069824219</v>
      </c>
    </row>
    <row r="835" spans="1:4" x14ac:dyDescent="0.25">
      <c r="A835" s="2" t="s">
        <v>29</v>
      </c>
      <c r="B835" s="3" t="s">
        <v>5</v>
      </c>
      <c r="C835" s="3" t="s">
        <v>63</v>
      </c>
      <c r="D835" s="3">
        <v>165.44609069824219</v>
      </c>
    </row>
    <row r="836" spans="1:4" x14ac:dyDescent="0.25">
      <c r="A836" s="5" t="s">
        <v>29</v>
      </c>
      <c r="B836" s="6" t="s">
        <v>5</v>
      </c>
      <c r="C836" s="6" t="s">
        <v>64</v>
      </c>
      <c r="D836" s="6">
        <v>165.44609069824219</v>
      </c>
    </row>
    <row r="837" spans="1:4" x14ac:dyDescent="0.25">
      <c r="A837" s="2" t="s">
        <v>29</v>
      </c>
      <c r="B837" s="3" t="s">
        <v>5</v>
      </c>
      <c r="C837" s="3" t="s">
        <v>65</v>
      </c>
      <c r="D837" s="3">
        <v>165.44609069824219</v>
      </c>
    </row>
    <row r="838" spans="1:4" x14ac:dyDescent="0.25">
      <c r="A838" s="5" t="s">
        <v>29</v>
      </c>
      <c r="B838" s="6" t="s">
        <v>5</v>
      </c>
      <c r="C838" s="6" t="s">
        <v>66</v>
      </c>
      <c r="D838" s="6">
        <v>165.5255126953125</v>
      </c>
    </row>
    <row r="839" spans="1:4" x14ac:dyDescent="0.25">
      <c r="A839" s="5" t="s">
        <v>18</v>
      </c>
      <c r="B839" s="6" t="s">
        <v>5</v>
      </c>
      <c r="C839" s="6" t="s">
        <v>36</v>
      </c>
      <c r="D839" s="6">
        <v>4289.91259765625</v>
      </c>
    </row>
    <row r="840" spans="1:4" x14ac:dyDescent="0.25">
      <c r="A840" s="2" t="s">
        <v>18</v>
      </c>
      <c r="B840" s="3" t="s">
        <v>5</v>
      </c>
      <c r="C840" s="3" t="s">
        <v>37</v>
      </c>
      <c r="D840" s="3">
        <v>4289.91259765625</v>
      </c>
    </row>
    <row r="841" spans="1:4" x14ac:dyDescent="0.25">
      <c r="A841" s="5" t="s">
        <v>18</v>
      </c>
      <c r="B841" s="6" t="s">
        <v>5</v>
      </c>
      <c r="C841" s="6" t="s">
        <v>38</v>
      </c>
      <c r="D841" s="6">
        <v>4289.91259765625</v>
      </c>
    </row>
    <row r="842" spans="1:4" x14ac:dyDescent="0.25">
      <c r="A842" s="2" t="s">
        <v>18</v>
      </c>
      <c r="B842" s="3" t="s">
        <v>5</v>
      </c>
      <c r="C842" s="3" t="s">
        <v>39</v>
      </c>
      <c r="D842" s="3">
        <v>4289.91259765625</v>
      </c>
    </row>
    <row r="843" spans="1:4" x14ac:dyDescent="0.25">
      <c r="A843" s="5" t="s">
        <v>18</v>
      </c>
      <c r="B843" s="6" t="s">
        <v>5</v>
      </c>
      <c r="C843" s="6" t="s">
        <v>40</v>
      </c>
      <c r="D843" s="6">
        <v>4289.91259765625</v>
      </c>
    </row>
    <row r="844" spans="1:4" x14ac:dyDescent="0.25">
      <c r="A844" s="2" t="s">
        <v>18</v>
      </c>
      <c r="B844" s="3" t="s">
        <v>5</v>
      </c>
      <c r="C844" s="3" t="s">
        <v>41</v>
      </c>
      <c r="D844" s="3">
        <v>4289.91259765625</v>
      </c>
    </row>
    <row r="845" spans="1:4" x14ac:dyDescent="0.25">
      <c r="A845" s="5" t="s">
        <v>18</v>
      </c>
      <c r="B845" s="6" t="s">
        <v>5</v>
      </c>
      <c r="C845" s="6" t="s">
        <v>42</v>
      </c>
      <c r="D845" s="6">
        <v>4291.9716796875</v>
      </c>
    </row>
    <row r="846" spans="1:4" x14ac:dyDescent="0.25">
      <c r="A846" s="2" t="s">
        <v>18</v>
      </c>
      <c r="B846" s="3" t="s">
        <v>5</v>
      </c>
      <c r="C846" s="3" t="s">
        <v>43</v>
      </c>
      <c r="D846" s="3">
        <v>4387.6865234375</v>
      </c>
    </row>
    <row r="847" spans="1:4" x14ac:dyDescent="0.25">
      <c r="A847" s="5" t="s">
        <v>18</v>
      </c>
      <c r="B847" s="6" t="s">
        <v>5</v>
      </c>
      <c r="C847" s="6" t="s">
        <v>44</v>
      </c>
      <c r="D847" s="6">
        <v>4387.6865234375</v>
      </c>
    </row>
    <row r="848" spans="1:4" x14ac:dyDescent="0.25">
      <c r="A848" s="2" t="s">
        <v>18</v>
      </c>
      <c r="B848" s="3" t="s">
        <v>5</v>
      </c>
      <c r="C848" s="3" t="s">
        <v>45</v>
      </c>
      <c r="D848" s="3">
        <v>4387.6865234375</v>
      </c>
    </row>
    <row r="849" spans="1:4" x14ac:dyDescent="0.25">
      <c r="A849" s="5" t="s">
        <v>18</v>
      </c>
      <c r="B849" s="6" t="s">
        <v>5</v>
      </c>
      <c r="C849" s="6" t="s">
        <v>46</v>
      </c>
      <c r="D849" s="6">
        <v>4387.6865234375</v>
      </c>
    </row>
    <row r="850" spans="1:4" x14ac:dyDescent="0.25">
      <c r="A850" s="2" t="s">
        <v>18</v>
      </c>
      <c r="B850" s="3" t="s">
        <v>5</v>
      </c>
      <c r="C850" s="3" t="s">
        <v>47</v>
      </c>
      <c r="D850" s="3">
        <v>4387.6865234375</v>
      </c>
    </row>
    <row r="851" spans="1:4" x14ac:dyDescent="0.25">
      <c r="A851" s="5" t="s">
        <v>18</v>
      </c>
      <c r="B851" s="6" t="s">
        <v>5</v>
      </c>
      <c r="C851" s="6" t="s">
        <v>48</v>
      </c>
      <c r="D851" s="6">
        <v>4387.6865234375</v>
      </c>
    </row>
    <row r="852" spans="1:4" x14ac:dyDescent="0.25">
      <c r="A852" s="2" t="s">
        <v>18</v>
      </c>
      <c r="B852" s="3" t="s">
        <v>5</v>
      </c>
      <c r="C852" s="3" t="s">
        <v>49</v>
      </c>
      <c r="D852" s="3">
        <v>4387.6865234375</v>
      </c>
    </row>
    <row r="853" spans="1:4" x14ac:dyDescent="0.25">
      <c r="A853" s="5" t="s">
        <v>18</v>
      </c>
      <c r="B853" s="6" t="s">
        <v>5</v>
      </c>
      <c r="C853" s="6" t="s">
        <v>50</v>
      </c>
      <c r="D853" s="6">
        <v>4387.6865234375</v>
      </c>
    </row>
    <row r="854" spans="1:4" x14ac:dyDescent="0.25">
      <c r="A854" s="2" t="s">
        <v>18</v>
      </c>
      <c r="B854" s="3" t="s">
        <v>5</v>
      </c>
      <c r="C854" s="3" t="s">
        <v>51</v>
      </c>
      <c r="D854" s="3">
        <v>4387.6865234375</v>
      </c>
    </row>
    <row r="855" spans="1:4" x14ac:dyDescent="0.25">
      <c r="A855" s="5" t="s">
        <v>18</v>
      </c>
      <c r="B855" s="6" t="s">
        <v>5</v>
      </c>
      <c r="C855" s="6" t="s">
        <v>52</v>
      </c>
      <c r="D855" s="6">
        <v>4387.6865234375</v>
      </c>
    </row>
    <row r="856" spans="1:4" x14ac:dyDescent="0.25">
      <c r="A856" s="2" t="s">
        <v>18</v>
      </c>
      <c r="B856" s="3" t="s">
        <v>5</v>
      </c>
      <c r="C856" s="3" t="s">
        <v>53</v>
      </c>
      <c r="D856" s="3">
        <v>4387.6865234375</v>
      </c>
    </row>
    <row r="857" spans="1:4" x14ac:dyDescent="0.25">
      <c r="A857" s="5" t="s">
        <v>18</v>
      </c>
      <c r="B857" s="6" t="s">
        <v>5</v>
      </c>
      <c r="C857" s="6" t="s">
        <v>54</v>
      </c>
      <c r="D857" s="6">
        <v>4389.79248046875</v>
      </c>
    </row>
    <row r="858" spans="1:4" x14ac:dyDescent="0.25">
      <c r="A858" s="5" t="s">
        <v>18</v>
      </c>
      <c r="B858" s="6" t="s">
        <v>5</v>
      </c>
      <c r="C858" s="6" t="s">
        <v>55</v>
      </c>
      <c r="D858" s="6">
        <v>4284.6953125</v>
      </c>
    </row>
    <row r="859" spans="1:4" x14ac:dyDescent="0.25">
      <c r="A859" s="2" t="s">
        <v>18</v>
      </c>
      <c r="B859" s="3" t="s">
        <v>5</v>
      </c>
      <c r="C859" s="3" t="s">
        <v>56</v>
      </c>
      <c r="D859" s="3">
        <v>4284.6953125</v>
      </c>
    </row>
    <row r="860" spans="1:4" x14ac:dyDescent="0.25">
      <c r="A860" s="5" t="s">
        <v>18</v>
      </c>
      <c r="B860" s="6" t="s">
        <v>5</v>
      </c>
      <c r="C860" s="6" t="s">
        <v>57</v>
      </c>
      <c r="D860" s="6">
        <v>4284.6953125</v>
      </c>
    </row>
    <row r="861" spans="1:4" x14ac:dyDescent="0.25">
      <c r="A861" s="2" t="s">
        <v>18</v>
      </c>
      <c r="B861" s="3" t="s">
        <v>5</v>
      </c>
      <c r="C861" s="3" t="s">
        <v>58</v>
      </c>
      <c r="D861" s="3">
        <v>4284.6953125</v>
      </c>
    </row>
    <row r="862" spans="1:4" x14ac:dyDescent="0.25">
      <c r="A862" s="5" t="s">
        <v>18</v>
      </c>
      <c r="B862" s="6" t="s">
        <v>5</v>
      </c>
      <c r="C862" s="6" t="s">
        <v>59</v>
      </c>
      <c r="D862" s="6">
        <v>4284.6953125</v>
      </c>
    </row>
    <row r="863" spans="1:4" x14ac:dyDescent="0.25">
      <c r="A863" s="2" t="s">
        <v>18</v>
      </c>
      <c r="B863" s="3" t="s">
        <v>5</v>
      </c>
      <c r="C863" s="3" t="s">
        <v>60</v>
      </c>
      <c r="D863" s="3">
        <v>4284.6953125</v>
      </c>
    </row>
    <row r="864" spans="1:4" x14ac:dyDescent="0.25">
      <c r="A864" s="5" t="s">
        <v>18</v>
      </c>
      <c r="B864" s="6" t="s">
        <v>5</v>
      </c>
      <c r="C864" s="6" t="s">
        <v>61</v>
      </c>
      <c r="D864" s="6">
        <v>4284.6953125</v>
      </c>
    </row>
    <row r="865" spans="1:4" x14ac:dyDescent="0.25">
      <c r="A865" s="2" t="s">
        <v>18</v>
      </c>
      <c r="B865" s="3" t="s">
        <v>5</v>
      </c>
      <c r="C865" s="3" t="s">
        <v>62</v>
      </c>
      <c r="D865" s="3">
        <v>4284.6953125</v>
      </c>
    </row>
    <row r="866" spans="1:4" x14ac:dyDescent="0.25">
      <c r="A866" s="5" t="s">
        <v>18</v>
      </c>
      <c r="B866" s="6" t="s">
        <v>5</v>
      </c>
      <c r="C866" s="6" t="s">
        <v>63</v>
      </c>
      <c r="D866" s="6">
        <v>4284.6953125</v>
      </c>
    </row>
    <row r="867" spans="1:4" x14ac:dyDescent="0.25">
      <c r="A867" s="2" t="s">
        <v>18</v>
      </c>
      <c r="B867" s="3" t="s">
        <v>5</v>
      </c>
      <c r="C867" s="3" t="s">
        <v>64</v>
      </c>
      <c r="D867" s="3">
        <v>4284.6953125</v>
      </c>
    </row>
    <row r="868" spans="1:4" x14ac:dyDescent="0.25">
      <c r="A868" s="5" t="s">
        <v>18</v>
      </c>
      <c r="B868" s="6" t="s">
        <v>5</v>
      </c>
      <c r="C868" s="6" t="s">
        <v>65</v>
      </c>
      <c r="D868" s="6">
        <v>4284.6953125</v>
      </c>
    </row>
    <row r="869" spans="1:4" x14ac:dyDescent="0.25">
      <c r="A869" s="2" t="s">
        <v>18</v>
      </c>
      <c r="B869" s="3" t="s">
        <v>5</v>
      </c>
      <c r="C869" s="3" t="s">
        <v>66</v>
      </c>
      <c r="D869" s="3">
        <v>4286.75146484375</v>
      </c>
    </row>
    <row r="870" spans="1:4" x14ac:dyDescent="0.25">
      <c r="A870" s="5" t="s">
        <v>6</v>
      </c>
      <c r="B870" s="6" t="s">
        <v>5</v>
      </c>
      <c r="C870" s="6" t="s">
        <v>36</v>
      </c>
      <c r="D870" s="6">
        <v>3540.35766601562</v>
      </c>
    </row>
    <row r="871" spans="1:4" x14ac:dyDescent="0.25">
      <c r="A871" s="2" t="s">
        <v>6</v>
      </c>
      <c r="B871" s="3" t="s">
        <v>5</v>
      </c>
      <c r="C871" s="3" t="s">
        <v>37</v>
      </c>
      <c r="D871" s="3">
        <v>3540.35766601562</v>
      </c>
    </row>
    <row r="872" spans="1:4" x14ac:dyDescent="0.25">
      <c r="A872" s="5" t="s">
        <v>6</v>
      </c>
      <c r="B872" s="6" t="s">
        <v>5</v>
      </c>
      <c r="C872" s="6" t="s">
        <v>38</v>
      </c>
      <c r="D872" s="6">
        <v>3540.35766601562</v>
      </c>
    </row>
    <row r="873" spans="1:4" x14ac:dyDescent="0.25">
      <c r="A873" s="2" t="s">
        <v>6</v>
      </c>
      <c r="B873" s="3" t="s">
        <v>5</v>
      </c>
      <c r="C873" s="3" t="s">
        <v>39</v>
      </c>
      <c r="D873" s="3">
        <v>3540.35766601562</v>
      </c>
    </row>
    <row r="874" spans="1:4" x14ac:dyDescent="0.25">
      <c r="A874" s="5" t="s">
        <v>6</v>
      </c>
      <c r="B874" s="6" t="s">
        <v>5</v>
      </c>
      <c r="C874" s="6" t="s">
        <v>40</v>
      </c>
      <c r="D874" s="6">
        <v>3540.35766601562</v>
      </c>
    </row>
    <row r="875" spans="1:4" x14ac:dyDescent="0.25">
      <c r="A875" s="2" t="s">
        <v>6</v>
      </c>
      <c r="B875" s="3" t="s">
        <v>5</v>
      </c>
      <c r="C875" s="3" t="s">
        <v>41</v>
      </c>
      <c r="D875" s="3">
        <v>3540.35766601562</v>
      </c>
    </row>
    <row r="876" spans="1:4" x14ac:dyDescent="0.25">
      <c r="A876" s="5" t="s">
        <v>6</v>
      </c>
      <c r="B876" s="6" t="s">
        <v>5</v>
      </c>
      <c r="C876" s="6" t="s">
        <v>42</v>
      </c>
      <c r="D876" s="6">
        <v>3542.05712890625</v>
      </c>
    </row>
    <row r="877" spans="1:4" x14ac:dyDescent="0.25">
      <c r="A877" s="2" t="s">
        <v>6</v>
      </c>
      <c r="B877" s="3" t="s">
        <v>5</v>
      </c>
      <c r="C877" s="3" t="s">
        <v>43</v>
      </c>
      <c r="D877" s="3">
        <v>3620.91235351562</v>
      </c>
    </row>
    <row r="878" spans="1:4" x14ac:dyDescent="0.25">
      <c r="A878" s="5" t="s">
        <v>6</v>
      </c>
      <c r="B878" s="6" t="s">
        <v>5</v>
      </c>
      <c r="C878" s="6" t="s">
        <v>44</v>
      </c>
      <c r="D878" s="6">
        <v>3620.91235351562</v>
      </c>
    </row>
    <row r="879" spans="1:4" x14ac:dyDescent="0.25">
      <c r="A879" s="2" t="s">
        <v>6</v>
      </c>
      <c r="B879" s="3" t="s">
        <v>5</v>
      </c>
      <c r="C879" s="3" t="s">
        <v>45</v>
      </c>
      <c r="D879" s="3">
        <v>3620.91235351562</v>
      </c>
    </row>
    <row r="880" spans="1:4" x14ac:dyDescent="0.25">
      <c r="A880" s="5" t="s">
        <v>6</v>
      </c>
      <c r="B880" s="6" t="s">
        <v>5</v>
      </c>
      <c r="C880" s="6" t="s">
        <v>46</v>
      </c>
      <c r="D880" s="6">
        <v>3620.91235351562</v>
      </c>
    </row>
    <row r="881" spans="1:4" x14ac:dyDescent="0.25">
      <c r="A881" s="2" t="s">
        <v>6</v>
      </c>
      <c r="B881" s="3" t="s">
        <v>5</v>
      </c>
      <c r="C881" s="3" t="s">
        <v>47</v>
      </c>
      <c r="D881" s="3">
        <v>3620.91235351562</v>
      </c>
    </row>
    <row r="882" spans="1:4" x14ac:dyDescent="0.25">
      <c r="A882" s="5" t="s">
        <v>6</v>
      </c>
      <c r="B882" s="6" t="s">
        <v>5</v>
      </c>
      <c r="C882" s="6" t="s">
        <v>48</v>
      </c>
      <c r="D882" s="6">
        <v>3620.91235351562</v>
      </c>
    </row>
    <row r="883" spans="1:4" x14ac:dyDescent="0.25">
      <c r="A883" s="2" t="s">
        <v>6</v>
      </c>
      <c r="B883" s="3" t="s">
        <v>5</v>
      </c>
      <c r="C883" s="3" t="s">
        <v>49</v>
      </c>
      <c r="D883" s="3">
        <v>3620.91235351562</v>
      </c>
    </row>
    <row r="884" spans="1:4" x14ac:dyDescent="0.25">
      <c r="A884" s="5" t="s">
        <v>6</v>
      </c>
      <c r="B884" s="6" t="s">
        <v>5</v>
      </c>
      <c r="C884" s="6" t="s">
        <v>50</v>
      </c>
      <c r="D884" s="6">
        <v>3620.91235351562</v>
      </c>
    </row>
    <row r="885" spans="1:4" x14ac:dyDescent="0.25">
      <c r="A885" s="2" t="s">
        <v>6</v>
      </c>
      <c r="B885" s="3" t="s">
        <v>5</v>
      </c>
      <c r="C885" s="3" t="s">
        <v>51</v>
      </c>
      <c r="D885" s="3">
        <v>3620.91235351562</v>
      </c>
    </row>
    <row r="886" spans="1:4" x14ac:dyDescent="0.25">
      <c r="A886" s="5" t="s">
        <v>6</v>
      </c>
      <c r="B886" s="6" t="s">
        <v>5</v>
      </c>
      <c r="C886" s="6" t="s">
        <v>52</v>
      </c>
      <c r="D886" s="6">
        <v>3620.91235351562</v>
      </c>
    </row>
    <row r="887" spans="1:4" x14ac:dyDescent="0.25">
      <c r="A887" s="2" t="s">
        <v>6</v>
      </c>
      <c r="B887" s="3" t="s">
        <v>5</v>
      </c>
      <c r="C887" s="3" t="s">
        <v>53</v>
      </c>
      <c r="D887" s="3">
        <v>3620.91235351562</v>
      </c>
    </row>
    <row r="888" spans="1:4" x14ac:dyDescent="0.25">
      <c r="A888" s="5" t="s">
        <v>6</v>
      </c>
      <c r="B888" s="6" t="s">
        <v>5</v>
      </c>
      <c r="C888" s="6" t="s">
        <v>54</v>
      </c>
      <c r="D888" s="6">
        <v>3622.650390625</v>
      </c>
    </row>
    <row r="889" spans="1:4" x14ac:dyDescent="0.25">
      <c r="A889" s="5" t="s">
        <v>6</v>
      </c>
      <c r="B889" s="6" t="s">
        <v>5</v>
      </c>
      <c r="C889" s="6" t="s">
        <v>55</v>
      </c>
      <c r="D889" s="6">
        <v>3490.235595703125</v>
      </c>
    </row>
    <row r="890" spans="1:4" x14ac:dyDescent="0.25">
      <c r="A890" s="2" t="s">
        <v>6</v>
      </c>
      <c r="B890" s="3" t="s">
        <v>5</v>
      </c>
      <c r="C890" s="3" t="s">
        <v>56</v>
      </c>
      <c r="D890" s="3">
        <v>3490.235595703125</v>
      </c>
    </row>
    <row r="891" spans="1:4" x14ac:dyDescent="0.25">
      <c r="A891" s="5" t="s">
        <v>6</v>
      </c>
      <c r="B891" s="6" t="s">
        <v>5</v>
      </c>
      <c r="C891" s="6" t="s">
        <v>57</v>
      </c>
      <c r="D891" s="6">
        <v>3490.235595703125</v>
      </c>
    </row>
    <row r="892" spans="1:4" x14ac:dyDescent="0.25">
      <c r="A892" s="2" t="s">
        <v>6</v>
      </c>
      <c r="B892" s="3" t="s">
        <v>5</v>
      </c>
      <c r="C892" s="3" t="s">
        <v>58</v>
      </c>
      <c r="D892" s="3">
        <v>3490.235595703125</v>
      </c>
    </row>
    <row r="893" spans="1:4" x14ac:dyDescent="0.25">
      <c r="A893" s="5" t="s">
        <v>6</v>
      </c>
      <c r="B893" s="6" t="s">
        <v>5</v>
      </c>
      <c r="C893" s="6" t="s">
        <v>59</v>
      </c>
      <c r="D893" s="6">
        <v>3490.235595703125</v>
      </c>
    </row>
    <row r="894" spans="1:4" x14ac:dyDescent="0.25">
      <c r="A894" s="2" t="s">
        <v>6</v>
      </c>
      <c r="B894" s="3" t="s">
        <v>5</v>
      </c>
      <c r="C894" s="3" t="s">
        <v>60</v>
      </c>
      <c r="D894" s="3">
        <v>3490.235595703125</v>
      </c>
    </row>
    <row r="895" spans="1:4" x14ac:dyDescent="0.25">
      <c r="A895" s="5" t="s">
        <v>6</v>
      </c>
      <c r="B895" s="6" t="s">
        <v>5</v>
      </c>
      <c r="C895" s="6" t="s">
        <v>61</v>
      </c>
      <c r="D895" s="6">
        <v>3490.235595703125</v>
      </c>
    </row>
    <row r="896" spans="1:4" x14ac:dyDescent="0.25">
      <c r="A896" s="2" t="s">
        <v>6</v>
      </c>
      <c r="B896" s="3" t="s">
        <v>5</v>
      </c>
      <c r="C896" s="3" t="s">
        <v>62</v>
      </c>
      <c r="D896" s="3">
        <v>3490.235595703125</v>
      </c>
    </row>
    <row r="897" spans="1:4" x14ac:dyDescent="0.25">
      <c r="A897" s="5" t="s">
        <v>6</v>
      </c>
      <c r="B897" s="6" t="s">
        <v>5</v>
      </c>
      <c r="C897" s="6" t="s">
        <v>63</v>
      </c>
      <c r="D897" s="6">
        <v>3490.235595703125</v>
      </c>
    </row>
    <row r="898" spans="1:4" x14ac:dyDescent="0.25">
      <c r="A898" s="2" t="s">
        <v>6</v>
      </c>
      <c r="B898" s="3" t="s">
        <v>5</v>
      </c>
      <c r="C898" s="3" t="s">
        <v>64</v>
      </c>
      <c r="D898" s="3">
        <v>3490.235595703125</v>
      </c>
    </row>
    <row r="899" spans="1:4" x14ac:dyDescent="0.25">
      <c r="A899" s="5" t="s">
        <v>6</v>
      </c>
      <c r="B899" s="6" t="s">
        <v>5</v>
      </c>
      <c r="C899" s="6" t="s">
        <v>65</v>
      </c>
      <c r="D899" s="6">
        <v>3490.235595703125</v>
      </c>
    </row>
    <row r="900" spans="1:4" x14ac:dyDescent="0.25">
      <c r="A900" s="2" t="s">
        <v>6</v>
      </c>
      <c r="B900" s="3" t="s">
        <v>5</v>
      </c>
      <c r="C900" s="3" t="s">
        <v>66</v>
      </c>
      <c r="D900" s="3">
        <v>3491.9111328125</v>
      </c>
    </row>
    <row r="901" spans="1:4" x14ac:dyDescent="0.25">
      <c r="A901" s="2" t="s">
        <v>23</v>
      </c>
      <c r="B901" s="3" t="s">
        <v>5</v>
      </c>
      <c r="C901" s="3" t="s">
        <v>36</v>
      </c>
      <c r="D901" s="3">
        <v>12505.8017578125</v>
      </c>
    </row>
    <row r="902" spans="1:4" x14ac:dyDescent="0.25">
      <c r="A902" s="5" t="s">
        <v>23</v>
      </c>
      <c r="B902" s="6" t="s">
        <v>5</v>
      </c>
      <c r="C902" s="6" t="s">
        <v>37</v>
      </c>
      <c r="D902" s="6">
        <v>12505.8017578125</v>
      </c>
    </row>
    <row r="903" spans="1:4" x14ac:dyDescent="0.25">
      <c r="A903" s="2" t="s">
        <v>23</v>
      </c>
      <c r="B903" s="3" t="s">
        <v>5</v>
      </c>
      <c r="C903" s="3" t="s">
        <v>38</v>
      </c>
      <c r="D903" s="3">
        <v>12505.8017578125</v>
      </c>
    </row>
    <row r="904" spans="1:4" x14ac:dyDescent="0.25">
      <c r="A904" s="5" t="s">
        <v>23</v>
      </c>
      <c r="B904" s="6" t="s">
        <v>5</v>
      </c>
      <c r="C904" s="6" t="s">
        <v>39</v>
      </c>
      <c r="D904" s="6">
        <v>12505.8017578125</v>
      </c>
    </row>
    <row r="905" spans="1:4" x14ac:dyDescent="0.25">
      <c r="A905" s="2" t="s">
        <v>23</v>
      </c>
      <c r="B905" s="3" t="s">
        <v>5</v>
      </c>
      <c r="C905" s="3" t="s">
        <v>40</v>
      </c>
      <c r="D905" s="3">
        <v>12505.8017578125</v>
      </c>
    </row>
    <row r="906" spans="1:4" x14ac:dyDescent="0.25">
      <c r="A906" s="5" t="s">
        <v>23</v>
      </c>
      <c r="B906" s="6" t="s">
        <v>5</v>
      </c>
      <c r="C906" s="6" t="s">
        <v>41</v>
      </c>
      <c r="D906" s="6">
        <v>12505.8017578125</v>
      </c>
    </row>
    <row r="907" spans="1:4" x14ac:dyDescent="0.25">
      <c r="A907" s="2" t="s">
        <v>23</v>
      </c>
      <c r="B907" s="3" t="s">
        <v>5</v>
      </c>
      <c r="C907" s="3" t="s">
        <v>42</v>
      </c>
      <c r="D907" s="3">
        <v>12511.8046875</v>
      </c>
    </row>
    <row r="908" spans="1:4" x14ac:dyDescent="0.25">
      <c r="A908" s="5" t="s">
        <v>23</v>
      </c>
      <c r="B908" s="6" t="s">
        <v>5</v>
      </c>
      <c r="C908" s="6" t="s">
        <v>43</v>
      </c>
      <c r="D908" s="6">
        <v>12790.830078125</v>
      </c>
    </row>
    <row r="909" spans="1:4" x14ac:dyDescent="0.25">
      <c r="A909" s="2" t="s">
        <v>23</v>
      </c>
      <c r="B909" s="3" t="s">
        <v>5</v>
      </c>
      <c r="C909" s="3" t="s">
        <v>44</v>
      </c>
      <c r="D909" s="3">
        <v>12790.830078125</v>
      </c>
    </row>
    <row r="910" spans="1:4" x14ac:dyDescent="0.25">
      <c r="A910" s="5" t="s">
        <v>23</v>
      </c>
      <c r="B910" s="6" t="s">
        <v>5</v>
      </c>
      <c r="C910" s="6" t="s">
        <v>45</v>
      </c>
      <c r="D910" s="6">
        <v>12790.830078125</v>
      </c>
    </row>
    <row r="911" spans="1:4" x14ac:dyDescent="0.25">
      <c r="A911" s="2" t="s">
        <v>23</v>
      </c>
      <c r="B911" s="3" t="s">
        <v>5</v>
      </c>
      <c r="C911" s="3" t="s">
        <v>46</v>
      </c>
      <c r="D911" s="3">
        <v>12790.830078125</v>
      </c>
    </row>
    <row r="912" spans="1:4" x14ac:dyDescent="0.25">
      <c r="A912" s="5" t="s">
        <v>23</v>
      </c>
      <c r="B912" s="6" t="s">
        <v>5</v>
      </c>
      <c r="C912" s="6" t="s">
        <v>47</v>
      </c>
      <c r="D912" s="6">
        <v>12790.830078125</v>
      </c>
    </row>
    <row r="913" spans="1:4" x14ac:dyDescent="0.25">
      <c r="A913" s="2" t="s">
        <v>23</v>
      </c>
      <c r="B913" s="3" t="s">
        <v>5</v>
      </c>
      <c r="C913" s="3" t="s">
        <v>48</v>
      </c>
      <c r="D913" s="3">
        <v>12790.830078125</v>
      </c>
    </row>
    <row r="914" spans="1:4" x14ac:dyDescent="0.25">
      <c r="A914" s="5" t="s">
        <v>23</v>
      </c>
      <c r="B914" s="6" t="s">
        <v>5</v>
      </c>
      <c r="C914" s="6" t="s">
        <v>49</v>
      </c>
      <c r="D914" s="6">
        <v>12790.830078125</v>
      </c>
    </row>
    <row r="915" spans="1:4" x14ac:dyDescent="0.25">
      <c r="A915" s="2" t="s">
        <v>23</v>
      </c>
      <c r="B915" s="3" t="s">
        <v>5</v>
      </c>
      <c r="C915" s="3" t="s">
        <v>50</v>
      </c>
      <c r="D915" s="3">
        <v>12790.830078125</v>
      </c>
    </row>
    <row r="916" spans="1:4" x14ac:dyDescent="0.25">
      <c r="A916" s="5" t="s">
        <v>23</v>
      </c>
      <c r="B916" s="6" t="s">
        <v>5</v>
      </c>
      <c r="C916" s="6" t="s">
        <v>51</v>
      </c>
      <c r="D916" s="6">
        <v>12790.830078125</v>
      </c>
    </row>
    <row r="917" spans="1:4" x14ac:dyDescent="0.25">
      <c r="A917" s="2" t="s">
        <v>23</v>
      </c>
      <c r="B917" s="3" t="s">
        <v>5</v>
      </c>
      <c r="C917" s="3" t="s">
        <v>52</v>
      </c>
      <c r="D917" s="3">
        <v>12790.830078125</v>
      </c>
    </row>
    <row r="918" spans="1:4" x14ac:dyDescent="0.25">
      <c r="A918" s="5" t="s">
        <v>23</v>
      </c>
      <c r="B918" s="6" t="s">
        <v>5</v>
      </c>
      <c r="C918" s="6" t="s">
        <v>53</v>
      </c>
      <c r="D918" s="6">
        <v>12790.830078125</v>
      </c>
    </row>
    <row r="919" spans="1:4" x14ac:dyDescent="0.25">
      <c r="A919" s="2" t="s">
        <v>23</v>
      </c>
      <c r="B919" s="3" t="s">
        <v>5</v>
      </c>
      <c r="C919" s="3" t="s">
        <v>54</v>
      </c>
      <c r="D919" s="3">
        <v>12796.9697265625</v>
      </c>
    </row>
    <row r="920" spans="1:4" x14ac:dyDescent="0.25">
      <c r="A920" s="2" t="s">
        <v>23</v>
      </c>
      <c r="B920" s="3" t="s">
        <v>5</v>
      </c>
      <c r="C920" s="3" t="s">
        <v>55</v>
      </c>
      <c r="D920" s="3">
        <v>13347.0263671875</v>
      </c>
    </row>
    <row r="921" spans="1:4" x14ac:dyDescent="0.25">
      <c r="A921" s="5" t="s">
        <v>23</v>
      </c>
      <c r="B921" s="6" t="s">
        <v>5</v>
      </c>
      <c r="C921" s="6" t="s">
        <v>56</v>
      </c>
      <c r="D921" s="6">
        <v>13347.0263671875</v>
      </c>
    </row>
    <row r="922" spans="1:4" x14ac:dyDescent="0.25">
      <c r="A922" s="2" t="s">
        <v>23</v>
      </c>
      <c r="B922" s="3" t="s">
        <v>5</v>
      </c>
      <c r="C922" s="3" t="s">
        <v>57</v>
      </c>
      <c r="D922" s="3">
        <v>13347.0263671875</v>
      </c>
    </row>
    <row r="923" spans="1:4" x14ac:dyDescent="0.25">
      <c r="A923" s="5" t="s">
        <v>23</v>
      </c>
      <c r="B923" s="6" t="s">
        <v>5</v>
      </c>
      <c r="C923" s="6" t="s">
        <v>58</v>
      </c>
      <c r="D923" s="6">
        <v>13347.0263671875</v>
      </c>
    </row>
    <row r="924" spans="1:4" x14ac:dyDescent="0.25">
      <c r="A924" s="2" t="s">
        <v>23</v>
      </c>
      <c r="B924" s="3" t="s">
        <v>5</v>
      </c>
      <c r="C924" s="3" t="s">
        <v>59</v>
      </c>
      <c r="D924" s="3">
        <v>13347.0263671875</v>
      </c>
    </row>
    <row r="925" spans="1:4" x14ac:dyDescent="0.25">
      <c r="A925" s="5" t="s">
        <v>23</v>
      </c>
      <c r="B925" s="6" t="s">
        <v>5</v>
      </c>
      <c r="C925" s="6" t="s">
        <v>60</v>
      </c>
      <c r="D925" s="6">
        <v>13347.0263671875</v>
      </c>
    </row>
    <row r="926" spans="1:4" x14ac:dyDescent="0.25">
      <c r="A926" s="2" t="s">
        <v>23</v>
      </c>
      <c r="B926" s="3" t="s">
        <v>5</v>
      </c>
      <c r="C926" s="3" t="s">
        <v>61</v>
      </c>
      <c r="D926" s="3">
        <v>13347.0263671875</v>
      </c>
    </row>
    <row r="927" spans="1:4" x14ac:dyDescent="0.25">
      <c r="A927" s="5" t="s">
        <v>23</v>
      </c>
      <c r="B927" s="6" t="s">
        <v>5</v>
      </c>
      <c r="C927" s="6" t="s">
        <v>62</v>
      </c>
      <c r="D927" s="6">
        <v>13347.0263671875</v>
      </c>
    </row>
    <row r="928" spans="1:4" x14ac:dyDescent="0.25">
      <c r="A928" s="2" t="s">
        <v>23</v>
      </c>
      <c r="B928" s="3" t="s">
        <v>5</v>
      </c>
      <c r="C928" s="3" t="s">
        <v>63</v>
      </c>
      <c r="D928" s="3">
        <v>13347.0263671875</v>
      </c>
    </row>
    <row r="929" spans="1:4" x14ac:dyDescent="0.25">
      <c r="A929" s="5" t="s">
        <v>23</v>
      </c>
      <c r="B929" s="6" t="s">
        <v>5</v>
      </c>
      <c r="C929" s="6" t="s">
        <v>64</v>
      </c>
      <c r="D929" s="6">
        <v>13347.0263671875</v>
      </c>
    </row>
    <row r="930" spans="1:4" x14ac:dyDescent="0.25">
      <c r="A930" s="2" t="s">
        <v>23</v>
      </c>
      <c r="B930" s="3" t="s">
        <v>5</v>
      </c>
      <c r="C930" s="3" t="s">
        <v>65</v>
      </c>
      <c r="D930" s="3">
        <v>13347.0263671875</v>
      </c>
    </row>
    <row r="931" spans="1:4" x14ac:dyDescent="0.25">
      <c r="A931" s="5" t="s">
        <v>23</v>
      </c>
      <c r="B931" s="6" t="s">
        <v>5</v>
      </c>
      <c r="C931" s="6" t="s">
        <v>66</v>
      </c>
      <c r="D931" s="6">
        <v>13353.4345703125</v>
      </c>
    </row>
    <row r="932" spans="1:4" x14ac:dyDescent="0.25">
      <c r="A932" s="5" t="s">
        <v>32</v>
      </c>
      <c r="B932" s="6" t="s">
        <v>5</v>
      </c>
      <c r="C932" s="6" t="s">
        <v>36</v>
      </c>
      <c r="D932" s="6">
        <v>3981.92138671875</v>
      </c>
    </row>
    <row r="933" spans="1:4" x14ac:dyDescent="0.25">
      <c r="A933" s="2" t="s">
        <v>32</v>
      </c>
      <c r="B933" s="3" t="s">
        <v>5</v>
      </c>
      <c r="C933" s="3" t="s">
        <v>37</v>
      </c>
      <c r="D933" s="3">
        <v>3981.92138671875</v>
      </c>
    </row>
    <row r="934" spans="1:4" x14ac:dyDescent="0.25">
      <c r="A934" s="5" t="s">
        <v>32</v>
      </c>
      <c r="B934" s="6" t="s">
        <v>5</v>
      </c>
      <c r="C934" s="6" t="s">
        <v>38</v>
      </c>
      <c r="D934" s="6">
        <v>3981.92138671875</v>
      </c>
    </row>
    <row r="935" spans="1:4" x14ac:dyDescent="0.25">
      <c r="A935" s="2" t="s">
        <v>32</v>
      </c>
      <c r="B935" s="3" t="s">
        <v>5</v>
      </c>
      <c r="C935" s="3" t="s">
        <v>39</v>
      </c>
      <c r="D935" s="3">
        <v>3981.92138671875</v>
      </c>
    </row>
    <row r="936" spans="1:4" x14ac:dyDescent="0.25">
      <c r="A936" s="5" t="s">
        <v>32</v>
      </c>
      <c r="B936" s="6" t="s">
        <v>5</v>
      </c>
      <c r="C936" s="6" t="s">
        <v>40</v>
      </c>
      <c r="D936" s="6">
        <v>3981.92138671875</v>
      </c>
    </row>
    <row r="937" spans="1:4" x14ac:dyDescent="0.25">
      <c r="A937" s="2" t="s">
        <v>32</v>
      </c>
      <c r="B937" s="3" t="s">
        <v>5</v>
      </c>
      <c r="C937" s="3" t="s">
        <v>41</v>
      </c>
      <c r="D937" s="3">
        <v>3981.92138671875</v>
      </c>
    </row>
    <row r="938" spans="1:4" x14ac:dyDescent="0.25">
      <c r="A938" s="5" t="s">
        <v>32</v>
      </c>
      <c r="B938" s="6" t="s">
        <v>5</v>
      </c>
      <c r="C938" s="6" t="s">
        <v>42</v>
      </c>
      <c r="D938" s="6">
        <v>3983.83276367188</v>
      </c>
    </row>
    <row r="939" spans="1:4" x14ac:dyDescent="0.25">
      <c r="A939" s="2" t="s">
        <v>32</v>
      </c>
      <c r="B939" s="3" t="s">
        <v>5</v>
      </c>
      <c r="C939" s="3" t="s">
        <v>43</v>
      </c>
      <c r="D939" s="3">
        <v>4072.67602539062</v>
      </c>
    </row>
    <row r="940" spans="1:4" x14ac:dyDescent="0.25">
      <c r="A940" s="5" t="s">
        <v>32</v>
      </c>
      <c r="B940" s="6" t="s">
        <v>5</v>
      </c>
      <c r="C940" s="6" t="s">
        <v>44</v>
      </c>
      <c r="D940" s="6">
        <v>4072.67602539062</v>
      </c>
    </row>
    <row r="941" spans="1:4" x14ac:dyDescent="0.25">
      <c r="A941" s="2" t="s">
        <v>32</v>
      </c>
      <c r="B941" s="3" t="s">
        <v>5</v>
      </c>
      <c r="C941" s="3" t="s">
        <v>45</v>
      </c>
      <c r="D941" s="3">
        <v>4072.67602539062</v>
      </c>
    </row>
    <row r="942" spans="1:4" x14ac:dyDescent="0.25">
      <c r="A942" s="5" t="s">
        <v>32</v>
      </c>
      <c r="B942" s="6" t="s">
        <v>5</v>
      </c>
      <c r="C942" s="6" t="s">
        <v>46</v>
      </c>
      <c r="D942" s="6">
        <v>4072.67602539062</v>
      </c>
    </row>
    <row r="943" spans="1:4" x14ac:dyDescent="0.25">
      <c r="A943" s="2" t="s">
        <v>32</v>
      </c>
      <c r="B943" s="3" t="s">
        <v>5</v>
      </c>
      <c r="C943" s="3" t="s">
        <v>47</v>
      </c>
      <c r="D943" s="3">
        <v>4072.67602539062</v>
      </c>
    </row>
    <row r="944" spans="1:4" x14ac:dyDescent="0.25">
      <c r="A944" s="5" t="s">
        <v>32</v>
      </c>
      <c r="B944" s="6" t="s">
        <v>5</v>
      </c>
      <c r="C944" s="6" t="s">
        <v>48</v>
      </c>
      <c r="D944" s="6">
        <v>4072.67602539062</v>
      </c>
    </row>
    <row r="945" spans="1:4" x14ac:dyDescent="0.25">
      <c r="A945" s="2" t="s">
        <v>32</v>
      </c>
      <c r="B945" s="3" t="s">
        <v>5</v>
      </c>
      <c r="C945" s="3" t="s">
        <v>49</v>
      </c>
      <c r="D945" s="3">
        <v>4072.67602539062</v>
      </c>
    </row>
    <row r="946" spans="1:4" x14ac:dyDescent="0.25">
      <c r="A946" s="5" t="s">
        <v>32</v>
      </c>
      <c r="B946" s="6" t="s">
        <v>5</v>
      </c>
      <c r="C946" s="6" t="s">
        <v>50</v>
      </c>
      <c r="D946" s="6">
        <v>4072.67602539062</v>
      </c>
    </row>
    <row r="947" spans="1:4" x14ac:dyDescent="0.25">
      <c r="A947" s="2" t="s">
        <v>32</v>
      </c>
      <c r="B947" s="3" t="s">
        <v>5</v>
      </c>
      <c r="C947" s="3" t="s">
        <v>51</v>
      </c>
      <c r="D947" s="3">
        <v>4072.67602539062</v>
      </c>
    </row>
    <row r="948" spans="1:4" x14ac:dyDescent="0.25">
      <c r="A948" s="5" t="s">
        <v>32</v>
      </c>
      <c r="B948" s="6" t="s">
        <v>5</v>
      </c>
      <c r="C948" s="6" t="s">
        <v>52</v>
      </c>
      <c r="D948" s="6">
        <v>4072.67602539062</v>
      </c>
    </row>
    <row r="949" spans="1:4" x14ac:dyDescent="0.25">
      <c r="A949" s="2" t="s">
        <v>32</v>
      </c>
      <c r="B949" s="3" t="s">
        <v>5</v>
      </c>
      <c r="C949" s="3" t="s">
        <v>53</v>
      </c>
      <c r="D949" s="3">
        <v>4072.67602539062</v>
      </c>
    </row>
    <row r="950" spans="1:4" x14ac:dyDescent="0.25">
      <c r="A950" s="5" t="s">
        <v>32</v>
      </c>
      <c r="B950" s="6" t="s">
        <v>5</v>
      </c>
      <c r="C950" s="6" t="s">
        <v>54</v>
      </c>
      <c r="D950" s="6">
        <v>4074.630859375</v>
      </c>
    </row>
    <row r="951" spans="1:4" x14ac:dyDescent="0.25">
      <c r="A951" s="5" t="s">
        <v>32</v>
      </c>
      <c r="B951" s="6" t="s">
        <v>5</v>
      </c>
      <c r="C951" s="6" t="s">
        <v>55</v>
      </c>
      <c r="D951" s="6">
        <v>4312.515625</v>
      </c>
    </row>
    <row r="952" spans="1:4" x14ac:dyDescent="0.25">
      <c r="A952" s="2" t="s">
        <v>32</v>
      </c>
      <c r="B952" s="3" t="s">
        <v>5</v>
      </c>
      <c r="C952" s="3" t="s">
        <v>56</v>
      </c>
      <c r="D952" s="3">
        <v>4312.515625</v>
      </c>
    </row>
    <row r="953" spans="1:4" x14ac:dyDescent="0.25">
      <c r="A953" s="5" t="s">
        <v>32</v>
      </c>
      <c r="B953" s="6" t="s">
        <v>5</v>
      </c>
      <c r="C953" s="6" t="s">
        <v>57</v>
      </c>
      <c r="D953" s="6">
        <v>4312.515625</v>
      </c>
    </row>
    <row r="954" spans="1:4" x14ac:dyDescent="0.25">
      <c r="A954" s="2" t="s">
        <v>32</v>
      </c>
      <c r="B954" s="3" t="s">
        <v>5</v>
      </c>
      <c r="C954" s="3" t="s">
        <v>58</v>
      </c>
      <c r="D954" s="3">
        <v>4312.515625</v>
      </c>
    </row>
    <row r="955" spans="1:4" x14ac:dyDescent="0.25">
      <c r="A955" s="5" t="s">
        <v>32</v>
      </c>
      <c r="B955" s="6" t="s">
        <v>5</v>
      </c>
      <c r="C955" s="6" t="s">
        <v>59</v>
      </c>
      <c r="D955" s="6">
        <v>4312.515625</v>
      </c>
    </row>
    <row r="956" spans="1:4" x14ac:dyDescent="0.25">
      <c r="A956" s="2" t="s">
        <v>32</v>
      </c>
      <c r="B956" s="3" t="s">
        <v>5</v>
      </c>
      <c r="C956" s="3" t="s">
        <v>60</v>
      </c>
      <c r="D956" s="3">
        <v>4312.515625</v>
      </c>
    </row>
    <row r="957" spans="1:4" x14ac:dyDescent="0.25">
      <c r="A957" s="5" t="s">
        <v>32</v>
      </c>
      <c r="B957" s="6" t="s">
        <v>5</v>
      </c>
      <c r="C957" s="6" t="s">
        <v>61</v>
      </c>
      <c r="D957" s="6">
        <v>4312.515625</v>
      </c>
    </row>
    <row r="958" spans="1:4" x14ac:dyDescent="0.25">
      <c r="A958" s="2" t="s">
        <v>32</v>
      </c>
      <c r="B958" s="3" t="s">
        <v>5</v>
      </c>
      <c r="C958" s="3" t="s">
        <v>62</v>
      </c>
      <c r="D958" s="3">
        <v>4312.515625</v>
      </c>
    </row>
    <row r="959" spans="1:4" x14ac:dyDescent="0.25">
      <c r="A959" s="5" t="s">
        <v>32</v>
      </c>
      <c r="B959" s="6" t="s">
        <v>5</v>
      </c>
      <c r="C959" s="6" t="s">
        <v>63</v>
      </c>
      <c r="D959" s="6">
        <v>4312.515625</v>
      </c>
    </row>
    <row r="960" spans="1:4" x14ac:dyDescent="0.25">
      <c r="A960" s="2" t="s">
        <v>32</v>
      </c>
      <c r="B960" s="3" t="s">
        <v>5</v>
      </c>
      <c r="C960" s="3" t="s">
        <v>64</v>
      </c>
      <c r="D960" s="3">
        <v>4312.515625</v>
      </c>
    </row>
    <row r="961" spans="1:4" x14ac:dyDescent="0.25">
      <c r="A961" s="5" t="s">
        <v>32</v>
      </c>
      <c r="B961" s="6" t="s">
        <v>5</v>
      </c>
      <c r="C961" s="6" t="s">
        <v>65</v>
      </c>
      <c r="D961" s="6">
        <v>4312.515625</v>
      </c>
    </row>
    <row r="962" spans="1:4" x14ac:dyDescent="0.25">
      <c r="A962" s="2" t="s">
        <v>32</v>
      </c>
      <c r="B962" s="3" t="s">
        <v>5</v>
      </c>
      <c r="C962" s="3" t="s">
        <v>66</v>
      </c>
      <c r="D962" s="3">
        <v>4314.5859375</v>
      </c>
    </row>
  </sheetData>
  <sortState xmlns:xlrd2="http://schemas.microsoft.com/office/spreadsheetml/2017/richdata2" ref="A2:D962">
    <sortCondition ref="A1:A962"/>
  </sortState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75F4-8990-40A4-A016-8F99665197E0}">
  <dimension ref="A1:D962"/>
  <sheetViews>
    <sheetView topLeftCell="A917" workbookViewId="0">
      <selection activeCell="D917" sqref="D1:D1048576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13</v>
      </c>
      <c r="B2" s="3" t="s">
        <v>5</v>
      </c>
      <c r="C2" s="3" t="s">
        <v>36</v>
      </c>
      <c r="D2" s="4">
        <v>30589.95703125</v>
      </c>
    </row>
    <row r="3" spans="1:4" x14ac:dyDescent="0.25">
      <c r="A3" s="5" t="s">
        <v>13</v>
      </c>
      <c r="B3" s="6" t="s">
        <v>5</v>
      </c>
      <c r="C3" s="6" t="s">
        <v>37</v>
      </c>
      <c r="D3" s="7">
        <v>18018.740234375</v>
      </c>
    </row>
    <row r="4" spans="1:4" x14ac:dyDescent="0.25">
      <c r="A4" s="2" t="s">
        <v>13</v>
      </c>
      <c r="B4" s="3" t="s">
        <v>5</v>
      </c>
      <c r="C4" s="3" t="s">
        <v>38</v>
      </c>
      <c r="D4" s="4">
        <v>25293.748046875</v>
      </c>
    </row>
    <row r="5" spans="1:4" x14ac:dyDescent="0.25">
      <c r="A5" s="5" t="s">
        <v>13</v>
      </c>
      <c r="B5" s="6" t="s">
        <v>5</v>
      </c>
      <c r="C5" s="6" t="s">
        <v>39</v>
      </c>
      <c r="D5" s="7">
        <v>70729.59375</v>
      </c>
    </row>
    <row r="6" spans="1:4" x14ac:dyDescent="0.25">
      <c r="A6" s="2" t="s">
        <v>13</v>
      </c>
      <c r="B6" s="3" t="s">
        <v>5</v>
      </c>
      <c r="C6" s="3" t="s">
        <v>40</v>
      </c>
      <c r="D6" s="4">
        <v>97553.921875</v>
      </c>
    </row>
    <row r="7" spans="1:4" x14ac:dyDescent="0.25">
      <c r="A7" s="5" t="s">
        <v>13</v>
      </c>
      <c r="B7" s="6" t="s">
        <v>5</v>
      </c>
      <c r="C7" s="6" t="s">
        <v>41</v>
      </c>
      <c r="D7" s="7">
        <v>64383.12890625</v>
      </c>
    </row>
    <row r="8" spans="1:4" x14ac:dyDescent="0.25">
      <c r="A8" s="2" t="s">
        <v>13</v>
      </c>
      <c r="B8" s="3" t="s">
        <v>5</v>
      </c>
      <c r="C8" s="3" t="s">
        <v>42</v>
      </c>
      <c r="D8" s="4">
        <v>30321.078125</v>
      </c>
    </row>
    <row r="9" spans="1:4" x14ac:dyDescent="0.25">
      <c r="A9" s="5" t="s">
        <v>13</v>
      </c>
      <c r="B9" s="6" t="s">
        <v>5</v>
      </c>
      <c r="C9" s="6" t="s">
        <v>43</v>
      </c>
      <c r="D9" s="7">
        <v>15525.296875</v>
      </c>
    </row>
    <row r="10" spans="1:4" x14ac:dyDescent="0.25">
      <c r="A10" s="2" t="s">
        <v>13</v>
      </c>
      <c r="B10" s="3" t="s">
        <v>5</v>
      </c>
      <c r="C10" s="3" t="s">
        <v>44</v>
      </c>
      <c r="D10" s="4">
        <v>21933.056640625</v>
      </c>
    </row>
    <row r="11" spans="1:4" x14ac:dyDescent="0.25">
      <c r="A11" s="5" t="s">
        <v>13</v>
      </c>
      <c r="B11" s="6" t="s">
        <v>5</v>
      </c>
      <c r="C11" s="6" t="s">
        <v>45</v>
      </c>
      <c r="D11" s="7">
        <v>62644.8828125</v>
      </c>
    </row>
    <row r="12" spans="1:4" x14ac:dyDescent="0.25">
      <c r="A12" s="2" t="s">
        <v>13</v>
      </c>
      <c r="B12" s="3" t="s">
        <v>5</v>
      </c>
      <c r="C12" s="3" t="s">
        <v>46</v>
      </c>
      <c r="D12" s="4">
        <v>86346.90625</v>
      </c>
    </row>
    <row r="13" spans="1:4" x14ac:dyDescent="0.25">
      <c r="A13" s="5" t="s">
        <v>13</v>
      </c>
      <c r="B13" s="6" t="s">
        <v>5</v>
      </c>
      <c r="C13" s="6" t="s">
        <v>47</v>
      </c>
      <c r="D13" s="7">
        <v>56837.3203125</v>
      </c>
    </row>
    <row r="14" spans="1:4" x14ac:dyDescent="0.25">
      <c r="A14" s="2" t="s">
        <v>13</v>
      </c>
      <c r="B14" s="3" t="s">
        <v>5</v>
      </c>
      <c r="C14" s="3" t="s">
        <v>48</v>
      </c>
      <c r="D14" s="4">
        <v>27395.720703125</v>
      </c>
    </row>
    <row r="15" spans="1:4" x14ac:dyDescent="0.25">
      <c r="A15" s="5" t="s">
        <v>13</v>
      </c>
      <c r="B15" s="6" t="s">
        <v>5</v>
      </c>
      <c r="C15" s="6" t="s">
        <v>49</v>
      </c>
      <c r="D15" s="7">
        <v>16140.6015625</v>
      </c>
    </row>
    <row r="16" spans="1:4" x14ac:dyDescent="0.25">
      <c r="A16" s="2" t="s">
        <v>13</v>
      </c>
      <c r="B16" s="3" t="s">
        <v>5</v>
      </c>
      <c r="C16" s="3" t="s">
        <v>50</v>
      </c>
      <c r="D16" s="4">
        <v>22656.46875</v>
      </c>
    </row>
    <row r="17" spans="1:4" x14ac:dyDescent="0.25">
      <c r="A17" s="5" t="s">
        <v>13</v>
      </c>
      <c r="B17" s="6" t="s">
        <v>5</v>
      </c>
      <c r="C17" s="6" t="s">
        <v>51</v>
      </c>
      <c r="D17" s="7">
        <v>63345.4609375</v>
      </c>
    </row>
    <row r="18" spans="1:4" x14ac:dyDescent="0.25">
      <c r="A18" s="2" t="s">
        <v>13</v>
      </c>
      <c r="B18" s="3" t="s">
        <v>5</v>
      </c>
      <c r="C18" s="3" t="s">
        <v>52</v>
      </c>
      <c r="D18" s="4">
        <v>87369.75</v>
      </c>
    </row>
    <row r="19" spans="1:4" x14ac:dyDescent="0.25">
      <c r="A19" s="5" t="s">
        <v>13</v>
      </c>
      <c r="B19" s="6" t="s">
        <v>5</v>
      </c>
      <c r="C19" s="6" t="s">
        <v>53</v>
      </c>
      <c r="D19" s="7">
        <v>57662.7734375</v>
      </c>
    </row>
    <row r="20" spans="1:4" x14ac:dyDescent="0.25">
      <c r="A20" s="2" t="s">
        <v>13</v>
      </c>
      <c r="B20" s="3" t="s">
        <v>5</v>
      </c>
      <c r="C20" s="3" t="s">
        <v>54</v>
      </c>
      <c r="D20" s="4">
        <v>27151.638671875</v>
      </c>
    </row>
    <row r="21" spans="1:4" x14ac:dyDescent="0.25">
      <c r="A21" s="5" t="s">
        <v>13</v>
      </c>
      <c r="B21" s="6" t="s">
        <v>5</v>
      </c>
      <c r="C21" s="6" t="s">
        <v>55</v>
      </c>
      <c r="D21" s="7">
        <v>17683.5390625</v>
      </c>
    </row>
    <row r="22" spans="1:4" x14ac:dyDescent="0.25">
      <c r="A22" s="5" t="s">
        <v>13</v>
      </c>
      <c r="B22" s="6" t="s">
        <v>5</v>
      </c>
      <c r="C22" s="6" t="s">
        <v>56</v>
      </c>
      <c r="D22" s="7">
        <v>24980.564453125</v>
      </c>
    </row>
    <row r="23" spans="1:4" x14ac:dyDescent="0.25">
      <c r="A23" s="5" t="s">
        <v>13</v>
      </c>
      <c r="B23" s="6" t="s">
        <v>5</v>
      </c>
      <c r="C23" s="6" t="s">
        <v>57</v>
      </c>
      <c r="D23" s="7">
        <v>71335.4375</v>
      </c>
    </row>
    <row r="24" spans="1:4" x14ac:dyDescent="0.25">
      <c r="A24" s="5" t="s">
        <v>13</v>
      </c>
      <c r="B24" s="6" t="s">
        <v>5</v>
      </c>
      <c r="C24" s="6" t="s">
        <v>58</v>
      </c>
      <c r="D24" s="7">
        <v>98326.234375</v>
      </c>
    </row>
    <row r="25" spans="1:4" x14ac:dyDescent="0.25">
      <c r="A25" s="5" t="s">
        <v>13</v>
      </c>
      <c r="B25" s="6" t="s">
        <v>5</v>
      </c>
      <c r="C25" s="6" t="s">
        <v>59</v>
      </c>
      <c r="D25" s="7">
        <v>64724.2578125</v>
      </c>
    </row>
    <row r="26" spans="1:4" x14ac:dyDescent="0.25">
      <c r="A26" s="5" t="s">
        <v>13</v>
      </c>
      <c r="B26" s="6" t="s">
        <v>5</v>
      </c>
      <c r="C26" s="6" t="s">
        <v>60</v>
      </c>
      <c r="D26" s="7">
        <v>31190.7109375</v>
      </c>
    </row>
    <row r="27" spans="1:4" x14ac:dyDescent="0.25">
      <c r="A27" s="5" t="s">
        <v>13</v>
      </c>
      <c r="B27" s="6" t="s">
        <v>5</v>
      </c>
      <c r="C27" s="6" t="s">
        <v>61</v>
      </c>
      <c r="D27" s="7">
        <v>18371.37109375</v>
      </c>
    </row>
    <row r="28" spans="1:4" x14ac:dyDescent="0.25">
      <c r="A28" s="5" t="s">
        <v>13</v>
      </c>
      <c r="B28" s="6" t="s">
        <v>5</v>
      </c>
      <c r="C28" s="6" t="s">
        <v>62</v>
      </c>
      <c r="D28" s="7">
        <v>25789.056640625</v>
      </c>
    </row>
    <row r="29" spans="1:4" x14ac:dyDescent="0.25">
      <c r="A29" s="5" t="s">
        <v>13</v>
      </c>
      <c r="B29" s="6" t="s">
        <v>5</v>
      </c>
      <c r="C29" s="6" t="s">
        <v>63</v>
      </c>
      <c r="D29" s="7">
        <v>72118.09375</v>
      </c>
    </row>
    <row r="30" spans="1:4" x14ac:dyDescent="0.25">
      <c r="A30" s="5" t="s">
        <v>13</v>
      </c>
      <c r="B30" s="6" t="s">
        <v>5</v>
      </c>
      <c r="C30" s="6" t="s">
        <v>64</v>
      </c>
      <c r="D30" s="7">
        <v>99468.859375</v>
      </c>
    </row>
    <row r="31" spans="1:4" x14ac:dyDescent="0.25">
      <c r="A31" s="5" t="s">
        <v>13</v>
      </c>
      <c r="B31" s="6" t="s">
        <v>5</v>
      </c>
      <c r="C31" s="6" t="s">
        <v>65</v>
      </c>
      <c r="D31" s="7">
        <v>65646.6015625</v>
      </c>
    </row>
    <row r="32" spans="1:4" x14ac:dyDescent="0.25">
      <c r="A32" s="5" t="s">
        <v>13</v>
      </c>
      <c r="B32" s="6" t="s">
        <v>5</v>
      </c>
      <c r="C32" s="6" t="s">
        <v>66</v>
      </c>
      <c r="D32" s="7">
        <v>30917.75390625</v>
      </c>
    </row>
    <row r="33" spans="1:4" x14ac:dyDescent="0.25">
      <c r="A33" s="2" t="s">
        <v>8</v>
      </c>
      <c r="B33" s="3" t="s">
        <v>5</v>
      </c>
      <c r="C33" s="3" t="s">
        <v>36</v>
      </c>
      <c r="D33" s="4">
        <v>2424.57104492188</v>
      </c>
    </row>
    <row r="34" spans="1:4" x14ac:dyDescent="0.25">
      <c r="A34" s="5" t="s">
        <v>8</v>
      </c>
      <c r="B34" s="6" t="s">
        <v>5</v>
      </c>
      <c r="C34" s="6" t="s">
        <v>37</v>
      </c>
      <c r="D34" s="7">
        <v>1425.59375</v>
      </c>
    </row>
    <row r="35" spans="1:4" x14ac:dyDescent="0.25">
      <c r="A35" s="2" t="s">
        <v>8</v>
      </c>
      <c r="B35" s="3" t="s">
        <v>5</v>
      </c>
      <c r="C35" s="3" t="s">
        <v>38</v>
      </c>
      <c r="D35" s="4">
        <v>2001.8154296875</v>
      </c>
    </row>
    <row r="36" spans="1:4" x14ac:dyDescent="0.25">
      <c r="A36" s="5" t="s">
        <v>8</v>
      </c>
      <c r="B36" s="6" t="s">
        <v>5</v>
      </c>
      <c r="C36" s="6" t="s">
        <v>39</v>
      </c>
      <c r="D36" s="7">
        <v>5604.89013671875</v>
      </c>
    </row>
    <row r="37" spans="1:4" x14ac:dyDescent="0.25">
      <c r="A37" s="2" t="s">
        <v>8</v>
      </c>
      <c r="B37" s="3" t="s">
        <v>5</v>
      </c>
      <c r="C37" s="3" t="s">
        <v>40</v>
      </c>
      <c r="D37" s="4">
        <v>7730.25048828125</v>
      </c>
    </row>
    <row r="38" spans="1:4" x14ac:dyDescent="0.25">
      <c r="A38" s="5" t="s">
        <v>8</v>
      </c>
      <c r="B38" s="6" t="s">
        <v>5</v>
      </c>
      <c r="C38" s="6" t="s">
        <v>41</v>
      </c>
      <c r="D38" s="7">
        <v>5101.05810546875</v>
      </c>
    </row>
    <row r="39" spans="1:4" x14ac:dyDescent="0.25">
      <c r="A39" s="2" t="s">
        <v>8</v>
      </c>
      <c r="B39" s="3" t="s">
        <v>5</v>
      </c>
      <c r="C39" s="3" t="s">
        <v>42</v>
      </c>
      <c r="D39" s="4">
        <v>2405.74975585938</v>
      </c>
    </row>
    <row r="40" spans="1:4" x14ac:dyDescent="0.25">
      <c r="A40" s="5" t="s">
        <v>8</v>
      </c>
      <c r="B40" s="6" t="s">
        <v>5</v>
      </c>
      <c r="C40" s="6" t="s">
        <v>43</v>
      </c>
      <c r="D40" s="7">
        <v>1229.26110839844</v>
      </c>
    </row>
    <row r="41" spans="1:4" x14ac:dyDescent="0.25">
      <c r="A41" s="2" t="s">
        <v>8</v>
      </c>
      <c r="B41" s="3" t="s">
        <v>5</v>
      </c>
      <c r="C41" s="3" t="s">
        <v>44</v>
      </c>
      <c r="D41" s="4">
        <v>1735.85791015625</v>
      </c>
    </row>
    <row r="42" spans="1:4" x14ac:dyDescent="0.25">
      <c r="A42" s="5" t="s">
        <v>8</v>
      </c>
      <c r="B42" s="6" t="s">
        <v>5</v>
      </c>
      <c r="C42" s="6" t="s">
        <v>45</v>
      </c>
      <c r="D42" s="7">
        <v>4951.046875</v>
      </c>
    </row>
    <row r="43" spans="1:4" x14ac:dyDescent="0.25">
      <c r="A43" s="2" t="s">
        <v>8</v>
      </c>
      <c r="B43" s="3" t="s">
        <v>5</v>
      </c>
      <c r="C43" s="3" t="s">
        <v>46</v>
      </c>
      <c r="D43" s="4">
        <v>6824.63720703125</v>
      </c>
    </row>
    <row r="44" spans="1:4" x14ac:dyDescent="0.25">
      <c r="A44" s="5" t="s">
        <v>8</v>
      </c>
      <c r="B44" s="6" t="s">
        <v>5</v>
      </c>
      <c r="C44" s="6" t="s">
        <v>47</v>
      </c>
      <c r="D44" s="7">
        <v>4493.0869140625</v>
      </c>
    </row>
    <row r="45" spans="1:4" x14ac:dyDescent="0.25">
      <c r="A45" s="2" t="s">
        <v>8</v>
      </c>
      <c r="B45" s="3" t="s">
        <v>5</v>
      </c>
      <c r="C45" s="3" t="s">
        <v>48</v>
      </c>
      <c r="D45" s="4">
        <v>2162.39770507812</v>
      </c>
    </row>
    <row r="46" spans="1:4" x14ac:dyDescent="0.25">
      <c r="A46" s="5" t="s">
        <v>8</v>
      </c>
      <c r="B46" s="6" t="s">
        <v>5</v>
      </c>
      <c r="C46" s="6" t="s">
        <v>49</v>
      </c>
      <c r="D46" s="7">
        <v>1271.44165039062</v>
      </c>
    </row>
    <row r="47" spans="1:4" x14ac:dyDescent="0.25">
      <c r="A47" s="2" t="s">
        <v>8</v>
      </c>
      <c r="B47" s="3" t="s">
        <v>5</v>
      </c>
      <c r="C47" s="3" t="s">
        <v>50</v>
      </c>
      <c r="D47" s="4">
        <v>1785.35546875</v>
      </c>
    </row>
    <row r="48" spans="1:4" x14ac:dyDescent="0.25">
      <c r="A48" s="5" t="s">
        <v>8</v>
      </c>
      <c r="B48" s="6" t="s">
        <v>5</v>
      </c>
      <c r="C48" s="6" t="s">
        <v>51</v>
      </c>
      <c r="D48" s="7">
        <v>4998.82275390625</v>
      </c>
    </row>
    <row r="49" spans="1:4" x14ac:dyDescent="0.25">
      <c r="A49" s="2" t="s">
        <v>8</v>
      </c>
      <c r="B49" s="3" t="s">
        <v>5</v>
      </c>
      <c r="C49" s="3" t="s">
        <v>52</v>
      </c>
      <c r="D49" s="4">
        <v>6894.3642578125</v>
      </c>
    </row>
    <row r="50" spans="1:4" x14ac:dyDescent="0.25">
      <c r="A50" s="5" t="s">
        <v>8</v>
      </c>
      <c r="B50" s="6" t="s">
        <v>5</v>
      </c>
      <c r="C50" s="6" t="s">
        <v>53</v>
      </c>
      <c r="D50" s="7">
        <v>4549.47119140625</v>
      </c>
    </row>
    <row r="51" spans="1:4" x14ac:dyDescent="0.25">
      <c r="A51" s="2" t="s">
        <v>8</v>
      </c>
      <c r="B51" s="3" t="s">
        <v>5</v>
      </c>
      <c r="C51" s="3" t="s">
        <v>54</v>
      </c>
      <c r="D51" s="4">
        <v>2145.61157226562</v>
      </c>
    </row>
    <row r="52" spans="1:4" x14ac:dyDescent="0.25">
      <c r="A52" s="5" t="s">
        <v>8</v>
      </c>
      <c r="B52" s="6" t="s">
        <v>5</v>
      </c>
      <c r="C52" s="6" t="s">
        <v>55</v>
      </c>
      <c r="D52" s="7">
        <v>1425.626342773438</v>
      </c>
    </row>
    <row r="53" spans="1:4" x14ac:dyDescent="0.25">
      <c r="A53" s="5" t="s">
        <v>8</v>
      </c>
      <c r="B53" s="6" t="s">
        <v>5</v>
      </c>
      <c r="C53" s="6" t="s">
        <v>56</v>
      </c>
      <c r="D53" s="7">
        <v>2013.148315429688</v>
      </c>
    </row>
    <row r="54" spans="1:4" x14ac:dyDescent="0.25">
      <c r="A54" s="5" t="s">
        <v>8</v>
      </c>
      <c r="B54" s="6" t="s">
        <v>5</v>
      </c>
      <c r="C54" s="6" t="s">
        <v>57</v>
      </c>
      <c r="D54" s="7">
        <v>5741.9404296875</v>
      </c>
    </row>
    <row r="55" spans="1:4" x14ac:dyDescent="0.25">
      <c r="A55" s="5" t="s">
        <v>8</v>
      </c>
      <c r="B55" s="6" t="s">
        <v>5</v>
      </c>
      <c r="C55" s="6" t="s">
        <v>58</v>
      </c>
      <c r="D55" s="7">
        <v>7914.8212890625</v>
      </c>
    </row>
    <row r="56" spans="1:4" x14ac:dyDescent="0.25">
      <c r="A56" s="5" t="s">
        <v>8</v>
      </c>
      <c r="B56" s="6" t="s">
        <v>5</v>
      </c>
      <c r="C56" s="6" t="s">
        <v>59</v>
      </c>
      <c r="D56" s="7">
        <v>5210.82421875</v>
      </c>
    </row>
    <row r="57" spans="1:4" x14ac:dyDescent="0.25">
      <c r="A57" s="5" t="s">
        <v>8</v>
      </c>
      <c r="B57" s="6" t="s">
        <v>5</v>
      </c>
      <c r="C57" s="6" t="s">
        <v>60</v>
      </c>
      <c r="D57" s="7">
        <v>2507.82470703125</v>
      </c>
    </row>
    <row r="58" spans="1:4" x14ac:dyDescent="0.25">
      <c r="A58" s="5" t="s">
        <v>8</v>
      </c>
      <c r="B58" s="6" t="s">
        <v>5</v>
      </c>
      <c r="C58" s="6" t="s">
        <v>61</v>
      </c>
      <c r="D58" s="7">
        <v>1474.544921875</v>
      </c>
    </row>
    <row r="59" spans="1:4" x14ac:dyDescent="0.25">
      <c r="A59" s="5" t="s">
        <v>8</v>
      </c>
      <c r="B59" s="6" t="s">
        <v>5</v>
      </c>
      <c r="C59" s="6" t="s">
        <v>62</v>
      </c>
      <c r="D59" s="7">
        <v>2070.552490234375</v>
      </c>
    </row>
    <row r="60" spans="1:4" x14ac:dyDescent="0.25">
      <c r="A60" s="5" t="s">
        <v>8</v>
      </c>
      <c r="B60" s="6" t="s">
        <v>5</v>
      </c>
      <c r="C60" s="6" t="s">
        <v>63</v>
      </c>
      <c r="D60" s="7">
        <v>5797.34765625</v>
      </c>
    </row>
    <row r="61" spans="1:4" x14ac:dyDescent="0.25">
      <c r="A61" s="5" t="s">
        <v>8</v>
      </c>
      <c r="B61" s="6" t="s">
        <v>5</v>
      </c>
      <c r="C61" s="6" t="s">
        <v>64</v>
      </c>
      <c r="D61" s="7">
        <v>7995.6875</v>
      </c>
    </row>
    <row r="62" spans="1:4" x14ac:dyDescent="0.25">
      <c r="A62" s="5" t="s">
        <v>8</v>
      </c>
      <c r="B62" s="6" t="s">
        <v>5</v>
      </c>
      <c r="C62" s="6" t="s">
        <v>65</v>
      </c>
      <c r="D62" s="7">
        <v>5276.21533203125</v>
      </c>
    </row>
    <row r="63" spans="1:4" x14ac:dyDescent="0.25">
      <c r="A63" s="5" t="s">
        <v>8</v>
      </c>
      <c r="B63" s="6" t="s">
        <v>5</v>
      </c>
      <c r="C63" s="6" t="s">
        <v>66</v>
      </c>
      <c r="D63" s="7">
        <v>2488.35693359375</v>
      </c>
    </row>
    <row r="64" spans="1:4" x14ac:dyDescent="0.25">
      <c r="A64" s="5" t="s">
        <v>28</v>
      </c>
      <c r="B64" s="6" t="s">
        <v>5</v>
      </c>
      <c r="C64" s="6" t="s">
        <v>36</v>
      </c>
      <c r="D64" s="7">
        <v>16312.92578125</v>
      </c>
    </row>
    <row r="65" spans="1:4" x14ac:dyDescent="0.25">
      <c r="A65" s="2" t="s">
        <v>28</v>
      </c>
      <c r="B65" s="3" t="s">
        <v>5</v>
      </c>
      <c r="C65" s="3" t="s">
        <v>37</v>
      </c>
      <c r="D65" s="4">
        <v>9815.51171875</v>
      </c>
    </row>
    <row r="66" spans="1:4" x14ac:dyDescent="0.25">
      <c r="A66" s="5" t="s">
        <v>28</v>
      </c>
      <c r="B66" s="6" t="s">
        <v>5</v>
      </c>
      <c r="C66" s="6" t="s">
        <v>38</v>
      </c>
      <c r="D66" s="7">
        <v>13726.9853515625</v>
      </c>
    </row>
    <row r="67" spans="1:4" x14ac:dyDescent="0.25">
      <c r="A67" s="2" t="s">
        <v>28</v>
      </c>
      <c r="B67" s="3" t="s">
        <v>5</v>
      </c>
      <c r="C67" s="3" t="s">
        <v>39</v>
      </c>
      <c r="D67" s="4">
        <v>37811.61328125</v>
      </c>
    </row>
    <row r="68" spans="1:4" x14ac:dyDescent="0.25">
      <c r="A68" s="5" t="s">
        <v>28</v>
      </c>
      <c r="B68" s="6" t="s">
        <v>5</v>
      </c>
      <c r="C68" s="6" t="s">
        <v>40</v>
      </c>
      <c r="D68" s="7">
        <v>52176.12890625</v>
      </c>
    </row>
    <row r="69" spans="1:4" x14ac:dyDescent="0.25">
      <c r="A69" s="2" t="s">
        <v>28</v>
      </c>
      <c r="B69" s="3" t="s">
        <v>5</v>
      </c>
      <c r="C69" s="3" t="s">
        <v>41</v>
      </c>
      <c r="D69" s="4">
        <v>34492.01953125</v>
      </c>
    </row>
    <row r="70" spans="1:4" x14ac:dyDescent="0.25">
      <c r="A70" s="5" t="s">
        <v>28</v>
      </c>
      <c r="B70" s="6" t="s">
        <v>5</v>
      </c>
      <c r="C70" s="6" t="s">
        <v>42</v>
      </c>
      <c r="D70" s="7">
        <v>15970.0556640625</v>
      </c>
    </row>
    <row r="71" spans="1:4" x14ac:dyDescent="0.25">
      <c r="A71" s="2" t="s">
        <v>28</v>
      </c>
      <c r="B71" s="3" t="s">
        <v>5</v>
      </c>
      <c r="C71" s="3" t="s">
        <v>43</v>
      </c>
      <c r="D71" s="4">
        <v>8381.783203125</v>
      </c>
    </row>
    <row r="72" spans="1:4" x14ac:dyDescent="0.25">
      <c r="A72" s="5" t="s">
        <v>28</v>
      </c>
      <c r="B72" s="6" t="s">
        <v>5</v>
      </c>
      <c r="C72" s="6" t="s">
        <v>44</v>
      </c>
      <c r="D72" s="7">
        <v>11901.798828125</v>
      </c>
    </row>
    <row r="73" spans="1:4" x14ac:dyDescent="0.25">
      <c r="A73" s="2" t="s">
        <v>28</v>
      </c>
      <c r="B73" s="3" t="s">
        <v>5</v>
      </c>
      <c r="C73" s="3" t="s">
        <v>45</v>
      </c>
      <c r="D73" s="4">
        <v>34545.3046875</v>
      </c>
    </row>
    <row r="74" spans="1:4" x14ac:dyDescent="0.25">
      <c r="A74" s="5" t="s">
        <v>28</v>
      </c>
      <c r="B74" s="6" t="s">
        <v>5</v>
      </c>
      <c r="C74" s="6" t="s">
        <v>46</v>
      </c>
      <c r="D74" s="7">
        <v>47588.8515625</v>
      </c>
    </row>
    <row r="75" spans="1:4" x14ac:dyDescent="0.25">
      <c r="A75" s="2" t="s">
        <v>28</v>
      </c>
      <c r="B75" s="3" t="s">
        <v>5</v>
      </c>
      <c r="C75" s="3" t="s">
        <v>47</v>
      </c>
      <c r="D75" s="4">
        <v>31260.072265625</v>
      </c>
    </row>
    <row r="76" spans="1:4" x14ac:dyDescent="0.25">
      <c r="A76" s="5" t="s">
        <v>28</v>
      </c>
      <c r="B76" s="6" t="s">
        <v>5</v>
      </c>
      <c r="C76" s="6" t="s">
        <v>48</v>
      </c>
      <c r="D76" s="7">
        <v>15330.2392578125</v>
      </c>
    </row>
    <row r="77" spans="1:4" x14ac:dyDescent="0.25">
      <c r="A77" s="2" t="s">
        <v>28</v>
      </c>
      <c r="B77" s="3" t="s">
        <v>5</v>
      </c>
      <c r="C77" s="3" t="s">
        <v>49</v>
      </c>
      <c r="D77" s="4">
        <v>9237.7138671875</v>
      </c>
    </row>
    <row r="78" spans="1:4" x14ac:dyDescent="0.25">
      <c r="A78" s="5" t="s">
        <v>28</v>
      </c>
      <c r="B78" s="6" t="s">
        <v>5</v>
      </c>
      <c r="C78" s="6" t="s">
        <v>50</v>
      </c>
      <c r="D78" s="7">
        <v>12915.6435546875</v>
      </c>
    </row>
    <row r="79" spans="1:4" x14ac:dyDescent="0.25">
      <c r="A79" s="2" t="s">
        <v>28</v>
      </c>
      <c r="B79" s="3" t="s">
        <v>5</v>
      </c>
      <c r="C79" s="3" t="s">
        <v>51</v>
      </c>
      <c r="D79" s="4">
        <v>35539.93359375</v>
      </c>
    </row>
    <row r="80" spans="1:4" x14ac:dyDescent="0.25">
      <c r="A80" s="5" t="s">
        <v>28</v>
      </c>
      <c r="B80" s="6" t="s">
        <v>5</v>
      </c>
      <c r="C80" s="6" t="s">
        <v>52</v>
      </c>
      <c r="D80" s="7">
        <v>49043.03515625</v>
      </c>
    </row>
    <row r="81" spans="1:4" x14ac:dyDescent="0.25">
      <c r="A81" s="2" t="s">
        <v>28</v>
      </c>
      <c r="B81" s="3" t="s">
        <v>5</v>
      </c>
      <c r="C81" s="3" t="s">
        <v>53</v>
      </c>
      <c r="D81" s="4">
        <v>32424.54296875</v>
      </c>
    </row>
    <row r="82" spans="1:4" x14ac:dyDescent="0.25">
      <c r="A82" s="5" t="s">
        <v>28</v>
      </c>
      <c r="B82" s="6" t="s">
        <v>5</v>
      </c>
      <c r="C82" s="6" t="s">
        <v>54</v>
      </c>
      <c r="D82" s="7">
        <v>14994.998046875</v>
      </c>
    </row>
    <row r="83" spans="1:4" x14ac:dyDescent="0.25">
      <c r="A83" s="2" t="s">
        <v>28</v>
      </c>
      <c r="B83" s="3" t="s">
        <v>5</v>
      </c>
      <c r="C83" s="3" t="s">
        <v>55</v>
      </c>
      <c r="D83" s="4">
        <v>9010.74609375</v>
      </c>
    </row>
    <row r="84" spans="1:4" x14ac:dyDescent="0.25">
      <c r="A84" s="2" t="s">
        <v>28</v>
      </c>
      <c r="B84" s="3" t="s">
        <v>5</v>
      </c>
      <c r="C84" s="3" t="s">
        <v>56</v>
      </c>
      <c r="D84" s="4">
        <v>12789.33984375</v>
      </c>
    </row>
    <row r="85" spans="1:4" x14ac:dyDescent="0.25">
      <c r="A85" s="2" t="s">
        <v>28</v>
      </c>
      <c r="B85" s="3" t="s">
        <v>5</v>
      </c>
      <c r="C85" s="3" t="s">
        <v>57</v>
      </c>
      <c r="D85" s="4">
        <v>37071.0625</v>
      </c>
    </row>
    <row r="86" spans="1:4" x14ac:dyDescent="0.25">
      <c r="A86" s="2" t="s">
        <v>28</v>
      </c>
      <c r="B86" s="3" t="s">
        <v>5</v>
      </c>
      <c r="C86" s="3" t="s">
        <v>58</v>
      </c>
      <c r="D86" s="4">
        <v>51070.6875</v>
      </c>
    </row>
    <row r="87" spans="1:4" x14ac:dyDescent="0.25">
      <c r="A87" s="2" t="s">
        <v>28</v>
      </c>
      <c r="B87" s="3" t="s">
        <v>5</v>
      </c>
      <c r="C87" s="3" t="s">
        <v>59</v>
      </c>
      <c r="D87" s="4">
        <v>33553.0546875</v>
      </c>
    </row>
    <row r="88" spans="1:4" x14ac:dyDescent="0.25">
      <c r="A88" s="2" t="s">
        <v>28</v>
      </c>
      <c r="B88" s="3" t="s">
        <v>5</v>
      </c>
      <c r="C88" s="3" t="s">
        <v>60</v>
      </c>
      <c r="D88" s="4">
        <v>16431.06640625</v>
      </c>
    </row>
    <row r="89" spans="1:4" x14ac:dyDescent="0.25">
      <c r="A89" s="2" t="s">
        <v>28</v>
      </c>
      <c r="B89" s="3" t="s">
        <v>5</v>
      </c>
      <c r="C89" s="3" t="s">
        <v>61</v>
      </c>
      <c r="D89" s="4">
        <v>9882.841796875</v>
      </c>
    </row>
    <row r="90" spans="1:4" x14ac:dyDescent="0.25">
      <c r="A90" s="2" t="s">
        <v>28</v>
      </c>
      <c r="B90" s="3" t="s">
        <v>5</v>
      </c>
      <c r="C90" s="3" t="s">
        <v>62</v>
      </c>
      <c r="D90" s="4">
        <v>13822.064453125</v>
      </c>
    </row>
    <row r="91" spans="1:4" x14ac:dyDescent="0.25">
      <c r="A91" s="2" t="s">
        <v>28</v>
      </c>
      <c r="B91" s="3" t="s">
        <v>5</v>
      </c>
      <c r="C91" s="3" t="s">
        <v>63</v>
      </c>
      <c r="D91" s="4">
        <v>38083.7578125</v>
      </c>
    </row>
    <row r="92" spans="1:4" x14ac:dyDescent="0.25">
      <c r="A92" s="2" t="s">
        <v>28</v>
      </c>
      <c r="B92" s="3" t="s">
        <v>5</v>
      </c>
      <c r="C92" s="3" t="s">
        <v>64</v>
      </c>
      <c r="D92" s="4">
        <v>52551.21875</v>
      </c>
    </row>
    <row r="93" spans="1:4" x14ac:dyDescent="0.25">
      <c r="A93" s="2" t="s">
        <v>28</v>
      </c>
      <c r="B93" s="3" t="s">
        <v>5</v>
      </c>
      <c r="C93" s="3" t="s">
        <v>65</v>
      </c>
      <c r="D93" s="4">
        <v>34738.9453125</v>
      </c>
    </row>
    <row r="94" spans="1:4" x14ac:dyDescent="0.25">
      <c r="A94" s="2" t="s">
        <v>28</v>
      </c>
      <c r="B94" s="3" t="s">
        <v>5</v>
      </c>
      <c r="C94" s="3" t="s">
        <v>66</v>
      </c>
      <c r="D94" s="4">
        <v>16089.3408203125</v>
      </c>
    </row>
    <row r="95" spans="1:4" x14ac:dyDescent="0.25">
      <c r="A95" s="2" t="s">
        <v>27</v>
      </c>
      <c r="B95" s="3" t="s">
        <v>5</v>
      </c>
      <c r="C95" s="3" t="s">
        <v>36</v>
      </c>
      <c r="D95" s="4">
        <v>19362.294921875</v>
      </c>
    </row>
    <row r="96" spans="1:4" x14ac:dyDescent="0.25">
      <c r="A96" s="5" t="s">
        <v>27</v>
      </c>
      <c r="B96" s="6" t="s">
        <v>5</v>
      </c>
      <c r="C96" s="6" t="s">
        <v>37</v>
      </c>
      <c r="D96" s="7">
        <v>11540.9755859375</v>
      </c>
    </row>
    <row r="97" spans="1:4" x14ac:dyDescent="0.25">
      <c r="A97" s="2" t="s">
        <v>27</v>
      </c>
      <c r="B97" s="3" t="s">
        <v>5</v>
      </c>
      <c r="C97" s="3" t="s">
        <v>38</v>
      </c>
      <c r="D97" s="4">
        <v>16166.7412109375</v>
      </c>
    </row>
    <row r="98" spans="1:4" x14ac:dyDescent="0.25">
      <c r="A98" s="5" t="s">
        <v>27</v>
      </c>
      <c r="B98" s="6" t="s">
        <v>5</v>
      </c>
      <c r="C98" s="6" t="s">
        <v>39</v>
      </c>
      <c r="D98" s="7">
        <v>44830.41015625</v>
      </c>
    </row>
    <row r="99" spans="1:4" x14ac:dyDescent="0.25">
      <c r="A99" s="2" t="s">
        <v>27</v>
      </c>
      <c r="B99" s="3" t="s">
        <v>5</v>
      </c>
      <c r="C99" s="3" t="s">
        <v>40</v>
      </c>
      <c r="D99" s="4">
        <v>61848.46875</v>
      </c>
    </row>
    <row r="100" spans="1:4" x14ac:dyDescent="0.25">
      <c r="A100" s="5" t="s">
        <v>27</v>
      </c>
      <c r="B100" s="6" t="s">
        <v>5</v>
      </c>
      <c r="C100" s="6" t="s">
        <v>41</v>
      </c>
      <c r="D100" s="7">
        <v>40855.96484375</v>
      </c>
    </row>
    <row r="101" spans="1:4" x14ac:dyDescent="0.25">
      <c r="A101" s="2" t="s">
        <v>27</v>
      </c>
      <c r="B101" s="3" t="s">
        <v>5</v>
      </c>
      <c r="C101" s="3" t="s">
        <v>42</v>
      </c>
      <c r="D101" s="4">
        <v>19060.947265625</v>
      </c>
    </row>
    <row r="102" spans="1:4" x14ac:dyDescent="0.25">
      <c r="A102" s="5" t="s">
        <v>27</v>
      </c>
      <c r="B102" s="6" t="s">
        <v>5</v>
      </c>
      <c r="C102" s="6" t="s">
        <v>43</v>
      </c>
      <c r="D102" s="7">
        <v>9894.3203125</v>
      </c>
    </row>
    <row r="103" spans="1:4" x14ac:dyDescent="0.25">
      <c r="A103" s="2" t="s">
        <v>27</v>
      </c>
      <c r="B103" s="3" t="s">
        <v>5</v>
      </c>
      <c r="C103" s="3" t="s">
        <v>44</v>
      </c>
      <c r="D103" s="4">
        <v>14017.8486328125</v>
      </c>
    </row>
    <row r="104" spans="1:4" x14ac:dyDescent="0.25">
      <c r="A104" s="5" t="s">
        <v>27</v>
      </c>
      <c r="B104" s="6" t="s">
        <v>5</v>
      </c>
      <c r="C104" s="6" t="s">
        <v>45</v>
      </c>
      <c r="D104" s="7">
        <v>40400.21875</v>
      </c>
    </row>
    <row r="105" spans="1:4" x14ac:dyDescent="0.25">
      <c r="A105" s="2" t="s">
        <v>27</v>
      </c>
      <c r="B105" s="3" t="s">
        <v>5</v>
      </c>
      <c r="C105" s="3" t="s">
        <v>46</v>
      </c>
      <c r="D105" s="4">
        <v>55668.19921875</v>
      </c>
    </row>
    <row r="106" spans="1:4" x14ac:dyDescent="0.25">
      <c r="A106" s="5" t="s">
        <v>27</v>
      </c>
      <c r="B106" s="6" t="s">
        <v>5</v>
      </c>
      <c r="C106" s="6" t="s">
        <v>47</v>
      </c>
      <c r="D106" s="7">
        <v>36600.515625</v>
      </c>
    </row>
    <row r="107" spans="1:4" x14ac:dyDescent="0.25">
      <c r="A107" s="2" t="s">
        <v>27</v>
      </c>
      <c r="B107" s="3" t="s">
        <v>5</v>
      </c>
      <c r="C107" s="3" t="s">
        <v>48</v>
      </c>
      <c r="D107" s="4">
        <v>17814.330078125</v>
      </c>
    </row>
    <row r="108" spans="1:4" x14ac:dyDescent="0.25">
      <c r="A108" s="5" t="s">
        <v>27</v>
      </c>
      <c r="B108" s="6" t="s">
        <v>5</v>
      </c>
      <c r="C108" s="6" t="s">
        <v>49</v>
      </c>
      <c r="D108" s="7">
        <v>10630.8056640625</v>
      </c>
    </row>
    <row r="109" spans="1:4" x14ac:dyDescent="0.25">
      <c r="A109" s="2" t="s">
        <v>27</v>
      </c>
      <c r="B109" s="3" t="s">
        <v>5</v>
      </c>
      <c r="C109" s="3" t="s">
        <v>50</v>
      </c>
      <c r="D109" s="4">
        <v>14888.68359375</v>
      </c>
    </row>
    <row r="110" spans="1:4" x14ac:dyDescent="0.25">
      <c r="A110" s="5" t="s">
        <v>27</v>
      </c>
      <c r="B110" s="6" t="s">
        <v>5</v>
      </c>
      <c r="C110" s="6" t="s">
        <v>51</v>
      </c>
      <c r="D110" s="7">
        <v>41251.97265625</v>
      </c>
    </row>
    <row r="111" spans="1:4" x14ac:dyDescent="0.25">
      <c r="A111" s="2" t="s">
        <v>27</v>
      </c>
      <c r="B111" s="3" t="s">
        <v>5</v>
      </c>
      <c r="C111" s="3" t="s">
        <v>52</v>
      </c>
      <c r="D111" s="4">
        <v>56913.09375</v>
      </c>
    </row>
    <row r="112" spans="1:4" x14ac:dyDescent="0.25">
      <c r="A112" s="5" t="s">
        <v>27</v>
      </c>
      <c r="B112" s="6" t="s">
        <v>5</v>
      </c>
      <c r="C112" s="6" t="s">
        <v>53</v>
      </c>
      <c r="D112" s="7">
        <v>37599.19921875</v>
      </c>
    </row>
    <row r="113" spans="1:4" x14ac:dyDescent="0.25">
      <c r="A113" s="2" t="s">
        <v>27</v>
      </c>
      <c r="B113" s="3" t="s">
        <v>5</v>
      </c>
      <c r="C113" s="3" t="s">
        <v>54</v>
      </c>
      <c r="D113" s="4">
        <v>17524.998046875</v>
      </c>
    </row>
    <row r="114" spans="1:4" x14ac:dyDescent="0.25">
      <c r="A114" s="5" t="s">
        <v>27</v>
      </c>
      <c r="B114" s="6" t="s">
        <v>5</v>
      </c>
      <c r="C114" s="6" t="s">
        <v>55</v>
      </c>
      <c r="D114" s="7">
        <v>10855.01953125</v>
      </c>
    </row>
    <row r="115" spans="1:4" x14ac:dyDescent="0.25">
      <c r="A115" s="5" t="s">
        <v>27</v>
      </c>
      <c r="B115" s="6" t="s">
        <v>5</v>
      </c>
      <c r="C115" s="6" t="s">
        <v>56</v>
      </c>
      <c r="D115" s="7">
        <v>15373.8359375</v>
      </c>
    </row>
    <row r="116" spans="1:4" x14ac:dyDescent="0.25">
      <c r="A116" s="5" t="s">
        <v>27</v>
      </c>
      <c r="B116" s="6" t="s">
        <v>5</v>
      </c>
      <c r="C116" s="6" t="s">
        <v>57</v>
      </c>
      <c r="D116" s="7">
        <v>44262.0390625</v>
      </c>
    </row>
    <row r="117" spans="1:4" x14ac:dyDescent="0.25">
      <c r="A117" s="5" t="s">
        <v>27</v>
      </c>
      <c r="B117" s="6" t="s">
        <v>5</v>
      </c>
      <c r="C117" s="6" t="s">
        <v>58</v>
      </c>
      <c r="D117" s="7">
        <v>60991.70703125</v>
      </c>
    </row>
    <row r="118" spans="1:4" x14ac:dyDescent="0.25">
      <c r="A118" s="5" t="s">
        <v>27</v>
      </c>
      <c r="B118" s="6" t="s">
        <v>5</v>
      </c>
      <c r="C118" s="6" t="s">
        <v>59</v>
      </c>
      <c r="D118" s="7">
        <v>40105.9921875</v>
      </c>
    </row>
    <row r="119" spans="1:4" x14ac:dyDescent="0.25">
      <c r="A119" s="5" t="s">
        <v>27</v>
      </c>
      <c r="B119" s="6" t="s">
        <v>5</v>
      </c>
      <c r="C119" s="6" t="s">
        <v>60</v>
      </c>
      <c r="D119" s="7">
        <v>19498.673828125</v>
      </c>
    </row>
    <row r="120" spans="1:4" x14ac:dyDescent="0.25">
      <c r="A120" s="5" t="s">
        <v>27</v>
      </c>
      <c r="B120" s="6" t="s">
        <v>5</v>
      </c>
      <c r="C120" s="6" t="s">
        <v>61</v>
      </c>
      <c r="D120" s="7">
        <v>11619.0146484375</v>
      </c>
    </row>
    <row r="121" spans="1:4" x14ac:dyDescent="0.25">
      <c r="A121" s="5" t="s">
        <v>27</v>
      </c>
      <c r="B121" s="6" t="s">
        <v>5</v>
      </c>
      <c r="C121" s="6" t="s">
        <v>62</v>
      </c>
      <c r="D121" s="7">
        <v>16276.859375</v>
      </c>
    </row>
    <row r="122" spans="1:4" x14ac:dyDescent="0.25">
      <c r="A122" s="5" t="s">
        <v>27</v>
      </c>
      <c r="B122" s="6" t="s">
        <v>5</v>
      </c>
      <c r="C122" s="6" t="s">
        <v>63</v>
      </c>
      <c r="D122" s="7">
        <v>45144.7109375</v>
      </c>
    </row>
    <row r="123" spans="1:4" x14ac:dyDescent="0.25">
      <c r="A123" s="5" t="s">
        <v>27</v>
      </c>
      <c r="B123" s="6" t="s">
        <v>5</v>
      </c>
      <c r="C123" s="6" t="s">
        <v>64</v>
      </c>
      <c r="D123" s="7">
        <v>62281.6953125</v>
      </c>
    </row>
    <row r="124" spans="1:4" x14ac:dyDescent="0.25">
      <c r="A124" s="5" t="s">
        <v>27</v>
      </c>
      <c r="B124" s="6" t="s">
        <v>5</v>
      </c>
      <c r="C124" s="6" t="s">
        <v>65</v>
      </c>
      <c r="D124" s="7">
        <v>41141.24609375</v>
      </c>
    </row>
    <row r="125" spans="1:4" x14ac:dyDescent="0.25">
      <c r="A125" s="5" t="s">
        <v>27</v>
      </c>
      <c r="B125" s="6" t="s">
        <v>5</v>
      </c>
      <c r="C125" s="6" t="s">
        <v>66</v>
      </c>
      <c r="D125" s="7">
        <v>19198.34375</v>
      </c>
    </row>
    <row r="126" spans="1:4" x14ac:dyDescent="0.25">
      <c r="A126" s="5" t="s">
        <v>16</v>
      </c>
      <c r="B126" s="6" t="s">
        <v>5</v>
      </c>
      <c r="C126" s="6" t="s">
        <v>36</v>
      </c>
      <c r="D126" s="7">
        <v>29290.533203125</v>
      </c>
    </row>
    <row r="127" spans="1:4" x14ac:dyDescent="0.25">
      <c r="A127" s="2" t="s">
        <v>16</v>
      </c>
      <c r="B127" s="3" t="s">
        <v>5</v>
      </c>
      <c r="C127" s="3" t="s">
        <v>37</v>
      </c>
      <c r="D127" s="4">
        <v>17634.255859375</v>
      </c>
    </row>
    <row r="128" spans="1:4" x14ac:dyDescent="0.25">
      <c r="A128" s="5" t="s">
        <v>16</v>
      </c>
      <c r="B128" s="6" t="s">
        <v>5</v>
      </c>
      <c r="C128" s="6" t="s">
        <v>38</v>
      </c>
      <c r="D128" s="7">
        <v>24659.02734375</v>
      </c>
    </row>
    <row r="129" spans="1:4" x14ac:dyDescent="0.25">
      <c r="A129" s="2" t="s">
        <v>16</v>
      </c>
      <c r="B129" s="3" t="s">
        <v>5</v>
      </c>
      <c r="C129" s="3" t="s">
        <v>39</v>
      </c>
      <c r="D129" s="4">
        <v>67896.8671875</v>
      </c>
    </row>
    <row r="130" spans="1:4" x14ac:dyDescent="0.25">
      <c r="A130" s="5" t="s">
        <v>16</v>
      </c>
      <c r="B130" s="6" t="s">
        <v>5</v>
      </c>
      <c r="C130" s="6" t="s">
        <v>40</v>
      </c>
      <c r="D130" s="7">
        <v>93691.875</v>
      </c>
    </row>
    <row r="131" spans="1:4" x14ac:dyDescent="0.25">
      <c r="A131" s="2" t="s">
        <v>16</v>
      </c>
      <c r="B131" s="3" t="s">
        <v>5</v>
      </c>
      <c r="C131" s="3" t="s">
        <v>41</v>
      </c>
      <c r="D131" s="4">
        <v>61939.5703125</v>
      </c>
    </row>
    <row r="132" spans="1:4" x14ac:dyDescent="0.25">
      <c r="A132" s="5" t="s">
        <v>16</v>
      </c>
      <c r="B132" s="6" t="s">
        <v>5</v>
      </c>
      <c r="C132" s="6" t="s">
        <v>42</v>
      </c>
      <c r="D132" s="7">
        <v>28665.140625</v>
      </c>
    </row>
    <row r="133" spans="1:4" x14ac:dyDescent="0.25">
      <c r="A133" s="2" t="s">
        <v>16</v>
      </c>
      <c r="B133" s="3" t="s">
        <v>5</v>
      </c>
      <c r="C133" s="3" t="s">
        <v>43</v>
      </c>
      <c r="D133" s="4">
        <v>15054.8505859375</v>
      </c>
    </row>
    <row r="134" spans="1:4" x14ac:dyDescent="0.25">
      <c r="A134" s="5" t="s">
        <v>16</v>
      </c>
      <c r="B134" s="6" t="s">
        <v>5</v>
      </c>
      <c r="C134" s="6" t="s">
        <v>44</v>
      </c>
      <c r="D134" s="7">
        <v>21380.216796875</v>
      </c>
    </row>
    <row r="135" spans="1:4" x14ac:dyDescent="0.25">
      <c r="A135" s="2" t="s">
        <v>16</v>
      </c>
      <c r="B135" s="3" t="s">
        <v>5</v>
      </c>
      <c r="C135" s="3" t="s">
        <v>45</v>
      </c>
      <c r="D135" s="4">
        <v>62083.1875</v>
      </c>
    </row>
    <row r="136" spans="1:4" x14ac:dyDescent="0.25">
      <c r="A136" s="5" t="s">
        <v>16</v>
      </c>
      <c r="B136" s="6" t="s">
        <v>5</v>
      </c>
      <c r="C136" s="6" t="s">
        <v>46</v>
      </c>
      <c r="D136" s="7">
        <v>85523.15625</v>
      </c>
    </row>
    <row r="137" spans="1:4" x14ac:dyDescent="0.25">
      <c r="A137" s="2" t="s">
        <v>16</v>
      </c>
      <c r="B137" s="3" t="s">
        <v>5</v>
      </c>
      <c r="C137" s="3" t="s">
        <v>47</v>
      </c>
      <c r="D137" s="4">
        <v>56175.2109375</v>
      </c>
    </row>
    <row r="138" spans="1:4" x14ac:dyDescent="0.25">
      <c r="A138" s="5" t="s">
        <v>16</v>
      </c>
      <c r="B138" s="6" t="s">
        <v>5</v>
      </c>
      <c r="C138" s="6" t="s">
        <v>48</v>
      </c>
      <c r="D138" s="7">
        <v>27561.32421875</v>
      </c>
    </row>
    <row r="139" spans="1:4" x14ac:dyDescent="0.25">
      <c r="A139" s="2" t="s">
        <v>16</v>
      </c>
      <c r="B139" s="3" t="s">
        <v>5</v>
      </c>
      <c r="C139" s="3" t="s">
        <v>49</v>
      </c>
      <c r="D139" s="4">
        <v>16617.521484375</v>
      </c>
    </row>
    <row r="140" spans="1:4" x14ac:dyDescent="0.25">
      <c r="A140" s="5" t="s">
        <v>16</v>
      </c>
      <c r="B140" s="6" t="s">
        <v>5</v>
      </c>
      <c r="C140" s="6" t="s">
        <v>50</v>
      </c>
      <c r="D140" s="7">
        <v>23231.330078125</v>
      </c>
    </row>
    <row r="141" spans="1:4" x14ac:dyDescent="0.25">
      <c r="A141" s="2" t="s">
        <v>16</v>
      </c>
      <c r="B141" s="3" t="s">
        <v>5</v>
      </c>
      <c r="C141" s="3" t="s">
        <v>51</v>
      </c>
      <c r="D141" s="4">
        <v>63899.44921875</v>
      </c>
    </row>
    <row r="142" spans="1:4" x14ac:dyDescent="0.25">
      <c r="A142" s="5" t="s">
        <v>16</v>
      </c>
      <c r="B142" s="6" t="s">
        <v>5</v>
      </c>
      <c r="C142" s="6" t="s">
        <v>52</v>
      </c>
      <c r="D142" s="7">
        <v>88178.6484375</v>
      </c>
    </row>
    <row r="143" spans="1:4" x14ac:dyDescent="0.25">
      <c r="A143" s="2" t="s">
        <v>16</v>
      </c>
      <c r="B143" s="3" t="s">
        <v>5</v>
      </c>
      <c r="C143" s="3" t="s">
        <v>53</v>
      </c>
      <c r="D143" s="4">
        <v>58301.48828125</v>
      </c>
    </row>
    <row r="144" spans="1:4" x14ac:dyDescent="0.25">
      <c r="A144" s="5" t="s">
        <v>16</v>
      </c>
      <c r="B144" s="6" t="s">
        <v>5</v>
      </c>
      <c r="C144" s="6" t="s">
        <v>54</v>
      </c>
      <c r="D144" s="7">
        <v>26949.35546875</v>
      </c>
    </row>
    <row r="145" spans="1:4" x14ac:dyDescent="0.25">
      <c r="A145" s="2" t="s">
        <v>16</v>
      </c>
      <c r="B145" s="3" t="s">
        <v>5</v>
      </c>
      <c r="C145" s="3" t="s">
        <v>55</v>
      </c>
      <c r="D145" s="4">
        <v>16121.8095703125</v>
      </c>
    </row>
    <row r="146" spans="1:4" x14ac:dyDescent="0.25">
      <c r="A146" s="2" t="s">
        <v>16</v>
      </c>
      <c r="B146" s="3" t="s">
        <v>5</v>
      </c>
      <c r="C146" s="3" t="s">
        <v>56</v>
      </c>
      <c r="D146" s="4">
        <v>22885.265625</v>
      </c>
    </row>
    <row r="147" spans="1:4" x14ac:dyDescent="0.25">
      <c r="A147" s="2" t="s">
        <v>16</v>
      </c>
      <c r="B147" s="3" t="s">
        <v>5</v>
      </c>
      <c r="C147" s="3" t="s">
        <v>57</v>
      </c>
      <c r="D147" s="4">
        <v>66361.171875</v>
      </c>
    </row>
    <row r="148" spans="1:4" x14ac:dyDescent="0.25">
      <c r="A148" s="2" t="s">
        <v>16</v>
      </c>
      <c r="B148" s="3" t="s">
        <v>5</v>
      </c>
      <c r="C148" s="3" t="s">
        <v>58</v>
      </c>
      <c r="D148" s="4">
        <v>91420.75</v>
      </c>
    </row>
    <row r="149" spans="1:4" x14ac:dyDescent="0.25">
      <c r="A149" s="2" t="s">
        <v>16</v>
      </c>
      <c r="B149" s="3" t="s">
        <v>5</v>
      </c>
      <c r="C149" s="3" t="s">
        <v>59</v>
      </c>
      <c r="D149" s="4">
        <v>60059.703125</v>
      </c>
    </row>
    <row r="150" spans="1:4" x14ac:dyDescent="0.25">
      <c r="A150" s="2" t="s">
        <v>16</v>
      </c>
      <c r="B150" s="3" t="s">
        <v>5</v>
      </c>
      <c r="C150" s="3" t="s">
        <v>60</v>
      </c>
      <c r="D150" s="4">
        <v>29423.7890625</v>
      </c>
    </row>
    <row r="151" spans="1:4" x14ac:dyDescent="0.25">
      <c r="A151" s="2" t="s">
        <v>16</v>
      </c>
      <c r="B151" s="3" t="s">
        <v>5</v>
      </c>
      <c r="C151" s="3" t="s">
        <v>61</v>
      </c>
      <c r="D151" s="4">
        <v>17707.09375</v>
      </c>
    </row>
    <row r="152" spans="1:4" x14ac:dyDescent="0.25">
      <c r="A152" s="2" t="s">
        <v>16</v>
      </c>
      <c r="B152" s="3" t="s">
        <v>5</v>
      </c>
      <c r="C152" s="3" t="s">
        <v>62</v>
      </c>
      <c r="D152" s="4">
        <v>24762.685546875</v>
      </c>
    </row>
    <row r="153" spans="1:4" x14ac:dyDescent="0.25">
      <c r="A153" s="2" t="s">
        <v>16</v>
      </c>
      <c r="B153" s="3" t="s">
        <v>5</v>
      </c>
      <c r="C153" s="3" t="s">
        <v>63</v>
      </c>
      <c r="D153" s="4">
        <v>68202.4296875</v>
      </c>
    </row>
    <row r="154" spans="1:4" x14ac:dyDescent="0.25">
      <c r="A154" s="2" t="s">
        <v>16</v>
      </c>
      <c r="B154" s="3" t="s">
        <v>5</v>
      </c>
      <c r="C154" s="3" t="s">
        <v>64</v>
      </c>
      <c r="D154" s="4">
        <v>94112.65625</v>
      </c>
    </row>
    <row r="155" spans="1:4" x14ac:dyDescent="0.25">
      <c r="A155" s="2" t="s">
        <v>16</v>
      </c>
      <c r="B155" s="3" t="s">
        <v>5</v>
      </c>
      <c r="C155" s="3" t="s">
        <v>65</v>
      </c>
      <c r="D155" s="4">
        <v>62215.7109375</v>
      </c>
    </row>
    <row r="156" spans="1:4" x14ac:dyDescent="0.25">
      <c r="A156" s="2" t="s">
        <v>16</v>
      </c>
      <c r="B156" s="3" t="s">
        <v>5</v>
      </c>
      <c r="C156" s="3" t="s">
        <v>66</v>
      </c>
      <c r="D156" s="4">
        <v>28802.6875</v>
      </c>
    </row>
    <row r="157" spans="1:4" x14ac:dyDescent="0.25">
      <c r="A157" s="2" t="s">
        <v>17</v>
      </c>
      <c r="B157" s="3" t="s">
        <v>5</v>
      </c>
      <c r="C157" s="3" t="s">
        <v>36</v>
      </c>
      <c r="D157" s="4">
        <v>45326.94921875</v>
      </c>
    </row>
    <row r="158" spans="1:4" x14ac:dyDescent="0.25">
      <c r="A158" s="5" t="s">
        <v>17</v>
      </c>
      <c r="B158" s="6" t="s">
        <v>5</v>
      </c>
      <c r="C158" s="6" t="s">
        <v>37</v>
      </c>
      <c r="D158" s="7">
        <v>27471.591796875</v>
      </c>
    </row>
    <row r="159" spans="1:4" x14ac:dyDescent="0.25">
      <c r="A159" s="2" t="s">
        <v>17</v>
      </c>
      <c r="B159" s="3" t="s">
        <v>5</v>
      </c>
      <c r="C159" s="3" t="s">
        <v>38</v>
      </c>
      <c r="D159" s="4">
        <v>38366.51171875</v>
      </c>
    </row>
    <row r="160" spans="1:4" x14ac:dyDescent="0.25">
      <c r="A160" s="5" t="s">
        <v>17</v>
      </c>
      <c r="B160" s="6" t="s">
        <v>5</v>
      </c>
      <c r="C160" s="6" t="s">
        <v>39</v>
      </c>
      <c r="D160" s="7">
        <v>105129.78125</v>
      </c>
    </row>
    <row r="161" spans="1:4" x14ac:dyDescent="0.25">
      <c r="A161" s="2" t="s">
        <v>17</v>
      </c>
      <c r="B161" s="3" t="s">
        <v>5</v>
      </c>
      <c r="C161" s="3" t="s">
        <v>40</v>
      </c>
      <c r="D161" s="4">
        <v>145092.6875</v>
      </c>
    </row>
    <row r="162" spans="1:4" x14ac:dyDescent="0.25">
      <c r="A162" s="5" t="s">
        <v>17</v>
      </c>
      <c r="B162" s="6" t="s">
        <v>5</v>
      </c>
      <c r="C162" s="6" t="s">
        <v>41</v>
      </c>
      <c r="D162" s="7">
        <v>95975.203125</v>
      </c>
    </row>
    <row r="163" spans="1:4" x14ac:dyDescent="0.25">
      <c r="A163" s="2" t="s">
        <v>17</v>
      </c>
      <c r="B163" s="3" t="s">
        <v>5</v>
      </c>
      <c r="C163" s="3" t="s">
        <v>42</v>
      </c>
      <c r="D163" s="4">
        <v>44171.28515625</v>
      </c>
    </row>
    <row r="164" spans="1:4" x14ac:dyDescent="0.25">
      <c r="A164" s="5" t="s">
        <v>17</v>
      </c>
      <c r="B164" s="6" t="s">
        <v>5</v>
      </c>
      <c r="C164" s="6" t="s">
        <v>43</v>
      </c>
      <c r="D164" s="7">
        <v>23349.431640625</v>
      </c>
    </row>
    <row r="165" spans="1:4" x14ac:dyDescent="0.25">
      <c r="A165" s="2" t="s">
        <v>17</v>
      </c>
      <c r="B165" s="3" t="s">
        <v>5</v>
      </c>
      <c r="C165" s="3" t="s">
        <v>44</v>
      </c>
      <c r="D165" s="4">
        <v>33215.1015625</v>
      </c>
    </row>
    <row r="166" spans="1:4" x14ac:dyDescent="0.25">
      <c r="A166" s="5" t="s">
        <v>17</v>
      </c>
      <c r="B166" s="6" t="s">
        <v>5</v>
      </c>
      <c r="C166" s="6" t="s">
        <v>45</v>
      </c>
      <c r="D166" s="7">
        <v>96947.3828125</v>
      </c>
    </row>
    <row r="167" spans="1:4" x14ac:dyDescent="0.25">
      <c r="A167" s="2" t="s">
        <v>17</v>
      </c>
      <c r="B167" s="3" t="s">
        <v>5</v>
      </c>
      <c r="C167" s="3" t="s">
        <v>46</v>
      </c>
      <c r="D167" s="4">
        <v>133527.34375</v>
      </c>
    </row>
    <row r="168" spans="1:4" x14ac:dyDescent="0.25">
      <c r="A168" s="5" t="s">
        <v>17</v>
      </c>
      <c r="B168" s="6" t="s">
        <v>5</v>
      </c>
      <c r="C168" s="6" t="s">
        <v>47</v>
      </c>
      <c r="D168" s="7">
        <v>87648.0859375</v>
      </c>
    </row>
    <row r="169" spans="1:4" x14ac:dyDescent="0.25">
      <c r="A169" s="2" t="s">
        <v>17</v>
      </c>
      <c r="B169" s="3" t="s">
        <v>5</v>
      </c>
      <c r="C169" s="3" t="s">
        <v>48</v>
      </c>
      <c r="D169" s="4">
        <v>43235.390625</v>
      </c>
    </row>
    <row r="170" spans="1:4" x14ac:dyDescent="0.25">
      <c r="A170" s="5" t="s">
        <v>17</v>
      </c>
      <c r="B170" s="6" t="s">
        <v>5</v>
      </c>
      <c r="C170" s="6" t="s">
        <v>49</v>
      </c>
      <c r="D170" s="7">
        <v>26241.05078125</v>
      </c>
    </row>
    <row r="171" spans="1:4" x14ac:dyDescent="0.25">
      <c r="A171" s="2" t="s">
        <v>17</v>
      </c>
      <c r="B171" s="3" t="s">
        <v>5</v>
      </c>
      <c r="C171" s="3" t="s">
        <v>50</v>
      </c>
      <c r="D171" s="4">
        <v>36638.88671875</v>
      </c>
    </row>
    <row r="172" spans="1:4" x14ac:dyDescent="0.25">
      <c r="A172" s="5" t="s">
        <v>17</v>
      </c>
      <c r="B172" s="6" t="s">
        <v>5</v>
      </c>
      <c r="C172" s="6" t="s">
        <v>51</v>
      </c>
      <c r="D172" s="7">
        <v>100294.9921875</v>
      </c>
    </row>
    <row r="173" spans="1:4" x14ac:dyDescent="0.25">
      <c r="A173" s="2" t="s">
        <v>17</v>
      </c>
      <c r="B173" s="3" t="s">
        <v>5</v>
      </c>
      <c r="C173" s="3" t="s">
        <v>52</v>
      </c>
      <c r="D173" s="4">
        <v>138424.453125</v>
      </c>
    </row>
    <row r="174" spans="1:4" x14ac:dyDescent="0.25">
      <c r="A174" s="5" t="s">
        <v>17</v>
      </c>
      <c r="B174" s="6" t="s">
        <v>5</v>
      </c>
      <c r="C174" s="6" t="s">
        <v>53</v>
      </c>
      <c r="D174" s="7">
        <v>91574.625</v>
      </c>
    </row>
    <row r="175" spans="1:4" x14ac:dyDescent="0.25">
      <c r="A175" s="2" t="s">
        <v>17</v>
      </c>
      <c r="B175" s="3" t="s">
        <v>5</v>
      </c>
      <c r="C175" s="3" t="s">
        <v>54</v>
      </c>
      <c r="D175" s="4">
        <v>42096.9921875</v>
      </c>
    </row>
    <row r="176" spans="1:4" x14ac:dyDescent="0.25">
      <c r="A176" s="5" t="s">
        <v>17</v>
      </c>
      <c r="B176" s="6" t="s">
        <v>5</v>
      </c>
      <c r="C176" s="6" t="s">
        <v>55</v>
      </c>
      <c r="D176" s="7">
        <v>24631.046875</v>
      </c>
    </row>
    <row r="177" spans="1:4" x14ac:dyDescent="0.25">
      <c r="A177" s="5" t="s">
        <v>17</v>
      </c>
      <c r="B177" s="6" t="s">
        <v>5</v>
      </c>
      <c r="C177" s="6" t="s">
        <v>56</v>
      </c>
      <c r="D177" s="7">
        <v>35023.375</v>
      </c>
    </row>
    <row r="178" spans="1:4" x14ac:dyDescent="0.25">
      <c r="A178" s="5" t="s">
        <v>17</v>
      </c>
      <c r="B178" s="6" t="s">
        <v>5</v>
      </c>
      <c r="C178" s="6" t="s">
        <v>57</v>
      </c>
      <c r="D178" s="7">
        <v>102090.921875</v>
      </c>
    </row>
    <row r="179" spans="1:4" x14ac:dyDescent="0.25">
      <c r="A179" s="5" t="s">
        <v>17</v>
      </c>
      <c r="B179" s="6" t="s">
        <v>5</v>
      </c>
      <c r="C179" s="6" t="s">
        <v>58</v>
      </c>
      <c r="D179" s="7">
        <v>140618.0625</v>
      </c>
    </row>
    <row r="180" spans="1:4" x14ac:dyDescent="0.25">
      <c r="A180" s="5" t="s">
        <v>17</v>
      </c>
      <c r="B180" s="6" t="s">
        <v>5</v>
      </c>
      <c r="C180" s="6" t="s">
        <v>59</v>
      </c>
      <c r="D180" s="7">
        <v>92317.96875</v>
      </c>
    </row>
    <row r="181" spans="1:4" x14ac:dyDescent="0.25">
      <c r="A181" s="5" t="s">
        <v>17</v>
      </c>
      <c r="B181" s="6" t="s">
        <v>5</v>
      </c>
      <c r="C181" s="6" t="s">
        <v>60</v>
      </c>
      <c r="D181" s="7">
        <v>45476.00390625</v>
      </c>
    </row>
    <row r="182" spans="1:4" x14ac:dyDescent="0.25">
      <c r="A182" s="5" t="s">
        <v>17</v>
      </c>
      <c r="B182" s="6" t="s">
        <v>5</v>
      </c>
      <c r="C182" s="6" t="s">
        <v>61</v>
      </c>
      <c r="D182" s="7">
        <v>27552.5625</v>
      </c>
    </row>
    <row r="183" spans="1:4" x14ac:dyDescent="0.25">
      <c r="A183" s="5" t="s">
        <v>17</v>
      </c>
      <c r="B183" s="6" t="s">
        <v>5</v>
      </c>
      <c r="C183" s="6" t="s">
        <v>62</v>
      </c>
      <c r="D183" s="7">
        <v>38481.6015625</v>
      </c>
    </row>
    <row r="184" spans="1:4" x14ac:dyDescent="0.25">
      <c r="A184" s="5" t="s">
        <v>17</v>
      </c>
      <c r="B184" s="6" t="s">
        <v>5</v>
      </c>
      <c r="C184" s="6" t="s">
        <v>63</v>
      </c>
      <c r="D184" s="7">
        <v>105469.8359375</v>
      </c>
    </row>
    <row r="185" spans="1:4" x14ac:dyDescent="0.25">
      <c r="A185" s="5" t="s">
        <v>17</v>
      </c>
      <c r="B185" s="6" t="s">
        <v>5</v>
      </c>
      <c r="C185" s="6" t="s">
        <v>64</v>
      </c>
      <c r="D185" s="7">
        <v>145560.96875</v>
      </c>
    </row>
    <row r="186" spans="1:4" x14ac:dyDescent="0.25">
      <c r="A186" s="5" t="s">
        <v>17</v>
      </c>
      <c r="B186" s="6" t="s">
        <v>5</v>
      </c>
      <c r="C186" s="6" t="s">
        <v>65</v>
      </c>
      <c r="D186" s="7">
        <v>96282.6484375</v>
      </c>
    </row>
    <row r="187" spans="1:4" x14ac:dyDescent="0.25">
      <c r="A187" s="5" t="s">
        <v>17</v>
      </c>
      <c r="B187" s="6" t="s">
        <v>5</v>
      </c>
      <c r="C187" s="6" t="s">
        <v>66</v>
      </c>
      <c r="D187" s="7">
        <v>44324.859375</v>
      </c>
    </row>
    <row r="188" spans="1:4" x14ac:dyDescent="0.25">
      <c r="A188" s="5" t="s">
        <v>30</v>
      </c>
      <c r="B188" s="6" t="s">
        <v>5</v>
      </c>
      <c r="C188" s="6" t="s">
        <v>36</v>
      </c>
      <c r="D188" s="7">
        <v>35919.1015625</v>
      </c>
    </row>
    <row r="189" spans="1:4" x14ac:dyDescent="0.25">
      <c r="A189" s="2" t="s">
        <v>30</v>
      </c>
      <c r="B189" s="3" t="s">
        <v>5</v>
      </c>
      <c r="C189" s="3" t="s">
        <v>37</v>
      </c>
      <c r="D189" s="4">
        <v>21807.634765625</v>
      </c>
    </row>
    <row r="190" spans="1:4" x14ac:dyDescent="0.25">
      <c r="A190" s="5" t="s">
        <v>30</v>
      </c>
      <c r="B190" s="6" t="s">
        <v>5</v>
      </c>
      <c r="C190" s="6" t="s">
        <v>38</v>
      </c>
      <c r="D190" s="7">
        <v>30450.33984375</v>
      </c>
    </row>
    <row r="191" spans="1:4" x14ac:dyDescent="0.25">
      <c r="A191" s="2" t="s">
        <v>30</v>
      </c>
      <c r="B191" s="3" t="s">
        <v>5</v>
      </c>
      <c r="C191" s="3" t="s">
        <v>39</v>
      </c>
      <c r="D191" s="4">
        <v>83344.5859375</v>
      </c>
    </row>
    <row r="192" spans="1:4" x14ac:dyDescent="0.25">
      <c r="A192" s="5" t="s">
        <v>30</v>
      </c>
      <c r="B192" s="6" t="s">
        <v>5</v>
      </c>
      <c r="C192" s="6" t="s">
        <v>40</v>
      </c>
      <c r="D192" s="7">
        <v>115029.921875</v>
      </c>
    </row>
    <row r="193" spans="1:4" x14ac:dyDescent="0.25">
      <c r="A193" s="2" t="s">
        <v>30</v>
      </c>
      <c r="B193" s="3" t="s">
        <v>5</v>
      </c>
      <c r="C193" s="3" t="s">
        <v>41</v>
      </c>
      <c r="D193" s="4">
        <v>76096.46875</v>
      </c>
    </row>
    <row r="194" spans="1:4" x14ac:dyDescent="0.25">
      <c r="A194" s="5" t="s">
        <v>30</v>
      </c>
      <c r="B194" s="6" t="s">
        <v>5</v>
      </c>
      <c r="C194" s="6" t="s">
        <v>42</v>
      </c>
      <c r="D194" s="7">
        <v>34975.734375</v>
      </c>
    </row>
    <row r="195" spans="1:4" x14ac:dyDescent="0.25">
      <c r="A195" s="2" t="s">
        <v>30</v>
      </c>
      <c r="B195" s="3" t="s">
        <v>5</v>
      </c>
      <c r="C195" s="3" t="s">
        <v>43</v>
      </c>
      <c r="D195" s="4">
        <v>18552.484375</v>
      </c>
    </row>
    <row r="196" spans="1:4" x14ac:dyDescent="0.25">
      <c r="A196" s="5" t="s">
        <v>30</v>
      </c>
      <c r="B196" s="6" t="s">
        <v>5</v>
      </c>
      <c r="C196" s="6" t="s">
        <v>44</v>
      </c>
      <c r="D196" s="7">
        <v>26400.32421875</v>
      </c>
    </row>
    <row r="197" spans="1:4" x14ac:dyDescent="0.25">
      <c r="A197" s="2" t="s">
        <v>30</v>
      </c>
      <c r="B197" s="3" t="s">
        <v>5</v>
      </c>
      <c r="C197" s="3" t="s">
        <v>45</v>
      </c>
      <c r="D197" s="4">
        <v>77139.6328125</v>
      </c>
    </row>
    <row r="198" spans="1:4" x14ac:dyDescent="0.25">
      <c r="A198" s="5" t="s">
        <v>30</v>
      </c>
      <c r="B198" s="6" t="s">
        <v>5</v>
      </c>
      <c r="C198" s="6" t="s">
        <v>46</v>
      </c>
      <c r="D198" s="7">
        <v>106241.3203125</v>
      </c>
    </row>
    <row r="199" spans="1:4" x14ac:dyDescent="0.25">
      <c r="A199" s="2" t="s">
        <v>30</v>
      </c>
      <c r="B199" s="3" t="s">
        <v>5</v>
      </c>
      <c r="C199" s="3" t="s">
        <v>47</v>
      </c>
      <c r="D199" s="4">
        <v>69728.1953125</v>
      </c>
    </row>
    <row r="200" spans="1:4" x14ac:dyDescent="0.25">
      <c r="A200" s="5" t="s">
        <v>30</v>
      </c>
      <c r="B200" s="6" t="s">
        <v>5</v>
      </c>
      <c r="C200" s="6" t="s">
        <v>48</v>
      </c>
      <c r="D200" s="7">
        <v>34436.05078125</v>
      </c>
    </row>
    <row r="201" spans="1:4" x14ac:dyDescent="0.25">
      <c r="A201" s="2" t="s">
        <v>30</v>
      </c>
      <c r="B201" s="3" t="s">
        <v>5</v>
      </c>
      <c r="C201" s="3" t="s">
        <v>49</v>
      </c>
      <c r="D201" s="4">
        <v>20935.63671875</v>
      </c>
    </row>
    <row r="202" spans="1:4" x14ac:dyDescent="0.25">
      <c r="A202" s="5" t="s">
        <v>30</v>
      </c>
      <c r="B202" s="6" t="s">
        <v>5</v>
      </c>
      <c r="C202" s="6" t="s">
        <v>50</v>
      </c>
      <c r="D202" s="7">
        <v>29225.880859375</v>
      </c>
    </row>
    <row r="203" spans="1:4" x14ac:dyDescent="0.25">
      <c r="A203" s="2" t="s">
        <v>30</v>
      </c>
      <c r="B203" s="3" t="s">
        <v>5</v>
      </c>
      <c r="C203" s="3" t="s">
        <v>51</v>
      </c>
      <c r="D203" s="4">
        <v>79916.21875</v>
      </c>
    </row>
    <row r="204" spans="1:4" x14ac:dyDescent="0.25">
      <c r="A204" s="5" t="s">
        <v>30</v>
      </c>
      <c r="B204" s="6" t="s">
        <v>5</v>
      </c>
      <c r="C204" s="6" t="s">
        <v>52</v>
      </c>
      <c r="D204" s="7">
        <v>110301.53125</v>
      </c>
    </row>
    <row r="205" spans="1:4" x14ac:dyDescent="0.25">
      <c r="A205" s="2" t="s">
        <v>30</v>
      </c>
      <c r="B205" s="3" t="s">
        <v>5</v>
      </c>
      <c r="C205" s="3" t="s">
        <v>53</v>
      </c>
      <c r="D205" s="4">
        <v>72976.28125</v>
      </c>
    </row>
    <row r="206" spans="1:4" x14ac:dyDescent="0.25">
      <c r="A206" s="5" t="s">
        <v>30</v>
      </c>
      <c r="B206" s="6" t="s">
        <v>5</v>
      </c>
      <c r="C206" s="6" t="s">
        <v>54</v>
      </c>
      <c r="D206" s="7">
        <v>33504.19921875</v>
      </c>
    </row>
    <row r="207" spans="1:4" x14ac:dyDescent="0.25">
      <c r="A207" s="2" t="s">
        <v>30</v>
      </c>
      <c r="B207" s="3" t="s">
        <v>5</v>
      </c>
      <c r="C207" s="3" t="s">
        <v>55</v>
      </c>
      <c r="D207" s="4">
        <v>19554.98828125</v>
      </c>
    </row>
    <row r="208" spans="1:4" x14ac:dyDescent="0.25">
      <c r="A208" s="2" t="s">
        <v>30</v>
      </c>
      <c r="B208" s="3" t="s">
        <v>5</v>
      </c>
      <c r="C208" s="3" t="s">
        <v>56</v>
      </c>
      <c r="D208" s="4">
        <v>27815.279296875</v>
      </c>
    </row>
    <row r="209" spans="1:4" x14ac:dyDescent="0.25">
      <c r="A209" s="2" t="s">
        <v>30</v>
      </c>
      <c r="B209" s="3" t="s">
        <v>5</v>
      </c>
      <c r="C209" s="3" t="s">
        <v>57</v>
      </c>
      <c r="D209" s="4">
        <v>81169.046875</v>
      </c>
    </row>
    <row r="210" spans="1:4" x14ac:dyDescent="0.25">
      <c r="A210" s="2" t="s">
        <v>30</v>
      </c>
      <c r="B210" s="3" t="s">
        <v>5</v>
      </c>
      <c r="C210" s="3" t="s">
        <v>58</v>
      </c>
      <c r="D210" s="4">
        <v>111795.8671875</v>
      </c>
    </row>
    <row r="211" spans="1:4" x14ac:dyDescent="0.25">
      <c r="A211" s="2" t="s">
        <v>30</v>
      </c>
      <c r="B211" s="3" t="s">
        <v>5</v>
      </c>
      <c r="C211" s="3" t="s">
        <v>59</v>
      </c>
      <c r="D211" s="4">
        <v>73385.8515625</v>
      </c>
    </row>
    <row r="212" spans="1:4" x14ac:dyDescent="0.25">
      <c r="A212" s="2" t="s">
        <v>30</v>
      </c>
      <c r="B212" s="3" t="s">
        <v>5</v>
      </c>
      <c r="C212" s="3" t="s">
        <v>60</v>
      </c>
      <c r="D212" s="4">
        <v>36193.3515625</v>
      </c>
    </row>
    <row r="213" spans="1:4" x14ac:dyDescent="0.25">
      <c r="A213" s="2" t="s">
        <v>30</v>
      </c>
      <c r="B213" s="3" t="s">
        <v>5</v>
      </c>
      <c r="C213" s="3" t="s">
        <v>61</v>
      </c>
      <c r="D213" s="4">
        <v>21966.51953125</v>
      </c>
    </row>
    <row r="214" spans="1:4" x14ac:dyDescent="0.25">
      <c r="A214" s="2" t="s">
        <v>30</v>
      </c>
      <c r="B214" s="3" t="s">
        <v>5</v>
      </c>
      <c r="C214" s="3" t="s">
        <v>62</v>
      </c>
      <c r="D214" s="4">
        <v>30674.037109375</v>
      </c>
    </row>
    <row r="215" spans="1:4" x14ac:dyDescent="0.25">
      <c r="A215" s="2" t="s">
        <v>30</v>
      </c>
      <c r="B215" s="3" t="s">
        <v>5</v>
      </c>
      <c r="C215" s="3" t="s">
        <v>63</v>
      </c>
      <c r="D215" s="4">
        <v>83977.515625</v>
      </c>
    </row>
    <row r="216" spans="1:4" x14ac:dyDescent="0.25">
      <c r="A216" s="2" t="s">
        <v>30</v>
      </c>
      <c r="B216" s="3" t="s">
        <v>5</v>
      </c>
      <c r="C216" s="3" t="s">
        <v>64</v>
      </c>
      <c r="D216" s="4">
        <v>115902.5703125</v>
      </c>
    </row>
    <row r="217" spans="1:4" x14ac:dyDescent="0.25">
      <c r="A217" s="2" t="s">
        <v>30</v>
      </c>
      <c r="B217" s="3" t="s">
        <v>5</v>
      </c>
      <c r="C217" s="3" t="s">
        <v>65</v>
      </c>
      <c r="D217" s="4">
        <v>76671.65625</v>
      </c>
    </row>
    <row r="218" spans="1:4" x14ac:dyDescent="0.25">
      <c r="A218" s="2" t="s">
        <v>30</v>
      </c>
      <c r="B218" s="3" t="s">
        <v>5</v>
      </c>
      <c r="C218" s="3" t="s">
        <v>66</v>
      </c>
      <c r="D218" s="4">
        <v>35250.15625</v>
      </c>
    </row>
    <row r="219" spans="1:4" x14ac:dyDescent="0.25">
      <c r="A219" s="2" t="s">
        <v>24</v>
      </c>
      <c r="B219" s="3" t="s">
        <v>5</v>
      </c>
      <c r="C219" s="3" t="s">
        <v>36</v>
      </c>
      <c r="D219" s="4">
        <v>5052.66796875</v>
      </c>
    </row>
    <row r="220" spans="1:4" x14ac:dyDescent="0.25">
      <c r="A220" s="5" t="s">
        <v>24</v>
      </c>
      <c r="B220" s="6" t="s">
        <v>5</v>
      </c>
      <c r="C220" s="6" t="s">
        <v>37</v>
      </c>
      <c r="D220" s="7">
        <v>3050.33740234375</v>
      </c>
    </row>
    <row r="221" spans="1:4" x14ac:dyDescent="0.25">
      <c r="A221" s="2" t="s">
        <v>24</v>
      </c>
      <c r="B221" s="3" t="s">
        <v>5</v>
      </c>
      <c r="C221" s="3" t="s">
        <v>38</v>
      </c>
      <c r="D221" s="4">
        <v>4263.4189453125</v>
      </c>
    </row>
    <row r="222" spans="1:4" x14ac:dyDescent="0.25">
      <c r="A222" s="5" t="s">
        <v>24</v>
      </c>
      <c r="B222" s="6" t="s">
        <v>5</v>
      </c>
      <c r="C222" s="6" t="s">
        <v>39</v>
      </c>
      <c r="D222" s="7">
        <v>11716.1142578125</v>
      </c>
    </row>
    <row r="223" spans="1:4" x14ac:dyDescent="0.25">
      <c r="A223" s="2" t="s">
        <v>24</v>
      </c>
      <c r="B223" s="3" t="s">
        <v>5</v>
      </c>
      <c r="C223" s="3" t="s">
        <v>40</v>
      </c>
      <c r="D223" s="4">
        <v>16168.2255859375</v>
      </c>
    </row>
    <row r="224" spans="1:4" x14ac:dyDescent="0.25">
      <c r="A224" s="5" t="s">
        <v>24</v>
      </c>
      <c r="B224" s="6" t="s">
        <v>5</v>
      </c>
      <c r="C224" s="6" t="s">
        <v>41</v>
      </c>
      <c r="D224" s="7">
        <v>10691.1064453125</v>
      </c>
    </row>
    <row r="225" spans="1:4" x14ac:dyDescent="0.25">
      <c r="A225" s="2" t="s">
        <v>24</v>
      </c>
      <c r="B225" s="3" t="s">
        <v>5</v>
      </c>
      <c r="C225" s="3" t="s">
        <v>42</v>
      </c>
      <c r="D225" s="4">
        <v>4936.67529296875</v>
      </c>
    </row>
    <row r="226" spans="1:4" x14ac:dyDescent="0.25">
      <c r="A226" s="5" t="s">
        <v>24</v>
      </c>
      <c r="B226" s="6" t="s">
        <v>5</v>
      </c>
      <c r="C226" s="6" t="s">
        <v>43</v>
      </c>
      <c r="D226" s="7">
        <v>2601.15551757812</v>
      </c>
    </row>
    <row r="227" spans="1:4" x14ac:dyDescent="0.25">
      <c r="A227" s="2" t="s">
        <v>24</v>
      </c>
      <c r="B227" s="3" t="s">
        <v>5</v>
      </c>
      <c r="C227" s="3" t="s">
        <v>44</v>
      </c>
      <c r="D227" s="4">
        <v>3696.47631835938</v>
      </c>
    </row>
    <row r="228" spans="1:4" x14ac:dyDescent="0.25">
      <c r="A228" s="5" t="s">
        <v>24</v>
      </c>
      <c r="B228" s="6" t="s">
        <v>5</v>
      </c>
      <c r="C228" s="6" t="s">
        <v>45</v>
      </c>
      <c r="D228" s="7">
        <v>10755.7392578125</v>
      </c>
    </row>
    <row r="229" spans="1:4" x14ac:dyDescent="0.25">
      <c r="A229" s="2" t="s">
        <v>24</v>
      </c>
      <c r="B229" s="3" t="s">
        <v>5</v>
      </c>
      <c r="C229" s="3" t="s">
        <v>46</v>
      </c>
      <c r="D229" s="4">
        <v>14815.59375</v>
      </c>
    </row>
    <row r="230" spans="1:4" x14ac:dyDescent="0.25">
      <c r="A230" s="5" t="s">
        <v>24</v>
      </c>
      <c r="B230" s="6" t="s">
        <v>5</v>
      </c>
      <c r="C230" s="6" t="s">
        <v>47</v>
      </c>
      <c r="D230" s="7">
        <v>9728.9501953125</v>
      </c>
    </row>
    <row r="231" spans="1:4" x14ac:dyDescent="0.25">
      <c r="A231" s="2" t="s">
        <v>24</v>
      </c>
      <c r="B231" s="3" t="s">
        <v>5</v>
      </c>
      <c r="C231" s="3" t="s">
        <v>48</v>
      </c>
      <c r="D231" s="4">
        <v>4783.68212890625</v>
      </c>
    </row>
    <row r="232" spans="1:4" x14ac:dyDescent="0.25">
      <c r="A232" s="5" t="s">
        <v>24</v>
      </c>
      <c r="B232" s="6" t="s">
        <v>5</v>
      </c>
      <c r="C232" s="6" t="s">
        <v>49</v>
      </c>
      <c r="D232" s="7">
        <v>2892.17993164062</v>
      </c>
    </row>
    <row r="233" spans="1:4" x14ac:dyDescent="0.25">
      <c r="A233" s="2" t="s">
        <v>24</v>
      </c>
      <c r="B233" s="3" t="s">
        <v>5</v>
      </c>
      <c r="C233" s="3" t="s">
        <v>50</v>
      </c>
      <c r="D233" s="4">
        <v>4041.33447265625</v>
      </c>
    </row>
    <row r="234" spans="1:4" x14ac:dyDescent="0.25">
      <c r="A234" s="5" t="s">
        <v>24</v>
      </c>
      <c r="B234" s="6" t="s">
        <v>5</v>
      </c>
      <c r="C234" s="6" t="s">
        <v>51</v>
      </c>
      <c r="D234" s="7">
        <v>11094.298828125</v>
      </c>
    </row>
    <row r="235" spans="1:4" x14ac:dyDescent="0.25">
      <c r="A235" s="2" t="s">
        <v>24</v>
      </c>
      <c r="B235" s="3" t="s">
        <v>5</v>
      </c>
      <c r="C235" s="3" t="s">
        <v>52</v>
      </c>
      <c r="D235" s="4">
        <v>15310.6201171875</v>
      </c>
    </row>
    <row r="236" spans="1:4" x14ac:dyDescent="0.25">
      <c r="A236" s="5" t="s">
        <v>24</v>
      </c>
      <c r="B236" s="6" t="s">
        <v>5</v>
      </c>
      <c r="C236" s="6" t="s">
        <v>53</v>
      </c>
      <c r="D236" s="7">
        <v>10125.1875</v>
      </c>
    </row>
    <row r="237" spans="1:4" x14ac:dyDescent="0.25">
      <c r="A237" s="2" t="s">
        <v>24</v>
      </c>
      <c r="B237" s="3" t="s">
        <v>5</v>
      </c>
      <c r="C237" s="3" t="s">
        <v>54</v>
      </c>
      <c r="D237" s="4">
        <v>4669.77783203125</v>
      </c>
    </row>
    <row r="238" spans="1:4" x14ac:dyDescent="0.25">
      <c r="A238" s="2" t="s">
        <v>24</v>
      </c>
      <c r="B238" s="3" t="s">
        <v>5</v>
      </c>
      <c r="C238" s="3" t="s">
        <v>55</v>
      </c>
      <c r="D238" s="4">
        <v>2803.7255859375</v>
      </c>
    </row>
    <row r="239" spans="1:4" x14ac:dyDescent="0.25">
      <c r="A239" s="2" t="s">
        <v>24</v>
      </c>
      <c r="B239" s="3" t="s">
        <v>5</v>
      </c>
      <c r="C239" s="3" t="s">
        <v>56</v>
      </c>
      <c r="D239" s="4">
        <v>3982.38818359375</v>
      </c>
    </row>
    <row r="240" spans="1:4" x14ac:dyDescent="0.25">
      <c r="A240" s="2" t="s">
        <v>24</v>
      </c>
      <c r="B240" s="3" t="s">
        <v>5</v>
      </c>
      <c r="C240" s="3" t="s">
        <v>57</v>
      </c>
      <c r="D240" s="4">
        <v>11569.94921875</v>
      </c>
    </row>
    <row r="241" spans="1:4" x14ac:dyDescent="0.25">
      <c r="A241" s="2" t="s">
        <v>24</v>
      </c>
      <c r="B241" s="3" t="s">
        <v>5</v>
      </c>
      <c r="C241" s="3" t="s">
        <v>58</v>
      </c>
      <c r="D241" s="4">
        <v>15937.98046875</v>
      </c>
    </row>
    <row r="242" spans="1:4" x14ac:dyDescent="0.25">
      <c r="A242" s="2" t="s">
        <v>24</v>
      </c>
      <c r="B242" s="3" t="s">
        <v>5</v>
      </c>
      <c r="C242" s="3" t="s">
        <v>59</v>
      </c>
      <c r="D242" s="4">
        <v>10468.0390625</v>
      </c>
    </row>
    <row r="243" spans="1:4" x14ac:dyDescent="0.25">
      <c r="A243" s="2" t="s">
        <v>24</v>
      </c>
      <c r="B243" s="3" t="s">
        <v>5</v>
      </c>
      <c r="C243" s="3" t="s">
        <v>60</v>
      </c>
      <c r="D243" s="4">
        <v>5138.77685546875</v>
      </c>
    </row>
    <row r="244" spans="1:4" x14ac:dyDescent="0.25">
      <c r="A244" s="2" t="s">
        <v>24</v>
      </c>
      <c r="B244" s="3" t="s">
        <v>5</v>
      </c>
      <c r="C244" s="3" t="s">
        <v>61</v>
      </c>
      <c r="D244" s="4">
        <v>3100.4912109375</v>
      </c>
    </row>
    <row r="245" spans="1:4" x14ac:dyDescent="0.25">
      <c r="A245" s="2" t="s">
        <v>24</v>
      </c>
      <c r="B245" s="3" t="s">
        <v>5</v>
      </c>
      <c r="C245" s="3" t="s">
        <v>62</v>
      </c>
      <c r="D245" s="4">
        <v>4333.9638671875</v>
      </c>
    </row>
    <row r="246" spans="1:4" x14ac:dyDescent="0.25">
      <c r="A246" s="2" t="s">
        <v>24</v>
      </c>
      <c r="B246" s="3" t="s">
        <v>5</v>
      </c>
      <c r="C246" s="3" t="s">
        <v>63</v>
      </c>
      <c r="D246" s="4">
        <v>11914.9580078125</v>
      </c>
    </row>
    <row r="247" spans="1:4" x14ac:dyDescent="0.25">
      <c r="A247" s="2" t="s">
        <v>24</v>
      </c>
      <c r="B247" s="3" t="s">
        <v>5</v>
      </c>
      <c r="C247" s="3" t="s">
        <v>64</v>
      </c>
      <c r="D247" s="4">
        <v>16442.4140625</v>
      </c>
    </row>
    <row r="248" spans="1:4" x14ac:dyDescent="0.25">
      <c r="A248" s="2" t="s">
        <v>24</v>
      </c>
      <c r="B248" s="3" t="s">
        <v>5</v>
      </c>
      <c r="C248" s="3" t="s">
        <v>65</v>
      </c>
      <c r="D248" s="4">
        <v>10871.9072265625</v>
      </c>
    </row>
    <row r="249" spans="1:4" x14ac:dyDescent="0.25">
      <c r="A249" s="2" t="s">
        <v>24</v>
      </c>
      <c r="B249" s="3" t="s">
        <v>5</v>
      </c>
      <c r="C249" s="3" t="s">
        <v>66</v>
      </c>
      <c r="D249" s="4">
        <v>5022.576171875</v>
      </c>
    </row>
    <row r="250" spans="1:4" x14ac:dyDescent="0.25">
      <c r="A250" s="5" t="s">
        <v>21</v>
      </c>
      <c r="B250" s="6" t="s">
        <v>5</v>
      </c>
      <c r="C250" s="6" t="s">
        <v>36</v>
      </c>
      <c r="D250" s="7">
        <v>37785.37109375</v>
      </c>
    </row>
    <row r="251" spans="1:4" x14ac:dyDescent="0.25">
      <c r="A251" s="2" t="s">
        <v>21</v>
      </c>
      <c r="B251" s="3" t="s">
        <v>5</v>
      </c>
      <c r="C251" s="3" t="s">
        <v>37</v>
      </c>
      <c r="D251" s="4">
        <v>22216.955078125</v>
      </c>
    </row>
    <row r="252" spans="1:4" x14ac:dyDescent="0.25">
      <c r="A252" s="5" t="s">
        <v>21</v>
      </c>
      <c r="B252" s="6" t="s">
        <v>5</v>
      </c>
      <c r="C252" s="6" t="s">
        <v>38</v>
      </c>
      <c r="D252" s="7">
        <v>31196.998046875</v>
      </c>
    </row>
    <row r="253" spans="1:4" x14ac:dyDescent="0.25">
      <c r="A253" s="2" t="s">
        <v>21</v>
      </c>
      <c r="B253" s="3" t="s">
        <v>5</v>
      </c>
      <c r="C253" s="3" t="s">
        <v>39</v>
      </c>
      <c r="D253" s="4">
        <v>87348.5859375</v>
      </c>
    </row>
    <row r="254" spans="1:4" x14ac:dyDescent="0.25">
      <c r="A254" s="5" t="s">
        <v>21</v>
      </c>
      <c r="B254" s="6" t="s">
        <v>5</v>
      </c>
      <c r="C254" s="6" t="s">
        <v>40</v>
      </c>
      <c r="D254" s="7">
        <v>120470.953125</v>
      </c>
    </row>
    <row r="255" spans="1:4" x14ac:dyDescent="0.25">
      <c r="A255" s="2" t="s">
        <v>21</v>
      </c>
      <c r="B255" s="3" t="s">
        <v>5</v>
      </c>
      <c r="C255" s="3" t="s">
        <v>41</v>
      </c>
      <c r="D255" s="4">
        <v>79496.6875</v>
      </c>
    </row>
    <row r="256" spans="1:4" x14ac:dyDescent="0.25">
      <c r="A256" s="5" t="s">
        <v>21</v>
      </c>
      <c r="B256" s="6" t="s">
        <v>5</v>
      </c>
      <c r="C256" s="6" t="s">
        <v>42</v>
      </c>
      <c r="D256" s="7">
        <v>37492.05078125</v>
      </c>
    </row>
    <row r="257" spans="1:4" x14ac:dyDescent="0.25">
      <c r="A257" s="2" t="s">
        <v>21</v>
      </c>
      <c r="B257" s="3" t="s">
        <v>5</v>
      </c>
      <c r="C257" s="3" t="s">
        <v>43</v>
      </c>
      <c r="D257" s="4">
        <v>19157.23828125</v>
      </c>
    </row>
    <row r="258" spans="1:4" x14ac:dyDescent="0.25">
      <c r="A258" s="5" t="s">
        <v>21</v>
      </c>
      <c r="B258" s="6" t="s">
        <v>5</v>
      </c>
      <c r="C258" s="6" t="s">
        <v>44</v>
      </c>
      <c r="D258" s="7">
        <v>27052.220703125</v>
      </c>
    </row>
    <row r="259" spans="1:4" x14ac:dyDescent="0.25">
      <c r="A259" s="2" t="s">
        <v>21</v>
      </c>
      <c r="B259" s="3" t="s">
        <v>5</v>
      </c>
      <c r="C259" s="3" t="s">
        <v>45</v>
      </c>
      <c r="D259" s="4">
        <v>77158.859375</v>
      </c>
    </row>
    <row r="260" spans="1:4" x14ac:dyDescent="0.25">
      <c r="A260" s="5" t="s">
        <v>21</v>
      </c>
      <c r="B260" s="6" t="s">
        <v>5</v>
      </c>
      <c r="C260" s="6" t="s">
        <v>46</v>
      </c>
      <c r="D260" s="7">
        <v>106357.5546875</v>
      </c>
    </row>
    <row r="261" spans="1:4" x14ac:dyDescent="0.25">
      <c r="A261" s="2" t="s">
        <v>21</v>
      </c>
      <c r="B261" s="3" t="s">
        <v>5</v>
      </c>
      <c r="C261" s="3" t="s">
        <v>47</v>
      </c>
      <c r="D261" s="4">
        <v>70021.8515625</v>
      </c>
    </row>
    <row r="262" spans="1:4" x14ac:dyDescent="0.25">
      <c r="A262" s="5" t="s">
        <v>21</v>
      </c>
      <c r="B262" s="6" t="s">
        <v>5</v>
      </c>
      <c r="C262" s="6" t="s">
        <v>48</v>
      </c>
      <c r="D262" s="7">
        <v>33699.56640625</v>
      </c>
    </row>
    <row r="263" spans="1:4" x14ac:dyDescent="0.25">
      <c r="A263" s="2" t="s">
        <v>21</v>
      </c>
      <c r="B263" s="3" t="s">
        <v>5</v>
      </c>
      <c r="C263" s="3" t="s">
        <v>49</v>
      </c>
      <c r="D263" s="4">
        <v>19814.59375</v>
      </c>
    </row>
    <row r="264" spans="1:4" x14ac:dyDescent="0.25">
      <c r="A264" s="5" t="s">
        <v>21</v>
      </c>
      <c r="B264" s="6" t="s">
        <v>5</v>
      </c>
      <c r="C264" s="6" t="s">
        <v>50</v>
      </c>
      <c r="D264" s="7">
        <v>27823.607421875</v>
      </c>
    </row>
    <row r="265" spans="1:4" x14ac:dyDescent="0.25">
      <c r="A265" s="2" t="s">
        <v>21</v>
      </c>
      <c r="B265" s="3" t="s">
        <v>5</v>
      </c>
      <c r="C265" s="3" t="s">
        <v>51</v>
      </c>
      <c r="D265" s="4">
        <v>77903.421875</v>
      </c>
    </row>
    <row r="266" spans="1:4" x14ac:dyDescent="0.25">
      <c r="A266" s="5" t="s">
        <v>21</v>
      </c>
      <c r="B266" s="6" t="s">
        <v>5</v>
      </c>
      <c r="C266" s="6" t="s">
        <v>52</v>
      </c>
      <c r="D266" s="7">
        <v>107444.203125</v>
      </c>
    </row>
    <row r="267" spans="1:4" x14ac:dyDescent="0.25">
      <c r="A267" s="2" t="s">
        <v>21</v>
      </c>
      <c r="B267" s="3" t="s">
        <v>5</v>
      </c>
      <c r="C267" s="3" t="s">
        <v>53</v>
      </c>
      <c r="D267" s="4">
        <v>70900.5625</v>
      </c>
    </row>
    <row r="268" spans="1:4" x14ac:dyDescent="0.25">
      <c r="A268" s="5" t="s">
        <v>21</v>
      </c>
      <c r="B268" s="6" t="s">
        <v>5</v>
      </c>
      <c r="C268" s="6" t="s">
        <v>54</v>
      </c>
      <c r="D268" s="7">
        <v>33437.96875</v>
      </c>
    </row>
    <row r="269" spans="1:4" x14ac:dyDescent="0.25">
      <c r="A269" s="5" t="s">
        <v>21</v>
      </c>
      <c r="B269" s="6" t="s">
        <v>5</v>
      </c>
      <c r="C269" s="6" t="s">
        <v>55</v>
      </c>
      <c r="D269" s="7">
        <v>21816.1328125</v>
      </c>
    </row>
    <row r="270" spans="1:4" x14ac:dyDescent="0.25">
      <c r="A270" s="5" t="s">
        <v>21</v>
      </c>
      <c r="B270" s="6" t="s">
        <v>5</v>
      </c>
      <c r="C270" s="6" t="s">
        <v>56</v>
      </c>
      <c r="D270" s="7">
        <v>30806.8828125</v>
      </c>
    </row>
    <row r="271" spans="1:4" x14ac:dyDescent="0.25">
      <c r="A271" s="5" t="s">
        <v>21</v>
      </c>
      <c r="B271" s="6" t="s">
        <v>5</v>
      </c>
      <c r="C271" s="6" t="s">
        <v>57</v>
      </c>
      <c r="D271" s="7">
        <v>87867.984375</v>
      </c>
    </row>
    <row r="272" spans="1:4" x14ac:dyDescent="0.25">
      <c r="A272" s="5" t="s">
        <v>21</v>
      </c>
      <c r="B272" s="6" t="s">
        <v>5</v>
      </c>
      <c r="C272" s="6" t="s">
        <v>58</v>
      </c>
      <c r="D272" s="7">
        <v>121119.265625</v>
      </c>
    </row>
    <row r="273" spans="1:4" x14ac:dyDescent="0.25">
      <c r="A273" s="5" t="s">
        <v>21</v>
      </c>
      <c r="B273" s="6" t="s">
        <v>5</v>
      </c>
      <c r="C273" s="6" t="s">
        <v>59</v>
      </c>
      <c r="D273" s="7">
        <v>79740.40625</v>
      </c>
    </row>
    <row r="274" spans="1:4" x14ac:dyDescent="0.25">
      <c r="A274" s="5" t="s">
        <v>21</v>
      </c>
      <c r="B274" s="6" t="s">
        <v>5</v>
      </c>
      <c r="C274" s="6" t="s">
        <v>60</v>
      </c>
      <c r="D274" s="7">
        <v>38376.8359375</v>
      </c>
    </row>
    <row r="275" spans="1:4" x14ac:dyDescent="0.25">
      <c r="A275" s="5" t="s">
        <v>21</v>
      </c>
      <c r="B275" s="6" t="s">
        <v>5</v>
      </c>
      <c r="C275" s="6" t="s">
        <v>61</v>
      </c>
      <c r="D275" s="7">
        <v>22564.7265625</v>
      </c>
    </row>
    <row r="276" spans="1:4" x14ac:dyDescent="0.25">
      <c r="A276" s="5" t="s">
        <v>21</v>
      </c>
      <c r="B276" s="6" t="s">
        <v>5</v>
      </c>
      <c r="C276" s="6" t="s">
        <v>62</v>
      </c>
      <c r="D276" s="7">
        <v>31685.3359375</v>
      </c>
    </row>
    <row r="277" spans="1:4" x14ac:dyDescent="0.25">
      <c r="A277" s="5" t="s">
        <v>21</v>
      </c>
      <c r="B277" s="6" t="s">
        <v>5</v>
      </c>
      <c r="C277" s="6" t="s">
        <v>63</v>
      </c>
      <c r="D277" s="7">
        <v>88715.890625</v>
      </c>
    </row>
    <row r="278" spans="1:4" x14ac:dyDescent="0.25">
      <c r="A278" s="5" t="s">
        <v>21</v>
      </c>
      <c r="B278" s="6" t="s">
        <v>5</v>
      </c>
      <c r="C278" s="6" t="s">
        <v>64</v>
      </c>
      <c r="D278" s="7">
        <v>122356.7265625</v>
      </c>
    </row>
    <row r="279" spans="1:4" x14ac:dyDescent="0.25">
      <c r="A279" s="5" t="s">
        <v>21</v>
      </c>
      <c r="B279" s="6" t="s">
        <v>5</v>
      </c>
      <c r="C279" s="6" t="s">
        <v>65</v>
      </c>
      <c r="D279" s="7">
        <v>80741.078125</v>
      </c>
    </row>
    <row r="280" spans="1:4" x14ac:dyDescent="0.25">
      <c r="A280" s="5" t="s">
        <v>21</v>
      </c>
      <c r="B280" s="6" t="s">
        <v>5</v>
      </c>
      <c r="C280" s="6" t="s">
        <v>66</v>
      </c>
      <c r="D280" s="7">
        <v>38078.9296875</v>
      </c>
    </row>
    <row r="281" spans="1:4" x14ac:dyDescent="0.25">
      <c r="A281" s="2" t="s">
        <v>22</v>
      </c>
      <c r="B281" s="3" t="s">
        <v>5</v>
      </c>
      <c r="C281" s="3" t="s">
        <v>36</v>
      </c>
      <c r="D281" s="4">
        <v>44999.09375</v>
      </c>
    </row>
    <row r="282" spans="1:4" x14ac:dyDescent="0.25">
      <c r="A282" s="5" t="s">
        <v>22</v>
      </c>
      <c r="B282" s="6" t="s">
        <v>5</v>
      </c>
      <c r="C282" s="6" t="s">
        <v>37</v>
      </c>
      <c r="D282" s="7">
        <v>26513.013671875</v>
      </c>
    </row>
    <row r="283" spans="1:4" x14ac:dyDescent="0.25">
      <c r="A283" s="2" t="s">
        <v>22</v>
      </c>
      <c r="B283" s="3" t="s">
        <v>5</v>
      </c>
      <c r="C283" s="3" t="s">
        <v>38</v>
      </c>
      <c r="D283" s="4">
        <v>37215.8828125</v>
      </c>
    </row>
    <row r="284" spans="1:4" x14ac:dyDescent="0.25">
      <c r="A284" s="5" t="s">
        <v>22</v>
      </c>
      <c r="B284" s="6" t="s">
        <v>5</v>
      </c>
      <c r="C284" s="6" t="s">
        <v>39</v>
      </c>
      <c r="D284" s="7">
        <v>104049.171875</v>
      </c>
    </row>
    <row r="285" spans="1:4" x14ac:dyDescent="0.25">
      <c r="A285" s="2" t="s">
        <v>22</v>
      </c>
      <c r="B285" s="3" t="s">
        <v>5</v>
      </c>
      <c r="C285" s="3" t="s">
        <v>40</v>
      </c>
      <c r="D285" s="4">
        <v>143510.8125</v>
      </c>
    </row>
    <row r="286" spans="1:4" x14ac:dyDescent="0.25">
      <c r="A286" s="5" t="s">
        <v>22</v>
      </c>
      <c r="B286" s="6" t="s">
        <v>5</v>
      </c>
      <c r="C286" s="6" t="s">
        <v>41</v>
      </c>
      <c r="D286" s="7">
        <v>94715.375</v>
      </c>
    </row>
    <row r="287" spans="1:4" x14ac:dyDescent="0.25">
      <c r="A287" s="2" t="s">
        <v>22</v>
      </c>
      <c r="B287" s="3" t="s">
        <v>5</v>
      </c>
      <c r="C287" s="3" t="s">
        <v>42</v>
      </c>
      <c r="D287" s="4">
        <v>44597.08984375</v>
      </c>
    </row>
    <row r="288" spans="1:4" x14ac:dyDescent="0.25">
      <c r="A288" s="5" t="s">
        <v>22</v>
      </c>
      <c r="B288" s="6" t="s">
        <v>5</v>
      </c>
      <c r="C288" s="6" t="s">
        <v>43</v>
      </c>
      <c r="D288" s="7">
        <v>22841.6796875</v>
      </c>
    </row>
    <row r="289" spans="1:4" x14ac:dyDescent="0.25">
      <c r="A289" s="2" t="s">
        <v>22</v>
      </c>
      <c r="B289" s="3" t="s">
        <v>5</v>
      </c>
      <c r="C289" s="3" t="s">
        <v>44</v>
      </c>
      <c r="D289" s="4">
        <v>32271.095703125</v>
      </c>
    </row>
    <row r="290" spans="1:4" x14ac:dyDescent="0.25">
      <c r="A290" s="5" t="s">
        <v>22</v>
      </c>
      <c r="B290" s="6" t="s">
        <v>5</v>
      </c>
      <c r="C290" s="6" t="s">
        <v>45</v>
      </c>
      <c r="D290" s="7">
        <v>92190.1328125</v>
      </c>
    </row>
    <row r="291" spans="1:4" x14ac:dyDescent="0.25">
      <c r="A291" s="2" t="s">
        <v>22</v>
      </c>
      <c r="B291" s="3" t="s">
        <v>5</v>
      </c>
      <c r="C291" s="3" t="s">
        <v>46</v>
      </c>
      <c r="D291" s="4">
        <v>127069.890625</v>
      </c>
    </row>
    <row r="292" spans="1:4" x14ac:dyDescent="0.25">
      <c r="A292" s="5" t="s">
        <v>22</v>
      </c>
      <c r="B292" s="6" t="s">
        <v>5</v>
      </c>
      <c r="C292" s="6" t="s">
        <v>47</v>
      </c>
      <c r="D292" s="7">
        <v>83640.8671875</v>
      </c>
    </row>
    <row r="293" spans="1:4" x14ac:dyDescent="0.25">
      <c r="A293" s="2" t="s">
        <v>22</v>
      </c>
      <c r="B293" s="3" t="s">
        <v>5</v>
      </c>
      <c r="C293" s="3" t="s">
        <v>48</v>
      </c>
      <c r="D293" s="4">
        <v>40323.62109375</v>
      </c>
    </row>
    <row r="294" spans="1:4" x14ac:dyDescent="0.25">
      <c r="A294" s="5" t="s">
        <v>22</v>
      </c>
      <c r="B294" s="6" t="s">
        <v>5</v>
      </c>
      <c r="C294" s="6" t="s">
        <v>49</v>
      </c>
      <c r="D294" s="7">
        <v>23763.9375</v>
      </c>
    </row>
    <row r="295" spans="1:4" x14ac:dyDescent="0.25">
      <c r="A295" s="2" t="s">
        <v>22</v>
      </c>
      <c r="B295" s="3" t="s">
        <v>5</v>
      </c>
      <c r="C295" s="3" t="s">
        <v>50</v>
      </c>
      <c r="D295" s="4">
        <v>33355.640625</v>
      </c>
    </row>
    <row r="296" spans="1:4" x14ac:dyDescent="0.25">
      <c r="A296" s="5" t="s">
        <v>22</v>
      </c>
      <c r="B296" s="6" t="s">
        <v>5</v>
      </c>
      <c r="C296" s="6" t="s">
        <v>51</v>
      </c>
      <c r="D296" s="7">
        <v>93240.8671875</v>
      </c>
    </row>
    <row r="297" spans="1:4" x14ac:dyDescent="0.25">
      <c r="A297" s="2" t="s">
        <v>22</v>
      </c>
      <c r="B297" s="3" t="s">
        <v>5</v>
      </c>
      <c r="C297" s="3" t="s">
        <v>52</v>
      </c>
      <c r="D297" s="4">
        <v>128604.015625</v>
      </c>
    </row>
    <row r="298" spans="1:4" x14ac:dyDescent="0.25">
      <c r="A298" s="5" t="s">
        <v>22</v>
      </c>
      <c r="B298" s="6" t="s">
        <v>5</v>
      </c>
      <c r="C298" s="6" t="s">
        <v>53</v>
      </c>
      <c r="D298" s="7">
        <v>84878.6328125</v>
      </c>
    </row>
    <row r="299" spans="1:4" x14ac:dyDescent="0.25">
      <c r="A299" s="2" t="s">
        <v>22</v>
      </c>
      <c r="B299" s="3" t="s">
        <v>5</v>
      </c>
      <c r="C299" s="3" t="s">
        <v>54</v>
      </c>
      <c r="D299" s="4">
        <v>39957.91015625</v>
      </c>
    </row>
    <row r="300" spans="1:4" x14ac:dyDescent="0.25">
      <c r="A300" s="2" t="s">
        <v>22</v>
      </c>
      <c r="B300" s="3" t="s">
        <v>5</v>
      </c>
      <c r="C300" s="3" t="s">
        <v>55</v>
      </c>
      <c r="D300" s="4">
        <v>25885.09375</v>
      </c>
    </row>
    <row r="301" spans="1:4" x14ac:dyDescent="0.25">
      <c r="A301" s="2" t="s">
        <v>22</v>
      </c>
      <c r="B301" s="3" t="s">
        <v>5</v>
      </c>
      <c r="C301" s="3" t="s">
        <v>56</v>
      </c>
      <c r="D301" s="4">
        <v>36568.9375</v>
      </c>
    </row>
    <row r="302" spans="1:4" x14ac:dyDescent="0.25">
      <c r="A302" s="2" t="s">
        <v>22</v>
      </c>
      <c r="B302" s="3" t="s">
        <v>5</v>
      </c>
      <c r="C302" s="3" t="s">
        <v>57</v>
      </c>
      <c r="D302" s="4">
        <v>104450.3125</v>
      </c>
    </row>
    <row r="303" spans="1:4" x14ac:dyDescent="0.25">
      <c r="A303" s="2" t="s">
        <v>22</v>
      </c>
      <c r="B303" s="3" t="s">
        <v>5</v>
      </c>
      <c r="C303" s="3" t="s">
        <v>58</v>
      </c>
      <c r="D303" s="4">
        <v>143969.515625</v>
      </c>
    </row>
    <row r="304" spans="1:4" x14ac:dyDescent="0.25">
      <c r="A304" s="2" t="s">
        <v>22</v>
      </c>
      <c r="B304" s="3" t="s">
        <v>5</v>
      </c>
      <c r="C304" s="3" t="s">
        <v>59</v>
      </c>
      <c r="D304" s="4">
        <v>94766.7421875</v>
      </c>
    </row>
    <row r="305" spans="1:4" x14ac:dyDescent="0.25">
      <c r="A305" s="2" t="s">
        <v>22</v>
      </c>
      <c r="B305" s="3" t="s">
        <v>5</v>
      </c>
      <c r="C305" s="3" t="s">
        <v>60</v>
      </c>
      <c r="D305" s="4">
        <v>45679.046875</v>
      </c>
    </row>
    <row r="306" spans="1:4" x14ac:dyDescent="0.25">
      <c r="A306" s="2" t="s">
        <v>22</v>
      </c>
      <c r="B306" s="3" t="s">
        <v>5</v>
      </c>
      <c r="C306" s="3" t="s">
        <v>61</v>
      </c>
      <c r="D306" s="4">
        <v>26913.4765625</v>
      </c>
    </row>
    <row r="307" spans="1:4" x14ac:dyDescent="0.25">
      <c r="A307" s="2" t="s">
        <v>22</v>
      </c>
      <c r="B307" s="3" t="s">
        <v>5</v>
      </c>
      <c r="C307" s="3" t="s">
        <v>62</v>
      </c>
      <c r="D307" s="4">
        <v>37778.046875</v>
      </c>
    </row>
    <row r="308" spans="1:4" x14ac:dyDescent="0.25">
      <c r="A308" s="2" t="s">
        <v>22</v>
      </c>
      <c r="B308" s="3" t="s">
        <v>5</v>
      </c>
      <c r="C308" s="3" t="s">
        <v>63</v>
      </c>
      <c r="D308" s="4">
        <v>105621.328125</v>
      </c>
    </row>
    <row r="309" spans="1:4" x14ac:dyDescent="0.25">
      <c r="A309" s="2" t="s">
        <v>22</v>
      </c>
      <c r="B309" s="3" t="s">
        <v>5</v>
      </c>
      <c r="C309" s="3" t="s">
        <v>64</v>
      </c>
      <c r="D309" s="4">
        <v>145679.1875</v>
      </c>
    </row>
    <row r="310" spans="1:4" x14ac:dyDescent="0.25">
      <c r="A310" s="2" t="s">
        <v>22</v>
      </c>
      <c r="B310" s="3" t="s">
        <v>5</v>
      </c>
      <c r="C310" s="3" t="s">
        <v>65</v>
      </c>
      <c r="D310" s="4">
        <v>96146.4375</v>
      </c>
    </row>
    <row r="311" spans="1:4" x14ac:dyDescent="0.25">
      <c r="A311" s="2" t="s">
        <v>22</v>
      </c>
      <c r="B311" s="3" t="s">
        <v>5</v>
      </c>
      <c r="C311" s="3" t="s">
        <v>66</v>
      </c>
      <c r="D311" s="4">
        <v>45271.1171875</v>
      </c>
    </row>
    <row r="312" spans="1:4" x14ac:dyDescent="0.25">
      <c r="A312" s="5" t="s">
        <v>35</v>
      </c>
      <c r="B312" s="6" t="s">
        <v>5</v>
      </c>
      <c r="C312" s="6" t="s">
        <v>36</v>
      </c>
      <c r="D312" s="7">
        <v>39399.75390625</v>
      </c>
    </row>
    <row r="313" spans="1:4" x14ac:dyDescent="0.25">
      <c r="A313" s="2" t="s">
        <v>35</v>
      </c>
      <c r="B313" s="3" t="s">
        <v>5</v>
      </c>
      <c r="C313" s="3" t="s">
        <v>37</v>
      </c>
      <c r="D313" s="4">
        <v>23169.310546875</v>
      </c>
    </row>
    <row r="314" spans="1:4" x14ac:dyDescent="0.25">
      <c r="A314" s="5" t="s">
        <v>35</v>
      </c>
      <c r="B314" s="6" t="s">
        <v>5</v>
      </c>
      <c r="C314" s="6" t="s">
        <v>38</v>
      </c>
      <c r="D314" s="7">
        <v>32533.248046875</v>
      </c>
    </row>
    <row r="315" spans="1:4" x14ac:dyDescent="0.25">
      <c r="A315" s="2" t="s">
        <v>35</v>
      </c>
      <c r="B315" s="3" t="s">
        <v>5</v>
      </c>
      <c r="C315" s="3" t="s">
        <v>39</v>
      </c>
      <c r="D315" s="4">
        <v>91080.5234375</v>
      </c>
    </row>
    <row r="316" spans="1:4" x14ac:dyDescent="0.25">
      <c r="A316" s="5" t="s">
        <v>35</v>
      </c>
      <c r="B316" s="6" t="s">
        <v>5</v>
      </c>
      <c r="C316" s="6" t="s">
        <v>40</v>
      </c>
      <c r="D316" s="7">
        <v>125618.453125</v>
      </c>
    </row>
    <row r="317" spans="1:4" x14ac:dyDescent="0.25">
      <c r="A317" s="2" t="s">
        <v>35</v>
      </c>
      <c r="B317" s="3" t="s">
        <v>5</v>
      </c>
      <c r="C317" s="3" t="s">
        <v>41</v>
      </c>
      <c r="D317" s="4">
        <v>82894.578125</v>
      </c>
    </row>
    <row r="318" spans="1:4" x14ac:dyDescent="0.25">
      <c r="A318" s="5" t="s">
        <v>35</v>
      </c>
      <c r="B318" s="6" t="s">
        <v>5</v>
      </c>
      <c r="C318" s="6" t="s">
        <v>42</v>
      </c>
      <c r="D318" s="7">
        <v>39090.15625</v>
      </c>
    </row>
    <row r="319" spans="1:4" x14ac:dyDescent="0.25">
      <c r="A319" s="2" t="s">
        <v>35</v>
      </c>
      <c r="B319" s="3" t="s">
        <v>5</v>
      </c>
      <c r="C319" s="3" t="s">
        <v>43</v>
      </c>
      <c r="D319" s="4">
        <v>19972.248046875</v>
      </c>
    </row>
    <row r="320" spans="1:4" x14ac:dyDescent="0.25">
      <c r="A320" s="5" t="s">
        <v>35</v>
      </c>
      <c r="B320" s="6" t="s">
        <v>5</v>
      </c>
      <c r="C320" s="6" t="s">
        <v>44</v>
      </c>
      <c r="D320" s="7">
        <v>28204.259765625</v>
      </c>
    </row>
    <row r="321" spans="1:4" x14ac:dyDescent="0.25">
      <c r="A321" s="2" t="s">
        <v>35</v>
      </c>
      <c r="B321" s="3" t="s">
        <v>5</v>
      </c>
      <c r="C321" s="3" t="s">
        <v>45</v>
      </c>
      <c r="D321" s="4">
        <v>80454.921875</v>
      </c>
    </row>
    <row r="322" spans="1:4" x14ac:dyDescent="0.25">
      <c r="A322" s="5" t="s">
        <v>35</v>
      </c>
      <c r="B322" s="6" t="s">
        <v>5</v>
      </c>
      <c r="C322" s="6" t="s">
        <v>46</v>
      </c>
      <c r="D322" s="7">
        <v>110900.453125</v>
      </c>
    </row>
    <row r="323" spans="1:4" x14ac:dyDescent="0.25">
      <c r="A323" s="2" t="s">
        <v>35</v>
      </c>
      <c r="B323" s="3" t="s">
        <v>5</v>
      </c>
      <c r="C323" s="3" t="s">
        <v>47</v>
      </c>
      <c r="D323" s="4">
        <v>73011.4921875</v>
      </c>
    </row>
    <row r="324" spans="1:4" x14ac:dyDescent="0.25">
      <c r="A324" s="5" t="s">
        <v>35</v>
      </c>
      <c r="B324" s="6" t="s">
        <v>5</v>
      </c>
      <c r="C324" s="6" t="s">
        <v>48</v>
      </c>
      <c r="D324" s="7">
        <v>35143.15234375</v>
      </c>
    </row>
    <row r="325" spans="1:4" x14ac:dyDescent="0.25">
      <c r="A325" s="2" t="s">
        <v>35</v>
      </c>
      <c r="B325" s="3" t="s">
        <v>5</v>
      </c>
      <c r="C325" s="3" t="s">
        <v>49</v>
      </c>
      <c r="D325" s="4">
        <v>20666.73828125</v>
      </c>
    </row>
    <row r="326" spans="1:4" x14ac:dyDescent="0.25">
      <c r="A326" s="5" t="s">
        <v>35</v>
      </c>
      <c r="B326" s="6" t="s">
        <v>5</v>
      </c>
      <c r="C326" s="6" t="s">
        <v>50</v>
      </c>
      <c r="D326" s="7">
        <v>29019.072265625</v>
      </c>
    </row>
    <row r="327" spans="1:4" x14ac:dyDescent="0.25">
      <c r="A327" s="2" t="s">
        <v>35</v>
      </c>
      <c r="B327" s="3" t="s">
        <v>5</v>
      </c>
      <c r="C327" s="3" t="s">
        <v>51</v>
      </c>
      <c r="D327" s="4">
        <v>81240.5390625</v>
      </c>
    </row>
    <row r="328" spans="1:4" x14ac:dyDescent="0.25">
      <c r="A328" s="5" t="s">
        <v>35</v>
      </c>
      <c r="B328" s="6" t="s">
        <v>5</v>
      </c>
      <c r="C328" s="6" t="s">
        <v>52</v>
      </c>
      <c r="D328" s="7">
        <v>112047.1953125</v>
      </c>
    </row>
    <row r="329" spans="1:4" x14ac:dyDescent="0.25">
      <c r="A329" s="2" t="s">
        <v>35</v>
      </c>
      <c r="B329" s="3" t="s">
        <v>5</v>
      </c>
      <c r="C329" s="3" t="s">
        <v>53</v>
      </c>
      <c r="D329" s="4">
        <v>73939.2109375</v>
      </c>
    </row>
    <row r="330" spans="1:4" x14ac:dyDescent="0.25">
      <c r="A330" s="5" t="s">
        <v>35</v>
      </c>
      <c r="B330" s="6" t="s">
        <v>5</v>
      </c>
      <c r="C330" s="6" t="s">
        <v>54</v>
      </c>
      <c r="D330" s="7">
        <v>34866.35546875</v>
      </c>
    </row>
    <row r="331" spans="1:4" x14ac:dyDescent="0.25">
      <c r="A331" s="5" t="s">
        <v>35</v>
      </c>
      <c r="B331" s="6" t="s">
        <v>5</v>
      </c>
      <c r="C331" s="6" t="s">
        <v>55</v>
      </c>
      <c r="D331" s="7">
        <v>22833.67578125</v>
      </c>
    </row>
    <row r="332" spans="1:4" x14ac:dyDescent="0.25">
      <c r="A332" s="5" t="s">
        <v>35</v>
      </c>
      <c r="B332" s="6" t="s">
        <v>5</v>
      </c>
      <c r="C332" s="6" t="s">
        <v>56</v>
      </c>
      <c r="D332" s="7">
        <v>32244.275390625</v>
      </c>
    </row>
    <row r="333" spans="1:4" x14ac:dyDescent="0.25">
      <c r="A333" s="5" t="s">
        <v>35</v>
      </c>
      <c r="B333" s="6" t="s">
        <v>5</v>
      </c>
      <c r="C333" s="6" t="s">
        <v>57</v>
      </c>
      <c r="D333" s="7">
        <v>91972.21875</v>
      </c>
    </row>
    <row r="334" spans="1:4" x14ac:dyDescent="0.25">
      <c r="A334" s="5" t="s">
        <v>35</v>
      </c>
      <c r="B334" s="6" t="s">
        <v>5</v>
      </c>
      <c r="C334" s="6" t="s">
        <v>58</v>
      </c>
      <c r="D334" s="7">
        <v>126776.421875</v>
      </c>
    </row>
    <row r="335" spans="1:4" x14ac:dyDescent="0.25">
      <c r="A335" s="5" t="s">
        <v>35</v>
      </c>
      <c r="B335" s="6" t="s">
        <v>5</v>
      </c>
      <c r="C335" s="6" t="s">
        <v>59</v>
      </c>
      <c r="D335" s="7">
        <v>83464.3359375</v>
      </c>
    </row>
    <row r="336" spans="1:4" x14ac:dyDescent="0.25">
      <c r="A336" s="5" t="s">
        <v>35</v>
      </c>
      <c r="B336" s="6" t="s">
        <v>5</v>
      </c>
      <c r="C336" s="6" t="s">
        <v>60</v>
      </c>
      <c r="D336" s="7">
        <v>40171.1640625</v>
      </c>
    </row>
    <row r="337" spans="1:4" x14ac:dyDescent="0.25">
      <c r="A337" s="5" t="s">
        <v>35</v>
      </c>
      <c r="B337" s="6" t="s">
        <v>5</v>
      </c>
      <c r="C337" s="6" t="s">
        <v>61</v>
      </c>
      <c r="D337" s="7">
        <v>23621.2890625</v>
      </c>
    </row>
    <row r="338" spans="1:4" x14ac:dyDescent="0.25">
      <c r="A338" s="5" t="s">
        <v>35</v>
      </c>
      <c r="B338" s="6" t="s">
        <v>5</v>
      </c>
      <c r="C338" s="6" t="s">
        <v>62</v>
      </c>
      <c r="D338" s="7">
        <v>33168.4921875</v>
      </c>
    </row>
    <row r="339" spans="1:4" x14ac:dyDescent="0.25">
      <c r="A339" s="5" t="s">
        <v>35</v>
      </c>
      <c r="B339" s="6" t="s">
        <v>5</v>
      </c>
      <c r="C339" s="6" t="s">
        <v>63</v>
      </c>
      <c r="D339" s="7">
        <v>92864.078125</v>
      </c>
    </row>
    <row r="340" spans="1:4" x14ac:dyDescent="0.25">
      <c r="A340" s="5" t="s">
        <v>35</v>
      </c>
      <c r="B340" s="6" t="s">
        <v>5</v>
      </c>
      <c r="C340" s="6" t="s">
        <v>64</v>
      </c>
      <c r="D340" s="7">
        <v>128078.109375</v>
      </c>
    </row>
    <row r="341" spans="1:4" x14ac:dyDescent="0.25">
      <c r="A341" s="5" t="s">
        <v>35</v>
      </c>
      <c r="B341" s="6" t="s">
        <v>5</v>
      </c>
      <c r="C341" s="6" t="s">
        <v>65</v>
      </c>
      <c r="D341" s="7">
        <v>84517.03125</v>
      </c>
    </row>
    <row r="342" spans="1:4" x14ac:dyDescent="0.25">
      <c r="A342" s="5" t="s">
        <v>35</v>
      </c>
      <c r="B342" s="6" t="s">
        <v>5</v>
      </c>
      <c r="C342" s="6" t="s">
        <v>66</v>
      </c>
      <c r="D342" s="7">
        <v>39857.6171875</v>
      </c>
    </row>
    <row r="343" spans="1:4" x14ac:dyDescent="0.25">
      <c r="A343" s="2" t="s">
        <v>25</v>
      </c>
      <c r="B343" s="3" t="s">
        <v>5</v>
      </c>
      <c r="C343" s="3" t="s">
        <v>36</v>
      </c>
      <c r="D343" s="4">
        <v>29251.21484375</v>
      </c>
    </row>
    <row r="344" spans="1:4" x14ac:dyDescent="0.25">
      <c r="A344" s="5" t="s">
        <v>25</v>
      </c>
      <c r="B344" s="6" t="s">
        <v>5</v>
      </c>
      <c r="C344" s="6" t="s">
        <v>37</v>
      </c>
      <c r="D344" s="7">
        <v>17368.779296875</v>
      </c>
    </row>
    <row r="345" spans="1:4" x14ac:dyDescent="0.25">
      <c r="A345" s="2" t="s">
        <v>25</v>
      </c>
      <c r="B345" s="3" t="s">
        <v>5</v>
      </c>
      <c r="C345" s="3" t="s">
        <v>38</v>
      </c>
      <c r="D345" s="4">
        <v>24346.796875</v>
      </c>
    </row>
    <row r="346" spans="1:4" x14ac:dyDescent="0.25">
      <c r="A346" s="5" t="s">
        <v>25</v>
      </c>
      <c r="B346" s="6" t="s">
        <v>5</v>
      </c>
      <c r="C346" s="6" t="s">
        <v>39</v>
      </c>
      <c r="D346" s="7">
        <v>67696.6796875</v>
      </c>
    </row>
    <row r="347" spans="1:4" x14ac:dyDescent="0.25">
      <c r="A347" s="2" t="s">
        <v>25</v>
      </c>
      <c r="B347" s="3" t="s">
        <v>5</v>
      </c>
      <c r="C347" s="3" t="s">
        <v>40</v>
      </c>
      <c r="D347" s="4">
        <v>93387.1484375</v>
      </c>
    </row>
    <row r="348" spans="1:4" x14ac:dyDescent="0.25">
      <c r="A348" s="5" t="s">
        <v>25</v>
      </c>
      <c r="B348" s="6" t="s">
        <v>5</v>
      </c>
      <c r="C348" s="6" t="s">
        <v>41</v>
      </c>
      <c r="D348" s="7">
        <v>61671.4765625</v>
      </c>
    </row>
    <row r="349" spans="1:4" x14ac:dyDescent="0.25">
      <c r="A349" s="2" t="s">
        <v>25</v>
      </c>
      <c r="B349" s="3" t="s">
        <v>5</v>
      </c>
      <c r="C349" s="3" t="s">
        <v>42</v>
      </c>
      <c r="D349" s="4">
        <v>28860.21875</v>
      </c>
    </row>
    <row r="350" spans="1:4" x14ac:dyDescent="0.25">
      <c r="A350" s="5" t="s">
        <v>25</v>
      </c>
      <c r="B350" s="6" t="s">
        <v>5</v>
      </c>
      <c r="C350" s="6" t="s">
        <v>43</v>
      </c>
      <c r="D350" s="7">
        <v>14914.63671875</v>
      </c>
    </row>
    <row r="351" spans="1:4" x14ac:dyDescent="0.25">
      <c r="A351" s="2" t="s">
        <v>25</v>
      </c>
      <c r="B351" s="3" t="s">
        <v>5</v>
      </c>
      <c r="C351" s="3" t="s">
        <v>44</v>
      </c>
      <c r="D351" s="4">
        <v>21111.03125</v>
      </c>
    </row>
    <row r="352" spans="1:4" x14ac:dyDescent="0.25">
      <c r="A352" s="5" t="s">
        <v>25</v>
      </c>
      <c r="B352" s="6" t="s">
        <v>5</v>
      </c>
      <c r="C352" s="6" t="s">
        <v>45</v>
      </c>
      <c r="D352" s="7">
        <v>60667.20703125</v>
      </c>
    </row>
    <row r="353" spans="1:4" x14ac:dyDescent="0.25">
      <c r="A353" s="2" t="s">
        <v>25</v>
      </c>
      <c r="B353" s="3" t="s">
        <v>5</v>
      </c>
      <c r="C353" s="3" t="s">
        <v>46</v>
      </c>
      <c r="D353" s="4">
        <v>83602.9375</v>
      </c>
    </row>
    <row r="354" spans="1:4" x14ac:dyDescent="0.25">
      <c r="A354" s="5" t="s">
        <v>25</v>
      </c>
      <c r="B354" s="6" t="s">
        <v>5</v>
      </c>
      <c r="C354" s="6" t="s">
        <v>47</v>
      </c>
      <c r="D354" s="7">
        <v>54987.5</v>
      </c>
    </row>
    <row r="355" spans="1:4" x14ac:dyDescent="0.25">
      <c r="A355" s="2" t="s">
        <v>25</v>
      </c>
      <c r="B355" s="3" t="s">
        <v>5</v>
      </c>
      <c r="C355" s="3" t="s">
        <v>48</v>
      </c>
      <c r="D355" s="4">
        <v>26680.490234375</v>
      </c>
    </row>
    <row r="356" spans="1:4" x14ac:dyDescent="0.25">
      <c r="A356" s="5" t="s">
        <v>25</v>
      </c>
      <c r="B356" s="6" t="s">
        <v>5</v>
      </c>
      <c r="C356" s="6" t="s">
        <v>49</v>
      </c>
      <c r="D356" s="7">
        <v>15857.25</v>
      </c>
    </row>
    <row r="357" spans="1:4" x14ac:dyDescent="0.25">
      <c r="A357" s="2" t="s">
        <v>25</v>
      </c>
      <c r="B357" s="3" t="s">
        <v>5</v>
      </c>
      <c r="C357" s="3" t="s">
        <v>50</v>
      </c>
      <c r="D357" s="4">
        <v>22224.3125</v>
      </c>
    </row>
    <row r="358" spans="1:4" x14ac:dyDescent="0.25">
      <c r="A358" s="5" t="s">
        <v>25</v>
      </c>
      <c r="B358" s="6" t="s">
        <v>5</v>
      </c>
      <c r="C358" s="6" t="s">
        <v>51</v>
      </c>
      <c r="D358" s="7">
        <v>61753.9296875</v>
      </c>
    </row>
    <row r="359" spans="1:4" x14ac:dyDescent="0.25">
      <c r="A359" s="2" t="s">
        <v>25</v>
      </c>
      <c r="B359" s="3" t="s">
        <v>5</v>
      </c>
      <c r="C359" s="3" t="s">
        <v>52</v>
      </c>
      <c r="D359" s="4">
        <v>85190.9140625</v>
      </c>
    </row>
    <row r="360" spans="1:4" x14ac:dyDescent="0.25">
      <c r="A360" s="5" t="s">
        <v>25</v>
      </c>
      <c r="B360" s="6" t="s">
        <v>5</v>
      </c>
      <c r="C360" s="6" t="s">
        <v>53</v>
      </c>
      <c r="D360" s="7">
        <v>56262.92578125</v>
      </c>
    </row>
    <row r="361" spans="1:4" x14ac:dyDescent="0.25">
      <c r="A361" s="2" t="s">
        <v>25</v>
      </c>
      <c r="B361" s="3" t="s">
        <v>5</v>
      </c>
      <c r="C361" s="3" t="s">
        <v>54</v>
      </c>
      <c r="D361" s="4">
        <v>26309.451171875</v>
      </c>
    </row>
    <row r="362" spans="1:4" x14ac:dyDescent="0.25">
      <c r="A362" s="5" t="s">
        <v>25</v>
      </c>
      <c r="B362" s="6" t="s">
        <v>5</v>
      </c>
      <c r="C362" s="6" t="s">
        <v>55</v>
      </c>
      <c r="D362" s="7">
        <v>16500.87890625</v>
      </c>
    </row>
    <row r="363" spans="1:4" x14ac:dyDescent="0.25">
      <c r="A363" s="5" t="s">
        <v>25</v>
      </c>
      <c r="B363" s="6" t="s">
        <v>5</v>
      </c>
      <c r="C363" s="6" t="s">
        <v>56</v>
      </c>
      <c r="D363" s="7">
        <v>23349.48828125</v>
      </c>
    </row>
    <row r="364" spans="1:4" x14ac:dyDescent="0.25">
      <c r="A364" s="5" t="s">
        <v>25</v>
      </c>
      <c r="B364" s="6" t="s">
        <v>5</v>
      </c>
      <c r="C364" s="6" t="s">
        <v>57</v>
      </c>
      <c r="D364" s="7">
        <v>67038.125</v>
      </c>
    </row>
    <row r="365" spans="1:4" x14ac:dyDescent="0.25">
      <c r="A365" s="5" t="s">
        <v>25</v>
      </c>
      <c r="B365" s="6" t="s">
        <v>5</v>
      </c>
      <c r="C365" s="6" t="s">
        <v>58</v>
      </c>
      <c r="D365" s="7">
        <v>92385.4296875</v>
      </c>
    </row>
    <row r="366" spans="1:4" x14ac:dyDescent="0.25">
      <c r="A366" s="5" t="s">
        <v>25</v>
      </c>
      <c r="B366" s="6" t="s">
        <v>5</v>
      </c>
      <c r="C366" s="6" t="s">
        <v>59</v>
      </c>
      <c r="D366" s="7">
        <v>60771.1796875</v>
      </c>
    </row>
    <row r="367" spans="1:4" x14ac:dyDescent="0.25">
      <c r="A367" s="5" t="s">
        <v>25</v>
      </c>
      <c r="B367" s="6" t="s">
        <v>5</v>
      </c>
      <c r="C367" s="6" t="s">
        <v>60</v>
      </c>
      <c r="D367" s="7">
        <v>29457.50390625</v>
      </c>
    </row>
    <row r="368" spans="1:4" x14ac:dyDescent="0.25">
      <c r="A368" s="5" t="s">
        <v>25</v>
      </c>
      <c r="B368" s="6" t="s">
        <v>5</v>
      </c>
      <c r="C368" s="6" t="s">
        <v>61</v>
      </c>
      <c r="D368" s="7">
        <v>17484.97265625</v>
      </c>
    </row>
    <row r="369" spans="1:4" x14ac:dyDescent="0.25">
      <c r="A369" s="5" t="s">
        <v>25</v>
      </c>
      <c r="B369" s="6" t="s">
        <v>5</v>
      </c>
      <c r="C369" s="6" t="s">
        <v>62</v>
      </c>
      <c r="D369" s="7">
        <v>24511.228515625</v>
      </c>
    </row>
    <row r="370" spans="1:4" x14ac:dyDescent="0.25">
      <c r="A370" s="5" t="s">
        <v>25</v>
      </c>
      <c r="B370" s="6" t="s">
        <v>5</v>
      </c>
      <c r="C370" s="6" t="s">
        <v>63</v>
      </c>
      <c r="D370" s="7">
        <v>68171.265625</v>
      </c>
    </row>
    <row r="371" spans="1:4" x14ac:dyDescent="0.25">
      <c r="A371" s="5" t="s">
        <v>25</v>
      </c>
      <c r="B371" s="6" t="s">
        <v>5</v>
      </c>
      <c r="C371" s="6" t="s">
        <v>64</v>
      </c>
      <c r="D371" s="7">
        <v>94041.078125</v>
      </c>
    </row>
    <row r="372" spans="1:4" x14ac:dyDescent="0.25">
      <c r="A372" s="5" t="s">
        <v>25</v>
      </c>
      <c r="B372" s="6" t="s">
        <v>5</v>
      </c>
      <c r="C372" s="6" t="s">
        <v>65</v>
      </c>
      <c r="D372" s="7">
        <v>62101.5859375</v>
      </c>
    </row>
    <row r="373" spans="1:4" x14ac:dyDescent="0.25">
      <c r="A373" s="5" t="s">
        <v>25</v>
      </c>
      <c r="B373" s="6" t="s">
        <v>5</v>
      </c>
      <c r="C373" s="6" t="s">
        <v>66</v>
      </c>
      <c r="D373" s="7">
        <v>29069.8359375</v>
      </c>
    </row>
    <row r="374" spans="1:4" x14ac:dyDescent="0.25">
      <c r="A374" s="5" t="s">
        <v>26</v>
      </c>
      <c r="B374" s="6" t="s">
        <v>5</v>
      </c>
      <c r="C374" s="6" t="s">
        <v>36</v>
      </c>
      <c r="D374" s="7">
        <v>40262.7265625</v>
      </c>
    </row>
    <row r="375" spans="1:4" x14ac:dyDescent="0.25">
      <c r="A375" s="2" t="s">
        <v>26</v>
      </c>
      <c r="B375" s="3" t="s">
        <v>5</v>
      </c>
      <c r="C375" s="3" t="s">
        <v>37</v>
      </c>
      <c r="D375" s="4">
        <v>24155.92578125</v>
      </c>
    </row>
    <row r="376" spans="1:4" x14ac:dyDescent="0.25">
      <c r="A376" s="5" t="s">
        <v>26</v>
      </c>
      <c r="B376" s="6" t="s">
        <v>5</v>
      </c>
      <c r="C376" s="6" t="s">
        <v>38</v>
      </c>
      <c r="D376" s="7">
        <v>33799.1875</v>
      </c>
    </row>
    <row r="377" spans="1:4" x14ac:dyDescent="0.25">
      <c r="A377" s="2" t="s">
        <v>26</v>
      </c>
      <c r="B377" s="3" t="s">
        <v>5</v>
      </c>
      <c r="C377" s="3" t="s">
        <v>39</v>
      </c>
      <c r="D377" s="4">
        <v>93293.015625</v>
      </c>
    </row>
    <row r="378" spans="1:4" x14ac:dyDescent="0.25">
      <c r="A378" s="5" t="s">
        <v>26</v>
      </c>
      <c r="B378" s="6" t="s">
        <v>5</v>
      </c>
      <c r="C378" s="6" t="s">
        <v>40</v>
      </c>
      <c r="D378" s="7">
        <v>128726.4765625</v>
      </c>
    </row>
    <row r="379" spans="1:4" x14ac:dyDescent="0.25">
      <c r="A379" s="2" t="s">
        <v>26</v>
      </c>
      <c r="B379" s="3" t="s">
        <v>5</v>
      </c>
      <c r="C379" s="3" t="s">
        <v>41</v>
      </c>
      <c r="D379" s="4">
        <v>85077.7265625</v>
      </c>
    </row>
    <row r="380" spans="1:4" x14ac:dyDescent="0.25">
      <c r="A380" s="5" t="s">
        <v>26</v>
      </c>
      <c r="B380" s="6" t="s">
        <v>5</v>
      </c>
      <c r="C380" s="6" t="s">
        <v>42</v>
      </c>
      <c r="D380" s="7">
        <v>39484.29296875</v>
      </c>
    </row>
    <row r="381" spans="1:4" x14ac:dyDescent="0.25">
      <c r="A381" s="2" t="s">
        <v>26</v>
      </c>
      <c r="B381" s="3" t="s">
        <v>5</v>
      </c>
      <c r="C381" s="3" t="s">
        <v>43</v>
      </c>
      <c r="D381" s="4">
        <v>20652.640625</v>
      </c>
    </row>
    <row r="382" spans="1:4" x14ac:dyDescent="0.25">
      <c r="A382" s="5" t="s">
        <v>26</v>
      </c>
      <c r="B382" s="6" t="s">
        <v>5</v>
      </c>
      <c r="C382" s="6" t="s">
        <v>44</v>
      </c>
      <c r="D382" s="7">
        <v>29305.576171875</v>
      </c>
    </row>
    <row r="383" spans="1:4" x14ac:dyDescent="0.25">
      <c r="A383" s="2" t="s">
        <v>26</v>
      </c>
      <c r="B383" s="3" t="s">
        <v>5</v>
      </c>
      <c r="C383" s="3" t="s">
        <v>45</v>
      </c>
      <c r="D383" s="4">
        <v>84875.9765625</v>
      </c>
    </row>
    <row r="384" spans="1:4" x14ac:dyDescent="0.25">
      <c r="A384" s="5" t="s">
        <v>26</v>
      </c>
      <c r="B384" s="6" t="s">
        <v>5</v>
      </c>
      <c r="C384" s="6" t="s">
        <v>46</v>
      </c>
      <c r="D384" s="7">
        <v>116932.1015625</v>
      </c>
    </row>
    <row r="385" spans="1:4" x14ac:dyDescent="0.25">
      <c r="A385" s="2" t="s">
        <v>26</v>
      </c>
      <c r="B385" s="3" t="s">
        <v>5</v>
      </c>
      <c r="C385" s="3" t="s">
        <v>47</v>
      </c>
      <c r="D385" s="4">
        <v>76831.515625</v>
      </c>
    </row>
    <row r="386" spans="1:4" x14ac:dyDescent="0.25">
      <c r="A386" s="5" t="s">
        <v>26</v>
      </c>
      <c r="B386" s="6" t="s">
        <v>5</v>
      </c>
      <c r="C386" s="6" t="s">
        <v>48</v>
      </c>
      <c r="D386" s="7">
        <v>37592.27734375</v>
      </c>
    </row>
    <row r="387" spans="1:4" x14ac:dyDescent="0.25">
      <c r="A387" s="2" t="s">
        <v>26</v>
      </c>
      <c r="B387" s="3" t="s">
        <v>5</v>
      </c>
      <c r="C387" s="3" t="s">
        <v>49</v>
      </c>
      <c r="D387" s="4">
        <v>22585.759765625</v>
      </c>
    </row>
    <row r="388" spans="1:4" x14ac:dyDescent="0.25">
      <c r="A388" s="5" t="s">
        <v>26</v>
      </c>
      <c r="B388" s="6" t="s">
        <v>5</v>
      </c>
      <c r="C388" s="6" t="s">
        <v>50</v>
      </c>
      <c r="D388" s="7">
        <v>31594.365234375</v>
      </c>
    </row>
    <row r="389" spans="1:4" x14ac:dyDescent="0.25">
      <c r="A389" s="2" t="s">
        <v>26</v>
      </c>
      <c r="B389" s="3" t="s">
        <v>5</v>
      </c>
      <c r="C389" s="3" t="s">
        <v>51</v>
      </c>
      <c r="D389" s="4">
        <v>87119.7265625</v>
      </c>
    </row>
    <row r="390" spans="1:4" x14ac:dyDescent="0.25">
      <c r="A390" s="5" t="s">
        <v>26</v>
      </c>
      <c r="B390" s="6" t="s">
        <v>5</v>
      </c>
      <c r="C390" s="6" t="s">
        <v>52</v>
      </c>
      <c r="D390" s="7">
        <v>120212.2890625</v>
      </c>
    </row>
    <row r="391" spans="1:4" x14ac:dyDescent="0.25">
      <c r="A391" s="2" t="s">
        <v>26</v>
      </c>
      <c r="B391" s="3" t="s">
        <v>5</v>
      </c>
      <c r="C391" s="3" t="s">
        <v>53</v>
      </c>
      <c r="D391" s="4">
        <v>79459.359375</v>
      </c>
    </row>
    <row r="392" spans="1:4" x14ac:dyDescent="0.25">
      <c r="A392" s="5" t="s">
        <v>26</v>
      </c>
      <c r="B392" s="6" t="s">
        <v>5</v>
      </c>
      <c r="C392" s="6" t="s">
        <v>54</v>
      </c>
      <c r="D392" s="7">
        <v>36834.57421875</v>
      </c>
    </row>
    <row r="393" spans="1:4" x14ac:dyDescent="0.25">
      <c r="A393" s="2" t="s">
        <v>26</v>
      </c>
      <c r="B393" s="3" t="s">
        <v>5</v>
      </c>
      <c r="C393" s="3" t="s">
        <v>55</v>
      </c>
      <c r="D393" s="4">
        <v>22335.953125</v>
      </c>
    </row>
    <row r="394" spans="1:4" x14ac:dyDescent="0.25">
      <c r="A394" s="2" t="s">
        <v>26</v>
      </c>
      <c r="B394" s="3" t="s">
        <v>5</v>
      </c>
      <c r="C394" s="3" t="s">
        <v>56</v>
      </c>
      <c r="D394" s="4">
        <v>31680.931640625</v>
      </c>
    </row>
    <row r="395" spans="1:4" x14ac:dyDescent="0.25">
      <c r="A395" s="2" t="s">
        <v>26</v>
      </c>
      <c r="B395" s="3" t="s">
        <v>5</v>
      </c>
      <c r="C395" s="3" t="s">
        <v>57</v>
      </c>
      <c r="D395" s="4">
        <v>91635.734375</v>
      </c>
    </row>
    <row r="396" spans="1:4" x14ac:dyDescent="0.25">
      <c r="A396" s="2" t="s">
        <v>26</v>
      </c>
      <c r="B396" s="3" t="s">
        <v>5</v>
      </c>
      <c r="C396" s="3" t="s">
        <v>58</v>
      </c>
      <c r="D396" s="4">
        <v>126250.640625</v>
      </c>
    </row>
    <row r="397" spans="1:4" x14ac:dyDescent="0.25">
      <c r="A397" s="2" t="s">
        <v>26</v>
      </c>
      <c r="B397" s="3" t="s">
        <v>5</v>
      </c>
      <c r="C397" s="3" t="s">
        <v>59</v>
      </c>
      <c r="D397" s="4">
        <v>82968.3046875</v>
      </c>
    </row>
    <row r="398" spans="1:4" x14ac:dyDescent="0.25">
      <c r="A398" s="2" t="s">
        <v>26</v>
      </c>
      <c r="B398" s="3" t="s">
        <v>5</v>
      </c>
      <c r="C398" s="3" t="s">
        <v>60</v>
      </c>
      <c r="D398" s="4">
        <v>40538.453125</v>
      </c>
    </row>
    <row r="399" spans="1:4" x14ac:dyDescent="0.25">
      <c r="A399" s="2" t="s">
        <v>26</v>
      </c>
      <c r="B399" s="3" t="s">
        <v>5</v>
      </c>
      <c r="C399" s="3" t="s">
        <v>61</v>
      </c>
      <c r="D399" s="4">
        <v>24312.3359375</v>
      </c>
    </row>
    <row r="400" spans="1:4" x14ac:dyDescent="0.25">
      <c r="A400" s="2" t="s">
        <v>26</v>
      </c>
      <c r="B400" s="3" t="s">
        <v>5</v>
      </c>
      <c r="C400" s="3" t="s">
        <v>62</v>
      </c>
      <c r="D400" s="4">
        <v>34020.24609375</v>
      </c>
    </row>
    <row r="401" spans="1:4" x14ac:dyDescent="0.25">
      <c r="A401" s="2" t="s">
        <v>26</v>
      </c>
      <c r="B401" s="3" t="s">
        <v>5</v>
      </c>
      <c r="C401" s="3" t="s">
        <v>63</v>
      </c>
      <c r="D401" s="4">
        <v>93927.84375</v>
      </c>
    </row>
    <row r="402" spans="1:4" x14ac:dyDescent="0.25">
      <c r="A402" s="2" t="s">
        <v>26</v>
      </c>
      <c r="B402" s="3" t="s">
        <v>5</v>
      </c>
      <c r="C402" s="3" t="s">
        <v>64</v>
      </c>
      <c r="D402" s="4">
        <v>129601.359375</v>
      </c>
    </row>
    <row r="403" spans="1:4" x14ac:dyDescent="0.25">
      <c r="A403" s="2" t="s">
        <v>26</v>
      </c>
      <c r="B403" s="3" t="s">
        <v>5</v>
      </c>
      <c r="C403" s="3" t="s">
        <v>65</v>
      </c>
      <c r="D403" s="4">
        <v>85653.4609375</v>
      </c>
    </row>
    <row r="404" spans="1:4" x14ac:dyDescent="0.25">
      <c r="A404" s="2" t="s">
        <v>26</v>
      </c>
      <c r="B404" s="3" t="s">
        <v>5</v>
      </c>
      <c r="C404" s="3" t="s">
        <v>66</v>
      </c>
      <c r="D404" s="4">
        <v>39763.3984375</v>
      </c>
    </row>
    <row r="405" spans="1:4" x14ac:dyDescent="0.25">
      <c r="A405" s="2" t="s">
        <v>9</v>
      </c>
      <c r="B405" s="3" t="s">
        <v>5</v>
      </c>
      <c r="C405" s="3" t="s">
        <v>36</v>
      </c>
      <c r="D405" s="4">
        <v>21927.775390625</v>
      </c>
    </row>
    <row r="406" spans="1:4" x14ac:dyDescent="0.25">
      <c r="A406" s="5" t="s">
        <v>9</v>
      </c>
      <c r="B406" s="6" t="s">
        <v>5</v>
      </c>
      <c r="C406" s="6" t="s">
        <v>37</v>
      </c>
      <c r="D406" s="7">
        <v>12893.044921875</v>
      </c>
    </row>
    <row r="407" spans="1:4" x14ac:dyDescent="0.25">
      <c r="A407" s="2" t="s">
        <v>9</v>
      </c>
      <c r="B407" s="3" t="s">
        <v>5</v>
      </c>
      <c r="C407" s="3" t="s">
        <v>38</v>
      </c>
      <c r="D407" s="4">
        <v>18104.3828125</v>
      </c>
    </row>
    <row r="408" spans="1:4" x14ac:dyDescent="0.25">
      <c r="A408" s="5" t="s">
        <v>9</v>
      </c>
      <c r="B408" s="6" t="s">
        <v>5</v>
      </c>
      <c r="C408" s="6" t="s">
        <v>39</v>
      </c>
      <c r="D408" s="7">
        <v>50690.51953125</v>
      </c>
    </row>
    <row r="409" spans="1:4" x14ac:dyDescent="0.25">
      <c r="A409" s="2" t="s">
        <v>9</v>
      </c>
      <c r="B409" s="3" t="s">
        <v>5</v>
      </c>
      <c r="C409" s="3" t="s">
        <v>40</v>
      </c>
      <c r="D409" s="4">
        <v>69912.2421875</v>
      </c>
    </row>
    <row r="410" spans="1:4" x14ac:dyDescent="0.25">
      <c r="A410" s="5" t="s">
        <v>9</v>
      </c>
      <c r="B410" s="6" t="s">
        <v>5</v>
      </c>
      <c r="C410" s="6" t="s">
        <v>41</v>
      </c>
      <c r="D410" s="7">
        <v>46133.875</v>
      </c>
    </row>
    <row r="411" spans="1:4" x14ac:dyDescent="0.25">
      <c r="A411" s="2" t="s">
        <v>9</v>
      </c>
      <c r="B411" s="3" t="s">
        <v>5</v>
      </c>
      <c r="C411" s="3" t="s">
        <v>42</v>
      </c>
      <c r="D411" s="4">
        <v>21757.552734375</v>
      </c>
    </row>
    <row r="412" spans="1:4" x14ac:dyDescent="0.25">
      <c r="A412" s="5" t="s">
        <v>9</v>
      </c>
      <c r="B412" s="6" t="s">
        <v>5</v>
      </c>
      <c r="C412" s="6" t="s">
        <v>43</v>
      </c>
      <c r="D412" s="7">
        <v>11117.5146484375</v>
      </c>
    </row>
    <row r="413" spans="1:4" x14ac:dyDescent="0.25">
      <c r="A413" s="2" t="s">
        <v>9</v>
      </c>
      <c r="B413" s="3" t="s">
        <v>5</v>
      </c>
      <c r="C413" s="3" t="s">
        <v>44</v>
      </c>
      <c r="D413" s="4">
        <v>15699.2080078125</v>
      </c>
    </row>
    <row r="414" spans="1:4" x14ac:dyDescent="0.25">
      <c r="A414" s="5" t="s">
        <v>9</v>
      </c>
      <c r="B414" s="6" t="s">
        <v>5</v>
      </c>
      <c r="C414" s="6" t="s">
        <v>45</v>
      </c>
      <c r="D414" s="7">
        <v>44777.58984375</v>
      </c>
    </row>
    <row r="415" spans="1:4" x14ac:dyDescent="0.25">
      <c r="A415" s="2" t="s">
        <v>9</v>
      </c>
      <c r="B415" s="3" t="s">
        <v>5</v>
      </c>
      <c r="C415" s="3" t="s">
        <v>46</v>
      </c>
      <c r="D415" s="4">
        <v>61722.4609375</v>
      </c>
    </row>
    <row r="416" spans="1:4" x14ac:dyDescent="0.25">
      <c r="A416" s="5" t="s">
        <v>9</v>
      </c>
      <c r="B416" s="6" t="s">
        <v>5</v>
      </c>
      <c r="C416" s="6" t="s">
        <v>47</v>
      </c>
      <c r="D416" s="7">
        <v>40635.76953125</v>
      </c>
    </row>
    <row r="417" spans="1:4" x14ac:dyDescent="0.25">
      <c r="A417" s="2" t="s">
        <v>9</v>
      </c>
      <c r="B417" s="3" t="s">
        <v>5</v>
      </c>
      <c r="C417" s="3" t="s">
        <v>48</v>
      </c>
      <c r="D417" s="4">
        <v>19556.8671875</v>
      </c>
    </row>
    <row r="418" spans="1:4" x14ac:dyDescent="0.25">
      <c r="A418" s="5" t="s">
        <v>9</v>
      </c>
      <c r="B418" s="6" t="s">
        <v>5</v>
      </c>
      <c r="C418" s="6" t="s">
        <v>49</v>
      </c>
      <c r="D418" s="7">
        <v>11499.0048828125</v>
      </c>
    </row>
    <row r="419" spans="1:4" x14ac:dyDescent="0.25">
      <c r="A419" s="2" t="s">
        <v>9</v>
      </c>
      <c r="B419" s="3" t="s">
        <v>5</v>
      </c>
      <c r="C419" s="3" t="s">
        <v>50</v>
      </c>
      <c r="D419" s="4">
        <v>16146.875</v>
      </c>
    </row>
    <row r="420" spans="1:4" x14ac:dyDescent="0.25">
      <c r="A420" s="5" t="s">
        <v>9</v>
      </c>
      <c r="B420" s="6" t="s">
        <v>5</v>
      </c>
      <c r="C420" s="6" t="s">
        <v>51</v>
      </c>
      <c r="D420" s="7">
        <v>45209.68359375</v>
      </c>
    </row>
    <row r="421" spans="1:4" x14ac:dyDescent="0.25">
      <c r="A421" s="2" t="s">
        <v>9</v>
      </c>
      <c r="B421" s="3" t="s">
        <v>5</v>
      </c>
      <c r="C421" s="3" t="s">
        <v>52</v>
      </c>
      <c r="D421" s="4">
        <v>62353.0859375</v>
      </c>
    </row>
    <row r="422" spans="1:4" x14ac:dyDescent="0.25">
      <c r="A422" s="5" t="s">
        <v>9</v>
      </c>
      <c r="B422" s="6" t="s">
        <v>5</v>
      </c>
      <c r="C422" s="6" t="s">
        <v>53</v>
      </c>
      <c r="D422" s="7">
        <v>41145.71875</v>
      </c>
    </row>
    <row r="423" spans="1:4" x14ac:dyDescent="0.25">
      <c r="A423" s="2" t="s">
        <v>9</v>
      </c>
      <c r="B423" s="3" t="s">
        <v>5</v>
      </c>
      <c r="C423" s="3" t="s">
        <v>54</v>
      </c>
      <c r="D423" s="4">
        <v>19405.048828125</v>
      </c>
    </row>
    <row r="424" spans="1:4" x14ac:dyDescent="0.25">
      <c r="A424" s="5" t="s">
        <v>9</v>
      </c>
      <c r="B424" s="6" t="s">
        <v>5</v>
      </c>
      <c r="C424" s="6" t="s">
        <v>55</v>
      </c>
      <c r="D424" s="7">
        <v>12660.2421875</v>
      </c>
    </row>
    <row r="425" spans="1:4" x14ac:dyDescent="0.25">
      <c r="A425" s="5" t="s">
        <v>9</v>
      </c>
      <c r="B425" s="6" t="s">
        <v>5</v>
      </c>
      <c r="C425" s="6" t="s">
        <v>56</v>
      </c>
      <c r="D425" s="7">
        <v>17877.71484375</v>
      </c>
    </row>
    <row r="426" spans="1:4" x14ac:dyDescent="0.25">
      <c r="A426" s="5" t="s">
        <v>9</v>
      </c>
      <c r="B426" s="6" t="s">
        <v>5</v>
      </c>
      <c r="C426" s="6" t="s">
        <v>57</v>
      </c>
      <c r="D426" s="7">
        <v>50991.16015625</v>
      </c>
    </row>
    <row r="427" spans="1:4" x14ac:dyDescent="0.25">
      <c r="A427" s="5" t="s">
        <v>9</v>
      </c>
      <c r="B427" s="6" t="s">
        <v>5</v>
      </c>
      <c r="C427" s="6" t="s">
        <v>58</v>
      </c>
      <c r="D427" s="7">
        <v>70287.390625</v>
      </c>
    </row>
    <row r="428" spans="1:4" x14ac:dyDescent="0.25">
      <c r="A428" s="5" t="s">
        <v>9</v>
      </c>
      <c r="B428" s="6" t="s">
        <v>5</v>
      </c>
      <c r="C428" s="6" t="s">
        <v>59</v>
      </c>
      <c r="D428" s="7">
        <v>46274.59375</v>
      </c>
    </row>
    <row r="429" spans="1:4" x14ac:dyDescent="0.25">
      <c r="A429" s="5" t="s">
        <v>9</v>
      </c>
      <c r="B429" s="6" t="s">
        <v>5</v>
      </c>
      <c r="C429" s="6" t="s">
        <v>60</v>
      </c>
      <c r="D429" s="7">
        <v>22270.67578125</v>
      </c>
    </row>
    <row r="430" spans="1:4" x14ac:dyDescent="0.25">
      <c r="A430" s="5" t="s">
        <v>9</v>
      </c>
      <c r="B430" s="6" t="s">
        <v>5</v>
      </c>
      <c r="C430" s="6" t="s">
        <v>61</v>
      </c>
      <c r="D430" s="7">
        <v>13094.66015625</v>
      </c>
    </row>
    <row r="431" spans="1:4" x14ac:dyDescent="0.25">
      <c r="A431" s="5" t="s">
        <v>9</v>
      </c>
      <c r="B431" s="6" t="s">
        <v>5</v>
      </c>
      <c r="C431" s="6" t="s">
        <v>62</v>
      </c>
      <c r="D431" s="7">
        <v>18387.4921875</v>
      </c>
    </row>
    <row r="432" spans="1:4" x14ac:dyDescent="0.25">
      <c r="A432" s="5" t="s">
        <v>9</v>
      </c>
      <c r="B432" s="6" t="s">
        <v>5</v>
      </c>
      <c r="C432" s="6" t="s">
        <v>63</v>
      </c>
      <c r="D432" s="7">
        <v>51483.20703125</v>
      </c>
    </row>
    <row r="433" spans="1:4" x14ac:dyDescent="0.25">
      <c r="A433" s="5" t="s">
        <v>9</v>
      </c>
      <c r="B433" s="6" t="s">
        <v>5</v>
      </c>
      <c r="C433" s="6" t="s">
        <v>64</v>
      </c>
      <c r="D433" s="7">
        <v>71005.5078125</v>
      </c>
    </row>
    <row r="434" spans="1:4" x14ac:dyDescent="0.25">
      <c r="A434" s="5" t="s">
        <v>9</v>
      </c>
      <c r="B434" s="6" t="s">
        <v>5</v>
      </c>
      <c r="C434" s="6" t="s">
        <v>65</v>
      </c>
      <c r="D434" s="7">
        <v>46855.30078125</v>
      </c>
    </row>
    <row r="435" spans="1:4" x14ac:dyDescent="0.25">
      <c r="A435" s="5" t="s">
        <v>9</v>
      </c>
      <c r="B435" s="6" t="s">
        <v>5</v>
      </c>
      <c r="C435" s="6" t="s">
        <v>66</v>
      </c>
      <c r="D435" s="7">
        <v>22097.794921875</v>
      </c>
    </row>
    <row r="436" spans="1:4" x14ac:dyDescent="0.25">
      <c r="A436" s="5" t="s">
        <v>19</v>
      </c>
      <c r="B436" s="6" t="s">
        <v>5</v>
      </c>
      <c r="C436" s="6" t="s">
        <v>36</v>
      </c>
      <c r="D436" s="7">
        <v>29488.13671875</v>
      </c>
    </row>
    <row r="437" spans="1:4" x14ac:dyDescent="0.25">
      <c r="A437" s="2" t="s">
        <v>19</v>
      </c>
      <c r="B437" s="3" t="s">
        <v>5</v>
      </c>
      <c r="C437" s="3" t="s">
        <v>37</v>
      </c>
      <c r="D437" s="4">
        <v>17338.3671875</v>
      </c>
    </row>
    <row r="438" spans="1:4" x14ac:dyDescent="0.25">
      <c r="A438" s="5" t="s">
        <v>19</v>
      </c>
      <c r="B438" s="6" t="s">
        <v>5</v>
      </c>
      <c r="C438" s="6" t="s">
        <v>38</v>
      </c>
      <c r="D438" s="7">
        <v>24346.494140625</v>
      </c>
    </row>
    <row r="439" spans="1:4" x14ac:dyDescent="0.25">
      <c r="A439" s="2" t="s">
        <v>19</v>
      </c>
      <c r="B439" s="3" t="s">
        <v>5</v>
      </c>
      <c r="C439" s="3" t="s">
        <v>39</v>
      </c>
      <c r="D439" s="4">
        <v>68167.8359375</v>
      </c>
    </row>
    <row r="440" spans="1:4" x14ac:dyDescent="0.25">
      <c r="A440" s="5" t="s">
        <v>19</v>
      </c>
      <c r="B440" s="6" t="s">
        <v>5</v>
      </c>
      <c r="C440" s="6" t="s">
        <v>40</v>
      </c>
      <c r="D440" s="7">
        <v>94016.9140625</v>
      </c>
    </row>
    <row r="441" spans="1:4" x14ac:dyDescent="0.25">
      <c r="A441" s="2" t="s">
        <v>19</v>
      </c>
      <c r="B441" s="3" t="s">
        <v>5</v>
      </c>
      <c r="C441" s="3" t="s">
        <v>41</v>
      </c>
      <c r="D441" s="4">
        <v>62040.12890625</v>
      </c>
    </row>
    <row r="442" spans="1:4" x14ac:dyDescent="0.25">
      <c r="A442" s="5" t="s">
        <v>19</v>
      </c>
      <c r="B442" s="6" t="s">
        <v>5</v>
      </c>
      <c r="C442" s="6" t="s">
        <v>42</v>
      </c>
      <c r="D442" s="7">
        <v>29259.228515625</v>
      </c>
    </row>
    <row r="443" spans="1:4" x14ac:dyDescent="0.25">
      <c r="A443" s="2" t="s">
        <v>19</v>
      </c>
      <c r="B443" s="3" t="s">
        <v>5</v>
      </c>
      <c r="C443" s="3" t="s">
        <v>43</v>
      </c>
      <c r="D443" s="4">
        <v>14950.529296875</v>
      </c>
    </row>
    <row r="444" spans="1:4" x14ac:dyDescent="0.25">
      <c r="A444" s="5" t="s">
        <v>19</v>
      </c>
      <c r="B444" s="6" t="s">
        <v>5</v>
      </c>
      <c r="C444" s="6" t="s">
        <v>44</v>
      </c>
      <c r="D444" s="7">
        <v>21111.86328125</v>
      </c>
    </row>
    <row r="445" spans="1:4" x14ac:dyDescent="0.25">
      <c r="A445" s="2" t="s">
        <v>19</v>
      </c>
      <c r="B445" s="3" t="s">
        <v>5</v>
      </c>
      <c r="C445" s="3" t="s">
        <v>45</v>
      </c>
      <c r="D445" s="4">
        <v>60215.6640625</v>
      </c>
    </row>
    <row r="446" spans="1:4" x14ac:dyDescent="0.25">
      <c r="A446" s="5" t="s">
        <v>19</v>
      </c>
      <c r="B446" s="6" t="s">
        <v>5</v>
      </c>
      <c r="C446" s="6" t="s">
        <v>46</v>
      </c>
      <c r="D446" s="7">
        <v>83002.65625</v>
      </c>
    </row>
    <row r="447" spans="1:4" x14ac:dyDescent="0.25">
      <c r="A447" s="2" t="s">
        <v>19</v>
      </c>
      <c r="B447" s="3" t="s">
        <v>5</v>
      </c>
      <c r="C447" s="3" t="s">
        <v>47</v>
      </c>
      <c r="D447" s="4">
        <v>54645.859375</v>
      </c>
    </row>
    <row r="448" spans="1:4" x14ac:dyDescent="0.25">
      <c r="A448" s="5" t="s">
        <v>19</v>
      </c>
      <c r="B448" s="6" t="s">
        <v>5</v>
      </c>
      <c r="C448" s="6" t="s">
        <v>48</v>
      </c>
      <c r="D448" s="7">
        <v>26299.529296875</v>
      </c>
    </row>
    <row r="449" spans="1:4" x14ac:dyDescent="0.25">
      <c r="A449" s="2" t="s">
        <v>19</v>
      </c>
      <c r="B449" s="3" t="s">
        <v>5</v>
      </c>
      <c r="C449" s="3" t="s">
        <v>49</v>
      </c>
      <c r="D449" s="4">
        <v>15463.537109375</v>
      </c>
    </row>
    <row r="450" spans="1:4" x14ac:dyDescent="0.25">
      <c r="A450" s="5" t="s">
        <v>19</v>
      </c>
      <c r="B450" s="6" t="s">
        <v>5</v>
      </c>
      <c r="C450" s="6" t="s">
        <v>50</v>
      </c>
      <c r="D450" s="7">
        <v>21713.86328125</v>
      </c>
    </row>
    <row r="451" spans="1:4" x14ac:dyDescent="0.25">
      <c r="A451" s="2" t="s">
        <v>19</v>
      </c>
      <c r="B451" s="3" t="s">
        <v>5</v>
      </c>
      <c r="C451" s="3" t="s">
        <v>51</v>
      </c>
      <c r="D451" s="4">
        <v>60796.72265625</v>
      </c>
    </row>
    <row r="452" spans="1:4" x14ac:dyDescent="0.25">
      <c r="A452" s="5" t="s">
        <v>19</v>
      </c>
      <c r="B452" s="6" t="s">
        <v>5</v>
      </c>
      <c r="C452" s="6" t="s">
        <v>52</v>
      </c>
      <c r="D452" s="7">
        <v>83850.6875</v>
      </c>
    </row>
    <row r="453" spans="1:4" x14ac:dyDescent="0.25">
      <c r="A453" s="2" t="s">
        <v>19</v>
      </c>
      <c r="B453" s="3" t="s">
        <v>5</v>
      </c>
      <c r="C453" s="3" t="s">
        <v>53</v>
      </c>
      <c r="D453" s="4">
        <v>55331.61328125</v>
      </c>
    </row>
    <row r="454" spans="1:4" x14ac:dyDescent="0.25">
      <c r="A454" s="5" t="s">
        <v>19</v>
      </c>
      <c r="B454" s="6" t="s">
        <v>5</v>
      </c>
      <c r="C454" s="6" t="s">
        <v>54</v>
      </c>
      <c r="D454" s="7">
        <v>26095.373046875</v>
      </c>
    </row>
    <row r="455" spans="1:4" x14ac:dyDescent="0.25">
      <c r="A455" s="5" t="s">
        <v>19</v>
      </c>
      <c r="B455" s="6" t="s">
        <v>5</v>
      </c>
      <c r="C455" s="6" t="s">
        <v>55</v>
      </c>
      <c r="D455" s="7">
        <v>17040.37890625</v>
      </c>
    </row>
    <row r="456" spans="1:4" x14ac:dyDescent="0.25">
      <c r="A456" s="5" t="s">
        <v>19</v>
      </c>
      <c r="B456" s="6" t="s">
        <v>5</v>
      </c>
      <c r="C456" s="6" t="s">
        <v>56</v>
      </c>
      <c r="D456" s="7">
        <v>24062.974609375</v>
      </c>
    </row>
    <row r="457" spans="1:4" x14ac:dyDescent="0.25">
      <c r="A457" s="5" t="s">
        <v>19</v>
      </c>
      <c r="B457" s="6" t="s">
        <v>5</v>
      </c>
      <c r="C457" s="6" t="s">
        <v>57</v>
      </c>
      <c r="D457" s="7">
        <v>68632.875</v>
      </c>
    </row>
    <row r="458" spans="1:4" x14ac:dyDescent="0.25">
      <c r="A458" s="5" t="s">
        <v>19</v>
      </c>
      <c r="B458" s="6" t="s">
        <v>5</v>
      </c>
      <c r="C458" s="6" t="s">
        <v>58</v>
      </c>
      <c r="D458" s="7">
        <v>94605.140625</v>
      </c>
    </row>
    <row r="459" spans="1:4" x14ac:dyDescent="0.25">
      <c r="A459" s="5" t="s">
        <v>19</v>
      </c>
      <c r="B459" s="6" t="s">
        <v>5</v>
      </c>
      <c r="C459" s="6" t="s">
        <v>59</v>
      </c>
      <c r="D459" s="7">
        <v>62284.5</v>
      </c>
    </row>
    <row r="460" spans="1:4" x14ac:dyDescent="0.25">
      <c r="A460" s="5" t="s">
        <v>19</v>
      </c>
      <c r="B460" s="6" t="s">
        <v>5</v>
      </c>
      <c r="C460" s="6" t="s">
        <v>60</v>
      </c>
      <c r="D460" s="7">
        <v>29975.794921875</v>
      </c>
    </row>
    <row r="461" spans="1:4" x14ac:dyDescent="0.25">
      <c r="A461" s="5" t="s">
        <v>19</v>
      </c>
      <c r="B461" s="6" t="s">
        <v>5</v>
      </c>
      <c r="C461" s="6" t="s">
        <v>61</v>
      </c>
      <c r="D461" s="7">
        <v>17625.09765625</v>
      </c>
    </row>
    <row r="462" spans="1:4" x14ac:dyDescent="0.25">
      <c r="A462" s="5" t="s">
        <v>19</v>
      </c>
      <c r="B462" s="6" t="s">
        <v>5</v>
      </c>
      <c r="C462" s="6" t="s">
        <v>62</v>
      </c>
      <c r="D462" s="7">
        <v>24749.125</v>
      </c>
    </row>
    <row r="463" spans="1:4" x14ac:dyDescent="0.25">
      <c r="A463" s="5" t="s">
        <v>19</v>
      </c>
      <c r="B463" s="6" t="s">
        <v>5</v>
      </c>
      <c r="C463" s="6" t="s">
        <v>63</v>
      </c>
      <c r="D463" s="7">
        <v>69295.15625</v>
      </c>
    </row>
    <row r="464" spans="1:4" x14ac:dyDescent="0.25">
      <c r="A464" s="5" t="s">
        <v>19</v>
      </c>
      <c r="B464" s="6" t="s">
        <v>5</v>
      </c>
      <c r="C464" s="6" t="s">
        <v>64</v>
      </c>
      <c r="D464" s="7">
        <v>95571.703125</v>
      </c>
    </row>
    <row r="465" spans="1:4" x14ac:dyDescent="0.25">
      <c r="A465" s="5" t="s">
        <v>19</v>
      </c>
      <c r="B465" s="6" t="s">
        <v>5</v>
      </c>
      <c r="C465" s="6" t="s">
        <v>65</v>
      </c>
      <c r="D465" s="7">
        <v>63066.11328125</v>
      </c>
    </row>
    <row r="466" spans="1:4" x14ac:dyDescent="0.25">
      <c r="A466" s="5" t="s">
        <v>19</v>
      </c>
      <c r="B466" s="6" t="s">
        <v>5</v>
      </c>
      <c r="C466" s="6" t="s">
        <v>66</v>
      </c>
      <c r="D466" s="7">
        <v>29743.1015625</v>
      </c>
    </row>
    <row r="467" spans="1:4" x14ac:dyDescent="0.25">
      <c r="A467" s="2" t="s">
        <v>20</v>
      </c>
      <c r="B467" s="3" t="s">
        <v>5</v>
      </c>
      <c r="C467" s="3" t="s">
        <v>36</v>
      </c>
      <c r="D467" s="4">
        <v>30086.205078125</v>
      </c>
    </row>
    <row r="468" spans="1:4" x14ac:dyDescent="0.25">
      <c r="A468" s="5" t="s">
        <v>20</v>
      </c>
      <c r="B468" s="6" t="s">
        <v>5</v>
      </c>
      <c r="C468" s="6" t="s">
        <v>37</v>
      </c>
      <c r="D468" s="7">
        <v>18093.109375</v>
      </c>
    </row>
    <row r="469" spans="1:4" x14ac:dyDescent="0.25">
      <c r="A469" s="2" t="s">
        <v>20</v>
      </c>
      <c r="B469" s="3" t="s">
        <v>5</v>
      </c>
      <c r="C469" s="3" t="s">
        <v>38</v>
      </c>
      <c r="D469" s="4">
        <v>25305.59375</v>
      </c>
    </row>
    <row r="470" spans="1:4" x14ac:dyDescent="0.25">
      <c r="A470" s="5" t="s">
        <v>20</v>
      </c>
      <c r="B470" s="6" t="s">
        <v>5</v>
      </c>
      <c r="C470" s="6" t="s">
        <v>39</v>
      </c>
      <c r="D470" s="7">
        <v>69732.171875</v>
      </c>
    </row>
    <row r="471" spans="1:4" x14ac:dyDescent="0.25">
      <c r="A471" s="2" t="s">
        <v>20</v>
      </c>
      <c r="B471" s="3" t="s">
        <v>5</v>
      </c>
      <c r="C471" s="3" t="s">
        <v>40</v>
      </c>
      <c r="D471" s="4">
        <v>96222.0625</v>
      </c>
    </row>
    <row r="472" spans="1:4" x14ac:dyDescent="0.25">
      <c r="A472" s="5" t="s">
        <v>20</v>
      </c>
      <c r="B472" s="6" t="s">
        <v>5</v>
      </c>
      <c r="C472" s="6" t="s">
        <v>41</v>
      </c>
      <c r="D472" s="7">
        <v>63606.71484375</v>
      </c>
    </row>
    <row r="473" spans="1:4" x14ac:dyDescent="0.25">
      <c r="A473" s="2" t="s">
        <v>20</v>
      </c>
      <c r="B473" s="3" t="s">
        <v>5</v>
      </c>
      <c r="C473" s="3" t="s">
        <v>42</v>
      </c>
      <c r="D473" s="4">
        <v>29463.314453125</v>
      </c>
    </row>
    <row r="474" spans="1:4" x14ac:dyDescent="0.25">
      <c r="A474" s="5" t="s">
        <v>20</v>
      </c>
      <c r="B474" s="6" t="s">
        <v>5</v>
      </c>
      <c r="C474" s="6" t="s">
        <v>43</v>
      </c>
      <c r="D474" s="7">
        <v>15453.798828125</v>
      </c>
    </row>
    <row r="475" spans="1:4" x14ac:dyDescent="0.25">
      <c r="A475" s="2" t="s">
        <v>20</v>
      </c>
      <c r="B475" s="3" t="s">
        <v>5</v>
      </c>
      <c r="C475" s="3" t="s">
        <v>44</v>
      </c>
      <c r="D475" s="4">
        <v>21940.9375</v>
      </c>
    </row>
    <row r="476" spans="1:4" x14ac:dyDescent="0.25">
      <c r="A476" s="5" t="s">
        <v>20</v>
      </c>
      <c r="B476" s="6" t="s">
        <v>5</v>
      </c>
      <c r="C476" s="6" t="s">
        <v>45</v>
      </c>
      <c r="D476" s="7">
        <v>63658.4609375</v>
      </c>
    </row>
    <row r="477" spans="1:4" x14ac:dyDescent="0.25">
      <c r="A477" s="2" t="s">
        <v>20</v>
      </c>
      <c r="B477" s="3" t="s">
        <v>5</v>
      </c>
      <c r="C477" s="3" t="s">
        <v>46</v>
      </c>
      <c r="D477" s="4">
        <v>87695.71875</v>
      </c>
    </row>
    <row r="478" spans="1:4" x14ac:dyDescent="0.25">
      <c r="A478" s="5" t="s">
        <v>20</v>
      </c>
      <c r="B478" s="6" t="s">
        <v>5</v>
      </c>
      <c r="C478" s="6" t="s">
        <v>47</v>
      </c>
      <c r="D478" s="7">
        <v>57608.37890625</v>
      </c>
    </row>
    <row r="479" spans="1:4" x14ac:dyDescent="0.25">
      <c r="A479" s="2" t="s">
        <v>20</v>
      </c>
      <c r="B479" s="3" t="s">
        <v>5</v>
      </c>
      <c r="C479" s="3" t="s">
        <v>48</v>
      </c>
      <c r="D479" s="4">
        <v>28239.60546875</v>
      </c>
    </row>
    <row r="480" spans="1:4" x14ac:dyDescent="0.25">
      <c r="A480" s="5" t="s">
        <v>20</v>
      </c>
      <c r="B480" s="6" t="s">
        <v>5</v>
      </c>
      <c r="C480" s="6" t="s">
        <v>49</v>
      </c>
      <c r="D480" s="7">
        <v>17007.349609375</v>
      </c>
    </row>
    <row r="481" spans="1:4" x14ac:dyDescent="0.25">
      <c r="A481" s="2" t="s">
        <v>20</v>
      </c>
      <c r="B481" s="3" t="s">
        <v>5</v>
      </c>
      <c r="C481" s="3" t="s">
        <v>50</v>
      </c>
      <c r="D481" s="4">
        <v>23780.97265625</v>
      </c>
    </row>
    <row r="482" spans="1:4" x14ac:dyDescent="0.25">
      <c r="A482" s="5" t="s">
        <v>20</v>
      </c>
      <c r="B482" s="6" t="s">
        <v>5</v>
      </c>
      <c r="C482" s="6" t="s">
        <v>51</v>
      </c>
      <c r="D482" s="7">
        <v>65463.38671875</v>
      </c>
    </row>
    <row r="483" spans="1:4" x14ac:dyDescent="0.25">
      <c r="A483" s="2" t="s">
        <v>20</v>
      </c>
      <c r="B483" s="3" t="s">
        <v>5</v>
      </c>
      <c r="C483" s="3" t="s">
        <v>52</v>
      </c>
      <c r="D483" s="4">
        <v>90334.5625</v>
      </c>
    </row>
    <row r="484" spans="1:4" x14ac:dyDescent="0.25">
      <c r="A484" s="5" t="s">
        <v>20</v>
      </c>
      <c r="B484" s="6" t="s">
        <v>5</v>
      </c>
      <c r="C484" s="6" t="s">
        <v>53</v>
      </c>
      <c r="D484" s="7">
        <v>59721.65234375</v>
      </c>
    </row>
    <row r="485" spans="1:4" x14ac:dyDescent="0.25">
      <c r="A485" s="2" t="s">
        <v>20</v>
      </c>
      <c r="B485" s="3" t="s">
        <v>5</v>
      </c>
      <c r="C485" s="3" t="s">
        <v>54</v>
      </c>
      <c r="D485" s="4">
        <v>27631.05078125</v>
      </c>
    </row>
    <row r="486" spans="1:4" x14ac:dyDescent="0.25">
      <c r="A486" s="2" t="s">
        <v>20</v>
      </c>
      <c r="B486" s="3" t="s">
        <v>5</v>
      </c>
      <c r="C486" s="3" t="s">
        <v>55</v>
      </c>
      <c r="D486" s="4">
        <v>16588.33203125</v>
      </c>
    </row>
    <row r="487" spans="1:4" x14ac:dyDescent="0.25">
      <c r="A487" s="2" t="s">
        <v>20</v>
      </c>
      <c r="B487" s="3" t="s">
        <v>5</v>
      </c>
      <c r="C487" s="3" t="s">
        <v>56</v>
      </c>
      <c r="D487" s="4">
        <v>23541.6640625</v>
      </c>
    </row>
    <row r="488" spans="1:4" x14ac:dyDescent="0.25">
      <c r="A488" s="2" t="s">
        <v>20</v>
      </c>
      <c r="B488" s="3" t="s">
        <v>5</v>
      </c>
      <c r="C488" s="3" t="s">
        <v>57</v>
      </c>
      <c r="D488" s="4">
        <v>68211.640625</v>
      </c>
    </row>
    <row r="489" spans="1:4" x14ac:dyDescent="0.25">
      <c r="A489" s="2" t="s">
        <v>20</v>
      </c>
      <c r="B489" s="3" t="s">
        <v>5</v>
      </c>
      <c r="C489" s="3" t="s">
        <v>58</v>
      </c>
      <c r="D489" s="4">
        <v>93972.53125</v>
      </c>
    </row>
    <row r="490" spans="1:4" x14ac:dyDescent="0.25">
      <c r="A490" s="2" t="s">
        <v>20</v>
      </c>
      <c r="B490" s="3" t="s">
        <v>5</v>
      </c>
      <c r="C490" s="3" t="s">
        <v>59</v>
      </c>
      <c r="D490" s="4">
        <v>61742.2734375</v>
      </c>
    </row>
    <row r="491" spans="1:4" x14ac:dyDescent="0.25">
      <c r="A491" s="2" t="s">
        <v>20</v>
      </c>
      <c r="B491" s="3" t="s">
        <v>5</v>
      </c>
      <c r="C491" s="3" t="s">
        <v>60</v>
      </c>
      <c r="D491" s="4">
        <v>30223.19921875</v>
      </c>
    </row>
    <row r="492" spans="1:4" x14ac:dyDescent="0.25">
      <c r="A492" s="2" t="s">
        <v>20</v>
      </c>
      <c r="B492" s="3" t="s">
        <v>5</v>
      </c>
      <c r="C492" s="3" t="s">
        <v>61</v>
      </c>
      <c r="D492" s="4">
        <v>18169.0078125</v>
      </c>
    </row>
    <row r="493" spans="1:4" x14ac:dyDescent="0.25">
      <c r="A493" s="2" t="s">
        <v>20</v>
      </c>
      <c r="B493" s="3" t="s">
        <v>5</v>
      </c>
      <c r="C493" s="3" t="s">
        <v>62</v>
      </c>
      <c r="D493" s="4">
        <v>25413.33203125</v>
      </c>
    </row>
    <row r="494" spans="1:4" x14ac:dyDescent="0.25">
      <c r="A494" s="2" t="s">
        <v>20</v>
      </c>
      <c r="B494" s="3" t="s">
        <v>5</v>
      </c>
      <c r="C494" s="3" t="s">
        <v>63</v>
      </c>
      <c r="D494" s="4">
        <v>70046.765625</v>
      </c>
    </row>
    <row r="495" spans="1:4" x14ac:dyDescent="0.25">
      <c r="A495" s="2" t="s">
        <v>20</v>
      </c>
      <c r="B495" s="3" t="s">
        <v>5</v>
      </c>
      <c r="C495" s="3" t="s">
        <v>64</v>
      </c>
      <c r="D495" s="4">
        <v>96655.390625</v>
      </c>
    </row>
    <row r="496" spans="1:4" x14ac:dyDescent="0.25">
      <c r="A496" s="2" t="s">
        <v>20</v>
      </c>
      <c r="B496" s="3" t="s">
        <v>5</v>
      </c>
      <c r="C496" s="3" t="s">
        <v>65</v>
      </c>
      <c r="D496" s="4">
        <v>63891.37890625</v>
      </c>
    </row>
    <row r="497" spans="1:4" x14ac:dyDescent="0.25">
      <c r="A497" s="2" t="s">
        <v>20</v>
      </c>
      <c r="B497" s="3" t="s">
        <v>5</v>
      </c>
      <c r="C497" s="3" t="s">
        <v>66</v>
      </c>
      <c r="D497" s="4">
        <v>29603.73828125</v>
      </c>
    </row>
    <row r="498" spans="1:4" x14ac:dyDescent="0.25">
      <c r="A498" s="5" t="s">
        <v>31</v>
      </c>
      <c r="B498" s="6" t="s">
        <v>5</v>
      </c>
      <c r="C498" s="6" t="s">
        <v>36</v>
      </c>
      <c r="D498" s="7">
        <v>18513.060546875</v>
      </c>
    </row>
    <row r="499" spans="1:4" x14ac:dyDescent="0.25">
      <c r="A499" s="2" t="s">
        <v>31</v>
      </c>
      <c r="B499" s="3" t="s">
        <v>5</v>
      </c>
      <c r="C499" s="3" t="s">
        <v>37</v>
      </c>
      <c r="D499" s="4">
        <v>10885.267578125</v>
      </c>
    </row>
    <row r="500" spans="1:4" x14ac:dyDescent="0.25">
      <c r="A500" s="5" t="s">
        <v>31</v>
      </c>
      <c r="B500" s="6" t="s">
        <v>5</v>
      </c>
      <c r="C500" s="6" t="s">
        <v>38</v>
      </c>
      <c r="D500" s="7">
        <v>15285.0673828125</v>
      </c>
    </row>
    <row r="501" spans="1:4" x14ac:dyDescent="0.25">
      <c r="A501" s="2" t="s">
        <v>31</v>
      </c>
      <c r="B501" s="3" t="s">
        <v>5</v>
      </c>
      <c r="C501" s="3" t="s">
        <v>39</v>
      </c>
      <c r="D501" s="4">
        <v>42796.71484375</v>
      </c>
    </row>
    <row r="502" spans="1:4" x14ac:dyDescent="0.25">
      <c r="A502" s="5" t="s">
        <v>31</v>
      </c>
      <c r="B502" s="6" t="s">
        <v>5</v>
      </c>
      <c r="C502" s="6" t="s">
        <v>40</v>
      </c>
      <c r="D502" s="7">
        <v>59025.12109375</v>
      </c>
    </row>
    <row r="503" spans="1:4" x14ac:dyDescent="0.25">
      <c r="A503" s="2" t="s">
        <v>31</v>
      </c>
      <c r="B503" s="3" t="s">
        <v>5</v>
      </c>
      <c r="C503" s="3" t="s">
        <v>41</v>
      </c>
      <c r="D503" s="4">
        <v>38949.65234375</v>
      </c>
    </row>
    <row r="504" spans="1:4" x14ac:dyDescent="0.25">
      <c r="A504" s="5" t="s">
        <v>31</v>
      </c>
      <c r="B504" s="6" t="s">
        <v>5</v>
      </c>
      <c r="C504" s="6" t="s">
        <v>42</v>
      </c>
      <c r="D504" s="7">
        <v>18369.349609375</v>
      </c>
    </row>
    <row r="505" spans="1:4" x14ac:dyDescent="0.25">
      <c r="A505" s="2" t="s">
        <v>31</v>
      </c>
      <c r="B505" s="3" t="s">
        <v>5</v>
      </c>
      <c r="C505" s="3" t="s">
        <v>43</v>
      </c>
      <c r="D505" s="4">
        <v>9386.2861328125</v>
      </c>
    </row>
    <row r="506" spans="1:4" x14ac:dyDescent="0.25">
      <c r="A506" s="5" t="s">
        <v>31</v>
      </c>
      <c r="B506" s="6" t="s">
        <v>5</v>
      </c>
      <c r="C506" s="6" t="s">
        <v>44</v>
      </c>
      <c r="D506" s="7">
        <v>13254.5146484375</v>
      </c>
    </row>
    <row r="507" spans="1:4" x14ac:dyDescent="0.25">
      <c r="A507" s="2" t="s">
        <v>31</v>
      </c>
      <c r="B507" s="3" t="s">
        <v>5</v>
      </c>
      <c r="C507" s="3" t="s">
        <v>45</v>
      </c>
      <c r="D507" s="4">
        <v>37804.78125</v>
      </c>
    </row>
    <row r="508" spans="1:4" x14ac:dyDescent="0.25">
      <c r="A508" s="5" t="s">
        <v>31</v>
      </c>
      <c r="B508" s="6" t="s">
        <v>5</v>
      </c>
      <c r="C508" s="6" t="s">
        <v>46</v>
      </c>
      <c r="D508" s="7">
        <v>52110.98046875</v>
      </c>
    </row>
    <row r="509" spans="1:4" x14ac:dyDescent="0.25">
      <c r="A509" s="2" t="s">
        <v>31</v>
      </c>
      <c r="B509" s="3" t="s">
        <v>5</v>
      </c>
      <c r="C509" s="3" t="s">
        <v>47</v>
      </c>
      <c r="D509" s="4">
        <v>34307.9296875</v>
      </c>
    </row>
    <row r="510" spans="1:4" x14ac:dyDescent="0.25">
      <c r="A510" s="5" t="s">
        <v>31</v>
      </c>
      <c r="B510" s="6" t="s">
        <v>5</v>
      </c>
      <c r="C510" s="6" t="s">
        <v>48</v>
      </c>
      <c r="D510" s="7">
        <v>16511.451171875</v>
      </c>
    </row>
    <row r="511" spans="1:4" x14ac:dyDescent="0.25">
      <c r="A511" s="2" t="s">
        <v>31</v>
      </c>
      <c r="B511" s="3" t="s">
        <v>5</v>
      </c>
      <c r="C511" s="3" t="s">
        <v>49</v>
      </c>
      <c r="D511" s="4">
        <v>9708.365234375</v>
      </c>
    </row>
    <row r="512" spans="1:4" x14ac:dyDescent="0.25">
      <c r="A512" s="5" t="s">
        <v>31</v>
      </c>
      <c r="B512" s="6" t="s">
        <v>5</v>
      </c>
      <c r="C512" s="6" t="s">
        <v>50</v>
      </c>
      <c r="D512" s="7">
        <v>13632.4638671875</v>
      </c>
    </row>
    <row r="513" spans="1:4" x14ac:dyDescent="0.25">
      <c r="A513" s="2" t="s">
        <v>31</v>
      </c>
      <c r="B513" s="3" t="s">
        <v>5</v>
      </c>
      <c r="C513" s="3" t="s">
        <v>51</v>
      </c>
      <c r="D513" s="4">
        <v>38169.58203125</v>
      </c>
    </row>
    <row r="514" spans="1:4" x14ac:dyDescent="0.25">
      <c r="A514" s="5" t="s">
        <v>31</v>
      </c>
      <c r="B514" s="6" t="s">
        <v>5</v>
      </c>
      <c r="C514" s="6" t="s">
        <v>52</v>
      </c>
      <c r="D514" s="7">
        <v>52643.39453125</v>
      </c>
    </row>
    <row r="515" spans="1:4" x14ac:dyDescent="0.25">
      <c r="A515" s="2" t="s">
        <v>31</v>
      </c>
      <c r="B515" s="3" t="s">
        <v>5</v>
      </c>
      <c r="C515" s="3" t="s">
        <v>53</v>
      </c>
      <c r="D515" s="4">
        <v>34738.4609375</v>
      </c>
    </row>
    <row r="516" spans="1:4" x14ac:dyDescent="0.25">
      <c r="A516" s="5" t="s">
        <v>31</v>
      </c>
      <c r="B516" s="6" t="s">
        <v>5</v>
      </c>
      <c r="C516" s="6" t="s">
        <v>54</v>
      </c>
      <c r="D516" s="7">
        <v>16383.2763671875</v>
      </c>
    </row>
    <row r="517" spans="1:4" x14ac:dyDescent="0.25">
      <c r="A517" s="5" t="s">
        <v>31</v>
      </c>
      <c r="B517" s="6" t="s">
        <v>5</v>
      </c>
      <c r="C517" s="6" t="s">
        <v>55</v>
      </c>
      <c r="D517" s="7">
        <v>10770.0517578125</v>
      </c>
    </row>
    <row r="518" spans="1:4" x14ac:dyDescent="0.25">
      <c r="A518" s="5" t="s">
        <v>31</v>
      </c>
      <c r="B518" s="6" t="s">
        <v>5</v>
      </c>
      <c r="C518" s="6" t="s">
        <v>56</v>
      </c>
      <c r="D518" s="7">
        <v>15208.5498046875</v>
      </c>
    </row>
    <row r="519" spans="1:4" x14ac:dyDescent="0.25">
      <c r="A519" s="5" t="s">
        <v>31</v>
      </c>
      <c r="B519" s="6" t="s">
        <v>5</v>
      </c>
      <c r="C519" s="6" t="s">
        <v>57</v>
      </c>
      <c r="D519" s="7">
        <v>43378.12109375</v>
      </c>
    </row>
    <row r="520" spans="1:4" x14ac:dyDescent="0.25">
      <c r="A520" s="5" t="s">
        <v>31</v>
      </c>
      <c r="B520" s="6" t="s">
        <v>5</v>
      </c>
      <c r="C520" s="6" t="s">
        <v>58</v>
      </c>
      <c r="D520" s="7">
        <v>59793.3984375</v>
      </c>
    </row>
    <row r="521" spans="1:4" x14ac:dyDescent="0.25">
      <c r="A521" s="5" t="s">
        <v>31</v>
      </c>
      <c r="B521" s="6" t="s">
        <v>5</v>
      </c>
      <c r="C521" s="6" t="s">
        <v>59</v>
      </c>
      <c r="D521" s="7">
        <v>39365.75</v>
      </c>
    </row>
    <row r="522" spans="1:4" x14ac:dyDescent="0.25">
      <c r="A522" s="5" t="s">
        <v>31</v>
      </c>
      <c r="B522" s="6" t="s">
        <v>5</v>
      </c>
      <c r="C522" s="6" t="s">
        <v>60</v>
      </c>
      <c r="D522" s="7">
        <v>18945.638671875</v>
      </c>
    </row>
    <row r="523" spans="1:4" x14ac:dyDescent="0.25">
      <c r="A523" s="5" t="s">
        <v>31</v>
      </c>
      <c r="B523" s="6" t="s">
        <v>5</v>
      </c>
      <c r="C523" s="6" t="s">
        <v>61</v>
      </c>
      <c r="D523" s="7">
        <v>11139.6123046875</v>
      </c>
    </row>
    <row r="524" spans="1:4" x14ac:dyDescent="0.25">
      <c r="A524" s="5" t="s">
        <v>31</v>
      </c>
      <c r="B524" s="6" t="s">
        <v>5</v>
      </c>
      <c r="C524" s="6" t="s">
        <v>62</v>
      </c>
      <c r="D524" s="7">
        <v>15642.21875</v>
      </c>
    </row>
    <row r="525" spans="1:4" x14ac:dyDescent="0.25">
      <c r="A525" s="5" t="s">
        <v>31</v>
      </c>
      <c r="B525" s="6" t="s">
        <v>5</v>
      </c>
      <c r="C525" s="6" t="s">
        <v>63</v>
      </c>
      <c r="D525" s="7">
        <v>43796.703125</v>
      </c>
    </row>
    <row r="526" spans="1:4" x14ac:dyDescent="0.25">
      <c r="A526" s="5" t="s">
        <v>31</v>
      </c>
      <c r="B526" s="6" t="s">
        <v>5</v>
      </c>
      <c r="C526" s="6" t="s">
        <v>64</v>
      </c>
      <c r="D526" s="7">
        <v>60404.3046875</v>
      </c>
    </row>
    <row r="527" spans="1:4" x14ac:dyDescent="0.25">
      <c r="A527" s="5" t="s">
        <v>31</v>
      </c>
      <c r="B527" s="6" t="s">
        <v>5</v>
      </c>
      <c r="C527" s="6" t="s">
        <v>65</v>
      </c>
      <c r="D527" s="7">
        <v>39859.75</v>
      </c>
    </row>
    <row r="528" spans="1:4" x14ac:dyDescent="0.25">
      <c r="A528" s="5" t="s">
        <v>31</v>
      </c>
      <c r="B528" s="6" t="s">
        <v>5</v>
      </c>
      <c r="C528" s="6" t="s">
        <v>66</v>
      </c>
      <c r="D528" s="7">
        <v>18798.56640625</v>
      </c>
    </row>
    <row r="529" spans="1:4" x14ac:dyDescent="0.25">
      <c r="A529" s="2" t="s">
        <v>7</v>
      </c>
      <c r="B529" s="3" t="s">
        <v>5</v>
      </c>
      <c r="C529" s="3" t="s">
        <v>36</v>
      </c>
      <c r="D529" s="4">
        <v>28110.634765625</v>
      </c>
    </row>
    <row r="530" spans="1:4" x14ac:dyDescent="0.25">
      <c r="A530" s="5" t="s">
        <v>7</v>
      </c>
      <c r="B530" s="6" t="s">
        <v>5</v>
      </c>
      <c r="C530" s="6" t="s">
        <v>37</v>
      </c>
      <c r="D530" s="7">
        <v>16542.216796875</v>
      </c>
    </row>
    <row r="531" spans="1:4" x14ac:dyDescent="0.25">
      <c r="A531" s="2" t="s">
        <v>7</v>
      </c>
      <c r="B531" s="3" t="s">
        <v>5</v>
      </c>
      <c r="C531" s="3" t="s">
        <v>38</v>
      </c>
      <c r="D531" s="4">
        <v>23225.05859375</v>
      </c>
    </row>
    <row r="532" spans="1:4" x14ac:dyDescent="0.25">
      <c r="A532" s="5" t="s">
        <v>7</v>
      </c>
      <c r="B532" s="6" t="s">
        <v>5</v>
      </c>
      <c r="C532" s="6" t="s">
        <v>39</v>
      </c>
      <c r="D532" s="7">
        <v>64989.47265625</v>
      </c>
    </row>
    <row r="533" spans="1:4" x14ac:dyDescent="0.25">
      <c r="A533" s="2" t="s">
        <v>7</v>
      </c>
      <c r="B533" s="3" t="s">
        <v>5</v>
      </c>
      <c r="C533" s="3" t="s">
        <v>40</v>
      </c>
      <c r="D533" s="4">
        <v>89634.953125</v>
      </c>
    </row>
    <row r="534" spans="1:4" x14ac:dyDescent="0.25">
      <c r="A534" s="5" t="s">
        <v>7</v>
      </c>
      <c r="B534" s="6" t="s">
        <v>5</v>
      </c>
      <c r="C534" s="6" t="s">
        <v>41</v>
      </c>
      <c r="D534" s="7">
        <v>59152.40234375</v>
      </c>
    </row>
    <row r="535" spans="1:4" x14ac:dyDescent="0.25">
      <c r="A535" s="2" t="s">
        <v>7</v>
      </c>
      <c r="B535" s="3" t="s">
        <v>5</v>
      </c>
      <c r="C535" s="3" t="s">
        <v>42</v>
      </c>
      <c r="D535" s="4">
        <v>27878.998046875</v>
      </c>
    </row>
    <row r="536" spans="1:4" x14ac:dyDescent="0.25">
      <c r="A536" s="5" t="s">
        <v>7</v>
      </c>
      <c r="B536" s="6" t="s">
        <v>5</v>
      </c>
      <c r="C536" s="6" t="s">
        <v>43</v>
      </c>
      <c r="D536" s="7">
        <v>14258.1015625</v>
      </c>
    </row>
    <row r="537" spans="1:4" x14ac:dyDescent="0.25">
      <c r="A537" s="2" t="s">
        <v>7</v>
      </c>
      <c r="B537" s="3" t="s">
        <v>5</v>
      </c>
      <c r="C537" s="3" t="s">
        <v>44</v>
      </c>
      <c r="D537" s="4">
        <v>20138.177734375</v>
      </c>
    </row>
    <row r="538" spans="1:4" x14ac:dyDescent="0.25">
      <c r="A538" s="5" t="s">
        <v>7</v>
      </c>
      <c r="B538" s="6" t="s">
        <v>5</v>
      </c>
      <c r="C538" s="6" t="s">
        <v>45</v>
      </c>
      <c r="D538" s="7">
        <v>57475.76953125</v>
      </c>
    </row>
    <row r="539" spans="1:4" x14ac:dyDescent="0.25">
      <c r="A539" s="2" t="s">
        <v>7</v>
      </c>
      <c r="B539" s="3" t="s">
        <v>5</v>
      </c>
      <c r="C539" s="3" t="s">
        <v>46</v>
      </c>
      <c r="D539" s="4">
        <v>79224.109375</v>
      </c>
    </row>
    <row r="540" spans="1:4" x14ac:dyDescent="0.25">
      <c r="A540" s="5" t="s">
        <v>7</v>
      </c>
      <c r="B540" s="6" t="s">
        <v>5</v>
      </c>
      <c r="C540" s="6" t="s">
        <v>47</v>
      </c>
      <c r="D540" s="7">
        <v>52153.80078125</v>
      </c>
    </row>
    <row r="541" spans="1:4" x14ac:dyDescent="0.25">
      <c r="A541" s="2" t="s">
        <v>7</v>
      </c>
      <c r="B541" s="3" t="s">
        <v>5</v>
      </c>
      <c r="C541" s="3" t="s">
        <v>48</v>
      </c>
      <c r="D541" s="4">
        <v>25117.9375</v>
      </c>
    </row>
    <row r="542" spans="1:4" x14ac:dyDescent="0.25">
      <c r="A542" s="5" t="s">
        <v>7</v>
      </c>
      <c r="B542" s="6" t="s">
        <v>5</v>
      </c>
      <c r="C542" s="6" t="s">
        <v>49</v>
      </c>
      <c r="D542" s="7">
        <v>14782.65234375</v>
      </c>
    </row>
    <row r="543" spans="1:4" x14ac:dyDescent="0.25">
      <c r="A543" s="2" t="s">
        <v>7</v>
      </c>
      <c r="B543" s="3" t="s">
        <v>5</v>
      </c>
      <c r="C543" s="3" t="s">
        <v>50</v>
      </c>
      <c r="D543" s="4">
        <v>20754.259765625</v>
      </c>
    </row>
    <row r="544" spans="1:4" x14ac:dyDescent="0.25">
      <c r="A544" s="5" t="s">
        <v>7</v>
      </c>
      <c r="B544" s="6" t="s">
        <v>5</v>
      </c>
      <c r="C544" s="6" t="s">
        <v>51</v>
      </c>
      <c r="D544" s="7">
        <v>58071.24609375</v>
      </c>
    </row>
    <row r="545" spans="1:4" x14ac:dyDescent="0.25">
      <c r="A545" s="2" t="s">
        <v>7</v>
      </c>
      <c r="B545" s="3" t="s">
        <v>5</v>
      </c>
      <c r="C545" s="3" t="s">
        <v>52</v>
      </c>
      <c r="D545" s="4">
        <v>80093.3671875</v>
      </c>
    </row>
    <row r="546" spans="1:4" x14ac:dyDescent="0.25">
      <c r="A546" s="5" t="s">
        <v>7</v>
      </c>
      <c r="B546" s="6" t="s">
        <v>5</v>
      </c>
      <c r="C546" s="6" t="s">
        <v>53</v>
      </c>
      <c r="D546" s="7">
        <v>52856.09765625</v>
      </c>
    </row>
    <row r="547" spans="1:4" x14ac:dyDescent="0.25">
      <c r="A547" s="2" t="s">
        <v>7</v>
      </c>
      <c r="B547" s="3" t="s">
        <v>5</v>
      </c>
      <c r="C547" s="3" t="s">
        <v>54</v>
      </c>
      <c r="D547" s="4">
        <v>24909.443359375</v>
      </c>
    </row>
    <row r="548" spans="1:4" x14ac:dyDescent="0.25">
      <c r="A548" s="2" t="s">
        <v>7</v>
      </c>
      <c r="B548" s="3" t="s">
        <v>5</v>
      </c>
      <c r="C548" s="3" t="s">
        <v>55</v>
      </c>
      <c r="D548" s="4">
        <v>16233.9189453125</v>
      </c>
    </row>
    <row r="549" spans="1:4" x14ac:dyDescent="0.25">
      <c r="A549" s="2" t="s">
        <v>7</v>
      </c>
      <c r="B549" s="3" t="s">
        <v>5</v>
      </c>
      <c r="C549" s="3" t="s">
        <v>56</v>
      </c>
      <c r="D549" s="4">
        <v>22928.095703125</v>
      </c>
    </row>
    <row r="550" spans="1:4" x14ac:dyDescent="0.25">
      <c r="A550" s="2" t="s">
        <v>7</v>
      </c>
      <c r="B550" s="3" t="s">
        <v>5</v>
      </c>
      <c r="C550" s="3" t="s">
        <v>57</v>
      </c>
      <c r="D550" s="4">
        <v>65431.77734375</v>
      </c>
    </row>
    <row r="551" spans="1:4" x14ac:dyDescent="0.25">
      <c r="A551" s="2" t="s">
        <v>7</v>
      </c>
      <c r="B551" s="3" t="s">
        <v>5</v>
      </c>
      <c r="C551" s="3" t="s">
        <v>58</v>
      </c>
      <c r="D551" s="4">
        <v>90190.9296875</v>
      </c>
    </row>
    <row r="552" spans="1:4" x14ac:dyDescent="0.25">
      <c r="A552" s="2" t="s">
        <v>7</v>
      </c>
      <c r="B552" s="3" t="s">
        <v>5</v>
      </c>
      <c r="C552" s="3" t="s">
        <v>59</v>
      </c>
      <c r="D552" s="4">
        <v>59374.12109375</v>
      </c>
    </row>
    <row r="553" spans="1:4" x14ac:dyDescent="0.25">
      <c r="A553" s="2" t="s">
        <v>7</v>
      </c>
      <c r="B553" s="3" t="s">
        <v>5</v>
      </c>
      <c r="C553" s="3" t="s">
        <v>60</v>
      </c>
      <c r="D553" s="4">
        <v>28592.1953125</v>
      </c>
    </row>
    <row r="554" spans="1:4" x14ac:dyDescent="0.25">
      <c r="A554" s="2" t="s">
        <v>7</v>
      </c>
      <c r="B554" s="3" t="s">
        <v>5</v>
      </c>
      <c r="C554" s="3" t="s">
        <v>61</v>
      </c>
      <c r="D554" s="4">
        <v>16824.935546875</v>
      </c>
    </row>
    <row r="555" spans="1:4" x14ac:dyDescent="0.25">
      <c r="A555" s="2" t="s">
        <v>7</v>
      </c>
      <c r="B555" s="3" t="s">
        <v>5</v>
      </c>
      <c r="C555" s="3" t="s">
        <v>62</v>
      </c>
      <c r="D555" s="4">
        <v>23622.1796875</v>
      </c>
    </row>
    <row r="556" spans="1:4" x14ac:dyDescent="0.25">
      <c r="A556" s="2" t="s">
        <v>7</v>
      </c>
      <c r="B556" s="3" t="s">
        <v>5</v>
      </c>
      <c r="C556" s="3" t="s">
        <v>63</v>
      </c>
      <c r="D556" s="4">
        <v>66102.6015625</v>
      </c>
    </row>
    <row r="557" spans="1:4" x14ac:dyDescent="0.25">
      <c r="A557" s="2" t="s">
        <v>7</v>
      </c>
      <c r="B557" s="3" t="s">
        <v>5</v>
      </c>
      <c r="C557" s="3" t="s">
        <v>64</v>
      </c>
      <c r="D557" s="4">
        <v>91170.125</v>
      </c>
    </row>
    <row r="558" spans="1:4" x14ac:dyDescent="0.25">
      <c r="A558" s="2" t="s">
        <v>7</v>
      </c>
      <c r="B558" s="3" t="s">
        <v>5</v>
      </c>
      <c r="C558" s="3" t="s">
        <v>65</v>
      </c>
      <c r="D558" s="4">
        <v>60165.30078125</v>
      </c>
    </row>
    <row r="559" spans="1:4" x14ac:dyDescent="0.25">
      <c r="A559" s="2" t="s">
        <v>7</v>
      </c>
      <c r="B559" s="3" t="s">
        <v>5</v>
      </c>
      <c r="C559" s="3" t="s">
        <v>66</v>
      </c>
      <c r="D559" s="4">
        <v>28357.28125</v>
      </c>
    </row>
    <row r="560" spans="1:4" x14ac:dyDescent="0.25">
      <c r="A560" s="5" t="s">
        <v>12</v>
      </c>
      <c r="B560" s="6" t="s">
        <v>5</v>
      </c>
      <c r="C560" s="6" t="s">
        <v>36</v>
      </c>
      <c r="D560" s="7">
        <v>4092.88916015625</v>
      </c>
    </row>
    <row r="561" spans="1:4" x14ac:dyDescent="0.25">
      <c r="A561" s="2" t="s">
        <v>12</v>
      </c>
      <c r="B561" s="3" t="s">
        <v>5</v>
      </c>
      <c r="C561" s="3" t="s">
        <v>37</v>
      </c>
      <c r="D561" s="4">
        <v>2406.52758789062</v>
      </c>
    </row>
    <row r="562" spans="1:4" x14ac:dyDescent="0.25">
      <c r="A562" s="5" t="s">
        <v>12</v>
      </c>
      <c r="B562" s="6" t="s">
        <v>5</v>
      </c>
      <c r="C562" s="6" t="s">
        <v>38</v>
      </c>
      <c r="D562" s="7">
        <v>3379.24047851562</v>
      </c>
    </row>
    <row r="563" spans="1:4" x14ac:dyDescent="0.25">
      <c r="A563" s="2" t="s">
        <v>12</v>
      </c>
      <c r="B563" s="3" t="s">
        <v>5</v>
      </c>
      <c r="C563" s="3" t="s">
        <v>39</v>
      </c>
      <c r="D563" s="4">
        <v>9461.5478515625</v>
      </c>
    </row>
    <row r="564" spans="1:4" x14ac:dyDescent="0.25">
      <c r="A564" s="5" t="s">
        <v>12</v>
      </c>
      <c r="B564" s="6" t="s">
        <v>5</v>
      </c>
      <c r="C564" s="6" t="s">
        <v>40</v>
      </c>
      <c r="D564" s="7">
        <v>13049.3427734375</v>
      </c>
    </row>
    <row r="565" spans="1:4" x14ac:dyDescent="0.25">
      <c r="A565" s="2" t="s">
        <v>12</v>
      </c>
      <c r="B565" s="3" t="s">
        <v>5</v>
      </c>
      <c r="C565" s="3" t="s">
        <v>41</v>
      </c>
      <c r="D565" s="4">
        <v>8611.03515625</v>
      </c>
    </row>
    <row r="566" spans="1:4" x14ac:dyDescent="0.25">
      <c r="A566" s="5" t="s">
        <v>12</v>
      </c>
      <c r="B566" s="6" t="s">
        <v>5</v>
      </c>
      <c r="C566" s="6" t="s">
        <v>42</v>
      </c>
      <c r="D566" s="7">
        <v>4061.1171875</v>
      </c>
    </row>
    <row r="567" spans="1:4" x14ac:dyDescent="0.25">
      <c r="A567" s="2" t="s">
        <v>12</v>
      </c>
      <c r="B567" s="3" t="s">
        <v>5</v>
      </c>
      <c r="C567" s="3" t="s">
        <v>43</v>
      </c>
      <c r="D567" s="4">
        <v>2075.10083007812</v>
      </c>
    </row>
    <row r="568" spans="1:4" x14ac:dyDescent="0.25">
      <c r="A568" s="5" t="s">
        <v>12</v>
      </c>
      <c r="B568" s="6" t="s">
        <v>5</v>
      </c>
      <c r="C568" s="6" t="s">
        <v>44</v>
      </c>
      <c r="D568" s="7">
        <v>2930.28076171875</v>
      </c>
    </row>
    <row r="569" spans="1:4" x14ac:dyDescent="0.25">
      <c r="A569" s="2" t="s">
        <v>12</v>
      </c>
      <c r="B569" s="3" t="s">
        <v>5</v>
      </c>
      <c r="C569" s="3" t="s">
        <v>45</v>
      </c>
      <c r="D569" s="4">
        <v>8357.802734375</v>
      </c>
    </row>
    <row r="570" spans="1:4" x14ac:dyDescent="0.25">
      <c r="A570" s="5" t="s">
        <v>12</v>
      </c>
      <c r="B570" s="6" t="s">
        <v>5</v>
      </c>
      <c r="C570" s="6" t="s">
        <v>46</v>
      </c>
      <c r="D570" s="7">
        <v>11520.587890625</v>
      </c>
    </row>
    <row r="571" spans="1:4" x14ac:dyDescent="0.25">
      <c r="A571" s="2" t="s">
        <v>12</v>
      </c>
      <c r="B571" s="3" t="s">
        <v>5</v>
      </c>
      <c r="C571" s="3" t="s">
        <v>47</v>
      </c>
      <c r="D571" s="4">
        <v>7584.72607421875</v>
      </c>
    </row>
    <row r="572" spans="1:4" x14ac:dyDescent="0.25">
      <c r="A572" s="5" t="s">
        <v>12</v>
      </c>
      <c r="B572" s="6" t="s">
        <v>5</v>
      </c>
      <c r="C572" s="6" t="s">
        <v>48</v>
      </c>
      <c r="D572" s="7">
        <v>3650.31762695312</v>
      </c>
    </row>
    <row r="573" spans="1:4" x14ac:dyDescent="0.25">
      <c r="A573" s="2" t="s">
        <v>12</v>
      </c>
      <c r="B573" s="3" t="s">
        <v>5</v>
      </c>
      <c r="C573" s="3" t="s">
        <v>49</v>
      </c>
      <c r="D573" s="4">
        <v>2146.30541992188</v>
      </c>
    </row>
    <row r="574" spans="1:4" x14ac:dyDescent="0.25">
      <c r="A574" s="5" t="s">
        <v>12</v>
      </c>
      <c r="B574" s="6" t="s">
        <v>5</v>
      </c>
      <c r="C574" s="6" t="s">
        <v>50</v>
      </c>
      <c r="D574" s="7">
        <v>3013.8369140625</v>
      </c>
    </row>
    <row r="575" spans="1:4" x14ac:dyDescent="0.25">
      <c r="A575" s="2" t="s">
        <v>12</v>
      </c>
      <c r="B575" s="3" t="s">
        <v>5</v>
      </c>
      <c r="C575" s="3" t="s">
        <v>51</v>
      </c>
      <c r="D575" s="4">
        <v>8438.453125</v>
      </c>
    </row>
    <row r="576" spans="1:4" x14ac:dyDescent="0.25">
      <c r="A576" s="5" t="s">
        <v>12</v>
      </c>
      <c r="B576" s="6" t="s">
        <v>5</v>
      </c>
      <c r="C576" s="6" t="s">
        <v>52</v>
      </c>
      <c r="D576" s="7">
        <v>11638.2939453125</v>
      </c>
    </row>
    <row r="577" spans="1:4" x14ac:dyDescent="0.25">
      <c r="A577" s="2" t="s">
        <v>12</v>
      </c>
      <c r="B577" s="3" t="s">
        <v>5</v>
      </c>
      <c r="C577" s="3" t="s">
        <v>53</v>
      </c>
      <c r="D577" s="4">
        <v>7679.90771484375</v>
      </c>
    </row>
    <row r="578" spans="1:4" x14ac:dyDescent="0.25">
      <c r="A578" s="5" t="s">
        <v>12</v>
      </c>
      <c r="B578" s="6" t="s">
        <v>5</v>
      </c>
      <c r="C578" s="6" t="s">
        <v>54</v>
      </c>
      <c r="D578" s="7">
        <v>3621.98120117188</v>
      </c>
    </row>
    <row r="579" spans="1:4" x14ac:dyDescent="0.25">
      <c r="A579" s="2" t="s">
        <v>12</v>
      </c>
      <c r="B579" s="3" t="s">
        <v>5</v>
      </c>
      <c r="C579" s="3" t="s">
        <v>55</v>
      </c>
      <c r="D579" s="4">
        <v>2406.74609375</v>
      </c>
    </row>
    <row r="580" spans="1:4" x14ac:dyDescent="0.25">
      <c r="A580" s="2" t="s">
        <v>12</v>
      </c>
      <c r="B580" s="3" t="s">
        <v>5</v>
      </c>
      <c r="C580" s="3" t="s">
        <v>56</v>
      </c>
      <c r="D580" s="4">
        <v>3398.6015625</v>
      </c>
    </row>
    <row r="581" spans="1:4" x14ac:dyDescent="0.25">
      <c r="A581" s="2" t="s">
        <v>12</v>
      </c>
      <c r="B581" s="3" t="s">
        <v>5</v>
      </c>
      <c r="C581" s="3" t="s">
        <v>57</v>
      </c>
      <c r="D581" s="4">
        <v>9693.55859375</v>
      </c>
    </row>
    <row r="582" spans="1:4" x14ac:dyDescent="0.25">
      <c r="A582" s="2" t="s">
        <v>12</v>
      </c>
      <c r="B582" s="3" t="s">
        <v>5</v>
      </c>
      <c r="C582" s="3" t="s">
        <v>58</v>
      </c>
      <c r="D582" s="4">
        <v>13361.8232421875</v>
      </c>
    </row>
    <row r="583" spans="1:4" x14ac:dyDescent="0.25">
      <c r="A583" s="2" t="s">
        <v>12</v>
      </c>
      <c r="B583" s="3" t="s">
        <v>5</v>
      </c>
      <c r="C583" s="3" t="s">
        <v>59</v>
      </c>
      <c r="D583" s="4">
        <v>8796.9267578125</v>
      </c>
    </row>
    <row r="584" spans="1:4" x14ac:dyDescent="0.25">
      <c r="A584" s="2" t="s">
        <v>12</v>
      </c>
      <c r="B584" s="3" t="s">
        <v>5</v>
      </c>
      <c r="C584" s="3" t="s">
        <v>60</v>
      </c>
      <c r="D584" s="4">
        <v>4233.7158203125</v>
      </c>
    </row>
    <row r="585" spans="1:4" x14ac:dyDescent="0.25">
      <c r="A585" s="2" t="s">
        <v>12</v>
      </c>
      <c r="B585" s="3" t="s">
        <v>5</v>
      </c>
      <c r="C585" s="3" t="s">
        <v>61</v>
      </c>
      <c r="D585" s="4">
        <v>2489.33056640625</v>
      </c>
    </row>
    <row r="586" spans="1:4" x14ac:dyDescent="0.25">
      <c r="A586" s="2" t="s">
        <v>12</v>
      </c>
      <c r="B586" s="3" t="s">
        <v>5</v>
      </c>
      <c r="C586" s="3" t="s">
        <v>62</v>
      </c>
      <c r="D586" s="4">
        <v>3495.51220703125</v>
      </c>
    </row>
    <row r="587" spans="1:4" x14ac:dyDescent="0.25">
      <c r="A587" s="2" t="s">
        <v>12</v>
      </c>
      <c r="B587" s="3" t="s">
        <v>5</v>
      </c>
      <c r="C587" s="3" t="s">
        <v>63</v>
      </c>
      <c r="D587" s="4">
        <v>9787.09765625</v>
      </c>
    </row>
    <row r="588" spans="1:4" x14ac:dyDescent="0.25">
      <c r="A588" s="2" t="s">
        <v>12</v>
      </c>
      <c r="B588" s="3" t="s">
        <v>5</v>
      </c>
      <c r="C588" s="3" t="s">
        <v>64</v>
      </c>
      <c r="D588" s="4">
        <v>13498.33984375</v>
      </c>
    </row>
    <row r="589" spans="1:4" x14ac:dyDescent="0.25">
      <c r="A589" s="2" t="s">
        <v>12</v>
      </c>
      <c r="B589" s="3" t="s">
        <v>5</v>
      </c>
      <c r="C589" s="3" t="s">
        <v>65</v>
      </c>
      <c r="D589" s="4">
        <v>8907.3203125</v>
      </c>
    </row>
    <row r="590" spans="1:4" x14ac:dyDescent="0.25">
      <c r="A590" s="2" t="s">
        <v>12</v>
      </c>
      <c r="B590" s="3" t="s">
        <v>5</v>
      </c>
      <c r="C590" s="3" t="s">
        <v>66</v>
      </c>
      <c r="D590" s="4">
        <v>4200.8505859375</v>
      </c>
    </row>
    <row r="591" spans="1:4" x14ac:dyDescent="0.25">
      <c r="A591" s="2" t="s">
        <v>34</v>
      </c>
      <c r="B591" s="3" t="s">
        <v>5</v>
      </c>
      <c r="C591" s="3" t="s">
        <v>36</v>
      </c>
      <c r="D591" s="4">
        <v>2299.10668945312</v>
      </c>
    </row>
    <row r="592" spans="1:4" x14ac:dyDescent="0.25">
      <c r="A592" s="5" t="s">
        <v>34</v>
      </c>
      <c r="B592" s="6" t="s">
        <v>5</v>
      </c>
      <c r="C592" s="6" t="s">
        <v>37</v>
      </c>
      <c r="D592" s="7">
        <v>1364.02124023438</v>
      </c>
    </row>
    <row r="593" spans="1:4" x14ac:dyDescent="0.25">
      <c r="A593" s="2" t="s">
        <v>34</v>
      </c>
      <c r="B593" s="3" t="s">
        <v>5</v>
      </c>
      <c r="C593" s="3" t="s">
        <v>38</v>
      </c>
      <c r="D593" s="4">
        <v>1912.30798339844</v>
      </c>
    </row>
    <row r="594" spans="1:4" x14ac:dyDescent="0.25">
      <c r="A594" s="5" t="s">
        <v>34</v>
      </c>
      <c r="B594" s="6" t="s">
        <v>5</v>
      </c>
      <c r="C594" s="6" t="s">
        <v>39</v>
      </c>
      <c r="D594" s="7">
        <v>5320.3544921875</v>
      </c>
    </row>
    <row r="595" spans="1:4" x14ac:dyDescent="0.25">
      <c r="A595" s="2" t="s">
        <v>34</v>
      </c>
      <c r="B595" s="3" t="s">
        <v>5</v>
      </c>
      <c r="C595" s="3" t="s">
        <v>40</v>
      </c>
      <c r="D595" s="4">
        <v>7339.26025390625</v>
      </c>
    </row>
    <row r="596" spans="1:4" x14ac:dyDescent="0.25">
      <c r="A596" s="5" t="s">
        <v>34</v>
      </c>
      <c r="B596" s="6" t="s">
        <v>5</v>
      </c>
      <c r="C596" s="6" t="s">
        <v>41</v>
      </c>
      <c r="D596" s="7">
        <v>4846.4228515625</v>
      </c>
    </row>
    <row r="597" spans="1:4" x14ac:dyDescent="0.25">
      <c r="A597" s="2" t="s">
        <v>34</v>
      </c>
      <c r="B597" s="3" t="s">
        <v>5</v>
      </c>
      <c r="C597" s="3" t="s">
        <v>42</v>
      </c>
      <c r="D597" s="4">
        <v>2269.4775390625</v>
      </c>
    </row>
    <row r="598" spans="1:4" x14ac:dyDescent="0.25">
      <c r="A598" s="5" t="s">
        <v>34</v>
      </c>
      <c r="B598" s="6" t="s">
        <v>5</v>
      </c>
      <c r="C598" s="6" t="s">
        <v>43</v>
      </c>
      <c r="D598" s="7">
        <v>1171.7041015625</v>
      </c>
    </row>
    <row r="599" spans="1:4" x14ac:dyDescent="0.25">
      <c r="A599" s="2" t="s">
        <v>34</v>
      </c>
      <c r="B599" s="3" t="s">
        <v>5</v>
      </c>
      <c r="C599" s="3" t="s">
        <v>44</v>
      </c>
      <c r="D599" s="4">
        <v>1658.16357421875</v>
      </c>
    </row>
    <row r="600" spans="1:4" x14ac:dyDescent="0.25">
      <c r="A600" s="5" t="s">
        <v>34</v>
      </c>
      <c r="B600" s="6" t="s">
        <v>5</v>
      </c>
      <c r="C600" s="6" t="s">
        <v>45</v>
      </c>
      <c r="D600" s="7">
        <v>4762.06982421875</v>
      </c>
    </row>
    <row r="601" spans="1:4" x14ac:dyDescent="0.25">
      <c r="A601" s="2" t="s">
        <v>34</v>
      </c>
      <c r="B601" s="3" t="s">
        <v>5</v>
      </c>
      <c r="C601" s="3" t="s">
        <v>46</v>
      </c>
      <c r="D601" s="4">
        <v>6562.55615234375</v>
      </c>
    </row>
    <row r="602" spans="1:4" x14ac:dyDescent="0.25">
      <c r="A602" s="5" t="s">
        <v>34</v>
      </c>
      <c r="B602" s="6" t="s">
        <v>5</v>
      </c>
      <c r="C602" s="6" t="s">
        <v>47</v>
      </c>
      <c r="D602" s="7">
        <v>4316.69287109375</v>
      </c>
    </row>
    <row r="603" spans="1:4" x14ac:dyDescent="0.25">
      <c r="A603" s="2" t="s">
        <v>34</v>
      </c>
      <c r="B603" s="3" t="s">
        <v>5</v>
      </c>
      <c r="C603" s="3" t="s">
        <v>48</v>
      </c>
      <c r="D603" s="4">
        <v>2093.06713867188</v>
      </c>
    </row>
    <row r="604" spans="1:4" x14ac:dyDescent="0.25">
      <c r="A604" s="5" t="s">
        <v>34</v>
      </c>
      <c r="B604" s="6" t="s">
        <v>5</v>
      </c>
      <c r="C604" s="6" t="s">
        <v>49</v>
      </c>
      <c r="D604" s="7">
        <v>1242.87475585938</v>
      </c>
    </row>
    <row r="605" spans="1:4" x14ac:dyDescent="0.25">
      <c r="A605" s="2" t="s">
        <v>34</v>
      </c>
      <c r="B605" s="3" t="s">
        <v>5</v>
      </c>
      <c r="C605" s="3" t="s">
        <v>50</v>
      </c>
      <c r="D605" s="4">
        <v>1742.1943359375</v>
      </c>
    </row>
    <row r="606" spans="1:4" x14ac:dyDescent="0.25">
      <c r="A606" s="5" t="s">
        <v>34</v>
      </c>
      <c r="B606" s="6" t="s">
        <v>5</v>
      </c>
      <c r="C606" s="6" t="s">
        <v>51</v>
      </c>
      <c r="D606" s="7">
        <v>4844.05224609375</v>
      </c>
    </row>
    <row r="607" spans="1:4" x14ac:dyDescent="0.25">
      <c r="A607" s="2" t="s">
        <v>34</v>
      </c>
      <c r="B607" s="3" t="s">
        <v>5</v>
      </c>
      <c r="C607" s="3" t="s">
        <v>52</v>
      </c>
      <c r="D607" s="4">
        <v>6682.345703125</v>
      </c>
    </row>
    <row r="608" spans="1:4" x14ac:dyDescent="0.25">
      <c r="A608" s="5" t="s">
        <v>34</v>
      </c>
      <c r="B608" s="6" t="s">
        <v>5</v>
      </c>
      <c r="C608" s="6" t="s">
        <v>53</v>
      </c>
      <c r="D608" s="7">
        <v>4412.9365234375</v>
      </c>
    </row>
    <row r="609" spans="1:4" x14ac:dyDescent="0.25">
      <c r="A609" s="2" t="s">
        <v>34</v>
      </c>
      <c r="B609" s="3" t="s">
        <v>5</v>
      </c>
      <c r="C609" s="3" t="s">
        <v>54</v>
      </c>
      <c r="D609" s="4">
        <v>2065.03759765625</v>
      </c>
    </row>
    <row r="610" spans="1:4" x14ac:dyDescent="0.25">
      <c r="A610" s="2" t="s">
        <v>34</v>
      </c>
      <c r="B610" s="3" t="s">
        <v>5</v>
      </c>
      <c r="C610" s="3" t="s">
        <v>55</v>
      </c>
      <c r="D610" s="4">
        <v>1301.275024414062</v>
      </c>
    </row>
    <row r="611" spans="1:4" x14ac:dyDescent="0.25">
      <c r="A611" s="2" t="s">
        <v>34</v>
      </c>
      <c r="B611" s="3" t="s">
        <v>5</v>
      </c>
      <c r="C611" s="3" t="s">
        <v>56</v>
      </c>
      <c r="D611" s="4">
        <v>1841.0888671875</v>
      </c>
    </row>
    <row r="612" spans="1:4" x14ac:dyDescent="0.25">
      <c r="A612" s="2" t="s">
        <v>34</v>
      </c>
      <c r="B612" s="3" t="s">
        <v>5</v>
      </c>
      <c r="C612" s="3" t="s">
        <v>57</v>
      </c>
      <c r="D612" s="4">
        <v>5283.416015625</v>
      </c>
    </row>
    <row r="613" spans="1:4" x14ac:dyDescent="0.25">
      <c r="A613" s="2" t="s">
        <v>34</v>
      </c>
      <c r="B613" s="3" t="s">
        <v>5</v>
      </c>
      <c r="C613" s="3" t="s">
        <v>58</v>
      </c>
      <c r="D613" s="4">
        <v>7281.21044921875</v>
      </c>
    </row>
    <row r="614" spans="1:4" x14ac:dyDescent="0.25">
      <c r="A614" s="2" t="s">
        <v>34</v>
      </c>
      <c r="B614" s="3" t="s">
        <v>5</v>
      </c>
      <c r="C614" s="3" t="s">
        <v>59</v>
      </c>
      <c r="D614" s="4">
        <v>4789.875</v>
      </c>
    </row>
    <row r="615" spans="1:4" x14ac:dyDescent="0.25">
      <c r="A615" s="2" t="s">
        <v>34</v>
      </c>
      <c r="B615" s="3" t="s">
        <v>5</v>
      </c>
      <c r="C615" s="3" t="s">
        <v>60</v>
      </c>
      <c r="D615" s="4">
        <v>2320.607177734375</v>
      </c>
    </row>
    <row r="616" spans="1:4" x14ac:dyDescent="0.25">
      <c r="A616" s="2" t="s">
        <v>34</v>
      </c>
      <c r="B616" s="3" t="s">
        <v>5</v>
      </c>
      <c r="C616" s="3" t="s">
        <v>61</v>
      </c>
      <c r="D616" s="4">
        <v>1376.514526367188</v>
      </c>
    </row>
    <row r="617" spans="1:4" x14ac:dyDescent="0.25">
      <c r="A617" s="2" t="s">
        <v>34</v>
      </c>
      <c r="B617" s="3" t="s">
        <v>5</v>
      </c>
      <c r="C617" s="3" t="s">
        <v>62</v>
      </c>
      <c r="D617" s="4">
        <v>1929.888061523438</v>
      </c>
    </row>
    <row r="618" spans="1:4" x14ac:dyDescent="0.25">
      <c r="A618" s="2" t="s">
        <v>34</v>
      </c>
      <c r="B618" s="3" t="s">
        <v>5</v>
      </c>
      <c r="C618" s="3" t="s">
        <v>63</v>
      </c>
      <c r="D618" s="4">
        <v>5369.98974609375</v>
      </c>
    </row>
    <row r="619" spans="1:4" x14ac:dyDescent="0.25">
      <c r="A619" s="2" t="s">
        <v>34</v>
      </c>
      <c r="B619" s="3" t="s">
        <v>5</v>
      </c>
      <c r="C619" s="3" t="s">
        <v>64</v>
      </c>
      <c r="D619" s="4">
        <v>7407.70068359375</v>
      </c>
    </row>
    <row r="620" spans="1:4" x14ac:dyDescent="0.25">
      <c r="A620" s="2" t="s">
        <v>34</v>
      </c>
      <c r="B620" s="3" t="s">
        <v>5</v>
      </c>
      <c r="C620" s="3" t="s">
        <v>65</v>
      </c>
      <c r="D620" s="4">
        <v>4891.54443359375</v>
      </c>
    </row>
    <row r="621" spans="1:4" x14ac:dyDescent="0.25">
      <c r="A621" s="2" t="s">
        <v>34</v>
      </c>
      <c r="B621" s="3" t="s">
        <v>5</v>
      </c>
      <c r="C621" s="3" t="s">
        <v>66</v>
      </c>
      <c r="D621" s="4">
        <v>2290.95458984375</v>
      </c>
    </row>
    <row r="622" spans="1:4" x14ac:dyDescent="0.25">
      <c r="A622" s="5" t="s">
        <v>14</v>
      </c>
      <c r="B622" s="6" t="s">
        <v>5</v>
      </c>
      <c r="C622" s="6" t="s">
        <v>36</v>
      </c>
      <c r="D622" s="7">
        <v>40935.65234375</v>
      </c>
    </row>
    <row r="623" spans="1:4" x14ac:dyDescent="0.25">
      <c r="A623" s="2" t="s">
        <v>14</v>
      </c>
      <c r="B623" s="3" t="s">
        <v>5</v>
      </c>
      <c r="C623" s="3" t="s">
        <v>37</v>
      </c>
      <c r="D623" s="4">
        <v>24077.951171875</v>
      </c>
    </row>
    <row r="624" spans="1:4" x14ac:dyDescent="0.25">
      <c r="A624" s="5" t="s">
        <v>14</v>
      </c>
      <c r="B624" s="6" t="s">
        <v>5</v>
      </c>
      <c r="C624" s="6" t="s">
        <v>38</v>
      </c>
      <c r="D624" s="7">
        <v>33808.02734375</v>
      </c>
    </row>
    <row r="625" spans="1:4" x14ac:dyDescent="0.25">
      <c r="A625" s="2" t="s">
        <v>14</v>
      </c>
      <c r="B625" s="3" t="s">
        <v>5</v>
      </c>
      <c r="C625" s="3" t="s">
        <v>39</v>
      </c>
      <c r="D625" s="4">
        <v>94635.03125</v>
      </c>
    </row>
    <row r="626" spans="1:4" x14ac:dyDescent="0.25">
      <c r="A626" s="5" t="s">
        <v>14</v>
      </c>
      <c r="B626" s="6" t="s">
        <v>5</v>
      </c>
      <c r="C626" s="6" t="s">
        <v>40</v>
      </c>
      <c r="D626" s="7">
        <v>130521.421875</v>
      </c>
    </row>
    <row r="627" spans="1:4" x14ac:dyDescent="0.25">
      <c r="A627" s="2" t="s">
        <v>14</v>
      </c>
      <c r="B627" s="3" t="s">
        <v>5</v>
      </c>
      <c r="C627" s="3" t="s">
        <v>41</v>
      </c>
      <c r="D627" s="4">
        <v>86131.2265625</v>
      </c>
    </row>
    <row r="628" spans="1:4" x14ac:dyDescent="0.25">
      <c r="A628" s="5" t="s">
        <v>14</v>
      </c>
      <c r="B628" s="6" t="s">
        <v>5</v>
      </c>
      <c r="C628" s="6" t="s">
        <v>42</v>
      </c>
      <c r="D628" s="7">
        <v>40609.4765625</v>
      </c>
    </row>
    <row r="629" spans="1:4" x14ac:dyDescent="0.25">
      <c r="A629" s="2" t="s">
        <v>14</v>
      </c>
      <c r="B629" s="3" t="s">
        <v>5</v>
      </c>
      <c r="C629" s="3" t="s">
        <v>43</v>
      </c>
      <c r="D629" s="3">
        <v>20758.75390625</v>
      </c>
    </row>
    <row r="630" spans="1:4" x14ac:dyDescent="0.25">
      <c r="A630" s="5" t="s">
        <v>14</v>
      </c>
      <c r="B630" s="6" t="s">
        <v>5</v>
      </c>
      <c r="C630" s="6" t="s">
        <v>44</v>
      </c>
      <c r="D630" s="6">
        <v>29316.298828125</v>
      </c>
    </row>
    <row r="631" spans="1:4" x14ac:dyDescent="0.25">
      <c r="A631" s="2" t="s">
        <v>14</v>
      </c>
      <c r="B631" s="3" t="s">
        <v>5</v>
      </c>
      <c r="C631" s="3" t="s">
        <v>45</v>
      </c>
      <c r="D631" s="3">
        <v>83639.78125</v>
      </c>
    </row>
    <row r="632" spans="1:4" x14ac:dyDescent="0.25">
      <c r="A632" s="5" t="s">
        <v>14</v>
      </c>
      <c r="B632" s="6" t="s">
        <v>5</v>
      </c>
      <c r="C632" s="6" t="s">
        <v>46</v>
      </c>
      <c r="D632" s="6">
        <v>115289.859375</v>
      </c>
    </row>
    <row r="633" spans="1:4" x14ac:dyDescent="0.25">
      <c r="A633" s="2" t="s">
        <v>14</v>
      </c>
      <c r="B633" s="3" t="s">
        <v>5</v>
      </c>
      <c r="C633" s="3" t="s">
        <v>47</v>
      </c>
      <c r="D633" s="3">
        <v>75899.8046875</v>
      </c>
    </row>
    <row r="634" spans="1:4" x14ac:dyDescent="0.25">
      <c r="A634" s="5" t="s">
        <v>14</v>
      </c>
      <c r="B634" s="6" t="s">
        <v>5</v>
      </c>
      <c r="C634" s="6" t="s">
        <v>48</v>
      </c>
      <c r="D634" s="6">
        <v>36539.5625</v>
      </c>
    </row>
    <row r="635" spans="1:4" x14ac:dyDescent="0.25">
      <c r="A635" s="2" t="s">
        <v>14</v>
      </c>
      <c r="B635" s="3" t="s">
        <v>5</v>
      </c>
      <c r="C635" s="3" t="s">
        <v>49</v>
      </c>
      <c r="D635" s="3">
        <v>21493.146484375</v>
      </c>
    </row>
    <row r="636" spans="1:4" x14ac:dyDescent="0.25">
      <c r="A636" s="5" t="s">
        <v>14</v>
      </c>
      <c r="B636" s="6" t="s">
        <v>5</v>
      </c>
      <c r="C636" s="6" t="s">
        <v>50</v>
      </c>
      <c r="D636" s="6">
        <v>30178.453125</v>
      </c>
    </row>
    <row r="637" spans="1:4" x14ac:dyDescent="0.25">
      <c r="A637" s="2" t="s">
        <v>14</v>
      </c>
      <c r="B637" s="3" t="s">
        <v>5</v>
      </c>
      <c r="C637" s="3" t="s">
        <v>51</v>
      </c>
      <c r="D637" s="3">
        <v>84472.5703125</v>
      </c>
    </row>
    <row r="638" spans="1:4" x14ac:dyDescent="0.25">
      <c r="A638" s="5" t="s">
        <v>14</v>
      </c>
      <c r="B638" s="6" t="s">
        <v>5</v>
      </c>
      <c r="C638" s="6" t="s">
        <v>52</v>
      </c>
      <c r="D638" s="6">
        <v>116505.3828125</v>
      </c>
    </row>
    <row r="639" spans="1:4" x14ac:dyDescent="0.25">
      <c r="A639" s="2" t="s">
        <v>14</v>
      </c>
      <c r="B639" s="3" t="s">
        <v>5</v>
      </c>
      <c r="C639" s="3" t="s">
        <v>53</v>
      </c>
      <c r="D639" s="3">
        <v>76882.28125</v>
      </c>
    </row>
    <row r="640" spans="1:4" x14ac:dyDescent="0.25">
      <c r="A640" s="5" t="s">
        <v>14</v>
      </c>
      <c r="B640" s="6" t="s">
        <v>5</v>
      </c>
      <c r="C640" s="6" t="s">
        <v>54</v>
      </c>
      <c r="D640" s="6">
        <v>36247.51171875</v>
      </c>
    </row>
    <row r="641" spans="1:4" x14ac:dyDescent="0.25">
      <c r="A641" s="2" t="s">
        <v>14</v>
      </c>
      <c r="B641" s="3" t="s">
        <v>5</v>
      </c>
      <c r="C641" s="3" t="s">
        <v>55</v>
      </c>
      <c r="D641" s="3">
        <v>23695.857421875</v>
      </c>
    </row>
    <row r="642" spans="1:4" x14ac:dyDescent="0.25">
      <c r="A642" s="2" t="s">
        <v>14</v>
      </c>
      <c r="B642" s="3" t="s">
        <v>5</v>
      </c>
      <c r="C642" s="3" t="s">
        <v>56</v>
      </c>
      <c r="D642" s="3">
        <v>33463.8671875</v>
      </c>
    </row>
    <row r="643" spans="1:4" x14ac:dyDescent="0.25">
      <c r="A643" s="2" t="s">
        <v>14</v>
      </c>
      <c r="B643" s="3" t="s">
        <v>5</v>
      </c>
      <c r="C643" s="3" t="s">
        <v>57</v>
      </c>
      <c r="D643" s="3">
        <v>95469.9453125</v>
      </c>
    </row>
    <row r="644" spans="1:4" x14ac:dyDescent="0.25">
      <c r="A644" s="2" t="s">
        <v>14</v>
      </c>
      <c r="B644" s="3" t="s">
        <v>5</v>
      </c>
      <c r="C644" s="3" t="s">
        <v>58</v>
      </c>
      <c r="D644" s="3">
        <v>131596.8125</v>
      </c>
    </row>
    <row r="645" spans="1:4" x14ac:dyDescent="0.25">
      <c r="A645" s="2" t="s">
        <v>14</v>
      </c>
      <c r="B645" s="3" t="s">
        <v>5</v>
      </c>
      <c r="C645" s="3" t="s">
        <v>59</v>
      </c>
      <c r="D645" s="3">
        <v>86635.65625</v>
      </c>
    </row>
    <row r="646" spans="1:4" x14ac:dyDescent="0.25">
      <c r="A646" s="2" t="s">
        <v>14</v>
      </c>
      <c r="B646" s="3" t="s">
        <v>5</v>
      </c>
      <c r="C646" s="3" t="s">
        <v>60</v>
      </c>
      <c r="D646" s="3">
        <v>41706.609375</v>
      </c>
    </row>
    <row r="647" spans="1:4" x14ac:dyDescent="0.25">
      <c r="A647" s="2" t="s">
        <v>14</v>
      </c>
      <c r="B647" s="3" t="s">
        <v>5</v>
      </c>
      <c r="C647" s="3" t="s">
        <v>61</v>
      </c>
      <c r="D647" s="3">
        <v>24531.3984375</v>
      </c>
    </row>
    <row r="648" spans="1:4" x14ac:dyDescent="0.25">
      <c r="A648" s="2" t="s">
        <v>14</v>
      </c>
      <c r="B648" s="3" t="s">
        <v>5</v>
      </c>
      <c r="C648" s="3" t="s">
        <v>62</v>
      </c>
      <c r="D648" s="3">
        <v>34444.7265625</v>
      </c>
    </row>
    <row r="649" spans="1:4" x14ac:dyDescent="0.25">
      <c r="A649" s="2" t="s">
        <v>14</v>
      </c>
      <c r="B649" s="3" t="s">
        <v>5</v>
      </c>
      <c r="C649" s="3" t="s">
        <v>63</v>
      </c>
      <c r="D649" s="3">
        <v>96417.3203125</v>
      </c>
    </row>
    <row r="650" spans="1:4" x14ac:dyDescent="0.25">
      <c r="A650" s="2" t="s">
        <v>14</v>
      </c>
      <c r="B650" s="3" t="s">
        <v>5</v>
      </c>
      <c r="C650" s="3" t="s">
        <v>64</v>
      </c>
      <c r="D650" s="3">
        <v>132979.5625</v>
      </c>
    </row>
    <row r="651" spans="1:4" x14ac:dyDescent="0.25">
      <c r="A651" s="2" t="s">
        <v>14</v>
      </c>
      <c r="B651" s="3" t="s">
        <v>5</v>
      </c>
      <c r="C651" s="3" t="s">
        <v>65</v>
      </c>
      <c r="D651" s="3">
        <v>87753.3515625</v>
      </c>
    </row>
    <row r="652" spans="1:4" x14ac:dyDescent="0.25">
      <c r="A652" s="2" t="s">
        <v>14</v>
      </c>
      <c r="B652" s="3" t="s">
        <v>5</v>
      </c>
      <c r="C652" s="3" t="s">
        <v>66</v>
      </c>
      <c r="D652" s="3">
        <v>41374.3125</v>
      </c>
    </row>
    <row r="653" spans="1:4" x14ac:dyDescent="0.25">
      <c r="A653" s="2" t="s">
        <v>15</v>
      </c>
      <c r="B653" s="3" t="s">
        <v>5</v>
      </c>
      <c r="C653" s="3" t="s">
        <v>36</v>
      </c>
      <c r="D653" s="3">
        <v>18156.63671875</v>
      </c>
    </row>
    <row r="654" spans="1:4" x14ac:dyDescent="0.25">
      <c r="A654" s="5" t="s">
        <v>15</v>
      </c>
      <c r="B654" s="6" t="s">
        <v>5</v>
      </c>
      <c r="C654" s="6" t="s">
        <v>37</v>
      </c>
      <c r="D654" s="6">
        <v>10675.697265625</v>
      </c>
    </row>
    <row r="655" spans="1:4" x14ac:dyDescent="0.25">
      <c r="A655" s="2" t="s">
        <v>15</v>
      </c>
      <c r="B655" s="3" t="s">
        <v>5</v>
      </c>
      <c r="C655" s="3" t="s">
        <v>38</v>
      </c>
      <c r="D655" s="3">
        <v>14990.7890625</v>
      </c>
    </row>
    <row r="656" spans="1:4" x14ac:dyDescent="0.25">
      <c r="A656" s="5" t="s">
        <v>15</v>
      </c>
      <c r="B656" s="6" t="s">
        <v>5</v>
      </c>
      <c r="C656" s="6" t="s">
        <v>39</v>
      </c>
      <c r="D656" s="6">
        <v>41972.765625</v>
      </c>
    </row>
    <row r="657" spans="1:4" x14ac:dyDescent="0.25">
      <c r="A657" s="2" t="s">
        <v>15</v>
      </c>
      <c r="B657" s="3" t="s">
        <v>5</v>
      </c>
      <c r="C657" s="3" t="s">
        <v>40</v>
      </c>
      <c r="D657" s="3">
        <v>57888.734375</v>
      </c>
    </row>
    <row r="658" spans="1:4" x14ac:dyDescent="0.25">
      <c r="A658" s="5" t="s">
        <v>15</v>
      </c>
      <c r="B658" s="6" t="s">
        <v>5</v>
      </c>
      <c r="C658" s="6" t="s">
        <v>41</v>
      </c>
      <c r="D658" s="6">
        <v>38199.76953125</v>
      </c>
    </row>
    <row r="659" spans="1:4" x14ac:dyDescent="0.25">
      <c r="A659" s="2" t="s">
        <v>15</v>
      </c>
      <c r="B659" s="3" t="s">
        <v>5</v>
      </c>
      <c r="C659" s="3" t="s">
        <v>42</v>
      </c>
      <c r="D659" s="3">
        <v>18015.69140625</v>
      </c>
    </row>
    <row r="660" spans="1:4" x14ac:dyDescent="0.25">
      <c r="A660" s="5" t="s">
        <v>15</v>
      </c>
      <c r="B660" s="6" t="s">
        <v>5</v>
      </c>
      <c r="C660" s="6" t="s">
        <v>43</v>
      </c>
      <c r="D660" s="6">
        <v>9205.44140625</v>
      </c>
    </row>
    <row r="661" spans="1:4" x14ac:dyDescent="0.25">
      <c r="A661" s="2" t="s">
        <v>15</v>
      </c>
      <c r="B661" s="3" t="s">
        <v>5</v>
      </c>
      <c r="C661" s="3" t="s">
        <v>44</v>
      </c>
      <c r="D661" s="3">
        <v>12999.140625</v>
      </c>
    </row>
    <row r="662" spans="1:4" x14ac:dyDescent="0.25">
      <c r="A662" s="5" t="s">
        <v>15</v>
      </c>
      <c r="B662" s="6" t="s">
        <v>5</v>
      </c>
      <c r="C662" s="6" t="s">
        <v>45</v>
      </c>
      <c r="D662" s="6">
        <v>37076.3984375</v>
      </c>
    </row>
    <row r="663" spans="1:4" x14ac:dyDescent="0.25">
      <c r="A663" s="2" t="s">
        <v>15</v>
      </c>
      <c r="B663" s="3" t="s">
        <v>5</v>
      </c>
      <c r="C663" s="3" t="s">
        <v>46</v>
      </c>
      <c r="D663" s="3">
        <v>51106.9609375</v>
      </c>
    </row>
    <row r="664" spans="1:4" x14ac:dyDescent="0.25">
      <c r="A664" s="5" t="s">
        <v>15</v>
      </c>
      <c r="B664" s="6" t="s">
        <v>5</v>
      </c>
      <c r="C664" s="6" t="s">
        <v>47</v>
      </c>
      <c r="D664" s="6">
        <v>33646.91796875</v>
      </c>
    </row>
    <row r="665" spans="1:4" x14ac:dyDescent="0.25">
      <c r="A665" s="2" t="s">
        <v>15</v>
      </c>
      <c r="B665" s="3" t="s">
        <v>5</v>
      </c>
      <c r="C665" s="3" t="s">
        <v>48</v>
      </c>
      <c r="D665" s="3">
        <v>16193.3251953125</v>
      </c>
    </row>
    <row r="666" spans="1:4" x14ac:dyDescent="0.25">
      <c r="A666" s="5" t="s">
        <v>15</v>
      </c>
      <c r="B666" s="6" t="s">
        <v>5</v>
      </c>
      <c r="C666" s="6" t="s">
        <v>49</v>
      </c>
      <c r="D666" s="6">
        <v>9521.314453125</v>
      </c>
    </row>
    <row r="667" spans="1:4" x14ac:dyDescent="0.25">
      <c r="A667" s="2" t="s">
        <v>15</v>
      </c>
      <c r="B667" s="3" t="s">
        <v>5</v>
      </c>
      <c r="C667" s="3" t="s">
        <v>50</v>
      </c>
      <c r="D667" s="3">
        <v>13369.8076171875</v>
      </c>
    </row>
    <row r="668" spans="1:4" x14ac:dyDescent="0.25">
      <c r="A668" s="5" t="s">
        <v>15</v>
      </c>
      <c r="B668" s="6" t="s">
        <v>5</v>
      </c>
      <c r="C668" s="6" t="s">
        <v>51</v>
      </c>
      <c r="D668" s="6">
        <v>37434.171875</v>
      </c>
    </row>
    <row r="669" spans="1:4" x14ac:dyDescent="0.25">
      <c r="A669" s="2" t="s">
        <v>15</v>
      </c>
      <c r="B669" s="3" t="s">
        <v>5</v>
      </c>
      <c r="C669" s="3" t="s">
        <v>52</v>
      </c>
      <c r="D669" s="3">
        <v>51629.1171875</v>
      </c>
    </row>
    <row r="670" spans="1:4" x14ac:dyDescent="0.25">
      <c r="A670" s="5" t="s">
        <v>15</v>
      </c>
      <c r="B670" s="6" t="s">
        <v>5</v>
      </c>
      <c r="C670" s="6" t="s">
        <v>53</v>
      </c>
      <c r="D670" s="6">
        <v>34069.15625</v>
      </c>
    </row>
    <row r="671" spans="1:4" x14ac:dyDescent="0.25">
      <c r="A671" s="2" t="s">
        <v>15</v>
      </c>
      <c r="B671" s="3" t="s">
        <v>5</v>
      </c>
      <c r="C671" s="3" t="s">
        <v>54</v>
      </c>
      <c r="D671" s="3">
        <v>16067.62109375</v>
      </c>
    </row>
    <row r="672" spans="1:4" x14ac:dyDescent="0.25">
      <c r="A672" s="5" t="s">
        <v>15</v>
      </c>
      <c r="B672" s="6" t="s">
        <v>5</v>
      </c>
      <c r="C672" s="6" t="s">
        <v>55</v>
      </c>
      <c r="D672" s="6">
        <v>10493.2109375</v>
      </c>
    </row>
    <row r="673" spans="1:4" x14ac:dyDescent="0.25">
      <c r="A673" s="5" t="s">
        <v>15</v>
      </c>
      <c r="B673" s="6" t="s">
        <v>5</v>
      </c>
      <c r="C673" s="6" t="s">
        <v>56</v>
      </c>
      <c r="D673" s="6">
        <v>14817.6181640625</v>
      </c>
    </row>
    <row r="674" spans="1:4" x14ac:dyDescent="0.25">
      <c r="A674" s="5" t="s">
        <v>15</v>
      </c>
      <c r="B674" s="6" t="s">
        <v>5</v>
      </c>
      <c r="C674" s="6" t="s">
        <v>57</v>
      </c>
      <c r="D674" s="6">
        <v>42263.09375</v>
      </c>
    </row>
    <row r="675" spans="1:4" x14ac:dyDescent="0.25">
      <c r="A675" s="5" t="s">
        <v>15</v>
      </c>
      <c r="B675" s="6" t="s">
        <v>5</v>
      </c>
      <c r="C675" s="6" t="s">
        <v>58</v>
      </c>
      <c r="D675" s="6">
        <v>58256.421875</v>
      </c>
    </row>
    <row r="676" spans="1:4" x14ac:dyDescent="0.25">
      <c r="A676" s="5" t="s">
        <v>15</v>
      </c>
      <c r="B676" s="6" t="s">
        <v>5</v>
      </c>
      <c r="C676" s="6" t="s">
        <v>59</v>
      </c>
      <c r="D676" s="6">
        <v>38353.859375</v>
      </c>
    </row>
    <row r="677" spans="1:4" x14ac:dyDescent="0.25">
      <c r="A677" s="5" t="s">
        <v>15</v>
      </c>
      <c r="B677" s="6" t="s">
        <v>5</v>
      </c>
      <c r="C677" s="6" t="s">
        <v>60</v>
      </c>
      <c r="D677" s="6">
        <v>18458.64453125</v>
      </c>
    </row>
    <row r="678" spans="1:4" x14ac:dyDescent="0.25">
      <c r="A678" s="5" t="s">
        <v>15</v>
      </c>
      <c r="B678" s="6" t="s">
        <v>5</v>
      </c>
      <c r="C678" s="6" t="s">
        <v>61</v>
      </c>
      <c r="D678" s="6">
        <v>10853.271484375</v>
      </c>
    </row>
    <row r="679" spans="1:4" x14ac:dyDescent="0.25">
      <c r="A679" s="5" t="s">
        <v>15</v>
      </c>
      <c r="B679" s="6" t="s">
        <v>5</v>
      </c>
      <c r="C679" s="6" t="s">
        <v>62</v>
      </c>
      <c r="D679" s="6">
        <v>15240.1396484375</v>
      </c>
    </row>
    <row r="680" spans="1:4" x14ac:dyDescent="0.25">
      <c r="A680" s="5" t="s">
        <v>15</v>
      </c>
      <c r="B680" s="6" t="s">
        <v>5</v>
      </c>
      <c r="C680" s="6" t="s">
        <v>63</v>
      </c>
      <c r="D680" s="6">
        <v>42670.921875</v>
      </c>
    </row>
    <row r="681" spans="1:4" x14ac:dyDescent="0.25">
      <c r="A681" s="5" t="s">
        <v>15</v>
      </c>
      <c r="B681" s="6" t="s">
        <v>5</v>
      </c>
      <c r="C681" s="6" t="s">
        <v>64</v>
      </c>
      <c r="D681" s="6">
        <v>58851.625</v>
      </c>
    </row>
    <row r="682" spans="1:4" x14ac:dyDescent="0.25">
      <c r="A682" s="5" t="s">
        <v>15</v>
      </c>
      <c r="B682" s="6" t="s">
        <v>5</v>
      </c>
      <c r="C682" s="6" t="s">
        <v>65</v>
      </c>
      <c r="D682" s="6">
        <v>38835.1640625</v>
      </c>
    </row>
    <row r="683" spans="1:4" x14ac:dyDescent="0.25">
      <c r="A683" s="5" t="s">
        <v>15</v>
      </c>
      <c r="B683" s="6" t="s">
        <v>5</v>
      </c>
      <c r="C683" s="6" t="s">
        <v>66</v>
      </c>
      <c r="D683" s="6">
        <v>18315.353515625</v>
      </c>
    </row>
    <row r="684" spans="1:4" x14ac:dyDescent="0.25">
      <c r="A684" s="5" t="s">
        <v>33</v>
      </c>
      <c r="B684" s="6" t="s">
        <v>5</v>
      </c>
      <c r="C684" s="6" t="s">
        <v>36</v>
      </c>
      <c r="D684" s="6">
        <v>23653.15625</v>
      </c>
    </row>
    <row r="685" spans="1:4" x14ac:dyDescent="0.25">
      <c r="A685" s="2" t="s">
        <v>33</v>
      </c>
      <c r="B685" s="3" t="s">
        <v>5</v>
      </c>
      <c r="C685" s="3" t="s">
        <v>37</v>
      </c>
      <c r="D685" s="3">
        <v>13990.0439453125</v>
      </c>
    </row>
    <row r="686" spans="1:4" x14ac:dyDescent="0.25">
      <c r="A686" s="5" t="s">
        <v>33</v>
      </c>
      <c r="B686" s="6" t="s">
        <v>5</v>
      </c>
      <c r="C686" s="6" t="s">
        <v>38</v>
      </c>
      <c r="D686" s="6">
        <v>19624.171875</v>
      </c>
    </row>
    <row r="687" spans="1:4" x14ac:dyDescent="0.25">
      <c r="A687" s="2" t="s">
        <v>33</v>
      </c>
      <c r="B687" s="3" t="s">
        <v>5</v>
      </c>
      <c r="C687" s="3" t="s">
        <v>39</v>
      </c>
      <c r="D687" s="3">
        <v>54716.3046875</v>
      </c>
    </row>
    <row r="688" spans="1:4" x14ac:dyDescent="0.25">
      <c r="A688" s="5" t="s">
        <v>33</v>
      </c>
      <c r="B688" s="6" t="s">
        <v>5</v>
      </c>
      <c r="C688" s="6" t="s">
        <v>40</v>
      </c>
      <c r="D688" s="6">
        <v>75474.3359375</v>
      </c>
    </row>
    <row r="689" spans="1:4" x14ac:dyDescent="0.25">
      <c r="A689" s="2" t="s">
        <v>33</v>
      </c>
      <c r="B689" s="3" t="s">
        <v>5</v>
      </c>
      <c r="C689" s="3" t="s">
        <v>41</v>
      </c>
      <c r="D689" s="3">
        <v>49827.01953125</v>
      </c>
    </row>
    <row r="690" spans="1:4" x14ac:dyDescent="0.25">
      <c r="A690" s="5" t="s">
        <v>33</v>
      </c>
      <c r="B690" s="6" t="s">
        <v>5</v>
      </c>
      <c r="C690" s="6" t="s">
        <v>42</v>
      </c>
      <c r="D690" s="6">
        <v>23389.84375</v>
      </c>
    </row>
    <row r="691" spans="1:4" x14ac:dyDescent="0.25">
      <c r="A691" s="2" t="s">
        <v>33</v>
      </c>
      <c r="B691" s="3" t="s">
        <v>5</v>
      </c>
      <c r="C691" s="3" t="s">
        <v>43</v>
      </c>
      <c r="D691" s="3">
        <v>12033.13671875</v>
      </c>
    </row>
    <row r="692" spans="1:4" x14ac:dyDescent="0.25">
      <c r="A692" s="5" t="s">
        <v>33</v>
      </c>
      <c r="B692" s="6" t="s">
        <v>5</v>
      </c>
      <c r="C692" s="6" t="s">
        <v>44</v>
      </c>
      <c r="D692" s="6">
        <v>17016.408203125</v>
      </c>
    </row>
    <row r="693" spans="1:4" x14ac:dyDescent="0.25">
      <c r="A693" s="2" t="s">
        <v>33</v>
      </c>
      <c r="B693" s="3" t="s">
        <v>5</v>
      </c>
      <c r="C693" s="3" t="s">
        <v>45</v>
      </c>
      <c r="D693" s="3">
        <v>48755.21484375</v>
      </c>
    </row>
    <row r="694" spans="1:4" x14ac:dyDescent="0.25">
      <c r="A694" s="5" t="s">
        <v>33</v>
      </c>
      <c r="B694" s="6" t="s">
        <v>5</v>
      </c>
      <c r="C694" s="6" t="s">
        <v>46</v>
      </c>
      <c r="D694" s="6">
        <v>67194.5546875</v>
      </c>
    </row>
    <row r="695" spans="1:4" x14ac:dyDescent="0.25">
      <c r="A695" s="2" t="s">
        <v>33</v>
      </c>
      <c r="B695" s="3" t="s">
        <v>5</v>
      </c>
      <c r="C695" s="3" t="s">
        <v>47</v>
      </c>
      <c r="D695" s="3">
        <v>44212.34765625</v>
      </c>
    </row>
    <row r="696" spans="1:4" x14ac:dyDescent="0.25">
      <c r="A696" s="5" t="s">
        <v>33</v>
      </c>
      <c r="B696" s="6" t="s">
        <v>5</v>
      </c>
      <c r="C696" s="6" t="s">
        <v>48</v>
      </c>
      <c r="D696" s="6">
        <v>21383.451171875</v>
      </c>
    </row>
    <row r="697" spans="1:4" x14ac:dyDescent="0.25">
      <c r="A697" s="2" t="s">
        <v>33</v>
      </c>
      <c r="B697" s="3" t="s">
        <v>5</v>
      </c>
      <c r="C697" s="3" t="s">
        <v>49</v>
      </c>
      <c r="D697" s="3">
        <v>12655.5078125</v>
      </c>
    </row>
    <row r="698" spans="1:4" x14ac:dyDescent="0.25">
      <c r="A698" s="5" t="s">
        <v>33</v>
      </c>
      <c r="B698" s="6" t="s">
        <v>5</v>
      </c>
      <c r="C698" s="6" t="s">
        <v>50</v>
      </c>
      <c r="D698" s="6">
        <v>17750.21875</v>
      </c>
    </row>
    <row r="699" spans="1:4" x14ac:dyDescent="0.25">
      <c r="A699" s="2" t="s">
        <v>33</v>
      </c>
      <c r="B699" s="3" t="s">
        <v>5</v>
      </c>
      <c r="C699" s="3" t="s">
        <v>51</v>
      </c>
      <c r="D699" s="3">
        <v>49469.41796875</v>
      </c>
    </row>
    <row r="700" spans="1:4" x14ac:dyDescent="0.25">
      <c r="A700" s="5" t="s">
        <v>33</v>
      </c>
      <c r="B700" s="6" t="s">
        <v>5</v>
      </c>
      <c r="C700" s="6" t="s">
        <v>52</v>
      </c>
      <c r="D700" s="6">
        <v>68237.8515625</v>
      </c>
    </row>
    <row r="701" spans="1:4" x14ac:dyDescent="0.25">
      <c r="A701" s="2" t="s">
        <v>33</v>
      </c>
      <c r="B701" s="3" t="s">
        <v>5</v>
      </c>
      <c r="C701" s="3" t="s">
        <v>53</v>
      </c>
      <c r="D701" s="3">
        <v>45051.78515625</v>
      </c>
    </row>
    <row r="702" spans="1:4" x14ac:dyDescent="0.25">
      <c r="A702" s="5" t="s">
        <v>33</v>
      </c>
      <c r="B702" s="6" t="s">
        <v>5</v>
      </c>
      <c r="C702" s="6" t="s">
        <v>54</v>
      </c>
      <c r="D702" s="6">
        <v>21137.7578125</v>
      </c>
    </row>
    <row r="703" spans="1:4" x14ac:dyDescent="0.25">
      <c r="A703" s="5" t="s">
        <v>33</v>
      </c>
      <c r="B703" s="6" t="s">
        <v>5</v>
      </c>
      <c r="C703" s="6" t="s">
        <v>55</v>
      </c>
      <c r="D703" s="6">
        <v>13566.1279296875</v>
      </c>
    </row>
    <row r="704" spans="1:4" x14ac:dyDescent="0.25">
      <c r="A704" s="5" t="s">
        <v>33</v>
      </c>
      <c r="B704" s="6" t="s">
        <v>5</v>
      </c>
      <c r="C704" s="6" t="s">
        <v>56</v>
      </c>
      <c r="D704" s="6">
        <v>19181.1953125</v>
      </c>
    </row>
    <row r="705" spans="1:4" x14ac:dyDescent="0.25">
      <c r="A705" s="5" t="s">
        <v>33</v>
      </c>
      <c r="B705" s="6" t="s">
        <v>5</v>
      </c>
      <c r="C705" s="6" t="s">
        <v>57</v>
      </c>
      <c r="D705" s="6">
        <v>54929.9140625</v>
      </c>
    </row>
    <row r="706" spans="1:4" x14ac:dyDescent="0.25">
      <c r="A706" s="5" t="s">
        <v>33</v>
      </c>
      <c r="B706" s="6" t="s">
        <v>5</v>
      </c>
      <c r="C706" s="6" t="s">
        <v>58</v>
      </c>
      <c r="D706" s="6">
        <v>75705.890625</v>
      </c>
    </row>
    <row r="707" spans="1:4" x14ac:dyDescent="0.25">
      <c r="A707" s="5" t="s">
        <v>33</v>
      </c>
      <c r="B707" s="6" t="s">
        <v>5</v>
      </c>
      <c r="C707" s="6" t="s">
        <v>59</v>
      </c>
      <c r="D707" s="6">
        <v>49815.86328125</v>
      </c>
    </row>
    <row r="708" spans="1:4" x14ac:dyDescent="0.25">
      <c r="A708" s="5" t="s">
        <v>33</v>
      </c>
      <c r="B708" s="6" t="s">
        <v>5</v>
      </c>
      <c r="C708" s="6" t="s">
        <v>60</v>
      </c>
      <c r="D708" s="6">
        <v>24080.38671875</v>
      </c>
    </row>
    <row r="709" spans="1:4" x14ac:dyDescent="0.25">
      <c r="A709" s="5" t="s">
        <v>33</v>
      </c>
      <c r="B709" s="6" t="s">
        <v>5</v>
      </c>
      <c r="C709" s="6" t="s">
        <v>61</v>
      </c>
      <c r="D709" s="6">
        <v>14241.337890625</v>
      </c>
    </row>
    <row r="710" spans="1:4" x14ac:dyDescent="0.25">
      <c r="A710" s="5" t="s">
        <v>33</v>
      </c>
      <c r="B710" s="6" t="s">
        <v>5</v>
      </c>
      <c r="C710" s="6" t="s">
        <v>62</v>
      </c>
      <c r="D710" s="6">
        <v>19977.015625</v>
      </c>
    </row>
    <row r="711" spans="1:4" x14ac:dyDescent="0.25">
      <c r="A711" s="5" t="s">
        <v>33</v>
      </c>
      <c r="B711" s="6" t="s">
        <v>5</v>
      </c>
      <c r="C711" s="6" t="s">
        <v>63</v>
      </c>
      <c r="D711" s="6">
        <v>55703.96875</v>
      </c>
    </row>
    <row r="712" spans="1:4" x14ac:dyDescent="0.25">
      <c r="A712" s="5" t="s">
        <v>33</v>
      </c>
      <c r="B712" s="6" t="s">
        <v>5</v>
      </c>
      <c r="C712" s="6" t="s">
        <v>64</v>
      </c>
      <c r="D712" s="6">
        <v>76836.546875</v>
      </c>
    </row>
    <row r="713" spans="1:4" x14ac:dyDescent="0.25">
      <c r="A713" s="5" t="s">
        <v>33</v>
      </c>
      <c r="B713" s="6" t="s">
        <v>5</v>
      </c>
      <c r="C713" s="6" t="s">
        <v>65</v>
      </c>
      <c r="D713" s="6">
        <v>50725.9375</v>
      </c>
    </row>
    <row r="714" spans="1:4" x14ac:dyDescent="0.25">
      <c r="A714" s="5" t="s">
        <v>33</v>
      </c>
      <c r="B714" s="6" t="s">
        <v>5</v>
      </c>
      <c r="C714" s="6" t="s">
        <v>66</v>
      </c>
      <c r="D714" s="6">
        <v>23813.66796875</v>
      </c>
    </row>
    <row r="715" spans="1:4" x14ac:dyDescent="0.25">
      <c r="A715" s="2" t="s">
        <v>4</v>
      </c>
      <c r="B715" s="3" t="s">
        <v>5</v>
      </c>
      <c r="C715" s="3" t="s">
        <v>36</v>
      </c>
      <c r="D715" s="3">
        <v>1475.970703125</v>
      </c>
    </row>
    <row r="716" spans="1:4" x14ac:dyDescent="0.25">
      <c r="A716" s="5" t="s">
        <v>4</v>
      </c>
      <c r="B716" s="6" t="s">
        <v>5</v>
      </c>
      <c r="C716" s="6" t="s">
        <v>37</v>
      </c>
      <c r="D716" s="6">
        <v>867.837890625</v>
      </c>
    </row>
    <row r="717" spans="1:4" x14ac:dyDescent="0.25">
      <c r="A717" s="2" t="s">
        <v>4</v>
      </c>
      <c r="B717" s="3" t="s">
        <v>5</v>
      </c>
      <c r="C717" s="3" t="s">
        <v>38</v>
      </c>
      <c r="D717" s="3">
        <v>1218.61596679688</v>
      </c>
    </row>
    <row r="718" spans="1:4" x14ac:dyDescent="0.25">
      <c r="A718" s="5" t="s">
        <v>4</v>
      </c>
      <c r="B718" s="6" t="s">
        <v>5</v>
      </c>
      <c r="C718" s="6" t="s">
        <v>39</v>
      </c>
      <c r="D718" s="6">
        <v>3412.00708007812</v>
      </c>
    </row>
    <row r="719" spans="1:4" x14ac:dyDescent="0.25">
      <c r="A719" s="2" t="s">
        <v>4</v>
      </c>
      <c r="B719" s="3" t="s">
        <v>5</v>
      </c>
      <c r="C719" s="3" t="s">
        <v>40</v>
      </c>
      <c r="D719" s="3">
        <v>4705.83203125</v>
      </c>
    </row>
    <row r="720" spans="1:4" x14ac:dyDescent="0.25">
      <c r="A720" s="5" t="s">
        <v>4</v>
      </c>
      <c r="B720" s="6" t="s">
        <v>5</v>
      </c>
      <c r="C720" s="6" t="s">
        <v>41</v>
      </c>
      <c r="D720" s="6">
        <v>3105.29663085938</v>
      </c>
    </row>
    <row r="721" spans="1:4" x14ac:dyDescent="0.25">
      <c r="A721" s="2" t="s">
        <v>4</v>
      </c>
      <c r="B721" s="3" t="s">
        <v>5</v>
      </c>
      <c r="C721" s="3" t="s">
        <v>42</v>
      </c>
      <c r="D721" s="3">
        <v>1464.51318359375</v>
      </c>
    </row>
    <row r="722" spans="1:4" x14ac:dyDescent="0.25">
      <c r="A722" s="5" t="s">
        <v>4</v>
      </c>
      <c r="B722" s="6" t="s">
        <v>5</v>
      </c>
      <c r="C722" s="6" t="s">
        <v>43</v>
      </c>
      <c r="D722" s="6">
        <v>748.3193359375</v>
      </c>
    </row>
    <row r="723" spans="1:4" x14ac:dyDescent="0.25">
      <c r="A723" s="2" t="s">
        <v>4</v>
      </c>
      <c r="B723" s="3" t="s">
        <v>5</v>
      </c>
      <c r="C723" s="3" t="s">
        <v>44</v>
      </c>
      <c r="D723" s="3">
        <v>1056.712890625</v>
      </c>
    </row>
    <row r="724" spans="1:4" x14ac:dyDescent="0.25">
      <c r="A724" s="5" t="s">
        <v>4</v>
      </c>
      <c r="B724" s="6" t="s">
        <v>5</v>
      </c>
      <c r="C724" s="6" t="s">
        <v>45</v>
      </c>
      <c r="D724" s="6">
        <v>3013.9765625</v>
      </c>
    </row>
    <row r="725" spans="1:4" x14ac:dyDescent="0.25">
      <c r="A725" s="2" t="s">
        <v>4</v>
      </c>
      <c r="B725" s="3" t="s">
        <v>5</v>
      </c>
      <c r="C725" s="3" t="s">
        <v>46</v>
      </c>
      <c r="D725" s="3">
        <v>4154.53466796875</v>
      </c>
    </row>
    <row r="726" spans="1:4" x14ac:dyDescent="0.25">
      <c r="A726" s="5" t="s">
        <v>4</v>
      </c>
      <c r="B726" s="6" t="s">
        <v>5</v>
      </c>
      <c r="C726" s="6" t="s">
        <v>47</v>
      </c>
      <c r="D726" s="6">
        <v>2735.19116210938</v>
      </c>
    </row>
    <row r="727" spans="1:4" x14ac:dyDescent="0.25">
      <c r="A727" s="2" t="s">
        <v>4</v>
      </c>
      <c r="B727" s="3" t="s">
        <v>5</v>
      </c>
      <c r="C727" s="3" t="s">
        <v>48</v>
      </c>
      <c r="D727" s="3">
        <v>1316.37133789062</v>
      </c>
    </row>
    <row r="728" spans="1:4" x14ac:dyDescent="0.25">
      <c r="A728" s="5" t="s">
        <v>4</v>
      </c>
      <c r="B728" s="6" t="s">
        <v>5</v>
      </c>
      <c r="C728" s="6" t="s">
        <v>49</v>
      </c>
      <c r="D728" s="6">
        <v>773.99694824218795</v>
      </c>
    </row>
    <row r="729" spans="1:4" x14ac:dyDescent="0.25">
      <c r="A729" s="2" t="s">
        <v>4</v>
      </c>
      <c r="B729" s="3" t="s">
        <v>5</v>
      </c>
      <c r="C729" s="3" t="s">
        <v>50</v>
      </c>
      <c r="D729" s="3">
        <v>1086.8447265625</v>
      </c>
    </row>
    <row r="730" spans="1:4" x14ac:dyDescent="0.25">
      <c r="A730" s="5" t="s">
        <v>4</v>
      </c>
      <c r="B730" s="6" t="s">
        <v>5</v>
      </c>
      <c r="C730" s="6" t="s">
        <v>51</v>
      </c>
      <c r="D730" s="6">
        <v>3043.060546875</v>
      </c>
    </row>
    <row r="731" spans="1:4" x14ac:dyDescent="0.25">
      <c r="A731" s="2" t="s">
        <v>4</v>
      </c>
      <c r="B731" s="3" t="s">
        <v>5</v>
      </c>
      <c r="C731" s="3" t="s">
        <v>52</v>
      </c>
      <c r="D731" s="3">
        <v>4196.9814453125</v>
      </c>
    </row>
    <row r="732" spans="1:4" x14ac:dyDescent="0.25">
      <c r="A732" s="5" t="s">
        <v>4</v>
      </c>
      <c r="B732" s="6" t="s">
        <v>5</v>
      </c>
      <c r="C732" s="6" t="s">
        <v>53</v>
      </c>
      <c r="D732" s="6">
        <v>2769.51513671875</v>
      </c>
    </row>
    <row r="733" spans="1:4" x14ac:dyDescent="0.25">
      <c r="A733" s="2" t="s">
        <v>4</v>
      </c>
      <c r="B733" s="3" t="s">
        <v>5</v>
      </c>
      <c r="C733" s="3" t="s">
        <v>54</v>
      </c>
      <c r="D733" s="3">
        <v>1306.15258789062</v>
      </c>
    </row>
    <row r="734" spans="1:4" x14ac:dyDescent="0.25">
      <c r="A734" s="2" t="s">
        <v>4</v>
      </c>
      <c r="B734" s="3" t="s">
        <v>5</v>
      </c>
      <c r="C734" s="3" t="s">
        <v>55</v>
      </c>
      <c r="D734" s="3">
        <v>848.075439453125</v>
      </c>
    </row>
    <row r="735" spans="1:4" x14ac:dyDescent="0.25">
      <c r="A735" s="2" t="s">
        <v>4</v>
      </c>
      <c r="B735" s="3" t="s">
        <v>5</v>
      </c>
      <c r="C735" s="3" t="s">
        <v>56</v>
      </c>
      <c r="D735" s="3">
        <v>1197.579833984375</v>
      </c>
    </row>
    <row r="736" spans="1:4" x14ac:dyDescent="0.25">
      <c r="A736" s="2" t="s">
        <v>4</v>
      </c>
      <c r="B736" s="3" t="s">
        <v>5</v>
      </c>
      <c r="C736" s="3" t="s">
        <v>57</v>
      </c>
      <c r="D736" s="3">
        <v>3415.76025390625</v>
      </c>
    </row>
    <row r="737" spans="1:4" x14ac:dyDescent="0.25">
      <c r="A737" s="2" t="s">
        <v>4</v>
      </c>
      <c r="B737" s="3" t="s">
        <v>5</v>
      </c>
      <c r="C737" s="3" t="s">
        <v>58</v>
      </c>
      <c r="D737" s="3">
        <v>4708.36328125</v>
      </c>
    </row>
    <row r="738" spans="1:4" x14ac:dyDescent="0.25">
      <c r="A738" s="2" t="s">
        <v>4</v>
      </c>
      <c r="B738" s="3" t="s">
        <v>5</v>
      </c>
      <c r="C738" s="3" t="s">
        <v>59</v>
      </c>
      <c r="D738" s="3">
        <v>3099.810791015625</v>
      </c>
    </row>
    <row r="739" spans="1:4" x14ac:dyDescent="0.25">
      <c r="A739" s="2" t="s">
        <v>4</v>
      </c>
      <c r="B739" s="3" t="s">
        <v>5</v>
      </c>
      <c r="C739" s="3" t="s">
        <v>60</v>
      </c>
      <c r="D739" s="3">
        <v>1491.8525390625</v>
      </c>
    </row>
    <row r="740" spans="1:4" x14ac:dyDescent="0.25">
      <c r="A740" s="2" t="s">
        <v>4</v>
      </c>
      <c r="B740" s="3" t="s">
        <v>5</v>
      </c>
      <c r="C740" s="3" t="s">
        <v>61</v>
      </c>
      <c r="D740" s="3">
        <v>877.17608642578125</v>
      </c>
    </row>
    <row r="741" spans="1:4" x14ac:dyDescent="0.25">
      <c r="A741" s="2" t="s">
        <v>4</v>
      </c>
      <c r="B741" s="3" t="s">
        <v>5</v>
      </c>
      <c r="C741" s="3" t="s">
        <v>62</v>
      </c>
      <c r="D741" s="3">
        <v>1231.728515625</v>
      </c>
    </row>
    <row r="742" spans="1:4" x14ac:dyDescent="0.25">
      <c r="A742" s="2" t="s">
        <v>4</v>
      </c>
      <c r="B742" s="3" t="s">
        <v>5</v>
      </c>
      <c r="C742" s="3" t="s">
        <v>63</v>
      </c>
      <c r="D742" s="3">
        <v>3448.72119140625</v>
      </c>
    </row>
    <row r="743" spans="1:4" x14ac:dyDescent="0.25">
      <c r="A743" s="2" t="s">
        <v>4</v>
      </c>
      <c r="B743" s="3" t="s">
        <v>5</v>
      </c>
      <c r="C743" s="3" t="s">
        <v>64</v>
      </c>
      <c r="D743" s="3">
        <v>4756.4677734375</v>
      </c>
    </row>
    <row r="744" spans="1:4" x14ac:dyDescent="0.25">
      <c r="A744" s="2" t="s">
        <v>4</v>
      </c>
      <c r="B744" s="3" t="s">
        <v>5</v>
      </c>
      <c r="C744" s="3" t="s">
        <v>65</v>
      </c>
      <c r="D744" s="3">
        <v>3138.71044921875</v>
      </c>
    </row>
    <row r="745" spans="1:4" x14ac:dyDescent="0.25">
      <c r="A745" s="2" t="s">
        <v>4</v>
      </c>
      <c r="B745" s="3" t="s">
        <v>5</v>
      </c>
      <c r="C745" s="3" t="s">
        <v>66</v>
      </c>
      <c r="D745" s="3">
        <v>1480.271606445312</v>
      </c>
    </row>
    <row r="746" spans="1:4" x14ac:dyDescent="0.25">
      <c r="A746" s="5" t="s">
        <v>10</v>
      </c>
      <c r="B746" s="6" t="s">
        <v>5</v>
      </c>
      <c r="C746" s="6" t="s">
        <v>36</v>
      </c>
      <c r="D746" s="6">
        <v>46069.49609375</v>
      </c>
    </row>
    <row r="747" spans="1:4" x14ac:dyDescent="0.25">
      <c r="A747" s="2" t="s">
        <v>10</v>
      </c>
      <c r="B747" s="3" t="s">
        <v>5</v>
      </c>
      <c r="C747" s="3" t="s">
        <v>37</v>
      </c>
      <c r="D747" s="3">
        <v>27458.0234375</v>
      </c>
    </row>
    <row r="748" spans="1:4" x14ac:dyDescent="0.25">
      <c r="A748" s="5" t="s">
        <v>10</v>
      </c>
      <c r="B748" s="6" t="s">
        <v>5</v>
      </c>
      <c r="C748" s="6" t="s">
        <v>38</v>
      </c>
      <c r="D748" s="6">
        <v>38464.0078125</v>
      </c>
    </row>
    <row r="749" spans="1:4" x14ac:dyDescent="0.25">
      <c r="A749" s="2" t="s">
        <v>10</v>
      </c>
      <c r="B749" s="3" t="s">
        <v>5</v>
      </c>
      <c r="C749" s="3" t="s">
        <v>39</v>
      </c>
      <c r="D749" s="3">
        <v>106665.96875</v>
      </c>
    </row>
    <row r="750" spans="1:4" x14ac:dyDescent="0.25">
      <c r="A750" s="5" t="s">
        <v>10</v>
      </c>
      <c r="B750" s="6" t="s">
        <v>5</v>
      </c>
      <c r="C750" s="6" t="s">
        <v>40</v>
      </c>
      <c r="D750" s="6">
        <v>147157.171875</v>
      </c>
    </row>
    <row r="751" spans="1:4" x14ac:dyDescent="0.25">
      <c r="A751" s="2" t="s">
        <v>10</v>
      </c>
      <c r="B751" s="3" t="s">
        <v>5</v>
      </c>
      <c r="C751" s="3" t="s">
        <v>41</v>
      </c>
      <c r="D751" s="3">
        <v>97208.8125</v>
      </c>
    </row>
    <row r="752" spans="1:4" x14ac:dyDescent="0.25">
      <c r="A752" s="5" t="s">
        <v>10</v>
      </c>
      <c r="B752" s="6" t="s">
        <v>5</v>
      </c>
      <c r="C752" s="6" t="s">
        <v>42</v>
      </c>
      <c r="D752" s="6">
        <v>45354.3125</v>
      </c>
    </row>
    <row r="753" spans="1:4" x14ac:dyDescent="0.25">
      <c r="A753" s="2" t="s">
        <v>10</v>
      </c>
      <c r="B753" s="3" t="s">
        <v>5</v>
      </c>
      <c r="C753" s="3" t="s">
        <v>43</v>
      </c>
      <c r="D753" s="3">
        <v>23541.021484375</v>
      </c>
    </row>
    <row r="754" spans="1:4" x14ac:dyDescent="0.25">
      <c r="A754" s="5" t="s">
        <v>10</v>
      </c>
      <c r="B754" s="6" t="s">
        <v>5</v>
      </c>
      <c r="C754" s="6" t="s">
        <v>44</v>
      </c>
      <c r="D754" s="6">
        <v>33351.359375</v>
      </c>
    </row>
    <row r="755" spans="1:4" x14ac:dyDescent="0.25">
      <c r="A755" s="2" t="s">
        <v>10</v>
      </c>
      <c r="B755" s="3" t="s">
        <v>5</v>
      </c>
      <c r="C755" s="3" t="s">
        <v>45</v>
      </c>
      <c r="D755" s="3">
        <v>96115.484375</v>
      </c>
    </row>
    <row r="756" spans="1:4" x14ac:dyDescent="0.25">
      <c r="A756" s="5" t="s">
        <v>10</v>
      </c>
      <c r="B756" s="6" t="s">
        <v>5</v>
      </c>
      <c r="C756" s="6" t="s">
        <v>46</v>
      </c>
      <c r="D756" s="6">
        <v>132439.515625</v>
      </c>
    </row>
    <row r="757" spans="1:4" x14ac:dyDescent="0.25">
      <c r="A757" s="2" t="s">
        <v>10</v>
      </c>
      <c r="B757" s="3" t="s">
        <v>5</v>
      </c>
      <c r="C757" s="3" t="s">
        <v>47</v>
      </c>
      <c r="D757" s="3">
        <v>87076.4140625</v>
      </c>
    </row>
    <row r="758" spans="1:4" x14ac:dyDescent="0.25">
      <c r="A758" s="5" t="s">
        <v>10</v>
      </c>
      <c r="B758" s="6" t="s">
        <v>5</v>
      </c>
      <c r="C758" s="6" t="s">
        <v>48</v>
      </c>
      <c r="D758" s="6">
        <v>42379.76953125</v>
      </c>
    </row>
    <row r="759" spans="1:4" x14ac:dyDescent="0.25">
      <c r="A759" s="2" t="s">
        <v>10</v>
      </c>
      <c r="B759" s="3" t="s">
        <v>5</v>
      </c>
      <c r="C759" s="3" t="s">
        <v>49</v>
      </c>
      <c r="D759" s="3">
        <v>25288.546875</v>
      </c>
    </row>
    <row r="760" spans="1:4" x14ac:dyDescent="0.25">
      <c r="A760" s="5" t="s">
        <v>10</v>
      </c>
      <c r="B760" s="6" t="s">
        <v>5</v>
      </c>
      <c r="C760" s="6" t="s">
        <v>50</v>
      </c>
      <c r="D760" s="6">
        <v>35417.6328125</v>
      </c>
    </row>
    <row r="761" spans="1:4" x14ac:dyDescent="0.25">
      <c r="A761" s="2" t="s">
        <v>10</v>
      </c>
      <c r="B761" s="3" t="s">
        <v>5</v>
      </c>
      <c r="C761" s="3" t="s">
        <v>51</v>
      </c>
      <c r="D761" s="3">
        <v>98136.4140625</v>
      </c>
    </row>
    <row r="762" spans="1:4" x14ac:dyDescent="0.25">
      <c r="A762" s="5" t="s">
        <v>10</v>
      </c>
      <c r="B762" s="6" t="s">
        <v>5</v>
      </c>
      <c r="C762" s="6" t="s">
        <v>52</v>
      </c>
      <c r="D762" s="6">
        <v>135393.234375</v>
      </c>
    </row>
    <row r="763" spans="1:4" x14ac:dyDescent="0.25">
      <c r="A763" s="2" t="s">
        <v>10</v>
      </c>
      <c r="B763" s="3" t="s">
        <v>5</v>
      </c>
      <c r="C763" s="3" t="s">
        <v>53</v>
      </c>
      <c r="D763" s="3">
        <v>89445.9921875</v>
      </c>
    </row>
    <row r="764" spans="1:4" x14ac:dyDescent="0.25">
      <c r="A764" s="5" t="s">
        <v>10</v>
      </c>
      <c r="B764" s="6" t="s">
        <v>5</v>
      </c>
      <c r="C764" s="6" t="s">
        <v>54</v>
      </c>
      <c r="D764" s="6">
        <v>41693.2265625</v>
      </c>
    </row>
    <row r="765" spans="1:4" x14ac:dyDescent="0.25">
      <c r="A765" s="2" t="s">
        <v>10</v>
      </c>
      <c r="B765" s="3" t="s">
        <v>5</v>
      </c>
      <c r="C765" s="3" t="s">
        <v>55</v>
      </c>
      <c r="D765" s="3">
        <v>25768.958984375</v>
      </c>
    </row>
    <row r="766" spans="1:4" x14ac:dyDescent="0.25">
      <c r="A766" s="2" t="s">
        <v>10</v>
      </c>
      <c r="B766" s="3" t="s">
        <v>5</v>
      </c>
      <c r="C766" s="3" t="s">
        <v>56</v>
      </c>
      <c r="D766" s="3">
        <v>36495.125</v>
      </c>
    </row>
    <row r="767" spans="1:4" x14ac:dyDescent="0.25">
      <c r="A767" s="2" t="s">
        <v>10</v>
      </c>
      <c r="B767" s="3" t="s">
        <v>5</v>
      </c>
      <c r="C767" s="3" t="s">
        <v>57</v>
      </c>
      <c r="D767" s="3">
        <v>105060.859375</v>
      </c>
    </row>
    <row r="768" spans="1:4" x14ac:dyDescent="0.25">
      <c r="A768" s="2" t="s">
        <v>10</v>
      </c>
      <c r="B768" s="3" t="s">
        <v>5</v>
      </c>
      <c r="C768" s="3" t="s">
        <v>58</v>
      </c>
      <c r="D768" s="3">
        <v>144771.078125</v>
      </c>
    </row>
    <row r="769" spans="1:4" x14ac:dyDescent="0.25">
      <c r="A769" s="2" t="s">
        <v>10</v>
      </c>
      <c r="B769" s="3" t="s">
        <v>5</v>
      </c>
      <c r="C769" s="3" t="s">
        <v>59</v>
      </c>
      <c r="D769" s="3">
        <v>95197.5703125</v>
      </c>
    </row>
    <row r="770" spans="1:4" x14ac:dyDescent="0.25">
      <c r="A770" s="2" t="s">
        <v>10</v>
      </c>
      <c r="B770" s="3" t="s">
        <v>5</v>
      </c>
      <c r="C770" s="3" t="s">
        <v>60</v>
      </c>
      <c r="D770" s="3">
        <v>46278.08203125</v>
      </c>
    </row>
    <row r="771" spans="1:4" x14ac:dyDescent="0.25">
      <c r="A771" s="2" t="s">
        <v>10</v>
      </c>
      <c r="B771" s="3" t="s">
        <v>5</v>
      </c>
      <c r="C771" s="3" t="s">
        <v>61</v>
      </c>
      <c r="D771" s="3">
        <v>27572.697265625</v>
      </c>
    </row>
    <row r="772" spans="1:4" x14ac:dyDescent="0.25">
      <c r="A772" s="2" t="s">
        <v>10</v>
      </c>
      <c r="B772" s="3" t="s">
        <v>5</v>
      </c>
      <c r="C772" s="3" t="s">
        <v>62</v>
      </c>
      <c r="D772" s="3">
        <v>38627.01953125</v>
      </c>
    </row>
    <row r="773" spans="1:4" x14ac:dyDescent="0.25">
      <c r="A773" s="2" t="s">
        <v>10</v>
      </c>
      <c r="B773" s="3" t="s">
        <v>5</v>
      </c>
      <c r="C773" s="3" t="s">
        <v>63</v>
      </c>
      <c r="D773" s="3">
        <v>107144.5625</v>
      </c>
    </row>
    <row r="774" spans="1:4" x14ac:dyDescent="0.25">
      <c r="A774" s="2" t="s">
        <v>10</v>
      </c>
      <c r="B774" s="3" t="s">
        <v>5</v>
      </c>
      <c r="C774" s="3" t="s">
        <v>64</v>
      </c>
      <c r="D774" s="3">
        <v>147816.3125</v>
      </c>
    </row>
    <row r="775" spans="1:4" x14ac:dyDescent="0.25">
      <c r="A775" s="2" t="s">
        <v>10</v>
      </c>
      <c r="B775" s="3" t="s">
        <v>5</v>
      </c>
      <c r="C775" s="3" t="s">
        <v>65</v>
      </c>
      <c r="D775" s="3">
        <v>97641.5625</v>
      </c>
    </row>
    <row r="776" spans="1:4" x14ac:dyDescent="0.25">
      <c r="A776" s="2" t="s">
        <v>10</v>
      </c>
      <c r="B776" s="3" t="s">
        <v>5</v>
      </c>
      <c r="C776" s="3" t="s">
        <v>66</v>
      </c>
      <c r="D776" s="3">
        <v>45568.98046875</v>
      </c>
    </row>
    <row r="777" spans="1:4" x14ac:dyDescent="0.25">
      <c r="A777" s="5" t="s">
        <v>11</v>
      </c>
      <c r="B777" s="6" t="s">
        <v>5</v>
      </c>
      <c r="C777" s="6" t="s">
        <v>36</v>
      </c>
      <c r="D777" s="6">
        <v>2291.92822265625</v>
      </c>
    </row>
    <row r="778" spans="1:4" x14ac:dyDescent="0.25">
      <c r="A778" s="2" t="s">
        <v>11</v>
      </c>
      <c r="B778" s="3" t="s">
        <v>5</v>
      </c>
      <c r="C778" s="3" t="s">
        <v>37</v>
      </c>
      <c r="D778" s="3">
        <v>1347.60266113281</v>
      </c>
    </row>
    <row r="779" spans="1:4" x14ac:dyDescent="0.25">
      <c r="A779" s="5" t="s">
        <v>11</v>
      </c>
      <c r="B779" s="6" t="s">
        <v>5</v>
      </c>
      <c r="C779" s="6" t="s">
        <v>38</v>
      </c>
      <c r="D779" s="6">
        <v>1892.30053710938</v>
      </c>
    </row>
    <row r="780" spans="1:4" x14ac:dyDescent="0.25">
      <c r="A780" s="2" t="s">
        <v>11</v>
      </c>
      <c r="B780" s="3" t="s">
        <v>5</v>
      </c>
      <c r="C780" s="3" t="s">
        <v>39</v>
      </c>
      <c r="D780" s="3">
        <v>5298.25927734375</v>
      </c>
    </row>
    <row r="781" spans="1:4" x14ac:dyDescent="0.25">
      <c r="A781" s="5" t="s">
        <v>11</v>
      </c>
      <c r="B781" s="6" t="s">
        <v>5</v>
      </c>
      <c r="C781" s="6" t="s">
        <v>40</v>
      </c>
      <c r="D781" s="6">
        <v>7307.345703125</v>
      </c>
    </row>
    <row r="782" spans="1:4" x14ac:dyDescent="0.25">
      <c r="A782" s="2" t="s">
        <v>11</v>
      </c>
      <c r="B782" s="3" t="s">
        <v>5</v>
      </c>
      <c r="C782" s="3" t="s">
        <v>41</v>
      </c>
      <c r="D782" s="3">
        <v>4821.99072265625</v>
      </c>
    </row>
    <row r="783" spans="1:4" x14ac:dyDescent="0.25">
      <c r="A783" s="5" t="s">
        <v>11</v>
      </c>
      <c r="B783" s="6" t="s">
        <v>5</v>
      </c>
      <c r="C783" s="6" t="s">
        <v>42</v>
      </c>
      <c r="D783" s="6">
        <v>2274.13647460938</v>
      </c>
    </row>
    <row r="784" spans="1:4" x14ac:dyDescent="0.25">
      <c r="A784" s="2" t="s">
        <v>11</v>
      </c>
      <c r="B784" s="3" t="s">
        <v>5</v>
      </c>
      <c r="C784" s="3" t="s">
        <v>43</v>
      </c>
      <c r="D784" s="3">
        <v>1162.01098632812</v>
      </c>
    </row>
    <row r="785" spans="1:4" x14ac:dyDescent="0.25">
      <c r="A785" s="5" t="s">
        <v>11</v>
      </c>
      <c r="B785" s="6" t="s">
        <v>5</v>
      </c>
      <c r="C785" s="6" t="s">
        <v>44</v>
      </c>
      <c r="D785" s="6">
        <v>1640.89294433594</v>
      </c>
    </row>
    <row r="786" spans="1:4" x14ac:dyDescent="0.25">
      <c r="A786" s="2" t="s">
        <v>11</v>
      </c>
      <c r="B786" s="3" t="s">
        <v>5</v>
      </c>
      <c r="C786" s="3" t="s">
        <v>45</v>
      </c>
      <c r="D786" s="3">
        <v>4680.1865234375</v>
      </c>
    </row>
    <row r="787" spans="1:4" x14ac:dyDescent="0.25">
      <c r="A787" s="5" t="s">
        <v>11</v>
      </c>
      <c r="B787" s="6" t="s">
        <v>5</v>
      </c>
      <c r="C787" s="6" t="s">
        <v>46</v>
      </c>
      <c r="D787" s="6">
        <v>6451.27685546875</v>
      </c>
    </row>
    <row r="788" spans="1:4" x14ac:dyDescent="0.25">
      <c r="A788" s="2" t="s">
        <v>11</v>
      </c>
      <c r="B788" s="3" t="s">
        <v>5</v>
      </c>
      <c r="C788" s="3" t="s">
        <v>47</v>
      </c>
      <c r="D788" s="3">
        <v>4247.2802734375</v>
      </c>
    </row>
    <row r="789" spans="1:4" x14ac:dyDescent="0.25">
      <c r="A789" s="5" t="s">
        <v>11</v>
      </c>
      <c r="B789" s="6" t="s">
        <v>5</v>
      </c>
      <c r="C789" s="6" t="s">
        <v>48</v>
      </c>
      <c r="D789" s="6">
        <v>2044.09777832031</v>
      </c>
    </row>
    <row r="790" spans="1:4" x14ac:dyDescent="0.25">
      <c r="A790" s="2" t="s">
        <v>11</v>
      </c>
      <c r="B790" s="3" t="s">
        <v>5</v>
      </c>
      <c r="C790" s="3" t="s">
        <v>49</v>
      </c>
      <c r="D790" s="3">
        <v>1201.88391113281</v>
      </c>
    </row>
    <row r="791" spans="1:4" x14ac:dyDescent="0.25">
      <c r="A791" s="5" t="s">
        <v>11</v>
      </c>
      <c r="B791" s="6" t="s">
        <v>5</v>
      </c>
      <c r="C791" s="6" t="s">
        <v>50</v>
      </c>
      <c r="D791" s="6">
        <v>1687.6826171875</v>
      </c>
    </row>
    <row r="792" spans="1:4" x14ac:dyDescent="0.25">
      <c r="A792" s="2" t="s">
        <v>11</v>
      </c>
      <c r="B792" s="3" t="s">
        <v>5</v>
      </c>
      <c r="C792" s="3" t="s">
        <v>51</v>
      </c>
      <c r="D792" s="3">
        <v>4725.3486328125</v>
      </c>
    </row>
    <row r="793" spans="1:4" x14ac:dyDescent="0.25">
      <c r="A793" s="5" t="s">
        <v>11</v>
      </c>
      <c r="B793" s="6" t="s">
        <v>5</v>
      </c>
      <c r="C793" s="6" t="s">
        <v>52</v>
      </c>
      <c r="D793" s="6">
        <v>6517.18896484375</v>
      </c>
    </row>
    <row r="794" spans="1:4" x14ac:dyDescent="0.25">
      <c r="A794" s="2" t="s">
        <v>11</v>
      </c>
      <c r="B794" s="3" t="s">
        <v>5</v>
      </c>
      <c r="C794" s="3" t="s">
        <v>53</v>
      </c>
      <c r="D794" s="3">
        <v>4300.580078125</v>
      </c>
    </row>
    <row r="795" spans="1:4" x14ac:dyDescent="0.25">
      <c r="A795" s="5" t="s">
        <v>11</v>
      </c>
      <c r="B795" s="6" t="s">
        <v>5</v>
      </c>
      <c r="C795" s="6" t="s">
        <v>54</v>
      </c>
      <c r="D795" s="6">
        <v>2028.22998046875</v>
      </c>
    </row>
    <row r="796" spans="1:4" x14ac:dyDescent="0.25">
      <c r="A796" s="5" t="s">
        <v>11</v>
      </c>
      <c r="B796" s="6" t="s">
        <v>5</v>
      </c>
      <c r="C796" s="6" t="s">
        <v>55</v>
      </c>
      <c r="D796" s="6">
        <v>1264.802001953125</v>
      </c>
    </row>
    <row r="797" spans="1:4" x14ac:dyDescent="0.25">
      <c r="A797" s="5" t="s">
        <v>11</v>
      </c>
      <c r="B797" s="6" t="s">
        <v>5</v>
      </c>
      <c r="C797" s="6" t="s">
        <v>56</v>
      </c>
      <c r="D797" s="6">
        <v>1786.045166015625</v>
      </c>
    </row>
    <row r="798" spans="1:4" x14ac:dyDescent="0.25">
      <c r="A798" s="5" t="s">
        <v>11</v>
      </c>
      <c r="B798" s="6" t="s">
        <v>5</v>
      </c>
      <c r="C798" s="6" t="s">
        <v>57</v>
      </c>
      <c r="D798" s="6">
        <v>5094.19287109375</v>
      </c>
    </row>
    <row r="799" spans="1:4" x14ac:dyDescent="0.25">
      <c r="A799" s="5" t="s">
        <v>11</v>
      </c>
      <c r="B799" s="6" t="s">
        <v>5</v>
      </c>
      <c r="C799" s="6" t="s">
        <v>58</v>
      </c>
      <c r="D799" s="6">
        <v>7021.95263671875</v>
      </c>
    </row>
    <row r="800" spans="1:4" x14ac:dyDescent="0.25">
      <c r="A800" s="5" t="s">
        <v>11</v>
      </c>
      <c r="B800" s="6" t="s">
        <v>5</v>
      </c>
      <c r="C800" s="6" t="s">
        <v>59</v>
      </c>
      <c r="D800" s="6">
        <v>4622.9921875</v>
      </c>
    </row>
    <row r="801" spans="1:4" x14ac:dyDescent="0.25">
      <c r="A801" s="5" t="s">
        <v>11</v>
      </c>
      <c r="B801" s="6" t="s">
        <v>5</v>
      </c>
      <c r="C801" s="6" t="s">
        <v>60</v>
      </c>
      <c r="D801" s="6">
        <v>2224.917724609375</v>
      </c>
    </row>
    <row r="802" spans="1:4" x14ac:dyDescent="0.25">
      <c r="A802" s="5" t="s">
        <v>11</v>
      </c>
      <c r="B802" s="6" t="s">
        <v>5</v>
      </c>
      <c r="C802" s="6" t="s">
        <v>61</v>
      </c>
      <c r="D802" s="6">
        <v>1308.201904296875</v>
      </c>
    </row>
    <row r="803" spans="1:4" x14ac:dyDescent="0.25">
      <c r="A803" s="5" t="s">
        <v>11</v>
      </c>
      <c r="B803" s="6" t="s">
        <v>5</v>
      </c>
      <c r="C803" s="6" t="s">
        <v>62</v>
      </c>
      <c r="D803" s="6">
        <v>1836.973999023438</v>
      </c>
    </row>
    <row r="804" spans="1:4" x14ac:dyDescent="0.25">
      <c r="A804" s="5" t="s">
        <v>11</v>
      </c>
      <c r="B804" s="6" t="s">
        <v>5</v>
      </c>
      <c r="C804" s="6" t="s">
        <v>63</v>
      </c>
      <c r="D804" s="6">
        <v>5143.349609375</v>
      </c>
    </row>
    <row r="805" spans="1:4" x14ac:dyDescent="0.25">
      <c r="A805" s="5" t="s">
        <v>11</v>
      </c>
      <c r="B805" s="6" t="s">
        <v>5</v>
      </c>
      <c r="C805" s="6" t="s">
        <v>64</v>
      </c>
      <c r="D805" s="6">
        <v>7093.6962890625</v>
      </c>
    </row>
    <row r="806" spans="1:4" x14ac:dyDescent="0.25">
      <c r="A806" s="5" t="s">
        <v>11</v>
      </c>
      <c r="B806" s="6" t="s">
        <v>5</v>
      </c>
      <c r="C806" s="6" t="s">
        <v>65</v>
      </c>
      <c r="D806" s="6">
        <v>4681.00634765625</v>
      </c>
    </row>
    <row r="807" spans="1:4" x14ac:dyDescent="0.25">
      <c r="A807" s="5" t="s">
        <v>11</v>
      </c>
      <c r="B807" s="6" t="s">
        <v>5</v>
      </c>
      <c r="C807" s="6" t="s">
        <v>66</v>
      </c>
      <c r="D807" s="6">
        <v>2207.64599609375</v>
      </c>
    </row>
    <row r="808" spans="1:4" x14ac:dyDescent="0.25">
      <c r="A808" s="2" t="s">
        <v>29</v>
      </c>
      <c r="B808" s="3" t="s">
        <v>5</v>
      </c>
      <c r="C808" s="3" t="s">
        <v>36</v>
      </c>
      <c r="D808" s="3">
        <v>23021.103515625</v>
      </c>
    </row>
    <row r="809" spans="1:4" x14ac:dyDescent="0.25">
      <c r="A809" s="5" t="s">
        <v>29</v>
      </c>
      <c r="B809" s="6" t="s">
        <v>5</v>
      </c>
      <c r="C809" s="6" t="s">
        <v>37</v>
      </c>
      <c r="D809" s="6">
        <v>13437.7666015625</v>
      </c>
    </row>
    <row r="810" spans="1:4" x14ac:dyDescent="0.25">
      <c r="A810" s="2" t="s">
        <v>29</v>
      </c>
      <c r="B810" s="3" t="s">
        <v>5</v>
      </c>
      <c r="C810" s="3" t="s">
        <v>38</v>
      </c>
      <c r="D810" s="3">
        <v>18894.712890625</v>
      </c>
    </row>
    <row r="811" spans="1:4" x14ac:dyDescent="0.25">
      <c r="A811" s="5" t="s">
        <v>29</v>
      </c>
      <c r="B811" s="6" t="s">
        <v>5</v>
      </c>
      <c r="C811" s="6" t="s">
        <v>39</v>
      </c>
      <c r="D811" s="6">
        <v>53186.03125</v>
      </c>
    </row>
    <row r="812" spans="1:4" x14ac:dyDescent="0.25">
      <c r="A812" s="2" t="s">
        <v>29</v>
      </c>
      <c r="B812" s="3" t="s">
        <v>5</v>
      </c>
      <c r="C812" s="3" t="s">
        <v>40</v>
      </c>
      <c r="D812" s="3">
        <v>73345.5234375</v>
      </c>
    </row>
    <row r="813" spans="1:4" x14ac:dyDescent="0.25">
      <c r="A813" s="5" t="s">
        <v>29</v>
      </c>
      <c r="B813" s="6" t="s">
        <v>5</v>
      </c>
      <c r="C813" s="6" t="s">
        <v>41</v>
      </c>
      <c r="D813" s="6">
        <v>48368.46875</v>
      </c>
    </row>
    <row r="814" spans="1:4" x14ac:dyDescent="0.25">
      <c r="A814" s="2" t="s">
        <v>29</v>
      </c>
      <c r="B814" s="3" t="s">
        <v>5</v>
      </c>
      <c r="C814" s="3" t="s">
        <v>42</v>
      </c>
      <c r="D814" s="3">
        <v>22944.166015625</v>
      </c>
    </row>
    <row r="815" spans="1:4" x14ac:dyDescent="0.25">
      <c r="A815" s="5" t="s">
        <v>29</v>
      </c>
      <c r="B815" s="6" t="s">
        <v>5</v>
      </c>
      <c r="C815" s="6" t="s">
        <v>43</v>
      </c>
      <c r="D815" s="6">
        <v>13214.9873046875</v>
      </c>
    </row>
    <row r="816" spans="1:4" x14ac:dyDescent="0.25">
      <c r="A816" s="2" t="s">
        <v>29</v>
      </c>
      <c r="B816" s="3" t="s">
        <v>5</v>
      </c>
      <c r="C816" s="3" t="s">
        <v>44</v>
      </c>
      <c r="D816" s="3">
        <v>18624.32421875</v>
      </c>
    </row>
    <row r="817" spans="1:4" x14ac:dyDescent="0.25">
      <c r="A817" s="5" t="s">
        <v>29</v>
      </c>
      <c r="B817" s="6" t="s">
        <v>5</v>
      </c>
      <c r="C817" s="6" t="s">
        <v>45</v>
      </c>
      <c r="D817" s="6">
        <v>52848.57421875</v>
      </c>
    </row>
    <row r="818" spans="1:4" x14ac:dyDescent="0.25">
      <c r="A818" s="2" t="s">
        <v>29</v>
      </c>
      <c r="B818" s="3" t="s">
        <v>5</v>
      </c>
      <c r="C818" s="3" t="s">
        <v>46</v>
      </c>
      <c r="D818" s="3">
        <v>72861.6328125</v>
      </c>
    </row>
    <row r="819" spans="1:4" x14ac:dyDescent="0.25">
      <c r="A819" s="5" t="s">
        <v>29</v>
      </c>
      <c r="B819" s="6" t="s">
        <v>5</v>
      </c>
      <c r="C819" s="6" t="s">
        <v>47</v>
      </c>
      <c r="D819" s="6">
        <v>48002.53515625</v>
      </c>
    </row>
    <row r="820" spans="1:4" x14ac:dyDescent="0.25">
      <c r="A820" s="2" t="s">
        <v>29</v>
      </c>
      <c r="B820" s="3" t="s">
        <v>5</v>
      </c>
      <c r="C820" s="3" t="s">
        <v>48</v>
      </c>
      <c r="D820" s="3">
        <v>22973.3828125</v>
      </c>
    </row>
    <row r="821" spans="1:4" x14ac:dyDescent="0.25">
      <c r="A821" s="5" t="s">
        <v>29</v>
      </c>
      <c r="B821" s="6" t="s">
        <v>5</v>
      </c>
      <c r="C821" s="6" t="s">
        <v>49</v>
      </c>
      <c r="D821" s="6">
        <v>13409.3193359375</v>
      </c>
    </row>
    <row r="822" spans="1:4" x14ac:dyDescent="0.25">
      <c r="A822" s="2" t="s">
        <v>29</v>
      </c>
      <c r="B822" s="3" t="s">
        <v>5</v>
      </c>
      <c r="C822" s="3" t="s">
        <v>50</v>
      </c>
      <c r="D822" s="3">
        <v>18854.865234375</v>
      </c>
    </row>
    <row r="823" spans="1:4" x14ac:dyDescent="0.25">
      <c r="A823" s="5" t="s">
        <v>29</v>
      </c>
      <c r="B823" s="6" t="s">
        <v>5</v>
      </c>
      <c r="C823" s="6" t="s">
        <v>51</v>
      </c>
      <c r="D823" s="6">
        <v>53075.5546875</v>
      </c>
    </row>
    <row r="824" spans="1:4" x14ac:dyDescent="0.25">
      <c r="A824" s="2" t="s">
        <v>29</v>
      </c>
      <c r="B824" s="3" t="s">
        <v>5</v>
      </c>
      <c r="C824" s="3" t="s">
        <v>52</v>
      </c>
      <c r="D824" s="3">
        <v>73193.1171875</v>
      </c>
    </row>
    <row r="825" spans="1:4" x14ac:dyDescent="0.25">
      <c r="A825" s="5" t="s">
        <v>29</v>
      </c>
      <c r="B825" s="6" t="s">
        <v>5</v>
      </c>
      <c r="C825" s="6" t="s">
        <v>53</v>
      </c>
      <c r="D825" s="6">
        <v>48267.78515625</v>
      </c>
    </row>
    <row r="826" spans="1:4" x14ac:dyDescent="0.25">
      <c r="A826" s="2" t="s">
        <v>29</v>
      </c>
      <c r="B826" s="3" t="s">
        <v>5</v>
      </c>
      <c r="C826" s="3" t="s">
        <v>54</v>
      </c>
      <c r="D826" s="3">
        <v>22897.19140625</v>
      </c>
    </row>
    <row r="827" spans="1:4" x14ac:dyDescent="0.25">
      <c r="A827" s="5" t="s">
        <v>29</v>
      </c>
      <c r="B827" s="6" t="s">
        <v>5</v>
      </c>
      <c r="C827" s="6" t="s">
        <v>55</v>
      </c>
      <c r="D827" s="6">
        <v>10732.3759765625</v>
      </c>
    </row>
    <row r="828" spans="1:4" x14ac:dyDescent="0.25">
      <c r="A828" s="5" t="s">
        <v>29</v>
      </c>
      <c r="B828" s="6" t="s">
        <v>5</v>
      </c>
      <c r="C828" s="6" t="s">
        <v>56</v>
      </c>
      <c r="D828" s="6">
        <v>15129.9501953125</v>
      </c>
    </row>
    <row r="829" spans="1:4" x14ac:dyDescent="0.25">
      <c r="A829" s="5" t="s">
        <v>29</v>
      </c>
      <c r="B829" s="6" t="s">
        <v>5</v>
      </c>
      <c r="C829" s="6" t="s">
        <v>57</v>
      </c>
      <c r="D829" s="6">
        <v>42971.81640625</v>
      </c>
    </row>
    <row r="830" spans="1:4" x14ac:dyDescent="0.25">
      <c r="A830" s="5" t="s">
        <v>29</v>
      </c>
      <c r="B830" s="6" t="s">
        <v>5</v>
      </c>
      <c r="C830" s="6" t="s">
        <v>58</v>
      </c>
      <c r="D830" s="6">
        <v>59242.81640625</v>
      </c>
    </row>
    <row r="831" spans="1:4" x14ac:dyDescent="0.25">
      <c r="A831" s="5" t="s">
        <v>29</v>
      </c>
      <c r="B831" s="6" t="s">
        <v>5</v>
      </c>
      <c r="C831" s="6" t="s">
        <v>59</v>
      </c>
      <c r="D831" s="6">
        <v>39025.52734375</v>
      </c>
    </row>
    <row r="832" spans="1:4" x14ac:dyDescent="0.25">
      <c r="A832" s="5" t="s">
        <v>29</v>
      </c>
      <c r="B832" s="6" t="s">
        <v>5</v>
      </c>
      <c r="C832" s="6" t="s">
        <v>60</v>
      </c>
      <c r="D832" s="6">
        <v>18695.732421875</v>
      </c>
    </row>
    <row r="833" spans="1:4" x14ac:dyDescent="0.25">
      <c r="A833" s="5" t="s">
        <v>29</v>
      </c>
      <c r="B833" s="6" t="s">
        <v>5</v>
      </c>
      <c r="C833" s="6" t="s">
        <v>61</v>
      </c>
      <c r="D833" s="6">
        <v>10927.1298828125</v>
      </c>
    </row>
    <row r="834" spans="1:4" x14ac:dyDescent="0.25">
      <c r="A834" s="5" t="s">
        <v>29</v>
      </c>
      <c r="B834" s="6" t="s">
        <v>5</v>
      </c>
      <c r="C834" s="6" t="s">
        <v>62</v>
      </c>
      <c r="D834" s="6">
        <v>15360.9560546875</v>
      </c>
    </row>
    <row r="835" spans="1:4" x14ac:dyDescent="0.25">
      <c r="A835" s="5" t="s">
        <v>29</v>
      </c>
      <c r="B835" s="6" t="s">
        <v>5</v>
      </c>
      <c r="C835" s="6" t="s">
        <v>63</v>
      </c>
      <c r="D835" s="6">
        <v>43199.171875</v>
      </c>
    </row>
    <row r="836" spans="1:4" x14ac:dyDescent="0.25">
      <c r="A836" s="5" t="s">
        <v>29</v>
      </c>
      <c r="B836" s="6" t="s">
        <v>5</v>
      </c>
      <c r="C836" s="6" t="s">
        <v>64</v>
      </c>
      <c r="D836" s="6">
        <v>59574.859375</v>
      </c>
    </row>
    <row r="837" spans="1:4" x14ac:dyDescent="0.25">
      <c r="A837" s="5" t="s">
        <v>29</v>
      </c>
      <c r="B837" s="6" t="s">
        <v>5</v>
      </c>
      <c r="C837" s="6" t="s">
        <v>65</v>
      </c>
      <c r="D837" s="6">
        <v>39291.265625</v>
      </c>
    </row>
    <row r="838" spans="1:4" x14ac:dyDescent="0.25">
      <c r="A838" s="5" t="s">
        <v>29</v>
      </c>
      <c r="B838" s="6" t="s">
        <v>5</v>
      </c>
      <c r="C838" s="6" t="s">
        <v>66</v>
      </c>
      <c r="D838" s="6">
        <v>18619.3515625</v>
      </c>
    </row>
    <row r="839" spans="1:4" x14ac:dyDescent="0.25">
      <c r="A839" s="2" t="s">
        <v>18</v>
      </c>
      <c r="B839" s="3" t="s">
        <v>5</v>
      </c>
      <c r="C839" s="3" t="s">
        <v>36</v>
      </c>
      <c r="D839" s="3">
        <v>9380.0478515625</v>
      </c>
    </row>
    <row r="840" spans="1:4" x14ac:dyDescent="0.25">
      <c r="A840" s="5" t="s">
        <v>18</v>
      </c>
      <c r="B840" s="6" t="s">
        <v>5</v>
      </c>
      <c r="C840" s="6" t="s">
        <v>37</v>
      </c>
      <c r="D840" s="6">
        <v>5580.86376953125</v>
      </c>
    </row>
    <row r="841" spans="1:4" x14ac:dyDescent="0.25">
      <c r="A841" s="2" t="s">
        <v>18</v>
      </c>
      <c r="B841" s="3" t="s">
        <v>5</v>
      </c>
      <c r="C841" s="3" t="s">
        <v>38</v>
      </c>
      <c r="D841" s="3">
        <v>7818.6484375</v>
      </c>
    </row>
    <row r="842" spans="1:4" x14ac:dyDescent="0.25">
      <c r="A842" s="5" t="s">
        <v>18</v>
      </c>
      <c r="B842" s="6" t="s">
        <v>5</v>
      </c>
      <c r="C842" s="6" t="s">
        <v>39</v>
      </c>
      <c r="D842" s="6">
        <v>21704.642578125</v>
      </c>
    </row>
    <row r="843" spans="1:4" x14ac:dyDescent="0.25">
      <c r="A843" s="2" t="s">
        <v>18</v>
      </c>
      <c r="B843" s="3" t="s">
        <v>5</v>
      </c>
      <c r="C843" s="3" t="s">
        <v>40</v>
      </c>
      <c r="D843" s="3">
        <v>29943.05078125</v>
      </c>
    </row>
    <row r="844" spans="1:4" x14ac:dyDescent="0.25">
      <c r="A844" s="5" t="s">
        <v>18</v>
      </c>
      <c r="B844" s="6" t="s">
        <v>5</v>
      </c>
      <c r="C844" s="6" t="s">
        <v>41</v>
      </c>
      <c r="D844" s="6">
        <v>19778.71484375</v>
      </c>
    </row>
    <row r="845" spans="1:4" x14ac:dyDescent="0.25">
      <c r="A845" s="2" t="s">
        <v>18</v>
      </c>
      <c r="B845" s="3" t="s">
        <v>5</v>
      </c>
      <c r="C845" s="3" t="s">
        <v>42</v>
      </c>
      <c r="D845" s="3">
        <v>9239.5009765625</v>
      </c>
    </row>
    <row r="846" spans="1:4" x14ac:dyDescent="0.25">
      <c r="A846" s="5" t="s">
        <v>18</v>
      </c>
      <c r="B846" s="6" t="s">
        <v>5</v>
      </c>
      <c r="C846" s="6" t="s">
        <v>43</v>
      </c>
      <c r="D846" s="6">
        <v>4760.53271484375</v>
      </c>
    </row>
    <row r="847" spans="1:4" x14ac:dyDescent="0.25">
      <c r="A847" s="2" t="s">
        <v>18</v>
      </c>
      <c r="B847" s="3" t="s">
        <v>5</v>
      </c>
      <c r="C847" s="3" t="s">
        <v>44</v>
      </c>
      <c r="D847" s="3">
        <v>6742.8662109375</v>
      </c>
    </row>
    <row r="848" spans="1:4" x14ac:dyDescent="0.25">
      <c r="A848" s="5" t="s">
        <v>18</v>
      </c>
      <c r="B848" s="6" t="s">
        <v>5</v>
      </c>
      <c r="C848" s="6" t="s">
        <v>45</v>
      </c>
      <c r="D848" s="6">
        <v>19416.6875</v>
      </c>
    </row>
    <row r="849" spans="1:4" x14ac:dyDescent="0.25">
      <c r="A849" s="2" t="s">
        <v>18</v>
      </c>
      <c r="B849" s="3" t="s">
        <v>5</v>
      </c>
      <c r="C849" s="3" t="s">
        <v>46</v>
      </c>
      <c r="D849" s="3">
        <v>26755.60546875</v>
      </c>
    </row>
    <row r="850" spans="1:4" x14ac:dyDescent="0.25">
      <c r="A850" s="5" t="s">
        <v>18</v>
      </c>
      <c r="B850" s="6" t="s">
        <v>5</v>
      </c>
      <c r="C850" s="6" t="s">
        <v>47</v>
      </c>
      <c r="D850" s="6">
        <v>17592.9296875</v>
      </c>
    </row>
    <row r="851" spans="1:4" x14ac:dyDescent="0.25">
      <c r="A851" s="2" t="s">
        <v>18</v>
      </c>
      <c r="B851" s="3" t="s">
        <v>5</v>
      </c>
      <c r="C851" s="3" t="s">
        <v>48</v>
      </c>
      <c r="D851" s="3">
        <v>8554.4248046875</v>
      </c>
    </row>
    <row r="852" spans="1:4" x14ac:dyDescent="0.25">
      <c r="A852" s="5" t="s">
        <v>18</v>
      </c>
      <c r="B852" s="6" t="s">
        <v>5</v>
      </c>
      <c r="C852" s="6" t="s">
        <v>49</v>
      </c>
      <c r="D852" s="6">
        <v>5096.10693359375</v>
      </c>
    </row>
    <row r="853" spans="1:4" x14ac:dyDescent="0.25">
      <c r="A853" s="2" t="s">
        <v>18</v>
      </c>
      <c r="B853" s="3" t="s">
        <v>5</v>
      </c>
      <c r="C853" s="3" t="s">
        <v>50</v>
      </c>
      <c r="D853" s="3">
        <v>7137.7431640625</v>
      </c>
    </row>
    <row r="854" spans="1:4" x14ac:dyDescent="0.25">
      <c r="A854" s="5" t="s">
        <v>18</v>
      </c>
      <c r="B854" s="6" t="s">
        <v>5</v>
      </c>
      <c r="C854" s="6" t="s">
        <v>51</v>
      </c>
      <c r="D854" s="6">
        <v>19796.15234375</v>
      </c>
    </row>
    <row r="855" spans="1:4" x14ac:dyDescent="0.25">
      <c r="A855" s="2" t="s">
        <v>18</v>
      </c>
      <c r="B855" s="3" t="s">
        <v>5</v>
      </c>
      <c r="C855" s="3" t="s">
        <v>52</v>
      </c>
      <c r="D855" s="3">
        <v>27310.953125</v>
      </c>
    </row>
    <row r="856" spans="1:4" x14ac:dyDescent="0.25">
      <c r="A856" s="5" t="s">
        <v>18</v>
      </c>
      <c r="B856" s="6" t="s">
        <v>5</v>
      </c>
      <c r="C856" s="6" t="s">
        <v>53</v>
      </c>
      <c r="D856" s="6">
        <v>18042.068359375</v>
      </c>
    </row>
    <row r="857" spans="1:4" x14ac:dyDescent="0.25">
      <c r="A857" s="2" t="s">
        <v>18</v>
      </c>
      <c r="B857" s="3" t="s">
        <v>5</v>
      </c>
      <c r="C857" s="3" t="s">
        <v>54</v>
      </c>
      <c r="D857" s="3">
        <v>8419.51953125</v>
      </c>
    </row>
    <row r="858" spans="1:4" x14ac:dyDescent="0.25">
      <c r="A858" s="2" t="s">
        <v>18</v>
      </c>
      <c r="B858" s="3" t="s">
        <v>5</v>
      </c>
      <c r="C858" s="3" t="s">
        <v>55</v>
      </c>
      <c r="D858" s="3">
        <v>5298.2041015625</v>
      </c>
    </row>
    <row r="859" spans="1:4" x14ac:dyDescent="0.25">
      <c r="A859" s="2" t="s">
        <v>18</v>
      </c>
      <c r="B859" s="3" t="s">
        <v>5</v>
      </c>
      <c r="C859" s="3" t="s">
        <v>56</v>
      </c>
      <c r="D859" s="3">
        <v>7499.1455078125</v>
      </c>
    </row>
    <row r="860" spans="1:4" x14ac:dyDescent="0.25">
      <c r="A860" s="2" t="s">
        <v>18</v>
      </c>
      <c r="B860" s="3" t="s">
        <v>5</v>
      </c>
      <c r="C860" s="3" t="s">
        <v>57</v>
      </c>
      <c r="D860" s="3">
        <v>21547.53515625</v>
      </c>
    </row>
    <row r="861" spans="1:4" x14ac:dyDescent="0.25">
      <c r="A861" s="2" t="s">
        <v>18</v>
      </c>
      <c r="B861" s="3" t="s">
        <v>5</v>
      </c>
      <c r="C861" s="3" t="s">
        <v>58</v>
      </c>
      <c r="D861" s="3">
        <v>29693.982421875</v>
      </c>
    </row>
    <row r="862" spans="1:4" x14ac:dyDescent="0.25">
      <c r="A862" s="2" t="s">
        <v>18</v>
      </c>
      <c r="B862" s="3" t="s">
        <v>5</v>
      </c>
      <c r="C862" s="3" t="s">
        <v>59</v>
      </c>
      <c r="D862" s="3">
        <v>19530.64453125</v>
      </c>
    </row>
    <row r="863" spans="1:4" x14ac:dyDescent="0.25">
      <c r="A863" s="2" t="s">
        <v>18</v>
      </c>
      <c r="B863" s="3" t="s">
        <v>5</v>
      </c>
      <c r="C863" s="3" t="s">
        <v>60</v>
      </c>
      <c r="D863" s="3">
        <v>9474.8125</v>
      </c>
    </row>
    <row r="864" spans="1:4" x14ac:dyDescent="0.25">
      <c r="A864" s="2" t="s">
        <v>18</v>
      </c>
      <c r="B864" s="3" t="s">
        <v>5</v>
      </c>
      <c r="C864" s="3" t="s">
        <v>61</v>
      </c>
      <c r="D864" s="3">
        <v>5628.9404296875</v>
      </c>
    </row>
    <row r="865" spans="1:4" x14ac:dyDescent="0.25">
      <c r="A865" s="2" t="s">
        <v>18</v>
      </c>
      <c r="B865" s="3" t="s">
        <v>5</v>
      </c>
      <c r="C865" s="3" t="s">
        <v>62</v>
      </c>
      <c r="D865" s="3">
        <v>7888.9140625</v>
      </c>
    </row>
    <row r="866" spans="1:4" x14ac:dyDescent="0.25">
      <c r="A866" s="2" t="s">
        <v>18</v>
      </c>
      <c r="B866" s="3" t="s">
        <v>5</v>
      </c>
      <c r="C866" s="3" t="s">
        <v>63</v>
      </c>
      <c r="D866" s="3">
        <v>21924.953125</v>
      </c>
    </row>
    <row r="867" spans="1:4" x14ac:dyDescent="0.25">
      <c r="A867" s="2" t="s">
        <v>18</v>
      </c>
      <c r="B867" s="3" t="s">
        <v>5</v>
      </c>
      <c r="C867" s="3" t="s">
        <v>64</v>
      </c>
      <c r="D867" s="3">
        <v>30245.83203125</v>
      </c>
    </row>
    <row r="868" spans="1:4" x14ac:dyDescent="0.25">
      <c r="A868" s="2" t="s">
        <v>18</v>
      </c>
      <c r="B868" s="3" t="s">
        <v>5</v>
      </c>
      <c r="C868" s="3" t="s">
        <v>65</v>
      </c>
      <c r="D868" s="3">
        <v>19975.51171875</v>
      </c>
    </row>
    <row r="869" spans="1:4" x14ac:dyDescent="0.25">
      <c r="A869" s="2" t="s">
        <v>18</v>
      </c>
      <c r="B869" s="3" t="s">
        <v>5</v>
      </c>
      <c r="C869" s="3" t="s">
        <v>66</v>
      </c>
      <c r="D869" s="3">
        <v>9343.232421875</v>
      </c>
    </row>
    <row r="870" spans="1:4" x14ac:dyDescent="0.25">
      <c r="A870" s="5" t="s">
        <v>6</v>
      </c>
      <c r="B870" s="6" t="s">
        <v>5</v>
      </c>
      <c r="C870" s="6" t="s">
        <v>36</v>
      </c>
      <c r="D870" s="6">
        <v>50664.46484375</v>
      </c>
    </row>
    <row r="871" spans="1:4" x14ac:dyDescent="0.25">
      <c r="A871" s="2" t="s">
        <v>6</v>
      </c>
      <c r="B871" s="3" t="s">
        <v>5</v>
      </c>
      <c r="C871" s="3" t="s">
        <v>37</v>
      </c>
      <c r="D871" s="3">
        <v>30817.41015625</v>
      </c>
    </row>
    <row r="872" spans="1:4" x14ac:dyDescent="0.25">
      <c r="A872" s="5" t="s">
        <v>6</v>
      </c>
      <c r="B872" s="6" t="s">
        <v>5</v>
      </c>
      <c r="C872" s="6" t="s">
        <v>38</v>
      </c>
      <c r="D872" s="6">
        <v>43012.63671875</v>
      </c>
    </row>
    <row r="873" spans="1:4" x14ac:dyDescent="0.25">
      <c r="A873" s="2" t="s">
        <v>6</v>
      </c>
      <c r="B873" s="3" t="s">
        <v>5</v>
      </c>
      <c r="C873" s="3" t="s">
        <v>39</v>
      </c>
      <c r="D873" s="3">
        <v>117560.9296875</v>
      </c>
    </row>
    <row r="874" spans="1:4" x14ac:dyDescent="0.25">
      <c r="A874" s="5" t="s">
        <v>6</v>
      </c>
      <c r="B874" s="6" t="s">
        <v>5</v>
      </c>
      <c r="C874" s="6" t="s">
        <v>40</v>
      </c>
      <c r="D874" s="6">
        <v>162262.3125</v>
      </c>
    </row>
    <row r="875" spans="1:4" x14ac:dyDescent="0.25">
      <c r="A875" s="2" t="s">
        <v>6</v>
      </c>
      <c r="B875" s="3" t="s">
        <v>5</v>
      </c>
      <c r="C875" s="3" t="s">
        <v>41</v>
      </c>
      <c r="D875" s="3">
        <v>107362.6953125</v>
      </c>
    </row>
    <row r="876" spans="1:4" x14ac:dyDescent="0.25">
      <c r="A876" s="5" t="s">
        <v>6</v>
      </c>
      <c r="B876" s="6" t="s">
        <v>5</v>
      </c>
      <c r="C876" s="6" t="s">
        <v>42</v>
      </c>
      <c r="D876" s="6">
        <v>49266.3828125</v>
      </c>
    </row>
    <row r="877" spans="1:4" x14ac:dyDescent="0.25">
      <c r="A877" s="2" t="s">
        <v>6</v>
      </c>
      <c r="B877" s="3" t="s">
        <v>5</v>
      </c>
      <c r="C877" s="3" t="s">
        <v>43</v>
      </c>
      <c r="D877" s="3">
        <v>26200.587890625</v>
      </c>
    </row>
    <row r="878" spans="1:4" x14ac:dyDescent="0.25">
      <c r="A878" s="5" t="s">
        <v>6</v>
      </c>
      <c r="B878" s="6" t="s">
        <v>5</v>
      </c>
      <c r="C878" s="6" t="s">
        <v>44</v>
      </c>
      <c r="D878" s="6">
        <v>37302.33203125</v>
      </c>
    </row>
    <row r="879" spans="1:4" x14ac:dyDescent="0.25">
      <c r="A879" s="2" t="s">
        <v>6</v>
      </c>
      <c r="B879" s="3" t="s">
        <v>5</v>
      </c>
      <c r="C879" s="3" t="s">
        <v>45</v>
      </c>
      <c r="D879" s="3">
        <v>109161.8984375</v>
      </c>
    </row>
    <row r="880" spans="1:4" x14ac:dyDescent="0.25">
      <c r="A880" s="5" t="s">
        <v>6</v>
      </c>
      <c r="B880" s="6" t="s">
        <v>5</v>
      </c>
      <c r="C880" s="6" t="s">
        <v>46</v>
      </c>
      <c r="D880" s="6">
        <v>150337.015625</v>
      </c>
    </row>
    <row r="881" spans="1:4" x14ac:dyDescent="0.25">
      <c r="A881" s="2" t="s">
        <v>6</v>
      </c>
      <c r="B881" s="3" t="s">
        <v>5</v>
      </c>
      <c r="C881" s="3" t="s">
        <v>47</v>
      </c>
      <c r="D881" s="3">
        <v>98649.2265625</v>
      </c>
    </row>
    <row r="882" spans="1:4" x14ac:dyDescent="0.25">
      <c r="A882" s="5" t="s">
        <v>6</v>
      </c>
      <c r="B882" s="6" t="s">
        <v>5</v>
      </c>
      <c r="C882" s="6" t="s">
        <v>48</v>
      </c>
      <c r="D882" s="6">
        <v>48795.4375</v>
      </c>
    </row>
    <row r="883" spans="1:4" x14ac:dyDescent="0.25">
      <c r="A883" s="2" t="s">
        <v>6</v>
      </c>
      <c r="B883" s="3" t="s">
        <v>5</v>
      </c>
      <c r="C883" s="3" t="s">
        <v>49</v>
      </c>
      <c r="D883" s="3">
        <v>29717.91796875</v>
      </c>
    </row>
    <row r="884" spans="1:4" x14ac:dyDescent="0.25">
      <c r="A884" s="5" t="s">
        <v>6</v>
      </c>
      <c r="B884" s="6" t="s">
        <v>5</v>
      </c>
      <c r="C884" s="6" t="s">
        <v>50</v>
      </c>
      <c r="D884" s="6">
        <v>41468.90234375</v>
      </c>
    </row>
    <row r="885" spans="1:4" x14ac:dyDescent="0.25">
      <c r="A885" s="2" t="s">
        <v>6</v>
      </c>
      <c r="B885" s="3" t="s">
        <v>5</v>
      </c>
      <c r="C885" s="3" t="s">
        <v>51</v>
      </c>
      <c r="D885" s="3">
        <v>113240.2421875</v>
      </c>
    </row>
    <row r="886" spans="1:4" x14ac:dyDescent="0.25">
      <c r="A886" s="5" t="s">
        <v>6</v>
      </c>
      <c r="B886" s="6" t="s">
        <v>5</v>
      </c>
      <c r="C886" s="6" t="s">
        <v>52</v>
      </c>
      <c r="D886" s="6">
        <v>156303.15625</v>
      </c>
    </row>
    <row r="887" spans="1:4" x14ac:dyDescent="0.25">
      <c r="A887" s="2" t="s">
        <v>6</v>
      </c>
      <c r="B887" s="3" t="s">
        <v>5</v>
      </c>
      <c r="C887" s="3" t="s">
        <v>53</v>
      </c>
      <c r="D887" s="3">
        <v>103430.171875</v>
      </c>
    </row>
    <row r="888" spans="1:4" x14ac:dyDescent="0.25">
      <c r="A888" s="5" t="s">
        <v>6</v>
      </c>
      <c r="B888" s="6" t="s">
        <v>5</v>
      </c>
      <c r="C888" s="6" t="s">
        <v>54</v>
      </c>
      <c r="D888" s="6">
        <v>47412.484375</v>
      </c>
    </row>
    <row r="889" spans="1:4" x14ac:dyDescent="0.25">
      <c r="A889" s="5" t="s">
        <v>6</v>
      </c>
      <c r="B889" s="6" t="s">
        <v>5</v>
      </c>
      <c r="C889" s="6" t="s">
        <v>55</v>
      </c>
      <c r="D889" s="6">
        <v>27193.7734375</v>
      </c>
    </row>
    <row r="890" spans="1:4" x14ac:dyDescent="0.25">
      <c r="A890" s="5" t="s">
        <v>6</v>
      </c>
      <c r="B890" s="6" t="s">
        <v>5</v>
      </c>
      <c r="C890" s="6" t="s">
        <v>56</v>
      </c>
      <c r="D890" s="6">
        <v>38702.91015625</v>
      </c>
    </row>
    <row r="891" spans="1:4" x14ac:dyDescent="0.25">
      <c r="A891" s="5" t="s">
        <v>6</v>
      </c>
      <c r="B891" s="6" t="s">
        <v>5</v>
      </c>
      <c r="C891" s="6" t="s">
        <v>57</v>
      </c>
      <c r="D891" s="6">
        <v>113138.5390625</v>
      </c>
    </row>
    <row r="892" spans="1:4" x14ac:dyDescent="0.25">
      <c r="A892" s="5" t="s">
        <v>6</v>
      </c>
      <c r="B892" s="6" t="s">
        <v>5</v>
      </c>
      <c r="C892" s="6" t="s">
        <v>58</v>
      </c>
      <c r="D892" s="6">
        <v>155819.453125</v>
      </c>
    </row>
    <row r="893" spans="1:4" x14ac:dyDescent="0.25">
      <c r="A893" s="5" t="s">
        <v>6</v>
      </c>
      <c r="B893" s="6" t="s">
        <v>5</v>
      </c>
      <c r="C893" s="6" t="s">
        <v>59</v>
      </c>
      <c r="D893" s="6">
        <v>102260.734375</v>
      </c>
    </row>
    <row r="894" spans="1:4" x14ac:dyDescent="0.25">
      <c r="A894" s="5" t="s">
        <v>6</v>
      </c>
      <c r="B894" s="6" t="s">
        <v>5</v>
      </c>
      <c r="C894" s="6" t="s">
        <v>60</v>
      </c>
      <c r="D894" s="6">
        <v>50524.7109375</v>
      </c>
    </row>
    <row r="895" spans="1:4" x14ac:dyDescent="0.25">
      <c r="A895" s="5" t="s">
        <v>6</v>
      </c>
      <c r="B895" s="6" t="s">
        <v>5</v>
      </c>
      <c r="C895" s="6" t="s">
        <v>61</v>
      </c>
      <c r="D895" s="6">
        <v>30727.125</v>
      </c>
    </row>
    <row r="896" spans="1:4" x14ac:dyDescent="0.25">
      <c r="A896" s="5" t="s">
        <v>6</v>
      </c>
      <c r="B896" s="6" t="s">
        <v>5</v>
      </c>
      <c r="C896" s="6" t="s">
        <v>62</v>
      </c>
      <c r="D896" s="6">
        <v>42887.46875</v>
      </c>
    </row>
    <row r="897" spans="1:4" x14ac:dyDescent="0.25">
      <c r="A897" s="5" t="s">
        <v>6</v>
      </c>
      <c r="B897" s="6" t="s">
        <v>5</v>
      </c>
      <c r="C897" s="6" t="s">
        <v>63</v>
      </c>
      <c r="D897" s="6">
        <v>117231.8515625</v>
      </c>
    </row>
    <row r="898" spans="1:4" x14ac:dyDescent="0.25">
      <c r="A898" s="5" t="s">
        <v>6</v>
      </c>
      <c r="B898" s="6" t="s">
        <v>5</v>
      </c>
      <c r="C898" s="6" t="s">
        <v>64</v>
      </c>
      <c r="D898" s="6">
        <v>161807.578125</v>
      </c>
    </row>
    <row r="899" spans="1:4" x14ac:dyDescent="0.25">
      <c r="A899" s="5" t="s">
        <v>6</v>
      </c>
      <c r="B899" s="6" t="s">
        <v>5</v>
      </c>
      <c r="C899" s="6" t="s">
        <v>65</v>
      </c>
      <c r="D899" s="6">
        <v>107060.828125</v>
      </c>
    </row>
    <row r="900" spans="1:4" x14ac:dyDescent="0.25">
      <c r="A900" s="5" t="s">
        <v>6</v>
      </c>
      <c r="B900" s="6" t="s">
        <v>5</v>
      </c>
      <c r="C900" s="6" t="s">
        <v>66</v>
      </c>
      <c r="D900" s="6">
        <v>49134.3515625</v>
      </c>
    </row>
    <row r="901" spans="1:4" x14ac:dyDescent="0.25">
      <c r="A901" s="2" t="s">
        <v>23</v>
      </c>
      <c r="B901" s="3" t="s">
        <v>5</v>
      </c>
      <c r="C901" s="3" t="s">
        <v>36</v>
      </c>
      <c r="D901" s="3">
        <v>21200.470703125</v>
      </c>
    </row>
    <row r="902" spans="1:4" x14ac:dyDescent="0.25">
      <c r="A902" s="5" t="s">
        <v>23</v>
      </c>
      <c r="B902" s="6" t="s">
        <v>5</v>
      </c>
      <c r="C902" s="6" t="s">
        <v>37</v>
      </c>
      <c r="D902" s="6">
        <v>12719.283203125</v>
      </c>
    </row>
    <row r="903" spans="1:4" x14ac:dyDescent="0.25">
      <c r="A903" s="2" t="s">
        <v>23</v>
      </c>
      <c r="B903" s="3" t="s">
        <v>5</v>
      </c>
      <c r="C903" s="3" t="s">
        <v>38</v>
      </c>
      <c r="D903" s="3">
        <v>17796.958984375</v>
      </c>
    </row>
    <row r="904" spans="1:4" x14ac:dyDescent="0.25">
      <c r="A904" s="5" t="s">
        <v>23</v>
      </c>
      <c r="B904" s="6" t="s">
        <v>5</v>
      </c>
      <c r="C904" s="6" t="s">
        <v>39</v>
      </c>
      <c r="D904" s="6">
        <v>49123.69921875</v>
      </c>
    </row>
    <row r="905" spans="1:4" x14ac:dyDescent="0.25">
      <c r="A905" s="2" t="s">
        <v>23</v>
      </c>
      <c r="B905" s="3" t="s">
        <v>5</v>
      </c>
      <c r="C905" s="3" t="s">
        <v>40</v>
      </c>
      <c r="D905" s="3">
        <v>67781.2734375</v>
      </c>
    </row>
    <row r="906" spans="1:4" x14ac:dyDescent="0.25">
      <c r="A906" s="5" t="s">
        <v>23</v>
      </c>
      <c r="B906" s="6" t="s">
        <v>5</v>
      </c>
      <c r="C906" s="6" t="s">
        <v>41</v>
      </c>
      <c r="D906" s="6">
        <v>44797.87890625</v>
      </c>
    </row>
    <row r="907" spans="1:4" x14ac:dyDescent="0.25">
      <c r="A907" s="2" t="s">
        <v>23</v>
      </c>
      <c r="B907" s="3" t="s">
        <v>5</v>
      </c>
      <c r="C907" s="3" t="s">
        <v>42</v>
      </c>
      <c r="D907" s="3">
        <v>20790.677734375</v>
      </c>
    </row>
    <row r="908" spans="1:4" x14ac:dyDescent="0.25">
      <c r="A908" s="5" t="s">
        <v>23</v>
      </c>
      <c r="B908" s="6" t="s">
        <v>5</v>
      </c>
      <c r="C908" s="6" t="s">
        <v>43</v>
      </c>
      <c r="D908" s="6">
        <v>10874.666015625</v>
      </c>
    </row>
    <row r="909" spans="1:4" x14ac:dyDescent="0.25">
      <c r="A909" s="2" t="s">
        <v>23</v>
      </c>
      <c r="B909" s="3" t="s">
        <v>5</v>
      </c>
      <c r="C909" s="3" t="s">
        <v>44</v>
      </c>
      <c r="D909" s="3">
        <v>15430.8486328125</v>
      </c>
    </row>
    <row r="910" spans="1:4" x14ac:dyDescent="0.25">
      <c r="A910" s="5" t="s">
        <v>23</v>
      </c>
      <c r="B910" s="6" t="s">
        <v>5</v>
      </c>
      <c r="C910" s="6" t="s">
        <v>45</v>
      </c>
      <c r="D910" s="6">
        <v>44691.1796875</v>
      </c>
    </row>
    <row r="911" spans="1:4" x14ac:dyDescent="0.25">
      <c r="A911" s="2" t="s">
        <v>23</v>
      </c>
      <c r="B911" s="3" t="s">
        <v>5</v>
      </c>
      <c r="C911" s="3" t="s">
        <v>46</v>
      </c>
      <c r="D911" s="3">
        <v>61570.2421875</v>
      </c>
    </row>
    <row r="912" spans="1:4" x14ac:dyDescent="0.25">
      <c r="A912" s="5" t="s">
        <v>23</v>
      </c>
      <c r="B912" s="6" t="s">
        <v>5</v>
      </c>
      <c r="C912" s="6" t="s">
        <v>47</v>
      </c>
      <c r="D912" s="6">
        <v>40455.4296875</v>
      </c>
    </row>
    <row r="913" spans="1:4" x14ac:dyDescent="0.25">
      <c r="A913" s="2" t="s">
        <v>23</v>
      </c>
      <c r="B913" s="3" t="s">
        <v>5</v>
      </c>
      <c r="C913" s="3" t="s">
        <v>48</v>
      </c>
      <c r="D913" s="3">
        <v>19793.9921875</v>
      </c>
    </row>
    <row r="914" spans="1:4" x14ac:dyDescent="0.25">
      <c r="A914" s="5" t="s">
        <v>23</v>
      </c>
      <c r="B914" s="6" t="s">
        <v>5</v>
      </c>
      <c r="C914" s="6" t="s">
        <v>49</v>
      </c>
      <c r="D914" s="6">
        <v>11892.3056640625</v>
      </c>
    </row>
    <row r="915" spans="1:4" x14ac:dyDescent="0.25">
      <c r="A915" s="2" t="s">
        <v>23</v>
      </c>
      <c r="B915" s="3" t="s">
        <v>5</v>
      </c>
      <c r="C915" s="3" t="s">
        <v>50</v>
      </c>
      <c r="D915" s="3">
        <v>16635.71875</v>
      </c>
    </row>
    <row r="916" spans="1:4" x14ac:dyDescent="0.25">
      <c r="A916" s="5" t="s">
        <v>23</v>
      </c>
      <c r="B916" s="6" t="s">
        <v>5</v>
      </c>
      <c r="C916" s="6" t="s">
        <v>51</v>
      </c>
      <c r="D916" s="6">
        <v>45872.3359375</v>
      </c>
    </row>
    <row r="917" spans="1:4" x14ac:dyDescent="0.25">
      <c r="A917" s="2" t="s">
        <v>23</v>
      </c>
      <c r="B917" s="3" t="s">
        <v>5</v>
      </c>
      <c r="C917" s="3" t="s">
        <v>52</v>
      </c>
      <c r="D917" s="3">
        <v>63297.0078125</v>
      </c>
    </row>
    <row r="918" spans="1:4" x14ac:dyDescent="0.25">
      <c r="A918" s="5" t="s">
        <v>23</v>
      </c>
      <c r="B918" s="6" t="s">
        <v>5</v>
      </c>
      <c r="C918" s="6" t="s">
        <v>53</v>
      </c>
      <c r="D918" s="6">
        <v>41838.7890625</v>
      </c>
    </row>
    <row r="919" spans="1:4" x14ac:dyDescent="0.25">
      <c r="A919" s="2" t="s">
        <v>23</v>
      </c>
      <c r="B919" s="3" t="s">
        <v>5</v>
      </c>
      <c r="C919" s="3" t="s">
        <v>54</v>
      </c>
      <c r="D919" s="3">
        <v>19395.119140625</v>
      </c>
    </row>
    <row r="920" spans="1:4" x14ac:dyDescent="0.25">
      <c r="A920" s="5" t="s">
        <v>23</v>
      </c>
      <c r="B920" s="6" t="s">
        <v>5</v>
      </c>
      <c r="C920" s="6" t="s">
        <v>55</v>
      </c>
      <c r="D920" s="6">
        <v>11797.28515625</v>
      </c>
    </row>
    <row r="921" spans="1:4" x14ac:dyDescent="0.25">
      <c r="A921" s="5" t="s">
        <v>23</v>
      </c>
      <c r="B921" s="6" t="s">
        <v>5</v>
      </c>
      <c r="C921" s="6" t="s">
        <v>56</v>
      </c>
      <c r="D921" s="6">
        <v>16732.861328125</v>
      </c>
    </row>
    <row r="922" spans="1:4" x14ac:dyDescent="0.25">
      <c r="A922" s="5" t="s">
        <v>23</v>
      </c>
      <c r="B922" s="6" t="s">
        <v>5</v>
      </c>
      <c r="C922" s="6" t="s">
        <v>57</v>
      </c>
      <c r="D922" s="6">
        <v>48397.234375</v>
      </c>
    </row>
    <row r="923" spans="1:4" x14ac:dyDescent="0.25">
      <c r="A923" s="5" t="s">
        <v>23</v>
      </c>
      <c r="B923" s="6" t="s">
        <v>5</v>
      </c>
      <c r="C923" s="6" t="s">
        <v>58</v>
      </c>
      <c r="D923" s="6">
        <v>66679.1171875</v>
      </c>
    </row>
    <row r="924" spans="1:4" x14ac:dyDescent="0.25">
      <c r="A924" s="5" t="s">
        <v>23</v>
      </c>
      <c r="B924" s="6" t="s">
        <v>5</v>
      </c>
      <c r="C924" s="6" t="s">
        <v>59</v>
      </c>
      <c r="D924" s="6">
        <v>43819.8203125</v>
      </c>
    </row>
    <row r="925" spans="1:4" x14ac:dyDescent="0.25">
      <c r="A925" s="5" t="s">
        <v>23</v>
      </c>
      <c r="B925" s="6" t="s">
        <v>5</v>
      </c>
      <c r="C925" s="6" t="s">
        <v>60</v>
      </c>
      <c r="D925" s="6">
        <v>21409.56640625</v>
      </c>
    </row>
    <row r="926" spans="1:4" x14ac:dyDescent="0.25">
      <c r="A926" s="5" t="s">
        <v>23</v>
      </c>
      <c r="B926" s="6" t="s">
        <v>5</v>
      </c>
      <c r="C926" s="6" t="s">
        <v>61</v>
      </c>
      <c r="D926" s="6">
        <v>12839.39453125</v>
      </c>
    </row>
    <row r="927" spans="1:4" x14ac:dyDescent="0.25">
      <c r="A927" s="5" t="s">
        <v>23</v>
      </c>
      <c r="B927" s="6" t="s">
        <v>5</v>
      </c>
      <c r="C927" s="6" t="s">
        <v>62</v>
      </c>
      <c r="D927" s="6">
        <v>17966.326171875</v>
      </c>
    </row>
    <row r="928" spans="1:4" x14ac:dyDescent="0.25">
      <c r="A928" s="5" t="s">
        <v>23</v>
      </c>
      <c r="B928" s="6" t="s">
        <v>5</v>
      </c>
      <c r="C928" s="6" t="s">
        <v>63</v>
      </c>
      <c r="D928" s="6">
        <v>49605.78515625</v>
      </c>
    </row>
    <row r="929" spans="1:4" x14ac:dyDescent="0.25">
      <c r="A929" s="5" t="s">
        <v>23</v>
      </c>
      <c r="B929" s="6" t="s">
        <v>5</v>
      </c>
      <c r="C929" s="6" t="s">
        <v>64</v>
      </c>
      <c r="D929" s="6">
        <v>68445.8359375</v>
      </c>
    </row>
    <row r="930" spans="1:4" x14ac:dyDescent="0.25">
      <c r="A930" s="5" t="s">
        <v>23</v>
      </c>
      <c r="B930" s="6" t="s">
        <v>5</v>
      </c>
      <c r="C930" s="6" t="s">
        <v>65</v>
      </c>
      <c r="D930" s="6">
        <v>45235.625</v>
      </c>
    </row>
    <row r="931" spans="1:4" x14ac:dyDescent="0.25">
      <c r="A931" s="5" t="s">
        <v>23</v>
      </c>
      <c r="B931" s="6" t="s">
        <v>5</v>
      </c>
      <c r="C931" s="6" t="s">
        <v>66</v>
      </c>
      <c r="D931" s="6">
        <v>21000.88671875</v>
      </c>
    </row>
    <row r="932" spans="1:4" x14ac:dyDescent="0.25">
      <c r="A932" s="5" t="s">
        <v>32</v>
      </c>
      <c r="B932" s="6" t="s">
        <v>5</v>
      </c>
      <c r="C932" s="6" t="s">
        <v>36</v>
      </c>
      <c r="D932" s="6">
        <v>22877.6796875</v>
      </c>
    </row>
    <row r="933" spans="1:4" x14ac:dyDescent="0.25">
      <c r="A933" s="2" t="s">
        <v>32</v>
      </c>
      <c r="B933" s="3" t="s">
        <v>5</v>
      </c>
      <c r="C933" s="3" t="s">
        <v>37</v>
      </c>
      <c r="D933" s="3">
        <v>13725.9619140625</v>
      </c>
    </row>
    <row r="934" spans="1:4" x14ac:dyDescent="0.25">
      <c r="A934" s="5" t="s">
        <v>32</v>
      </c>
      <c r="B934" s="6" t="s">
        <v>5</v>
      </c>
      <c r="C934" s="6" t="s">
        <v>38</v>
      </c>
      <c r="D934" s="6">
        <v>19205.408203125</v>
      </c>
    </row>
    <row r="935" spans="1:4" x14ac:dyDescent="0.25">
      <c r="A935" s="2" t="s">
        <v>32</v>
      </c>
      <c r="B935" s="3" t="s">
        <v>5</v>
      </c>
      <c r="C935" s="3" t="s">
        <v>39</v>
      </c>
      <c r="D935" s="3">
        <v>53010.16015625</v>
      </c>
    </row>
    <row r="936" spans="1:4" x14ac:dyDescent="0.25">
      <c r="A936" s="5" t="s">
        <v>32</v>
      </c>
      <c r="B936" s="6" t="s">
        <v>5</v>
      </c>
      <c r="C936" s="6" t="s">
        <v>40</v>
      </c>
      <c r="D936" s="6">
        <v>73143.8984375</v>
      </c>
    </row>
    <row r="937" spans="1:4" x14ac:dyDescent="0.25">
      <c r="A937" s="2" t="s">
        <v>32</v>
      </c>
      <c r="B937" s="3" t="s">
        <v>5</v>
      </c>
      <c r="C937" s="3" t="s">
        <v>41</v>
      </c>
      <c r="D937" s="3">
        <v>48342.25390625</v>
      </c>
    </row>
    <row r="938" spans="1:4" x14ac:dyDescent="0.25">
      <c r="A938" s="5" t="s">
        <v>32</v>
      </c>
      <c r="B938" s="6" t="s">
        <v>5</v>
      </c>
      <c r="C938" s="6" t="s">
        <v>42</v>
      </c>
      <c r="D938" s="6">
        <v>22435.05078125</v>
      </c>
    </row>
    <row r="939" spans="1:4" x14ac:dyDescent="0.25">
      <c r="A939" s="2" t="s">
        <v>32</v>
      </c>
      <c r="B939" s="3" t="s">
        <v>5</v>
      </c>
      <c r="C939" s="3" t="s">
        <v>43</v>
      </c>
      <c r="D939" s="3">
        <v>11735.1962890625</v>
      </c>
    </row>
    <row r="940" spans="1:4" x14ac:dyDescent="0.25">
      <c r="A940" s="5" t="s">
        <v>32</v>
      </c>
      <c r="B940" s="6" t="s">
        <v>5</v>
      </c>
      <c r="C940" s="6" t="s">
        <v>44</v>
      </c>
      <c r="D940" s="6">
        <v>16652.04296875</v>
      </c>
    </row>
    <row r="941" spans="1:4" x14ac:dyDescent="0.25">
      <c r="A941" s="2" t="s">
        <v>32</v>
      </c>
      <c r="B941" s="3" t="s">
        <v>5</v>
      </c>
      <c r="C941" s="3" t="s">
        <v>45</v>
      </c>
      <c r="D941" s="3">
        <v>48229.171875</v>
      </c>
    </row>
    <row r="942" spans="1:4" x14ac:dyDescent="0.25">
      <c r="A942" s="5" t="s">
        <v>32</v>
      </c>
      <c r="B942" s="6" t="s">
        <v>5</v>
      </c>
      <c r="C942" s="6" t="s">
        <v>46</v>
      </c>
      <c r="D942" s="6">
        <v>66444.4140625</v>
      </c>
    </row>
    <row r="943" spans="1:4" x14ac:dyDescent="0.25">
      <c r="A943" s="2" t="s">
        <v>32</v>
      </c>
      <c r="B943" s="3" t="s">
        <v>5</v>
      </c>
      <c r="C943" s="3" t="s">
        <v>47</v>
      </c>
      <c r="D943" s="3">
        <v>43657.9296875</v>
      </c>
    </row>
    <row r="944" spans="1:4" x14ac:dyDescent="0.25">
      <c r="A944" s="5" t="s">
        <v>32</v>
      </c>
      <c r="B944" s="6" t="s">
        <v>5</v>
      </c>
      <c r="C944" s="6" t="s">
        <v>48</v>
      </c>
      <c r="D944" s="6">
        <v>21361.443359375</v>
      </c>
    </row>
    <row r="945" spans="1:4" x14ac:dyDescent="0.25">
      <c r="A945" s="2" t="s">
        <v>32</v>
      </c>
      <c r="B945" s="3" t="s">
        <v>5</v>
      </c>
      <c r="C945" s="3" t="s">
        <v>49</v>
      </c>
      <c r="D945" s="3">
        <v>12834.44921875</v>
      </c>
    </row>
    <row r="946" spans="1:4" x14ac:dyDescent="0.25">
      <c r="A946" s="5" t="s">
        <v>32</v>
      </c>
      <c r="B946" s="6" t="s">
        <v>5</v>
      </c>
      <c r="C946" s="6" t="s">
        <v>50</v>
      </c>
      <c r="D946" s="6">
        <v>17953.548828125</v>
      </c>
    </row>
    <row r="947" spans="1:4" x14ac:dyDescent="0.25">
      <c r="A947" s="2" t="s">
        <v>32</v>
      </c>
      <c r="B947" s="3" t="s">
        <v>5</v>
      </c>
      <c r="C947" s="3" t="s">
        <v>51</v>
      </c>
      <c r="D947" s="3">
        <v>49505.07421875</v>
      </c>
    </row>
    <row r="948" spans="1:4" x14ac:dyDescent="0.25">
      <c r="A948" s="5" t="s">
        <v>32</v>
      </c>
      <c r="B948" s="6" t="s">
        <v>5</v>
      </c>
      <c r="C948" s="6" t="s">
        <v>52</v>
      </c>
      <c r="D948" s="6">
        <v>68309.6875</v>
      </c>
    </row>
    <row r="949" spans="1:4" x14ac:dyDescent="0.25">
      <c r="A949" s="2" t="s">
        <v>32</v>
      </c>
      <c r="B949" s="3" t="s">
        <v>5</v>
      </c>
      <c r="C949" s="3" t="s">
        <v>53</v>
      </c>
      <c r="D949" s="3">
        <v>45152.2421875</v>
      </c>
    </row>
    <row r="950" spans="1:4" x14ac:dyDescent="0.25">
      <c r="A950" s="5" t="s">
        <v>32</v>
      </c>
      <c r="B950" s="6" t="s">
        <v>5</v>
      </c>
      <c r="C950" s="6" t="s">
        <v>54</v>
      </c>
      <c r="D950" s="6">
        <v>20930.583984375</v>
      </c>
    </row>
    <row r="951" spans="1:4" x14ac:dyDescent="0.25">
      <c r="A951" s="2" t="s">
        <v>32</v>
      </c>
      <c r="B951" s="3" t="s">
        <v>5</v>
      </c>
      <c r="C951" s="3" t="s">
        <v>55</v>
      </c>
      <c r="D951" s="3">
        <v>12727.580078125</v>
      </c>
    </row>
    <row r="952" spans="1:4" x14ac:dyDescent="0.25">
      <c r="A952" s="2" t="s">
        <v>32</v>
      </c>
      <c r="B952" s="3" t="s">
        <v>5</v>
      </c>
      <c r="C952" s="3" t="s">
        <v>56</v>
      </c>
      <c r="D952" s="3">
        <v>18052.51171875</v>
      </c>
    </row>
    <row r="953" spans="1:4" x14ac:dyDescent="0.25">
      <c r="A953" s="2" t="s">
        <v>32</v>
      </c>
      <c r="B953" s="3" t="s">
        <v>5</v>
      </c>
      <c r="C953" s="3" t="s">
        <v>57</v>
      </c>
      <c r="D953" s="3">
        <v>52215.484375</v>
      </c>
    </row>
    <row r="954" spans="1:4" x14ac:dyDescent="0.25">
      <c r="A954" s="2" t="s">
        <v>32</v>
      </c>
      <c r="B954" s="3" t="s">
        <v>5</v>
      </c>
      <c r="C954" s="3" t="s">
        <v>58</v>
      </c>
      <c r="D954" s="3">
        <v>71939.6328125</v>
      </c>
    </row>
    <row r="955" spans="1:4" x14ac:dyDescent="0.25">
      <c r="A955" s="2" t="s">
        <v>32</v>
      </c>
      <c r="B955" s="3" t="s">
        <v>5</v>
      </c>
      <c r="C955" s="3" t="s">
        <v>59</v>
      </c>
      <c r="D955" s="3">
        <v>47276.73828125</v>
      </c>
    </row>
    <row r="956" spans="1:4" x14ac:dyDescent="0.25">
      <c r="A956" s="2" t="s">
        <v>32</v>
      </c>
      <c r="B956" s="3" t="s">
        <v>5</v>
      </c>
      <c r="C956" s="3" t="s">
        <v>60</v>
      </c>
      <c r="D956" s="3">
        <v>23099.19921875</v>
      </c>
    </row>
    <row r="957" spans="1:4" x14ac:dyDescent="0.25">
      <c r="A957" s="2" t="s">
        <v>32</v>
      </c>
      <c r="B957" s="3" t="s">
        <v>5</v>
      </c>
      <c r="C957" s="3" t="s">
        <v>61</v>
      </c>
      <c r="D957" s="3">
        <v>13853.171875</v>
      </c>
    </row>
    <row r="958" spans="1:4" x14ac:dyDescent="0.25">
      <c r="A958" s="2" t="s">
        <v>32</v>
      </c>
      <c r="B958" s="3" t="s">
        <v>5</v>
      </c>
      <c r="C958" s="3" t="s">
        <v>62</v>
      </c>
      <c r="D958" s="3">
        <v>19384.796875</v>
      </c>
    </row>
    <row r="959" spans="1:4" x14ac:dyDescent="0.25">
      <c r="A959" s="2" t="s">
        <v>32</v>
      </c>
      <c r="B959" s="3" t="s">
        <v>5</v>
      </c>
      <c r="C959" s="3" t="s">
        <v>63</v>
      </c>
      <c r="D959" s="3">
        <v>53520.87890625</v>
      </c>
    </row>
    <row r="960" spans="1:4" x14ac:dyDescent="0.25">
      <c r="A960" s="2" t="s">
        <v>32</v>
      </c>
      <c r="B960" s="3" t="s">
        <v>5</v>
      </c>
      <c r="C960" s="3" t="s">
        <v>64</v>
      </c>
      <c r="D960" s="3">
        <v>73847.921875</v>
      </c>
    </row>
    <row r="961" spans="1:4" x14ac:dyDescent="0.25">
      <c r="A961" s="2" t="s">
        <v>32</v>
      </c>
      <c r="B961" s="3" t="s">
        <v>5</v>
      </c>
      <c r="C961" s="3" t="s">
        <v>65</v>
      </c>
      <c r="D961" s="3">
        <v>48805.984375</v>
      </c>
    </row>
    <row r="962" spans="1:4" x14ac:dyDescent="0.25">
      <c r="A962" s="2" t="s">
        <v>32</v>
      </c>
      <c r="B962" s="3" t="s">
        <v>5</v>
      </c>
      <c r="C962" s="3" t="s">
        <v>66</v>
      </c>
      <c r="D962" s="3">
        <v>22657.78515625</v>
      </c>
    </row>
  </sheetData>
  <sortState xmlns:xlrd2="http://schemas.microsoft.com/office/spreadsheetml/2017/richdata2" ref="A2:D962">
    <sortCondition ref="A1:A962"/>
  </sortState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3696-1766-41DE-9BC6-B4015A98F8C7}">
  <dimension ref="A1:D962"/>
  <sheetViews>
    <sheetView topLeftCell="A949" workbookViewId="0">
      <selection activeCell="D949" sqref="D1:D1048576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13</v>
      </c>
      <c r="B2" s="3" t="s">
        <v>5</v>
      </c>
      <c r="C2" s="3" t="s">
        <v>36</v>
      </c>
      <c r="D2" s="4">
        <v>1900118.375</v>
      </c>
    </row>
    <row r="3" spans="1:4" x14ac:dyDescent="0.25">
      <c r="A3" s="5" t="s">
        <v>13</v>
      </c>
      <c r="B3" s="6" t="s">
        <v>5</v>
      </c>
      <c r="C3" s="6" t="s">
        <v>37</v>
      </c>
      <c r="D3" s="7">
        <v>1919364.125</v>
      </c>
    </row>
    <row r="4" spans="1:4" x14ac:dyDescent="0.25">
      <c r="A4" s="2" t="s">
        <v>13</v>
      </c>
      <c r="B4" s="3" t="s">
        <v>5</v>
      </c>
      <c r="C4" s="3" t="s">
        <v>38</v>
      </c>
      <c r="D4" s="4">
        <v>1854116.875</v>
      </c>
    </row>
    <row r="5" spans="1:4" x14ac:dyDescent="0.25">
      <c r="A5" s="5" t="s">
        <v>13</v>
      </c>
      <c r="B5" s="6" t="s">
        <v>5</v>
      </c>
      <c r="C5" s="6" t="s">
        <v>39</v>
      </c>
      <c r="D5" s="7">
        <v>1834979.5</v>
      </c>
    </row>
    <row r="6" spans="1:4" x14ac:dyDescent="0.25">
      <c r="A6" s="2" t="s">
        <v>13</v>
      </c>
      <c r="B6" s="3" t="s">
        <v>5</v>
      </c>
      <c r="C6" s="3" t="s">
        <v>40</v>
      </c>
      <c r="D6" s="4">
        <v>1924464.25</v>
      </c>
    </row>
    <row r="7" spans="1:4" x14ac:dyDescent="0.25">
      <c r="A7" s="5" t="s">
        <v>13</v>
      </c>
      <c r="B7" s="6" t="s">
        <v>5</v>
      </c>
      <c r="C7" s="6" t="s">
        <v>41</v>
      </c>
      <c r="D7" s="7">
        <v>1908683.5</v>
      </c>
    </row>
    <row r="8" spans="1:4" x14ac:dyDescent="0.25">
      <c r="A8" s="2" t="s">
        <v>13</v>
      </c>
      <c r="B8" s="3" t="s">
        <v>5</v>
      </c>
      <c r="C8" s="3" t="s">
        <v>42</v>
      </c>
      <c r="D8" s="4">
        <v>1908018.125</v>
      </c>
    </row>
    <row r="9" spans="1:4" x14ac:dyDescent="0.25">
      <c r="A9" s="5" t="s">
        <v>13</v>
      </c>
      <c r="B9" s="6" t="s">
        <v>5</v>
      </c>
      <c r="C9" s="6" t="s">
        <v>43</v>
      </c>
      <c r="D9" s="7">
        <v>2008929.125</v>
      </c>
    </row>
    <row r="10" spans="1:4" x14ac:dyDescent="0.25">
      <c r="A10" s="2" t="s">
        <v>13</v>
      </c>
      <c r="B10" s="3" t="s">
        <v>5</v>
      </c>
      <c r="C10" s="3" t="s">
        <v>44</v>
      </c>
      <c r="D10" s="4">
        <v>1939380.375</v>
      </c>
    </row>
    <row r="11" spans="1:4" x14ac:dyDescent="0.25">
      <c r="A11" s="5" t="s">
        <v>13</v>
      </c>
      <c r="B11" s="6" t="s">
        <v>5</v>
      </c>
      <c r="C11" s="6" t="s">
        <v>45</v>
      </c>
      <c r="D11" s="7">
        <v>1916028.75</v>
      </c>
    </row>
    <row r="12" spans="1:4" x14ac:dyDescent="0.25">
      <c r="A12" s="2" t="s">
        <v>13</v>
      </c>
      <c r="B12" s="3" t="s">
        <v>5</v>
      </c>
      <c r="C12" s="3" t="s">
        <v>46</v>
      </c>
      <c r="D12" s="4">
        <v>2005928.5</v>
      </c>
    </row>
    <row r="13" spans="1:4" x14ac:dyDescent="0.25">
      <c r="A13" s="5" t="s">
        <v>13</v>
      </c>
      <c r="B13" s="6" t="s">
        <v>5</v>
      </c>
      <c r="C13" s="6" t="s">
        <v>47</v>
      </c>
      <c r="D13" s="7">
        <v>1984626.625</v>
      </c>
    </row>
    <row r="14" spans="1:4" x14ac:dyDescent="0.25">
      <c r="A14" s="2" t="s">
        <v>13</v>
      </c>
      <c r="B14" s="3" t="s">
        <v>5</v>
      </c>
      <c r="C14" s="3" t="s">
        <v>48</v>
      </c>
      <c r="D14" s="4">
        <v>1979426</v>
      </c>
    </row>
    <row r="15" spans="1:4" x14ac:dyDescent="0.25">
      <c r="A15" s="5" t="s">
        <v>13</v>
      </c>
      <c r="B15" s="6" t="s">
        <v>5</v>
      </c>
      <c r="C15" s="6" t="s">
        <v>49</v>
      </c>
      <c r="D15" s="7">
        <v>1999541.25</v>
      </c>
    </row>
    <row r="16" spans="1:4" x14ac:dyDescent="0.25">
      <c r="A16" s="2" t="s">
        <v>13</v>
      </c>
      <c r="B16" s="3" t="s">
        <v>5</v>
      </c>
      <c r="C16" s="3" t="s">
        <v>50</v>
      </c>
      <c r="D16" s="4">
        <v>1931384.5</v>
      </c>
    </row>
    <row r="17" spans="1:4" x14ac:dyDescent="0.25">
      <c r="A17" s="5" t="s">
        <v>13</v>
      </c>
      <c r="B17" s="6" t="s">
        <v>5</v>
      </c>
      <c r="C17" s="6" t="s">
        <v>51</v>
      </c>
      <c r="D17" s="7">
        <v>1911369.125</v>
      </c>
    </row>
    <row r="18" spans="1:4" x14ac:dyDescent="0.25">
      <c r="A18" s="2" t="s">
        <v>13</v>
      </c>
      <c r="B18" s="3" t="s">
        <v>5</v>
      </c>
      <c r="C18" s="3" t="s">
        <v>52</v>
      </c>
      <c r="D18" s="4">
        <v>2004798.625</v>
      </c>
    </row>
    <row r="19" spans="1:4" x14ac:dyDescent="0.25">
      <c r="A19" s="5" t="s">
        <v>13</v>
      </c>
      <c r="B19" s="6" t="s">
        <v>5</v>
      </c>
      <c r="C19" s="6" t="s">
        <v>53</v>
      </c>
      <c r="D19" s="7">
        <v>1988274.5</v>
      </c>
    </row>
    <row r="20" spans="1:4" x14ac:dyDescent="0.25">
      <c r="A20" s="2" t="s">
        <v>13</v>
      </c>
      <c r="B20" s="3" t="s">
        <v>5</v>
      </c>
      <c r="C20" s="3" t="s">
        <v>54</v>
      </c>
      <c r="D20" s="4">
        <v>1987542</v>
      </c>
    </row>
    <row r="21" spans="1:4" x14ac:dyDescent="0.25">
      <c r="A21" s="5" t="s">
        <v>13</v>
      </c>
      <c r="B21" s="6" t="s">
        <v>5</v>
      </c>
      <c r="C21" s="6" t="s">
        <v>55</v>
      </c>
      <c r="D21" s="7">
        <v>9680295</v>
      </c>
    </row>
    <row r="22" spans="1:4" x14ac:dyDescent="0.25">
      <c r="A22" s="5" t="s">
        <v>13</v>
      </c>
      <c r="B22" s="6" t="s">
        <v>5</v>
      </c>
      <c r="C22" s="6" t="s">
        <v>56</v>
      </c>
      <c r="D22" s="7">
        <v>9482973</v>
      </c>
    </row>
    <row r="23" spans="1:4" x14ac:dyDescent="0.25">
      <c r="A23" s="5" t="s">
        <v>13</v>
      </c>
      <c r="B23" s="6" t="s">
        <v>5</v>
      </c>
      <c r="C23" s="6" t="s">
        <v>57</v>
      </c>
      <c r="D23" s="7">
        <v>9847324</v>
      </c>
    </row>
    <row r="24" spans="1:4" x14ac:dyDescent="0.25">
      <c r="A24" s="5" t="s">
        <v>13</v>
      </c>
      <c r="B24" s="6" t="s">
        <v>5</v>
      </c>
      <c r="C24" s="6" t="s">
        <v>58</v>
      </c>
      <c r="D24" s="7">
        <v>10007577</v>
      </c>
    </row>
    <row r="25" spans="1:4" x14ac:dyDescent="0.25">
      <c r="A25" s="5" t="s">
        <v>13</v>
      </c>
      <c r="B25" s="6" t="s">
        <v>5</v>
      </c>
      <c r="C25" s="6" t="s">
        <v>59</v>
      </c>
      <c r="D25" s="7">
        <v>9903797</v>
      </c>
    </row>
    <row r="26" spans="1:4" x14ac:dyDescent="0.25">
      <c r="A26" s="5" t="s">
        <v>13</v>
      </c>
      <c r="B26" s="6" t="s">
        <v>5</v>
      </c>
      <c r="C26" s="6" t="s">
        <v>60</v>
      </c>
      <c r="D26" s="7">
        <v>9958398</v>
      </c>
    </row>
    <row r="27" spans="1:4" x14ac:dyDescent="0.25">
      <c r="A27" s="5" t="s">
        <v>13</v>
      </c>
      <c r="B27" s="6" t="s">
        <v>5</v>
      </c>
      <c r="C27" s="6" t="s">
        <v>61</v>
      </c>
      <c r="D27" s="7">
        <v>9559394</v>
      </c>
    </row>
    <row r="28" spans="1:4" x14ac:dyDescent="0.25">
      <c r="A28" s="5" t="s">
        <v>13</v>
      </c>
      <c r="B28" s="6" t="s">
        <v>5</v>
      </c>
      <c r="C28" s="6" t="s">
        <v>62</v>
      </c>
      <c r="D28" s="7">
        <v>9287163</v>
      </c>
    </row>
    <row r="29" spans="1:4" x14ac:dyDescent="0.25">
      <c r="A29" s="5" t="s">
        <v>13</v>
      </c>
      <c r="B29" s="6" t="s">
        <v>5</v>
      </c>
      <c r="C29" s="6" t="s">
        <v>63</v>
      </c>
      <c r="D29" s="7">
        <v>9694018</v>
      </c>
    </row>
    <row r="30" spans="1:4" x14ac:dyDescent="0.25">
      <c r="A30" s="5" t="s">
        <v>13</v>
      </c>
      <c r="B30" s="6" t="s">
        <v>5</v>
      </c>
      <c r="C30" s="6" t="s">
        <v>64</v>
      </c>
      <c r="D30" s="7">
        <v>9972772</v>
      </c>
    </row>
    <row r="31" spans="1:4" x14ac:dyDescent="0.25">
      <c r="A31" s="5" t="s">
        <v>13</v>
      </c>
      <c r="B31" s="6" t="s">
        <v>5</v>
      </c>
      <c r="C31" s="6" t="s">
        <v>65</v>
      </c>
      <c r="D31" s="7">
        <v>9939208</v>
      </c>
    </row>
    <row r="32" spans="1:4" x14ac:dyDescent="0.25">
      <c r="A32" s="5" t="s">
        <v>13</v>
      </c>
      <c r="B32" s="6" t="s">
        <v>5</v>
      </c>
      <c r="C32" s="6" t="s">
        <v>66</v>
      </c>
      <c r="D32" s="7">
        <v>10031294</v>
      </c>
    </row>
    <row r="33" spans="1:4" x14ac:dyDescent="0.25">
      <c r="A33" s="2" t="s">
        <v>8</v>
      </c>
      <c r="B33" s="3" t="s">
        <v>5</v>
      </c>
      <c r="C33" s="3" t="s">
        <v>36</v>
      </c>
      <c r="D33" s="4">
        <v>1407274.5</v>
      </c>
    </row>
    <row r="34" spans="1:4" x14ac:dyDescent="0.25">
      <c r="A34" s="5" t="s">
        <v>8</v>
      </c>
      <c r="B34" s="6" t="s">
        <v>5</v>
      </c>
      <c r="C34" s="6" t="s">
        <v>37</v>
      </c>
      <c r="D34" s="7">
        <v>1422639.875</v>
      </c>
    </row>
    <row r="35" spans="1:4" x14ac:dyDescent="0.25">
      <c r="A35" s="2" t="s">
        <v>8</v>
      </c>
      <c r="B35" s="3" t="s">
        <v>5</v>
      </c>
      <c r="C35" s="3" t="s">
        <v>38</v>
      </c>
      <c r="D35" s="4">
        <v>1370016</v>
      </c>
    </row>
    <row r="36" spans="1:4" x14ac:dyDescent="0.25">
      <c r="A36" s="5" t="s">
        <v>8</v>
      </c>
      <c r="B36" s="6" t="s">
        <v>5</v>
      </c>
      <c r="C36" s="6" t="s">
        <v>39</v>
      </c>
      <c r="D36" s="7">
        <v>1355009.125</v>
      </c>
    </row>
    <row r="37" spans="1:4" x14ac:dyDescent="0.25">
      <c r="A37" s="2" t="s">
        <v>8</v>
      </c>
      <c r="B37" s="3" t="s">
        <v>5</v>
      </c>
      <c r="C37" s="3" t="s">
        <v>40</v>
      </c>
      <c r="D37" s="4">
        <v>1427974.125</v>
      </c>
    </row>
    <row r="38" spans="1:4" x14ac:dyDescent="0.25">
      <c r="A38" s="5" t="s">
        <v>8</v>
      </c>
      <c r="B38" s="6" t="s">
        <v>5</v>
      </c>
      <c r="C38" s="6" t="s">
        <v>41</v>
      </c>
      <c r="D38" s="7">
        <v>1415959.75</v>
      </c>
    </row>
    <row r="39" spans="1:4" x14ac:dyDescent="0.25">
      <c r="A39" s="2" t="s">
        <v>8</v>
      </c>
      <c r="B39" s="3" t="s">
        <v>5</v>
      </c>
      <c r="C39" s="3" t="s">
        <v>42</v>
      </c>
      <c r="D39" s="4">
        <v>1415991</v>
      </c>
    </row>
    <row r="40" spans="1:4" x14ac:dyDescent="0.25">
      <c r="A40" s="5" t="s">
        <v>8</v>
      </c>
      <c r="B40" s="6" t="s">
        <v>5</v>
      </c>
      <c r="C40" s="6" t="s">
        <v>43</v>
      </c>
      <c r="D40" s="7">
        <v>1467302.875</v>
      </c>
    </row>
    <row r="41" spans="1:4" x14ac:dyDescent="0.25">
      <c r="A41" s="2" t="s">
        <v>8</v>
      </c>
      <c r="B41" s="3" t="s">
        <v>5</v>
      </c>
      <c r="C41" s="3" t="s">
        <v>44</v>
      </c>
      <c r="D41" s="4">
        <v>1411115.875</v>
      </c>
    </row>
    <row r="42" spans="1:4" x14ac:dyDescent="0.25">
      <c r="A42" s="5" t="s">
        <v>8</v>
      </c>
      <c r="B42" s="6" t="s">
        <v>5</v>
      </c>
      <c r="C42" s="6" t="s">
        <v>45</v>
      </c>
      <c r="D42" s="7">
        <v>1391791.75</v>
      </c>
    </row>
    <row r="43" spans="1:4" x14ac:dyDescent="0.25">
      <c r="A43" s="2" t="s">
        <v>8</v>
      </c>
      <c r="B43" s="3" t="s">
        <v>5</v>
      </c>
      <c r="C43" s="3" t="s">
        <v>46</v>
      </c>
      <c r="D43" s="4">
        <v>1463573.5</v>
      </c>
    </row>
    <row r="44" spans="1:4" x14ac:dyDescent="0.25">
      <c r="A44" s="5" t="s">
        <v>8</v>
      </c>
      <c r="B44" s="6" t="s">
        <v>5</v>
      </c>
      <c r="C44" s="6" t="s">
        <v>47</v>
      </c>
      <c r="D44" s="7">
        <v>1445636.25</v>
      </c>
    </row>
    <row r="45" spans="1:4" x14ac:dyDescent="0.25">
      <c r="A45" s="2" t="s">
        <v>8</v>
      </c>
      <c r="B45" s="3" t="s">
        <v>5</v>
      </c>
      <c r="C45" s="3" t="s">
        <v>48</v>
      </c>
      <c r="D45" s="4">
        <v>1440822.875</v>
      </c>
    </row>
    <row r="46" spans="1:4" x14ac:dyDescent="0.25">
      <c r="A46" s="5" t="s">
        <v>8</v>
      </c>
      <c r="B46" s="6" t="s">
        <v>5</v>
      </c>
      <c r="C46" s="6" t="s">
        <v>49</v>
      </c>
      <c r="D46" s="7">
        <v>1456780.875</v>
      </c>
    </row>
    <row r="47" spans="1:4" x14ac:dyDescent="0.25">
      <c r="A47" s="2" t="s">
        <v>8</v>
      </c>
      <c r="B47" s="3" t="s">
        <v>5</v>
      </c>
      <c r="C47" s="3" t="s">
        <v>50</v>
      </c>
      <c r="D47" s="4">
        <v>1402158</v>
      </c>
    </row>
    <row r="48" spans="1:4" x14ac:dyDescent="0.25">
      <c r="A48" s="5" t="s">
        <v>8</v>
      </c>
      <c r="B48" s="6" t="s">
        <v>5</v>
      </c>
      <c r="C48" s="6" t="s">
        <v>51</v>
      </c>
      <c r="D48" s="7">
        <v>1386560.375</v>
      </c>
    </row>
    <row r="49" spans="1:4" x14ac:dyDescent="0.25">
      <c r="A49" s="2" t="s">
        <v>8</v>
      </c>
      <c r="B49" s="3" t="s">
        <v>5</v>
      </c>
      <c r="C49" s="3" t="s">
        <v>52</v>
      </c>
      <c r="D49" s="4">
        <v>1462257.375</v>
      </c>
    </row>
    <row r="50" spans="1:4" x14ac:dyDescent="0.25">
      <c r="A50" s="5" t="s">
        <v>8</v>
      </c>
      <c r="B50" s="6" t="s">
        <v>5</v>
      </c>
      <c r="C50" s="6" t="s">
        <v>53</v>
      </c>
      <c r="D50" s="7">
        <v>1449752.625</v>
      </c>
    </row>
    <row r="51" spans="1:4" x14ac:dyDescent="0.25">
      <c r="A51" s="2" t="s">
        <v>8</v>
      </c>
      <c r="B51" s="3" t="s">
        <v>5</v>
      </c>
      <c r="C51" s="3" t="s">
        <v>54</v>
      </c>
      <c r="D51" s="4">
        <v>1449745.5</v>
      </c>
    </row>
    <row r="52" spans="1:4" x14ac:dyDescent="0.25">
      <c r="A52" s="5" t="s">
        <v>8</v>
      </c>
      <c r="B52" s="6" t="s">
        <v>5</v>
      </c>
      <c r="C52" s="6" t="s">
        <v>55</v>
      </c>
      <c r="D52" s="7">
        <v>1073058.75</v>
      </c>
    </row>
    <row r="53" spans="1:4" x14ac:dyDescent="0.25">
      <c r="A53" s="5" t="s">
        <v>8</v>
      </c>
      <c r="B53" s="6" t="s">
        <v>5</v>
      </c>
      <c r="C53" s="6" t="s">
        <v>56</v>
      </c>
      <c r="D53" s="7">
        <v>1053978.625</v>
      </c>
    </row>
    <row r="54" spans="1:4" x14ac:dyDescent="0.25">
      <c r="A54" s="5" t="s">
        <v>8</v>
      </c>
      <c r="B54" s="6" t="s">
        <v>5</v>
      </c>
      <c r="C54" s="6" t="s">
        <v>57</v>
      </c>
      <c r="D54" s="7">
        <v>1092540.25</v>
      </c>
    </row>
    <row r="55" spans="1:4" x14ac:dyDescent="0.25">
      <c r="A55" s="5" t="s">
        <v>8</v>
      </c>
      <c r="B55" s="6" t="s">
        <v>5</v>
      </c>
      <c r="C55" s="6" t="s">
        <v>58</v>
      </c>
      <c r="D55" s="7">
        <v>1105813.75</v>
      </c>
    </row>
    <row r="56" spans="1:4" x14ac:dyDescent="0.25">
      <c r="A56" s="5" t="s">
        <v>8</v>
      </c>
      <c r="B56" s="6" t="s">
        <v>5</v>
      </c>
      <c r="C56" s="6" t="s">
        <v>59</v>
      </c>
      <c r="D56" s="7">
        <v>1091654.5</v>
      </c>
    </row>
    <row r="57" spans="1:4" x14ac:dyDescent="0.25">
      <c r="A57" s="5" t="s">
        <v>8</v>
      </c>
      <c r="B57" s="6" t="s">
        <v>5</v>
      </c>
      <c r="C57" s="6" t="s">
        <v>60</v>
      </c>
      <c r="D57" s="7">
        <v>1096195.25</v>
      </c>
    </row>
    <row r="58" spans="1:4" x14ac:dyDescent="0.25">
      <c r="A58" s="5" t="s">
        <v>8</v>
      </c>
      <c r="B58" s="6" t="s">
        <v>5</v>
      </c>
      <c r="C58" s="6" t="s">
        <v>61</v>
      </c>
      <c r="D58" s="7">
        <v>1050151.5</v>
      </c>
    </row>
    <row r="59" spans="1:4" x14ac:dyDescent="0.25">
      <c r="A59" s="5" t="s">
        <v>8</v>
      </c>
      <c r="B59" s="6" t="s">
        <v>5</v>
      </c>
      <c r="C59" s="6" t="s">
        <v>62</v>
      </c>
      <c r="D59" s="7">
        <v>1017515.0625</v>
      </c>
    </row>
    <row r="60" spans="1:4" x14ac:dyDescent="0.25">
      <c r="A60" s="5" t="s">
        <v>8</v>
      </c>
      <c r="B60" s="6" t="s">
        <v>5</v>
      </c>
      <c r="C60" s="6" t="s">
        <v>63</v>
      </c>
      <c r="D60" s="7">
        <v>1064296.125</v>
      </c>
    </row>
    <row r="61" spans="1:4" x14ac:dyDescent="0.25">
      <c r="A61" s="5" t="s">
        <v>8</v>
      </c>
      <c r="B61" s="6" t="s">
        <v>5</v>
      </c>
      <c r="C61" s="6" t="s">
        <v>64</v>
      </c>
      <c r="D61" s="7">
        <v>1099364.125</v>
      </c>
    </row>
    <row r="62" spans="1:4" x14ac:dyDescent="0.25">
      <c r="A62" s="5" t="s">
        <v>8</v>
      </c>
      <c r="B62" s="6" t="s">
        <v>5</v>
      </c>
      <c r="C62" s="6" t="s">
        <v>65</v>
      </c>
      <c r="D62" s="7">
        <v>1098293</v>
      </c>
    </row>
    <row r="63" spans="1:4" x14ac:dyDescent="0.25">
      <c r="A63" s="5" t="s">
        <v>8</v>
      </c>
      <c r="B63" s="6" t="s">
        <v>5</v>
      </c>
      <c r="C63" s="6" t="s">
        <v>66</v>
      </c>
      <c r="D63" s="7">
        <v>1109807.875</v>
      </c>
    </row>
    <row r="64" spans="1:4" x14ac:dyDescent="0.25">
      <c r="A64" s="5" t="s">
        <v>28</v>
      </c>
      <c r="B64" s="6" t="s">
        <v>5</v>
      </c>
      <c r="C64" s="6" t="s">
        <v>36</v>
      </c>
      <c r="D64" s="7">
        <v>381602.46875</v>
      </c>
    </row>
    <row r="65" spans="1:4" x14ac:dyDescent="0.25">
      <c r="A65" s="2" t="s">
        <v>28</v>
      </c>
      <c r="B65" s="3" t="s">
        <v>5</v>
      </c>
      <c r="C65" s="3" t="s">
        <v>37</v>
      </c>
      <c r="D65" s="4">
        <v>386794.875</v>
      </c>
    </row>
    <row r="66" spans="1:4" x14ac:dyDescent="0.25">
      <c r="A66" s="5" t="s">
        <v>28</v>
      </c>
      <c r="B66" s="6" t="s">
        <v>5</v>
      </c>
      <c r="C66" s="6" t="s">
        <v>38</v>
      </c>
      <c r="D66" s="7">
        <v>369418.46875</v>
      </c>
    </row>
    <row r="67" spans="1:4" x14ac:dyDescent="0.25">
      <c r="A67" s="2" t="s">
        <v>28</v>
      </c>
      <c r="B67" s="3" t="s">
        <v>5</v>
      </c>
      <c r="C67" s="3" t="s">
        <v>39</v>
      </c>
      <c r="D67" s="4">
        <v>364136.5</v>
      </c>
    </row>
    <row r="68" spans="1:4" x14ac:dyDescent="0.25">
      <c r="A68" s="5" t="s">
        <v>28</v>
      </c>
      <c r="B68" s="6" t="s">
        <v>5</v>
      </c>
      <c r="C68" s="6" t="s">
        <v>40</v>
      </c>
      <c r="D68" s="7">
        <v>387629.0625</v>
      </c>
    </row>
    <row r="69" spans="1:4" x14ac:dyDescent="0.25">
      <c r="A69" s="2" t="s">
        <v>28</v>
      </c>
      <c r="B69" s="3" t="s">
        <v>5</v>
      </c>
      <c r="C69" s="3" t="s">
        <v>41</v>
      </c>
      <c r="D69" s="4">
        <v>383122.78125</v>
      </c>
    </row>
    <row r="70" spans="1:4" x14ac:dyDescent="0.25">
      <c r="A70" s="5" t="s">
        <v>28</v>
      </c>
      <c r="B70" s="6" t="s">
        <v>5</v>
      </c>
      <c r="C70" s="6" t="s">
        <v>42</v>
      </c>
      <c r="D70" s="7">
        <v>382619.03125</v>
      </c>
    </row>
    <row r="71" spans="1:4" x14ac:dyDescent="0.25">
      <c r="A71" s="2" t="s">
        <v>28</v>
      </c>
      <c r="B71" s="3" t="s">
        <v>5</v>
      </c>
      <c r="C71" s="3" t="s">
        <v>43</v>
      </c>
      <c r="D71" s="4">
        <v>413400.90625</v>
      </c>
    </row>
    <row r="72" spans="1:4" x14ac:dyDescent="0.25">
      <c r="A72" s="5" t="s">
        <v>28</v>
      </c>
      <c r="B72" s="6" t="s">
        <v>5</v>
      </c>
      <c r="C72" s="6" t="s">
        <v>44</v>
      </c>
      <c r="D72" s="7">
        <v>395015.75</v>
      </c>
    </row>
    <row r="73" spans="1:4" x14ac:dyDescent="0.25">
      <c r="A73" s="2" t="s">
        <v>28</v>
      </c>
      <c r="B73" s="3" t="s">
        <v>5</v>
      </c>
      <c r="C73" s="3" t="s">
        <v>45</v>
      </c>
      <c r="D73" s="4">
        <v>389037.40625</v>
      </c>
    </row>
    <row r="74" spans="1:4" x14ac:dyDescent="0.25">
      <c r="A74" s="5" t="s">
        <v>28</v>
      </c>
      <c r="B74" s="6" t="s">
        <v>5</v>
      </c>
      <c r="C74" s="6" t="s">
        <v>46</v>
      </c>
      <c r="D74" s="7">
        <v>413163.0625</v>
      </c>
    </row>
    <row r="75" spans="1:4" x14ac:dyDescent="0.25">
      <c r="A75" s="2" t="s">
        <v>28</v>
      </c>
      <c r="B75" s="3" t="s">
        <v>5</v>
      </c>
      <c r="C75" s="3" t="s">
        <v>47</v>
      </c>
      <c r="D75" s="4">
        <v>407838.1875</v>
      </c>
    </row>
    <row r="76" spans="1:4" x14ac:dyDescent="0.25">
      <c r="A76" s="5" t="s">
        <v>28</v>
      </c>
      <c r="B76" s="6" t="s">
        <v>5</v>
      </c>
      <c r="C76" s="6" t="s">
        <v>48</v>
      </c>
      <c r="D76" s="7">
        <v>406723.96875</v>
      </c>
    </row>
    <row r="77" spans="1:4" x14ac:dyDescent="0.25">
      <c r="A77" s="2" t="s">
        <v>28</v>
      </c>
      <c r="B77" s="3" t="s">
        <v>5</v>
      </c>
      <c r="C77" s="3" t="s">
        <v>49</v>
      </c>
      <c r="D77" s="4">
        <v>412165.34375</v>
      </c>
    </row>
    <row r="78" spans="1:4" x14ac:dyDescent="0.25">
      <c r="A78" s="5" t="s">
        <v>28</v>
      </c>
      <c r="B78" s="6" t="s">
        <v>5</v>
      </c>
      <c r="C78" s="6" t="s">
        <v>50</v>
      </c>
      <c r="D78" s="7">
        <v>393961.4375</v>
      </c>
    </row>
    <row r="79" spans="1:4" x14ac:dyDescent="0.25">
      <c r="A79" s="2" t="s">
        <v>28</v>
      </c>
      <c r="B79" s="3" t="s">
        <v>5</v>
      </c>
      <c r="C79" s="3" t="s">
        <v>51</v>
      </c>
      <c r="D79" s="4">
        <v>388425.40625</v>
      </c>
    </row>
    <row r="80" spans="1:4" x14ac:dyDescent="0.25">
      <c r="A80" s="5" t="s">
        <v>28</v>
      </c>
      <c r="B80" s="6" t="s">
        <v>5</v>
      </c>
      <c r="C80" s="6" t="s">
        <v>52</v>
      </c>
      <c r="D80" s="7">
        <v>413032.09375</v>
      </c>
    </row>
    <row r="81" spans="1:4" x14ac:dyDescent="0.25">
      <c r="A81" s="2" t="s">
        <v>28</v>
      </c>
      <c r="B81" s="3" t="s">
        <v>5</v>
      </c>
      <c r="C81" s="3" t="s">
        <v>53</v>
      </c>
      <c r="D81" s="4">
        <v>408307.28125</v>
      </c>
    </row>
    <row r="82" spans="1:4" x14ac:dyDescent="0.25">
      <c r="A82" s="5" t="s">
        <v>28</v>
      </c>
      <c r="B82" s="6" t="s">
        <v>5</v>
      </c>
      <c r="C82" s="6" t="s">
        <v>54</v>
      </c>
      <c r="D82" s="7">
        <v>407779.34375</v>
      </c>
    </row>
    <row r="83" spans="1:4" x14ac:dyDescent="0.25">
      <c r="A83" s="5" t="s">
        <v>28</v>
      </c>
      <c r="B83" s="6" t="s">
        <v>5</v>
      </c>
      <c r="C83" s="6" t="s">
        <v>55</v>
      </c>
      <c r="D83" s="7">
        <v>5341913</v>
      </c>
    </row>
    <row r="84" spans="1:4" x14ac:dyDescent="0.25">
      <c r="A84" s="5" t="s">
        <v>28</v>
      </c>
      <c r="B84" s="6" t="s">
        <v>5</v>
      </c>
      <c r="C84" s="6" t="s">
        <v>56</v>
      </c>
      <c r="D84" s="7">
        <v>5232185</v>
      </c>
    </row>
    <row r="85" spans="1:4" x14ac:dyDescent="0.25">
      <c r="A85" s="5" t="s">
        <v>28</v>
      </c>
      <c r="B85" s="6" t="s">
        <v>5</v>
      </c>
      <c r="C85" s="6" t="s">
        <v>57</v>
      </c>
      <c r="D85" s="7">
        <v>5433841</v>
      </c>
    </row>
    <row r="86" spans="1:4" x14ac:dyDescent="0.25">
      <c r="A86" s="5" t="s">
        <v>28</v>
      </c>
      <c r="B86" s="6" t="s">
        <v>5</v>
      </c>
      <c r="C86" s="6" t="s">
        <v>58</v>
      </c>
      <c r="D86" s="7">
        <v>5523809</v>
      </c>
    </row>
    <row r="87" spans="1:4" x14ac:dyDescent="0.25">
      <c r="A87" s="5" t="s">
        <v>28</v>
      </c>
      <c r="B87" s="6" t="s">
        <v>5</v>
      </c>
      <c r="C87" s="6" t="s">
        <v>59</v>
      </c>
      <c r="D87" s="7">
        <v>5467470</v>
      </c>
    </row>
    <row r="88" spans="1:4" x14ac:dyDescent="0.25">
      <c r="A88" s="5" t="s">
        <v>28</v>
      </c>
      <c r="B88" s="6" t="s">
        <v>5</v>
      </c>
      <c r="C88" s="6" t="s">
        <v>60</v>
      </c>
      <c r="D88" s="7">
        <v>5498150</v>
      </c>
    </row>
    <row r="89" spans="1:4" x14ac:dyDescent="0.25">
      <c r="A89" s="5" t="s">
        <v>28</v>
      </c>
      <c r="B89" s="6" t="s">
        <v>5</v>
      </c>
      <c r="C89" s="6" t="s">
        <v>61</v>
      </c>
      <c r="D89" s="7">
        <v>5278610.5</v>
      </c>
    </row>
    <row r="90" spans="1:4" x14ac:dyDescent="0.25">
      <c r="A90" s="5" t="s">
        <v>28</v>
      </c>
      <c r="B90" s="6" t="s">
        <v>5</v>
      </c>
      <c r="C90" s="6" t="s">
        <v>62</v>
      </c>
      <c r="D90" s="7">
        <v>5129062.5</v>
      </c>
    </row>
    <row r="91" spans="1:4" x14ac:dyDescent="0.25">
      <c r="A91" s="5" t="s">
        <v>28</v>
      </c>
      <c r="B91" s="6" t="s">
        <v>5</v>
      </c>
      <c r="C91" s="6" t="s">
        <v>63</v>
      </c>
      <c r="D91" s="7">
        <v>5352957</v>
      </c>
    </row>
    <row r="92" spans="1:4" x14ac:dyDescent="0.25">
      <c r="A92" s="5" t="s">
        <v>28</v>
      </c>
      <c r="B92" s="6" t="s">
        <v>5</v>
      </c>
      <c r="C92" s="6" t="s">
        <v>64</v>
      </c>
      <c r="D92" s="7">
        <v>5505421</v>
      </c>
    </row>
    <row r="93" spans="1:4" x14ac:dyDescent="0.25">
      <c r="A93" s="5" t="s">
        <v>28</v>
      </c>
      <c r="B93" s="6" t="s">
        <v>5</v>
      </c>
      <c r="C93" s="6" t="s">
        <v>65</v>
      </c>
      <c r="D93" s="7">
        <v>5485994</v>
      </c>
    </row>
    <row r="94" spans="1:4" x14ac:dyDescent="0.25">
      <c r="A94" s="5" t="s">
        <v>28</v>
      </c>
      <c r="B94" s="6" t="s">
        <v>5</v>
      </c>
      <c r="C94" s="6" t="s">
        <v>66</v>
      </c>
      <c r="D94" s="7">
        <v>5536529.5</v>
      </c>
    </row>
    <row r="95" spans="1:4" x14ac:dyDescent="0.25">
      <c r="A95" s="2" t="s">
        <v>27</v>
      </c>
      <c r="B95" s="3" t="s">
        <v>5</v>
      </c>
      <c r="C95" s="3" t="s">
        <v>36</v>
      </c>
      <c r="D95" s="4">
        <v>889956.5625</v>
      </c>
    </row>
    <row r="96" spans="1:4" x14ac:dyDescent="0.25">
      <c r="A96" s="5" t="s">
        <v>27</v>
      </c>
      <c r="B96" s="6" t="s">
        <v>5</v>
      </c>
      <c r="C96" s="6" t="s">
        <v>37</v>
      </c>
      <c r="D96" s="7">
        <v>895985.375</v>
      </c>
    </row>
    <row r="97" spans="1:4" x14ac:dyDescent="0.25">
      <c r="A97" s="2" t="s">
        <v>27</v>
      </c>
      <c r="B97" s="3" t="s">
        <v>5</v>
      </c>
      <c r="C97" s="3" t="s">
        <v>38</v>
      </c>
      <c r="D97" s="4">
        <v>875653.5</v>
      </c>
    </row>
    <row r="98" spans="1:4" x14ac:dyDescent="0.25">
      <c r="A98" s="5" t="s">
        <v>27</v>
      </c>
      <c r="B98" s="6" t="s">
        <v>5</v>
      </c>
      <c r="C98" s="6" t="s">
        <v>39</v>
      </c>
      <c r="D98" s="7">
        <v>869598.1875</v>
      </c>
    </row>
    <row r="99" spans="1:4" x14ac:dyDescent="0.25">
      <c r="A99" s="2" t="s">
        <v>27</v>
      </c>
      <c r="B99" s="3" t="s">
        <v>5</v>
      </c>
      <c r="C99" s="3" t="s">
        <v>40</v>
      </c>
      <c r="D99" s="4">
        <v>897322.5625</v>
      </c>
    </row>
    <row r="100" spans="1:4" x14ac:dyDescent="0.25">
      <c r="A100" s="5" t="s">
        <v>27</v>
      </c>
      <c r="B100" s="6" t="s">
        <v>5</v>
      </c>
      <c r="C100" s="6" t="s">
        <v>41</v>
      </c>
      <c r="D100" s="7">
        <v>892263.375</v>
      </c>
    </row>
    <row r="101" spans="1:4" x14ac:dyDescent="0.25">
      <c r="A101" s="2" t="s">
        <v>27</v>
      </c>
      <c r="B101" s="3" t="s">
        <v>5</v>
      </c>
      <c r="C101" s="3" t="s">
        <v>42</v>
      </c>
      <c r="D101" s="4">
        <v>892075.25</v>
      </c>
    </row>
    <row r="102" spans="1:4" x14ac:dyDescent="0.25">
      <c r="A102" s="5" t="s">
        <v>27</v>
      </c>
      <c r="B102" s="6" t="s">
        <v>5</v>
      </c>
      <c r="C102" s="6" t="s">
        <v>43</v>
      </c>
      <c r="D102" s="7">
        <v>906267.3125</v>
      </c>
    </row>
    <row r="103" spans="1:4" x14ac:dyDescent="0.25">
      <c r="A103" s="2" t="s">
        <v>27</v>
      </c>
      <c r="B103" s="3" t="s">
        <v>5</v>
      </c>
      <c r="C103" s="3" t="s">
        <v>44</v>
      </c>
      <c r="D103" s="4">
        <v>884822.625</v>
      </c>
    </row>
    <row r="104" spans="1:4" x14ac:dyDescent="0.25">
      <c r="A104" s="5" t="s">
        <v>27</v>
      </c>
      <c r="B104" s="6" t="s">
        <v>5</v>
      </c>
      <c r="C104" s="6" t="s">
        <v>45</v>
      </c>
      <c r="D104" s="7">
        <v>877712.0625</v>
      </c>
    </row>
    <row r="105" spans="1:4" x14ac:dyDescent="0.25">
      <c r="A105" s="2" t="s">
        <v>27</v>
      </c>
      <c r="B105" s="3" t="s">
        <v>5</v>
      </c>
      <c r="C105" s="3" t="s">
        <v>46</v>
      </c>
      <c r="D105" s="4">
        <v>905600.9375</v>
      </c>
    </row>
    <row r="106" spans="1:4" x14ac:dyDescent="0.25">
      <c r="A106" s="5" t="s">
        <v>27</v>
      </c>
      <c r="B106" s="6" t="s">
        <v>5</v>
      </c>
      <c r="C106" s="6" t="s">
        <v>47</v>
      </c>
      <c r="D106" s="7">
        <v>899169.6875</v>
      </c>
    </row>
    <row r="107" spans="1:4" x14ac:dyDescent="0.25">
      <c r="A107" s="2" t="s">
        <v>27</v>
      </c>
      <c r="B107" s="3" t="s">
        <v>5</v>
      </c>
      <c r="C107" s="3" t="s">
        <v>48</v>
      </c>
      <c r="D107" s="4">
        <v>897687.875</v>
      </c>
    </row>
    <row r="108" spans="1:4" x14ac:dyDescent="0.25">
      <c r="A108" s="5" t="s">
        <v>27</v>
      </c>
      <c r="B108" s="6" t="s">
        <v>5</v>
      </c>
      <c r="C108" s="6" t="s">
        <v>49</v>
      </c>
      <c r="D108" s="7">
        <v>903946.9375</v>
      </c>
    </row>
    <row r="109" spans="1:4" x14ac:dyDescent="0.25">
      <c r="A109" s="2" t="s">
        <v>27</v>
      </c>
      <c r="B109" s="3" t="s">
        <v>5</v>
      </c>
      <c r="C109" s="3" t="s">
        <v>50</v>
      </c>
      <c r="D109" s="4">
        <v>882845.0625</v>
      </c>
    </row>
    <row r="110" spans="1:4" x14ac:dyDescent="0.25">
      <c r="A110" s="5" t="s">
        <v>27</v>
      </c>
      <c r="B110" s="6" t="s">
        <v>5</v>
      </c>
      <c r="C110" s="6" t="s">
        <v>51</v>
      </c>
      <c r="D110" s="7">
        <v>876556.875</v>
      </c>
    </row>
    <row r="111" spans="1:4" x14ac:dyDescent="0.25">
      <c r="A111" s="2" t="s">
        <v>27</v>
      </c>
      <c r="B111" s="3" t="s">
        <v>5</v>
      </c>
      <c r="C111" s="3" t="s">
        <v>52</v>
      </c>
      <c r="D111" s="4">
        <v>905324.25</v>
      </c>
    </row>
    <row r="112" spans="1:4" x14ac:dyDescent="0.25">
      <c r="A112" s="5" t="s">
        <v>27</v>
      </c>
      <c r="B112" s="6" t="s">
        <v>5</v>
      </c>
      <c r="C112" s="6" t="s">
        <v>53</v>
      </c>
      <c r="D112" s="7">
        <v>900067.5</v>
      </c>
    </row>
    <row r="113" spans="1:4" x14ac:dyDescent="0.25">
      <c r="A113" s="2" t="s">
        <v>27</v>
      </c>
      <c r="B113" s="3" t="s">
        <v>5</v>
      </c>
      <c r="C113" s="3" t="s">
        <v>54</v>
      </c>
      <c r="D113" s="4">
        <v>899854.4375</v>
      </c>
    </row>
    <row r="114" spans="1:4" x14ac:dyDescent="0.25">
      <c r="A114" s="2" t="s">
        <v>27</v>
      </c>
      <c r="B114" s="3" t="s">
        <v>5</v>
      </c>
      <c r="C114" s="3" t="s">
        <v>55</v>
      </c>
      <c r="D114" s="4">
        <v>4162872.25</v>
      </c>
    </row>
    <row r="115" spans="1:4" x14ac:dyDescent="0.25">
      <c r="A115" s="2" t="s">
        <v>27</v>
      </c>
      <c r="B115" s="3" t="s">
        <v>5</v>
      </c>
      <c r="C115" s="3" t="s">
        <v>56</v>
      </c>
      <c r="D115" s="4">
        <v>4076246.5</v>
      </c>
    </row>
    <row r="116" spans="1:4" x14ac:dyDescent="0.25">
      <c r="A116" s="2" t="s">
        <v>27</v>
      </c>
      <c r="B116" s="3" t="s">
        <v>5</v>
      </c>
      <c r="C116" s="3" t="s">
        <v>57</v>
      </c>
      <c r="D116" s="4">
        <v>4234160</v>
      </c>
    </row>
    <row r="117" spans="1:4" x14ac:dyDescent="0.25">
      <c r="A117" s="2" t="s">
        <v>27</v>
      </c>
      <c r="B117" s="3" t="s">
        <v>5</v>
      </c>
      <c r="C117" s="3" t="s">
        <v>58</v>
      </c>
      <c r="D117" s="4">
        <v>4305660</v>
      </c>
    </row>
    <row r="118" spans="1:4" x14ac:dyDescent="0.25">
      <c r="A118" s="2" t="s">
        <v>27</v>
      </c>
      <c r="B118" s="3" t="s">
        <v>5</v>
      </c>
      <c r="C118" s="3" t="s">
        <v>59</v>
      </c>
      <c r="D118" s="4">
        <v>4262846</v>
      </c>
    </row>
    <row r="119" spans="1:4" x14ac:dyDescent="0.25">
      <c r="A119" s="2" t="s">
        <v>27</v>
      </c>
      <c r="B119" s="3" t="s">
        <v>5</v>
      </c>
      <c r="C119" s="3" t="s">
        <v>60</v>
      </c>
      <c r="D119" s="4">
        <v>4287100</v>
      </c>
    </row>
    <row r="120" spans="1:4" x14ac:dyDescent="0.25">
      <c r="A120" s="2" t="s">
        <v>27</v>
      </c>
      <c r="B120" s="3" t="s">
        <v>5</v>
      </c>
      <c r="C120" s="3" t="s">
        <v>61</v>
      </c>
      <c r="D120" s="4">
        <v>4116695.25</v>
      </c>
    </row>
    <row r="121" spans="1:4" x14ac:dyDescent="0.25">
      <c r="A121" s="2" t="s">
        <v>27</v>
      </c>
      <c r="B121" s="3" t="s">
        <v>5</v>
      </c>
      <c r="C121" s="3" t="s">
        <v>62</v>
      </c>
      <c r="D121" s="4">
        <v>4001226</v>
      </c>
    </row>
    <row r="122" spans="1:4" x14ac:dyDescent="0.25">
      <c r="A122" s="2" t="s">
        <v>27</v>
      </c>
      <c r="B122" s="3" t="s">
        <v>5</v>
      </c>
      <c r="C122" s="3" t="s">
        <v>63</v>
      </c>
      <c r="D122" s="4">
        <v>4175117.5</v>
      </c>
    </row>
    <row r="123" spans="1:4" x14ac:dyDescent="0.25">
      <c r="A123" s="2" t="s">
        <v>27</v>
      </c>
      <c r="B123" s="3" t="s">
        <v>5</v>
      </c>
      <c r="C123" s="3" t="s">
        <v>64</v>
      </c>
      <c r="D123" s="4">
        <v>4292382</v>
      </c>
    </row>
    <row r="124" spans="1:4" x14ac:dyDescent="0.25">
      <c r="A124" s="2" t="s">
        <v>27</v>
      </c>
      <c r="B124" s="3" t="s">
        <v>5</v>
      </c>
      <c r="C124" s="3" t="s">
        <v>65</v>
      </c>
      <c r="D124" s="4">
        <v>4276362.5</v>
      </c>
    </row>
    <row r="125" spans="1:4" x14ac:dyDescent="0.25">
      <c r="A125" s="2" t="s">
        <v>27</v>
      </c>
      <c r="B125" s="3" t="s">
        <v>5</v>
      </c>
      <c r="C125" s="3" t="s">
        <v>66</v>
      </c>
      <c r="D125" s="4">
        <v>4314793</v>
      </c>
    </row>
    <row r="126" spans="1:4" x14ac:dyDescent="0.25">
      <c r="A126" s="5" t="s">
        <v>16</v>
      </c>
      <c r="B126" s="6" t="s">
        <v>5</v>
      </c>
      <c r="C126" s="6" t="s">
        <v>36</v>
      </c>
      <c r="D126" s="7">
        <v>2316346.75</v>
      </c>
    </row>
    <row r="127" spans="1:4" x14ac:dyDescent="0.25">
      <c r="A127" s="2" t="s">
        <v>16</v>
      </c>
      <c r="B127" s="3" t="s">
        <v>5</v>
      </c>
      <c r="C127" s="3" t="s">
        <v>37</v>
      </c>
      <c r="D127" s="4">
        <v>2334967.75</v>
      </c>
    </row>
    <row r="128" spans="1:4" x14ac:dyDescent="0.25">
      <c r="A128" s="5" t="s">
        <v>16</v>
      </c>
      <c r="B128" s="6" t="s">
        <v>5</v>
      </c>
      <c r="C128" s="6" t="s">
        <v>38</v>
      </c>
      <c r="D128" s="7">
        <v>2272569.25</v>
      </c>
    </row>
    <row r="129" spans="1:4" x14ac:dyDescent="0.25">
      <c r="A129" s="2" t="s">
        <v>16</v>
      </c>
      <c r="B129" s="3" t="s">
        <v>5</v>
      </c>
      <c r="C129" s="3" t="s">
        <v>39</v>
      </c>
      <c r="D129" s="4">
        <v>2253687.25</v>
      </c>
    </row>
    <row r="130" spans="1:4" x14ac:dyDescent="0.25">
      <c r="A130" s="5" t="s">
        <v>16</v>
      </c>
      <c r="B130" s="6" t="s">
        <v>5</v>
      </c>
      <c r="C130" s="6" t="s">
        <v>40</v>
      </c>
      <c r="D130" s="7">
        <v>2338177.25</v>
      </c>
    </row>
    <row r="131" spans="1:4" x14ac:dyDescent="0.25">
      <c r="A131" s="2" t="s">
        <v>16</v>
      </c>
      <c r="B131" s="3" t="s">
        <v>5</v>
      </c>
      <c r="C131" s="3" t="s">
        <v>41</v>
      </c>
      <c r="D131" s="4">
        <v>2322104.25</v>
      </c>
    </row>
    <row r="132" spans="1:4" x14ac:dyDescent="0.25">
      <c r="A132" s="5" t="s">
        <v>16</v>
      </c>
      <c r="B132" s="6" t="s">
        <v>5</v>
      </c>
      <c r="C132" s="6" t="s">
        <v>42</v>
      </c>
      <c r="D132" s="7">
        <v>2320842.25</v>
      </c>
    </row>
    <row r="133" spans="1:4" x14ac:dyDescent="0.25">
      <c r="A133" s="2" t="s">
        <v>16</v>
      </c>
      <c r="B133" s="3" t="s">
        <v>5</v>
      </c>
      <c r="C133" s="3" t="s">
        <v>43</v>
      </c>
      <c r="D133" s="4">
        <v>2411452.25</v>
      </c>
    </row>
    <row r="134" spans="1:4" x14ac:dyDescent="0.25">
      <c r="A134" s="5" t="s">
        <v>16</v>
      </c>
      <c r="B134" s="6" t="s">
        <v>5</v>
      </c>
      <c r="C134" s="6" t="s">
        <v>44</v>
      </c>
      <c r="D134" s="7">
        <v>2344819.75</v>
      </c>
    </row>
    <row r="135" spans="1:4" x14ac:dyDescent="0.25">
      <c r="A135" s="2" t="s">
        <v>16</v>
      </c>
      <c r="B135" s="3" t="s">
        <v>5</v>
      </c>
      <c r="C135" s="3" t="s">
        <v>45</v>
      </c>
      <c r="D135" s="4">
        <v>2323080.75</v>
      </c>
    </row>
    <row r="136" spans="1:4" x14ac:dyDescent="0.25">
      <c r="A136" s="5" t="s">
        <v>16</v>
      </c>
      <c r="B136" s="6" t="s">
        <v>5</v>
      </c>
      <c r="C136" s="6" t="s">
        <v>46</v>
      </c>
      <c r="D136" s="7">
        <v>2410373.5</v>
      </c>
    </row>
    <row r="137" spans="1:4" x14ac:dyDescent="0.25">
      <c r="A137" s="2" t="s">
        <v>16</v>
      </c>
      <c r="B137" s="3" t="s">
        <v>5</v>
      </c>
      <c r="C137" s="3" t="s">
        <v>47</v>
      </c>
      <c r="D137" s="4">
        <v>2390975</v>
      </c>
    </row>
    <row r="138" spans="1:4" x14ac:dyDescent="0.25">
      <c r="A138" s="5" t="s">
        <v>16</v>
      </c>
      <c r="B138" s="6" t="s">
        <v>5</v>
      </c>
      <c r="C138" s="6" t="s">
        <v>48</v>
      </c>
      <c r="D138" s="7">
        <v>2386834</v>
      </c>
    </row>
    <row r="139" spans="1:4" x14ac:dyDescent="0.25">
      <c r="A139" s="2" t="s">
        <v>16</v>
      </c>
      <c r="B139" s="3" t="s">
        <v>5</v>
      </c>
      <c r="C139" s="3" t="s">
        <v>49</v>
      </c>
      <c r="D139" s="4">
        <v>2406510.25</v>
      </c>
    </row>
    <row r="140" spans="1:4" x14ac:dyDescent="0.25">
      <c r="A140" s="5" t="s">
        <v>16</v>
      </c>
      <c r="B140" s="6" t="s">
        <v>5</v>
      </c>
      <c r="C140" s="6" t="s">
        <v>50</v>
      </c>
      <c r="D140" s="7">
        <v>2340605.5</v>
      </c>
    </row>
    <row r="141" spans="1:4" x14ac:dyDescent="0.25">
      <c r="A141" s="2" t="s">
        <v>16</v>
      </c>
      <c r="B141" s="3" t="s">
        <v>5</v>
      </c>
      <c r="C141" s="3" t="s">
        <v>51</v>
      </c>
      <c r="D141" s="4">
        <v>2320646.5</v>
      </c>
    </row>
    <row r="142" spans="1:4" x14ac:dyDescent="0.25">
      <c r="A142" s="5" t="s">
        <v>16</v>
      </c>
      <c r="B142" s="6" t="s">
        <v>5</v>
      </c>
      <c r="C142" s="6" t="s">
        <v>52</v>
      </c>
      <c r="D142" s="7">
        <v>2409855.5</v>
      </c>
    </row>
    <row r="143" spans="1:4" x14ac:dyDescent="0.25">
      <c r="A143" s="2" t="s">
        <v>16</v>
      </c>
      <c r="B143" s="3" t="s">
        <v>5</v>
      </c>
      <c r="C143" s="3" t="s">
        <v>53</v>
      </c>
      <c r="D143" s="4">
        <v>2392855.5</v>
      </c>
    </row>
    <row r="144" spans="1:4" x14ac:dyDescent="0.25">
      <c r="A144" s="5" t="s">
        <v>16</v>
      </c>
      <c r="B144" s="6" t="s">
        <v>5</v>
      </c>
      <c r="C144" s="6" t="s">
        <v>54</v>
      </c>
      <c r="D144" s="7">
        <v>2391472.5</v>
      </c>
    </row>
    <row r="145" spans="1:4" x14ac:dyDescent="0.25">
      <c r="A145" s="2" t="s">
        <v>16</v>
      </c>
      <c r="B145" s="3" t="s">
        <v>5</v>
      </c>
      <c r="C145" s="3" t="s">
        <v>55</v>
      </c>
      <c r="D145" s="4">
        <v>9601472</v>
      </c>
    </row>
    <row r="146" spans="1:4" x14ac:dyDescent="0.25">
      <c r="A146" s="2" t="s">
        <v>16</v>
      </c>
      <c r="B146" s="3" t="s">
        <v>5</v>
      </c>
      <c r="C146" s="3" t="s">
        <v>56</v>
      </c>
      <c r="D146" s="4">
        <v>9411154</v>
      </c>
    </row>
    <row r="147" spans="1:4" x14ac:dyDescent="0.25">
      <c r="A147" s="2" t="s">
        <v>16</v>
      </c>
      <c r="B147" s="3" t="s">
        <v>5</v>
      </c>
      <c r="C147" s="3" t="s">
        <v>57</v>
      </c>
      <c r="D147" s="4">
        <v>9768956</v>
      </c>
    </row>
    <row r="148" spans="1:4" x14ac:dyDescent="0.25">
      <c r="A148" s="2" t="s">
        <v>16</v>
      </c>
      <c r="B148" s="3" t="s">
        <v>5</v>
      </c>
      <c r="C148" s="3" t="s">
        <v>58</v>
      </c>
      <c r="D148" s="4">
        <v>9919420</v>
      </c>
    </row>
    <row r="149" spans="1:4" x14ac:dyDescent="0.25">
      <c r="A149" s="2" t="s">
        <v>16</v>
      </c>
      <c r="B149" s="3" t="s">
        <v>5</v>
      </c>
      <c r="C149" s="3" t="s">
        <v>59</v>
      </c>
      <c r="D149" s="4">
        <v>9811305</v>
      </c>
    </row>
    <row r="150" spans="1:4" x14ac:dyDescent="0.25">
      <c r="A150" s="2" t="s">
        <v>16</v>
      </c>
      <c r="B150" s="3" t="s">
        <v>5</v>
      </c>
      <c r="C150" s="3" t="s">
        <v>60</v>
      </c>
      <c r="D150" s="4">
        <v>9862701</v>
      </c>
    </row>
    <row r="151" spans="1:4" x14ac:dyDescent="0.25">
      <c r="A151" s="2" t="s">
        <v>16</v>
      </c>
      <c r="B151" s="3" t="s">
        <v>5</v>
      </c>
      <c r="C151" s="3" t="s">
        <v>61</v>
      </c>
      <c r="D151" s="4">
        <v>9463455</v>
      </c>
    </row>
    <row r="152" spans="1:4" x14ac:dyDescent="0.25">
      <c r="A152" s="2" t="s">
        <v>16</v>
      </c>
      <c r="B152" s="3" t="s">
        <v>5</v>
      </c>
      <c r="C152" s="3" t="s">
        <v>62</v>
      </c>
      <c r="D152" s="4">
        <v>9188527</v>
      </c>
    </row>
    <row r="153" spans="1:4" x14ac:dyDescent="0.25">
      <c r="A153" s="2" t="s">
        <v>16</v>
      </c>
      <c r="B153" s="3" t="s">
        <v>5</v>
      </c>
      <c r="C153" s="3" t="s">
        <v>63</v>
      </c>
      <c r="D153" s="4">
        <v>9595354</v>
      </c>
    </row>
    <row r="154" spans="1:4" x14ac:dyDescent="0.25">
      <c r="A154" s="2" t="s">
        <v>16</v>
      </c>
      <c r="B154" s="3" t="s">
        <v>5</v>
      </c>
      <c r="C154" s="3" t="s">
        <v>64</v>
      </c>
      <c r="D154" s="4">
        <v>9879837</v>
      </c>
    </row>
    <row r="155" spans="1:4" x14ac:dyDescent="0.25">
      <c r="A155" s="2" t="s">
        <v>16</v>
      </c>
      <c r="B155" s="3" t="s">
        <v>5</v>
      </c>
      <c r="C155" s="3" t="s">
        <v>65</v>
      </c>
      <c r="D155" s="4">
        <v>9851580</v>
      </c>
    </row>
    <row r="156" spans="1:4" x14ac:dyDescent="0.25">
      <c r="A156" s="2" t="s">
        <v>16</v>
      </c>
      <c r="B156" s="3" t="s">
        <v>5</v>
      </c>
      <c r="C156" s="3" t="s">
        <v>66</v>
      </c>
      <c r="D156" s="4">
        <v>9945823</v>
      </c>
    </row>
    <row r="157" spans="1:4" x14ac:dyDescent="0.25">
      <c r="A157" s="2" t="s">
        <v>17</v>
      </c>
      <c r="B157" s="3" t="s">
        <v>5</v>
      </c>
      <c r="C157" s="3" t="s">
        <v>36</v>
      </c>
      <c r="D157" s="4">
        <v>464174.40625</v>
      </c>
    </row>
    <row r="158" spans="1:4" x14ac:dyDescent="0.25">
      <c r="A158" s="5" t="s">
        <v>17</v>
      </c>
      <c r="B158" s="6" t="s">
        <v>5</v>
      </c>
      <c r="C158" s="6" t="s">
        <v>37</v>
      </c>
      <c r="D158" s="7">
        <v>470492.71875</v>
      </c>
    </row>
    <row r="159" spans="1:4" x14ac:dyDescent="0.25">
      <c r="A159" s="2" t="s">
        <v>17</v>
      </c>
      <c r="B159" s="3" t="s">
        <v>5</v>
      </c>
      <c r="C159" s="3" t="s">
        <v>38</v>
      </c>
      <c r="D159" s="4">
        <v>449434.9375</v>
      </c>
    </row>
    <row r="160" spans="1:4" x14ac:dyDescent="0.25">
      <c r="A160" s="5" t="s">
        <v>17</v>
      </c>
      <c r="B160" s="6" t="s">
        <v>5</v>
      </c>
      <c r="C160" s="6" t="s">
        <v>39</v>
      </c>
      <c r="D160" s="7">
        <v>442958.84375</v>
      </c>
    </row>
    <row r="161" spans="1:4" x14ac:dyDescent="0.25">
      <c r="A161" s="2" t="s">
        <v>17</v>
      </c>
      <c r="B161" s="3" t="s">
        <v>5</v>
      </c>
      <c r="C161" s="3" t="s">
        <v>40</v>
      </c>
      <c r="D161" s="4">
        <v>471297.40625</v>
      </c>
    </row>
    <row r="162" spans="1:4" x14ac:dyDescent="0.25">
      <c r="A162" s="5" t="s">
        <v>17</v>
      </c>
      <c r="B162" s="6" t="s">
        <v>5</v>
      </c>
      <c r="C162" s="6" t="s">
        <v>41</v>
      </c>
      <c r="D162" s="7">
        <v>465720.375</v>
      </c>
    </row>
    <row r="163" spans="1:4" x14ac:dyDescent="0.25">
      <c r="A163" s="2" t="s">
        <v>17</v>
      </c>
      <c r="B163" s="3" t="s">
        <v>5</v>
      </c>
      <c r="C163" s="3" t="s">
        <v>42</v>
      </c>
      <c r="D163" s="4">
        <v>465009.3125</v>
      </c>
    </row>
    <row r="164" spans="1:4" x14ac:dyDescent="0.25">
      <c r="A164" s="5" t="s">
        <v>17</v>
      </c>
      <c r="B164" s="6" t="s">
        <v>5</v>
      </c>
      <c r="C164" s="6" t="s">
        <v>43</v>
      </c>
      <c r="D164" s="7">
        <v>499391.9375</v>
      </c>
    </row>
    <row r="165" spans="1:4" x14ac:dyDescent="0.25">
      <c r="A165" s="2" t="s">
        <v>17</v>
      </c>
      <c r="B165" s="3" t="s">
        <v>5</v>
      </c>
      <c r="C165" s="3" t="s">
        <v>44</v>
      </c>
      <c r="D165" s="4">
        <v>477292.875</v>
      </c>
    </row>
    <row r="166" spans="1:4" x14ac:dyDescent="0.25">
      <c r="A166" s="5" t="s">
        <v>17</v>
      </c>
      <c r="B166" s="6" t="s">
        <v>5</v>
      </c>
      <c r="C166" s="6" t="s">
        <v>45</v>
      </c>
      <c r="D166" s="7">
        <v>470182.28125</v>
      </c>
    </row>
    <row r="167" spans="1:4" x14ac:dyDescent="0.25">
      <c r="A167" s="2" t="s">
        <v>17</v>
      </c>
      <c r="B167" s="3" t="s">
        <v>5</v>
      </c>
      <c r="C167" s="3" t="s">
        <v>46</v>
      </c>
      <c r="D167" s="4">
        <v>499323.5625</v>
      </c>
    </row>
    <row r="168" spans="1:4" x14ac:dyDescent="0.25">
      <c r="A168" s="5" t="s">
        <v>17</v>
      </c>
      <c r="B168" s="6" t="s">
        <v>5</v>
      </c>
      <c r="C168" s="6" t="s">
        <v>47</v>
      </c>
      <c r="D168" s="7">
        <v>493038.46875</v>
      </c>
    </row>
    <row r="169" spans="1:4" x14ac:dyDescent="0.25">
      <c r="A169" s="2" t="s">
        <v>17</v>
      </c>
      <c r="B169" s="3" t="s">
        <v>5</v>
      </c>
      <c r="C169" s="3" t="s">
        <v>48</v>
      </c>
      <c r="D169" s="4">
        <v>491801.46875</v>
      </c>
    </row>
    <row r="170" spans="1:4" x14ac:dyDescent="0.25">
      <c r="A170" s="5" t="s">
        <v>17</v>
      </c>
      <c r="B170" s="6" t="s">
        <v>5</v>
      </c>
      <c r="C170" s="6" t="s">
        <v>49</v>
      </c>
      <c r="D170" s="7">
        <v>498389.75</v>
      </c>
    </row>
    <row r="171" spans="1:4" x14ac:dyDescent="0.25">
      <c r="A171" s="2" t="s">
        <v>17</v>
      </c>
      <c r="B171" s="3" t="s">
        <v>5</v>
      </c>
      <c r="C171" s="3" t="s">
        <v>50</v>
      </c>
      <c r="D171" s="4">
        <v>476435.90625</v>
      </c>
    </row>
    <row r="172" spans="1:4" x14ac:dyDescent="0.25">
      <c r="A172" s="5" t="s">
        <v>17</v>
      </c>
      <c r="B172" s="6" t="s">
        <v>5</v>
      </c>
      <c r="C172" s="6" t="s">
        <v>51</v>
      </c>
      <c r="D172" s="7">
        <v>469683.6875</v>
      </c>
    </row>
    <row r="173" spans="1:4" x14ac:dyDescent="0.25">
      <c r="A173" s="2" t="s">
        <v>17</v>
      </c>
      <c r="B173" s="3" t="s">
        <v>5</v>
      </c>
      <c r="C173" s="3" t="s">
        <v>52</v>
      </c>
      <c r="D173" s="4">
        <v>499226.71875</v>
      </c>
    </row>
    <row r="174" spans="1:4" x14ac:dyDescent="0.25">
      <c r="A174" s="5" t="s">
        <v>17</v>
      </c>
      <c r="B174" s="6" t="s">
        <v>5</v>
      </c>
      <c r="C174" s="6" t="s">
        <v>53</v>
      </c>
      <c r="D174" s="7">
        <v>493411.3125</v>
      </c>
    </row>
    <row r="175" spans="1:4" x14ac:dyDescent="0.25">
      <c r="A175" s="2" t="s">
        <v>17</v>
      </c>
      <c r="B175" s="3" t="s">
        <v>5</v>
      </c>
      <c r="C175" s="3" t="s">
        <v>54</v>
      </c>
      <c r="D175" s="4">
        <v>492672.75</v>
      </c>
    </row>
    <row r="176" spans="1:4" x14ac:dyDescent="0.25">
      <c r="A176" s="5" t="s">
        <v>17</v>
      </c>
      <c r="B176" s="6" t="s">
        <v>5</v>
      </c>
      <c r="C176" s="6" t="s">
        <v>55</v>
      </c>
      <c r="D176" s="7">
        <v>7961244</v>
      </c>
    </row>
    <row r="177" spans="1:4" x14ac:dyDescent="0.25">
      <c r="A177" s="5" t="s">
        <v>17</v>
      </c>
      <c r="B177" s="6" t="s">
        <v>5</v>
      </c>
      <c r="C177" s="6" t="s">
        <v>56</v>
      </c>
      <c r="D177" s="7">
        <v>7796710</v>
      </c>
    </row>
    <row r="178" spans="1:4" x14ac:dyDescent="0.25">
      <c r="A178" s="5" t="s">
        <v>17</v>
      </c>
      <c r="B178" s="6" t="s">
        <v>5</v>
      </c>
      <c r="C178" s="6" t="s">
        <v>57</v>
      </c>
      <c r="D178" s="7">
        <v>8097857.5</v>
      </c>
    </row>
    <row r="179" spans="1:4" x14ac:dyDescent="0.25">
      <c r="A179" s="5" t="s">
        <v>17</v>
      </c>
      <c r="B179" s="6" t="s">
        <v>5</v>
      </c>
      <c r="C179" s="6" t="s">
        <v>58</v>
      </c>
      <c r="D179" s="7">
        <v>8233505</v>
      </c>
    </row>
    <row r="180" spans="1:4" x14ac:dyDescent="0.25">
      <c r="A180" s="5" t="s">
        <v>17</v>
      </c>
      <c r="B180" s="6" t="s">
        <v>5</v>
      </c>
      <c r="C180" s="6" t="s">
        <v>59</v>
      </c>
      <c r="D180" s="7">
        <v>8150444</v>
      </c>
    </row>
    <row r="181" spans="1:4" x14ac:dyDescent="0.25">
      <c r="A181" s="5" t="s">
        <v>17</v>
      </c>
      <c r="B181" s="6" t="s">
        <v>5</v>
      </c>
      <c r="C181" s="6" t="s">
        <v>60</v>
      </c>
      <c r="D181" s="7">
        <v>8196713.5</v>
      </c>
    </row>
    <row r="182" spans="1:4" x14ac:dyDescent="0.25">
      <c r="A182" s="5" t="s">
        <v>17</v>
      </c>
      <c r="B182" s="6" t="s">
        <v>5</v>
      </c>
      <c r="C182" s="6" t="s">
        <v>61</v>
      </c>
      <c r="D182" s="7">
        <v>7870164.5</v>
      </c>
    </row>
    <row r="183" spans="1:4" x14ac:dyDescent="0.25">
      <c r="A183" s="5" t="s">
        <v>17</v>
      </c>
      <c r="B183" s="6" t="s">
        <v>5</v>
      </c>
      <c r="C183" s="6" t="s">
        <v>62</v>
      </c>
      <c r="D183" s="7">
        <v>7648074.5</v>
      </c>
    </row>
    <row r="184" spans="1:4" x14ac:dyDescent="0.25">
      <c r="A184" s="5" t="s">
        <v>17</v>
      </c>
      <c r="B184" s="6" t="s">
        <v>5</v>
      </c>
      <c r="C184" s="6" t="s">
        <v>63</v>
      </c>
      <c r="D184" s="7">
        <v>7981223</v>
      </c>
    </row>
    <row r="185" spans="1:4" x14ac:dyDescent="0.25">
      <c r="A185" s="5" t="s">
        <v>17</v>
      </c>
      <c r="B185" s="6" t="s">
        <v>5</v>
      </c>
      <c r="C185" s="6" t="s">
        <v>64</v>
      </c>
      <c r="D185" s="7">
        <v>8206987</v>
      </c>
    </row>
    <row r="186" spans="1:4" x14ac:dyDescent="0.25">
      <c r="A186" s="5" t="s">
        <v>17</v>
      </c>
      <c r="B186" s="6" t="s">
        <v>5</v>
      </c>
      <c r="C186" s="6" t="s">
        <v>65</v>
      </c>
      <c r="D186" s="7">
        <v>8177111.5</v>
      </c>
    </row>
    <row r="187" spans="1:4" x14ac:dyDescent="0.25">
      <c r="A187" s="5" t="s">
        <v>17</v>
      </c>
      <c r="B187" s="6" t="s">
        <v>5</v>
      </c>
      <c r="C187" s="6" t="s">
        <v>66</v>
      </c>
      <c r="D187" s="7">
        <v>8252095.5</v>
      </c>
    </row>
    <row r="188" spans="1:4" x14ac:dyDescent="0.25">
      <c r="A188" s="5" t="s">
        <v>30</v>
      </c>
      <c r="B188" s="6" t="s">
        <v>5</v>
      </c>
      <c r="C188" s="6" t="s">
        <v>36</v>
      </c>
      <c r="D188" s="7">
        <v>337973.875</v>
      </c>
    </row>
    <row r="189" spans="1:4" x14ac:dyDescent="0.25">
      <c r="A189" s="2" t="s">
        <v>30</v>
      </c>
      <c r="B189" s="3" t="s">
        <v>5</v>
      </c>
      <c r="C189" s="3" t="s">
        <v>37</v>
      </c>
      <c r="D189" s="4">
        <v>341926.0625</v>
      </c>
    </row>
    <row r="190" spans="1:4" x14ac:dyDescent="0.25">
      <c r="A190" s="5" t="s">
        <v>30</v>
      </c>
      <c r="B190" s="6" t="s">
        <v>5</v>
      </c>
      <c r="C190" s="6" t="s">
        <v>38</v>
      </c>
      <c r="D190" s="7">
        <v>328788.96875</v>
      </c>
    </row>
    <row r="191" spans="1:4" x14ac:dyDescent="0.25">
      <c r="A191" s="2" t="s">
        <v>30</v>
      </c>
      <c r="B191" s="3" t="s">
        <v>5</v>
      </c>
      <c r="C191" s="3" t="s">
        <v>39</v>
      </c>
      <c r="D191" s="4">
        <v>324714.5625</v>
      </c>
    </row>
    <row r="192" spans="1:4" x14ac:dyDescent="0.25">
      <c r="A192" s="5" t="s">
        <v>30</v>
      </c>
      <c r="B192" s="6" t="s">
        <v>5</v>
      </c>
      <c r="C192" s="6" t="s">
        <v>40</v>
      </c>
      <c r="D192" s="7">
        <v>342340.125</v>
      </c>
    </row>
    <row r="193" spans="1:4" x14ac:dyDescent="0.25">
      <c r="A193" s="2" t="s">
        <v>30</v>
      </c>
      <c r="B193" s="3" t="s">
        <v>5</v>
      </c>
      <c r="C193" s="3" t="s">
        <v>41</v>
      </c>
      <c r="D193" s="4">
        <v>338815</v>
      </c>
    </row>
    <row r="194" spans="1:4" x14ac:dyDescent="0.25">
      <c r="A194" s="5" t="s">
        <v>30</v>
      </c>
      <c r="B194" s="6" t="s">
        <v>5</v>
      </c>
      <c r="C194" s="6" t="s">
        <v>42</v>
      </c>
      <c r="D194" s="7">
        <v>338355.25</v>
      </c>
    </row>
    <row r="195" spans="1:4" x14ac:dyDescent="0.25">
      <c r="A195" s="2" t="s">
        <v>30</v>
      </c>
      <c r="B195" s="3" t="s">
        <v>5</v>
      </c>
      <c r="C195" s="3" t="s">
        <v>43</v>
      </c>
      <c r="D195" s="4">
        <v>357902.25</v>
      </c>
    </row>
    <row r="196" spans="1:4" x14ac:dyDescent="0.25">
      <c r="A196" s="5" t="s">
        <v>30</v>
      </c>
      <c r="B196" s="6" t="s">
        <v>5</v>
      </c>
      <c r="C196" s="6" t="s">
        <v>44</v>
      </c>
      <c r="D196" s="7">
        <v>344328.96875</v>
      </c>
    </row>
    <row r="197" spans="1:4" x14ac:dyDescent="0.25">
      <c r="A197" s="2" t="s">
        <v>30</v>
      </c>
      <c r="B197" s="3" t="s">
        <v>5</v>
      </c>
      <c r="C197" s="3" t="s">
        <v>45</v>
      </c>
      <c r="D197" s="4">
        <v>339992.6875</v>
      </c>
    </row>
    <row r="198" spans="1:4" x14ac:dyDescent="0.25">
      <c r="A198" s="5" t="s">
        <v>30</v>
      </c>
      <c r="B198" s="6" t="s">
        <v>5</v>
      </c>
      <c r="C198" s="6" t="s">
        <v>46</v>
      </c>
      <c r="D198" s="7">
        <v>357952.25</v>
      </c>
    </row>
    <row r="199" spans="1:4" x14ac:dyDescent="0.25">
      <c r="A199" s="2" t="s">
        <v>30</v>
      </c>
      <c r="B199" s="3" t="s">
        <v>5</v>
      </c>
      <c r="C199" s="3" t="s">
        <v>47</v>
      </c>
      <c r="D199" s="4">
        <v>354135.90625</v>
      </c>
    </row>
    <row r="200" spans="1:4" x14ac:dyDescent="0.25">
      <c r="A200" s="5" t="s">
        <v>30</v>
      </c>
      <c r="B200" s="6" t="s">
        <v>5</v>
      </c>
      <c r="C200" s="6" t="s">
        <v>48</v>
      </c>
      <c r="D200" s="7">
        <v>353419.65625</v>
      </c>
    </row>
    <row r="201" spans="1:4" x14ac:dyDescent="0.25">
      <c r="A201" s="2" t="s">
        <v>30</v>
      </c>
      <c r="B201" s="3" t="s">
        <v>5</v>
      </c>
      <c r="C201" s="3" t="s">
        <v>49</v>
      </c>
      <c r="D201" s="4">
        <v>357485.5</v>
      </c>
    </row>
    <row r="202" spans="1:4" x14ac:dyDescent="0.25">
      <c r="A202" s="5" t="s">
        <v>30</v>
      </c>
      <c r="B202" s="6" t="s">
        <v>5</v>
      </c>
      <c r="C202" s="6" t="s">
        <v>50</v>
      </c>
      <c r="D202" s="7">
        <v>343971.1875</v>
      </c>
    </row>
    <row r="203" spans="1:4" x14ac:dyDescent="0.25">
      <c r="A203" s="2" t="s">
        <v>30</v>
      </c>
      <c r="B203" s="3" t="s">
        <v>5</v>
      </c>
      <c r="C203" s="3" t="s">
        <v>51</v>
      </c>
      <c r="D203" s="4">
        <v>339780.4375</v>
      </c>
    </row>
    <row r="204" spans="1:4" x14ac:dyDescent="0.25">
      <c r="A204" s="5" t="s">
        <v>30</v>
      </c>
      <c r="B204" s="6" t="s">
        <v>5</v>
      </c>
      <c r="C204" s="6" t="s">
        <v>52</v>
      </c>
      <c r="D204" s="7">
        <v>357912.90625</v>
      </c>
    </row>
    <row r="205" spans="1:4" x14ac:dyDescent="0.25">
      <c r="A205" s="2" t="s">
        <v>30</v>
      </c>
      <c r="B205" s="3" t="s">
        <v>5</v>
      </c>
      <c r="C205" s="3" t="s">
        <v>53</v>
      </c>
      <c r="D205" s="4">
        <v>354287.34375</v>
      </c>
    </row>
    <row r="206" spans="1:4" x14ac:dyDescent="0.25">
      <c r="A206" s="5" t="s">
        <v>30</v>
      </c>
      <c r="B206" s="6" t="s">
        <v>5</v>
      </c>
      <c r="C206" s="6" t="s">
        <v>54</v>
      </c>
      <c r="D206" s="7">
        <v>353817.75</v>
      </c>
    </row>
    <row r="207" spans="1:4" x14ac:dyDescent="0.25">
      <c r="A207" s="5" t="s">
        <v>30</v>
      </c>
      <c r="B207" s="6" t="s">
        <v>5</v>
      </c>
      <c r="C207" s="6" t="s">
        <v>55</v>
      </c>
      <c r="D207" s="7">
        <v>1847673.5</v>
      </c>
    </row>
    <row r="208" spans="1:4" x14ac:dyDescent="0.25">
      <c r="A208" s="5" t="s">
        <v>30</v>
      </c>
      <c r="B208" s="6" t="s">
        <v>5</v>
      </c>
      <c r="C208" s="6" t="s">
        <v>56</v>
      </c>
      <c r="D208" s="7">
        <v>1810247.25</v>
      </c>
    </row>
    <row r="209" spans="1:4" x14ac:dyDescent="0.25">
      <c r="A209" s="5" t="s">
        <v>30</v>
      </c>
      <c r="B209" s="6" t="s">
        <v>5</v>
      </c>
      <c r="C209" s="6" t="s">
        <v>57</v>
      </c>
      <c r="D209" s="7">
        <v>1879691.375</v>
      </c>
    </row>
    <row r="210" spans="1:4" x14ac:dyDescent="0.25">
      <c r="A210" s="5" t="s">
        <v>30</v>
      </c>
      <c r="B210" s="6" t="s">
        <v>5</v>
      </c>
      <c r="C210" s="6" t="s">
        <v>58</v>
      </c>
      <c r="D210" s="7">
        <v>1909938.375</v>
      </c>
    </row>
    <row r="211" spans="1:4" x14ac:dyDescent="0.25">
      <c r="A211" s="5" t="s">
        <v>30</v>
      </c>
      <c r="B211" s="6" t="s">
        <v>5</v>
      </c>
      <c r="C211" s="6" t="s">
        <v>59</v>
      </c>
      <c r="D211" s="7">
        <v>1890022.875</v>
      </c>
    </row>
    <row r="212" spans="1:4" x14ac:dyDescent="0.25">
      <c r="A212" s="5" t="s">
        <v>30</v>
      </c>
      <c r="B212" s="6" t="s">
        <v>5</v>
      </c>
      <c r="C212" s="6" t="s">
        <v>60</v>
      </c>
      <c r="D212" s="7">
        <v>1900308</v>
      </c>
    </row>
    <row r="213" spans="1:4" x14ac:dyDescent="0.25">
      <c r="A213" s="5" t="s">
        <v>30</v>
      </c>
      <c r="B213" s="6" t="s">
        <v>5</v>
      </c>
      <c r="C213" s="6" t="s">
        <v>61</v>
      </c>
      <c r="D213" s="7">
        <v>1824060.875</v>
      </c>
    </row>
    <row r="214" spans="1:4" x14ac:dyDescent="0.25">
      <c r="A214" s="5" t="s">
        <v>30</v>
      </c>
      <c r="B214" s="6" t="s">
        <v>5</v>
      </c>
      <c r="C214" s="6" t="s">
        <v>62</v>
      </c>
      <c r="D214" s="7">
        <v>1771917.875</v>
      </c>
    </row>
    <row r="215" spans="1:4" x14ac:dyDescent="0.25">
      <c r="A215" s="5" t="s">
        <v>30</v>
      </c>
      <c r="B215" s="6" t="s">
        <v>5</v>
      </c>
      <c r="C215" s="6" t="s">
        <v>63</v>
      </c>
      <c r="D215" s="7">
        <v>1849622.125</v>
      </c>
    </row>
    <row r="216" spans="1:4" x14ac:dyDescent="0.25">
      <c r="A216" s="5" t="s">
        <v>30</v>
      </c>
      <c r="B216" s="6" t="s">
        <v>5</v>
      </c>
      <c r="C216" s="6" t="s">
        <v>64</v>
      </c>
      <c r="D216" s="7">
        <v>1903128.25</v>
      </c>
    </row>
    <row r="217" spans="1:4" x14ac:dyDescent="0.25">
      <c r="A217" s="5" t="s">
        <v>30</v>
      </c>
      <c r="B217" s="6" t="s">
        <v>5</v>
      </c>
      <c r="C217" s="6" t="s">
        <v>65</v>
      </c>
      <c r="D217" s="7">
        <v>1896907.375</v>
      </c>
    </row>
    <row r="218" spans="1:4" x14ac:dyDescent="0.25">
      <c r="A218" s="5" t="s">
        <v>30</v>
      </c>
      <c r="B218" s="6" t="s">
        <v>5</v>
      </c>
      <c r="C218" s="6" t="s">
        <v>66</v>
      </c>
      <c r="D218" s="7">
        <v>1914504.875</v>
      </c>
    </row>
    <row r="219" spans="1:4" x14ac:dyDescent="0.25">
      <c r="A219" s="2" t="s">
        <v>24</v>
      </c>
      <c r="B219" s="3" t="s">
        <v>5</v>
      </c>
      <c r="C219" s="3" t="s">
        <v>36</v>
      </c>
      <c r="D219" s="4">
        <v>73482.1171875</v>
      </c>
    </row>
    <row r="220" spans="1:4" x14ac:dyDescent="0.25">
      <c r="A220" s="5" t="s">
        <v>24</v>
      </c>
      <c r="B220" s="6" t="s">
        <v>5</v>
      </c>
      <c r="C220" s="6" t="s">
        <v>37</v>
      </c>
      <c r="D220" s="7">
        <v>74542.578125</v>
      </c>
    </row>
    <row r="221" spans="1:4" x14ac:dyDescent="0.25">
      <c r="A221" s="2" t="s">
        <v>24</v>
      </c>
      <c r="B221" s="3" t="s">
        <v>5</v>
      </c>
      <c r="C221" s="3" t="s">
        <v>38</v>
      </c>
      <c r="D221" s="4">
        <v>71013.9375</v>
      </c>
    </row>
    <row r="222" spans="1:4" x14ac:dyDescent="0.25">
      <c r="A222" s="5" t="s">
        <v>24</v>
      </c>
      <c r="B222" s="6" t="s">
        <v>5</v>
      </c>
      <c r="C222" s="6" t="s">
        <v>39</v>
      </c>
      <c r="D222" s="7">
        <v>69923.171875</v>
      </c>
    </row>
    <row r="223" spans="1:4" x14ac:dyDescent="0.25">
      <c r="A223" s="2" t="s">
        <v>24</v>
      </c>
      <c r="B223" s="3" t="s">
        <v>5</v>
      </c>
      <c r="C223" s="3" t="s">
        <v>40</v>
      </c>
      <c r="D223" s="4">
        <v>74663.09375</v>
      </c>
    </row>
    <row r="224" spans="1:4" x14ac:dyDescent="0.25">
      <c r="A224" s="5" t="s">
        <v>24</v>
      </c>
      <c r="B224" s="6" t="s">
        <v>5</v>
      </c>
      <c r="C224" s="6" t="s">
        <v>41</v>
      </c>
      <c r="D224" s="7">
        <v>73721.09375</v>
      </c>
    </row>
    <row r="225" spans="1:4" x14ac:dyDescent="0.25">
      <c r="A225" s="2" t="s">
        <v>24</v>
      </c>
      <c r="B225" s="3" t="s">
        <v>5</v>
      </c>
      <c r="C225" s="3" t="s">
        <v>42</v>
      </c>
      <c r="D225" s="4">
        <v>73593.46875</v>
      </c>
    </row>
    <row r="226" spans="1:4" x14ac:dyDescent="0.25">
      <c r="A226" s="5" t="s">
        <v>24</v>
      </c>
      <c r="B226" s="6" t="s">
        <v>5</v>
      </c>
      <c r="C226" s="6" t="s">
        <v>43</v>
      </c>
      <c r="D226" s="7">
        <v>78399.3125</v>
      </c>
    </row>
    <row r="227" spans="1:4" x14ac:dyDescent="0.25">
      <c r="A227" s="2" t="s">
        <v>24</v>
      </c>
      <c r="B227" s="3" t="s">
        <v>5</v>
      </c>
      <c r="C227" s="3" t="s">
        <v>44</v>
      </c>
      <c r="D227" s="4">
        <v>74730.9453125</v>
      </c>
    </row>
    <row r="228" spans="1:4" x14ac:dyDescent="0.25">
      <c r="A228" s="5" t="s">
        <v>24</v>
      </c>
      <c r="B228" s="6" t="s">
        <v>5</v>
      </c>
      <c r="C228" s="6" t="s">
        <v>45</v>
      </c>
      <c r="D228" s="7">
        <v>73555.6640625</v>
      </c>
    </row>
    <row r="229" spans="1:4" x14ac:dyDescent="0.25">
      <c r="A229" s="2" t="s">
        <v>24</v>
      </c>
      <c r="B229" s="3" t="s">
        <v>5</v>
      </c>
      <c r="C229" s="3" t="s">
        <v>46</v>
      </c>
      <c r="D229" s="4">
        <v>78402.9453125</v>
      </c>
    </row>
    <row r="230" spans="1:4" x14ac:dyDescent="0.25">
      <c r="A230" s="5" t="s">
        <v>24</v>
      </c>
      <c r="B230" s="6" t="s">
        <v>5</v>
      </c>
      <c r="C230" s="6" t="s">
        <v>47</v>
      </c>
      <c r="D230" s="7">
        <v>77366.796875</v>
      </c>
    </row>
    <row r="231" spans="1:4" x14ac:dyDescent="0.25">
      <c r="A231" s="2" t="s">
        <v>24</v>
      </c>
      <c r="B231" s="3" t="s">
        <v>5</v>
      </c>
      <c r="C231" s="3" t="s">
        <v>48</v>
      </c>
      <c r="D231" s="4">
        <v>77168.546875</v>
      </c>
    </row>
    <row r="232" spans="1:4" x14ac:dyDescent="0.25">
      <c r="A232" s="5" t="s">
        <v>24</v>
      </c>
      <c r="B232" s="6" t="s">
        <v>5</v>
      </c>
      <c r="C232" s="6" t="s">
        <v>49</v>
      </c>
      <c r="D232" s="7">
        <v>78265.3203125</v>
      </c>
    </row>
    <row r="233" spans="1:4" x14ac:dyDescent="0.25">
      <c r="A233" s="2" t="s">
        <v>24</v>
      </c>
      <c r="B233" s="3" t="s">
        <v>5</v>
      </c>
      <c r="C233" s="3" t="s">
        <v>50</v>
      </c>
      <c r="D233" s="4">
        <v>74616.140625</v>
      </c>
    </row>
    <row r="234" spans="1:4" x14ac:dyDescent="0.25">
      <c r="A234" s="5" t="s">
        <v>24</v>
      </c>
      <c r="B234" s="6" t="s">
        <v>5</v>
      </c>
      <c r="C234" s="6" t="s">
        <v>51</v>
      </c>
      <c r="D234" s="7">
        <v>73488.203125</v>
      </c>
    </row>
    <row r="235" spans="1:4" x14ac:dyDescent="0.25">
      <c r="A235" s="2" t="s">
        <v>24</v>
      </c>
      <c r="B235" s="3" t="s">
        <v>5</v>
      </c>
      <c r="C235" s="3" t="s">
        <v>52</v>
      </c>
      <c r="D235" s="4">
        <v>78390.1484375</v>
      </c>
    </row>
    <row r="236" spans="1:4" x14ac:dyDescent="0.25">
      <c r="A236" s="5" t="s">
        <v>24</v>
      </c>
      <c r="B236" s="6" t="s">
        <v>5</v>
      </c>
      <c r="C236" s="6" t="s">
        <v>53</v>
      </c>
      <c r="D236" s="7">
        <v>77416.0546875</v>
      </c>
    </row>
    <row r="237" spans="1:4" x14ac:dyDescent="0.25">
      <c r="A237" s="2" t="s">
        <v>24</v>
      </c>
      <c r="B237" s="3" t="s">
        <v>5</v>
      </c>
      <c r="C237" s="3" t="s">
        <v>54</v>
      </c>
      <c r="D237" s="4">
        <v>77284.703125</v>
      </c>
    </row>
    <row r="238" spans="1:4" x14ac:dyDescent="0.25">
      <c r="A238" s="2" t="s">
        <v>24</v>
      </c>
      <c r="B238" s="3" t="s">
        <v>5</v>
      </c>
      <c r="C238" s="3" t="s">
        <v>55</v>
      </c>
      <c r="D238" s="4">
        <v>806471.625</v>
      </c>
    </row>
    <row r="239" spans="1:4" x14ac:dyDescent="0.25">
      <c r="A239" s="2" t="s">
        <v>24</v>
      </c>
      <c r="B239" s="3" t="s">
        <v>5</v>
      </c>
      <c r="C239" s="3" t="s">
        <v>56</v>
      </c>
      <c r="D239" s="4">
        <v>790565.3125</v>
      </c>
    </row>
    <row r="240" spans="1:4" x14ac:dyDescent="0.25">
      <c r="A240" s="2" t="s">
        <v>24</v>
      </c>
      <c r="B240" s="3" t="s">
        <v>5</v>
      </c>
      <c r="C240" s="3" t="s">
        <v>57</v>
      </c>
      <c r="D240" s="4">
        <v>820619.5625</v>
      </c>
    </row>
    <row r="241" spans="1:4" x14ac:dyDescent="0.25">
      <c r="A241" s="2" t="s">
        <v>24</v>
      </c>
      <c r="B241" s="3" t="s">
        <v>5</v>
      </c>
      <c r="C241" s="3" t="s">
        <v>58</v>
      </c>
      <c r="D241" s="4">
        <v>833306.4375</v>
      </c>
    </row>
    <row r="242" spans="1:4" x14ac:dyDescent="0.25">
      <c r="A242" s="2" t="s">
        <v>24</v>
      </c>
      <c r="B242" s="3" t="s">
        <v>5</v>
      </c>
      <c r="C242" s="3" t="s">
        <v>59</v>
      </c>
      <c r="D242" s="4">
        <v>824273.5625</v>
      </c>
    </row>
    <row r="243" spans="1:4" x14ac:dyDescent="0.25">
      <c r="A243" s="2" t="s">
        <v>24</v>
      </c>
      <c r="B243" s="3" t="s">
        <v>5</v>
      </c>
      <c r="C243" s="3" t="s">
        <v>60</v>
      </c>
      <c r="D243" s="4">
        <v>828620.625</v>
      </c>
    </row>
    <row r="244" spans="1:4" x14ac:dyDescent="0.25">
      <c r="A244" s="2" t="s">
        <v>24</v>
      </c>
      <c r="B244" s="3" t="s">
        <v>5</v>
      </c>
      <c r="C244" s="3" t="s">
        <v>61</v>
      </c>
      <c r="D244" s="4">
        <v>795120.8125</v>
      </c>
    </row>
    <row r="245" spans="1:4" x14ac:dyDescent="0.25">
      <c r="A245" s="2" t="s">
        <v>24</v>
      </c>
      <c r="B245" s="3" t="s">
        <v>5</v>
      </c>
      <c r="C245" s="3" t="s">
        <v>62</v>
      </c>
      <c r="D245" s="4">
        <v>771967.5625</v>
      </c>
    </row>
    <row r="246" spans="1:4" x14ac:dyDescent="0.25">
      <c r="A246" s="2" t="s">
        <v>24</v>
      </c>
      <c r="B246" s="3" t="s">
        <v>5</v>
      </c>
      <c r="C246" s="3" t="s">
        <v>63</v>
      </c>
      <c r="D246" s="4">
        <v>806048.1875</v>
      </c>
    </row>
    <row r="247" spans="1:4" x14ac:dyDescent="0.25">
      <c r="A247" s="2" t="s">
        <v>24</v>
      </c>
      <c r="B247" s="3" t="s">
        <v>5</v>
      </c>
      <c r="C247" s="3" t="s">
        <v>64</v>
      </c>
      <c r="D247" s="4">
        <v>829964.125</v>
      </c>
    </row>
    <row r="248" spans="1:4" x14ac:dyDescent="0.25">
      <c r="A248" s="2" t="s">
        <v>24</v>
      </c>
      <c r="B248" s="3" t="s">
        <v>5</v>
      </c>
      <c r="C248" s="3" t="s">
        <v>65</v>
      </c>
      <c r="D248" s="4">
        <v>827564.9375</v>
      </c>
    </row>
    <row r="249" spans="1:4" x14ac:dyDescent="0.25">
      <c r="A249" s="2" t="s">
        <v>24</v>
      </c>
      <c r="B249" s="3" t="s">
        <v>5</v>
      </c>
      <c r="C249" s="3" t="s">
        <v>66</v>
      </c>
      <c r="D249" s="4">
        <v>835545</v>
      </c>
    </row>
    <row r="250" spans="1:4" x14ac:dyDescent="0.25">
      <c r="A250" s="5" t="s">
        <v>21</v>
      </c>
      <c r="B250" s="6" t="s">
        <v>5</v>
      </c>
      <c r="C250" s="6" t="s">
        <v>36</v>
      </c>
      <c r="D250" s="7">
        <v>2346345.75</v>
      </c>
    </row>
    <row r="251" spans="1:4" x14ac:dyDescent="0.25">
      <c r="A251" s="2" t="s">
        <v>21</v>
      </c>
      <c r="B251" s="3" t="s">
        <v>5</v>
      </c>
      <c r="C251" s="3" t="s">
        <v>37</v>
      </c>
      <c r="D251" s="4">
        <v>2370763.25</v>
      </c>
    </row>
    <row r="252" spans="1:4" x14ac:dyDescent="0.25">
      <c r="A252" s="5" t="s">
        <v>21</v>
      </c>
      <c r="B252" s="6" t="s">
        <v>5</v>
      </c>
      <c r="C252" s="6" t="s">
        <v>38</v>
      </c>
      <c r="D252" s="7">
        <v>2288026</v>
      </c>
    </row>
    <row r="253" spans="1:4" x14ac:dyDescent="0.25">
      <c r="A253" s="2" t="s">
        <v>21</v>
      </c>
      <c r="B253" s="3" t="s">
        <v>5</v>
      </c>
      <c r="C253" s="3" t="s">
        <v>39</v>
      </c>
      <c r="D253" s="4">
        <v>2263721.75</v>
      </c>
    </row>
    <row r="254" spans="1:4" x14ac:dyDescent="0.25">
      <c r="A254" s="5" t="s">
        <v>21</v>
      </c>
      <c r="B254" s="6" t="s">
        <v>5</v>
      </c>
      <c r="C254" s="6" t="s">
        <v>40</v>
      </c>
      <c r="D254" s="7">
        <v>2377127.75</v>
      </c>
    </row>
    <row r="255" spans="1:4" x14ac:dyDescent="0.25">
      <c r="A255" s="2" t="s">
        <v>21</v>
      </c>
      <c r="B255" s="3" t="s">
        <v>5</v>
      </c>
      <c r="C255" s="3" t="s">
        <v>41</v>
      </c>
      <c r="D255" s="4">
        <v>2357058.25</v>
      </c>
    </row>
    <row r="256" spans="1:4" x14ac:dyDescent="0.25">
      <c r="A256" s="5" t="s">
        <v>21</v>
      </c>
      <c r="B256" s="6" t="s">
        <v>5</v>
      </c>
      <c r="C256" s="6" t="s">
        <v>42</v>
      </c>
      <c r="D256" s="7">
        <v>2356133</v>
      </c>
    </row>
    <row r="257" spans="1:4" x14ac:dyDescent="0.25">
      <c r="A257" s="2" t="s">
        <v>21</v>
      </c>
      <c r="B257" s="3" t="s">
        <v>5</v>
      </c>
      <c r="C257" s="3" t="s">
        <v>43</v>
      </c>
      <c r="D257" s="4">
        <v>2468654.5</v>
      </c>
    </row>
    <row r="258" spans="1:4" x14ac:dyDescent="0.25">
      <c r="A258" s="5" t="s">
        <v>21</v>
      </c>
      <c r="B258" s="6" t="s">
        <v>5</v>
      </c>
      <c r="C258" s="6" t="s">
        <v>44</v>
      </c>
      <c r="D258" s="7">
        <v>2380527.25</v>
      </c>
    </row>
    <row r="259" spans="1:4" x14ac:dyDescent="0.25">
      <c r="A259" s="2" t="s">
        <v>21</v>
      </c>
      <c r="B259" s="3" t="s">
        <v>5</v>
      </c>
      <c r="C259" s="3" t="s">
        <v>45</v>
      </c>
      <c r="D259" s="4">
        <v>2350975</v>
      </c>
    </row>
    <row r="260" spans="1:4" x14ac:dyDescent="0.25">
      <c r="A260" s="5" t="s">
        <v>21</v>
      </c>
      <c r="B260" s="6" t="s">
        <v>5</v>
      </c>
      <c r="C260" s="6" t="s">
        <v>46</v>
      </c>
      <c r="D260" s="7">
        <v>2464959.5</v>
      </c>
    </row>
    <row r="261" spans="1:4" x14ac:dyDescent="0.25">
      <c r="A261" s="2" t="s">
        <v>21</v>
      </c>
      <c r="B261" s="3" t="s">
        <v>5</v>
      </c>
      <c r="C261" s="3" t="s">
        <v>47</v>
      </c>
      <c r="D261" s="4">
        <v>2438024.75</v>
      </c>
    </row>
    <row r="262" spans="1:4" x14ac:dyDescent="0.25">
      <c r="A262" s="5" t="s">
        <v>21</v>
      </c>
      <c r="B262" s="6" t="s">
        <v>5</v>
      </c>
      <c r="C262" s="6" t="s">
        <v>48</v>
      </c>
      <c r="D262" s="7">
        <v>2431485.25</v>
      </c>
    </row>
    <row r="263" spans="1:4" x14ac:dyDescent="0.25">
      <c r="A263" s="2" t="s">
        <v>21</v>
      </c>
      <c r="B263" s="3" t="s">
        <v>5</v>
      </c>
      <c r="C263" s="3" t="s">
        <v>49</v>
      </c>
      <c r="D263" s="4">
        <v>2456997.25</v>
      </c>
    </row>
    <row r="264" spans="1:4" x14ac:dyDescent="0.25">
      <c r="A264" s="5" t="s">
        <v>21</v>
      </c>
      <c r="B264" s="6" t="s">
        <v>5</v>
      </c>
      <c r="C264" s="6" t="s">
        <v>50</v>
      </c>
      <c r="D264" s="7">
        <v>2370598</v>
      </c>
    </row>
    <row r="265" spans="1:4" x14ac:dyDescent="0.25">
      <c r="A265" s="2" t="s">
        <v>21</v>
      </c>
      <c r="B265" s="3" t="s">
        <v>5</v>
      </c>
      <c r="C265" s="3" t="s">
        <v>51</v>
      </c>
      <c r="D265" s="4">
        <v>2345188</v>
      </c>
    </row>
    <row r="266" spans="1:4" x14ac:dyDescent="0.25">
      <c r="A266" s="5" t="s">
        <v>21</v>
      </c>
      <c r="B266" s="6" t="s">
        <v>5</v>
      </c>
      <c r="C266" s="6" t="s">
        <v>52</v>
      </c>
      <c r="D266" s="7">
        <v>2463558.5</v>
      </c>
    </row>
    <row r="267" spans="1:4" x14ac:dyDescent="0.25">
      <c r="A267" s="2" t="s">
        <v>21</v>
      </c>
      <c r="B267" s="3" t="s">
        <v>5</v>
      </c>
      <c r="C267" s="3" t="s">
        <v>53</v>
      </c>
      <c r="D267" s="4">
        <v>2442552.75</v>
      </c>
    </row>
    <row r="268" spans="1:4" x14ac:dyDescent="0.25">
      <c r="A268" s="5" t="s">
        <v>21</v>
      </c>
      <c r="B268" s="6" t="s">
        <v>5</v>
      </c>
      <c r="C268" s="6" t="s">
        <v>54</v>
      </c>
      <c r="D268" s="7">
        <v>2441535</v>
      </c>
    </row>
    <row r="269" spans="1:4" x14ac:dyDescent="0.25">
      <c r="A269" s="5" t="s">
        <v>21</v>
      </c>
      <c r="B269" s="6" t="s">
        <v>5</v>
      </c>
      <c r="C269" s="6" t="s">
        <v>55</v>
      </c>
      <c r="D269" s="7">
        <v>27256100</v>
      </c>
    </row>
    <row r="270" spans="1:4" x14ac:dyDescent="0.25">
      <c r="A270" s="5" t="s">
        <v>21</v>
      </c>
      <c r="B270" s="6" t="s">
        <v>5</v>
      </c>
      <c r="C270" s="6" t="s">
        <v>56</v>
      </c>
      <c r="D270" s="7">
        <v>26669534</v>
      </c>
    </row>
    <row r="271" spans="1:4" x14ac:dyDescent="0.25">
      <c r="A271" s="5" t="s">
        <v>21</v>
      </c>
      <c r="B271" s="6" t="s">
        <v>5</v>
      </c>
      <c r="C271" s="6" t="s">
        <v>57</v>
      </c>
      <c r="D271" s="7">
        <v>27714394</v>
      </c>
    </row>
    <row r="272" spans="1:4" x14ac:dyDescent="0.25">
      <c r="A272" s="5" t="s">
        <v>21</v>
      </c>
      <c r="B272" s="6" t="s">
        <v>5</v>
      </c>
      <c r="C272" s="6" t="s">
        <v>58</v>
      </c>
      <c r="D272" s="7">
        <v>28211480</v>
      </c>
    </row>
    <row r="273" spans="1:4" x14ac:dyDescent="0.25">
      <c r="A273" s="5" t="s">
        <v>21</v>
      </c>
      <c r="B273" s="6" t="s">
        <v>5</v>
      </c>
      <c r="C273" s="6" t="s">
        <v>59</v>
      </c>
      <c r="D273" s="7">
        <v>27945724</v>
      </c>
    </row>
    <row r="274" spans="1:4" x14ac:dyDescent="0.25">
      <c r="A274" s="5" t="s">
        <v>21</v>
      </c>
      <c r="B274" s="6" t="s">
        <v>5</v>
      </c>
      <c r="C274" s="6" t="s">
        <v>60</v>
      </c>
      <c r="D274" s="7">
        <v>28114706</v>
      </c>
    </row>
    <row r="275" spans="1:4" x14ac:dyDescent="0.25">
      <c r="A275" s="5" t="s">
        <v>21</v>
      </c>
      <c r="B275" s="6" t="s">
        <v>5</v>
      </c>
      <c r="C275" s="6" t="s">
        <v>61</v>
      </c>
      <c r="D275" s="7">
        <v>27009348</v>
      </c>
    </row>
    <row r="276" spans="1:4" x14ac:dyDescent="0.25">
      <c r="A276" s="5" t="s">
        <v>21</v>
      </c>
      <c r="B276" s="6" t="s">
        <v>5</v>
      </c>
      <c r="C276" s="6" t="s">
        <v>62</v>
      </c>
      <c r="D276" s="7">
        <v>26269776</v>
      </c>
    </row>
    <row r="277" spans="1:4" x14ac:dyDescent="0.25">
      <c r="A277" s="5" t="s">
        <v>21</v>
      </c>
      <c r="B277" s="6" t="s">
        <v>5</v>
      </c>
      <c r="C277" s="6" t="s">
        <v>63</v>
      </c>
      <c r="D277" s="7">
        <v>27399954</v>
      </c>
    </row>
    <row r="278" spans="1:4" x14ac:dyDescent="0.25">
      <c r="A278" s="5" t="s">
        <v>21</v>
      </c>
      <c r="B278" s="6" t="s">
        <v>5</v>
      </c>
      <c r="C278" s="6" t="s">
        <v>64</v>
      </c>
      <c r="D278" s="7">
        <v>28140824</v>
      </c>
    </row>
    <row r="279" spans="1:4" x14ac:dyDescent="0.25">
      <c r="A279" s="5" t="s">
        <v>21</v>
      </c>
      <c r="B279" s="6" t="s">
        <v>5</v>
      </c>
      <c r="C279" s="6" t="s">
        <v>65</v>
      </c>
      <c r="D279" s="7">
        <v>28019240</v>
      </c>
    </row>
    <row r="280" spans="1:4" x14ac:dyDescent="0.25">
      <c r="A280" s="5" t="s">
        <v>21</v>
      </c>
      <c r="B280" s="6" t="s">
        <v>5</v>
      </c>
      <c r="C280" s="6" t="s">
        <v>66</v>
      </c>
      <c r="D280" s="7">
        <v>28263744</v>
      </c>
    </row>
    <row r="281" spans="1:4" x14ac:dyDescent="0.25">
      <c r="A281" s="2" t="s">
        <v>22</v>
      </c>
      <c r="B281" s="3" t="s">
        <v>5</v>
      </c>
      <c r="C281" s="3" t="s">
        <v>36</v>
      </c>
      <c r="D281" s="4">
        <v>1526113.125</v>
      </c>
    </row>
    <row r="282" spans="1:4" x14ac:dyDescent="0.25">
      <c r="A282" s="5" t="s">
        <v>22</v>
      </c>
      <c r="B282" s="6" t="s">
        <v>5</v>
      </c>
      <c r="C282" s="6" t="s">
        <v>37</v>
      </c>
      <c r="D282" s="7">
        <v>1541116.25</v>
      </c>
    </row>
    <row r="283" spans="1:4" x14ac:dyDescent="0.25">
      <c r="A283" s="2" t="s">
        <v>22</v>
      </c>
      <c r="B283" s="3" t="s">
        <v>5</v>
      </c>
      <c r="C283" s="3" t="s">
        <v>38</v>
      </c>
      <c r="D283" s="4">
        <v>1490943.375</v>
      </c>
    </row>
    <row r="284" spans="1:4" x14ac:dyDescent="0.25">
      <c r="A284" s="5" t="s">
        <v>22</v>
      </c>
      <c r="B284" s="6" t="s">
        <v>5</v>
      </c>
      <c r="C284" s="6" t="s">
        <v>39</v>
      </c>
      <c r="D284" s="7">
        <v>1475673.125</v>
      </c>
    </row>
    <row r="285" spans="1:4" x14ac:dyDescent="0.25">
      <c r="A285" s="2" t="s">
        <v>22</v>
      </c>
      <c r="B285" s="3" t="s">
        <v>5</v>
      </c>
      <c r="C285" s="3" t="s">
        <v>40</v>
      </c>
      <c r="D285" s="4">
        <v>1543454.875</v>
      </c>
    </row>
    <row r="286" spans="1:4" x14ac:dyDescent="0.25">
      <c r="A286" s="5" t="s">
        <v>22</v>
      </c>
      <c r="B286" s="6" t="s">
        <v>5</v>
      </c>
      <c r="C286" s="6" t="s">
        <v>41</v>
      </c>
      <c r="D286" s="7">
        <v>1530393.625</v>
      </c>
    </row>
    <row r="287" spans="1:4" x14ac:dyDescent="0.25">
      <c r="A287" s="2" t="s">
        <v>22</v>
      </c>
      <c r="B287" s="3" t="s">
        <v>5</v>
      </c>
      <c r="C287" s="3" t="s">
        <v>42</v>
      </c>
      <c r="D287" s="4">
        <v>1529097.25</v>
      </c>
    </row>
    <row r="288" spans="1:4" x14ac:dyDescent="0.25">
      <c r="A288" s="5" t="s">
        <v>22</v>
      </c>
      <c r="B288" s="6" t="s">
        <v>5</v>
      </c>
      <c r="C288" s="6" t="s">
        <v>43</v>
      </c>
      <c r="D288" s="7">
        <v>1631283.5</v>
      </c>
    </row>
    <row r="289" spans="1:4" x14ac:dyDescent="0.25">
      <c r="A289" s="2" t="s">
        <v>22</v>
      </c>
      <c r="B289" s="3" t="s">
        <v>5</v>
      </c>
      <c r="C289" s="3" t="s">
        <v>44</v>
      </c>
      <c r="D289" s="4">
        <v>1577870.5</v>
      </c>
    </row>
    <row r="290" spans="1:4" x14ac:dyDescent="0.25">
      <c r="A290" s="5" t="s">
        <v>22</v>
      </c>
      <c r="B290" s="6" t="s">
        <v>5</v>
      </c>
      <c r="C290" s="6" t="s">
        <v>45</v>
      </c>
      <c r="D290" s="7">
        <v>1560532.875</v>
      </c>
    </row>
    <row r="291" spans="1:4" x14ac:dyDescent="0.25">
      <c r="A291" s="2" t="s">
        <v>22</v>
      </c>
      <c r="B291" s="3" t="s">
        <v>5</v>
      </c>
      <c r="C291" s="3" t="s">
        <v>46</v>
      </c>
      <c r="D291" s="4">
        <v>1630674.5</v>
      </c>
    </row>
    <row r="292" spans="1:4" x14ac:dyDescent="0.25">
      <c r="A292" s="5" t="s">
        <v>22</v>
      </c>
      <c r="B292" s="6" t="s">
        <v>5</v>
      </c>
      <c r="C292" s="6" t="s">
        <v>47</v>
      </c>
      <c r="D292" s="7">
        <v>1615261.875</v>
      </c>
    </row>
    <row r="293" spans="1:4" x14ac:dyDescent="0.25">
      <c r="A293" s="2" t="s">
        <v>22</v>
      </c>
      <c r="B293" s="3" t="s">
        <v>5</v>
      </c>
      <c r="C293" s="3" t="s">
        <v>48</v>
      </c>
      <c r="D293" s="4">
        <v>1612062.75</v>
      </c>
    </row>
    <row r="294" spans="1:4" x14ac:dyDescent="0.25">
      <c r="A294" s="5" t="s">
        <v>22</v>
      </c>
      <c r="B294" s="6" t="s">
        <v>5</v>
      </c>
      <c r="C294" s="6" t="s">
        <v>49</v>
      </c>
      <c r="D294" s="7">
        <v>1627891.5</v>
      </c>
    </row>
    <row r="295" spans="1:4" x14ac:dyDescent="0.25">
      <c r="A295" s="2" t="s">
        <v>22</v>
      </c>
      <c r="B295" s="3" t="s">
        <v>5</v>
      </c>
      <c r="C295" s="3" t="s">
        <v>50</v>
      </c>
      <c r="D295" s="4">
        <v>1574976.25</v>
      </c>
    </row>
    <row r="296" spans="1:4" x14ac:dyDescent="0.25">
      <c r="A296" s="5" t="s">
        <v>22</v>
      </c>
      <c r="B296" s="6" t="s">
        <v>5</v>
      </c>
      <c r="C296" s="6" t="s">
        <v>51</v>
      </c>
      <c r="D296" s="7">
        <v>1558862.125</v>
      </c>
    </row>
    <row r="297" spans="1:4" x14ac:dyDescent="0.25">
      <c r="A297" s="2" t="s">
        <v>22</v>
      </c>
      <c r="B297" s="3" t="s">
        <v>5</v>
      </c>
      <c r="C297" s="3" t="s">
        <v>52</v>
      </c>
      <c r="D297" s="4">
        <v>1630332.5</v>
      </c>
    </row>
    <row r="298" spans="1:4" x14ac:dyDescent="0.25">
      <c r="A298" s="5" t="s">
        <v>22</v>
      </c>
      <c r="B298" s="6" t="s">
        <v>5</v>
      </c>
      <c r="C298" s="6" t="s">
        <v>53</v>
      </c>
      <c r="D298" s="7">
        <v>1616543.5</v>
      </c>
    </row>
    <row r="299" spans="1:4" x14ac:dyDescent="0.25">
      <c r="A299" s="2" t="s">
        <v>22</v>
      </c>
      <c r="B299" s="3" t="s">
        <v>5</v>
      </c>
      <c r="C299" s="3" t="s">
        <v>54</v>
      </c>
      <c r="D299" s="4">
        <v>1615165.375</v>
      </c>
    </row>
    <row r="300" spans="1:4" x14ac:dyDescent="0.25">
      <c r="A300" s="2" t="s">
        <v>22</v>
      </c>
      <c r="B300" s="3" t="s">
        <v>5</v>
      </c>
      <c r="C300" s="3" t="s">
        <v>55</v>
      </c>
      <c r="D300" s="4">
        <v>14213563</v>
      </c>
    </row>
    <row r="301" spans="1:4" x14ac:dyDescent="0.25">
      <c r="A301" s="2" t="s">
        <v>22</v>
      </c>
      <c r="B301" s="3" t="s">
        <v>5</v>
      </c>
      <c r="C301" s="3" t="s">
        <v>56</v>
      </c>
      <c r="D301" s="4">
        <v>13924628</v>
      </c>
    </row>
    <row r="302" spans="1:4" x14ac:dyDescent="0.25">
      <c r="A302" s="2" t="s">
        <v>22</v>
      </c>
      <c r="B302" s="3" t="s">
        <v>5</v>
      </c>
      <c r="C302" s="3" t="s">
        <v>57</v>
      </c>
      <c r="D302" s="4">
        <v>14459343</v>
      </c>
    </row>
    <row r="303" spans="1:4" x14ac:dyDescent="0.25">
      <c r="A303" s="2" t="s">
        <v>22</v>
      </c>
      <c r="B303" s="3" t="s">
        <v>5</v>
      </c>
      <c r="C303" s="3" t="s">
        <v>58</v>
      </c>
      <c r="D303" s="4">
        <v>14693920</v>
      </c>
    </row>
    <row r="304" spans="1:4" x14ac:dyDescent="0.25">
      <c r="A304" s="2" t="s">
        <v>22</v>
      </c>
      <c r="B304" s="3" t="s">
        <v>5</v>
      </c>
      <c r="C304" s="3" t="s">
        <v>59</v>
      </c>
      <c r="D304" s="4">
        <v>14541362</v>
      </c>
    </row>
    <row r="305" spans="1:4" x14ac:dyDescent="0.25">
      <c r="A305" s="2" t="s">
        <v>22</v>
      </c>
      <c r="B305" s="3" t="s">
        <v>5</v>
      </c>
      <c r="C305" s="3" t="s">
        <v>60</v>
      </c>
      <c r="D305" s="4">
        <v>14621290</v>
      </c>
    </row>
    <row r="306" spans="1:4" x14ac:dyDescent="0.25">
      <c r="A306" s="2" t="s">
        <v>22</v>
      </c>
      <c r="B306" s="3" t="s">
        <v>5</v>
      </c>
      <c r="C306" s="3" t="s">
        <v>61</v>
      </c>
      <c r="D306" s="4">
        <v>14035282</v>
      </c>
    </row>
    <row r="307" spans="1:4" x14ac:dyDescent="0.25">
      <c r="A307" s="2" t="s">
        <v>22</v>
      </c>
      <c r="B307" s="3" t="s">
        <v>5</v>
      </c>
      <c r="C307" s="3" t="s">
        <v>62</v>
      </c>
      <c r="D307" s="4">
        <v>13634924</v>
      </c>
    </row>
    <row r="308" spans="1:4" x14ac:dyDescent="0.25">
      <c r="A308" s="2" t="s">
        <v>22</v>
      </c>
      <c r="B308" s="3" t="s">
        <v>5</v>
      </c>
      <c r="C308" s="3" t="s">
        <v>63</v>
      </c>
      <c r="D308" s="4">
        <v>14232235</v>
      </c>
    </row>
    <row r="309" spans="1:4" x14ac:dyDescent="0.25">
      <c r="A309" s="2" t="s">
        <v>22</v>
      </c>
      <c r="B309" s="3" t="s">
        <v>5</v>
      </c>
      <c r="C309" s="3" t="s">
        <v>64</v>
      </c>
      <c r="D309" s="4">
        <v>14642326</v>
      </c>
    </row>
    <row r="310" spans="1:4" x14ac:dyDescent="0.25">
      <c r="A310" s="2" t="s">
        <v>22</v>
      </c>
      <c r="B310" s="3" t="s">
        <v>5</v>
      </c>
      <c r="C310" s="3" t="s">
        <v>65</v>
      </c>
      <c r="D310" s="4">
        <v>14593446</v>
      </c>
    </row>
    <row r="311" spans="1:4" x14ac:dyDescent="0.25">
      <c r="A311" s="2" t="s">
        <v>22</v>
      </c>
      <c r="B311" s="3" t="s">
        <v>5</v>
      </c>
      <c r="C311" s="3" t="s">
        <v>66</v>
      </c>
      <c r="D311" s="4">
        <v>14728927</v>
      </c>
    </row>
    <row r="312" spans="1:4" x14ac:dyDescent="0.25">
      <c r="A312" s="5" t="s">
        <v>35</v>
      </c>
      <c r="B312" s="6" t="s">
        <v>5</v>
      </c>
      <c r="C312" s="6" t="s">
        <v>36</v>
      </c>
      <c r="D312" s="7">
        <v>1666632.125</v>
      </c>
    </row>
    <row r="313" spans="1:4" x14ac:dyDescent="0.25">
      <c r="A313" s="2" t="s">
        <v>35</v>
      </c>
      <c r="B313" s="3" t="s">
        <v>5</v>
      </c>
      <c r="C313" s="3" t="s">
        <v>37</v>
      </c>
      <c r="D313" s="4">
        <v>1676187</v>
      </c>
    </row>
    <row r="314" spans="1:4" x14ac:dyDescent="0.25">
      <c r="A314" s="5" t="s">
        <v>35</v>
      </c>
      <c r="B314" s="6" t="s">
        <v>5</v>
      </c>
      <c r="C314" s="6" t="s">
        <v>38</v>
      </c>
      <c r="D314" s="7">
        <v>1642982.375</v>
      </c>
    </row>
    <row r="315" spans="1:4" x14ac:dyDescent="0.25">
      <c r="A315" s="2" t="s">
        <v>35</v>
      </c>
      <c r="B315" s="3" t="s">
        <v>5</v>
      </c>
      <c r="C315" s="3" t="s">
        <v>39</v>
      </c>
      <c r="D315" s="4">
        <v>1633762.75</v>
      </c>
    </row>
    <row r="316" spans="1:4" x14ac:dyDescent="0.25">
      <c r="A316" s="5" t="s">
        <v>35</v>
      </c>
      <c r="B316" s="6" t="s">
        <v>5</v>
      </c>
      <c r="C316" s="6" t="s">
        <v>40</v>
      </c>
      <c r="D316" s="7">
        <v>1680239.75</v>
      </c>
    </row>
    <row r="317" spans="1:4" x14ac:dyDescent="0.25">
      <c r="A317" s="2" t="s">
        <v>35</v>
      </c>
      <c r="B317" s="3" t="s">
        <v>5</v>
      </c>
      <c r="C317" s="3" t="s">
        <v>41</v>
      </c>
      <c r="D317" s="4">
        <v>1672956.125</v>
      </c>
    </row>
    <row r="318" spans="1:4" x14ac:dyDescent="0.25">
      <c r="A318" s="5" t="s">
        <v>35</v>
      </c>
      <c r="B318" s="6" t="s">
        <v>5</v>
      </c>
      <c r="C318" s="6" t="s">
        <v>42</v>
      </c>
      <c r="D318" s="7">
        <v>1673633.25</v>
      </c>
    </row>
    <row r="319" spans="1:4" x14ac:dyDescent="0.25">
      <c r="A319" s="2" t="s">
        <v>35</v>
      </c>
      <c r="B319" s="3" t="s">
        <v>5</v>
      </c>
      <c r="C319" s="3" t="s">
        <v>43</v>
      </c>
      <c r="D319" s="4">
        <v>1708104.625</v>
      </c>
    </row>
    <row r="320" spans="1:4" x14ac:dyDescent="0.25">
      <c r="A320" s="5" t="s">
        <v>35</v>
      </c>
      <c r="B320" s="6" t="s">
        <v>5</v>
      </c>
      <c r="C320" s="6" t="s">
        <v>44</v>
      </c>
      <c r="D320" s="7">
        <v>1672163.875</v>
      </c>
    </row>
    <row r="321" spans="1:4" x14ac:dyDescent="0.25">
      <c r="A321" s="2" t="s">
        <v>35</v>
      </c>
      <c r="B321" s="3" t="s">
        <v>5</v>
      </c>
      <c r="C321" s="3" t="s">
        <v>45</v>
      </c>
      <c r="D321" s="4">
        <v>1659610.75</v>
      </c>
    </row>
    <row r="322" spans="1:4" x14ac:dyDescent="0.25">
      <c r="A322" s="5" t="s">
        <v>35</v>
      </c>
      <c r="B322" s="6" t="s">
        <v>5</v>
      </c>
      <c r="C322" s="6" t="s">
        <v>46</v>
      </c>
      <c r="D322" s="7">
        <v>1705196.25</v>
      </c>
    </row>
    <row r="323" spans="1:4" x14ac:dyDescent="0.25">
      <c r="A323" s="2" t="s">
        <v>35</v>
      </c>
      <c r="B323" s="3" t="s">
        <v>5</v>
      </c>
      <c r="C323" s="3" t="s">
        <v>47</v>
      </c>
      <c r="D323" s="4">
        <v>1693455</v>
      </c>
    </row>
    <row r="324" spans="1:4" x14ac:dyDescent="0.25">
      <c r="A324" s="5" t="s">
        <v>35</v>
      </c>
      <c r="B324" s="6" t="s">
        <v>5</v>
      </c>
      <c r="C324" s="6" t="s">
        <v>48</v>
      </c>
      <c r="D324" s="7">
        <v>1690099.25</v>
      </c>
    </row>
    <row r="325" spans="1:4" x14ac:dyDescent="0.25">
      <c r="A325" s="2" t="s">
        <v>35</v>
      </c>
      <c r="B325" s="3" t="s">
        <v>5</v>
      </c>
      <c r="C325" s="3" t="s">
        <v>49</v>
      </c>
      <c r="D325" s="4">
        <v>1700132.125</v>
      </c>
    </row>
    <row r="326" spans="1:4" x14ac:dyDescent="0.25">
      <c r="A326" s="5" t="s">
        <v>35</v>
      </c>
      <c r="B326" s="6" t="s">
        <v>5</v>
      </c>
      <c r="C326" s="6" t="s">
        <v>50</v>
      </c>
      <c r="D326" s="7">
        <v>1665338.125</v>
      </c>
    </row>
    <row r="327" spans="1:4" x14ac:dyDescent="0.25">
      <c r="A327" s="2" t="s">
        <v>35</v>
      </c>
      <c r="B327" s="3" t="s">
        <v>5</v>
      </c>
      <c r="C327" s="3" t="s">
        <v>51</v>
      </c>
      <c r="D327" s="4">
        <v>1655630.25</v>
      </c>
    </row>
    <row r="328" spans="1:4" x14ac:dyDescent="0.25">
      <c r="A328" s="5" t="s">
        <v>35</v>
      </c>
      <c r="B328" s="6" t="s">
        <v>5</v>
      </c>
      <c r="C328" s="6" t="s">
        <v>52</v>
      </c>
      <c r="D328" s="7">
        <v>1704245</v>
      </c>
    </row>
    <row r="329" spans="1:4" x14ac:dyDescent="0.25">
      <c r="A329" s="2" t="s">
        <v>35</v>
      </c>
      <c r="B329" s="3" t="s">
        <v>5</v>
      </c>
      <c r="C329" s="3" t="s">
        <v>53</v>
      </c>
      <c r="D329" s="4">
        <v>1696539.375</v>
      </c>
    </row>
    <row r="330" spans="1:4" x14ac:dyDescent="0.25">
      <c r="A330" s="5" t="s">
        <v>35</v>
      </c>
      <c r="B330" s="6" t="s">
        <v>5</v>
      </c>
      <c r="C330" s="6" t="s">
        <v>54</v>
      </c>
      <c r="D330" s="7">
        <v>1697156.25</v>
      </c>
    </row>
    <row r="331" spans="1:4" x14ac:dyDescent="0.25">
      <c r="A331" s="5" t="s">
        <v>35</v>
      </c>
      <c r="B331" s="6" t="s">
        <v>5</v>
      </c>
      <c r="C331" s="6" t="s">
        <v>55</v>
      </c>
      <c r="D331" s="7">
        <v>2532517</v>
      </c>
    </row>
    <row r="332" spans="1:4" x14ac:dyDescent="0.25">
      <c r="A332" s="5" t="s">
        <v>35</v>
      </c>
      <c r="B332" s="6" t="s">
        <v>5</v>
      </c>
      <c r="C332" s="6" t="s">
        <v>56</v>
      </c>
      <c r="D332" s="7">
        <v>2483783</v>
      </c>
    </row>
    <row r="333" spans="1:4" x14ac:dyDescent="0.25">
      <c r="A333" s="5" t="s">
        <v>35</v>
      </c>
      <c r="B333" s="6" t="s">
        <v>5</v>
      </c>
      <c r="C333" s="6" t="s">
        <v>57</v>
      </c>
      <c r="D333" s="7">
        <v>2577183.5</v>
      </c>
    </row>
    <row r="334" spans="1:4" x14ac:dyDescent="0.25">
      <c r="A334" s="5" t="s">
        <v>35</v>
      </c>
      <c r="B334" s="6" t="s">
        <v>5</v>
      </c>
      <c r="C334" s="6" t="s">
        <v>58</v>
      </c>
      <c r="D334" s="7">
        <v>2614343.75</v>
      </c>
    </row>
    <row r="335" spans="1:4" x14ac:dyDescent="0.25">
      <c r="A335" s="5" t="s">
        <v>35</v>
      </c>
      <c r="B335" s="6" t="s">
        <v>5</v>
      </c>
      <c r="C335" s="6" t="s">
        <v>59</v>
      </c>
      <c r="D335" s="7">
        <v>2584380</v>
      </c>
    </row>
    <row r="336" spans="1:4" x14ac:dyDescent="0.25">
      <c r="A336" s="5" t="s">
        <v>35</v>
      </c>
      <c r="B336" s="6" t="s">
        <v>5</v>
      </c>
      <c r="C336" s="6" t="s">
        <v>60</v>
      </c>
      <c r="D336" s="7">
        <v>2597041.75</v>
      </c>
    </row>
    <row r="337" spans="1:4" x14ac:dyDescent="0.25">
      <c r="A337" s="5" t="s">
        <v>35</v>
      </c>
      <c r="B337" s="6" t="s">
        <v>5</v>
      </c>
      <c r="C337" s="6" t="s">
        <v>61</v>
      </c>
      <c r="D337" s="7">
        <v>2490742.5</v>
      </c>
    </row>
    <row r="338" spans="1:4" x14ac:dyDescent="0.25">
      <c r="A338" s="5" t="s">
        <v>35</v>
      </c>
      <c r="B338" s="6" t="s">
        <v>5</v>
      </c>
      <c r="C338" s="6" t="s">
        <v>62</v>
      </c>
      <c r="D338" s="7">
        <v>2417010</v>
      </c>
    </row>
    <row r="339" spans="1:4" x14ac:dyDescent="0.25">
      <c r="A339" s="5" t="s">
        <v>35</v>
      </c>
      <c r="B339" s="6" t="s">
        <v>5</v>
      </c>
      <c r="C339" s="6" t="s">
        <v>63</v>
      </c>
      <c r="D339" s="7">
        <v>2525230.5</v>
      </c>
    </row>
    <row r="340" spans="1:4" x14ac:dyDescent="0.25">
      <c r="A340" s="5" t="s">
        <v>35</v>
      </c>
      <c r="B340" s="6" t="s">
        <v>5</v>
      </c>
      <c r="C340" s="6" t="s">
        <v>64</v>
      </c>
      <c r="D340" s="7">
        <v>2602537.5</v>
      </c>
    </row>
    <row r="341" spans="1:4" x14ac:dyDescent="0.25">
      <c r="A341" s="5" t="s">
        <v>35</v>
      </c>
      <c r="B341" s="6" t="s">
        <v>5</v>
      </c>
      <c r="C341" s="6" t="s">
        <v>65</v>
      </c>
      <c r="D341" s="7">
        <v>2596569.5</v>
      </c>
    </row>
    <row r="342" spans="1:4" x14ac:dyDescent="0.25">
      <c r="A342" s="5" t="s">
        <v>35</v>
      </c>
      <c r="B342" s="6" t="s">
        <v>5</v>
      </c>
      <c r="C342" s="6" t="s">
        <v>66</v>
      </c>
      <c r="D342" s="7">
        <v>2621958.25</v>
      </c>
    </row>
    <row r="343" spans="1:4" x14ac:dyDescent="0.25">
      <c r="A343" s="2" t="s">
        <v>25</v>
      </c>
      <c r="B343" s="3" t="s">
        <v>5</v>
      </c>
      <c r="C343" s="3" t="s">
        <v>36</v>
      </c>
      <c r="D343" s="4">
        <v>6522815</v>
      </c>
    </row>
    <row r="344" spans="1:4" x14ac:dyDescent="0.25">
      <c r="A344" s="5" t="s">
        <v>25</v>
      </c>
      <c r="B344" s="6" t="s">
        <v>5</v>
      </c>
      <c r="C344" s="6" t="s">
        <v>37</v>
      </c>
      <c r="D344" s="7">
        <v>6618121</v>
      </c>
    </row>
    <row r="345" spans="1:4" x14ac:dyDescent="0.25">
      <c r="A345" s="2" t="s">
        <v>25</v>
      </c>
      <c r="B345" s="3" t="s">
        <v>5</v>
      </c>
      <c r="C345" s="3" t="s">
        <v>38</v>
      </c>
      <c r="D345" s="4">
        <v>6289294.5</v>
      </c>
    </row>
    <row r="346" spans="1:4" x14ac:dyDescent="0.25">
      <c r="A346" s="5" t="s">
        <v>25</v>
      </c>
      <c r="B346" s="6" t="s">
        <v>5</v>
      </c>
      <c r="C346" s="6" t="s">
        <v>39</v>
      </c>
      <c r="D346" s="7">
        <v>6197420</v>
      </c>
    </row>
    <row r="347" spans="1:4" x14ac:dyDescent="0.25">
      <c r="A347" s="2" t="s">
        <v>25</v>
      </c>
      <c r="B347" s="3" t="s">
        <v>5</v>
      </c>
      <c r="C347" s="3" t="s">
        <v>40</v>
      </c>
      <c r="D347" s="4">
        <v>6656912.5</v>
      </c>
    </row>
    <row r="348" spans="1:4" x14ac:dyDescent="0.25">
      <c r="A348" s="5" t="s">
        <v>25</v>
      </c>
      <c r="B348" s="6" t="s">
        <v>5</v>
      </c>
      <c r="C348" s="6" t="s">
        <v>41</v>
      </c>
      <c r="D348" s="7">
        <v>6585059</v>
      </c>
    </row>
    <row r="349" spans="1:4" x14ac:dyDescent="0.25">
      <c r="A349" s="2" t="s">
        <v>25</v>
      </c>
      <c r="B349" s="3" t="s">
        <v>5</v>
      </c>
      <c r="C349" s="3" t="s">
        <v>42</v>
      </c>
      <c r="D349" s="4">
        <v>6587004</v>
      </c>
    </row>
    <row r="350" spans="1:4" x14ac:dyDescent="0.25">
      <c r="A350" s="5" t="s">
        <v>25</v>
      </c>
      <c r="B350" s="6" t="s">
        <v>5</v>
      </c>
      <c r="C350" s="6" t="s">
        <v>43</v>
      </c>
      <c r="D350" s="7">
        <v>6877804</v>
      </c>
    </row>
    <row r="351" spans="1:4" x14ac:dyDescent="0.25">
      <c r="A351" s="2" t="s">
        <v>25</v>
      </c>
      <c r="B351" s="3" t="s">
        <v>5</v>
      </c>
      <c r="C351" s="3" t="s">
        <v>44</v>
      </c>
      <c r="D351" s="4">
        <v>6527394</v>
      </c>
    </row>
    <row r="352" spans="1:4" x14ac:dyDescent="0.25">
      <c r="A352" s="5" t="s">
        <v>25</v>
      </c>
      <c r="B352" s="6" t="s">
        <v>5</v>
      </c>
      <c r="C352" s="6" t="s">
        <v>45</v>
      </c>
      <c r="D352" s="7">
        <v>6404794</v>
      </c>
    </row>
    <row r="353" spans="1:4" x14ac:dyDescent="0.25">
      <c r="A353" s="2" t="s">
        <v>25</v>
      </c>
      <c r="B353" s="3" t="s">
        <v>5</v>
      </c>
      <c r="C353" s="3" t="s">
        <v>46</v>
      </c>
      <c r="D353" s="4">
        <v>6848635.5</v>
      </c>
    </row>
    <row r="354" spans="1:4" x14ac:dyDescent="0.25">
      <c r="A354" s="5" t="s">
        <v>25</v>
      </c>
      <c r="B354" s="6" t="s">
        <v>5</v>
      </c>
      <c r="C354" s="6" t="s">
        <v>47</v>
      </c>
      <c r="D354" s="7">
        <v>6733436.5</v>
      </c>
    </row>
    <row r="355" spans="1:4" x14ac:dyDescent="0.25">
      <c r="A355" s="2" t="s">
        <v>25</v>
      </c>
      <c r="B355" s="3" t="s">
        <v>5</v>
      </c>
      <c r="C355" s="3" t="s">
        <v>48</v>
      </c>
      <c r="D355" s="4">
        <v>6700648.5</v>
      </c>
    </row>
    <row r="356" spans="1:4" x14ac:dyDescent="0.25">
      <c r="A356" s="5" t="s">
        <v>25</v>
      </c>
      <c r="B356" s="6" t="s">
        <v>5</v>
      </c>
      <c r="C356" s="6" t="s">
        <v>49</v>
      </c>
      <c r="D356" s="7">
        <v>6798838</v>
      </c>
    </row>
    <row r="357" spans="1:4" x14ac:dyDescent="0.25">
      <c r="A357" s="2" t="s">
        <v>25</v>
      </c>
      <c r="B357" s="3" t="s">
        <v>5</v>
      </c>
      <c r="C357" s="3" t="s">
        <v>50</v>
      </c>
      <c r="D357" s="4">
        <v>6460177.5</v>
      </c>
    </row>
    <row r="358" spans="1:4" x14ac:dyDescent="0.25">
      <c r="A358" s="5" t="s">
        <v>25</v>
      </c>
      <c r="B358" s="6" t="s">
        <v>5</v>
      </c>
      <c r="C358" s="6" t="s">
        <v>51</v>
      </c>
      <c r="D358" s="7">
        <v>6365478</v>
      </c>
    </row>
    <row r="359" spans="1:4" x14ac:dyDescent="0.25">
      <c r="A359" s="2" t="s">
        <v>25</v>
      </c>
      <c r="B359" s="3" t="s">
        <v>5</v>
      </c>
      <c r="C359" s="3" t="s">
        <v>52</v>
      </c>
      <c r="D359" s="4">
        <v>6838559</v>
      </c>
    </row>
    <row r="360" spans="1:4" x14ac:dyDescent="0.25">
      <c r="A360" s="5" t="s">
        <v>25</v>
      </c>
      <c r="B360" s="6" t="s">
        <v>5</v>
      </c>
      <c r="C360" s="6" t="s">
        <v>53</v>
      </c>
      <c r="D360" s="7">
        <v>6764428</v>
      </c>
    </row>
    <row r="361" spans="1:4" x14ac:dyDescent="0.25">
      <c r="A361" s="2" t="s">
        <v>25</v>
      </c>
      <c r="B361" s="3" t="s">
        <v>5</v>
      </c>
      <c r="C361" s="3" t="s">
        <v>54</v>
      </c>
      <c r="D361" s="4">
        <v>6766309</v>
      </c>
    </row>
    <row r="362" spans="1:4" x14ac:dyDescent="0.25">
      <c r="A362" s="5" t="s">
        <v>25</v>
      </c>
      <c r="B362" s="6" t="s">
        <v>5</v>
      </c>
      <c r="C362" s="6" t="s">
        <v>55</v>
      </c>
      <c r="D362" s="7">
        <v>11072629</v>
      </c>
    </row>
    <row r="363" spans="1:4" x14ac:dyDescent="0.25">
      <c r="A363" s="5" t="s">
        <v>25</v>
      </c>
      <c r="B363" s="6" t="s">
        <v>5</v>
      </c>
      <c r="C363" s="6" t="s">
        <v>56</v>
      </c>
      <c r="D363" s="7">
        <v>10844920</v>
      </c>
    </row>
    <row r="364" spans="1:4" x14ac:dyDescent="0.25">
      <c r="A364" s="5" t="s">
        <v>25</v>
      </c>
      <c r="B364" s="6" t="s">
        <v>5</v>
      </c>
      <c r="C364" s="6" t="s">
        <v>57</v>
      </c>
      <c r="D364" s="7">
        <v>11263156</v>
      </c>
    </row>
    <row r="365" spans="1:4" x14ac:dyDescent="0.25">
      <c r="A365" s="5" t="s">
        <v>25</v>
      </c>
      <c r="B365" s="6" t="s">
        <v>5</v>
      </c>
      <c r="C365" s="6" t="s">
        <v>58</v>
      </c>
      <c r="D365" s="7">
        <v>11450052</v>
      </c>
    </row>
    <row r="366" spans="1:4" x14ac:dyDescent="0.25">
      <c r="A366" s="5" t="s">
        <v>25</v>
      </c>
      <c r="B366" s="6" t="s">
        <v>5</v>
      </c>
      <c r="C366" s="6" t="s">
        <v>59</v>
      </c>
      <c r="D366" s="7">
        <v>11333578</v>
      </c>
    </row>
    <row r="367" spans="1:4" x14ac:dyDescent="0.25">
      <c r="A367" s="5" t="s">
        <v>25</v>
      </c>
      <c r="B367" s="6" t="s">
        <v>5</v>
      </c>
      <c r="C367" s="6" t="s">
        <v>60</v>
      </c>
      <c r="D367" s="7">
        <v>11397243</v>
      </c>
    </row>
    <row r="368" spans="1:4" x14ac:dyDescent="0.25">
      <c r="A368" s="5" t="s">
        <v>25</v>
      </c>
      <c r="B368" s="6" t="s">
        <v>5</v>
      </c>
      <c r="C368" s="6" t="s">
        <v>61</v>
      </c>
      <c r="D368" s="7">
        <v>10942348</v>
      </c>
    </row>
    <row r="369" spans="1:4" x14ac:dyDescent="0.25">
      <c r="A369" s="5" t="s">
        <v>25</v>
      </c>
      <c r="B369" s="6" t="s">
        <v>5</v>
      </c>
      <c r="C369" s="6" t="s">
        <v>62</v>
      </c>
      <c r="D369" s="7">
        <v>10632858</v>
      </c>
    </row>
    <row r="370" spans="1:4" x14ac:dyDescent="0.25">
      <c r="A370" s="5" t="s">
        <v>25</v>
      </c>
      <c r="B370" s="6" t="s">
        <v>5</v>
      </c>
      <c r="C370" s="6" t="s">
        <v>63</v>
      </c>
      <c r="D370" s="7">
        <v>11096659</v>
      </c>
    </row>
    <row r="371" spans="1:4" x14ac:dyDescent="0.25">
      <c r="A371" s="5" t="s">
        <v>25</v>
      </c>
      <c r="B371" s="6" t="s">
        <v>5</v>
      </c>
      <c r="C371" s="6" t="s">
        <v>64</v>
      </c>
      <c r="D371" s="7">
        <v>11412260</v>
      </c>
    </row>
    <row r="372" spans="1:4" x14ac:dyDescent="0.25">
      <c r="A372" s="5" t="s">
        <v>25</v>
      </c>
      <c r="B372" s="6" t="s">
        <v>5</v>
      </c>
      <c r="C372" s="6" t="s">
        <v>65</v>
      </c>
      <c r="D372" s="7">
        <v>11371746</v>
      </c>
    </row>
    <row r="373" spans="1:4" x14ac:dyDescent="0.25">
      <c r="A373" s="5" t="s">
        <v>25</v>
      </c>
      <c r="B373" s="6" t="s">
        <v>5</v>
      </c>
      <c r="C373" s="6" t="s">
        <v>66</v>
      </c>
      <c r="D373" s="7">
        <v>11475989</v>
      </c>
    </row>
    <row r="374" spans="1:4" x14ac:dyDescent="0.25">
      <c r="A374" s="5" t="s">
        <v>26</v>
      </c>
      <c r="B374" s="6" t="s">
        <v>5</v>
      </c>
      <c r="C374" s="6" t="s">
        <v>36</v>
      </c>
      <c r="D374" s="7">
        <v>923987.625</v>
      </c>
    </row>
    <row r="375" spans="1:4" x14ac:dyDescent="0.25">
      <c r="A375" s="2" t="s">
        <v>26</v>
      </c>
      <c r="B375" s="3" t="s">
        <v>5</v>
      </c>
      <c r="C375" s="3" t="s">
        <v>37</v>
      </c>
      <c r="D375" s="4">
        <v>934336.0625</v>
      </c>
    </row>
    <row r="376" spans="1:4" x14ac:dyDescent="0.25">
      <c r="A376" s="5" t="s">
        <v>26</v>
      </c>
      <c r="B376" s="6" t="s">
        <v>5</v>
      </c>
      <c r="C376" s="6" t="s">
        <v>38</v>
      </c>
      <c r="D376" s="7">
        <v>899545.8125</v>
      </c>
    </row>
    <row r="377" spans="1:4" x14ac:dyDescent="0.25">
      <c r="A377" s="2" t="s">
        <v>26</v>
      </c>
      <c r="B377" s="3" t="s">
        <v>5</v>
      </c>
      <c r="C377" s="3" t="s">
        <v>39</v>
      </c>
      <c r="D377" s="4">
        <v>889088.5625</v>
      </c>
    </row>
    <row r="378" spans="1:4" x14ac:dyDescent="0.25">
      <c r="A378" s="5" t="s">
        <v>26</v>
      </c>
      <c r="B378" s="6" t="s">
        <v>5</v>
      </c>
      <c r="C378" s="6" t="s">
        <v>40</v>
      </c>
      <c r="D378" s="7">
        <v>936362.8125</v>
      </c>
    </row>
    <row r="379" spans="1:4" x14ac:dyDescent="0.25">
      <c r="A379" s="2" t="s">
        <v>26</v>
      </c>
      <c r="B379" s="3" t="s">
        <v>5</v>
      </c>
      <c r="C379" s="3" t="s">
        <v>41</v>
      </c>
      <c r="D379" s="4">
        <v>927560.3125</v>
      </c>
    </row>
    <row r="380" spans="1:4" x14ac:dyDescent="0.25">
      <c r="A380" s="5" t="s">
        <v>26</v>
      </c>
      <c r="B380" s="6" t="s">
        <v>5</v>
      </c>
      <c r="C380" s="6" t="s">
        <v>42</v>
      </c>
      <c r="D380" s="7">
        <v>926823.9375</v>
      </c>
    </row>
    <row r="381" spans="1:4" x14ac:dyDescent="0.25">
      <c r="A381" s="2" t="s">
        <v>26</v>
      </c>
      <c r="B381" s="3" t="s">
        <v>5</v>
      </c>
      <c r="C381" s="3" t="s">
        <v>43</v>
      </c>
      <c r="D381" s="4">
        <v>960100.1875</v>
      </c>
    </row>
    <row r="382" spans="1:4" x14ac:dyDescent="0.25">
      <c r="A382" s="5" t="s">
        <v>26</v>
      </c>
      <c r="B382" s="6" t="s">
        <v>5</v>
      </c>
      <c r="C382" s="6" t="s">
        <v>44</v>
      </c>
      <c r="D382" s="7">
        <v>923686.1875</v>
      </c>
    </row>
    <row r="383" spans="1:4" x14ac:dyDescent="0.25">
      <c r="A383" s="2" t="s">
        <v>26</v>
      </c>
      <c r="B383" s="3" t="s">
        <v>5</v>
      </c>
      <c r="C383" s="3" t="s">
        <v>45</v>
      </c>
      <c r="D383" s="4">
        <v>911705.25</v>
      </c>
    </row>
    <row r="384" spans="1:4" x14ac:dyDescent="0.25">
      <c r="A384" s="5" t="s">
        <v>26</v>
      </c>
      <c r="B384" s="6" t="s">
        <v>5</v>
      </c>
      <c r="C384" s="6" t="s">
        <v>46</v>
      </c>
      <c r="D384" s="7">
        <v>959238.0625</v>
      </c>
    </row>
    <row r="385" spans="1:4" x14ac:dyDescent="0.25">
      <c r="A385" s="2" t="s">
        <v>26</v>
      </c>
      <c r="B385" s="3" t="s">
        <v>5</v>
      </c>
      <c r="C385" s="3" t="s">
        <v>47</v>
      </c>
      <c r="D385" s="4">
        <v>948458.625</v>
      </c>
    </row>
    <row r="386" spans="1:4" x14ac:dyDescent="0.25">
      <c r="A386" s="5" t="s">
        <v>26</v>
      </c>
      <c r="B386" s="6" t="s">
        <v>5</v>
      </c>
      <c r="C386" s="6" t="s">
        <v>48</v>
      </c>
      <c r="D386" s="7">
        <v>946069.25</v>
      </c>
    </row>
    <row r="387" spans="1:4" x14ac:dyDescent="0.25">
      <c r="A387" s="2" t="s">
        <v>26</v>
      </c>
      <c r="B387" s="3" t="s">
        <v>5</v>
      </c>
      <c r="C387" s="3" t="s">
        <v>49</v>
      </c>
      <c r="D387" s="4">
        <v>956756.1875</v>
      </c>
    </row>
    <row r="388" spans="1:4" x14ac:dyDescent="0.25">
      <c r="A388" s="5" t="s">
        <v>26</v>
      </c>
      <c r="B388" s="6" t="s">
        <v>5</v>
      </c>
      <c r="C388" s="6" t="s">
        <v>50</v>
      </c>
      <c r="D388" s="7">
        <v>920834.5</v>
      </c>
    </row>
    <row r="389" spans="1:4" x14ac:dyDescent="0.25">
      <c r="A389" s="2" t="s">
        <v>26</v>
      </c>
      <c r="B389" s="3" t="s">
        <v>5</v>
      </c>
      <c r="C389" s="3" t="s">
        <v>51</v>
      </c>
      <c r="D389" s="4">
        <v>910034.75</v>
      </c>
    </row>
    <row r="390" spans="1:4" x14ac:dyDescent="0.25">
      <c r="A390" s="5" t="s">
        <v>26</v>
      </c>
      <c r="B390" s="6" t="s">
        <v>5</v>
      </c>
      <c r="C390" s="6" t="s">
        <v>52</v>
      </c>
      <c r="D390" s="7">
        <v>958841.0625</v>
      </c>
    </row>
    <row r="391" spans="1:4" x14ac:dyDescent="0.25">
      <c r="A391" s="2" t="s">
        <v>26</v>
      </c>
      <c r="B391" s="3" t="s">
        <v>5</v>
      </c>
      <c r="C391" s="3" t="s">
        <v>53</v>
      </c>
      <c r="D391" s="4">
        <v>949747.8125</v>
      </c>
    </row>
    <row r="392" spans="1:4" x14ac:dyDescent="0.25">
      <c r="A392" s="5" t="s">
        <v>26</v>
      </c>
      <c r="B392" s="6" t="s">
        <v>5</v>
      </c>
      <c r="C392" s="6" t="s">
        <v>54</v>
      </c>
      <c r="D392" s="7">
        <v>948979.5625</v>
      </c>
    </row>
    <row r="393" spans="1:4" x14ac:dyDescent="0.25">
      <c r="A393" s="2" t="s">
        <v>26</v>
      </c>
      <c r="B393" s="3" t="s">
        <v>5</v>
      </c>
      <c r="C393" s="3" t="s">
        <v>55</v>
      </c>
      <c r="D393" s="4">
        <v>5750345</v>
      </c>
    </row>
    <row r="394" spans="1:4" x14ac:dyDescent="0.25">
      <c r="A394" s="2" t="s">
        <v>26</v>
      </c>
      <c r="B394" s="3" t="s">
        <v>5</v>
      </c>
      <c r="C394" s="3" t="s">
        <v>56</v>
      </c>
      <c r="D394" s="4">
        <v>5632246</v>
      </c>
    </row>
    <row r="395" spans="1:4" x14ac:dyDescent="0.25">
      <c r="A395" s="2" t="s">
        <v>26</v>
      </c>
      <c r="B395" s="3" t="s">
        <v>5</v>
      </c>
      <c r="C395" s="3" t="s">
        <v>57</v>
      </c>
      <c r="D395" s="4">
        <v>5849334</v>
      </c>
    </row>
    <row r="396" spans="1:4" x14ac:dyDescent="0.25">
      <c r="A396" s="2" t="s">
        <v>26</v>
      </c>
      <c r="B396" s="3" t="s">
        <v>5</v>
      </c>
      <c r="C396" s="3" t="s">
        <v>58</v>
      </c>
      <c r="D396" s="4">
        <v>5945980.5</v>
      </c>
    </row>
    <row r="397" spans="1:4" x14ac:dyDescent="0.25">
      <c r="A397" s="2" t="s">
        <v>26</v>
      </c>
      <c r="B397" s="3" t="s">
        <v>5</v>
      </c>
      <c r="C397" s="3" t="s">
        <v>59</v>
      </c>
      <c r="D397" s="4">
        <v>5885375</v>
      </c>
    </row>
    <row r="398" spans="1:4" x14ac:dyDescent="0.25">
      <c r="A398" s="2" t="s">
        <v>26</v>
      </c>
      <c r="B398" s="3" t="s">
        <v>5</v>
      </c>
      <c r="C398" s="3" t="s">
        <v>60</v>
      </c>
      <c r="D398" s="4">
        <v>5918283</v>
      </c>
    </row>
    <row r="399" spans="1:4" x14ac:dyDescent="0.25">
      <c r="A399" s="2" t="s">
        <v>26</v>
      </c>
      <c r="B399" s="3" t="s">
        <v>5</v>
      </c>
      <c r="C399" s="3" t="s">
        <v>61</v>
      </c>
      <c r="D399" s="4">
        <v>5681959.5</v>
      </c>
    </row>
    <row r="400" spans="1:4" x14ac:dyDescent="0.25">
      <c r="A400" s="2" t="s">
        <v>26</v>
      </c>
      <c r="B400" s="3" t="s">
        <v>5</v>
      </c>
      <c r="C400" s="3" t="s">
        <v>62</v>
      </c>
      <c r="D400" s="4">
        <v>5520942</v>
      </c>
    </row>
    <row r="401" spans="1:4" x14ac:dyDescent="0.25">
      <c r="A401" s="2" t="s">
        <v>26</v>
      </c>
      <c r="B401" s="3" t="s">
        <v>5</v>
      </c>
      <c r="C401" s="3" t="s">
        <v>63</v>
      </c>
      <c r="D401" s="4">
        <v>5761996</v>
      </c>
    </row>
    <row r="402" spans="1:4" x14ac:dyDescent="0.25">
      <c r="A402" s="2" t="s">
        <v>26</v>
      </c>
      <c r="B402" s="3" t="s">
        <v>5</v>
      </c>
      <c r="C402" s="3" t="s">
        <v>64</v>
      </c>
      <c r="D402" s="4">
        <v>5926178.5</v>
      </c>
    </row>
    <row r="403" spans="1:4" x14ac:dyDescent="0.25">
      <c r="A403" s="2" t="s">
        <v>26</v>
      </c>
      <c r="B403" s="3" t="s">
        <v>5</v>
      </c>
      <c r="C403" s="3" t="s">
        <v>65</v>
      </c>
      <c r="D403" s="4">
        <v>5905349</v>
      </c>
    </row>
    <row r="404" spans="1:4" x14ac:dyDescent="0.25">
      <c r="A404" s="2" t="s">
        <v>26</v>
      </c>
      <c r="B404" s="3" t="s">
        <v>5</v>
      </c>
      <c r="C404" s="3" t="s">
        <v>66</v>
      </c>
      <c r="D404" s="4">
        <v>5959614</v>
      </c>
    </row>
    <row r="405" spans="1:4" x14ac:dyDescent="0.25">
      <c r="A405" s="2" t="s">
        <v>9</v>
      </c>
      <c r="B405" s="3" t="s">
        <v>5</v>
      </c>
      <c r="C405" s="3" t="s">
        <v>36</v>
      </c>
      <c r="D405" s="4">
        <v>772328.75</v>
      </c>
    </row>
    <row r="406" spans="1:4" x14ac:dyDescent="0.25">
      <c r="A406" s="5" t="s">
        <v>9</v>
      </c>
      <c r="B406" s="6" t="s">
        <v>5</v>
      </c>
      <c r="C406" s="6" t="s">
        <v>37</v>
      </c>
      <c r="D406" s="7">
        <v>778119.6875</v>
      </c>
    </row>
    <row r="407" spans="1:4" x14ac:dyDescent="0.25">
      <c r="A407" s="2" t="s">
        <v>9</v>
      </c>
      <c r="B407" s="3" t="s">
        <v>5</v>
      </c>
      <c r="C407" s="3" t="s">
        <v>38</v>
      </c>
      <c r="D407" s="4">
        <v>758786.8125</v>
      </c>
    </row>
    <row r="408" spans="1:4" x14ac:dyDescent="0.25">
      <c r="A408" s="5" t="s">
        <v>9</v>
      </c>
      <c r="B408" s="6" t="s">
        <v>5</v>
      </c>
      <c r="C408" s="6" t="s">
        <v>39</v>
      </c>
      <c r="D408" s="7">
        <v>752873.3125</v>
      </c>
    </row>
    <row r="409" spans="1:4" x14ac:dyDescent="0.25">
      <c r="A409" s="2" t="s">
        <v>9</v>
      </c>
      <c r="B409" s="3" t="s">
        <v>5</v>
      </c>
      <c r="C409" s="3" t="s">
        <v>40</v>
      </c>
      <c r="D409" s="4">
        <v>778940.9375</v>
      </c>
    </row>
    <row r="410" spans="1:4" x14ac:dyDescent="0.25">
      <c r="A410" s="5" t="s">
        <v>9</v>
      </c>
      <c r="B410" s="6" t="s">
        <v>5</v>
      </c>
      <c r="C410" s="6" t="s">
        <v>41</v>
      </c>
      <c r="D410" s="7">
        <v>773863.6875</v>
      </c>
    </row>
    <row r="411" spans="1:4" x14ac:dyDescent="0.25">
      <c r="A411" s="2" t="s">
        <v>9</v>
      </c>
      <c r="B411" s="3" t="s">
        <v>5</v>
      </c>
      <c r="C411" s="3" t="s">
        <v>42</v>
      </c>
      <c r="D411" s="4">
        <v>773414</v>
      </c>
    </row>
    <row r="412" spans="1:4" x14ac:dyDescent="0.25">
      <c r="A412" s="5" t="s">
        <v>9</v>
      </c>
      <c r="B412" s="6" t="s">
        <v>5</v>
      </c>
      <c r="C412" s="6" t="s">
        <v>43</v>
      </c>
      <c r="D412" s="7">
        <v>796792.625</v>
      </c>
    </row>
    <row r="413" spans="1:4" x14ac:dyDescent="0.25">
      <c r="A413" s="2" t="s">
        <v>9</v>
      </c>
      <c r="B413" s="3" t="s">
        <v>5</v>
      </c>
      <c r="C413" s="3" t="s">
        <v>44</v>
      </c>
      <c r="D413" s="4">
        <v>776303.875</v>
      </c>
    </row>
    <row r="414" spans="1:4" x14ac:dyDescent="0.25">
      <c r="A414" s="5" t="s">
        <v>9</v>
      </c>
      <c r="B414" s="6" t="s">
        <v>5</v>
      </c>
      <c r="C414" s="6" t="s">
        <v>45</v>
      </c>
      <c r="D414" s="7">
        <v>769682.3125</v>
      </c>
    </row>
    <row r="415" spans="1:4" x14ac:dyDescent="0.25">
      <c r="A415" s="2" t="s">
        <v>9</v>
      </c>
      <c r="B415" s="3" t="s">
        <v>5</v>
      </c>
      <c r="C415" s="3" t="s">
        <v>46</v>
      </c>
      <c r="D415" s="4">
        <v>796643</v>
      </c>
    </row>
    <row r="416" spans="1:4" x14ac:dyDescent="0.25">
      <c r="A416" s="5" t="s">
        <v>9</v>
      </c>
      <c r="B416" s="6" t="s">
        <v>5</v>
      </c>
      <c r="C416" s="6" t="s">
        <v>47</v>
      </c>
      <c r="D416" s="7">
        <v>790774.625</v>
      </c>
    </row>
    <row r="417" spans="1:4" x14ac:dyDescent="0.25">
      <c r="A417" s="2" t="s">
        <v>9</v>
      </c>
      <c r="B417" s="3" t="s">
        <v>5</v>
      </c>
      <c r="C417" s="3" t="s">
        <v>48</v>
      </c>
      <c r="D417" s="4">
        <v>789587</v>
      </c>
    </row>
    <row r="418" spans="1:4" x14ac:dyDescent="0.25">
      <c r="A418" s="5" t="s">
        <v>9</v>
      </c>
      <c r="B418" s="6" t="s">
        <v>5</v>
      </c>
      <c r="C418" s="6" t="s">
        <v>49</v>
      </c>
      <c r="D418" s="7">
        <v>795677.0625</v>
      </c>
    </row>
    <row r="419" spans="1:4" x14ac:dyDescent="0.25">
      <c r="A419" s="2" t="s">
        <v>9</v>
      </c>
      <c r="B419" s="3" t="s">
        <v>5</v>
      </c>
      <c r="C419" s="3" t="s">
        <v>50</v>
      </c>
      <c r="D419" s="4">
        <v>775351.3125</v>
      </c>
    </row>
    <row r="420" spans="1:4" x14ac:dyDescent="0.25">
      <c r="A420" s="5" t="s">
        <v>9</v>
      </c>
      <c r="B420" s="6" t="s">
        <v>5</v>
      </c>
      <c r="C420" s="6" t="s">
        <v>51</v>
      </c>
      <c r="D420" s="7">
        <v>769131.9375</v>
      </c>
    </row>
    <row r="421" spans="1:4" x14ac:dyDescent="0.25">
      <c r="A421" s="2" t="s">
        <v>9</v>
      </c>
      <c r="B421" s="3" t="s">
        <v>5</v>
      </c>
      <c r="C421" s="3" t="s">
        <v>52</v>
      </c>
      <c r="D421" s="4">
        <v>796534.3125</v>
      </c>
    </row>
    <row r="422" spans="1:4" x14ac:dyDescent="0.25">
      <c r="A422" s="5" t="s">
        <v>9</v>
      </c>
      <c r="B422" s="6" t="s">
        <v>5</v>
      </c>
      <c r="C422" s="6" t="s">
        <v>53</v>
      </c>
      <c r="D422" s="7">
        <v>791193.0625</v>
      </c>
    </row>
    <row r="423" spans="1:4" x14ac:dyDescent="0.25">
      <c r="A423" s="2" t="s">
        <v>9</v>
      </c>
      <c r="B423" s="3" t="s">
        <v>5</v>
      </c>
      <c r="C423" s="3" t="s">
        <v>54</v>
      </c>
      <c r="D423" s="4">
        <v>790706.5625</v>
      </c>
    </row>
    <row r="424" spans="1:4" x14ac:dyDescent="0.25">
      <c r="A424" s="5" t="s">
        <v>9</v>
      </c>
      <c r="B424" s="6" t="s">
        <v>5</v>
      </c>
      <c r="C424" s="6" t="s">
        <v>55</v>
      </c>
      <c r="D424" s="7">
        <v>3155240.75</v>
      </c>
    </row>
    <row r="425" spans="1:4" x14ac:dyDescent="0.25">
      <c r="A425" s="5" t="s">
        <v>9</v>
      </c>
      <c r="B425" s="6" t="s">
        <v>5</v>
      </c>
      <c r="C425" s="6" t="s">
        <v>56</v>
      </c>
      <c r="D425" s="7">
        <v>3091147.75</v>
      </c>
    </row>
    <row r="426" spans="1:4" x14ac:dyDescent="0.25">
      <c r="A426" s="5" t="s">
        <v>9</v>
      </c>
      <c r="B426" s="6" t="s">
        <v>5</v>
      </c>
      <c r="C426" s="6" t="s">
        <v>57</v>
      </c>
      <c r="D426" s="7">
        <v>3209698</v>
      </c>
    </row>
    <row r="427" spans="1:4" x14ac:dyDescent="0.25">
      <c r="A427" s="5" t="s">
        <v>9</v>
      </c>
      <c r="B427" s="6" t="s">
        <v>5</v>
      </c>
      <c r="C427" s="6" t="s">
        <v>58</v>
      </c>
      <c r="D427" s="7">
        <v>3261313.5</v>
      </c>
    </row>
    <row r="428" spans="1:4" x14ac:dyDescent="0.25">
      <c r="A428" s="5" t="s">
        <v>9</v>
      </c>
      <c r="B428" s="6" t="s">
        <v>5</v>
      </c>
      <c r="C428" s="6" t="s">
        <v>59</v>
      </c>
      <c r="D428" s="7">
        <v>3227109.75</v>
      </c>
    </row>
    <row r="429" spans="1:4" x14ac:dyDescent="0.25">
      <c r="A429" s="5" t="s">
        <v>9</v>
      </c>
      <c r="B429" s="6" t="s">
        <v>5</v>
      </c>
      <c r="C429" s="6" t="s">
        <v>60</v>
      </c>
      <c r="D429" s="7">
        <v>3244672.5</v>
      </c>
    </row>
    <row r="430" spans="1:4" x14ac:dyDescent="0.25">
      <c r="A430" s="5" t="s">
        <v>9</v>
      </c>
      <c r="B430" s="6" t="s">
        <v>5</v>
      </c>
      <c r="C430" s="6" t="s">
        <v>61</v>
      </c>
      <c r="D430" s="7">
        <v>3114355</v>
      </c>
    </row>
    <row r="431" spans="1:4" x14ac:dyDescent="0.25">
      <c r="A431" s="5" t="s">
        <v>9</v>
      </c>
      <c r="B431" s="6" t="s">
        <v>5</v>
      </c>
      <c r="C431" s="6" t="s">
        <v>62</v>
      </c>
      <c r="D431" s="7">
        <v>3025433.5</v>
      </c>
    </row>
    <row r="432" spans="1:4" x14ac:dyDescent="0.25">
      <c r="A432" s="5" t="s">
        <v>9</v>
      </c>
      <c r="B432" s="6" t="s">
        <v>5</v>
      </c>
      <c r="C432" s="6" t="s">
        <v>63</v>
      </c>
      <c r="D432" s="7">
        <v>3158362.25</v>
      </c>
    </row>
    <row r="433" spans="1:4" x14ac:dyDescent="0.25">
      <c r="A433" s="5" t="s">
        <v>9</v>
      </c>
      <c r="B433" s="6" t="s">
        <v>5</v>
      </c>
      <c r="C433" s="6" t="s">
        <v>64</v>
      </c>
      <c r="D433" s="7">
        <v>3249689.5</v>
      </c>
    </row>
    <row r="434" spans="1:4" x14ac:dyDescent="0.25">
      <c r="A434" s="5" t="s">
        <v>9</v>
      </c>
      <c r="B434" s="6" t="s">
        <v>5</v>
      </c>
      <c r="C434" s="6" t="s">
        <v>65</v>
      </c>
      <c r="D434" s="7">
        <v>3239108.25</v>
      </c>
    </row>
    <row r="435" spans="1:4" x14ac:dyDescent="0.25">
      <c r="A435" s="5" t="s">
        <v>9</v>
      </c>
      <c r="B435" s="6" t="s">
        <v>5</v>
      </c>
      <c r="C435" s="6" t="s">
        <v>66</v>
      </c>
      <c r="D435" s="7">
        <v>3269143.5</v>
      </c>
    </row>
    <row r="436" spans="1:4" x14ac:dyDescent="0.25">
      <c r="A436" s="5" t="s">
        <v>19</v>
      </c>
      <c r="B436" s="6" t="s">
        <v>5</v>
      </c>
      <c r="C436" s="6" t="s">
        <v>36</v>
      </c>
      <c r="D436" s="7">
        <v>3694417.25</v>
      </c>
    </row>
    <row r="437" spans="1:4" x14ac:dyDescent="0.25">
      <c r="A437" s="2" t="s">
        <v>19</v>
      </c>
      <c r="B437" s="3" t="s">
        <v>5</v>
      </c>
      <c r="C437" s="3" t="s">
        <v>37</v>
      </c>
      <c r="D437" s="4">
        <v>3729375.25</v>
      </c>
    </row>
    <row r="438" spans="1:4" x14ac:dyDescent="0.25">
      <c r="A438" s="5" t="s">
        <v>19</v>
      </c>
      <c r="B438" s="6" t="s">
        <v>5</v>
      </c>
      <c r="C438" s="6" t="s">
        <v>38</v>
      </c>
      <c r="D438" s="7">
        <v>3611347</v>
      </c>
    </row>
    <row r="439" spans="1:4" x14ac:dyDescent="0.25">
      <c r="A439" s="2" t="s">
        <v>19</v>
      </c>
      <c r="B439" s="3" t="s">
        <v>5</v>
      </c>
      <c r="C439" s="3" t="s">
        <v>39</v>
      </c>
      <c r="D439" s="4">
        <v>3576358.25</v>
      </c>
    </row>
    <row r="440" spans="1:4" x14ac:dyDescent="0.25">
      <c r="A440" s="5" t="s">
        <v>19</v>
      </c>
      <c r="B440" s="6" t="s">
        <v>5</v>
      </c>
      <c r="C440" s="6" t="s">
        <v>40</v>
      </c>
      <c r="D440" s="7">
        <v>3737509</v>
      </c>
    </row>
    <row r="441" spans="1:4" x14ac:dyDescent="0.25">
      <c r="A441" s="2" t="s">
        <v>19</v>
      </c>
      <c r="B441" s="3" t="s">
        <v>5</v>
      </c>
      <c r="C441" s="3" t="s">
        <v>41</v>
      </c>
      <c r="D441" s="4">
        <v>3708304.25</v>
      </c>
    </row>
    <row r="442" spans="1:4" x14ac:dyDescent="0.25">
      <c r="A442" s="5" t="s">
        <v>19</v>
      </c>
      <c r="B442" s="6" t="s">
        <v>5</v>
      </c>
      <c r="C442" s="6" t="s">
        <v>42</v>
      </c>
      <c r="D442" s="7">
        <v>3706641.25</v>
      </c>
    </row>
    <row r="443" spans="1:4" x14ac:dyDescent="0.25">
      <c r="A443" s="2" t="s">
        <v>19</v>
      </c>
      <c r="B443" s="3" t="s">
        <v>5</v>
      </c>
      <c r="C443" s="3" t="s">
        <v>43</v>
      </c>
      <c r="D443" s="4">
        <v>3887353.5</v>
      </c>
    </row>
    <row r="444" spans="1:4" x14ac:dyDescent="0.25">
      <c r="A444" s="5" t="s">
        <v>19</v>
      </c>
      <c r="B444" s="6" t="s">
        <v>5</v>
      </c>
      <c r="C444" s="6" t="s">
        <v>44</v>
      </c>
      <c r="D444" s="7">
        <v>3760877.5</v>
      </c>
    </row>
    <row r="445" spans="1:4" x14ac:dyDescent="0.25">
      <c r="A445" s="2" t="s">
        <v>19</v>
      </c>
      <c r="B445" s="3" t="s">
        <v>5</v>
      </c>
      <c r="C445" s="3" t="s">
        <v>45</v>
      </c>
      <c r="D445" s="4">
        <v>3718840.75</v>
      </c>
    </row>
    <row r="446" spans="1:4" x14ac:dyDescent="0.25">
      <c r="A446" s="5" t="s">
        <v>19</v>
      </c>
      <c r="B446" s="6" t="s">
        <v>5</v>
      </c>
      <c r="C446" s="6" t="s">
        <v>46</v>
      </c>
      <c r="D446" s="7">
        <v>3883103</v>
      </c>
    </row>
    <row r="447" spans="1:4" x14ac:dyDescent="0.25">
      <c r="A447" s="2" t="s">
        <v>19</v>
      </c>
      <c r="B447" s="3" t="s">
        <v>5</v>
      </c>
      <c r="C447" s="3" t="s">
        <v>47</v>
      </c>
      <c r="D447" s="4">
        <v>3845063.5</v>
      </c>
    </row>
    <row r="448" spans="1:4" x14ac:dyDescent="0.25">
      <c r="A448" s="5" t="s">
        <v>19</v>
      </c>
      <c r="B448" s="6" t="s">
        <v>5</v>
      </c>
      <c r="C448" s="6" t="s">
        <v>48</v>
      </c>
      <c r="D448" s="7">
        <v>3836170.25</v>
      </c>
    </row>
    <row r="449" spans="1:4" x14ac:dyDescent="0.25">
      <c r="A449" s="2" t="s">
        <v>19</v>
      </c>
      <c r="B449" s="3" t="s">
        <v>5</v>
      </c>
      <c r="C449" s="3" t="s">
        <v>49</v>
      </c>
      <c r="D449" s="4">
        <v>3873025.5</v>
      </c>
    </row>
    <row r="450" spans="1:4" x14ac:dyDescent="0.25">
      <c r="A450" s="5" t="s">
        <v>19</v>
      </c>
      <c r="B450" s="6" t="s">
        <v>5</v>
      </c>
      <c r="C450" s="6" t="s">
        <v>50</v>
      </c>
      <c r="D450" s="7">
        <v>3748671.5</v>
      </c>
    </row>
    <row r="451" spans="1:4" x14ac:dyDescent="0.25">
      <c r="A451" s="2" t="s">
        <v>19</v>
      </c>
      <c r="B451" s="3" t="s">
        <v>5</v>
      </c>
      <c r="C451" s="3" t="s">
        <v>51</v>
      </c>
      <c r="D451" s="4">
        <v>3711756</v>
      </c>
    </row>
    <row r="452" spans="1:4" x14ac:dyDescent="0.25">
      <c r="A452" s="5" t="s">
        <v>19</v>
      </c>
      <c r="B452" s="6" t="s">
        <v>5</v>
      </c>
      <c r="C452" s="6" t="s">
        <v>52</v>
      </c>
      <c r="D452" s="7">
        <v>3881450.25</v>
      </c>
    </row>
    <row r="453" spans="1:4" x14ac:dyDescent="0.25">
      <c r="A453" s="2" t="s">
        <v>19</v>
      </c>
      <c r="B453" s="3" t="s">
        <v>5</v>
      </c>
      <c r="C453" s="3" t="s">
        <v>53</v>
      </c>
      <c r="D453" s="4">
        <v>3850599.75</v>
      </c>
    </row>
    <row r="454" spans="1:4" x14ac:dyDescent="0.25">
      <c r="A454" s="5" t="s">
        <v>19</v>
      </c>
      <c r="B454" s="6" t="s">
        <v>5</v>
      </c>
      <c r="C454" s="6" t="s">
        <v>54</v>
      </c>
      <c r="D454" s="7">
        <v>3848749.5</v>
      </c>
    </row>
    <row r="455" spans="1:4" x14ac:dyDescent="0.25">
      <c r="A455" s="5" t="s">
        <v>19</v>
      </c>
      <c r="B455" s="6" t="s">
        <v>5</v>
      </c>
      <c r="C455" s="6" t="s">
        <v>55</v>
      </c>
      <c r="D455" s="7">
        <v>24067286</v>
      </c>
    </row>
    <row r="456" spans="1:4" x14ac:dyDescent="0.25">
      <c r="A456" s="5" t="s">
        <v>19</v>
      </c>
      <c r="B456" s="6" t="s">
        <v>5</v>
      </c>
      <c r="C456" s="6" t="s">
        <v>56</v>
      </c>
      <c r="D456" s="7">
        <v>23568970</v>
      </c>
    </row>
    <row r="457" spans="1:4" x14ac:dyDescent="0.25">
      <c r="A457" s="5" t="s">
        <v>19</v>
      </c>
      <c r="B457" s="6" t="s">
        <v>5</v>
      </c>
      <c r="C457" s="6" t="s">
        <v>57</v>
      </c>
      <c r="D457" s="7">
        <v>24479256</v>
      </c>
    </row>
    <row r="458" spans="1:4" x14ac:dyDescent="0.25">
      <c r="A458" s="5" t="s">
        <v>19</v>
      </c>
      <c r="B458" s="6" t="s">
        <v>5</v>
      </c>
      <c r="C458" s="6" t="s">
        <v>58</v>
      </c>
      <c r="D458" s="7">
        <v>24888452</v>
      </c>
    </row>
    <row r="459" spans="1:4" x14ac:dyDescent="0.25">
      <c r="A459" s="5" t="s">
        <v>19</v>
      </c>
      <c r="B459" s="6" t="s">
        <v>5</v>
      </c>
      <c r="C459" s="6" t="s">
        <v>59</v>
      </c>
      <c r="D459" s="7">
        <v>24636340</v>
      </c>
    </row>
    <row r="460" spans="1:4" x14ac:dyDescent="0.25">
      <c r="A460" s="5" t="s">
        <v>19</v>
      </c>
      <c r="B460" s="6" t="s">
        <v>5</v>
      </c>
      <c r="C460" s="6" t="s">
        <v>60</v>
      </c>
      <c r="D460" s="7">
        <v>24775698</v>
      </c>
    </row>
    <row r="461" spans="1:4" x14ac:dyDescent="0.25">
      <c r="A461" s="5" t="s">
        <v>19</v>
      </c>
      <c r="B461" s="6" t="s">
        <v>5</v>
      </c>
      <c r="C461" s="6" t="s">
        <v>61</v>
      </c>
      <c r="D461" s="7">
        <v>23787764</v>
      </c>
    </row>
    <row r="462" spans="1:4" x14ac:dyDescent="0.25">
      <c r="A462" s="5" t="s">
        <v>19</v>
      </c>
      <c r="B462" s="6" t="s">
        <v>5</v>
      </c>
      <c r="C462" s="6" t="s">
        <v>62</v>
      </c>
      <c r="D462" s="7">
        <v>23117524</v>
      </c>
    </row>
    <row r="463" spans="1:4" x14ac:dyDescent="0.25">
      <c r="A463" s="5" t="s">
        <v>19</v>
      </c>
      <c r="B463" s="6" t="s">
        <v>5</v>
      </c>
      <c r="C463" s="6" t="s">
        <v>63</v>
      </c>
      <c r="D463" s="7">
        <v>24125922</v>
      </c>
    </row>
    <row r="464" spans="1:4" x14ac:dyDescent="0.25">
      <c r="A464" s="5" t="s">
        <v>19</v>
      </c>
      <c r="B464" s="6" t="s">
        <v>5</v>
      </c>
      <c r="C464" s="6" t="s">
        <v>64</v>
      </c>
      <c r="D464" s="7">
        <v>24808412</v>
      </c>
    </row>
    <row r="465" spans="1:4" x14ac:dyDescent="0.25">
      <c r="A465" s="5" t="s">
        <v>19</v>
      </c>
      <c r="B465" s="6" t="s">
        <v>5</v>
      </c>
      <c r="C465" s="6" t="s">
        <v>65</v>
      </c>
      <c r="D465" s="7">
        <v>24718634</v>
      </c>
    </row>
    <row r="466" spans="1:4" x14ac:dyDescent="0.25">
      <c r="A466" s="5" t="s">
        <v>19</v>
      </c>
      <c r="B466" s="6" t="s">
        <v>5</v>
      </c>
      <c r="C466" s="6" t="s">
        <v>66</v>
      </c>
      <c r="D466" s="7">
        <v>24944060</v>
      </c>
    </row>
    <row r="467" spans="1:4" x14ac:dyDescent="0.25">
      <c r="A467" s="2" t="s">
        <v>20</v>
      </c>
      <c r="B467" s="3" t="s">
        <v>5</v>
      </c>
      <c r="C467" s="3" t="s">
        <v>36</v>
      </c>
      <c r="D467" s="4">
        <v>630678</v>
      </c>
    </row>
    <row r="468" spans="1:4" x14ac:dyDescent="0.25">
      <c r="A468" s="5" t="s">
        <v>20</v>
      </c>
      <c r="B468" s="6" t="s">
        <v>5</v>
      </c>
      <c r="C468" s="6" t="s">
        <v>37</v>
      </c>
      <c r="D468" s="7">
        <v>637188.1875</v>
      </c>
    </row>
    <row r="469" spans="1:4" x14ac:dyDescent="0.25">
      <c r="A469" s="2" t="s">
        <v>20</v>
      </c>
      <c r="B469" s="3" t="s">
        <v>5</v>
      </c>
      <c r="C469" s="3" t="s">
        <v>38</v>
      </c>
      <c r="D469" s="4">
        <v>615436.625</v>
      </c>
    </row>
    <row r="470" spans="1:4" x14ac:dyDescent="0.25">
      <c r="A470" s="5" t="s">
        <v>20</v>
      </c>
      <c r="B470" s="6" t="s">
        <v>5</v>
      </c>
      <c r="C470" s="6" t="s">
        <v>39</v>
      </c>
      <c r="D470" s="7">
        <v>608792.6875</v>
      </c>
    </row>
    <row r="471" spans="1:4" x14ac:dyDescent="0.25">
      <c r="A471" s="2" t="s">
        <v>20</v>
      </c>
      <c r="B471" s="3" t="s">
        <v>5</v>
      </c>
      <c r="C471" s="3" t="s">
        <v>40</v>
      </c>
      <c r="D471" s="4">
        <v>638147.25</v>
      </c>
    </row>
    <row r="472" spans="1:4" x14ac:dyDescent="0.25">
      <c r="A472" s="5" t="s">
        <v>20</v>
      </c>
      <c r="B472" s="6" t="s">
        <v>5</v>
      </c>
      <c r="C472" s="6" t="s">
        <v>41</v>
      </c>
      <c r="D472" s="7">
        <v>632460.25</v>
      </c>
    </row>
    <row r="473" spans="1:4" x14ac:dyDescent="0.25">
      <c r="A473" s="2" t="s">
        <v>20</v>
      </c>
      <c r="B473" s="3" t="s">
        <v>5</v>
      </c>
      <c r="C473" s="3" t="s">
        <v>42</v>
      </c>
      <c r="D473" s="4">
        <v>631863.0625</v>
      </c>
    </row>
    <row r="474" spans="1:4" x14ac:dyDescent="0.25">
      <c r="A474" s="5" t="s">
        <v>20</v>
      </c>
      <c r="B474" s="6" t="s">
        <v>5</v>
      </c>
      <c r="C474" s="6" t="s">
        <v>43</v>
      </c>
      <c r="D474" s="7">
        <v>660146.0625</v>
      </c>
    </row>
    <row r="475" spans="1:4" x14ac:dyDescent="0.25">
      <c r="A475" s="2" t="s">
        <v>20</v>
      </c>
      <c r="B475" s="3" t="s">
        <v>5</v>
      </c>
      <c r="C475" s="3" t="s">
        <v>44</v>
      </c>
      <c r="D475" s="4">
        <v>637272</v>
      </c>
    </row>
    <row r="476" spans="1:4" x14ac:dyDescent="0.25">
      <c r="A476" s="5" t="s">
        <v>20</v>
      </c>
      <c r="B476" s="6" t="s">
        <v>5</v>
      </c>
      <c r="C476" s="6" t="s">
        <v>45</v>
      </c>
      <c r="D476" s="7">
        <v>629864.1875</v>
      </c>
    </row>
    <row r="477" spans="1:4" x14ac:dyDescent="0.25">
      <c r="A477" s="2" t="s">
        <v>20</v>
      </c>
      <c r="B477" s="3" t="s">
        <v>5</v>
      </c>
      <c r="C477" s="3" t="s">
        <v>46</v>
      </c>
      <c r="D477" s="4">
        <v>659938.5</v>
      </c>
    </row>
    <row r="478" spans="1:4" x14ac:dyDescent="0.25">
      <c r="A478" s="5" t="s">
        <v>20</v>
      </c>
      <c r="B478" s="6" t="s">
        <v>5</v>
      </c>
      <c r="C478" s="6" t="s">
        <v>47</v>
      </c>
      <c r="D478" s="7">
        <v>653358.125</v>
      </c>
    </row>
    <row r="479" spans="1:4" x14ac:dyDescent="0.25">
      <c r="A479" s="2" t="s">
        <v>20</v>
      </c>
      <c r="B479" s="3" t="s">
        <v>5</v>
      </c>
      <c r="C479" s="3" t="s">
        <v>48</v>
      </c>
      <c r="D479" s="4">
        <v>652013.5625</v>
      </c>
    </row>
    <row r="480" spans="1:4" x14ac:dyDescent="0.25">
      <c r="A480" s="5" t="s">
        <v>20</v>
      </c>
      <c r="B480" s="6" t="s">
        <v>5</v>
      </c>
      <c r="C480" s="6" t="s">
        <v>49</v>
      </c>
      <c r="D480" s="7">
        <v>658802.4375</v>
      </c>
    </row>
    <row r="481" spans="1:4" x14ac:dyDescent="0.25">
      <c r="A481" s="2" t="s">
        <v>20</v>
      </c>
      <c r="B481" s="3" t="s">
        <v>5</v>
      </c>
      <c r="C481" s="3" t="s">
        <v>50</v>
      </c>
      <c r="D481" s="4">
        <v>636124.625</v>
      </c>
    </row>
    <row r="482" spans="1:4" x14ac:dyDescent="0.25">
      <c r="A482" s="5" t="s">
        <v>20</v>
      </c>
      <c r="B482" s="6" t="s">
        <v>5</v>
      </c>
      <c r="C482" s="6" t="s">
        <v>51</v>
      </c>
      <c r="D482" s="7">
        <v>629196.125</v>
      </c>
    </row>
    <row r="483" spans="1:4" x14ac:dyDescent="0.25">
      <c r="A483" s="2" t="s">
        <v>20</v>
      </c>
      <c r="B483" s="3" t="s">
        <v>5</v>
      </c>
      <c r="C483" s="3" t="s">
        <v>52</v>
      </c>
      <c r="D483" s="4">
        <v>659797.5625</v>
      </c>
    </row>
    <row r="484" spans="1:4" x14ac:dyDescent="0.25">
      <c r="A484" s="5" t="s">
        <v>20</v>
      </c>
      <c r="B484" s="6" t="s">
        <v>5</v>
      </c>
      <c r="C484" s="6" t="s">
        <v>53</v>
      </c>
      <c r="D484" s="7">
        <v>653865.625</v>
      </c>
    </row>
    <row r="485" spans="1:4" x14ac:dyDescent="0.25">
      <c r="A485" s="2" t="s">
        <v>20</v>
      </c>
      <c r="B485" s="3" t="s">
        <v>5</v>
      </c>
      <c r="C485" s="3" t="s">
        <v>54</v>
      </c>
      <c r="D485" s="4">
        <v>653237.9375</v>
      </c>
    </row>
    <row r="486" spans="1:4" x14ac:dyDescent="0.25">
      <c r="A486" s="2" t="s">
        <v>20</v>
      </c>
      <c r="B486" s="3" t="s">
        <v>5</v>
      </c>
      <c r="C486" s="3" t="s">
        <v>55</v>
      </c>
      <c r="D486" s="4">
        <v>4830967</v>
      </c>
    </row>
    <row r="487" spans="1:4" x14ac:dyDescent="0.25">
      <c r="A487" s="2" t="s">
        <v>20</v>
      </c>
      <c r="B487" s="3" t="s">
        <v>5</v>
      </c>
      <c r="C487" s="3" t="s">
        <v>56</v>
      </c>
      <c r="D487" s="4">
        <v>4731556.5</v>
      </c>
    </row>
    <row r="488" spans="1:4" x14ac:dyDescent="0.25">
      <c r="A488" s="2" t="s">
        <v>20</v>
      </c>
      <c r="B488" s="3" t="s">
        <v>5</v>
      </c>
      <c r="C488" s="3" t="s">
        <v>57</v>
      </c>
      <c r="D488" s="4">
        <v>4913953</v>
      </c>
    </row>
    <row r="489" spans="1:4" x14ac:dyDescent="0.25">
      <c r="A489" s="2" t="s">
        <v>20</v>
      </c>
      <c r="B489" s="3" t="s">
        <v>5</v>
      </c>
      <c r="C489" s="3" t="s">
        <v>58</v>
      </c>
      <c r="D489" s="4">
        <v>4995426.5</v>
      </c>
    </row>
    <row r="490" spans="1:4" x14ac:dyDescent="0.25">
      <c r="A490" s="2" t="s">
        <v>20</v>
      </c>
      <c r="B490" s="3" t="s">
        <v>5</v>
      </c>
      <c r="C490" s="3" t="s">
        <v>59</v>
      </c>
      <c r="D490" s="4">
        <v>4944452</v>
      </c>
    </row>
    <row r="491" spans="1:4" x14ac:dyDescent="0.25">
      <c r="A491" s="2" t="s">
        <v>20</v>
      </c>
      <c r="B491" s="3" t="s">
        <v>5</v>
      </c>
      <c r="C491" s="3" t="s">
        <v>60</v>
      </c>
      <c r="D491" s="4">
        <v>4972242</v>
      </c>
    </row>
    <row r="492" spans="1:4" x14ac:dyDescent="0.25">
      <c r="A492" s="2" t="s">
        <v>20</v>
      </c>
      <c r="B492" s="3" t="s">
        <v>5</v>
      </c>
      <c r="C492" s="3" t="s">
        <v>61</v>
      </c>
      <c r="D492" s="4">
        <v>4773698.5</v>
      </c>
    </row>
    <row r="493" spans="1:4" x14ac:dyDescent="0.25">
      <c r="A493" s="2" t="s">
        <v>20</v>
      </c>
      <c r="B493" s="3" t="s">
        <v>5</v>
      </c>
      <c r="C493" s="3" t="s">
        <v>62</v>
      </c>
      <c r="D493" s="4">
        <v>4638574</v>
      </c>
    </row>
    <row r="494" spans="1:4" x14ac:dyDescent="0.25">
      <c r="A494" s="2" t="s">
        <v>20</v>
      </c>
      <c r="B494" s="3" t="s">
        <v>5</v>
      </c>
      <c r="C494" s="3" t="s">
        <v>63</v>
      </c>
      <c r="D494" s="4">
        <v>4841134</v>
      </c>
    </row>
    <row r="495" spans="1:4" x14ac:dyDescent="0.25">
      <c r="A495" s="2" t="s">
        <v>20</v>
      </c>
      <c r="B495" s="3" t="s">
        <v>5</v>
      </c>
      <c r="C495" s="3" t="s">
        <v>64</v>
      </c>
      <c r="D495" s="4">
        <v>4978873</v>
      </c>
    </row>
    <row r="496" spans="1:4" x14ac:dyDescent="0.25">
      <c r="A496" s="2" t="s">
        <v>20</v>
      </c>
      <c r="B496" s="3" t="s">
        <v>5</v>
      </c>
      <c r="C496" s="3" t="s">
        <v>65</v>
      </c>
      <c r="D496" s="4">
        <v>4961249</v>
      </c>
    </row>
    <row r="497" spans="1:4" x14ac:dyDescent="0.25">
      <c r="A497" s="2" t="s">
        <v>20</v>
      </c>
      <c r="B497" s="3" t="s">
        <v>5</v>
      </c>
      <c r="C497" s="3" t="s">
        <v>66</v>
      </c>
      <c r="D497" s="4">
        <v>5006928</v>
      </c>
    </row>
    <row r="498" spans="1:4" x14ac:dyDescent="0.25">
      <c r="A498" s="5" t="s">
        <v>31</v>
      </c>
      <c r="B498" s="6" t="s">
        <v>5</v>
      </c>
      <c r="C498" s="6" t="s">
        <v>36</v>
      </c>
      <c r="D498" s="7">
        <v>8357199</v>
      </c>
    </row>
    <row r="499" spans="1:4" x14ac:dyDescent="0.25">
      <c r="A499" s="2" t="s">
        <v>31</v>
      </c>
      <c r="B499" s="3" t="s">
        <v>5</v>
      </c>
      <c r="C499" s="3" t="s">
        <v>37</v>
      </c>
      <c r="D499" s="4">
        <v>8459527</v>
      </c>
    </row>
    <row r="500" spans="1:4" x14ac:dyDescent="0.25">
      <c r="A500" s="5" t="s">
        <v>31</v>
      </c>
      <c r="B500" s="6" t="s">
        <v>5</v>
      </c>
      <c r="C500" s="6" t="s">
        <v>38</v>
      </c>
      <c r="D500" s="7">
        <v>8106557.5</v>
      </c>
    </row>
    <row r="501" spans="1:4" x14ac:dyDescent="0.25">
      <c r="A501" s="2" t="s">
        <v>31</v>
      </c>
      <c r="B501" s="3" t="s">
        <v>5</v>
      </c>
      <c r="C501" s="3" t="s">
        <v>39</v>
      </c>
      <c r="D501" s="4">
        <v>8007863.5</v>
      </c>
    </row>
    <row r="502" spans="1:4" x14ac:dyDescent="0.25">
      <c r="A502" s="5" t="s">
        <v>31</v>
      </c>
      <c r="B502" s="6" t="s">
        <v>5</v>
      </c>
      <c r="C502" s="6" t="s">
        <v>40</v>
      </c>
      <c r="D502" s="7">
        <v>8500967</v>
      </c>
    </row>
    <row r="503" spans="1:4" x14ac:dyDescent="0.25">
      <c r="A503" s="2" t="s">
        <v>31</v>
      </c>
      <c r="B503" s="3" t="s">
        <v>5</v>
      </c>
      <c r="C503" s="3" t="s">
        <v>41</v>
      </c>
      <c r="D503" s="4">
        <v>8423728</v>
      </c>
    </row>
    <row r="504" spans="1:4" x14ac:dyDescent="0.25">
      <c r="A504" s="5" t="s">
        <v>31</v>
      </c>
      <c r="B504" s="6" t="s">
        <v>5</v>
      </c>
      <c r="C504" s="6" t="s">
        <v>42</v>
      </c>
      <c r="D504" s="7">
        <v>8426371</v>
      </c>
    </row>
    <row r="505" spans="1:4" x14ac:dyDescent="0.25">
      <c r="A505" s="2" t="s">
        <v>31</v>
      </c>
      <c r="B505" s="3" t="s">
        <v>5</v>
      </c>
      <c r="C505" s="3" t="s">
        <v>43</v>
      </c>
      <c r="D505" s="4">
        <v>8680778</v>
      </c>
    </row>
    <row r="506" spans="1:4" x14ac:dyDescent="0.25">
      <c r="A506" s="5" t="s">
        <v>31</v>
      </c>
      <c r="B506" s="6" t="s">
        <v>5</v>
      </c>
      <c r="C506" s="6" t="s">
        <v>44</v>
      </c>
      <c r="D506" s="7">
        <v>8304890.5</v>
      </c>
    </row>
    <row r="507" spans="1:4" x14ac:dyDescent="0.25">
      <c r="A507" s="2" t="s">
        <v>31</v>
      </c>
      <c r="B507" s="3" t="s">
        <v>5</v>
      </c>
      <c r="C507" s="3" t="s">
        <v>45</v>
      </c>
      <c r="D507" s="4">
        <v>8173442.5</v>
      </c>
    </row>
    <row r="508" spans="1:4" x14ac:dyDescent="0.25">
      <c r="A508" s="5" t="s">
        <v>31</v>
      </c>
      <c r="B508" s="6" t="s">
        <v>5</v>
      </c>
      <c r="C508" s="6" t="s">
        <v>46</v>
      </c>
      <c r="D508" s="7">
        <v>8649679</v>
      </c>
    </row>
    <row r="509" spans="1:4" x14ac:dyDescent="0.25">
      <c r="A509" s="2" t="s">
        <v>31</v>
      </c>
      <c r="B509" s="3" t="s">
        <v>5</v>
      </c>
      <c r="C509" s="3" t="s">
        <v>47</v>
      </c>
      <c r="D509" s="4">
        <v>8526203</v>
      </c>
    </row>
    <row r="510" spans="1:4" x14ac:dyDescent="0.25">
      <c r="A510" s="5" t="s">
        <v>31</v>
      </c>
      <c r="B510" s="6" t="s">
        <v>5</v>
      </c>
      <c r="C510" s="6" t="s">
        <v>48</v>
      </c>
      <c r="D510" s="7">
        <v>8491121</v>
      </c>
    </row>
    <row r="511" spans="1:4" x14ac:dyDescent="0.25">
      <c r="A511" s="2" t="s">
        <v>31</v>
      </c>
      <c r="B511" s="3" t="s">
        <v>5</v>
      </c>
      <c r="C511" s="3" t="s">
        <v>49</v>
      </c>
      <c r="D511" s="4">
        <v>8596491</v>
      </c>
    </row>
    <row r="512" spans="1:4" x14ac:dyDescent="0.25">
      <c r="A512" s="5" t="s">
        <v>31</v>
      </c>
      <c r="B512" s="6" t="s">
        <v>5</v>
      </c>
      <c r="C512" s="6" t="s">
        <v>50</v>
      </c>
      <c r="D512" s="7">
        <v>8233144</v>
      </c>
    </row>
    <row r="513" spans="1:4" x14ac:dyDescent="0.25">
      <c r="A513" s="2" t="s">
        <v>31</v>
      </c>
      <c r="B513" s="3" t="s">
        <v>5</v>
      </c>
      <c r="C513" s="3" t="s">
        <v>51</v>
      </c>
      <c r="D513" s="4">
        <v>8131472</v>
      </c>
    </row>
    <row r="514" spans="1:4" x14ac:dyDescent="0.25">
      <c r="A514" s="5" t="s">
        <v>31</v>
      </c>
      <c r="B514" s="6" t="s">
        <v>5</v>
      </c>
      <c r="C514" s="6" t="s">
        <v>52</v>
      </c>
      <c r="D514" s="7">
        <v>8638920</v>
      </c>
    </row>
    <row r="515" spans="1:4" x14ac:dyDescent="0.25">
      <c r="A515" s="2" t="s">
        <v>31</v>
      </c>
      <c r="B515" s="3" t="s">
        <v>5</v>
      </c>
      <c r="C515" s="3" t="s">
        <v>53</v>
      </c>
      <c r="D515" s="4">
        <v>8559282</v>
      </c>
    </row>
    <row r="516" spans="1:4" x14ac:dyDescent="0.25">
      <c r="A516" s="5" t="s">
        <v>31</v>
      </c>
      <c r="B516" s="6" t="s">
        <v>5</v>
      </c>
      <c r="C516" s="6" t="s">
        <v>54</v>
      </c>
      <c r="D516" s="7">
        <v>8561835</v>
      </c>
    </row>
    <row r="517" spans="1:4" x14ac:dyDescent="0.25">
      <c r="A517" s="2" t="s">
        <v>31</v>
      </c>
      <c r="B517" s="3" t="s">
        <v>5</v>
      </c>
      <c r="C517" s="3" t="s">
        <v>55</v>
      </c>
      <c r="D517" s="4">
        <v>10863344</v>
      </c>
    </row>
    <row r="518" spans="1:4" x14ac:dyDescent="0.25">
      <c r="A518" s="2" t="s">
        <v>31</v>
      </c>
      <c r="B518" s="3" t="s">
        <v>5</v>
      </c>
      <c r="C518" s="3" t="s">
        <v>56</v>
      </c>
      <c r="D518" s="4">
        <v>10634181</v>
      </c>
    </row>
    <row r="519" spans="1:4" x14ac:dyDescent="0.25">
      <c r="A519" s="2" t="s">
        <v>31</v>
      </c>
      <c r="B519" s="3" t="s">
        <v>5</v>
      </c>
      <c r="C519" s="3" t="s">
        <v>57</v>
      </c>
      <c r="D519" s="4">
        <v>11047816</v>
      </c>
    </row>
    <row r="520" spans="1:4" x14ac:dyDescent="0.25">
      <c r="A520" s="2" t="s">
        <v>31</v>
      </c>
      <c r="B520" s="3" t="s">
        <v>5</v>
      </c>
      <c r="C520" s="3" t="s">
        <v>58</v>
      </c>
      <c r="D520" s="4">
        <v>11238974</v>
      </c>
    </row>
    <row r="521" spans="1:4" x14ac:dyDescent="0.25">
      <c r="A521" s="2" t="s">
        <v>31</v>
      </c>
      <c r="B521" s="3" t="s">
        <v>5</v>
      </c>
      <c r="C521" s="3" t="s">
        <v>59</v>
      </c>
      <c r="D521" s="4">
        <v>11129180</v>
      </c>
    </row>
    <row r="522" spans="1:4" x14ac:dyDescent="0.25">
      <c r="A522" s="2" t="s">
        <v>31</v>
      </c>
      <c r="B522" s="3" t="s">
        <v>5</v>
      </c>
      <c r="C522" s="3" t="s">
        <v>60</v>
      </c>
      <c r="D522" s="4">
        <v>11194190</v>
      </c>
    </row>
    <row r="523" spans="1:4" x14ac:dyDescent="0.25">
      <c r="A523" s="2" t="s">
        <v>31</v>
      </c>
      <c r="B523" s="3" t="s">
        <v>5</v>
      </c>
      <c r="C523" s="3" t="s">
        <v>61</v>
      </c>
      <c r="D523" s="4">
        <v>10750966</v>
      </c>
    </row>
    <row r="524" spans="1:4" x14ac:dyDescent="0.25">
      <c r="A524" s="2" t="s">
        <v>31</v>
      </c>
      <c r="B524" s="3" t="s">
        <v>5</v>
      </c>
      <c r="C524" s="3" t="s">
        <v>62</v>
      </c>
      <c r="D524" s="4">
        <v>10452106</v>
      </c>
    </row>
    <row r="525" spans="1:4" x14ac:dyDescent="0.25">
      <c r="A525" s="2" t="s">
        <v>31</v>
      </c>
      <c r="B525" s="3" t="s">
        <v>5</v>
      </c>
      <c r="C525" s="3" t="s">
        <v>63</v>
      </c>
      <c r="D525" s="4">
        <v>10904877</v>
      </c>
    </row>
    <row r="526" spans="1:4" x14ac:dyDescent="0.25">
      <c r="A526" s="2" t="s">
        <v>31</v>
      </c>
      <c r="B526" s="3" t="s">
        <v>5</v>
      </c>
      <c r="C526" s="3" t="s">
        <v>64</v>
      </c>
      <c r="D526" s="4">
        <v>11206738</v>
      </c>
    </row>
    <row r="527" spans="1:4" x14ac:dyDescent="0.25">
      <c r="A527" s="2" t="s">
        <v>31</v>
      </c>
      <c r="B527" s="3" t="s">
        <v>5</v>
      </c>
      <c r="C527" s="3" t="s">
        <v>65</v>
      </c>
      <c r="D527" s="4">
        <v>11162358</v>
      </c>
    </row>
    <row r="528" spans="1:4" x14ac:dyDescent="0.25">
      <c r="A528" s="2" t="s">
        <v>31</v>
      </c>
      <c r="B528" s="3" t="s">
        <v>5</v>
      </c>
      <c r="C528" s="3" t="s">
        <v>66</v>
      </c>
      <c r="D528" s="4">
        <v>11261963</v>
      </c>
    </row>
    <row r="529" spans="1:4" x14ac:dyDescent="0.25">
      <c r="A529" s="2" t="s">
        <v>7</v>
      </c>
      <c r="B529" s="3" t="s">
        <v>5</v>
      </c>
      <c r="C529" s="3" t="s">
        <v>36</v>
      </c>
      <c r="D529" s="4">
        <v>1899368.5</v>
      </c>
    </row>
    <row r="530" spans="1:4" x14ac:dyDescent="0.25">
      <c r="A530" s="5" t="s">
        <v>7</v>
      </c>
      <c r="B530" s="6" t="s">
        <v>5</v>
      </c>
      <c r="C530" s="6" t="s">
        <v>37</v>
      </c>
      <c r="D530" s="7">
        <v>1913938.875</v>
      </c>
    </row>
    <row r="531" spans="1:4" x14ac:dyDescent="0.25">
      <c r="A531" s="2" t="s">
        <v>7</v>
      </c>
      <c r="B531" s="3" t="s">
        <v>5</v>
      </c>
      <c r="C531" s="3" t="s">
        <v>38</v>
      </c>
      <c r="D531" s="4">
        <v>1864388.125</v>
      </c>
    </row>
    <row r="532" spans="1:4" x14ac:dyDescent="0.25">
      <c r="A532" s="5" t="s">
        <v>7</v>
      </c>
      <c r="B532" s="6" t="s">
        <v>5</v>
      </c>
      <c r="C532" s="6" t="s">
        <v>39</v>
      </c>
      <c r="D532" s="7">
        <v>1849962.75</v>
      </c>
    </row>
    <row r="533" spans="1:4" x14ac:dyDescent="0.25">
      <c r="A533" s="2" t="s">
        <v>7</v>
      </c>
      <c r="B533" s="3" t="s">
        <v>5</v>
      </c>
      <c r="C533" s="3" t="s">
        <v>40</v>
      </c>
      <c r="D533" s="4">
        <v>1918137.375</v>
      </c>
    </row>
    <row r="534" spans="1:4" x14ac:dyDescent="0.25">
      <c r="A534" s="5" t="s">
        <v>7</v>
      </c>
      <c r="B534" s="6" t="s">
        <v>5</v>
      </c>
      <c r="C534" s="6" t="s">
        <v>41</v>
      </c>
      <c r="D534" s="7">
        <v>1906348.75</v>
      </c>
    </row>
    <row r="535" spans="1:4" x14ac:dyDescent="0.25">
      <c r="A535" s="2" t="s">
        <v>7</v>
      </c>
      <c r="B535" s="3" t="s">
        <v>5</v>
      </c>
      <c r="C535" s="3" t="s">
        <v>42</v>
      </c>
      <c r="D535" s="4">
        <v>1906237.5</v>
      </c>
    </row>
    <row r="536" spans="1:4" x14ac:dyDescent="0.25">
      <c r="A536" s="5" t="s">
        <v>7</v>
      </c>
      <c r="B536" s="6" t="s">
        <v>5</v>
      </c>
      <c r="C536" s="6" t="s">
        <v>43</v>
      </c>
      <c r="D536" s="7">
        <v>2037141.625</v>
      </c>
    </row>
    <row r="537" spans="1:4" x14ac:dyDescent="0.25">
      <c r="A537" s="2" t="s">
        <v>7</v>
      </c>
      <c r="B537" s="3" t="s">
        <v>5</v>
      </c>
      <c r="C537" s="3" t="s">
        <v>44</v>
      </c>
      <c r="D537" s="4">
        <v>1984661.875</v>
      </c>
    </row>
    <row r="538" spans="1:4" x14ac:dyDescent="0.25">
      <c r="A538" s="5" t="s">
        <v>7</v>
      </c>
      <c r="B538" s="6" t="s">
        <v>5</v>
      </c>
      <c r="C538" s="6" t="s">
        <v>45</v>
      </c>
      <c r="D538" s="7">
        <v>1966911.125</v>
      </c>
    </row>
    <row r="539" spans="1:4" x14ac:dyDescent="0.25">
      <c r="A539" s="2" t="s">
        <v>7</v>
      </c>
      <c r="B539" s="3" t="s">
        <v>5</v>
      </c>
      <c r="C539" s="3" t="s">
        <v>46</v>
      </c>
      <c r="D539" s="4">
        <v>2034517</v>
      </c>
    </row>
    <row r="540" spans="1:4" x14ac:dyDescent="0.25">
      <c r="A540" s="5" t="s">
        <v>7</v>
      </c>
      <c r="B540" s="6" t="s">
        <v>5</v>
      </c>
      <c r="C540" s="6" t="s">
        <v>47</v>
      </c>
      <c r="D540" s="7">
        <v>2018229.875</v>
      </c>
    </row>
    <row r="541" spans="1:4" x14ac:dyDescent="0.25">
      <c r="A541" s="2" t="s">
        <v>7</v>
      </c>
      <c r="B541" s="3" t="s">
        <v>5</v>
      </c>
      <c r="C541" s="3" t="s">
        <v>48</v>
      </c>
      <c r="D541" s="4">
        <v>2014135.625</v>
      </c>
    </row>
    <row r="542" spans="1:4" x14ac:dyDescent="0.25">
      <c r="A542" s="5" t="s">
        <v>7</v>
      </c>
      <c r="B542" s="6" t="s">
        <v>5</v>
      </c>
      <c r="C542" s="6" t="s">
        <v>49</v>
      </c>
      <c r="D542" s="7">
        <v>2029228.625</v>
      </c>
    </row>
    <row r="543" spans="1:4" x14ac:dyDescent="0.25">
      <c r="A543" s="2" t="s">
        <v>7</v>
      </c>
      <c r="B543" s="3" t="s">
        <v>5</v>
      </c>
      <c r="C543" s="3" t="s">
        <v>50</v>
      </c>
      <c r="D543" s="4">
        <v>1977920.625</v>
      </c>
    </row>
    <row r="544" spans="1:4" x14ac:dyDescent="0.25">
      <c r="A544" s="5" t="s">
        <v>7</v>
      </c>
      <c r="B544" s="6" t="s">
        <v>5</v>
      </c>
      <c r="C544" s="6" t="s">
        <v>51</v>
      </c>
      <c r="D544" s="7">
        <v>1962971.375</v>
      </c>
    </row>
    <row r="545" spans="1:4" x14ac:dyDescent="0.25">
      <c r="A545" s="2" t="s">
        <v>7</v>
      </c>
      <c r="B545" s="3" t="s">
        <v>5</v>
      </c>
      <c r="C545" s="3" t="s">
        <v>52</v>
      </c>
      <c r="D545" s="4">
        <v>2033540.125</v>
      </c>
    </row>
    <row r="546" spans="1:4" x14ac:dyDescent="0.25">
      <c r="A546" s="5" t="s">
        <v>7</v>
      </c>
      <c r="B546" s="6" t="s">
        <v>5</v>
      </c>
      <c r="C546" s="6" t="s">
        <v>53</v>
      </c>
      <c r="D546" s="7">
        <v>2021313.125</v>
      </c>
    </row>
    <row r="547" spans="1:4" x14ac:dyDescent="0.25">
      <c r="A547" s="2" t="s">
        <v>7</v>
      </c>
      <c r="B547" s="3" t="s">
        <v>5</v>
      </c>
      <c r="C547" s="3" t="s">
        <v>54</v>
      </c>
      <c r="D547" s="4">
        <v>2021202.75</v>
      </c>
    </row>
    <row r="548" spans="1:4" x14ac:dyDescent="0.25">
      <c r="A548" s="2" t="s">
        <v>7</v>
      </c>
      <c r="B548" s="3" t="s">
        <v>5</v>
      </c>
      <c r="C548" s="3" t="s">
        <v>55</v>
      </c>
      <c r="D548" s="4">
        <v>8234701</v>
      </c>
    </row>
    <row r="549" spans="1:4" x14ac:dyDescent="0.25">
      <c r="A549" s="2" t="s">
        <v>7</v>
      </c>
      <c r="B549" s="3" t="s">
        <v>5</v>
      </c>
      <c r="C549" s="3" t="s">
        <v>56</v>
      </c>
      <c r="D549" s="4">
        <v>8064533</v>
      </c>
    </row>
    <row r="550" spans="1:4" x14ac:dyDescent="0.25">
      <c r="A550" s="2" t="s">
        <v>7</v>
      </c>
      <c r="B550" s="3" t="s">
        <v>5</v>
      </c>
      <c r="C550" s="3" t="s">
        <v>57</v>
      </c>
      <c r="D550" s="4">
        <v>8376088</v>
      </c>
    </row>
    <row r="551" spans="1:4" x14ac:dyDescent="0.25">
      <c r="A551" s="2" t="s">
        <v>7</v>
      </c>
      <c r="B551" s="3" t="s">
        <v>5</v>
      </c>
      <c r="C551" s="3" t="s">
        <v>58</v>
      </c>
      <c r="D551" s="4">
        <v>8516031</v>
      </c>
    </row>
    <row r="552" spans="1:4" x14ac:dyDescent="0.25">
      <c r="A552" s="2" t="s">
        <v>7</v>
      </c>
      <c r="B552" s="3" t="s">
        <v>5</v>
      </c>
      <c r="C552" s="3" t="s">
        <v>59</v>
      </c>
      <c r="D552" s="4">
        <v>8430228</v>
      </c>
    </row>
    <row r="553" spans="1:4" x14ac:dyDescent="0.25">
      <c r="A553" s="2" t="s">
        <v>7</v>
      </c>
      <c r="B553" s="3" t="s">
        <v>5</v>
      </c>
      <c r="C553" s="3" t="s">
        <v>60</v>
      </c>
      <c r="D553" s="4">
        <v>8477754</v>
      </c>
    </row>
    <row r="554" spans="1:4" x14ac:dyDescent="0.25">
      <c r="A554" s="2" t="s">
        <v>7</v>
      </c>
      <c r="B554" s="3" t="s">
        <v>5</v>
      </c>
      <c r="C554" s="3" t="s">
        <v>61</v>
      </c>
      <c r="D554" s="4">
        <v>8139993</v>
      </c>
    </row>
    <row r="555" spans="1:4" x14ac:dyDescent="0.25">
      <c r="A555" s="2" t="s">
        <v>7</v>
      </c>
      <c r="B555" s="3" t="s">
        <v>5</v>
      </c>
      <c r="C555" s="3" t="s">
        <v>62</v>
      </c>
      <c r="D555" s="4">
        <v>7910493.5</v>
      </c>
    </row>
    <row r="556" spans="1:4" x14ac:dyDescent="0.25">
      <c r="A556" s="2" t="s">
        <v>7</v>
      </c>
      <c r="B556" s="3" t="s">
        <v>5</v>
      </c>
      <c r="C556" s="3" t="s">
        <v>63</v>
      </c>
      <c r="D556" s="4">
        <v>8255028</v>
      </c>
    </row>
    <row r="557" spans="1:4" x14ac:dyDescent="0.25">
      <c r="A557" s="2" t="s">
        <v>7</v>
      </c>
      <c r="B557" s="3" t="s">
        <v>5</v>
      </c>
      <c r="C557" s="3" t="s">
        <v>64</v>
      </c>
      <c r="D557" s="4">
        <v>8488730</v>
      </c>
    </row>
    <row r="558" spans="1:4" x14ac:dyDescent="0.25">
      <c r="A558" s="2" t="s">
        <v>7</v>
      </c>
      <c r="B558" s="3" t="s">
        <v>5</v>
      </c>
      <c r="C558" s="3" t="s">
        <v>65</v>
      </c>
      <c r="D558" s="4">
        <v>8457973</v>
      </c>
    </row>
    <row r="559" spans="1:4" x14ac:dyDescent="0.25">
      <c r="A559" s="2" t="s">
        <v>7</v>
      </c>
      <c r="B559" s="3" t="s">
        <v>5</v>
      </c>
      <c r="C559" s="3" t="s">
        <v>66</v>
      </c>
      <c r="D559" s="4">
        <v>8534946</v>
      </c>
    </row>
    <row r="560" spans="1:4" x14ac:dyDescent="0.25">
      <c r="A560" s="5" t="s">
        <v>12</v>
      </c>
      <c r="B560" s="6" t="s">
        <v>5</v>
      </c>
      <c r="C560" s="6" t="s">
        <v>36</v>
      </c>
      <c r="D560" s="7">
        <v>430009.28125</v>
      </c>
    </row>
    <row r="561" spans="1:4" x14ac:dyDescent="0.25">
      <c r="A561" s="2" t="s">
        <v>12</v>
      </c>
      <c r="B561" s="3" t="s">
        <v>5</v>
      </c>
      <c r="C561" s="3" t="s">
        <v>37</v>
      </c>
      <c r="D561" s="4">
        <v>431967.15625</v>
      </c>
    </row>
    <row r="562" spans="1:4" x14ac:dyDescent="0.25">
      <c r="A562" s="5" t="s">
        <v>12</v>
      </c>
      <c r="B562" s="6" t="s">
        <v>5</v>
      </c>
      <c r="C562" s="6" t="s">
        <v>38</v>
      </c>
      <c r="D562" s="7">
        <v>425429.0625</v>
      </c>
    </row>
    <row r="563" spans="1:4" x14ac:dyDescent="0.25">
      <c r="A563" s="2" t="s">
        <v>12</v>
      </c>
      <c r="B563" s="3" t="s">
        <v>5</v>
      </c>
      <c r="C563" s="3" t="s">
        <v>39</v>
      </c>
      <c r="D563" s="4">
        <v>423431</v>
      </c>
    </row>
    <row r="564" spans="1:4" x14ac:dyDescent="0.25">
      <c r="A564" s="5" t="s">
        <v>12</v>
      </c>
      <c r="B564" s="6" t="s">
        <v>5</v>
      </c>
      <c r="C564" s="6" t="s">
        <v>40</v>
      </c>
      <c r="D564" s="7">
        <v>432249.46875</v>
      </c>
    </row>
    <row r="565" spans="1:4" x14ac:dyDescent="0.25">
      <c r="A565" s="2" t="s">
        <v>12</v>
      </c>
      <c r="B565" s="3" t="s">
        <v>5</v>
      </c>
      <c r="C565" s="3" t="s">
        <v>41</v>
      </c>
      <c r="D565" s="4">
        <v>430534.78125</v>
      </c>
    </row>
    <row r="566" spans="1:4" x14ac:dyDescent="0.25">
      <c r="A566" s="5" t="s">
        <v>12</v>
      </c>
      <c r="B566" s="6" t="s">
        <v>5</v>
      </c>
      <c r="C566" s="6" t="s">
        <v>42</v>
      </c>
      <c r="D566" s="7">
        <v>430465.78125</v>
      </c>
    </row>
    <row r="567" spans="1:4" x14ac:dyDescent="0.25">
      <c r="A567" s="2" t="s">
        <v>12</v>
      </c>
      <c r="B567" s="3" t="s">
        <v>5</v>
      </c>
      <c r="C567" s="3" t="s">
        <v>43</v>
      </c>
      <c r="D567" s="4">
        <v>447684.9375</v>
      </c>
    </row>
    <row r="568" spans="1:4" x14ac:dyDescent="0.25">
      <c r="A568" s="5" t="s">
        <v>12</v>
      </c>
      <c r="B568" s="6" t="s">
        <v>5</v>
      </c>
      <c r="C568" s="6" t="s">
        <v>44</v>
      </c>
      <c r="D568" s="7">
        <v>440744.78125</v>
      </c>
    </row>
    <row r="569" spans="1:4" x14ac:dyDescent="0.25">
      <c r="A569" s="2" t="s">
        <v>12</v>
      </c>
      <c r="B569" s="3" t="s">
        <v>5</v>
      </c>
      <c r="C569" s="3" t="s">
        <v>45</v>
      </c>
      <c r="D569" s="4">
        <v>438500.28125</v>
      </c>
    </row>
    <row r="570" spans="1:4" x14ac:dyDescent="0.25">
      <c r="A570" s="5" t="s">
        <v>12</v>
      </c>
      <c r="B570" s="6" t="s">
        <v>5</v>
      </c>
      <c r="C570" s="6" t="s">
        <v>46</v>
      </c>
      <c r="D570" s="7">
        <v>447629.53125</v>
      </c>
    </row>
    <row r="571" spans="1:4" x14ac:dyDescent="0.25">
      <c r="A571" s="2" t="s">
        <v>12</v>
      </c>
      <c r="B571" s="3" t="s">
        <v>5</v>
      </c>
      <c r="C571" s="3" t="s">
        <v>47</v>
      </c>
      <c r="D571" s="4">
        <v>445639.5</v>
      </c>
    </row>
    <row r="572" spans="1:4" x14ac:dyDescent="0.25">
      <c r="A572" s="5" t="s">
        <v>12</v>
      </c>
      <c r="B572" s="6" t="s">
        <v>5</v>
      </c>
      <c r="C572" s="6" t="s">
        <v>48</v>
      </c>
      <c r="D572" s="7">
        <v>445234.96875</v>
      </c>
    </row>
    <row r="573" spans="1:4" x14ac:dyDescent="0.25">
      <c r="A573" s="2" t="s">
        <v>12</v>
      </c>
      <c r="B573" s="3" t="s">
        <v>5</v>
      </c>
      <c r="C573" s="3" t="s">
        <v>49</v>
      </c>
      <c r="D573" s="4">
        <v>447296.84375</v>
      </c>
    </row>
    <row r="574" spans="1:4" x14ac:dyDescent="0.25">
      <c r="A574" s="5" t="s">
        <v>12</v>
      </c>
      <c r="B574" s="6" t="s">
        <v>5</v>
      </c>
      <c r="C574" s="6" t="s">
        <v>50</v>
      </c>
      <c r="D574" s="7">
        <v>440413.46875</v>
      </c>
    </row>
    <row r="575" spans="1:4" x14ac:dyDescent="0.25">
      <c r="A575" s="2" t="s">
        <v>12</v>
      </c>
      <c r="B575" s="3" t="s">
        <v>5</v>
      </c>
      <c r="C575" s="3" t="s">
        <v>51</v>
      </c>
      <c r="D575" s="4">
        <v>438309</v>
      </c>
    </row>
    <row r="576" spans="1:4" x14ac:dyDescent="0.25">
      <c r="A576" s="5" t="s">
        <v>12</v>
      </c>
      <c r="B576" s="6" t="s">
        <v>5</v>
      </c>
      <c r="C576" s="6" t="s">
        <v>52</v>
      </c>
      <c r="D576" s="7">
        <v>447591.6875</v>
      </c>
    </row>
    <row r="577" spans="1:4" x14ac:dyDescent="0.25">
      <c r="A577" s="2" t="s">
        <v>12</v>
      </c>
      <c r="B577" s="3" t="s">
        <v>5</v>
      </c>
      <c r="C577" s="3" t="s">
        <v>53</v>
      </c>
      <c r="D577" s="4">
        <v>445785.1875</v>
      </c>
    </row>
    <row r="578" spans="1:4" x14ac:dyDescent="0.25">
      <c r="A578" s="5" t="s">
        <v>12</v>
      </c>
      <c r="B578" s="6" t="s">
        <v>5</v>
      </c>
      <c r="C578" s="6" t="s">
        <v>54</v>
      </c>
      <c r="D578" s="7">
        <v>445707.84375</v>
      </c>
    </row>
    <row r="579" spans="1:4" x14ac:dyDescent="0.25">
      <c r="A579" s="2" t="s">
        <v>12</v>
      </c>
      <c r="B579" s="3" t="s">
        <v>5</v>
      </c>
      <c r="C579" s="3" t="s">
        <v>55</v>
      </c>
      <c r="D579" s="4">
        <v>1783102.25</v>
      </c>
    </row>
    <row r="580" spans="1:4" x14ac:dyDescent="0.25">
      <c r="A580" s="2" t="s">
        <v>12</v>
      </c>
      <c r="B580" s="3" t="s">
        <v>5</v>
      </c>
      <c r="C580" s="3" t="s">
        <v>56</v>
      </c>
      <c r="D580" s="4">
        <v>1747288.25</v>
      </c>
    </row>
    <row r="581" spans="1:4" x14ac:dyDescent="0.25">
      <c r="A581" s="2" t="s">
        <v>12</v>
      </c>
      <c r="B581" s="3" t="s">
        <v>5</v>
      </c>
      <c r="C581" s="3" t="s">
        <v>57</v>
      </c>
      <c r="D581" s="4">
        <v>1814158</v>
      </c>
    </row>
    <row r="582" spans="1:4" x14ac:dyDescent="0.25">
      <c r="A582" s="2" t="s">
        <v>12</v>
      </c>
      <c r="B582" s="3" t="s">
        <v>5</v>
      </c>
      <c r="C582" s="3" t="s">
        <v>58</v>
      </c>
      <c r="D582" s="4">
        <v>1842845.125</v>
      </c>
    </row>
    <row r="583" spans="1:4" x14ac:dyDescent="0.25">
      <c r="A583" s="2" t="s">
        <v>12</v>
      </c>
      <c r="B583" s="3" t="s">
        <v>5</v>
      </c>
      <c r="C583" s="3" t="s">
        <v>59</v>
      </c>
      <c r="D583" s="4">
        <v>1823457.875</v>
      </c>
    </row>
    <row r="584" spans="1:4" x14ac:dyDescent="0.25">
      <c r="A584" s="2" t="s">
        <v>12</v>
      </c>
      <c r="B584" s="3" t="s">
        <v>5</v>
      </c>
      <c r="C584" s="3" t="s">
        <v>60</v>
      </c>
      <c r="D584" s="4">
        <v>1833180.5</v>
      </c>
    </row>
    <row r="585" spans="1:4" x14ac:dyDescent="0.25">
      <c r="A585" s="2" t="s">
        <v>12</v>
      </c>
      <c r="B585" s="3" t="s">
        <v>5</v>
      </c>
      <c r="C585" s="3" t="s">
        <v>61</v>
      </c>
      <c r="D585" s="4">
        <v>1759464.5</v>
      </c>
    </row>
    <row r="586" spans="1:4" x14ac:dyDescent="0.25">
      <c r="A586" s="2" t="s">
        <v>12</v>
      </c>
      <c r="B586" s="3" t="s">
        <v>5</v>
      </c>
      <c r="C586" s="3" t="s">
        <v>62</v>
      </c>
      <c r="D586" s="4">
        <v>1708878.75</v>
      </c>
    </row>
    <row r="587" spans="1:4" x14ac:dyDescent="0.25">
      <c r="A587" s="2" t="s">
        <v>12</v>
      </c>
      <c r="B587" s="3" t="s">
        <v>5</v>
      </c>
      <c r="C587" s="3" t="s">
        <v>63</v>
      </c>
      <c r="D587" s="4">
        <v>1783980.5</v>
      </c>
    </row>
    <row r="588" spans="1:4" x14ac:dyDescent="0.25">
      <c r="A588" s="2" t="s">
        <v>12</v>
      </c>
      <c r="B588" s="3" t="s">
        <v>5</v>
      </c>
      <c r="C588" s="3" t="s">
        <v>64</v>
      </c>
      <c r="D588" s="4">
        <v>1836040</v>
      </c>
    </row>
    <row r="589" spans="1:4" x14ac:dyDescent="0.25">
      <c r="A589" s="2" t="s">
        <v>12</v>
      </c>
      <c r="B589" s="3" t="s">
        <v>5</v>
      </c>
      <c r="C589" s="3" t="s">
        <v>65</v>
      </c>
      <c r="D589" s="4">
        <v>1830308.5</v>
      </c>
    </row>
    <row r="590" spans="1:4" x14ac:dyDescent="0.25">
      <c r="A590" s="2" t="s">
        <v>12</v>
      </c>
      <c r="B590" s="3" t="s">
        <v>5</v>
      </c>
      <c r="C590" s="3" t="s">
        <v>66</v>
      </c>
      <c r="D590" s="4">
        <v>1847334.75</v>
      </c>
    </row>
    <row r="591" spans="1:4" x14ac:dyDescent="0.25">
      <c r="A591" s="2" t="s">
        <v>34</v>
      </c>
      <c r="B591" s="3" t="s">
        <v>5</v>
      </c>
      <c r="C591" s="3" t="s">
        <v>36</v>
      </c>
      <c r="D591" s="4">
        <v>158335.421875</v>
      </c>
    </row>
    <row r="592" spans="1:4" x14ac:dyDescent="0.25">
      <c r="A592" s="5" t="s">
        <v>34</v>
      </c>
      <c r="B592" s="6" t="s">
        <v>5</v>
      </c>
      <c r="C592" s="6" t="s">
        <v>37</v>
      </c>
      <c r="D592" s="7">
        <v>159808.265625</v>
      </c>
    </row>
    <row r="593" spans="1:4" x14ac:dyDescent="0.25">
      <c r="A593" s="2" t="s">
        <v>34</v>
      </c>
      <c r="B593" s="3" t="s">
        <v>5</v>
      </c>
      <c r="C593" s="3" t="s">
        <v>38</v>
      </c>
      <c r="D593" s="4">
        <v>154895.9375</v>
      </c>
    </row>
    <row r="594" spans="1:4" x14ac:dyDescent="0.25">
      <c r="A594" s="5" t="s">
        <v>34</v>
      </c>
      <c r="B594" s="6" t="s">
        <v>5</v>
      </c>
      <c r="C594" s="6" t="s">
        <v>39</v>
      </c>
      <c r="D594" s="7">
        <v>153385.90625</v>
      </c>
    </row>
    <row r="595" spans="1:4" x14ac:dyDescent="0.25">
      <c r="A595" s="2" t="s">
        <v>34</v>
      </c>
      <c r="B595" s="3" t="s">
        <v>5</v>
      </c>
      <c r="C595" s="3" t="s">
        <v>40</v>
      </c>
      <c r="D595" s="4">
        <v>160001.8125</v>
      </c>
    </row>
    <row r="596" spans="1:4" x14ac:dyDescent="0.25">
      <c r="A596" s="5" t="s">
        <v>34</v>
      </c>
      <c r="B596" s="6" t="s">
        <v>5</v>
      </c>
      <c r="C596" s="6" t="s">
        <v>41</v>
      </c>
      <c r="D596" s="7">
        <v>158706.40625</v>
      </c>
    </row>
    <row r="597" spans="1:4" x14ac:dyDescent="0.25">
      <c r="A597" s="2" t="s">
        <v>34</v>
      </c>
      <c r="B597" s="3" t="s">
        <v>5</v>
      </c>
      <c r="C597" s="3" t="s">
        <v>42</v>
      </c>
      <c r="D597" s="4">
        <v>158569.859375</v>
      </c>
    </row>
    <row r="598" spans="1:4" x14ac:dyDescent="0.25">
      <c r="A598" s="5" t="s">
        <v>34</v>
      </c>
      <c r="B598" s="6" t="s">
        <v>5</v>
      </c>
      <c r="C598" s="6" t="s">
        <v>43</v>
      </c>
      <c r="D598" s="7">
        <v>160502.8125</v>
      </c>
    </row>
    <row r="599" spans="1:4" x14ac:dyDescent="0.25">
      <c r="A599" s="2" t="s">
        <v>34</v>
      </c>
      <c r="B599" s="3" t="s">
        <v>5</v>
      </c>
      <c r="C599" s="3" t="s">
        <v>44</v>
      </c>
      <c r="D599" s="4">
        <v>155428.4375</v>
      </c>
    </row>
    <row r="600" spans="1:4" x14ac:dyDescent="0.25">
      <c r="A600" s="5" t="s">
        <v>34</v>
      </c>
      <c r="B600" s="6" t="s">
        <v>5</v>
      </c>
      <c r="C600" s="6" t="s">
        <v>45</v>
      </c>
      <c r="D600" s="7">
        <v>153792.671875</v>
      </c>
    </row>
    <row r="601" spans="1:4" x14ac:dyDescent="0.25">
      <c r="A601" s="2" t="s">
        <v>34</v>
      </c>
      <c r="B601" s="3" t="s">
        <v>5</v>
      </c>
      <c r="C601" s="3" t="s">
        <v>46</v>
      </c>
      <c r="D601" s="4">
        <v>160479.953125</v>
      </c>
    </row>
    <row r="602" spans="1:4" x14ac:dyDescent="0.25">
      <c r="A602" s="5" t="s">
        <v>34</v>
      </c>
      <c r="B602" s="6" t="s">
        <v>5</v>
      </c>
      <c r="C602" s="6" t="s">
        <v>47</v>
      </c>
      <c r="D602" s="7">
        <v>159029.90625</v>
      </c>
    </row>
    <row r="603" spans="1:4" x14ac:dyDescent="0.25">
      <c r="A603" s="2" t="s">
        <v>34</v>
      </c>
      <c r="B603" s="3" t="s">
        <v>5</v>
      </c>
      <c r="C603" s="3" t="s">
        <v>48</v>
      </c>
      <c r="D603" s="4">
        <v>158742.65625</v>
      </c>
    </row>
    <row r="604" spans="1:4" x14ac:dyDescent="0.25">
      <c r="A604" s="5" t="s">
        <v>34</v>
      </c>
      <c r="B604" s="6" t="s">
        <v>5</v>
      </c>
      <c r="C604" s="6" t="s">
        <v>49</v>
      </c>
      <c r="D604" s="7">
        <v>160253.328125</v>
      </c>
    </row>
    <row r="605" spans="1:4" x14ac:dyDescent="0.25">
      <c r="A605" s="2" t="s">
        <v>34</v>
      </c>
      <c r="B605" s="3" t="s">
        <v>5</v>
      </c>
      <c r="C605" s="3" t="s">
        <v>50</v>
      </c>
      <c r="D605" s="4">
        <v>155215.015625</v>
      </c>
    </row>
    <row r="606" spans="1:4" x14ac:dyDescent="0.25">
      <c r="A606" s="5" t="s">
        <v>34</v>
      </c>
      <c r="B606" s="6" t="s">
        <v>5</v>
      </c>
      <c r="C606" s="6" t="s">
        <v>51</v>
      </c>
      <c r="D606" s="7">
        <v>153666.453125</v>
      </c>
    </row>
    <row r="607" spans="1:4" x14ac:dyDescent="0.25">
      <c r="A607" s="2" t="s">
        <v>34</v>
      </c>
      <c r="B607" s="3" t="s">
        <v>5</v>
      </c>
      <c r="C607" s="3" t="s">
        <v>52</v>
      </c>
      <c r="D607" s="4">
        <v>160452.265625</v>
      </c>
    </row>
    <row r="608" spans="1:4" x14ac:dyDescent="0.25">
      <c r="A608" s="5" t="s">
        <v>34</v>
      </c>
      <c r="B608" s="6" t="s">
        <v>5</v>
      </c>
      <c r="C608" s="6" t="s">
        <v>53</v>
      </c>
      <c r="D608" s="7">
        <v>159123.828125</v>
      </c>
    </row>
    <row r="609" spans="1:4" x14ac:dyDescent="0.25">
      <c r="A609" s="2" t="s">
        <v>34</v>
      </c>
      <c r="B609" s="3" t="s">
        <v>5</v>
      </c>
      <c r="C609" s="3" t="s">
        <v>54</v>
      </c>
      <c r="D609" s="4">
        <v>158982.203125</v>
      </c>
    </row>
    <row r="610" spans="1:4" x14ac:dyDescent="0.25">
      <c r="A610" s="5" t="s">
        <v>34</v>
      </c>
      <c r="B610" s="6" t="s">
        <v>5</v>
      </c>
      <c r="C610" s="6" t="s">
        <v>55</v>
      </c>
      <c r="D610" s="7">
        <v>1485532.5</v>
      </c>
    </row>
    <row r="611" spans="1:4" x14ac:dyDescent="0.25">
      <c r="A611" s="5" t="s">
        <v>34</v>
      </c>
      <c r="B611" s="6" t="s">
        <v>5</v>
      </c>
      <c r="C611" s="6" t="s">
        <v>56</v>
      </c>
      <c r="D611" s="7">
        <v>1455142.75</v>
      </c>
    </row>
    <row r="612" spans="1:4" x14ac:dyDescent="0.25">
      <c r="A612" s="5" t="s">
        <v>34</v>
      </c>
      <c r="B612" s="6" t="s">
        <v>5</v>
      </c>
      <c r="C612" s="6" t="s">
        <v>57</v>
      </c>
      <c r="D612" s="7">
        <v>1511231.375</v>
      </c>
    </row>
    <row r="613" spans="1:4" x14ac:dyDescent="0.25">
      <c r="A613" s="5" t="s">
        <v>34</v>
      </c>
      <c r="B613" s="6" t="s">
        <v>5</v>
      </c>
      <c r="C613" s="6" t="s">
        <v>58</v>
      </c>
      <c r="D613" s="7">
        <v>1535976.875</v>
      </c>
    </row>
    <row r="614" spans="1:4" x14ac:dyDescent="0.25">
      <c r="A614" s="5" t="s">
        <v>34</v>
      </c>
      <c r="B614" s="6" t="s">
        <v>5</v>
      </c>
      <c r="C614" s="6" t="s">
        <v>59</v>
      </c>
      <c r="D614" s="7">
        <v>1520408.25</v>
      </c>
    </row>
    <row r="615" spans="1:4" x14ac:dyDescent="0.25">
      <c r="A615" s="5" t="s">
        <v>34</v>
      </c>
      <c r="B615" s="6" t="s">
        <v>5</v>
      </c>
      <c r="C615" s="6" t="s">
        <v>60</v>
      </c>
      <c r="D615" s="7">
        <v>1528789.5</v>
      </c>
    </row>
    <row r="616" spans="1:4" x14ac:dyDescent="0.25">
      <c r="A616" s="5" t="s">
        <v>34</v>
      </c>
      <c r="B616" s="6" t="s">
        <v>5</v>
      </c>
      <c r="C616" s="6" t="s">
        <v>61</v>
      </c>
      <c r="D616" s="7">
        <v>1467766.25</v>
      </c>
    </row>
    <row r="617" spans="1:4" x14ac:dyDescent="0.25">
      <c r="A617" s="5" t="s">
        <v>34</v>
      </c>
      <c r="B617" s="6" t="s">
        <v>5</v>
      </c>
      <c r="C617" s="6" t="s">
        <v>62</v>
      </c>
      <c r="D617" s="6">
        <v>1426042</v>
      </c>
    </row>
    <row r="618" spans="1:4" x14ac:dyDescent="0.25">
      <c r="A618" s="5" t="s">
        <v>34</v>
      </c>
      <c r="B618" s="6" t="s">
        <v>5</v>
      </c>
      <c r="C618" s="6" t="s">
        <v>63</v>
      </c>
      <c r="D618" s="6">
        <v>1488285.5</v>
      </c>
    </row>
    <row r="619" spans="1:4" x14ac:dyDescent="0.25">
      <c r="A619" s="5" t="s">
        <v>34</v>
      </c>
      <c r="B619" s="6" t="s">
        <v>5</v>
      </c>
      <c r="C619" s="6" t="s">
        <v>64</v>
      </c>
      <c r="D619" s="6">
        <v>1530819.625</v>
      </c>
    </row>
    <row r="620" spans="1:4" x14ac:dyDescent="0.25">
      <c r="A620" s="5" t="s">
        <v>34</v>
      </c>
      <c r="B620" s="6" t="s">
        <v>5</v>
      </c>
      <c r="C620" s="6" t="s">
        <v>65</v>
      </c>
      <c r="D620" s="6">
        <v>1525527.5</v>
      </c>
    </row>
    <row r="621" spans="1:4" x14ac:dyDescent="0.25">
      <c r="A621" s="5" t="s">
        <v>34</v>
      </c>
      <c r="B621" s="6" t="s">
        <v>5</v>
      </c>
      <c r="C621" s="6" t="s">
        <v>66</v>
      </c>
      <c r="D621" s="6">
        <v>1539462.375</v>
      </c>
    </row>
    <row r="622" spans="1:4" x14ac:dyDescent="0.25">
      <c r="A622" s="5" t="s">
        <v>14</v>
      </c>
      <c r="B622" s="6" t="s">
        <v>5</v>
      </c>
      <c r="C622" s="6" t="s">
        <v>36</v>
      </c>
      <c r="D622" s="6">
        <v>3584398.5</v>
      </c>
    </row>
    <row r="623" spans="1:4" x14ac:dyDescent="0.25">
      <c r="A623" s="2" t="s">
        <v>14</v>
      </c>
      <c r="B623" s="3" t="s">
        <v>5</v>
      </c>
      <c r="C623" s="3" t="s">
        <v>37</v>
      </c>
      <c r="D623" s="3">
        <v>3614609.75</v>
      </c>
    </row>
    <row r="624" spans="1:4" x14ac:dyDescent="0.25">
      <c r="A624" s="5" t="s">
        <v>14</v>
      </c>
      <c r="B624" s="6" t="s">
        <v>5</v>
      </c>
      <c r="C624" s="6" t="s">
        <v>38</v>
      </c>
      <c r="D624" s="6">
        <v>3513443.5</v>
      </c>
    </row>
    <row r="625" spans="1:4" x14ac:dyDescent="0.25">
      <c r="A625" s="2" t="s">
        <v>14</v>
      </c>
      <c r="B625" s="3" t="s">
        <v>5</v>
      </c>
      <c r="C625" s="3" t="s">
        <v>39</v>
      </c>
      <c r="D625" s="3">
        <v>3482780.25</v>
      </c>
    </row>
    <row r="626" spans="1:4" x14ac:dyDescent="0.25">
      <c r="A626" s="5" t="s">
        <v>14</v>
      </c>
      <c r="B626" s="6" t="s">
        <v>5</v>
      </c>
      <c r="C626" s="6" t="s">
        <v>40</v>
      </c>
      <c r="D626" s="6">
        <v>3619658</v>
      </c>
    </row>
    <row r="627" spans="1:4" x14ac:dyDescent="0.25">
      <c r="A627" s="2" t="s">
        <v>14</v>
      </c>
      <c r="B627" s="3" t="s">
        <v>5</v>
      </c>
      <c r="C627" s="3" t="s">
        <v>41</v>
      </c>
      <c r="D627" s="3">
        <v>3593498.75</v>
      </c>
    </row>
    <row r="628" spans="1:4" x14ac:dyDescent="0.25">
      <c r="A628" s="5" t="s">
        <v>14</v>
      </c>
      <c r="B628" s="6" t="s">
        <v>5</v>
      </c>
      <c r="C628" s="6" t="s">
        <v>42</v>
      </c>
      <c r="D628" s="6">
        <v>3591281.5</v>
      </c>
    </row>
    <row r="629" spans="1:4" x14ac:dyDescent="0.25">
      <c r="A629" s="2" t="s">
        <v>14</v>
      </c>
      <c r="B629" s="3" t="s">
        <v>5</v>
      </c>
      <c r="C629" s="3" t="s">
        <v>43</v>
      </c>
      <c r="D629" s="3">
        <v>3776417.25</v>
      </c>
    </row>
    <row r="630" spans="1:4" x14ac:dyDescent="0.25">
      <c r="A630" s="5" t="s">
        <v>14</v>
      </c>
      <c r="B630" s="6" t="s">
        <v>5</v>
      </c>
      <c r="C630" s="6" t="s">
        <v>44</v>
      </c>
      <c r="D630" s="6">
        <v>3668056.75</v>
      </c>
    </row>
    <row r="631" spans="1:4" x14ac:dyDescent="0.25">
      <c r="A631" s="2" t="s">
        <v>14</v>
      </c>
      <c r="B631" s="3" t="s">
        <v>5</v>
      </c>
      <c r="C631" s="3" t="s">
        <v>45</v>
      </c>
      <c r="D631" s="3">
        <v>3632766.75</v>
      </c>
    </row>
    <row r="632" spans="1:4" x14ac:dyDescent="0.25">
      <c r="A632" s="5" t="s">
        <v>14</v>
      </c>
      <c r="B632" s="6" t="s">
        <v>5</v>
      </c>
      <c r="C632" s="6" t="s">
        <v>46</v>
      </c>
      <c r="D632" s="6">
        <v>3774837.75</v>
      </c>
    </row>
    <row r="633" spans="1:4" x14ac:dyDescent="0.25">
      <c r="A633" s="2" t="s">
        <v>14</v>
      </c>
      <c r="B633" s="3" t="s">
        <v>5</v>
      </c>
      <c r="C633" s="3" t="s">
        <v>47</v>
      </c>
      <c r="D633" s="3">
        <v>3743400.5</v>
      </c>
    </row>
    <row r="634" spans="1:4" x14ac:dyDescent="0.25">
      <c r="A634" s="5" t="s">
        <v>14</v>
      </c>
      <c r="B634" s="6" t="s">
        <v>5</v>
      </c>
      <c r="C634" s="6" t="s">
        <v>48</v>
      </c>
      <c r="D634" s="6">
        <v>3736747.75</v>
      </c>
    </row>
    <row r="635" spans="1:4" x14ac:dyDescent="0.25">
      <c r="A635" s="2" t="s">
        <v>14</v>
      </c>
      <c r="B635" s="3" t="s">
        <v>5</v>
      </c>
      <c r="C635" s="3" t="s">
        <v>49</v>
      </c>
      <c r="D635" s="3">
        <v>3768787</v>
      </c>
    </row>
    <row r="636" spans="1:4" x14ac:dyDescent="0.25">
      <c r="A636" s="5" t="s">
        <v>14</v>
      </c>
      <c r="B636" s="6" t="s">
        <v>5</v>
      </c>
      <c r="C636" s="6" t="s">
        <v>50</v>
      </c>
      <c r="D636" s="6">
        <v>3661550</v>
      </c>
    </row>
    <row r="637" spans="1:4" x14ac:dyDescent="0.25">
      <c r="A637" s="2" t="s">
        <v>14</v>
      </c>
      <c r="B637" s="3" t="s">
        <v>5</v>
      </c>
      <c r="C637" s="3" t="s">
        <v>51</v>
      </c>
      <c r="D637" s="3">
        <v>3629019</v>
      </c>
    </row>
    <row r="638" spans="1:4" x14ac:dyDescent="0.25">
      <c r="A638" s="5" t="s">
        <v>14</v>
      </c>
      <c r="B638" s="6" t="s">
        <v>5</v>
      </c>
      <c r="C638" s="6" t="s">
        <v>52</v>
      </c>
      <c r="D638" s="6">
        <v>3774063</v>
      </c>
    </row>
    <row r="639" spans="1:4" x14ac:dyDescent="0.25">
      <c r="A639" s="2" t="s">
        <v>14</v>
      </c>
      <c r="B639" s="3" t="s">
        <v>5</v>
      </c>
      <c r="C639" s="3" t="s">
        <v>53</v>
      </c>
      <c r="D639" s="3">
        <v>3746293.75</v>
      </c>
    </row>
    <row r="640" spans="1:4" x14ac:dyDescent="0.25">
      <c r="A640" s="5" t="s">
        <v>14</v>
      </c>
      <c r="B640" s="6" t="s">
        <v>5</v>
      </c>
      <c r="C640" s="6" t="s">
        <v>54</v>
      </c>
      <c r="D640" s="6">
        <v>3743878</v>
      </c>
    </row>
    <row r="641" spans="1:4" x14ac:dyDescent="0.25">
      <c r="A641" s="2" t="s">
        <v>14</v>
      </c>
      <c r="B641" s="3" t="s">
        <v>5</v>
      </c>
      <c r="C641" s="3" t="s">
        <v>55</v>
      </c>
      <c r="D641" s="3">
        <v>26258600</v>
      </c>
    </row>
    <row r="642" spans="1:4" x14ac:dyDescent="0.25">
      <c r="A642" s="2" t="s">
        <v>14</v>
      </c>
      <c r="B642" s="3" t="s">
        <v>5</v>
      </c>
      <c r="C642" s="3" t="s">
        <v>56</v>
      </c>
      <c r="D642" s="3">
        <v>25728768</v>
      </c>
    </row>
    <row r="643" spans="1:4" x14ac:dyDescent="0.25">
      <c r="A643" s="2" t="s">
        <v>14</v>
      </c>
      <c r="B643" s="3" t="s">
        <v>5</v>
      </c>
      <c r="C643" s="3" t="s">
        <v>57</v>
      </c>
      <c r="D643" s="3">
        <v>26713780</v>
      </c>
    </row>
    <row r="644" spans="1:4" x14ac:dyDescent="0.25">
      <c r="A644" s="2" t="s">
        <v>14</v>
      </c>
      <c r="B644" s="3" t="s">
        <v>5</v>
      </c>
      <c r="C644" s="3" t="s">
        <v>58</v>
      </c>
      <c r="D644" s="3">
        <v>27140996</v>
      </c>
    </row>
    <row r="645" spans="1:4" x14ac:dyDescent="0.25">
      <c r="A645" s="2" t="s">
        <v>14</v>
      </c>
      <c r="B645" s="3" t="s">
        <v>5</v>
      </c>
      <c r="C645" s="3" t="s">
        <v>59</v>
      </c>
      <c r="D645" s="3">
        <v>26854924</v>
      </c>
    </row>
    <row r="646" spans="1:4" x14ac:dyDescent="0.25">
      <c r="A646" s="2" t="s">
        <v>14</v>
      </c>
      <c r="B646" s="3" t="s">
        <v>5</v>
      </c>
      <c r="C646" s="3" t="s">
        <v>60</v>
      </c>
      <c r="D646" s="3">
        <v>27000716</v>
      </c>
    </row>
    <row r="647" spans="1:4" x14ac:dyDescent="0.25">
      <c r="A647" s="2" t="s">
        <v>14</v>
      </c>
      <c r="B647" s="3" t="s">
        <v>5</v>
      </c>
      <c r="C647" s="3" t="s">
        <v>61</v>
      </c>
      <c r="D647" s="3">
        <v>25915338</v>
      </c>
    </row>
    <row r="648" spans="1:4" x14ac:dyDescent="0.25">
      <c r="A648" s="2" t="s">
        <v>14</v>
      </c>
      <c r="B648" s="3" t="s">
        <v>5</v>
      </c>
      <c r="C648" s="3" t="s">
        <v>62</v>
      </c>
      <c r="D648" s="3">
        <v>25172002</v>
      </c>
    </row>
    <row r="649" spans="1:4" x14ac:dyDescent="0.25">
      <c r="A649" s="2" t="s">
        <v>14</v>
      </c>
      <c r="B649" s="3" t="s">
        <v>5</v>
      </c>
      <c r="C649" s="3" t="s">
        <v>63</v>
      </c>
      <c r="D649" s="3">
        <v>26278168</v>
      </c>
    </row>
    <row r="650" spans="1:4" x14ac:dyDescent="0.25">
      <c r="A650" s="2" t="s">
        <v>14</v>
      </c>
      <c r="B650" s="3" t="s">
        <v>5</v>
      </c>
      <c r="C650" s="3" t="s">
        <v>64</v>
      </c>
      <c r="D650" s="3">
        <v>27041792</v>
      </c>
    </row>
    <row r="651" spans="1:4" x14ac:dyDescent="0.25">
      <c r="A651" s="2" t="s">
        <v>14</v>
      </c>
      <c r="B651" s="3" t="s">
        <v>5</v>
      </c>
      <c r="C651" s="3" t="s">
        <v>65</v>
      </c>
      <c r="D651" s="3">
        <v>26955224</v>
      </c>
    </row>
    <row r="652" spans="1:4" x14ac:dyDescent="0.25">
      <c r="A652" s="2" t="s">
        <v>14</v>
      </c>
      <c r="B652" s="3" t="s">
        <v>5</v>
      </c>
      <c r="C652" s="3" t="s">
        <v>66</v>
      </c>
      <c r="D652" s="3">
        <v>27208154</v>
      </c>
    </row>
    <row r="653" spans="1:4" x14ac:dyDescent="0.25">
      <c r="A653" s="2" t="s">
        <v>15</v>
      </c>
      <c r="B653" s="3" t="s">
        <v>5</v>
      </c>
      <c r="C653" s="3" t="s">
        <v>36</v>
      </c>
      <c r="D653" s="3">
        <v>3303881</v>
      </c>
    </row>
    <row r="654" spans="1:4" x14ac:dyDescent="0.25">
      <c r="A654" s="5" t="s">
        <v>15</v>
      </c>
      <c r="B654" s="6" t="s">
        <v>5</v>
      </c>
      <c r="C654" s="6" t="s">
        <v>37</v>
      </c>
      <c r="D654" s="6">
        <v>3329835.75</v>
      </c>
    </row>
    <row r="655" spans="1:4" x14ac:dyDescent="0.25">
      <c r="A655" s="2" t="s">
        <v>15</v>
      </c>
      <c r="B655" s="3" t="s">
        <v>5</v>
      </c>
      <c r="C655" s="3" t="s">
        <v>38</v>
      </c>
      <c r="D655" s="3">
        <v>3242869</v>
      </c>
    </row>
    <row r="656" spans="1:4" x14ac:dyDescent="0.25">
      <c r="A656" s="5" t="s">
        <v>15</v>
      </c>
      <c r="B656" s="6" t="s">
        <v>5</v>
      </c>
      <c r="C656" s="6" t="s">
        <v>39</v>
      </c>
      <c r="D656" s="6">
        <v>3216456.25</v>
      </c>
    </row>
    <row r="657" spans="1:4" x14ac:dyDescent="0.25">
      <c r="A657" s="2" t="s">
        <v>15</v>
      </c>
      <c r="B657" s="3" t="s">
        <v>5</v>
      </c>
      <c r="C657" s="3" t="s">
        <v>40</v>
      </c>
      <c r="D657" s="3">
        <v>3334188.75</v>
      </c>
    </row>
    <row r="658" spans="1:4" x14ac:dyDescent="0.25">
      <c r="A658" s="5" t="s">
        <v>15</v>
      </c>
      <c r="B658" s="6" t="s">
        <v>5</v>
      </c>
      <c r="C658" s="6" t="s">
        <v>41</v>
      </c>
      <c r="D658" s="6">
        <v>3311803.75</v>
      </c>
    </row>
    <row r="659" spans="1:4" x14ac:dyDescent="0.25">
      <c r="A659" s="2" t="s">
        <v>15</v>
      </c>
      <c r="B659" s="3" t="s">
        <v>5</v>
      </c>
      <c r="C659" s="3" t="s">
        <v>42</v>
      </c>
      <c r="D659" s="3">
        <v>3310111.25</v>
      </c>
    </row>
    <row r="660" spans="1:4" x14ac:dyDescent="0.25">
      <c r="A660" s="5" t="s">
        <v>15</v>
      </c>
      <c r="B660" s="6" t="s">
        <v>5</v>
      </c>
      <c r="C660" s="6" t="s">
        <v>43</v>
      </c>
      <c r="D660" s="6">
        <v>3459545.5</v>
      </c>
    </row>
    <row r="661" spans="1:4" x14ac:dyDescent="0.25">
      <c r="A661" s="2" t="s">
        <v>15</v>
      </c>
      <c r="B661" s="3" t="s">
        <v>5</v>
      </c>
      <c r="C661" s="3" t="s">
        <v>44</v>
      </c>
      <c r="D661" s="3">
        <v>3369907.25</v>
      </c>
    </row>
    <row r="662" spans="1:4" x14ac:dyDescent="0.25">
      <c r="A662" s="5" t="s">
        <v>15</v>
      </c>
      <c r="B662" s="6" t="s">
        <v>5</v>
      </c>
      <c r="C662" s="6" t="s">
        <v>45</v>
      </c>
      <c r="D662" s="6">
        <v>3340659.5</v>
      </c>
    </row>
    <row r="663" spans="1:4" x14ac:dyDescent="0.25">
      <c r="A663" s="2" t="s">
        <v>15</v>
      </c>
      <c r="B663" s="3" t="s">
        <v>5</v>
      </c>
      <c r="C663" s="3" t="s">
        <v>46</v>
      </c>
      <c r="D663" s="3">
        <v>3458144.75</v>
      </c>
    </row>
    <row r="664" spans="1:4" x14ac:dyDescent="0.25">
      <c r="A664" s="5" t="s">
        <v>15</v>
      </c>
      <c r="B664" s="6" t="s">
        <v>5</v>
      </c>
      <c r="C664" s="6" t="s">
        <v>47</v>
      </c>
      <c r="D664" s="6">
        <v>3431964.25</v>
      </c>
    </row>
    <row r="665" spans="1:4" x14ac:dyDescent="0.25">
      <c r="A665" s="2" t="s">
        <v>15</v>
      </c>
      <c r="B665" s="3" t="s">
        <v>5</v>
      </c>
      <c r="C665" s="3" t="s">
        <v>48</v>
      </c>
      <c r="D665" s="3">
        <v>3426423.25</v>
      </c>
    </row>
    <row r="666" spans="1:4" x14ac:dyDescent="0.25">
      <c r="A666" s="5" t="s">
        <v>15</v>
      </c>
      <c r="B666" s="6" t="s">
        <v>5</v>
      </c>
      <c r="C666" s="6" t="s">
        <v>49</v>
      </c>
      <c r="D666" s="6">
        <v>3452883.75</v>
      </c>
    </row>
    <row r="667" spans="1:4" x14ac:dyDescent="0.25">
      <c r="A667" s="2" t="s">
        <v>15</v>
      </c>
      <c r="B667" s="3" t="s">
        <v>5</v>
      </c>
      <c r="C667" s="3" t="s">
        <v>50</v>
      </c>
      <c r="D667" s="3">
        <v>3364219.25</v>
      </c>
    </row>
    <row r="668" spans="1:4" x14ac:dyDescent="0.25">
      <c r="A668" s="5" t="s">
        <v>15</v>
      </c>
      <c r="B668" s="6" t="s">
        <v>5</v>
      </c>
      <c r="C668" s="6" t="s">
        <v>51</v>
      </c>
      <c r="D668" s="6">
        <v>3337297.25</v>
      </c>
    </row>
    <row r="669" spans="1:4" x14ac:dyDescent="0.25">
      <c r="A669" s="2" t="s">
        <v>15</v>
      </c>
      <c r="B669" s="3" t="s">
        <v>5</v>
      </c>
      <c r="C669" s="3" t="s">
        <v>52</v>
      </c>
      <c r="D669" s="3">
        <v>3457336.75</v>
      </c>
    </row>
    <row r="670" spans="1:4" x14ac:dyDescent="0.25">
      <c r="A670" s="5" t="s">
        <v>15</v>
      </c>
      <c r="B670" s="6" t="s">
        <v>5</v>
      </c>
      <c r="C670" s="6" t="s">
        <v>53</v>
      </c>
      <c r="D670" s="6">
        <v>3434523</v>
      </c>
    </row>
    <row r="671" spans="1:4" x14ac:dyDescent="0.25">
      <c r="A671" s="2" t="s">
        <v>15</v>
      </c>
      <c r="B671" s="3" t="s">
        <v>5</v>
      </c>
      <c r="C671" s="3" t="s">
        <v>54</v>
      </c>
      <c r="D671" s="3">
        <v>3432832</v>
      </c>
    </row>
    <row r="672" spans="1:4" x14ac:dyDescent="0.25">
      <c r="A672" s="5" t="s">
        <v>15</v>
      </c>
      <c r="B672" s="6" t="s">
        <v>5</v>
      </c>
      <c r="C672" s="6" t="s">
        <v>55</v>
      </c>
      <c r="D672" s="6">
        <v>11941692</v>
      </c>
    </row>
    <row r="673" spans="1:4" x14ac:dyDescent="0.25">
      <c r="A673" s="5" t="s">
        <v>15</v>
      </c>
      <c r="B673" s="6" t="s">
        <v>5</v>
      </c>
      <c r="C673" s="6" t="s">
        <v>56</v>
      </c>
      <c r="D673" s="6">
        <v>11688290</v>
      </c>
    </row>
    <row r="674" spans="1:4" x14ac:dyDescent="0.25">
      <c r="A674" s="5" t="s">
        <v>15</v>
      </c>
      <c r="B674" s="6" t="s">
        <v>5</v>
      </c>
      <c r="C674" s="6" t="s">
        <v>57</v>
      </c>
      <c r="D674" s="6">
        <v>12144193</v>
      </c>
    </row>
    <row r="675" spans="1:4" x14ac:dyDescent="0.25">
      <c r="A675" s="5" t="s">
        <v>15</v>
      </c>
      <c r="B675" s="6" t="s">
        <v>5</v>
      </c>
      <c r="C675" s="6" t="s">
        <v>58</v>
      </c>
      <c r="D675" s="6">
        <v>12356874</v>
      </c>
    </row>
    <row r="676" spans="1:4" x14ac:dyDescent="0.25">
      <c r="A676" s="5" t="s">
        <v>15</v>
      </c>
      <c r="B676" s="6" t="s">
        <v>5</v>
      </c>
      <c r="C676" s="6" t="s">
        <v>59</v>
      </c>
      <c r="D676" s="6">
        <v>12238082</v>
      </c>
    </row>
    <row r="677" spans="1:4" x14ac:dyDescent="0.25">
      <c r="A677" s="5" t="s">
        <v>15</v>
      </c>
      <c r="B677" s="6" t="s">
        <v>5</v>
      </c>
      <c r="C677" s="6" t="s">
        <v>60</v>
      </c>
      <c r="D677" s="6">
        <v>12310210</v>
      </c>
    </row>
    <row r="678" spans="1:4" x14ac:dyDescent="0.25">
      <c r="A678" s="5" t="s">
        <v>15</v>
      </c>
      <c r="B678" s="6" t="s">
        <v>5</v>
      </c>
      <c r="C678" s="6" t="s">
        <v>61</v>
      </c>
      <c r="D678" s="6">
        <v>11824214</v>
      </c>
    </row>
    <row r="679" spans="1:4" x14ac:dyDescent="0.25">
      <c r="A679" s="5" t="s">
        <v>15</v>
      </c>
      <c r="B679" s="6" t="s">
        <v>5</v>
      </c>
      <c r="C679" s="6" t="s">
        <v>62</v>
      </c>
      <c r="D679" s="6">
        <v>11497329</v>
      </c>
    </row>
    <row r="680" spans="1:4" x14ac:dyDescent="0.25">
      <c r="A680" s="5" t="s">
        <v>15</v>
      </c>
      <c r="B680" s="6" t="s">
        <v>5</v>
      </c>
      <c r="C680" s="6" t="s">
        <v>63</v>
      </c>
      <c r="D680" s="6">
        <v>11993659</v>
      </c>
    </row>
    <row r="681" spans="1:4" x14ac:dyDescent="0.25">
      <c r="A681" s="5" t="s">
        <v>15</v>
      </c>
      <c r="B681" s="6" t="s">
        <v>5</v>
      </c>
      <c r="C681" s="6" t="s">
        <v>64</v>
      </c>
      <c r="D681" s="6">
        <v>12323138</v>
      </c>
    </row>
    <row r="682" spans="1:4" x14ac:dyDescent="0.25">
      <c r="A682" s="5" t="s">
        <v>15</v>
      </c>
      <c r="B682" s="6" t="s">
        <v>5</v>
      </c>
      <c r="C682" s="6" t="s">
        <v>65</v>
      </c>
      <c r="D682" s="6">
        <v>12272783</v>
      </c>
    </row>
    <row r="683" spans="1:4" x14ac:dyDescent="0.25">
      <c r="A683" s="5" t="s">
        <v>15</v>
      </c>
      <c r="B683" s="6" t="s">
        <v>5</v>
      </c>
      <c r="C683" s="6" t="s">
        <v>66</v>
      </c>
      <c r="D683" s="6">
        <v>12380972</v>
      </c>
    </row>
    <row r="684" spans="1:4" x14ac:dyDescent="0.25">
      <c r="A684" s="5" t="s">
        <v>33</v>
      </c>
      <c r="B684" s="6" t="s">
        <v>5</v>
      </c>
      <c r="C684" s="6" t="s">
        <v>36</v>
      </c>
      <c r="D684" s="6">
        <v>1895290.75</v>
      </c>
    </row>
    <row r="685" spans="1:4" x14ac:dyDescent="0.25">
      <c r="A685" s="2" t="s">
        <v>33</v>
      </c>
      <c r="B685" s="3" t="s">
        <v>5</v>
      </c>
      <c r="C685" s="3" t="s">
        <v>37</v>
      </c>
      <c r="D685" s="3">
        <v>1901469.625</v>
      </c>
    </row>
    <row r="686" spans="1:4" x14ac:dyDescent="0.25">
      <c r="A686" s="5" t="s">
        <v>33</v>
      </c>
      <c r="B686" s="6" t="s">
        <v>5</v>
      </c>
      <c r="C686" s="6" t="s">
        <v>38</v>
      </c>
      <c r="D686" s="6">
        <v>1880857.5</v>
      </c>
    </row>
    <row r="687" spans="1:4" x14ac:dyDescent="0.25">
      <c r="A687" s="2" t="s">
        <v>33</v>
      </c>
      <c r="B687" s="3" t="s">
        <v>5</v>
      </c>
      <c r="C687" s="3" t="s">
        <v>39</v>
      </c>
      <c r="D687" s="3">
        <v>1874537.25</v>
      </c>
    </row>
    <row r="688" spans="1:4" x14ac:dyDescent="0.25">
      <c r="A688" s="5" t="s">
        <v>33</v>
      </c>
      <c r="B688" s="6" t="s">
        <v>5</v>
      </c>
      <c r="C688" s="6" t="s">
        <v>40</v>
      </c>
      <c r="D688" s="6">
        <v>1902305.25</v>
      </c>
    </row>
    <row r="689" spans="1:4" x14ac:dyDescent="0.25">
      <c r="A689" s="2" t="s">
        <v>33</v>
      </c>
      <c r="B689" s="3" t="s">
        <v>5</v>
      </c>
      <c r="C689" s="3" t="s">
        <v>41</v>
      </c>
      <c r="D689" s="3">
        <v>1896871.25</v>
      </c>
    </row>
    <row r="690" spans="1:4" x14ac:dyDescent="0.25">
      <c r="A690" s="5" t="s">
        <v>33</v>
      </c>
      <c r="B690" s="6" t="s">
        <v>5</v>
      </c>
      <c r="C690" s="6" t="s">
        <v>42</v>
      </c>
      <c r="D690" s="6">
        <v>1896888.5</v>
      </c>
    </row>
    <row r="691" spans="1:4" x14ac:dyDescent="0.25">
      <c r="A691" s="2" t="s">
        <v>33</v>
      </c>
      <c r="B691" s="3" t="s">
        <v>5</v>
      </c>
      <c r="C691" s="3" t="s">
        <v>43</v>
      </c>
      <c r="D691" s="3">
        <v>1962137</v>
      </c>
    </row>
    <row r="692" spans="1:4" x14ac:dyDescent="0.25">
      <c r="A692" s="5" t="s">
        <v>33</v>
      </c>
      <c r="B692" s="6" t="s">
        <v>5</v>
      </c>
      <c r="C692" s="6" t="s">
        <v>44</v>
      </c>
      <c r="D692" s="6">
        <v>1940389.25</v>
      </c>
    </row>
    <row r="693" spans="1:4" x14ac:dyDescent="0.25">
      <c r="A693" s="2" t="s">
        <v>33</v>
      </c>
      <c r="B693" s="3" t="s">
        <v>5</v>
      </c>
      <c r="C693" s="3" t="s">
        <v>45</v>
      </c>
      <c r="D693" s="3">
        <v>1933374.75</v>
      </c>
    </row>
    <row r="694" spans="1:4" x14ac:dyDescent="0.25">
      <c r="A694" s="5" t="s">
        <v>33</v>
      </c>
      <c r="B694" s="6" t="s">
        <v>5</v>
      </c>
      <c r="C694" s="6" t="s">
        <v>46</v>
      </c>
      <c r="D694" s="6">
        <v>1962019.5</v>
      </c>
    </row>
    <row r="695" spans="1:4" x14ac:dyDescent="0.25">
      <c r="A695" s="2" t="s">
        <v>33</v>
      </c>
      <c r="B695" s="3" t="s">
        <v>5</v>
      </c>
      <c r="C695" s="3" t="s">
        <v>47</v>
      </c>
      <c r="D695" s="3">
        <v>1955810.375</v>
      </c>
    </row>
    <row r="696" spans="1:4" x14ac:dyDescent="0.25">
      <c r="A696" s="5" t="s">
        <v>33</v>
      </c>
      <c r="B696" s="6" t="s">
        <v>5</v>
      </c>
      <c r="C696" s="6" t="s">
        <v>48</v>
      </c>
      <c r="D696" s="6">
        <v>1954569.25</v>
      </c>
    </row>
    <row r="697" spans="1:4" x14ac:dyDescent="0.25">
      <c r="A697" s="2" t="s">
        <v>33</v>
      </c>
      <c r="B697" s="3" t="s">
        <v>5</v>
      </c>
      <c r="C697" s="3" t="s">
        <v>49</v>
      </c>
      <c r="D697" s="3">
        <v>1961042.25</v>
      </c>
    </row>
    <row r="698" spans="1:4" x14ac:dyDescent="0.25">
      <c r="A698" s="5" t="s">
        <v>33</v>
      </c>
      <c r="B698" s="6" t="s">
        <v>5</v>
      </c>
      <c r="C698" s="6" t="s">
        <v>50</v>
      </c>
      <c r="D698" s="6">
        <v>1939453.875</v>
      </c>
    </row>
    <row r="699" spans="1:4" x14ac:dyDescent="0.25">
      <c r="A699" s="2" t="s">
        <v>33</v>
      </c>
      <c r="B699" s="3" t="s">
        <v>5</v>
      </c>
      <c r="C699" s="3" t="s">
        <v>51</v>
      </c>
      <c r="D699" s="3">
        <v>1932832.75</v>
      </c>
    </row>
    <row r="700" spans="1:4" x14ac:dyDescent="0.25">
      <c r="A700" s="5" t="s">
        <v>33</v>
      </c>
      <c r="B700" s="6" t="s">
        <v>5</v>
      </c>
      <c r="C700" s="6" t="s">
        <v>52</v>
      </c>
      <c r="D700" s="6">
        <v>1961913.25</v>
      </c>
    </row>
    <row r="701" spans="1:4" x14ac:dyDescent="0.25">
      <c r="A701" s="2" t="s">
        <v>33</v>
      </c>
      <c r="B701" s="3" t="s">
        <v>5</v>
      </c>
      <c r="C701" s="3" t="s">
        <v>53</v>
      </c>
      <c r="D701" s="3">
        <v>1956219.625</v>
      </c>
    </row>
    <row r="702" spans="1:4" x14ac:dyDescent="0.25">
      <c r="A702" s="5" t="s">
        <v>33</v>
      </c>
      <c r="B702" s="6" t="s">
        <v>5</v>
      </c>
      <c r="C702" s="6" t="s">
        <v>54</v>
      </c>
      <c r="D702" s="6">
        <v>1956220.875</v>
      </c>
    </row>
    <row r="703" spans="1:4" x14ac:dyDescent="0.25">
      <c r="A703" s="2" t="s">
        <v>33</v>
      </c>
      <c r="B703" s="3" t="s">
        <v>5</v>
      </c>
      <c r="C703" s="3" t="s">
        <v>55</v>
      </c>
      <c r="D703" s="3">
        <v>5444486</v>
      </c>
    </row>
    <row r="704" spans="1:4" x14ac:dyDescent="0.25">
      <c r="A704" s="2" t="s">
        <v>33</v>
      </c>
      <c r="B704" s="3" t="s">
        <v>5</v>
      </c>
      <c r="C704" s="3" t="s">
        <v>56</v>
      </c>
      <c r="D704" s="3">
        <v>5333928.5</v>
      </c>
    </row>
    <row r="705" spans="1:4" x14ac:dyDescent="0.25">
      <c r="A705" s="2" t="s">
        <v>33</v>
      </c>
      <c r="B705" s="3" t="s">
        <v>5</v>
      </c>
      <c r="C705" s="3" t="s">
        <v>57</v>
      </c>
      <c r="D705" s="3">
        <v>5538768.5</v>
      </c>
    </row>
    <row r="706" spans="1:4" x14ac:dyDescent="0.25">
      <c r="A706" s="2" t="s">
        <v>33</v>
      </c>
      <c r="B706" s="3" t="s">
        <v>5</v>
      </c>
      <c r="C706" s="3" t="s">
        <v>58</v>
      </c>
      <c r="D706" s="3">
        <v>5628302</v>
      </c>
    </row>
    <row r="707" spans="1:4" x14ac:dyDescent="0.25">
      <c r="A707" s="2" t="s">
        <v>33</v>
      </c>
      <c r="B707" s="3" t="s">
        <v>5</v>
      </c>
      <c r="C707" s="3" t="s">
        <v>59</v>
      </c>
      <c r="D707" s="3">
        <v>5569968</v>
      </c>
    </row>
    <row r="708" spans="1:4" x14ac:dyDescent="0.25">
      <c r="A708" s="2" t="s">
        <v>33</v>
      </c>
      <c r="B708" s="3" t="s">
        <v>5</v>
      </c>
      <c r="C708" s="3" t="s">
        <v>60</v>
      </c>
      <c r="D708" s="3">
        <v>5600351.5</v>
      </c>
    </row>
    <row r="709" spans="1:4" x14ac:dyDescent="0.25">
      <c r="A709" s="2" t="s">
        <v>33</v>
      </c>
      <c r="B709" s="3" t="s">
        <v>5</v>
      </c>
      <c r="C709" s="3" t="s">
        <v>61</v>
      </c>
      <c r="D709" s="3">
        <v>5375904</v>
      </c>
    </row>
    <row r="710" spans="1:4" x14ac:dyDescent="0.25">
      <c r="A710" s="2" t="s">
        <v>33</v>
      </c>
      <c r="B710" s="3" t="s">
        <v>5</v>
      </c>
      <c r="C710" s="3" t="s">
        <v>62</v>
      </c>
      <c r="D710" s="3">
        <v>5222533</v>
      </c>
    </row>
    <row r="711" spans="1:4" x14ac:dyDescent="0.25">
      <c r="A711" s="2" t="s">
        <v>33</v>
      </c>
      <c r="B711" s="3" t="s">
        <v>5</v>
      </c>
      <c r="C711" s="3" t="s">
        <v>63</v>
      </c>
      <c r="D711" s="3">
        <v>5451272.5</v>
      </c>
    </row>
    <row r="712" spans="1:4" x14ac:dyDescent="0.25">
      <c r="A712" s="2" t="s">
        <v>33</v>
      </c>
      <c r="B712" s="3" t="s">
        <v>5</v>
      </c>
      <c r="C712" s="3" t="s">
        <v>64</v>
      </c>
      <c r="D712" s="3">
        <v>5608552</v>
      </c>
    </row>
    <row r="713" spans="1:4" x14ac:dyDescent="0.25">
      <c r="A713" s="2" t="s">
        <v>33</v>
      </c>
      <c r="B713" s="3" t="s">
        <v>5</v>
      </c>
      <c r="C713" s="3" t="s">
        <v>65</v>
      </c>
      <c r="D713" s="3">
        <v>5589959</v>
      </c>
    </row>
    <row r="714" spans="1:4" x14ac:dyDescent="0.25">
      <c r="A714" s="2" t="s">
        <v>33</v>
      </c>
      <c r="B714" s="3" t="s">
        <v>5</v>
      </c>
      <c r="C714" s="3" t="s">
        <v>66</v>
      </c>
      <c r="D714" s="3">
        <v>5641572</v>
      </c>
    </row>
    <row r="715" spans="1:4" x14ac:dyDescent="0.25">
      <c r="A715" s="2" t="s">
        <v>4</v>
      </c>
      <c r="B715" s="3" t="s">
        <v>5</v>
      </c>
      <c r="C715" s="3" t="s">
        <v>36</v>
      </c>
      <c r="D715" s="3">
        <v>5724342</v>
      </c>
    </row>
    <row r="716" spans="1:4" x14ac:dyDescent="0.25">
      <c r="A716" s="5" t="s">
        <v>4</v>
      </c>
      <c r="B716" s="6" t="s">
        <v>5</v>
      </c>
      <c r="C716" s="6" t="s">
        <v>37</v>
      </c>
      <c r="D716" s="6">
        <v>5808798</v>
      </c>
    </row>
    <row r="717" spans="1:4" x14ac:dyDescent="0.25">
      <c r="A717" s="2" t="s">
        <v>4</v>
      </c>
      <c r="B717" s="3" t="s">
        <v>5</v>
      </c>
      <c r="C717" s="3" t="s">
        <v>38</v>
      </c>
      <c r="D717" s="3">
        <v>5516972.5</v>
      </c>
    </row>
    <row r="718" spans="1:4" x14ac:dyDescent="0.25">
      <c r="A718" s="5" t="s">
        <v>4</v>
      </c>
      <c r="B718" s="6" t="s">
        <v>5</v>
      </c>
      <c r="C718" s="6" t="s">
        <v>39</v>
      </c>
      <c r="D718" s="6">
        <v>5435784.5</v>
      </c>
    </row>
    <row r="719" spans="1:4" x14ac:dyDescent="0.25">
      <c r="A719" s="2" t="s">
        <v>4</v>
      </c>
      <c r="B719" s="3" t="s">
        <v>5</v>
      </c>
      <c r="C719" s="3" t="s">
        <v>40</v>
      </c>
      <c r="D719" s="3">
        <v>5844210</v>
      </c>
    </row>
    <row r="720" spans="1:4" x14ac:dyDescent="0.25">
      <c r="A720" s="5" t="s">
        <v>4</v>
      </c>
      <c r="B720" s="6" t="s">
        <v>5</v>
      </c>
      <c r="C720" s="6" t="s">
        <v>41</v>
      </c>
      <c r="D720" s="6">
        <v>5781012.5</v>
      </c>
    </row>
    <row r="721" spans="1:4" x14ac:dyDescent="0.25">
      <c r="A721" s="2" t="s">
        <v>4</v>
      </c>
      <c r="B721" s="3" t="s">
        <v>5</v>
      </c>
      <c r="C721" s="3" t="s">
        <v>42</v>
      </c>
      <c r="D721" s="3">
        <v>5783208.5</v>
      </c>
    </row>
    <row r="722" spans="1:4" x14ac:dyDescent="0.25">
      <c r="A722" s="5" t="s">
        <v>4</v>
      </c>
      <c r="B722" s="6" t="s">
        <v>5</v>
      </c>
      <c r="C722" s="6" t="s">
        <v>43</v>
      </c>
      <c r="D722" s="6">
        <v>6036626.5</v>
      </c>
    </row>
    <row r="723" spans="1:4" x14ac:dyDescent="0.25">
      <c r="A723" s="2" t="s">
        <v>4</v>
      </c>
      <c r="B723" s="3" t="s">
        <v>5</v>
      </c>
      <c r="C723" s="3" t="s">
        <v>44</v>
      </c>
      <c r="D723" s="3">
        <v>5725372.5</v>
      </c>
    </row>
    <row r="724" spans="1:4" x14ac:dyDescent="0.25">
      <c r="A724" s="5" t="s">
        <v>4</v>
      </c>
      <c r="B724" s="6" t="s">
        <v>5</v>
      </c>
      <c r="C724" s="6" t="s">
        <v>45</v>
      </c>
      <c r="D724" s="6">
        <v>5616111</v>
      </c>
    </row>
    <row r="725" spans="1:4" x14ac:dyDescent="0.25">
      <c r="A725" s="2" t="s">
        <v>4</v>
      </c>
      <c r="B725" s="3" t="s">
        <v>5</v>
      </c>
      <c r="C725" s="3" t="s">
        <v>46</v>
      </c>
      <c r="D725" s="3">
        <v>6009685</v>
      </c>
    </row>
    <row r="726" spans="1:4" x14ac:dyDescent="0.25">
      <c r="A726" s="5" t="s">
        <v>4</v>
      </c>
      <c r="B726" s="6" t="s">
        <v>5</v>
      </c>
      <c r="C726" s="6" t="s">
        <v>47</v>
      </c>
      <c r="D726" s="6">
        <v>5906789.5</v>
      </c>
    </row>
    <row r="727" spans="1:4" x14ac:dyDescent="0.25">
      <c r="A727" s="2" t="s">
        <v>4</v>
      </c>
      <c r="B727" s="3" t="s">
        <v>5</v>
      </c>
      <c r="C727" s="3" t="s">
        <v>48</v>
      </c>
      <c r="D727" s="3">
        <v>5877181</v>
      </c>
    </row>
    <row r="728" spans="1:4" x14ac:dyDescent="0.25">
      <c r="A728" s="5" t="s">
        <v>4</v>
      </c>
      <c r="B728" s="6" t="s">
        <v>5</v>
      </c>
      <c r="C728" s="6" t="s">
        <v>49</v>
      </c>
      <c r="D728" s="6">
        <v>5964169</v>
      </c>
    </row>
    <row r="729" spans="1:4" x14ac:dyDescent="0.25">
      <c r="A729" s="2" t="s">
        <v>4</v>
      </c>
      <c r="B729" s="3" t="s">
        <v>5</v>
      </c>
      <c r="C729" s="3" t="s">
        <v>50</v>
      </c>
      <c r="D729" s="3">
        <v>5663698.5</v>
      </c>
    </row>
    <row r="730" spans="1:4" x14ac:dyDescent="0.25">
      <c r="A730" s="5" t="s">
        <v>4</v>
      </c>
      <c r="B730" s="6" t="s">
        <v>5</v>
      </c>
      <c r="C730" s="6" t="s">
        <v>51</v>
      </c>
      <c r="D730" s="6">
        <v>5580036.5</v>
      </c>
    </row>
    <row r="731" spans="1:4" x14ac:dyDescent="0.25">
      <c r="A731" s="2" t="s">
        <v>4</v>
      </c>
      <c r="B731" s="3" t="s">
        <v>5</v>
      </c>
      <c r="C731" s="3" t="s">
        <v>52</v>
      </c>
      <c r="D731" s="3">
        <v>6000423</v>
      </c>
    </row>
    <row r="732" spans="1:4" x14ac:dyDescent="0.25">
      <c r="A732" s="5" t="s">
        <v>4</v>
      </c>
      <c r="B732" s="6" t="s">
        <v>5</v>
      </c>
      <c r="C732" s="6" t="s">
        <v>53</v>
      </c>
      <c r="D732" s="6">
        <v>5935238.5</v>
      </c>
    </row>
    <row r="733" spans="1:4" x14ac:dyDescent="0.25">
      <c r="A733" s="2" t="s">
        <v>4</v>
      </c>
      <c r="B733" s="3" t="s">
        <v>5</v>
      </c>
      <c r="C733" s="3" t="s">
        <v>54</v>
      </c>
      <c r="D733" s="3">
        <v>5937390</v>
      </c>
    </row>
    <row r="734" spans="1:4" x14ac:dyDescent="0.25">
      <c r="A734" s="2" t="s">
        <v>4</v>
      </c>
      <c r="B734" s="3" t="s">
        <v>5</v>
      </c>
      <c r="C734" s="3" t="s">
        <v>55</v>
      </c>
      <c r="D734" s="3">
        <v>2029956</v>
      </c>
    </row>
    <row r="735" spans="1:4" x14ac:dyDescent="0.25">
      <c r="A735" s="2" t="s">
        <v>4</v>
      </c>
      <c r="B735" s="3" t="s">
        <v>5</v>
      </c>
      <c r="C735" s="3" t="s">
        <v>56</v>
      </c>
      <c r="D735" s="3">
        <v>1991320.625</v>
      </c>
    </row>
    <row r="736" spans="1:4" x14ac:dyDescent="0.25">
      <c r="A736" s="2" t="s">
        <v>4</v>
      </c>
      <c r="B736" s="3" t="s">
        <v>5</v>
      </c>
      <c r="C736" s="3" t="s">
        <v>57</v>
      </c>
      <c r="D736" s="3">
        <v>2065995</v>
      </c>
    </row>
    <row r="737" spans="1:4" x14ac:dyDescent="0.25">
      <c r="A737" s="2" t="s">
        <v>4</v>
      </c>
      <c r="B737" s="3" t="s">
        <v>5</v>
      </c>
      <c r="C737" s="3" t="s">
        <v>58</v>
      </c>
      <c r="D737" s="3">
        <v>2095354.25</v>
      </c>
    </row>
    <row r="738" spans="1:4" x14ac:dyDescent="0.25">
      <c r="A738" s="2" t="s">
        <v>4</v>
      </c>
      <c r="B738" s="3" t="s">
        <v>5</v>
      </c>
      <c r="C738" s="3" t="s">
        <v>59</v>
      </c>
      <c r="D738" s="3">
        <v>2071114</v>
      </c>
    </row>
    <row r="739" spans="1:4" x14ac:dyDescent="0.25">
      <c r="A739" s="2" t="s">
        <v>4</v>
      </c>
      <c r="B739" s="3" t="s">
        <v>5</v>
      </c>
      <c r="C739" s="3" t="s">
        <v>60</v>
      </c>
      <c r="D739" s="3">
        <v>2081136.5</v>
      </c>
    </row>
    <row r="740" spans="1:4" x14ac:dyDescent="0.25">
      <c r="A740" s="2" t="s">
        <v>4</v>
      </c>
      <c r="B740" s="3" t="s">
        <v>5</v>
      </c>
      <c r="C740" s="3" t="s">
        <v>61</v>
      </c>
      <c r="D740" s="3">
        <v>1995765.75</v>
      </c>
    </row>
    <row r="741" spans="1:4" x14ac:dyDescent="0.25">
      <c r="A741" s="2" t="s">
        <v>4</v>
      </c>
      <c r="B741" s="3" t="s">
        <v>5</v>
      </c>
      <c r="C741" s="3" t="s">
        <v>62</v>
      </c>
      <c r="D741" s="3">
        <v>1936313.25</v>
      </c>
    </row>
    <row r="742" spans="1:4" x14ac:dyDescent="0.25">
      <c r="A742" s="2" t="s">
        <v>4</v>
      </c>
      <c r="B742" s="3" t="s">
        <v>5</v>
      </c>
      <c r="C742" s="3" t="s">
        <v>63</v>
      </c>
      <c r="D742" s="3">
        <v>2023129.375</v>
      </c>
    </row>
    <row r="743" spans="1:4" x14ac:dyDescent="0.25">
      <c r="A743" s="2" t="s">
        <v>4</v>
      </c>
      <c r="B743" s="3" t="s">
        <v>5</v>
      </c>
      <c r="C743" s="3" t="s">
        <v>64</v>
      </c>
      <c r="D743" s="3">
        <v>2085576.875</v>
      </c>
    </row>
    <row r="744" spans="1:4" x14ac:dyDescent="0.25">
      <c r="A744" s="2" t="s">
        <v>4</v>
      </c>
      <c r="B744" s="3" t="s">
        <v>5</v>
      </c>
      <c r="C744" s="3" t="s">
        <v>65</v>
      </c>
      <c r="D744" s="3">
        <v>2081044.625</v>
      </c>
    </row>
    <row r="745" spans="1:4" x14ac:dyDescent="0.25">
      <c r="A745" s="2" t="s">
        <v>4</v>
      </c>
      <c r="B745" s="3" t="s">
        <v>5</v>
      </c>
      <c r="C745" s="3" t="s">
        <v>66</v>
      </c>
      <c r="D745" s="3">
        <v>2101598.75</v>
      </c>
    </row>
    <row r="746" spans="1:4" x14ac:dyDescent="0.25">
      <c r="A746" s="5" t="s">
        <v>10</v>
      </c>
      <c r="B746" s="6" t="s">
        <v>5</v>
      </c>
      <c r="C746" s="6" t="s">
        <v>36</v>
      </c>
      <c r="D746" s="6">
        <v>980966.1875</v>
      </c>
    </row>
    <row r="747" spans="1:4" x14ac:dyDescent="0.25">
      <c r="A747" s="2" t="s">
        <v>10</v>
      </c>
      <c r="B747" s="3" t="s">
        <v>5</v>
      </c>
      <c r="C747" s="3" t="s">
        <v>37</v>
      </c>
      <c r="D747" s="3">
        <v>994550.125</v>
      </c>
    </row>
    <row r="748" spans="1:4" x14ac:dyDescent="0.25">
      <c r="A748" s="5" t="s">
        <v>10</v>
      </c>
      <c r="B748" s="6" t="s">
        <v>5</v>
      </c>
      <c r="C748" s="6" t="s">
        <v>38</v>
      </c>
      <c r="D748" s="6">
        <v>948814.0625</v>
      </c>
    </row>
    <row r="749" spans="1:4" x14ac:dyDescent="0.25">
      <c r="A749" s="2" t="s">
        <v>10</v>
      </c>
      <c r="B749" s="3" t="s">
        <v>5</v>
      </c>
      <c r="C749" s="3" t="s">
        <v>39</v>
      </c>
      <c r="D749" s="3">
        <v>935133.125</v>
      </c>
    </row>
    <row r="750" spans="1:4" x14ac:dyDescent="0.25">
      <c r="A750" s="5" t="s">
        <v>10</v>
      </c>
      <c r="B750" s="6" t="s">
        <v>5</v>
      </c>
      <c r="C750" s="6" t="s">
        <v>40</v>
      </c>
      <c r="D750" s="6">
        <v>997385.5625</v>
      </c>
    </row>
    <row r="751" spans="1:4" x14ac:dyDescent="0.25">
      <c r="A751" s="2" t="s">
        <v>10</v>
      </c>
      <c r="B751" s="3" t="s">
        <v>5</v>
      </c>
      <c r="C751" s="3" t="s">
        <v>41</v>
      </c>
      <c r="D751" s="3">
        <v>985903</v>
      </c>
    </row>
    <row r="752" spans="1:4" x14ac:dyDescent="0.25">
      <c r="A752" s="5" t="s">
        <v>10</v>
      </c>
      <c r="B752" s="6" t="s">
        <v>5</v>
      </c>
      <c r="C752" s="6" t="s">
        <v>42</v>
      </c>
      <c r="D752" s="6">
        <v>984899.625</v>
      </c>
    </row>
    <row r="753" spans="1:4" x14ac:dyDescent="0.25">
      <c r="A753" s="2" t="s">
        <v>10</v>
      </c>
      <c r="B753" s="3" t="s">
        <v>5</v>
      </c>
      <c r="C753" s="3" t="s">
        <v>43</v>
      </c>
      <c r="D753" s="3">
        <v>1048962</v>
      </c>
    </row>
    <row r="754" spans="1:4" x14ac:dyDescent="0.25">
      <c r="A754" s="5" t="s">
        <v>10</v>
      </c>
      <c r="B754" s="6" t="s">
        <v>5</v>
      </c>
      <c r="C754" s="6" t="s">
        <v>44</v>
      </c>
      <c r="D754" s="6">
        <v>1000687.4375</v>
      </c>
    </row>
    <row r="755" spans="1:4" x14ac:dyDescent="0.25">
      <c r="A755" s="2" t="s">
        <v>10</v>
      </c>
      <c r="B755" s="3" t="s">
        <v>5</v>
      </c>
      <c r="C755" s="3" t="s">
        <v>45</v>
      </c>
      <c r="D755" s="3">
        <v>984746.5625</v>
      </c>
    </row>
    <row r="756" spans="1:4" x14ac:dyDescent="0.25">
      <c r="A756" s="5" t="s">
        <v>10</v>
      </c>
      <c r="B756" s="6" t="s">
        <v>5</v>
      </c>
      <c r="C756" s="6" t="s">
        <v>46</v>
      </c>
      <c r="D756" s="6">
        <v>1047648.5</v>
      </c>
    </row>
    <row r="757" spans="1:4" x14ac:dyDescent="0.25">
      <c r="A757" s="2" t="s">
        <v>10</v>
      </c>
      <c r="B757" s="3" t="s">
        <v>5</v>
      </c>
      <c r="C757" s="3" t="s">
        <v>47</v>
      </c>
      <c r="D757" s="3">
        <v>1033276.75</v>
      </c>
    </row>
    <row r="758" spans="1:4" x14ac:dyDescent="0.25">
      <c r="A758" s="5" t="s">
        <v>10</v>
      </c>
      <c r="B758" s="6" t="s">
        <v>5</v>
      </c>
      <c r="C758" s="6" t="s">
        <v>48</v>
      </c>
      <c r="D758" s="6">
        <v>1030028.375</v>
      </c>
    </row>
    <row r="759" spans="1:4" x14ac:dyDescent="0.25">
      <c r="A759" s="2" t="s">
        <v>10</v>
      </c>
      <c r="B759" s="3" t="s">
        <v>5</v>
      </c>
      <c r="C759" s="3" t="s">
        <v>49</v>
      </c>
      <c r="D759" s="3">
        <v>1044160.375</v>
      </c>
    </row>
    <row r="760" spans="1:4" x14ac:dyDescent="0.25">
      <c r="A760" s="5" t="s">
        <v>10</v>
      </c>
      <c r="B760" s="6" t="s">
        <v>5</v>
      </c>
      <c r="C760" s="6" t="s">
        <v>50</v>
      </c>
      <c r="D760" s="6">
        <v>996594.375</v>
      </c>
    </row>
    <row r="761" spans="1:4" x14ac:dyDescent="0.25">
      <c r="A761" s="2" t="s">
        <v>10</v>
      </c>
      <c r="B761" s="3" t="s">
        <v>5</v>
      </c>
      <c r="C761" s="3" t="s">
        <v>51</v>
      </c>
      <c r="D761" s="3">
        <v>982357.875</v>
      </c>
    </row>
    <row r="762" spans="1:4" x14ac:dyDescent="0.25">
      <c r="A762" s="5" t="s">
        <v>10</v>
      </c>
      <c r="B762" s="6" t="s">
        <v>5</v>
      </c>
      <c r="C762" s="6" t="s">
        <v>52</v>
      </c>
      <c r="D762" s="6">
        <v>1047085.1875</v>
      </c>
    </row>
    <row r="763" spans="1:4" x14ac:dyDescent="0.25">
      <c r="A763" s="2" t="s">
        <v>10</v>
      </c>
      <c r="B763" s="3" t="s">
        <v>5</v>
      </c>
      <c r="C763" s="3" t="s">
        <v>53</v>
      </c>
      <c r="D763" s="3">
        <v>1035129.5</v>
      </c>
    </row>
    <row r="764" spans="1:4" x14ac:dyDescent="0.25">
      <c r="A764" s="5" t="s">
        <v>10</v>
      </c>
      <c r="B764" s="6" t="s">
        <v>5</v>
      </c>
      <c r="C764" s="6" t="s">
        <v>54</v>
      </c>
      <c r="D764" s="6">
        <v>1034078.5625</v>
      </c>
    </row>
    <row r="765" spans="1:4" x14ac:dyDescent="0.25">
      <c r="A765" s="2" t="s">
        <v>10</v>
      </c>
      <c r="B765" s="3" t="s">
        <v>5</v>
      </c>
      <c r="C765" s="3" t="s">
        <v>55</v>
      </c>
      <c r="D765" s="3">
        <v>7435985</v>
      </c>
    </row>
    <row r="766" spans="1:4" x14ac:dyDescent="0.25">
      <c r="A766" s="2" t="s">
        <v>10</v>
      </c>
      <c r="B766" s="3" t="s">
        <v>5</v>
      </c>
      <c r="C766" s="3" t="s">
        <v>56</v>
      </c>
      <c r="D766" s="3">
        <v>7281548.5</v>
      </c>
    </row>
    <row r="767" spans="1:4" x14ac:dyDescent="0.25">
      <c r="A767" s="2" t="s">
        <v>10</v>
      </c>
      <c r="B767" s="3" t="s">
        <v>5</v>
      </c>
      <c r="C767" s="3" t="s">
        <v>57</v>
      </c>
      <c r="D767" s="3">
        <v>7563202.5</v>
      </c>
    </row>
    <row r="768" spans="1:4" x14ac:dyDescent="0.25">
      <c r="A768" s="2" t="s">
        <v>10</v>
      </c>
      <c r="B768" s="3" t="s">
        <v>5</v>
      </c>
      <c r="C768" s="3" t="s">
        <v>58</v>
      </c>
      <c r="D768" s="3">
        <v>7690429.5</v>
      </c>
    </row>
    <row r="769" spans="1:4" x14ac:dyDescent="0.25">
      <c r="A769" s="2" t="s">
        <v>10</v>
      </c>
      <c r="B769" s="3" t="s">
        <v>5</v>
      </c>
      <c r="C769" s="3" t="s">
        <v>59</v>
      </c>
      <c r="D769" s="3">
        <v>7613150</v>
      </c>
    </row>
    <row r="770" spans="1:4" x14ac:dyDescent="0.25">
      <c r="A770" s="2" t="s">
        <v>10</v>
      </c>
      <c r="B770" s="3" t="s">
        <v>5</v>
      </c>
      <c r="C770" s="3" t="s">
        <v>60</v>
      </c>
      <c r="D770" s="3">
        <v>7656421.5</v>
      </c>
    </row>
    <row r="771" spans="1:4" x14ac:dyDescent="0.25">
      <c r="A771" s="2" t="s">
        <v>10</v>
      </c>
      <c r="B771" s="3" t="s">
        <v>5</v>
      </c>
      <c r="C771" s="3" t="s">
        <v>61</v>
      </c>
      <c r="D771" s="3">
        <v>7351564</v>
      </c>
    </row>
    <row r="772" spans="1:4" x14ac:dyDescent="0.25">
      <c r="A772" s="2" t="s">
        <v>10</v>
      </c>
      <c r="B772" s="3" t="s">
        <v>5</v>
      </c>
      <c r="C772" s="3" t="s">
        <v>62</v>
      </c>
      <c r="D772" s="3">
        <v>7145034</v>
      </c>
    </row>
    <row r="773" spans="1:4" x14ac:dyDescent="0.25">
      <c r="A773" s="2" t="s">
        <v>10</v>
      </c>
      <c r="B773" s="3" t="s">
        <v>5</v>
      </c>
      <c r="C773" s="3" t="s">
        <v>63</v>
      </c>
      <c r="D773" s="3">
        <v>7456147</v>
      </c>
    </row>
    <row r="774" spans="1:4" x14ac:dyDescent="0.25">
      <c r="A774" s="2" t="s">
        <v>10</v>
      </c>
      <c r="B774" s="3" t="s">
        <v>5</v>
      </c>
      <c r="C774" s="3" t="s">
        <v>64</v>
      </c>
      <c r="D774" s="3">
        <v>7666233.5</v>
      </c>
    </row>
    <row r="775" spans="1:4" x14ac:dyDescent="0.25">
      <c r="A775" s="2" t="s">
        <v>10</v>
      </c>
      <c r="B775" s="3" t="s">
        <v>5</v>
      </c>
      <c r="C775" s="3" t="s">
        <v>65</v>
      </c>
      <c r="D775" s="3">
        <v>7638002</v>
      </c>
    </row>
    <row r="776" spans="1:4" x14ac:dyDescent="0.25">
      <c r="A776" s="2" t="s">
        <v>10</v>
      </c>
      <c r="B776" s="3" t="s">
        <v>5</v>
      </c>
      <c r="C776" s="3" t="s">
        <v>66</v>
      </c>
      <c r="D776" s="3">
        <v>7707164</v>
      </c>
    </row>
    <row r="777" spans="1:4" x14ac:dyDescent="0.25">
      <c r="A777" s="5" t="s">
        <v>11</v>
      </c>
      <c r="B777" s="6" t="s">
        <v>5</v>
      </c>
      <c r="C777" s="6" t="s">
        <v>36</v>
      </c>
      <c r="D777" s="6">
        <v>867627.125</v>
      </c>
    </row>
    <row r="778" spans="1:4" x14ac:dyDescent="0.25">
      <c r="A778" s="2" t="s">
        <v>11</v>
      </c>
      <c r="B778" s="3" t="s">
        <v>5</v>
      </c>
      <c r="C778" s="3" t="s">
        <v>37</v>
      </c>
      <c r="D778" s="3">
        <v>873825.625</v>
      </c>
    </row>
    <row r="779" spans="1:4" x14ac:dyDescent="0.25">
      <c r="A779" s="5" t="s">
        <v>11</v>
      </c>
      <c r="B779" s="6" t="s">
        <v>5</v>
      </c>
      <c r="C779" s="6" t="s">
        <v>38</v>
      </c>
      <c r="D779" s="6">
        <v>852786.5625</v>
      </c>
    </row>
    <row r="780" spans="1:4" x14ac:dyDescent="0.25">
      <c r="A780" s="2" t="s">
        <v>11</v>
      </c>
      <c r="B780" s="3" t="s">
        <v>5</v>
      </c>
      <c r="C780" s="3" t="s">
        <v>39</v>
      </c>
      <c r="D780" s="3">
        <v>846639</v>
      </c>
    </row>
    <row r="781" spans="1:4" x14ac:dyDescent="0.25">
      <c r="A781" s="5" t="s">
        <v>11</v>
      </c>
      <c r="B781" s="6" t="s">
        <v>5</v>
      </c>
      <c r="C781" s="6" t="s">
        <v>40</v>
      </c>
      <c r="D781" s="6">
        <v>875531.125</v>
      </c>
    </row>
    <row r="782" spans="1:4" x14ac:dyDescent="0.25">
      <c r="A782" s="2" t="s">
        <v>11</v>
      </c>
      <c r="B782" s="3" t="s">
        <v>5</v>
      </c>
      <c r="C782" s="3" t="s">
        <v>41</v>
      </c>
      <c r="D782" s="3">
        <v>870474.875</v>
      </c>
    </row>
    <row r="783" spans="1:4" x14ac:dyDescent="0.25">
      <c r="A783" s="5" t="s">
        <v>11</v>
      </c>
      <c r="B783" s="6" t="s">
        <v>5</v>
      </c>
      <c r="C783" s="6" t="s">
        <v>42</v>
      </c>
      <c r="D783" s="6">
        <v>870410.5625</v>
      </c>
    </row>
    <row r="784" spans="1:4" x14ac:dyDescent="0.25">
      <c r="A784" s="2" t="s">
        <v>11</v>
      </c>
      <c r="B784" s="3" t="s">
        <v>5</v>
      </c>
      <c r="C784" s="3" t="s">
        <v>43</v>
      </c>
      <c r="D784" s="3">
        <v>889262.6875</v>
      </c>
    </row>
    <row r="785" spans="1:4" x14ac:dyDescent="0.25">
      <c r="A785" s="5" t="s">
        <v>11</v>
      </c>
      <c r="B785" s="6" t="s">
        <v>5</v>
      </c>
      <c r="C785" s="6" t="s">
        <v>44</v>
      </c>
      <c r="D785" s="6">
        <v>866711</v>
      </c>
    </row>
    <row r="786" spans="1:4" x14ac:dyDescent="0.25">
      <c r="A786" s="2" t="s">
        <v>11</v>
      </c>
      <c r="B786" s="3" t="s">
        <v>5</v>
      </c>
      <c r="C786" s="3" t="s">
        <v>45</v>
      </c>
      <c r="D786" s="3">
        <v>859119.0625</v>
      </c>
    </row>
    <row r="787" spans="1:4" x14ac:dyDescent="0.25">
      <c r="A787" s="5" t="s">
        <v>11</v>
      </c>
      <c r="B787" s="6" t="s">
        <v>5</v>
      </c>
      <c r="C787" s="6" t="s">
        <v>46</v>
      </c>
      <c r="D787" s="6">
        <v>888230.75</v>
      </c>
    </row>
    <row r="788" spans="1:4" x14ac:dyDescent="0.25">
      <c r="A788" s="2" t="s">
        <v>11</v>
      </c>
      <c r="B788" s="3" t="s">
        <v>5</v>
      </c>
      <c r="C788" s="3" t="s">
        <v>47</v>
      </c>
      <c r="D788" s="3">
        <v>881294.875</v>
      </c>
    </row>
    <row r="789" spans="1:4" x14ac:dyDescent="0.25">
      <c r="A789" s="5" t="s">
        <v>11</v>
      </c>
      <c r="B789" s="6" t="s">
        <v>5</v>
      </c>
      <c r="C789" s="6" t="s">
        <v>48</v>
      </c>
      <c r="D789" s="6">
        <v>879580.6875</v>
      </c>
    </row>
    <row r="790" spans="1:4" x14ac:dyDescent="0.25">
      <c r="A790" s="2" t="s">
        <v>11</v>
      </c>
      <c r="B790" s="3" t="s">
        <v>5</v>
      </c>
      <c r="C790" s="3" t="s">
        <v>49</v>
      </c>
      <c r="D790" s="3">
        <v>886090.6875</v>
      </c>
    </row>
    <row r="791" spans="1:4" x14ac:dyDescent="0.25">
      <c r="A791" s="5" t="s">
        <v>11</v>
      </c>
      <c r="B791" s="6" t="s">
        <v>5</v>
      </c>
      <c r="C791" s="6" t="s">
        <v>50</v>
      </c>
      <c r="D791" s="6">
        <v>864009.8125</v>
      </c>
    </row>
    <row r="792" spans="1:4" x14ac:dyDescent="0.25">
      <c r="A792" s="2" t="s">
        <v>11</v>
      </c>
      <c r="B792" s="3" t="s">
        <v>5</v>
      </c>
      <c r="C792" s="3" t="s">
        <v>51</v>
      </c>
      <c r="D792" s="3">
        <v>857547.375</v>
      </c>
    </row>
    <row r="793" spans="1:4" x14ac:dyDescent="0.25">
      <c r="A793" s="5" t="s">
        <v>11</v>
      </c>
      <c r="B793" s="6" t="s">
        <v>5</v>
      </c>
      <c r="C793" s="6" t="s">
        <v>52</v>
      </c>
      <c r="D793" s="6">
        <v>887850.9375</v>
      </c>
    </row>
    <row r="794" spans="1:4" x14ac:dyDescent="0.25">
      <c r="A794" s="2" t="s">
        <v>11</v>
      </c>
      <c r="B794" s="3" t="s">
        <v>5</v>
      </c>
      <c r="C794" s="3" t="s">
        <v>53</v>
      </c>
      <c r="D794" s="3">
        <v>882527.6875</v>
      </c>
    </row>
    <row r="795" spans="1:4" x14ac:dyDescent="0.25">
      <c r="A795" s="5" t="s">
        <v>11</v>
      </c>
      <c r="B795" s="6" t="s">
        <v>5</v>
      </c>
      <c r="C795" s="6" t="s">
        <v>54</v>
      </c>
      <c r="D795" s="6">
        <v>882430.6875</v>
      </c>
    </row>
    <row r="796" spans="1:4" x14ac:dyDescent="0.25">
      <c r="A796" s="5" t="s">
        <v>11</v>
      </c>
      <c r="B796" s="6" t="s">
        <v>5</v>
      </c>
      <c r="C796" s="6" t="s">
        <v>55</v>
      </c>
      <c r="D796" s="6">
        <v>3035433.75</v>
      </c>
    </row>
    <row r="797" spans="1:4" x14ac:dyDescent="0.25">
      <c r="A797" s="5" t="s">
        <v>11</v>
      </c>
      <c r="B797" s="6" t="s">
        <v>5</v>
      </c>
      <c r="C797" s="6" t="s">
        <v>56</v>
      </c>
      <c r="D797" s="6">
        <v>2971964.25</v>
      </c>
    </row>
    <row r="798" spans="1:4" x14ac:dyDescent="0.25">
      <c r="A798" s="5" t="s">
        <v>11</v>
      </c>
      <c r="B798" s="6" t="s">
        <v>5</v>
      </c>
      <c r="C798" s="6" t="s">
        <v>57</v>
      </c>
      <c r="D798" s="6">
        <v>3087108.75</v>
      </c>
    </row>
    <row r="799" spans="1:4" x14ac:dyDescent="0.25">
      <c r="A799" s="5" t="s">
        <v>11</v>
      </c>
      <c r="B799" s="6" t="s">
        <v>5</v>
      </c>
      <c r="C799" s="6" t="s">
        <v>58</v>
      </c>
      <c r="D799" s="6">
        <v>3139502.75</v>
      </c>
    </row>
    <row r="800" spans="1:4" x14ac:dyDescent="0.25">
      <c r="A800" s="5" t="s">
        <v>11</v>
      </c>
      <c r="B800" s="6" t="s">
        <v>5</v>
      </c>
      <c r="C800" s="6" t="s">
        <v>59</v>
      </c>
      <c r="D800" s="6">
        <v>3108135.25</v>
      </c>
    </row>
    <row r="801" spans="1:4" x14ac:dyDescent="0.25">
      <c r="A801" s="5" t="s">
        <v>11</v>
      </c>
      <c r="B801" s="6" t="s">
        <v>5</v>
      </c>
      <c r="C801" s="6" t="s">
        <v>60</v>
      </c>
      <c r="D801" s="6">
        <v>3125963.5</v>
      </c>
    </row>
    <row r="802" spans="1:4" x14ac:dyDescent="0.25">
      <c r="A802" s="5" t="s">
        <v>11</v>
      </c>
      <c r="B802" s="6" t="s">
        <v>5</v>
      </c>
      <c r="C802" s="6" t="s">
        <v>61</v>
      </c>
      <c r="D802" s="6">
        <v>3001657.25</v>
      </c>
    </row>
    <row r="803" spans="1:4" x14ac:dyDescent="0.25">
      <c r="A803" s="5" t="s">
        <v>11</v>
      </c>
      <c r="B803" s="6" t="s">
        <v>5</v>
      </c>
      <c r="C803" s="6" t="s">
        <v>62</v>
      </c>
      <c r="D803" s="6">
        <v>2917652.25</v>
      </c>
    </row>
    <row r="804" spans="1:4" x14ac:dyDescent="0.25">
      <c r="A804" s="5" t="s">
        <v>11</v>
      </c>
      <c r="B804" s="6" t="s">
        <v>5</v>
      </c>
      <c r="C804" s="6" t="s">
        <v>63</v>
      </c>
      <c r="D804" s="6">
        <v>3044635</v>
      </c>
    </row>
    <row r="805" spans="1:4" x14ac:dyDescent="0.25">
      <c r="A805" s="5" t="s">
        <v>11</v>
      </c>
      <c r="B805" s="6" t="s">
        <v>5</v>
      </c>
      <c r="C805" s="6" t="s">
        <v>64</v>
      </c>
      <c r="D805" s="6">
        <v>3129910</v>
      </c>
    </row>
    <row r="806" spans="1:4" x14ac:dyDescent="0.25">
      <c r="A806" s="5" t="s">
        <v>11</v>
      </c>
      <c r="B806" s="6" t="s">
        <v>5</v>
      </c>
      <c r="C806" s="6" t="s">
        <v>65</v>
      </c>
      <c r="D806" s="6">
        <v>3118122</v>
      </c>
    </row>
    <row r="807" spans="1:4" x14ac:dyDescent="0.25">
      <c r="A807" s="5" t="s">
        <v>11</v>
      </c>
      <c r="B807" s="6" t="s">
        <v>5</v>
      </c>
      <c r="C807" s="6" t="s">
        <v>66</v>
      </c>
      <c r="D807" s="6">
        <v>3146248</v>
      </c>
    </row>
    <row r="808" spans="1:4" x14ac:dyDescent="0.25">
      <c r="A808" s="2" t="s">
        <v>29</v>
      </c>
      <c r="B808" s="3" t="s">
        <v>5</v>
      </c>
      <c r="C808" s="3" t="s">
        <v>36</v>
      </c>
      <c r="D808" s="3">
        <v>44186.81640625</v>
      </c>
    </row>
    <row r="809" spans="1:4" x14ac:dyDescent="0.25">
      <c r="A809" s="5" t="s">
        <v>29</v>
      </c>
      <c r="B809" s="6" t="s">
        <v>5</v>
      </c>
      <c r="C809" s="6" t="s">
        <v>37</v>
      </c>
      <c r="D809" s="6">
        <v>44893.85546875</v>
      </c>
    </row>
    <row r="810" spans="1:4" x14ac:dyDescent="0.25">
      <c r="A810" s="2" t="s">
        <v>29</v>
      </c>
      <c r="B810" s="3" t="s">
        <v>5</v>
      </c>
      <c r="C810" s="3" t="s">
        <v>38</v>
      </c>
      <c r="D810" s="3">
        <v>42550.3125</v>
      </c>
    </row>
    <row r="811" spans="1:4" x14ac:dyDescent="0.25">
      <c r="A811" s="5" t="s">
        <v>29</v>
      </c>
      <c r="B811" s="6" t="s">
        <v>5</v>
      </c>
      <c r="C811" s="6" t="s">
        <v>39</v>
      </c>
      <c r="D811" s="6">
        <v>41816.921875</v>
      </c>
    </row>
    <row r="812" spans="1:4" x14ac:dyDescent="0.25">
      <c r="A812" s="2" t="s">
        <v>29</v>
      </c>
      <c r="B812" s="3" t="s">
        <v>5</v>
      </c>
      <c r="C812" s="3" t="s">
        <v>40</v>
      </c>
      <c r="D812" s="3">
        <v>44950.875</v>
      </c>
    </row>
    <row r="813" spans="1:4" x14ac:dyDescent="0.25">
      <c r="A813" s="5" t="s">
        <v>29</v>
      </c>
      <c r="B813" s="6" t="s">
        <v>5</v>
      </c>
      <c r="C813" s="6" t="s">
        <v>41</v>
      </c>
      <c r="D813" s="6">
        <v>44313.25390625</v>
      </c>
    </row>
    <row r="814" spans="1:4" x14ac:dyDescent="0.25">
      <c r="A814" s="2" t="s">
        <v>29</v>
      </c>
      <c r="B814" s="3" t="s">
        <v>5</v>
      </c>
      <c r="C814" s="3" t="s">
        <v>42</v>
      </c>
      <c r="D814" s="3">
        <v>44215.96484375</v>
      </c>
    </row>
    <row r="815" spans="1:4" x14ac:dyDescent="0.25">
      <c r="A815" s="5" t="s">
        <v>29</v>
      </c>
      <c r="B815" s="6" t="s">
        <v>5</v>
      </c>
      <c r="C815" s="6" t="s">
        <v>43</v>
      </c>
      <c r="D815" s="6">
        <v>45876.2265625</v>
      </c>
    </row>
    <row r="816" spans="1:4" x14ac:dyDescent="0.25">
      <c r="A816" s="2" t="s">
        <v>29</v>
      </c>
      <c r="B816" s="3" t="s">
        <v>5</v>
      </c>
      <c r="C816" s="3" t="s">
        <v>44</v>
      </c>
      <c r="D816" s="3">
        <v>43495.66796875</v>
      </c>
    </row>
    <row r="817" spans="1:4" x14ac:dyDescent="0.25">
      <c r="A817" s="5" t="s">
        <v>29</v>
      </c>
      <c r="B817" s="6" t="s">
        <v>5</v>
      </c>
      <c r="C817" s="6" t="s">
        <v>45</v>
      </c>
      <c r="D817" s="6">
        <v>42741.18359375</v>
      </c>
    </row>
    <row r="818" spans="1:4" x14ac:dyDescent="0.25">
      <c r="A818" s="2" t="s">
        <v>29</v>
      </c>
      <c r="B818" s="3" t="s">
        <v>5</v>
      </c>
      <c r="C818" s="3" t="s">
        <v>46</v>
      </c>
      <c r="D818" s="3">
        <v>45902.8828125</v>
      </c>
    </row>
    <row r="819" spans="1:4" x14ac:dyDescent="0.25">
      <c r="A819" s="5" t="s">
        <v>29</v>
      </c>
      <c r="B819" s="6" t="s">
        <v>5</v>
      </c>
      <c r="C819" s="6" t="s">
        <v>47</v>
      </c>
      <c r="D819" s="6">
        <v>45242.10546875</v>
      </c>
    </row>
    <row r="820" spans="1:4" x14ac:dyDescent="0.25">
      <c r="A820" s="2" t="s">
        <v>29</v>
      </c>
      <c r="B820" s="3" t="s">
        <v>5</v>
      </c>
      <c r="C820" s="3" t="s">
        <v>48</v>
      </c>
      <c r="D820" s="3">
        <v>45124.9453125</v>
      </c>
    </row>
    <row r="821" spans="1:4" x14ac:dyDescent="0.25">
      <c r="A821" s="5" t="s">
        <v>29</v>
      </c>
      <c r="B821" s="6" t="s">
        <v>5</v>
      </c>
      <c r="C821" s="6" t="s">
        <v>49</v>
      </c>
      <c r="D821" s="6">
        <v>45841.796875</v>
      </c>
    </row>
    <row r="822" spans="1:4" x14ac:dyDescent="0.25">
      <c r="A822" s="2" t="s">
        <v>29</v>
      </c>
      <c r="B822" s="3" t="s">
        <v>5</v>
      </c>
      <c r="C822" s="3" t="s">
        <v>50</v>
      </c>
      <c r="D822" s="3">
        <v>43465.70703125</v>
      </c>
    </row>
    <row r="823" spans="1:4" x14ac:dyDescent="0.25">
      <c r="A823" s="5" t="s">
        <v>29</v>
      </c>
      <c r="B823" s="6" t="s">
        <v>5</v>
      </c>
      <c r="C823" s="6" t="s">
        <v>51</v>
      </c>
      <c r="D823" s="6">
        <v>42722.25</v>
      </c>
    </row>
    <row r="824" spans="1:4" x14ac:dyDescent="0.25">
      <c r="A824" s="2" t="s">
        <v>29</v>
      </c>
      <c r="B824" s="3" t="s">
        <v>5</v>
      </c>
      <c r="C824" s="3" t="s">
        <v>52</v>
      </c>
      <c r="D824" s="3">
        <v>45899.90234375</v>
      </c>
    </row>
    <row r="825" spans="1:4" x14ac:dyDescent="0.25">
      <c r="A825" s="5" t="s">
        <v>29</v>
      </c>
      <c r="B825" s="6" t="s">
        <v>5</v>
      </c>
      <c r="C825" s="6" t="s">
        <v>53</v>
      </c>
      <c r="D825" s="6">
        <v>45253.578125</v>
      </c>
    </row>
    <row r="826" spans="1:4" x14ac:dyDescent="0.25">
      <c r="A826" s="2" t="s">
        <v>29</v>
      </c>
      <c r="B826" s="3" t="s">
        <v>5</v>
      </c>
      <c r="C826" s="3" t="s">
        <v>54</v>
      </c>
      <c r="D826" s="3">
        <v>45155.22265625</v>
      </c>
    </row>
    <row r="827" spans="1:4" x14ac:dyDescent="0.25">
      <c r="A827" s="2" t="s">
        <v>29</v>
      </c>
      <c r="B827" s="3" t="s">
        <v>5</v>
      </c>
      <c r="C827" s="3" t="s">
        <v>55</v>
      </c>
      <c r="D827" s="3">
        <v>337612.375</v>
      </c>
    </row>
    <row r="828" spans="1:4" x14ac:dyDescent="0.25">
      <c r="A828" s="2" t="s">
        <v>29</v>
      </c>
      <c r="B828" s="3" t="s">
        <v>5</v>
      </c>
      <c r="C828" s="3" t="s">
        <v>56</v>
      </c>
      <c r="D828" s="3">
        <v>330917.0625</v>
      </c>
    </row>
    <row r="829" spans="1:4" x14ac:dyDescent="0.25">
      <c r="A829" s="2" t="s">
        <v>29</v>
      </c>
      <c r="B829" s="3" t="s">
        <v>5</v>
      </c>
      <c r="C829" s="3" t="s">
        <v>57</v>
      </c>
      <c r="D829" s="3">
        <v>343522.8125</v>
      </c>
    </row>
    <row r="830" spans="1:4" x14ac:dyDescent="0.25">
      <c r="A830" s="2" t="s">
        <v>29</v>
      </c>
      <c r="B830" s="3" t="s">
        <v>5</v>
      </c>
      <c r="C830" s="3" t="s">
        <v>58</v>
      </c>
      <c r="D830" s="3">
        <v>348906.8125</v>
      </c>
    </row>
    <row r="831" spans="1:4" x14ac:dyDescent="0.25">
      <c r="A831" s="2" t="s">
        <v>29</v>
      </c>
      <c r="B831" s="3" t="s">
        <v>5</v>
      </c>
      <c r="C831" s="3" t="s">
        <v>59</v>
      </c>
      <c r="D831" s="3">
        <v>345164.15625</v>
      </c>
    </row>
    <row r="832" spans="1:4" x14ac:dyDescent="0.25">
      <c r="A832" s="2" t="s">
        <v>29</v>
      </c>
      <c r="B832" s="3" t="s">
        <v>5</v>
      </c>
      <c r="C832" s="3" t="s">
        <v>60</v>
      </c>
      <c r="D832" s="3">
        <v>347012.125</v>
      </c>
    </row>
    <row r="833" spans="1:4" x14ac:dyDescent="0.25">
      <c r="A833" s="2" t="s">
        <v>29</v>
      </c>
      <c r="B833" s="3" t="s">
        <v>5</v>
      </c>
      <c r="C833" s="3" t="s">
        <v>61</v>
      </c>
      <c r="D833" s="3">
        <v>333016.3125</v>
      </c>
    </row>
    <row r="834" spans="1:4" x14ac:dyDescent="0.25">
      <c r="A834" s="2" t="s">
        <v>29</v>
      </c>
      <c r="B834" s="3" t="s">
        <v>5</v>
      </c>
      <c r="C834" s="3" t="s">
        <v>62</v>
      </c>
      <c r="D834" s="3">
        <v>323350</v>
      </c>
    </row>
    <row r="835" spans="1:4" x14ac:dyDescent="0.25">
      <c r="A835" s="2" t="s">
        <v>29</v>
      </c>
      <c r="B835" s="3" t="s">
        <v>5</v>
      </c>
      <c r="C835" s="3" t="s">
        <v>63</v>
      </c>
      <c r="D835" s="3">
        <v>337590.625</v>
      </c>
    </row>
    <row r="836" spans="1:4" x14ac:dyDescent="0.25">
      <c r="A836" s="2" t="s">
        <v>29</v>
      </c>
      <c r="B836" s="3" t="s">
        <v>5</v>
      </c>
      <c r="C836" s="3" t="s">
        <v>64</v>
      </c>
      <c r="D836" s="3">
        <v>347542.125</v>
      </c>
    </row>
    <row r="837" spans="1:4" x14ac:dyDescent="0.25">
      <c r="A837" s="2" t="s">
        <v>29</v>
      </c>
      <c r="B837" s="3" t="s">
        <v>5</v>
      </c>
      <c r="C837" s="3" t="s">
        <v>65</v>
      </c>
      <c r="D837" s="3">
        <v>346495.75</v>
      </c>
    </row>
    <row r="838" spans="1:4" x14ac:dyDescent="0.25">
      <c r="A838" s="2" t="s">
        <v>29</v>
      </c>
      <c r="B838" s="3" t="s">
        <v>5</v>
      </c>
      <c r="C838" s="3" t="s">
        <v>66</v>
      </c>
      <c r="D838" s="3">
        <v>349834.875</v>
      </c>
    </row>
    <row r="839" spans="1:4" x14ac:dyDescent="0.25">
      <c r="A839" s="2" t="s">
        <v>18</v>
      </c>
      <c r="B839" s="3" t="s">
        <v>5</v>
      </c>
      <c r="C839" s="3" t="s">
        <v>36</v>
      </c>
      <c r="D839" s="3">
        <v>1371788.25</v>
      </c>
    </row>
    <row r="840" spans="1:4" x14ac:dyDescent="0.25">
      <c r="A840" s="5" t="s">
        <v>18</v>
      </c>
      <c r="B840" s="6" t="s">
        <v>5</v>
      </c>
      <c r="C840" s="6" t="s">
        <v>37</v>
      </c>
      <c r="D840" s="6">
        <v>1375939.75</v>
      </c>
    </row>
    <row r="841" spans="1:4" x14ac:dyDescent="0.25">
      <c r="A841" s="2" t="s">
        <v>18</v>
      </c>
      <c r="B841" s="3" t="s">
        <v>5</v>
      </c>
      <c r="C841" s="3" t="s">
        <v>38</v>
      </c>
      <c r="D841" s="3">
        <v>1361933.625</v>
      </c>
    </row>
    <row r="842" spans="1:4" x14ac:dyDescent="0.25">
      <c r="A842" s="5" t="s">
        <v>18</v>
      </c>
      <c r="B842" s="6" t="s">
        <v>5</v>
      </c>
      <c r="C842" s="6" t="s">
        <v>39</v>
      </c>
      <c r="D842" s="6">
        <v>1357750.5</v>
      </c>
    </row>
    <row r="843" spans="1:4" x14ac:dyDescent="0.25">
      <c r="A843" s="2" t="s">
        <v>18</v>
      </c>
      <c r="B843" s="3" t="s">
        <v>5</v>
      </c>
      <c r="C843" s="3" t="s">
        <v>40</v>
      </c>
      <c r="D843" s="3">
        <v>1376825.25</v>
      </c>
    </row>
    <row r="844" spans="1:4" x14ac:dyDescent="0.25">
      <c r="A844" s="5" t="s">
        <v>18</v>
      </c>
      <c r="B844" s="6" t="s">
        <v>5</v>
      </c>
      <c r="C844" s="6" t="s">
        <v>41</v>
      </c>
      <c r="D844" s="6">
        <v>1373304.625</v>
      </c>
    </row>
    <row r="845" spans="1:4" x14ac:dyDescent="0.25">
      <c r="A845" s="2" t="s">
        <v>18</v>
      </c>
      <c r="B845" s="3" t="s">
        <v>5</v>
      </c>
      <c r="C845" s="3" t="s">
        <v>42</v>
      </c>
      <c r="D845" s="3">
        <v>1373510.5</v>
      </c>
    </row>
    <row r="846" spans="1:4" x14ac:dyDescent="0.25">
      <c r="A846" s="5" t="s">
        <v>18</v>
      </c>
      <c r="B846" s="6" t="s">
        <v>5</v>
      </c>
      <c r="C846" s="6" t="s">
        <v>43</v>
      </c>
      <c r="D846" s="6">
        <v>1329098.25</v>
      </c>
    </row>
    <row r="847" spans="1:4" x14ac:dyDescent="0.25">
      <c r="A847" s="2" t="s">
        <v>18</v>
      </c>
      <c r="B847" s="3" t="s">
        <v>5</v>
      </c>
      <c r="C847" s="3" t="s">
        <v>44</v>
      </c>
      <c r="D847" s="3">
        <v>1314198.375</v>
      </c>
    </row>
    <row r="848" spans="1:4" x14ac:dyDescent="0.25">
      <c r="A848" s="5" t="s">
        <v>18</v>
      </c>
      <c r="B848" s="6" t="s">
        <v>5</v>
      </c>
      <c r="C848" s="6" t="s">
        <v>45</v>
      </c>
      <c r="D848" s="6">
        <v>1309267.375</v>
      </c>
    </row>
    <row r="849" spans="1:4" x14ac:dyDescent="0.25">
      <c r="A849" s="2" t="s">
        <v>18</v>
      </c>
      <c r="B849" s="3" t="s">
        <v>5</v>
      </c>
      <c r="C849" s="3" t="s">
        <v>46</v>
      </c>
      <c r="D849" s="3">
        <v>1328662.125</v>
      </c>
    </row>
    <row r="850" spans="1:4" x14ac:dyDescent="0.25">
      <c r="A850" s="5" t="s">
        <v>18</v>
      </c>
      <c r="B850" s="6" t="s">
        <v>5</v>
      </c>
      <c r="C850" s="6" t="s">
        <v>47</v>
      </c>
      <c r="D850" s="6">
        <v>1324217.5</v>
      </c>
    </row>
    <row r="851" spans="1:4" x14ac:dyDescent="0.25">
      <c r="A851" s="2" t="s">
        <v>18</v>
      </c>
      <c r="B851" s="3" t="s">
        <v>5</v>
      </c>
      <c r="C851" s="3" t="s">
        <v>48</v>
      </c>
      <c r="D851" s="3">
        <v>1323201.875</v>
      </c>
    </row>
    <row r="852" spans="1:4" x14ac:dyDescent="0.25">
      <c r="A852" s="5" t="s">
        <v>18</v>
      </c>
      <c r="B852" s="6" t="s">
        <v>5</v>
      </c>
      <c r="C852" s="6" t="s">
        <v>49</v>
      </c>
      <c r="D852" s="6">
        <v>1327549.625</v>
      </c>
    </row>
    <row r="853" spans="1:4" x14ac:dyDescent="0.25">
      <c r="A853" s="2" t="s">
        <v>18</v>
      </c>
      <c r="B853" s="3" t="s">
        <v>5</v>
      </c>
      <c r="C853" s="3" t="s">
        <v>50</v>
      </c>
      <c r="D853" s="3">
        <v>1312875.5</v>
      </c>
    </row>
    <row r="854" spans="1:4" x14ac:dyDescent="0.25">
      <c r="A854" s="5" t="s">
        <v>18</v>
      </c>
      <c r="B854" s="6" t="s">
        <v>5</v>
      </c>
      <c r="C854" s="6" t="s">
        <v>51</v>
      </c>
      <c r="D854" s="6">
        <v>1308498.375</v>
      </c>
    </row>
    <row r="855" spans="1:4" x14ac:dyDescent="0.25">
      <c r="A855" s="2" t="s">
        <v>18</v>
      </c>
      <c r="B855" s="3" t="s">
        <v>5</v>
      </c>
      <c r="C855" s="3" t="s">
        <v>52</v>
      </c>
      <c r="D855" s="3">
        <v>1328493</v>
      </c>
    </row>
    <row r="856" spans="1:4" x14ac:dyDescent="0.25">
      <c r="A856" s="5" t="s">
        <v>18</v>
      </c>
      <c r="B856" s="6" t="s">
        <v>5</v>
      </c>
      <c r="C856" s="6" t="s">
        <v>53</v>
      </c>
      <c r="D856" s="6">
        <v>1324812.875</v>
      </c>
    </row>
    <row r="857" spans="1:4" x14ac:dyDescent="0.25">
      <c r="A857" s="2" t="s">
        <v>18</v>
      </c>
      <c r="B857" s="3" t="s">
        <v>5</v>
      </c>
      <c r="C857" s="3" t="s">
        <v>54</v>
      </c>
      <c r="D857" s="3">
        <v>1324981.5</v>
      </c>
    </row>
    <row r="858" spans="1:4" x14ac:dyDescent="0.25">
      <c r="A858" s="2" t="s">
        <v>18</v>
      </c>
      <c r="B858" s="3" t="s">
        <v>5</v>
      </c>
      <c r="C858" s="3" t="s">
        <v>55</v>
      </c>
      <c r="D858" s="3">
        <v>4219107</v>
      </c>
    </row>
    <row r="859" spans="1:4" x14ac:dyDescent="0.25">
      <c r="A859" s="2" t="s">
        <v>18</v>
      </c>
      <c r="B859" s="3" t="s">
        <v>5</v>
      </c>
      <c r="C859" s="3" t="s">
        <v>56</v>
      </c>
      <c r="D859" s="3">
        <v>4132092.75</v>
      </c>
    </row>
    <row r="860" spans="1:4" x14ac:dyDescent="0.25">
      <c r="A860" s="2" t="s">
        <v>18</v>
      </c>
      <c r="B860" s="3" t="s">
        <v>5</v>
      </c>
      <c r="C860" s="3" t="s">
        <v>57</v>
      </c>
      <c r="D860" s="3">
        <v>4291627</v>
      </c>
    </row>
    <row r="861" spans="1:4" x14ac:dyDescent="0.25">
      <c r="A861" s="2" t="s">
        <v>18</v>
      </c>
      <c r="B861" s="3" t="s">
        <v>5</v>
      </c>
      <c r="C861" s="3" t="s">
        <v>58</v>
      </c>
      <c r="D861" s="3">
        <v>4363075</v>
      </c>
    </row>
    <row r="862" spans="1:4" x14ac:dyDescent="0.25">
      <c r="A862" s="2" t="s">
        <v>18</v>
      </c>
      <c r="B862" s="3" t="s">
        <v>5</v>
      </c>
      <c r="C862" s="3" t="s">
        <v>59</v>
      </c>
      <c r="D862" s="3">
        <v>4318934.5</v>
      </c>
    </row>
    <row r="863" spans="1:4" x14ac:dyDescent="0.25">
      <c r="A863" s="2" t="s">
        <v>18</v>
      </c>
      <c r="B863" s="3" t="s">
        <v>5</v>
      </c>
      <c r="C863" s="3" t="s">
        <v>60</v>
      </c>
      <c r="D863" s="3">
        <v>4343203</v>
      </c>
    </row>
    <row r="864" spans="1:4" x14ac:dyDescent="0.25">
      <c r="A864" s="2" t="s">
        <v>18</v>
      </c>
      <c r="B864" s="3" t="s">
        <v>5</v>
      </c>
      <c r="C864" s="3" t="s">
        <v>61</v>
      </c>
      <c r="D864" s="3">
        <v>4170013.75</v>
      </c>
    </row>
    <row r="865" spans="1:4" x14ac:dyDescent="0.25">
      <c r="A865" s="2" t="s">
        <v>18</v>
      </c>
      <c r="B865" s="3" t="s">
        <v>5</v>
      </c>
      <c r="C865" s="3" t="s">
        <v>62</v>
      </c>
      <c r="D865" s="3">
        <v>4052370.25</v>
      </c>
    </row>
    <row r="866" spans="1:4" x14ac:dyDescent="0.25">
      <c r="A866" s="2" t="s">
        <v>18</v>
      </c>
      <c r="B866" s="3" t="s">
        <v>5</v>
      </c>
      <c r="C866" s="3" t="s">
        <v>63</v>
      </c>
      <c r="D866" s="3">
        <v>4228967</v>
      </c>
    </row>
    <row r="867" spans="1:4" x14ac:dyDescent="0.25">
      <c r="A867" s="2" t="s">
        <v>18</v>
      </c>
      <c r="B867" s="3" t="s">
        <v>5</v>
      </c>
      <c r="C867" s="3" t="s">
        <v>64</v>
      </c>
      <c r="D867" s="3">
        <v>4348929</v>
      </c>
    </row>
    <row r="868" spans="1:4" x14ac:dyDescent="0.25">
      <c r="A868" s="2" t="s">
        <v>18</v>
      </c>
      <c r="B868" s="3" t="s">
        <v>5</v>
      </c>
      <c r="C868" s="3" t="s">
        <v>65</v>
      </c>
      <c r="D868" s="3">
        <v>4333330</v>
      </c>
    </row>
    <row r="869" spans="1:4" x14ac:dyDescent="0.25">
      <c r="A869" s="2" t="s">
        <v>18</v>
      </c>
      <c r="B869" s="3" t="s">
        <v>5</v>
      </c>
      <c r="C869" s="3" t="s">
        <v>66</v>
      </c>
      <c r="D869" s="3">
        <v>4372742</v>
      </c>
    </row>
    <row r="870" spans="1:4" x14ac:dyDescent="0.25">
      <c r="A870" s="5" t="s">
        <v>6</v>
      </c>
      <c r="B870" s="6" t="s">
        <v>5</v>
      </c>
      <c r="C870" s="6" t="s">
        <v>36</v>
      </c>
      <c r="D870" s="6">
        <v>935654.9375</v>
      </c>
    </row>
    <row r="871" spans="1:4" x14ac:dyDescent="0.25">
      <c r="A871" s="2" t="s">
        <v>6</v>
      </c>
      <c r="B871" s="3" t="s">
        <v>5</v>
      </c>
      <c r="C871" s="3" t="s">
        <v>37</v>
      </c>
      <c r="D871" s="3">
        <v>950110.75</v>
      </c>
    </row>
    <row r="872" spans="1:4" x14ac:dyDescent="0.25">
      <c r="A872" s="5" t="s">
        <v>6</v>
      </c>
      <c r="B872" s="6" t="s">
        <v>5</v>
      </c>
      <c r="C872" s="6" t="s">
        <v>38</v>
      </c>
      <c r="D872" s="6">
        <v>900930</v>
      </c>
    </row>
    <row r="873" spans="1:4" x14ac:dyDescent="0.25">
      <c r="A873" s="2" t="s">
        <v>6</v>
      </c>
      <c r="B873" s="3" t="s">
        <v>5</v>
      </c>
      <c r="C873" s="3" t="s">
        <v>39</v>
      </c>
      <c r="D873" s="3">
        <v>886623.8125</v>
      </c>
    </row>
    <row r="874" spans="1:4" x14ac:dyDescent="0.25">
      <c r="A874" s="5" t="s">
        <v>6</v>
      </c>
      <c r="B874" s="6" t="s">
        <v>5</v>
      </c>
      <c r="C874" s="6" t="s">
        <v>40</v>
      </c>
      <c r="D874" s="6">
        <v>954327.6875</v>
      </c>
    </row>
    <row r="875" spans="1:4" x14ac:dyDescent="0.25">
      <c r="A875" s="2" t="s">
        <v>6</v>
      </c>
      <c r="B875" s="3" t="s">
        <v>5</v>
      </c>
      <c r="C875" s="3" t="s">
        <v>41</v>
      </c>
      <c r="D875" s="3">
        <v>942670.125</v>
      </c>
    </row>
    <row r="876" spans="1:4" x14ac:dyDescent="0.25">
      <c r="A876" s="5" t="s">
        <v>6</v>
      </c>
      <c r="B876" s="6" t="s">
        <v>5</v>
      </c>
      <c r="C876" s="6" t="s">
        <v>42</v>
      </c>
      <c r="D876" s="6">
        <v>942142.5</v>
      </c>
    </row>
    <row r="877" spans="1:4" x14ac:dyDescent="0.25">
      <c r="A877" s="2" t="s">
        <v>6</v>
      </c>
      <c r="B877" s="3" t="s">
        <v>5</v>
      </c>
      <c r="C877" s="3" t="s">
        <v>43</v>
      </c>
      <c r="D877" s="3">
        <v>990200.6875</v>
      </c>
    </row>
    <row r="878" spans="1:4" x14ac:dyDescent="0.25">
      <c r="A878" s="5" t="s">
        <v>6</v>
      </c>
      <c r="B878" s="6" t="s">
        <v>5</v>
      </c>
      <c r="C878" s="6" t="s">
        <v>44</v>
      </c>
      <c r="D878" s="6">
        <v>938476.625</v>
      </c>
    </row>
    <row r="879" spans="1:4" x14ac:dyDescent="0.25">
      <c r="A879" s="2" t="s">
        <v>6</v>
      </c>
      <c r="B879" s="3" t="s">
        <v>5</v>
      </c>
      <c r="C879" s="3" t="s">
        <v>45</v>
      </c>
      <c r="D879" s="3">
        <v>920952.125</v>
      </c>
    </row>
    <row r="880" spans="1:4" x14ac:dyDescent="0.25">
      <c r="A880" s="5" t="s">
        <v>6</v>
      </c>
      <c r="B880" s="6" t="s">
        <v>5</v>
      </c>
      <c r="C880" s="6" t="s">
        <v>46</v>
      </c>
      <c r="D880" s="6">
        <v>987533.3125</v>
      </c>
    </row>
    <row r="881" spans="1:4" x14ac:dyDescent="0.25">
      <c r="A881" s="2" t="s">
        <v>6</v>
      </c>
      <c r="B881" s="3" t="s">
        <v>5</v>
      </c>
      <c r="C881" s="3" t="s">
        <v>47</v>
      </c>
      <c r="D881" s="3">
        <v>971422.4375</v>
      </c>
    </row>
    <row r="882" spans="1:4" x14ac:dyDescent="0.25">
      <c r="A882" s="5" t="s">
        <v>6</v>
      </c>
      <c r="B882" s="6" t="s">
        <v>5</v>
      </c>
      <c r="C882" s="6" t="s">
        <v>48</v>
      </c>
      <c r="D882" s="6">
        <v>967351.6875</v>
      </c>
    </row>
    <row r="883" spans="1:4" x14ac:dyDescent="0.25">
      <c r="A883" s="2" t="s">
        <v>6</v>
      </c>
      <c r="B883" s="3" t="s">
        <v>5</v>
      </c>
      <c r="C883" s="3" t="s">
        <v>49</v>
      </c>
      <c r="D883" s="3">
        <v>982209.3125</v>
      </c>
    </row>
    <row r="884" spans="1:4" x14ac:dyDescent="0.25">
      <c r="A884" s="5" t="s">
        <v>6</v>
      </c>
      <c r="B884" s="6" t="s">
        <v>5</v>
      </c>
      <c r="C884" s="6" t="s">
        <v>50</v>
      </c>
      <c r="D884" s="6">
        <v>931669.875</v>
      </c>
    </row>
    <row r="885" spans="1:4" x14ac:dyDescent="0.25">
      <c r="A885" s="2" t="s">
        <v>6</v>
      </c>
      <c r="B885" s="3" t="s">
        <v>5</v>
      </c>
      <c r="C885" s="3" t="s">
        <v>51</v>
      </c>
      <c r="D885" s="3">
        <v>916964.4375</v>
      </c>
    </row>
    <row r="886" spans="1:4" x14ac:dyDescent="0.25">
      <c r="A886" s="5" t="s">
        <v>6</v>
      </c>
      <c r="B886" s="6" t="s">
        <v>5</v>
      </c>
      <c r="C886" s="6" t="s">
        <v>52</v>
      </c>
      <c r="D886" s="6">
        <v>986529.625</v>
      </c>
    </row>
    <row r="887" spans="1:4" x14ac:dyDescent="0.25">
      <c r="A887" s="2" t="s">
        <v>6</v>
      </c>
      <c r="B887" s="3" t="s">
        <v>5</v>
      </c>
      <c r="C887" s="3" t="s">
        <v>53</v>
      </c>
      <c r="D887" s="3">
        <v>974542.6875</v>
      </c>
    </row>
    <row r="888" spans="1:4" x14ac:dyDescent="0.25">
      <c r="A888" s="5" t="s">
        <v>6</v>
      </c>
      <c r="B888" s="6" t="s">
        <v>5</v>
      </c>
      <c r="C888" s="6" t="s">
        <v>54</v>
      </c>
      <c r="D888" s="6">
        <v>973996.6875</v>
      </c>
    </row>
    <row r="889" spans="1:4" x14ac:dyDescent="0.25">
      <c r="A889" s="5" t="s">
        <v>6</v>
      </c>
      <c r="B889" s="6" t="s">
        <v>5</v>
      </c>
      <c r="C889" s="6" t="s">
        <v>55</v>
      </c>
      <c r="D889" s="6">
        <v>4367722</v>
      </c>
    </row>
    <row r="890" spans="1:4" x14ac:dyDescent="0.25">
      <c r="A890" s="5" t="s">
        <v>6</v>
      </c>
      <c r="B890" s="6" t="s">
        <v>5</v>
      </c>
      <c r="C890" s="6" t="s">
        <v>56</v>
      </c>
      <c r="D890" s="6">
        <v>4276534</v>
      </c>
    </row>
    <row r="891" spans="1:4" x14ac:dyDescent="0.25">
      <c r="A891" s="5" t="s">
        <v>6</v>
      </c>
      <c r="B891" s="6" t="s">
        <v>5</v>
      </c>
      <c r="C891" s="6" t="s">
        <v>57</v>
      </c>
      <c r="D891" s="6">
        <v>4442333.5</v>
      </c>
    </row>
    <row r="892" spans="1:4" x14ac:dyDescent="0.25">
      <c r="A892" s="5" t="s">
        <v>6</v>
      </c>
      <c r="B892" s="6" t="s">
        <v>5</v>
      </c>
      <c r="C892" s="6" t="s">
        <v>58</v>
      </c>
      <c r="D892" s="6">
        <v>4517949</v>
      </c>
    </row>
    <row r="893" spans="1:4" x14ac:dyDescent="0.25">
      <c r="A893" s="5" t="s">
        <v>6</v>
      </c>
      <c r="B893" s="6" t="s">
        <v>5</v>
      </c>
      <c r="C893" s="6" t="s">
        <v>59</v>
      </c>
      <c r="D893" s="6">
        <v>4473162</v>
      </c>
    </row>
    <row r="894" spans="1:4" x14ac:dyDescent="0.25">
      <c r="A894" s="5" t="s">
        <v>6</v>
      </c>
      <c r="B894" s="6" t="s">
        <v>5</v>
      </c>
      <c r="C894" s="6" t="s">
        <v>60</v>
      </c>
      <c r="D894" s="6">
        <v>4498879</v>
      </c>
    </row>
    <row r="895" spans="1:4" x14ac:dyDescent="0.25">
      <c r="A895" s="5" t="s">
        <v>6</v>
      </c>
      <c r="B895" s="6" t="s">
        <v>5</v>
      </c>
      <c r="C895" s="6" t="s">
        <v>61</v>
      </c>
      <c r="D895" s="6">
        <v>4320230</v>
      </c>
    </row>
    <row r="896" spans="1:4" x14ac:dyDescent="0.25">
      <c r="A896" s="5" t="s">
        <v>6</v>
      </c>
      <c r="B896" s="6" t="s">
        <v>5</v>
      </c>
      <c r="C896" s="6" t="s">
        <v>62</v>
      </c>
      <c r="D896" s="6">
        <v>4199307</v>
      </c>
    </row>
    <row r="897" spans="1:4" x14ac:dyDescent="0.25">
      <c r="A897" s="5" t="s">
        <v>6</v>
      </c>
      <c r="B897" s="6" t="s">
        <v>5</v>
      </c>
      <c r="C897" s="6" t="s">
        <v>63</v>
      </c>
      <c r="D897" s="6">
        <v>4381631.5</v>
      </c>
    </row>
    <row r="898" spans="1:4" x14ac:dyDescent="0.25">
      <c r="A898" s="5" t="s">
        <v>6</v>
      </c>
      <c r="B898" s="6" t="s">
        <v>5</v>
      </c>
      <c r="C898" s="6" t="s">
        <v>64</v>
      </c>
      <c r="D898" s="6">
        <v>4504234.5</v>
      </c>
    </row>
    <row r="899" spans="1:4" x14ac:dyDescent="0.25">
      <c r="A899" s="5" t="s">
        <v>6</v>
      </c>
      <c r="B899" s="6" t="s">
        <v>5</v>
      </c>
      <c r="C899" s="6" t="s">
        <v>65</v>
      </c>
      <c r="D899" s="6">
        <v>4487117.5</v>
      </c>
    </row>
    <row r="900" spans="1:4" x14ac:dyDescent="0.25">
      <c r="A900" s="5" t="s">
        <v>6</v>
      </c>
      <c r="B900" s="6" t="s">
        <v>5</v>
      </c>
      <c r="C900" s="6" t="s">
        <v>66</v>
      </c>
      <c r="D900" s="6">
        <v>4527552</v>
      </c>
    </row>
    <row r="901" spans="1:4" x14ac:dyDescent="0.25">
      <c r="A901" s="2" t="s">
        <v>23</v>
      </c>
      <c r="B901" s="3" t="s">
        <v>5</v>
      </c>
      <c r="C901" s="3" t="s">
        <v>36</v>
      </c>
      <c r="D901" s="3">
        <v>2512023</v>
      </c>
    </row>
    <row r="902" spans="1:4" x14ac:dyDescent="0.25">
      <c r="A902" s="5" t="s">
        <v>23</v>
      </c>
      <c r="B902" s="6" t="s">
        <v>5</v>
      </c>
      <c r="C902" s="6" t="s">
        <v>37</v>
      </c>
      <c r="D902" s="6">
        <v>2526046</v>
      </c>
    </row>
    <row r="903" spans="1:4" x14ac:dyDescent="0.25">
      <c r="A903" s="2" t="s">
        <v>23</v>
      </c>
      <c r="B903" s="3" t="s">
        <v>5</v>
      </c>
      <c r="C903" s="3" t="s">
        <v>38</v>
      </c>
      <c r="D903" s="3">
        <v>2478635</v>
      </c>
    </row>
    <row r="904" spans="1:4" x14ac:dyDescent="0.25">
      <c r="A904" s="5" t="s">
        <v>23</v>
      </c>
      <c r="B904" s="6" t="s">
        <v>5</v>
      </c>
      <c r="C904" s="6" t="s">
        <v>39</v>
      </c>
      <c r="D904" s="6">
        <v>2464628.5</v>
      </c>
    </row>
    <row r="905" spans="1:4" x14ac:dyDescent="0.25">
      <c r="A905" s="2" t="s">
        <v>23</v>
      </c>
      <c r="B905" s="3" t="s">
        <v>5</v>
      </c>
      <c r="C905" s="3" t="s">
        <v>40</v>
      </c>
      <c r="D905" s="3">
        <v>2529458</v>
      </c>
    </row>
    <row r="906" spans="1:4" x14ac:dyDescent="0.25">
      <c r="A906" s="5" t="s">
        <v>23</v>
      </c>
      <c r="B906" s="6" t="s">
        <v>5</v>
      </c>
      <c r="C906" s="6" t="s">
        <v>41</v>
      </c>
      <c r="D906" s="6">
        <v>2517815.5</v>
      </c>
    </row>
    <row r="907" spans="1:4" x14ac:dyDescent="0.25">
      <c r="A907" s="2" t="s">
        <v>23</v>
      </c>
      <c r="B907" s="3" t="s">
        <v>5</v>
      </c>
      <c r="C907" s="3" t="s">
        <v>42</v>
      </c>
      <c r="D907" s="3">
        <v>2517719.75</v>
      </c>
    </row>
    <row r="908" spans="1:4" x14ac:dyDescent="0.25">
      <c r="A908" s="5" t="s">
        <v>23</v>
      </c>
      <c r="B908" s="6" t="s">
        <v>5</v>
      </c>
      <c r="C908" s="6" t="s">
        <v>43</v>
      </c>
      <c r="D908" s="6">
        <v>2538400.25</v>
      </c>
    </row>
    <row r="909" spans="1:4" x14ac:dyDescent="0.25">
      <c r="A909" s="2" t="s">
        <v>23</v>
      </c>
      <c r="B909" s="3" t="s">
        <v>5</v>
      </c>
      <c r="C909" s="3" t="s">
        <v>44</v>
      </c>
      <c r="D909" s="3">
        <v>2487744.5</v>
      </c>
    </row>
    <row r="910" spans="1:4" x14ac:dyDescent="0.25">
      <c r="A910" s="5" t="s">
        <v>23</v>
      </c>
      <c r="B910" s="6" t="s">
        <v>5</v>
      </c>
      <c r="C910" s="6" t="s">
        <v>45</v>
      </c>
      <c r="D910" s="6">
        <v>2470850.5</v>
      </c>
    </row>
    <row r="911" spans="1:4" x14ac:dyDescent="0.25">
      <c r="A911" s="2" t="s">
        <v>23</v>
      </c>
      <c r="B911" s="3" t="s">
        <v>5</v>
      </c>
      <c r="C911" s="3" t="s">
        <v>46</v>
      </c>
      <c r="D911" s="3">
        <v>2536536.5</v>
      </c>
    </row>
    <row r="912" spans="1:4" x14ac:dyDescent="0.25">
      <c r="A912" s="5" t="s">
        <v>23</v>
      </c>
      <c r="B912" s="6" t="s">
        <v>5</v>
      </c>
      <c r="C912" s="6" t="s">
        <v>47</v>
      </c>
      <c r="D912" s="6">
        <v>2521205.5</v>
      </c>
    </row>
    <row r="913" spans="1:4" x14ac:dyDescent="0.25">
      <c r="A913" s="2" t="s">
        <v>23</v>
      </c>
      <c r="B913" s="3" t="s">
        <v>5</v>
      </c>
      <c r="C913" s="3" t="s">
        <v>48</v>
      </c>
      <c r="D913" s="3">
        <v>2517568</v>
      </c>
    </row>
    <row r="914" spans="1:4" x14ac:dyDescent="0.25">
      <c r="A914" s="5" t="s">
        <v>23</v>
      </c>
      <c r="B914" s="6" t="s">
        <v>5</v>
      </c>
      <c r="C914" s="6" t="s">
        <v>49</v>
      </c>
      <c r="D914" s="6">
        <v>2532292</v>
      </c>
    </row>
    <row r="915" spans="1:4" x14ac:dyDescent="0.25">
      <c r="A915" s="2" t="s">
        <v>23</v>
      </c>
      <c r="B915" s="3" t="s">
        <v>5</v>
      </c>
      <c r="C915" s="3" t="s">
        <v>50</v>
      </c>
      <c r="D915" s="3">
        <v>2482541.25</v>
      </c>
    </row>
    <row r="916" spans="1:4" x14ac:dyDescent="0.25">
      <c r="A916" s="5" t="s">
        <v>23</v>
      </c>
      <c r="B916" s="6" t="s">
        <v>5</v>
      </c>
      <c r="C916" s="6" t="s">
        <v>51</v>
      </c>
      <c r="D916" s="6">
        <v>2467824.25</v>
      </c>
    </row>
    <row r="917" spans="1:4" x14ac:dyDescent="0.25">
      <c r="A917" s="2" t="s">
        <v>23</v>
      </c>
      <c r="B917" s="3" t="s">
        <v>5</v>
      </c>
      <c r="C917" s="3" t="s">
        <v>52</v>
      </c>
      <c r="D917" s="3">
        <v>2535818.25</v>
      </c>
    </row>
    <row r="918" spans="1:4" x14ac:dyDescent="0.25">
      <c r="A918" s="5" t="s">
        <v>23</v>
      </c>
      <c r="B918" s="6" t="s">
        <v>5</v>
      </c>
      <c r="C918" s="6" t="s">
        <v>53</v>
      </c>
      <c r="D918" s="6">
        <v>2523571</v>
      </c>
    </row>
    <row r="919" spans="1:4" x14ac:dyDescent="0.25">
      <c r="A919" s="2" t="s">
        <v>23</v>
      </c>
      <c r="B919" s="3" t="s">
        <v>5</v>
      </c>
      <c r="C919" s="3" t="s">
        <v>54</v>
      </c>
      <c r="D919" s="3">
        <v>2523387.25</v>
      </c>
    </row>
    <row r="920" spans="1:4" x14ac:dyDescent="0.25">
      <c r="A920" s="5" t="s">
        <v>23</v>
      </c>
      <c r="B920" s="6" t="s">
        <v>5</v>
      </c>
      <c r="C920" s="6" t="s">
        <v>55</v>
      </c>
      <c r="D920" s="6">
        <v>5415248</v>
      </c>
    </row>
    <row r="921" spans="1:4" x14ac:dyDescent="0.25">
      <c r="A921" s="5" t="s">
        <v>23</v>
      </c>
      <c r="B921" s="6" t="s">
        <v>5</v>
      </c>
      <c r="C921" s="6" t="s">
        <v>56</v>
      </c>
      <c r="D921" s="6">
        <v>5309694</v>
      </c>
    </row>
    <row r="922" spans="1:4" x14ac:dyDescent="0.25">
      <c r="A922" s="5" t="s">
        <v>23</v>
      </c>
      <c r="B922" s="6" t="s">
        <v>5</v>
      </c>
      <c r="C922" s="6" t="s">
        <v>57</v>
      </c>
      <c r="D922" s="6">
        <v>5510485.5</v>
      </c>
    </row>
    <row r="923" spans="1:4" x14ac:dyDescent="0.25">
      <c r="A923" s="5" t="s">
        <v>23</v>
      </c>
      <c r="B923" s="6" t="s">
        <v>5</v>
      </c>
      <c r="C923" s="6" t="s">
        <v>58</v>
      </c>
      <c r="D923" s="6">
        <v>5592834</v>
      </c>
    </row>
    <row r="924" spans="1:4" x14ac:dyDescent="0.25">
      <c r="A924" s="5" t="s">
        <v>23</v>
      </c>
      <c r="B924" s="6" t="s">
        <v>5</v>
      </c>
      <c r="C924" s="6" t="s">
        <v>59</v>
      </c>
      <c r="D924" s="6">
        <v>5530493</v>
      </c>
    </row>
    <row r="925" spans="1:4" x14ac:dyDescent="0.25">
      <c r="A925" s="5" t="s">
        <v>23</v>
      </c>
      <c r="B925" s="6" t="s">
        <v>5</v>
      </c>
      <c r="C925" s="6" t="s">
        <v>60</v>
      </c>
      <c r="D925" s="6">
        <v>5558627</v>
      </c>
    </row>
    <row r="926" spans="1:4" x14ac:dyDescent="0.25">
      <c r="A926" s="5" t="s">
        <v>23</v>
      </c>
      <c r="B926" s="6" t="s">
        <v>5</v>
      </c>
      <c r="C926" s="6" t="s">
        <v>61</v>
      </c>
      <c r="D926" s="6">
        <v>5332501</v>
      </c>
    </row>
    <row r="927" spans="1:4" x14ac:dyDescent="0.25">
      <c r="A927" s="5" t="s">
        <v>23</v>
      </c>
      <c r="B927" s="6" t="s">
        <v>5</v>
      </c>
      <c r="C927" s="6" t="s">
        <v>62</v>
      </c>
      <c r="D927" s="6">
        <v>5175966.5</v>
      </c>
    </row>
    <row r="928" spans="1:4" x14ac:dyDescent="0.25">
      <c r="A928" s="5" t="s">
        <v>23</v>
      </c>
      <c r="B928" s="6" t="s">
        <v>5</v>
      </c>
      <c r="C928" s="6" t="s">
        <v>63</v>
      </c>
      <c r="D928" s="6">
        <v>5406128.5</v>
      </c>
    </row>
    <row r="929" spans="1:4" x14ac:dyDescent="0.25">
      <c r="A929" s="5" t="s">
        <v>23</v>
      </c>
      <c r="B929" s="6" t="s">
        <v>5</v>
      </c>
      <c r="C929" s="6" t="s">
        <v>64</v>
      </c>
      <c r="D929" s="6">
        <v>5569016</v>
      </c>
    </row>
    <row r="930" spans="1:4" x14ac:dyDescent="0.25">
      <c r="A930" s="5" t="s">
        <v>23</v>
      </c>
      <c r="B930" s="6" t="s">
        <v>5</v>
      </c>
      <c r="C930" s="6" t="s">
        <v>65</v>
      </c>
      <c r="D930" s="6">
        <v>5554557</v>
      </c>
    </row>
    <row r="931" spans="1:4" x14ac:dyDescent="0.25">
      <c r="A931" s="5" t="s">
        <v>23</v>
      </c>
      <c r="B931" s="6" t="s">
        <v>5</v>
      </c>
      <c r="C931" s="6" t="s">
        <v>66</v>
      </c>
      <c r="D931" s="6">
        <v>5608435.5</v>
      </c>
    </row>
    <row r="932" spans="1:4" x14ac:dyDescent="0.25">
      <c r="A932" s="5" t="s">
        <v>32</v>
      </c>
      <c r="B932" s="6" t="s">
        <v>5</v>
      </c>
      <c r="C932" s="6" t="s">
        <v>36</v>
      </c>
      <c r="D932" s="6">
        <v>374364.3125</v>
      </c>
    </row>
    <row r="933" spans="1:4" x14ac:dyDescent="0.25">
      <c r="A933" s="2" t="s">
        <v>32</v>
      </c>
      <c r="B933" s="3" t="s">
        <v>5</v>
      </c>
      <c r="C933" s="3" t="s">
        <v>37</v>
      </c>
      <c r="D933" s="3">
        <v>379562.0625</v>
      </c>
    </row>
    <row r="934" spans="1:4" x14ac:dyDescent="0.25">
      <c r="A934" s="5" t="s">
        <v>32</v>
      </c>
      <c r="B934" s="6" t="s">
        <v>5</v>
      </c>
      <c r="C934" s="6" t="s">
        <v>38</v>
      </c>
      <c r="D934" s="6">
        <v>361995.21875</v>
      </c>
    </row>
    <row r="935" spans="1:4" x14ac:dyDescent="0.25">
      <c r="A935" s="2" t="s">
        <v>32</v>
      </c>
      <c r="B935" s="3" t="s">
        <v>5</v>
      </c>
      <c r="C935" s="3" t="s">
        <v>39</v>
      </c>
      <c r="D935" s="3">
        <v>356797.65625</v>
      </c>
    </row>
    <row r="936" spans="1:4" x14ac:dyDescent="0.25">
      <c r="A936" s="5" t="s">
        <v>32</v>
      </c>
      <c r="B936" s="6" t="s">
        <v>5</v>
      </c>
      <c r="C936" s="6" t="s">
        <v>40</v>
      </c>
      <c r="D936" s="6">
        <v>380808.53125</v>
      </c>
    </row>
    <row r="937" spans="1:4" x14ac:dyDescent="0.25">
      <c r="A937" s="2" t="s">
        <v>32</v>
      </c>
      <c r="B937" s="3" t="s">
        <v>5</v>
      </c>
      <c r="C937" s="3" t="s">
        <v>41</v>
      </c>
      <c r="D937" s="3">
        <v>376486.875</v>
      </c>
    </row>
    <row r="938" spans="1:4" x14ac:dyDescent="0.25">
      <c r="A938" s="5" t="s">
        <v>32</v>
      </c>
      <c r="B938" s="6" t="s">
        <v>5</v>
      </c>
      <c r="C938" s="6" t="s">
        <v>42</v>
      </c>
      <c r="D938" s="6">
        <v>376177.875</v>
      </c>
    </row>
    <row r="939" spans="1:4" x14ac:dyDescent="0.25">
      <c r="A939" s="2" t="s">
        <v>32</v>
      </c>
      <c r="B939" s="3" t="s">
        <v>5</v>
      </c>
      <c r="C939" s="3" t="s">
        <v>43</v>
      </c>
      <c r="D939" s="3">
        <v>404242.46875</v>
      </c>
    </row>
    <row r="940" spans="1:4" x14ac:dyDescent="0.25">
      <c r="A940" s="5" t="s">
        <v>32</v>
      </c>
      <c r="B940" s="6" t="s">
        <v>5</v>
      </c>
      <c r="C940" s="6" t="s">
        <v>44</v>
      </c>
      <c r="D940" s="6">
        <v>385568.09375</v>
      </c>
    </row>
    <row r="941" spans="1:4" x14ac:dyDescent="0.25">
      <c r="A941" s="2" t="s">
        <v>32</v>
      </c>
      <c r="B941" s="3" t="s">
        <v>5</v>
      </c>
      <c r="C941" s="3" t="s">
        <v>45</v>
      </c>
      <c r="D941" s="3">
        <v>379344.625</v>
      </c>
    </row>
    <row r="942" spans="1:4" x14ac:dyDescent="0.25">
      <c r="A942" s="5" t="s">
        <v>32</v>
      </c>
      <c r="B942" s="6" t="s">
        <v>5</v>
      </c>
      <c r="C942" s="6" t="s">
        <v>46</v>
      </c>
      <c r="D942" s="6">
        <v>403570.125</v>
      </c>
    </row>
    <row r="943" spans="1:4" x14ac:dyDescent="0.25">
      <c r="A943" s="2" t="s">
        <v>32</v>
      </c>
      <c r="B943" s="3" t="s">
        <v>5</v>
      </c>
      <c r="C943" s="3" t="s">
        <v>47</v>
      </c>
      <c r="D943" s="3">
        <v>397923.3125</v>
      </c>
    </row>
    <row r="944" spans="1:4" x14ac:dyDescent="0.25">
      <c r="A944" s="5" t="s">
        <v>32</v>
      </c>
      <c r="B944" s="6" t="s">
        <v>5</v>
      </c>
      <c r="C944" s="6" t="s">
        <v>48</v>
      </c>
      <c r="D944" s="6">
        <v>396589.5</v>
      </c>
    </row>
    <row r="945" spans="1:4" x14ac:dyDescent="0.25">
      <c r="A945" s="2" t="s">
        <v>32</v>
      </c>
      <c r="B945" s="3" t="s">
        <v>5</v>
      </c>
      <c r="C945" s="3" t="s">
        <v>49</v>
      </c>
      <c r="D945" s="3">
        <v>402020.21875</v>
      </c>
    </row>
    <row r="946" spans="1:4" x14ac:dyDescent="0.25">
      <c r="A946" s="5" t="s">
        <v>32</v>
      </c>
      <c r="B946" s="6" t="s">
        <v>5</v>
      </c>
      <c r="C946" s="6" t="s">
        <v>50</v>
      </c>
      <c r="D946" s="6">
        <v>383674.84375</v>
      </c>
    </row>
    <row r="947" spans="1:4" x14ac:dyDescent="0.25">
      <c r="A947" s="2" t="s">
        <v>32</v>
      </c>
      <c r="B947" s="3" t="s">
        <v>5</v>
      </c>
      <c r="C947" s="3" t="s">
        <v>51</v>
      </c>
      <c r="D947" s="3">
        <v>378241.5</v>
      </c>
    </row>
    <row r="948" spans="1:4" x14ac:dyDescent="0.25">
      <c r="A948" s="5" t="s">
        <v>32</v>
      </c>
      <c r="B948" s="6" t="s">
        <v>5</v>
      </c>
      <c r="C948" s="6" t="s">
        <v>52</v>
      </c>
      <c r="D948" s="6">
        <v>403306.28125</v>
      </c>
    </row>
    <row r="949" spans="1:4" x14ac:dyDescent="0.25">
      <c r="A949" s="2" t="s">
        <v>32</v>
      </c>
      <c r="B949" s="3" t="s">
        <v>5</v>
      </c>
      <c r="C949" s="3" t="s">
        <v>53</v>
      </c>
      <c r="D949" s="3">
        <v>398784.3125</v>
      </c>
    </row>
    <row r="950" spans="1:4" x14ac:dyDescent="0.25">
      <c r="A950" s="5" t="s">
        <v>32</v>
      </c>
      <c r="B950" s="6" t="s">
        <v>5</v>
      </c>
      <c r="C950" s="6" t="s">
        <v>54</v>
      </c>
      <c r="D950" s="6">
        <v>398456.53125</v>
      </c>
    </row>
    <row r="951" spans="1:4" x14ac:dyDescent="0.25">
      <c r="A951" s="5" t="s">
        <v>32</v>
      </c>
      <c r="B951" s="6" t="s">
        <v>5</v>
      </c>
      <c r="C951" s="6" t="s">
        <v>55</v>
      </c>
      <c r="D951" s="6">
        <v>3056432.25</v>
      </c>
    </row>
    <row r="952" spans="1:4" x14ac:dyDescent="0.25">
      <c r="A952" s="5" t="s">
        <v>32</v>
      </c>
      <c r="B952" s="6" t="s">
        <v>5</v>
      </c>
      <c r="C952" s="6" t="s">
        <v>56</v>
      </c>
      <c r="D952" s="6">
        <v>2994546</v>
      </c>
    </row>
    <row r="953" spans="1:4" x14ac:dyDescent="0.25">
      <c r="A953" s="5" t="s">
        <v>32</v>
      </c>
      <c r="B953" s="6" t="s">
        <v>5</v>
      </c>
      <c r="C953" s="6" t="s">
        <v>57</v>
      </c>
      <c r="D953" s="6">
        <v>3109342.25</v>
      </c>
    </row>
    <row r="954" spans="1:4" x14ac:dyDescent="0.25">
      <c r="A954" s="5" t="s">
        <v>32</v>
      </c>
      <c r="B954" s="6" t="s">
        <v>5</v>
      </c>
      <c r="C954" s="6" t="s">
        <v>58</v>
      </c>
      <c r="D954" s="6">
        <v>3159442.5</v>
      </c>
    </row>
    <row r="955" spans="1:4" x14ac:dyDescent="0.25">
      <c r="A955" s="5" t="s">
        <v>32</v>
      </c>
      <c r="B955" s="6" t="s">
        <v>5</v>
      </c>
      <c r="C955" s="6" t="s">
        <v>59</v>
      </c>
      <c r="D955" s="6">
        <v>3126357</v>
      </c>
    </row>
    <row r="956" spans="1:4" x14ac:dyDescent="0.25">
      <c r="A956" s="5" t="s">
        <v>32</v>
      </c>
      <c r="B956" s="6" t="s">
        <v>5</v>
      </c>
      <c r="C956" s="6" t="s">
        <v>60</v>
      </c>
      <c r="D956" s="6">
        <v>3143459</v>
      </c>
    </row>
    <row r="957" spans="1:4" x14ac:dyDescent="0.25">
      <c r="A957" s="5" t="s">
        <v>32</v>
      </c>
      <c r="B957" s="6" t="s">
        <v>5</v>
      </c>
      <c r="C957" s="6" t="s">
        <v>61</v>
      </c>
      <c r="D957" s="6">
        <v>3017272.25</v>
      </c>
    </row>
    <row r="958" spans="1:4" x14ac:dyDescent="0.25">
      <c r="A958" s="5" t="s">
        <v>32</v>
      </c>
      <c r="B958" s="6" t="s">
        <v>5</v>
      </c>
      <c r="C958" s="6" t="s">
        <v>62</v>
      </c>
      <c r="D958" s="6">
        <v>2930934</v>
      </c>
    </row>
    <row r="959" spans="1:4" x14ac:dyDescent="0.25">
      <c r="A959" s="5" t="s">
        <v>32</v>
      </c>
      <c r="B959" s="6" t="s">
        <v>5</v>
      </c>
      <c r="C959" s="6" t="s">
        <v>63</v>
      </c>
      <c r="D959" s="6">
        <v>3059547.5</v>
      </c>
    </row>
    <row r="960" spans="1:4" x14ac:dyDescent="0.25">
      <c r="A960" s="5" t="s">
        <v>32</v>
      </c>
      <c r="B960" s="6" t="s">
        <v>5</v>
      </c>
      <c r="C960" s="6" t="s">
        <v>64</v>
      </c>
      <c r="D960" s="6">
        <v>3148097</v>
      </c>
    </row>
    <row r="961" spans="1:4" x14ac:dyDescent="0.25">
      <c r="A961" s="5" t="s">
        <v>32</v>
      </c>
      <c r="B961" s="6" t="s">
        <v>5</v>
      </c>
      <c r="C961" s="6" t="s">
        <v>65</v>
      </c>
      <c r="D961" s="6">
        <v>3137803.5</v>
      </c>
    </row>
    <row r="962" spans="1:4" x14ac:dyDescent="0.25">
      <c r="A962" s="5" t="s">
        <v>32</v>
      </c>
      <c r="B962" s="6" t="s">
        <v>5</v>
      </c>
      <c r="C962" s="6" t="s">
        <v>66</v>
      </c>
      <c r="D962" s="6">
        <v>3167162</v>
      </c>
    </row>
  </sheetData>
  <autoFilter ref="A1:A1055" xr:uid="{B1333696-1766-41DE-9BC6-B4015A98F8C7}"/>
  <sortState xmlns:xlrd2="http://schemas.microsoft.com/office/spreadsheetml/2017/richdata2" ref="A2:D962">
    <sortCondition ref="A1:A962"/>
  </sortState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D51-43E9-4E25-8400-17AC27F2DA6E}">
  <dimension ref="A1:D962"/>
  <sheetViews>
    <sheetView topLeftCell="A951" workbookViewId="0">
      <selection activeCell="D951" sqref="D1:D1048576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13</v>
      </c>
      <c r="B2" s="3" t="s">
        <v>5</v>
      </c>
      <c r="C2" s="3" t="s">
        <v>36</v>
      </c>
      <c r="D2" s="4">
        <v>2355887.75</v>
      </c>
    </row>
    <row r="3" spans="1:4" x14ac:dyDescent="0.25">
      <c r="A3" s="5" t="s">
        <v>13</v>
      </c>
      <c r="B3" s="6" t="s">
        <v>5</v>
      </c>
      <c r="C3" s="6" t="s">
        <v>37</v>
      </c>
      <c r="D3" s="7">
        <v>2314773.25</v>
      </c>
    </row>
    <row r="4" spans="1:4" x14ac:dyDescent="0.25">
      <c r="A4" s="2" t="s">
        <v>13</v>
      </c>
      <c r="B4" s="3" t="s">
        <v>5</v>
      </c>
      <c r="C4" s="3" t="s">
        <v>38</v>
      </c>
      <c r="D4" s="4">
        <v>2335453.5</v>
      </c>
    </row>
    <row r="5" spans="1:4" x14ac:dyDescent="0.25">
      <c r="A5" s="5" t="s">
        <v>13</v>
      </c>
      <c r="B5" s="6" t="s">
        <v>5</v>
      </c>
      <c r="C5" s="6" t="s">
        <v>39</v>
      </c>
      <c r="D5" s="7">
        <v>2371036.25</v>
      </c>
    </row>
    <row r="6" spans="1:4" x14ac:dyDescent="0.25">
      <c r="A6" s="2" t="s">
        <v>13</v>
      </c>
      <c r="B6" s="3" t="s">
        <v>5</v>
      </c>
      <c r="C6" s="3" t="s">
        <v>40</v>
      </c>
      <c r="D6" s="4">
        <v>2442960.75</v>
      </c>
    </row>
    <row r="7" spans="1:4" x14ac:dyDescent="0.25">
      <c r="A7" s="5" t="s">
        <v>13</v>
      </c>
      <c r="B7" s="6" t="s">
        <v>5</v>
      </c>
      <c r="C7" s="6" t="s">
        <v>41</v>
      </c>
      <c r="D7" s="7">
        <v>2416223.75</v>
      </c>
    </row>
    <row r="8" spans="1:4" x14ac:dyDescent="0.25">
      <c r="A8" s="2" t="s">
        <v>13</v>
      </c>
      <c r="B8" s="3" t="s">
        <v>5</v>
      </c>
      <c r="C8" s="3" t="s">
        <v>42</v>
      </c>
      <c r="D8" s="4">
        <v>2340428.5</v>
      </c>
    </row>
    <row r="9" spans="1:4" x14ac:dyDescent="0.25">
      <c r="A9" s="5" t="s">
        <v>13</v>
      </c>
      <c r="B9" s="6" t="s">
        <v>5</v>
      </c>
      <c r="C9" s="6" t="s">
        <v>43</v>
      </c>
      <c r="D9" s="7">
        <v>2142928.5</v>
      </c>
    </row>
    <row r="10" spans="1:4" x14ac:dyDescent="0.25">
      <c r="A10" s="2" t="s">
        <v>13</v>
      </c>
      <c r="B10" s="3" t="s">
        <v>5</v>
      </c>
      <c r="C10" s="3" t="s">
        <v>44</v>
      </c>
      <c r="D10" s="4">
        <v>2168953</v>
      </c>
    </row>
    <row r="11" spans="1:4" x14ac:dyDescent="0.25">
      <c r="A11" s="5" t="s">
        <v>13</v>
      </c>
      <c r="B11" s="6" t="s">
        <v>5</v>
      </c>
      <c r="C11" s="6" t="s">
        <v>45</v>
      </c>
      <c r="D11" s="7">
        <v>2210642</v>
      </c>
    </row>
    <row r="12" spans="1:4" x14ac:dyDescent="0.25">
      <c r="A12" s="2" t="s">
        <v>13</v>
      </c>
      <c r="B12" s="3" t="s">
        <v>5</v>
      </c>
      <c r="C12" s="3" t="s">
        <v>46</v>
      </c>
      <c r="D12" s="4">
        <v>2279675.75</v>
      </c>
    </row>
    <row r="13" spans="1:4" x14ac:dyDescent="0.25">
      <c r="A13" s="5" t="s">
        <v>13</v>
      </c>
      <c r="B13" s="6" t="s">
        <v>5</v>
      </c>
      <c r="C13" s="6" t="s">
        <v>47</v>
      </c>
      <c r="D13" s="7">
        <v>2264338.25</v>
      </c>
    </row>
    <row r="14" spans="1:4" x14ac:dyDescent="0.25">
      <c r="A14" s="2" t="s">
        <v>13</v>
      </c>
      <c r="B14" s="3" t="s">
        <v>5</v>
      </c>
      <c r="C14" s="3" t="s">
        <v>48</v>
      </c>
      <c r="D14" s="4">
        <v>2204790</v>
      </c>
    </row>
    <row r="15" spans="1:4" x14ac:dyDescent="0.25">
      <c r="A15" s="5" t="s">
        <v>13</v>
      </c>
      <c r="B15" s="6" t="s">
        <v>5</v>
      </c>
      <c r="C15" s="6" t="s">
        <v>49</v>
      </c>
      <c r="D15" s="7">
        <v>2165444</v>
      </c>
    </row>
    <row r="16" spans="1:4" x14ac:dyDescent="0.25">
      <c r="A16" s="2" t="s">
        <v>13</v>
      </c>
      <c r="B16" s="3" t="s">
        <v>5</v>
      </c>
      <c r="C16" s="3" t="s">
        <v>50</v>
      </c>
      <c r="D16" s="4">
        <v>2185234.75</v>
      </c>
    </row>
    <row r="17" spans="1:4" x14ac:dyDescent="0.25">
      <c r="A17" s="5" t="s">
        <v>13</v>
      </c>
      <c r="B17" s="6" t="s">
        <v>5</v>
      </c>
      <c r="C17" s="6" t="s">
        <v>51</v>
      </c>
      <c r="D17" s="7">
        <v>2219286.75</v>
      </c>
    </row>
    <row r="18" spans="1:4" x14ac:dyDescent="0.25">
      <c r="A18" s="2" t="s">
        <v>13</v>
      </c>
      <c r="B18" s="3" t="s">
        <v>5</v>
      </c>
      <c r="C18" s="3" t="s">
        <v>52</v>
      </c>
      <c r="D18" s="4">
        <v>2288117</v>
      </c>
    </row>
    <row r="19" spans="1:4" x14ac:dyDescent="0.25">
      <c r="A19" s="5" t="s">
        <v>13</v>
      </c>
      <c r="B19" s="6" t="s">
        <v>5</v>
      </c>
      <c r="C19" s="6" t="s">
        <v>53</v>
      </c>
      <c r="D19" s="7">
        <v>2262530.25</v>
      </c>
    </row>
    <row r="20" spans="1:4" x14ac:dyDescent="0.25">
      <c r="A20" s="2" t="s">
        <v>13</v>
      </c>
      <c r="B20" s="3" t="s">
        <v>5</v>
      </c>
      <c r="C20" s="3" t="s">
        <v>54</v>
      </c>
      <c r="D20" s="4">
        <v>2189972</v>
      </c>
    </row>
    <row r="21" spans="1:4" x14ac:dyDescent="0.25">
      <c r="A21" s="5" t="s">
        <v>13</v>
      </c>
      <c r="B21" s="6" t="s">
        <v>5</v>
      </c>
      <c r="C21" s="6" t="s">
        <v>55</v>
      </c>
      <c r="D21" s="7">
        <v>2694618.25</v>
      </c>
    </row>
    <row r="22" spans="1:4" x14ac:dyDescent="0.25">
      <c r="A22" s="5" t="s">
        <v>13</v>
      </c>
      <c r="B22" s="6" t="s">
        <v>5</v>
      </c>
      <c r="C22" s="6" t="s">
        <v>56</v>
      </c>
      <c r="D22" s="7">
        <v>2726002</v>
      </c>
    </row>
    <row r="23" spans="1:4" x14ac:dyDescent="0.25">
      <c r="A23" s="5" t="s">
        <v>13</v>
      </c>
      <c r="B23" s="6" t="s">
        <v>5</v>
      </c>
      <c r="C23" s="6" t="s">
        <v>57</v>
      </c>
      <c r="D23" s="7">
        <v>2776276</v>
      </c>
    </row>
    <row r="24" spans="1:4" x14ac:dyDescent="0.25">
      <c r="A24" s="5" t="s">
        <v>13</v>
      </c>
      <c r="B24" s="6" t="s">
        <v>5</v>
      </c>
      <c r="C24" s="6" t="s">
        <v>58</v>
      </c>
      <c r="D24" s="7">
        <v>2859525</v>
      </c>
    </row>
    <row r="25" spans="1:4" x14ac:dyDescent="0.25">
      <c r="A25" s="5" t="s">
        <v>13</v>
      </c>
      <c r="B25" s="6" t="s">
        <v>5</v>
      </c>
      <c r="C25" s="6" t="s">
        <v>59</v>
      </c>
      <c r="D25" s="7">
        <v>2841030</v>
      </c>
    </row>
    <row r="26" spans="1:4" x14ac:dyDescent="0.25">
      <c r="A26" s="5" t="s">
        <v>13</v>
      </c>
      <c r="B26" s="6" t="s">
        <v>5</v>
      </c>
      <c r="C26" s="6" t="s">
        <v>60</v>
      </c>
      <c r="D26" s="7">
        <v>2769220</v>
      </c>
    </row>
    <row r="27" spans="1:4" x14ac:dyDescent="0.25">
      <c r="A27" s="5" t="s">
        <v>13</v>
      </c>
      <c r="B27" s="6" t="s">
        <v>5</v>
      </c>
      <c r="C27" s="6" t="s">
        <v>61</v>
      </c>
      <c r="D27" s="7">
        <v>2721772.5</v>
      </c>
    </row>
    <row r="28" spans="1:4" x14ac:dyDescent="0.25">
      <c r="A28" s="5" t="s">
        <v>13</v>
      </c>
      <c r="B28" s="6" t="s">
        <v>5</v>
      </c>
      <c r="C28" s="6" t="s">
        <v>62</v>
      </c>
      <c r="D28" s="7">
        <v>2745638.5</v>
      </c>
    </row>
    <row r="29" spans="1:4" x14ac:dyDescent="0.25">
      <c r="A29" s="5" t="s">
        <v>13</v>
      </c>
      <c r="B29" s="6" t="s">
        <v>5</v>
      </c>
      <c r="C29" s="6" t="s">
        <v>63</v>
      </c>
      <c r="D29" s="7">
        <v>2786702</v>
      </c>
    </row>
    <row r="30" spans="1:4" x14ac:dyDescent="0.25">
      <c r="A30" s="5" t="s">
        <v>13</v>
      </c>
      <c r="B30" s="6" t="s">
        <v>5</v>
      </c>
      <c r="C30" s="6" t="s">
        <v>64</v>
      </c>
      <c r="D30" s="7">
        <v>2869705.5</v>
      </c>
    </row>
    <row r="31" spans="1:4" x14ac:dyDescent="0.25">
      <c r="A31" s="5" t="s">
        <v>13</v>
      </c>
      <c r="B31" s="6" t="s">
        <v>5</v>
      </c>
      <c r="C31" s="6" t="s">
        <v>65</v>
      </c>
      <c r="D31" s="7">
        <v>2838849.5</v>
      </c>
    </row>
    <row r="32" spans="1:4" x14ac:dyDescent="0.25">
      <c r="A32" s="5" t="s">
        <v>13</v>
      </c>
      <c r="B32" s="6" t="s">
        <v>5</v>
      </c>
      <c r="C32" s="6" t="s">
        <v>66</v>
      </c>
      <c r="D32" s="7">
        <v>2751402</v>
      </c>
    </row>
    <row r="33" spans="1:4" x14ac:dyDescent="0.25">
      <c r="A33" s="2" t="s">
        <v>8</v>
      </c>
      <c r="B33" s="3" t="s">
        <v>5</v>
      </c>
      <c r="C33" s="3" t="s">
        <v>36</v>
      </c>
      <c r="D33" s="4">
        <v>1586201.375</v>
      </c>
    </row>
    <row r="34" spans="1:4" x14ac:dyDescent="0.25">
      <c r="A34" s="5" t="s">
        <v>8</v>
      </c>
      <c r="B34" s="6" t="s">
        <v>5</v>
      </c>
      <c r="C34" s="6" t="s">
        <v>37</v>
      </c>
      <c r="D34" s="7">
        <v>1555106.125</v>
      </c>
    </row>
    <row r="35" spans="1:4" x14ac:dyDescent="0.25">
      <c r="A35" s="2" t="s">
        <v>8</v>
      </c>
      <c r="B35" s="3" t="s">
        <v>5</v>
      </c>
      <c r="C35" s="3" t="s">
        <v>38</v>
      </c>
      <c r="D35" s="4">
        <v>1570746.25</v>
      </c>
    </row>
    <row r="36" spans="1:4" x14ac:dyDescent="0.25">
      <c r="A36" s="5" t="s">
        <v>8</v>
      </c>
      <c r="B36" s="6" t="s">
        <v>5</v>
      </c>
      <c r="C36" s="6" t="s">
        <v>39</v>
      </c>
      <c r="D36" s="7">
        <v>1597657.625</v>
      </c>
    </row>
    <row r="37" spans="1:4" x14ac:dyDescent="0.25">
      <c r="A37" s="2" t="s">
        <v>8</v>
      </c>
      <c r="B37" s="3" t="s">
        <v>5</v>
      </c>
      <c r="C37" s="3" t="s">
        <v>40</v>
      </c>
      <c r="D37" s="4">
        <v>1652056.75</v>
      </c>
    </row>
    <row r="38" spans="1:4" x14ac:dyDescent="0.25">
      <c r="A38" s="5" t="s">
        <v>8</v>
      </c>
      <c r="B38" s="6" t="s">
        <v>5</v>
      </c>
      <c r="C38" s="6" t="s">
        <v>41</v>
      </c>
      <c r="D38" s="7">
        <v>1631832.375</v>
      </c>
    </row>
    <row r="39" spans="1:4" x14ac:dyDescent="0.25">
      <c r="A39" s="2" t="s">
        <v>8</v>
      </c>
      <c r="B39" s="3" t="s">
        <v>5</v>
      </c>
      <c r="C39" s="3" t="s">
        <v>42</v>
      </c>
      <c r="D39" s="4">
        <v>1574408.75</v>
      </c>
    </row>
    <row r="40" spans="1:4" x14ac:dyDescent="0.25">
      <c r="A40" s="5" t="s">
        <v>8</v>
      </c>
      <c r="B40" s="6" t="s">
        <v>5</v>
      </c>
      <c r="C40" s="6" t="s">
        <v>43</v>
      </c>
      <c r="D40" s="7">
        <v>1446824.875</v>
      </c>
    </row>
    <row r="41" spans="1:4" x14ac:dyDescent="0.25">
      <c r="A41" s="2" t="s">
        <v>8</v>
      </c>
      <c r="B41" s="3" t="s">
        <v>5</v>
      </c>
      <c r="C41" s="3" t="s">
        <v>44</v>
      </c>
      <c r="D41" s="4">
        <v>1466517.875</v>
      </c>
    </row>
    <row r="42" spans="1:4" x14ac:dyDescent="0.25">
      <c r="A42" s="5" t="s">
        <v>8</v>
      </c>
      <c r="B42" s="6" t="s">
        <v>5</v>
      </c>
      <c r="C42" s="6" t="s">
        <v>45</v>
      </c>
      <c r="D42" s="7">
        <v>1498064.125</v>
      </c>
    </row>
    <row r="43" spans="1:4" x14ac:dyDescent="0.25">
      <c r="A43" s="2" t="s">
        <v>8</v>
      </c>
      <c r="B43" s="3" t="s">
        <v>5</v>
      </c>
      <c r="C43" s="3" t="s">
        <v>46</v>
      </c>
      <c r="D43" s="4">
        <v>1550299.25</v>
      </c>
    </row>
    <row r="44" spans="1:4" x14ac:dyDescent="0.25">
      <c r="A44" s="5" t="s">
        <v>8</v>
      </c>
      <c r="B44" s="6" t="s">
        <v>5</v>
      </c>
      <c r="C44" s="6" t="s">
        <v>47</v>
      </c>
      <c r="D44" s="7">
        <v>1538695.875</v>
      </c>
    </row>
    <row r="45" spans="1:4" x14ac:dyDescent="0.25">
      <c r="A45" s="2" t="s">
        <v>8</v>
      </c>
      <c r="B45" s="3" t="s">
        <v>5</v>
      </c>
      <c r="C45" s="3" t="s">
        <v>48</v>
      </c>
      <c r="D45" s="4">
        <v>1493640.375</v>
      </c>
    </row>
    <row r="46" spans="1:4" x14ac:dyDescent="0.25">
      <c r="A46" s="5" t="s">
        <v>8</v>
      </c>
      <c r="B46" s="6" t="s">
        <v>5</v>
      </c>
      <c r="C46" s="6" t="s">
        <v>49</v>
      </c>
      <c r="D46" s="7">
        <v>1463869.875</v>
      </c>
    </row>
    <row r="47" spans="1:4" x14ac:dyDescent="0.25">
      <c r="A47" s="2" t="s">
        <v>8</v>
      </c>
      <c r="B47" s="3" t="s">
        <v>5</v>
      </c>
      <c r="C47" s="3" t="s">
        <v>50</v>
      </c>
      <c r="D47" s="4">
        <v>1478843.625</v>
      </c>
    </row>
    <row r="48" spans="1:4" x14ac:dyDescent="0.25">
      <c r="A48" s="5" t="s">
        <v>8</v>
      </c>
      <c r="B48" s="6" t="s">
        <v>5</v>
      </c>
      <c r="C48" s="6" t="s">
        <v>51</v>
      </c>
      <c r="D48" s="7">
        <v>1504608.375</v>
      </c>
    </row>
    <row r="49" spans="1:4" x14ac:dyDescent="0.25">
      <c r="A49" s="2" t="s">
        <v>8</v>
      </c>
      <c r="B49" s="3" t="s">
        <v>5</v>
      </c>
      <c r="C49" s="3" t="s">
        <v>52</v>
      </c>
      <c r="D49" s="4">
        <v>1556689.75</v>
      </c>
    </row>
    <row r="50" spans="1:4" x14ac:dyDescent="0.25">
      <c r="A50" s="5" t="s">
        <v>8</v>
      </c>
      <c r="B50" s="6" t="s">
        <v>5</v>
      </c>
      <c r="C50" s="6" t="s">
        <v>53</v>
      </c>
      <c r="D50" s="7">
        <v>1537327.125</v>
      </c>
    </row>
    <row r="51" spans="1:4" x14ac:dyDescent="0.25">
      <c r="A51" s="2" t="s">
        <v>8</v>
      </c>
      <c r="B51" s="3" t="s">
        <v>5</v>
      </c>
      <c r="C51" s="3" t="s">
        <v>54</v>
      </c>
      <c r="D51" s="4">
        <v>1482338.25</v>
      </c>
    </row>
    <row r="52" spans="1:4" x14ac:dyDescent="0.25">
      <c r="A52" s="5" t="s">
        <v>8</v>
      </c>
      <c r="B52" s="6" t="s">
        <v>5</v>
      </c>
      <c r="C52" s="6" t="s">
        <v>55</v>
      </c>
      <c r="D52" s="7">
        <v>1800390.375</v>
      </c>
    </row>
    <row r="53" spans="1:4" x14ac:dyDescent="0.25">
      <c r="A53" s="5" t="s">
        <v>8</v>
      </c>
      <c r="B53" s="6" t="s">
        <v>5</v>
      </c>
      <c r="C53" s="6" t="s">
        <v>56</v>
      </c>
      <c r="D53" s="7">
        <v>1824344.375</v>
      </c>
    </row>
    <row r="54" spans="1:4" x14ac:dyDescent="0.25">
      <c r="A54" s="5" t="s">
        <v>8</v>
      </c>
      <c r="B54" s="6" t="s">
        <v>5</v>
      </c>
      <c r="C54" s="6" t="s">
        <v>57</v>
      </c>
      <c r="D54" s="7">
        <v>1862716</v>
      </c>
    </row>
    <row r="55" spans="1:4" x14ac:dyDescent="0.25">
      <c r="A55" s="5" t="s">
        <v>8</v>
      </c>
      <c r="B55" s="6" t="s">
        <v>5</v>
      </c>
      <c r="C55" s="6" t="s">
        <v>58</v>
      </c>
      <c r="D55" s="7">
        <v>1926250.375</v>
      </c>
    </row>
    <row r="56" spans="1:4" x14ac:dyDescent="0.25">
      <c r="A56" s="5" t="s">
        <v>8</v>
      </c>
      <c r="B56" s="6" t="s">
        <v>5</v>
      </c>
      <c r="C56" s="6" t="s">
        <v>59</v>
      </c>
      <c r="D56" s="7">
        <v>1912138.5</v>
      </c>
    </row>
    <row r="57" spans="1:4" x14ac:dyDescent="0.25">
      <c r="A57" s="5" t="s">
        <v>8</v>
      </c>
      <c r="B57" s="6" t="s">
        <v>5</v>
      </c>
      <c r="C57" s="6" t="s">
        <v>60</v>
      </c>
      <c r="D57" s="7">
        <v>1857339</v>
      </c>
    </row>
    <row r="58" spans="1:4" x14ac:dyDescent="0.25">
      <c r="A58" s="5" t="s">
        <v>8</v>
      </c>
      <c r="B58" s="6" t="s">
        <v>5</v>
      </c>
      <c r="C58" s="6" t="s">
        <v>61</v>
      </c>
      <c r="D58" s="7">
        <v>1821129.75</v>
      </c>
    </row>
    <row r="59" spans="1:4" x14ac:dyDescent="0.25">
      <c r="A59" s="5" t="s">
        <v>8</v>
      </c>
      <c r="B59" s="6" t="s">
        <v>5</v>
      </c>
      <c r="C59" s="6" t="s">
        <v>62</v>
      </c>
      <c r="D59" s="7">
        <v>1839341.5</v>
      </c>
    </row>
    <row r="60" spans="1:4" x14ac:dyDescent="0.25">
      <c r="A60" s="5" t="s">
        <v>8</v>
      </c>
      <c r="B60" s="6" t="s">
        <v>5</v>
      </c>
      <c r="C60" s="6" t="s">
        <v>63</v>
      </c>
      <c r="D60" s="7">
        <v>1870678.5</v>
      </c>
    </row>
    <row r="61" spans="1:4" x14ac:dyDescent="0.25">
      <c r="A61" s="5" t="s">
        <v>8</v>
      </c>
      <c r="B61" s="6" t="s">
        <v>5</v>
      </c>
      <c r="C61" s="6" t="s">
        <v>64</v>
      </c>
      <c r="D61" s="7">
        <v>1934025.75</v>
      </c>
    </row>
    <row r="62" spans="1:4" x14ac:dyDescent="0.25">
      <c r="A62" s="5" t="s">
        <v>8</v>
      </c>
      <c r="B62" s="6" t="s">
        <v>5</v>
      </c>
      <c r="C62" s="6" t="s">
        <v>65</v>
      </c>
      <c r="D62" s="7">
        <v>1910473.25</v>
      </c>
    </row>
    <row r="63" spans="1:4" x14ac:dyDescent="0.25">
      <c r="A63" s="5" t="s">
        <v>8</v>
      </c>
      <c r="B63" s="6" t="s">
        <v>5</v>
      </c>
      <c r="C63" s="6" t="s">
        <v>66</v>
      </c>
      <c r="D63" s="7">
        <v>1843606.5</v>
      </c>
    </row>
    <row r="64" spans="1:4" x14ac:dyDescent="0.25">
      <c r="A64" s="5" t="s">
        <v>28</v>
      </c>
      <c r="B64" s="6" t="s">
        <v>5</v>
      </c>
      <c r="C64" s="6" t="s">
        <v>36</v>
      </c>
      <c r="D64" s="7">
        <v>1587937.75</v>
      </c>
    </row>
    <row r="65" spans="1:4" x14ac:dyDescent="0.25">
      <c r="A65" s="2" t="s">
        <v>28</v>
      </c>
      <c r="B65" s="3" t="s">
        <v>5</v>
      </c>
      <c r="C65" s="3" t="s">
        <v>37</v>
      </c>
      <c r="D65" s="4">
        <v>1559193.375</v>
      </c>
    </row>
    <row r="66" spans="1:4" x14ac:dyDescent="0.25">
      <c r="A66" s="5" t="s">
        <v>28</v>
      </c>
      <c r="B66" s="6" t="s">
        <v>5</v>
      </c>
      <c r="C66" s="6" t="s">
        <v>38</v>
      </c>
      <c r="D66" s="7">
        <v>1574210.125</v>
      </c>
    </row>
    <row r="67" spans="1:4" x14ac:dyDescent="0.25">
      <c r="A67" s="2" t="s">
        <v>28</v>
      </c>
      <c r="B67" s="3" t="s">
        <v>5</v>
      </c>
      <c r="C67" s="3" t="s">
        <v>39</v>
      </c>
      <c r="D67" s="4">
        <v>1599135.75</v>
      </c>
    </row>
    <row r="68" spans="1:4" x14ac:dyDescent="0.25">
      <c r="A68" s="5" t="s">
        <v>28</v>
      </c>
      <c r="B68" s="6" t="s">
        <v>5</v>
      </c>
      <c r="C68" s="6" t="s">
        <v>40</v>
      </c>
      <c r="D68" s="7">
        <v>1652447.875</v>
      </c>
    </row>
    <row r="69" spans="1:4" x14ac:dyDescent="0.25">
      <c r="A69" s="2" t="s">
        <v>28</v>
      </c>
      <c r="B69" s="3" t="s">
        <v>5</v>
      </c>
      <c r="C69" s="3" t="s">
        <v>41</v>
      </c>
      <c r="D69" s="4">
        <v>1631411</v>
      </c>
    </row>
    <row r="70" spans="1:4" x14ac:dyDescent="0.25">
      <c r="A70" s="5" t="s">
        <v>28</v>
      </c>
      <c r="B70" s="6" t="s">
        <v>5</v>
      </c>
      <c r="C70" s="6" t="s">
        <v>42</v>
      </c>
      <c r="D70" s="7">
        <v>1576222.875</v>
      </c>
    </row>
    <row r="71" spans="1:4" x14ac:dyDescent="0.25">
      <c r="A71" s="2" t="s">
        <v>28</v>
      </c>
      <c r="B71" s="3" t="s">
        <v>5</v>
      </c>
      <c r="C71" s="3" t="s">
        <v>43</v>
      </c>
      <c r="D71" s="4">
        <v>1417261.875</v>
      </c>
    </row>
    <row r="72" spans="1:4" x14ac:dyDescent="0.25">
      <c r="A72" s="5" t="s">
        <v>28</v>
      </c>
      <c r="B72" s="6" t="s">
        <v>5</v>
      </c>
      <c r="C72" s="6" t="s">
        <v>44</v>
      </c>
      <c r="D72" s="7">
        <v>1433852.375</v>
      </c>
    </row>
    <row r="73" spans="1:4" x14ac:dyDescent="0.25">
      <c r="A73" s="2" t="s">
        <v>28</v>
      </c>
      <c r="B73" s="3" t="s">
        <v>5</v>
      </c>
      <c r="C73" s="3" t="s">
        <v>45</v>
      </c>
      <c r="D73" s="4">
        <v>1467503.75</v>
      </c>
    </row>
    <row r="74" spans="1:4" x14ac:dyDescent="0.25">
      <c r="A74" s="5" t="s">
        <v>28</v>
      </c>
      <c r="B74" s="6" t="s">
        <v>5</v>
      </c>
      <c r="C74" s="6" t="s">
        <v>46</v>
      </c>
      <c r="D74" s="7">
        <v>1518263.25</v>
      </c>
    </row>
    <row r="75" spans="1:4" x14ac:dyDescent="0.25">
      <c r="A75" s="2" t="s">
        <v>28</v>
      </c>
      <c r="B75" s="3" t="s">
        <v>5</v>
      </c>
      <c r="C75" s="3" t="s">
        <v>47</v>
      </c>
      <c r="D75" s="4">
        <v>1507401.875</v>
      </c>
    </row>
    <row r="76" spans="1:4" x14ac:dyDescent="0.25">
      <c r="A76" s="5" t="s">
        <v>28</v>
      </c>
      <c r="B76" s="6" t="s">
        <v>5</v>
      </c>
      <c r="C76" s="6" t="s">
        <v>48</v>
      </c>
      <c r="D76" s="7">
        <v>1463418.5</v>
      </c>
    </row>
    <row r="77" spans="1:4" x14ac:dyDescent="0.25">
      <c r="A77" s="2" t="s">
        <v>28</v>
      </c>
      <c r="B77" s="3" t="s">
        <v>5</v>
      </c>
      <c r="C77" s="3" t="s">
        <v>49</v>
      </c>
      <c r="D77" s="4">
        <v>1436488.625</v>
      </c>
    </row>
    <row r="78" spans="1:4" x14ac:dyDescent="0.25">
      <c r="A78" s="5" t="s">
        <v>28</v>
      </c>
      <c r="B78" s="6" t="s">
        <v>5</v>
      </c>
      <c r="C78" s="6" t="s">
        <v>50</v>
      </c>
      <c r="D78" s="7">
        <v>1451237.625</v>
      </c>
    </row>
    <row r="79" spans="1:4" x14ac:dyDescent="0.25">
      <c r="A79" s="2" t="s">
        <v>28</v>
      </c>
      <c r="B79" s="3" t="s">
        <v>5</v>
      </c>
      <c r="C79" s="3" t="s">
        <v>51</v>
      </c>
      <c r="D79" s="4">
        <v>1474238.25</v>
      </c>
    </row>
    <row r="80" spans="1:4" x14ac:dyDescent="0.25">
      <c r="A80" s="5" t="s">
        <v>28</v>
      </c>
      <c r="B80" s="6" t="s">
        <v>5</v>
      </c>
      <c r="C80" s="6" t="s">
        <v>52</v>
      </c>
      <c r="D80" s="7">
        <v>1524746.875</v>
      </c>
    </row>
    <row r="81" spans="1:4" x14ac:dyDescent="0.25">
      <c r="A81" s="2" t="s">
        <v>28</v>
      </c>
      <c r="B81" s="3" t="s">
        <v>5</v>
      </c>
      <c r="C81" s="3" t="s">
        <v>53</v>
      </c>
      <c r="D81" s="4">
        <v>1505020.375</v>
      </c>
    </row>
    <row r="82" spans="1:4" x14ac:dyDescent="0.25">
      <c r="A82" s="5" t="s">
        <v>28</v>
      </c>
      <c r="B82" s="6" t="s">
        <v>5</v>
      </c>
      <c r="C82" s="6" t="s">
        <v>54</v>
      </c>
      <c r="D82" s="7">
        <v>1452551.375</v>
      </c>
    </row>
    <row r="83" spans="1:4" x14ac:dyDescent="0.25">
      <c r="A83" s="5" t="s">
        <v>28</v>
      </c>
      <c r="B83" s="6" t="s">
        <v>5</v>
      </c>
      <c r="C83" s="6" t="s">
        <v>55</v>
      </c>
      <c r="D83" s="7">
        <v>1785427.25</v>
      </c>
    </row>
    <row r="84" spans="1:4" x14ac:dyDescent="0.25">
      <c r="A84" s="5" t="s">
        <v>28</v>
      </c>
      <c r="B84" s="6" t="s">
        <v>5</v>
      </c>
      <c r="C84" s="6" t="s">
        <v>56</v>
      </c>
      <c r="D84" s="7">
        <v>1807303.75</v>
      </c>
    </row>
    <row r="85" spans="1:4" x14ac:dyDescent="0.25">
      <c r="A85" s="5" t="s">
        <v>28</v>
      </c>
      <c r="B85" s="6" t="s">
        <v>5</v>
      </c>
      <c r="C85" s="6" t="s">
        <v>57</v>
      </c>
      <c r="D85" s="7">
        <v>1847502.625</v>
      </c>
    </row>
    <row r="86" spans="1:4" x14ac:dyDescent="0.25">
      <c r="A86" s="5" t="s">
        <v>28</v>
      </c>
      <c r="B86" s="6" t="s">
        <v>5</v>
      </c>
      <c r="C86" s="6" t="s">
        <v>58</v>
      </c>
      <c r="D86" s="7">
        <v>1908506.875</v>
      </c>
    </row>
    <row r="87" spans="1:4" x14ac:dyDescent="0.25">
      <c r="A87" s="5" t="s">
        <v>28</v>
      </c>
      <c r="B87" s="6" t="s">
        <v>5</v>
      </c>
      <c r="C87" s="6" t="s">
        <v>59</v>
      </c>
      <c r="D87" s="7">
        <v>1896176.625</v>
      </c>
    </row>
    <row r="88" spans="1:4" x14ac:dyDescent="0.25">
      <c r="A88" s="5" t="s">
        <v>28</v>
      </c>
      <c r="B88" s="6" t="s">
        <v>5</v>
      </c>
      <c r="C88" s="6" t="s">
        <v>60</v>
      </c>
      <c r="D88" s="7">
        <v>1841991.25</v>
      </c>
    </row>
    <row r="89" spans="1:4" x14ac:dyDescent="0.25">
      <c r="A89" s="5" t="s">
        <v>28</v>
      </c>
      <c r="B89" s="6" t="s">
        <v>5</v>
      </c>
      <c r="C89" s="6" t="s">
        <v>61</v>
      </c>
      <c r="D89" s="7">
        <v>1808632.625</v>
      </c>
    </row>
    <row r="90" spans="1:4" x14ac:dyDescent="0.25">
      <c r="A90" s="5" t="s">
        <v>28</v>
      </c>
      <c r="B90" s="6" t="s">
        <v>5</v>
      </c>
      <c r="C90" s="6" t="s">
        <v>62</v>
      </c>
      <c r="D90" s="7">
        <v>1826265</v>
      </c>
    </row>
    <row r="91" spans="1:4" x14ac:dyDescent="0.25">
      <c r="A91" s="5" t="s">
        <v>28</v>
      </c>
      <c r="B91" s="6" t="s">
        <v>5</v>
      </c>
      <c r="C91" s="6" t="s">
        <v>63</v>
      </c>
      <c r="D91" s="7">
        <v>1855352.5</v>
      </c>
    </row>
    <row r="92" spans="1:4" x14ac:dyDescent="0.25">
      <c r="A92" s="5" t="s">
        <v>28</v>
      </c>
      <c r="B92" s="6" t="s">
        <v>5</v>
      </c>
      <c r="C92" s="6" t="s">
        <v>64</v>
      </c>
      <c r="D92" s="7">
        <v>1916601.25</v>
      </c>
    </row>
    <row r="93" spans="1:4" x14ac:dyDescent="0.25">
      <c r="A93" s="5" t="s">
        <v>28</v>
      </c>
      <c r="B93" s="6" t="s">
        <v>5</v>
      </c>
      <c r="C93" s="6" t="s">
        <v>65</v>
      </c>
      <c r="D93" s="7">
        <v>1892055.75</v>
      </c>
    </row>
    <row r="94" spans="1:4" x14ac:dyDescent="0.25">
      <c r="A94" s="5" t="s">
        <v>28</v>
      </c>
      <c r="B94" s="6" t="s">
        <v>5</v>
      </c>
      <c r="C94" s="6" t="s">
        <v>66</v>
      </c>
      <c r="D94" s="7">
        <v>1826772.875</v>
      </c>
    </row>
    <row r="95" spans="1:4" x14ac:dyDescent="0.25">
      <c r="A95" s="2" t="s">
        <v>27</v>
      </c>
      <c r="B95" s="3" t="s">
        <v>5</v>
      </c>
      <c r="C95" s="3" t="s">
        <v>36</v>
      </c>
      <c r="D95" s="4">
        <v>2372633.25</v>
      </c>
    </row>
    <row r="96" spans="1:4" x14ac:dyDescent="0.25">
      <c r="A96" s="5" t="s">
        <v>27</v>
      </c>
      <c r="B96" s="6" t="s">
        <v>5</v>
      </c>
      <c r="C96" s="6" t="s">
        <v>37</v>
      </c>
      <c r="D96" s="7">
        <v>2324653</v>
      </c>
    </row>
    <row r="97" spans="1:4" x14ac:dyDescent="0.25">
      <c r="A97" s="2" t="s">
        <v>27</v>
      </c>
      <c r="B97" s="3" t="s">
        <v>5</v>
      </c>
      <c r="C97" s="3" t="s">
        <v>38</v>
      </c>
      <c r="D97" s="4">
        <v>2348791</v>
      </c>
    </row>
    <row r="98" spans="1:4" x14ac:dyDescent="0.25">
      <c r="A98" s="5" t="s">
        <v>27</v>
      </c>
      <c r="B98" s="6" t="s">
        <v>5</v>
      </c>
      <c r="C98" s="6" t="s">
        <v>39</v>
      </c>
      <c r="D98" s="7">
        <v>2390317</v>
      </c>
    </row>
    <row r="99" spans="1:4" x14ac:dyDescent="0.25">
      <c r="A99" s="2" t="s">
        <v>27</v>
      </c>
      <c r="B99" s="3" t="s">
        <v>5</v>
      </c>
      <c r="C99" s="3" t="s">
        <v>40</v>
      </c>
      <c r="D99" s="4">
        <v>2474233.5</v>
      </c>
    </row>
    <row r="100" spans="1:4" x14ac:dyDescent="0.25">
      <c r="A100" s="5" t="s">
        <v>27</v>
      </c>
      <c r="B100" s="6" t="s">
        <v>5</v>
      </c>
      <c r="C100" s="6" t="s">
        <v>41</v>
      </c>
      <c r="D100" s="7">
        <v>2443056.5</v>
      </c>
    </row>
    <row r="101" spans="1:4" x14ac:dyDescent="0.25">
      <c r="A101" s="2" t="s">
        <v>27</v>
      </c>
      <c r="B101" s="3" t="s">
        <v>5</v>
      </c>
      <c r="C101" s="3" t="s">
        <v>42</v>
      </c>
      <c r="D101" s="4">
        <v>2354467.25</v>
      </c>
    </row>
    <row r="102" spans="1:4" x14ac:dyDescent="0.25">
      <c r="A102" s="5" t="s">
        <v>27</v>
      </c>
      <c r="B102" s="6" t="s">
        <v>5</v>
      </c>
      <c r="C102" s="6" t="s">
        <v>43</v>
      </c>
      <c r="D102" s="7">
        <v>2183294</v>
      </c>
    </row>
    <row r="103" spans="1:4" x14ac:dyDescent="0.25">
      <c r="A103" s="2" t="s">
        <v>27</v>
      </c>
      <c r="B103" s="3" t="s">
        <v>5</v>
      </c>
      <c r="C103" s="3" t="s">
        <v>44</v>
      </c>
      <c r="D103" s="4">
        <v>2213647.75</v>
      </c>
    </row>
    <row r="104" spans="1:4" x14ac:dyDescent="0.25">
      <c r="A104" s="5" t="s">
        <v>27</v>
      </c>
      <c r="B104" s="6" t="s">
        <v>5</v>
      </c>
      <c r="C104" s="6" t="s">
        <v>45</v>
      </c>
      <c r="D104" s="7">
        <v>2262273.75</v>
      </c>
    </row>
    <row r="105" spans="1:4" x14ac:dyDescent="0.25">
      <c r="A105" s="2" t="s">
        <v>27</v>
      </c>
      <c r="B105" s="3" t="s">
        <v>5</v>
      </c>
      <c r="C105" s="3" t="s">
        <v>46</v>
      </c>
      <c r="D105" s="4">
        <v>2342817.75</v>
      </c>
    </row>
    <row r="106" spans="1:4" x14ac:dyDescent="0.25">
      <c r="A106" s="5" t="s">
        <v>27</v>
      </c>
      <c r="B106" s="6" t="s">
        <v>5</v>
      </c>
      <c r="C106" s="6" t="s">
        <v>47</v>
      </c>
      <c r="D106" s="7">
        <v>2324907.75</v>
      </c>
    </row>
    <row r="107" spans="1:4" x14ac:dyDescent="0.25">
      <c r="A107" s="2" t="s">
        <v>27</v>
      </c>
      <c r="B107" s="3" t="s">
        <v>5</v>
      </c>
      <c r="C107" s="3" t="s">
        <v>48</v>
      </c>
      <c r="D107" s="4">
        <v>2255410.25</v>
      </c>
    </row>
    <row r="108" spans="1:4" x14ac:dyDescent="0.25">
      <c r="A108" s="5" t="s">
        <v>27</v>
      </c>
      <c r="B108" s="6" t="s">
        <v>5</v>
      </c>
      <c r="C108" s="6" t="s">
        <v>49</v>
      </c>
      <c r="D108" s="7">
        <v>2209494</v>
      </c>
    </row>
    <row r="109" spans="1:4" x14ac:dyDescent="0.25">
      <c r="A109" s="2" t="s">
        <v>27</v>
      </c>
      <c r="B109" s="3" t="s">
        <v>5</v>
      </c>
      <c r="C109" s="3" t="s">
        <v>50</v>
      </c>
      <c r="D109" s="4">
        <v>2232593.75</v>
      </c>
    </row>
    <row r="110" spans="1:4" x14ac:dyDescent="0.25">
      <c r="A110" s="5" t="s">
        <v>27</v>
      </c>
      <c r="B110" s="6" t="s">
        <v>5</v>
      </c>
      <c r="C110" s="6" t="s">
        <v>51</v>
      </c>
      <c r="D110" s="7">
        <v>2272333.5</v>
      </c>
    </row>
    <row r="111" spans="1:4" x14ac:dyDescent="0.25">
      <c r="A111" s="2" t="s">
        <v>27</v>
      </c>
      <c r="B111" s="3" t="s">
        <v>5</v>
      </c>
      <c r="C111" s="3" t="s">
        <v>52</v>
      </c>
      <c r="D111" s="4">
        <v>2352640.25</v>
      </c>
    </row>
    <row r="112" spans="1:4" x14ac:dyDescent="0.25">
      <c r="A112" s="5" t="s">
        <v>27</v>
      </c>
      <c r="B112" s="6" t="s">
        <v>5</v>
      </c>
      <c r="C112" s="6" t="s">
        <v>53</v>
      </c>
      <c r="D112" s="7">
        <v>2322804.5</v>
      </c>
    </row>
    <row r="113" spans="1:4" x14ac:dyDescent="0.25">
      <c r="A113" s="2" t="s">
        <v>27</v>
      </c>
      <c r="B113" s="3" t="s">
        <v>5</v>
      </c>
      <c r="C113" s="3" t="s">
        <v>54</v>
      </c>
      <c r="D113" s="4">
        <v>2238018.5</v>
      </c>
    </row>
    <row r="114" spans="1:4" x14ac:dyDescent="0.25">
      <c r="A114" s="2" t="s">
        <v>27</v>
      </c>
      <c r="B114" s="3" t="s">
        <v>5</v>
      </c>
      <c r="C114" s="3" t="s">
        <v>55</v>
      </c>
      <c r="D114" s="4">
        <v>2673145.75</v>
      </c>
    </row>
    <row r="115" spans="1:4" x14ac:dyDescent="0.25">
      <c r="A115" s="2" t="s">
        <v>27</v>
      </c>
      <c r="B115" s="3" t="s">
        <v>5</v>
      </c>
      <c r="C115" s="3" t="s">
        <v>56</v>
      </c>
      <c r="D115" s="4">
        <v>2709640.25</v>
      </c>
    </row>
    <row r="116" spans="1:4" x14ac:dyDescent="0.25">
      <c r="A116" s="2" t="s">
        <v>27</v>
      </c>
      <c r="B116" s="3" t="s">
        <v>5</v>
      </c>
      <c r="C116" s="3" t="s">
        <v>57</v>
      </c>
      <c r="D116" s="4">
        <v>2768103.5</v>
      </c>
    </row>
    <row r="117" spans="1:4" x14ac:dyDescent="0.25">
      <c r="A117" s="2" t="s">
        <v>27</v>
      </c>
      <c r="B117" s="3" t="s">
        <v>5</v>
      </c>
      <c r="C117" s="3" t="s">
        <v>58</v>
      </c>
      <c r="D117" s="4">
        <v>2864941</v>
      </c>
    </row>
    <row r="118" spans="1:4" x14ac:dyDescent="0.25">
      <c r="A118" s="2" t="s">
        <v>27</v>
      </c>
      <c r="B118" s="3" t="s">
        <v>5</v>
      </c>
      <c r="C118" s="3" t="s">
        <v>59</v>
      </c>
      <c r="D118" s="4">
        <v>2843408.25</v>
      </c>
    </row>
    <row r="119" spans="1:4" x14ac:dyDescent="0.25">
      <c r="A119" s="2" t="s">
        <v>27</v>
      </c>
      <c r="B119" s="3" t="s">
        <v>5</v>
      </c>
      <c r="C119" s="3" t="s">
        <v>60</v>
      </c>
      <c r="D119" s="4">
        <v>2759852.25</v>
      </c>
    </row>
    <row r="120" spans="1:4" x14ac:dyDescent="0.25">
      <c r="A120" s="2" t="s">
        <v>27</v>
      </c>
      <c r="B120" s="3" t="s">
        <v>5</v>
      </c>
      <c r="C120" s="3" t="s">
        <v>61</v>
      </c>
      <c r="D120" s="4">
        <v>2704647.5</v>
      </c>
    </row>
    <row r="121" spans="1:4" x14ac:dyDescent="0.25">
      <c r="A121" s="2" t="s">
        <v>27</v>
      </c>
      <c r="B121" s="3" t="s">
        <v>5</v>
      </c>
      <c r="C121" s="3" t="s">
        <v>62</v>
      </c>
      <c r="D121" s="4">
        <v>2732420</v>
      </c>
    </row>
    <row r="122" spans="1:4" x14ac:dyDescent="0.25">
      <c r="A122" s="2" t="s">
        <v>27</v>
      </c>
      <c r="B122" s="3" t="s">
        <v>5</v>
      </c>
      <c r="C122" s="3" t="s">
        <v>63</v>
      </c>
      <c r="D122" s="4">
        <v>2780199</v>
      </c>
    </row>
    <row r="123" spans="1:4" x14ac:dyDescent="0.25">
      <c r="A123" s="2" t="s">
        <v>27</v>
      </c>
      <c r="B123" s="3" t="s">
        <v>5</v>
      </c>
      <c r="C123" s="3" t="s">
        <v>64</v>
      </c>
      <c r="D123" s="4">
        <v>2876751</v>
      </c>
    </row>
    <row r="124" spans="1:4" x14ac:dyDescent="0.25">
      <c r="A124" s="2" t="s">
        <v>27</v>
      </c>
      <c r="B124" s="3" t="s">
        <v>5</v>
      </c>
      <c r="C124" s="3" t="s">
        <v>65</v>
      </c>
      <c r="D124" s="4">
        <v>2840879.25</v>
      </c>
    </row>
    <row r="125" spans="1:4" x14ac:dyDescent="0.25">
      <c r="A125" s="2" t="s">
        <v>27</v>
      </c>
      <c r="B125" s="3" t="s">
        <v>5</v>
      </c>
      <c r="C125" s="3" t="s">
        <v>66</v>
      </c>
      <c r="D125" s="4">
        <v>2738964.25</v>
      </c>
    </row>
    <row r="126" spans="1:4" x14ac:dyDescent="0.25">
      <c r="A126" s="5" t="s">
        <v>16</v>
      </c>
      <c r="B126" s="6" t="s">
        <v>5</v>
      </c>
      <c r="C126" s="6" t="s">
        <v>36</v>
      </c>
      <c r="D126" s="7">
        <v>5285649</v>
      </c>
    </row>
    <row r="127" spans="1:4" x14ac:dyDescent="0.25">
      <c r="A127" s="2" t="s">
        <v>16</v>
      </c>
      <c r="B127" s="3" t="s">
        <v>5</v>
      </c>
      <c r="C127" s="3" t="s">
        <v>37</v>
      </c>
      <c r="D127" s="4">
        <v>5188090</v>
      </c>
    </row>
    <row r="128" spans="1:4" x14ac:dyDescent="0.25">
      <c r="A128" s="5" t="s">
        <v>16</v>
      </c>
      <c r="B128" s="6" t="s">
        <v>5</v>
      </c>
      <c r="C128" s="6" t="s">
        <v>38</v>
      </c>
      <c r="D128" s="7">
        <v>5238916</v>
      </c>
    </row>
    <row r="129" spans="1:4" x14ac:dyDescent="0.25">
      <c r="A129" s="2" t="s">
        <v>16</v>
      </c>
      <c r="B129" s="3" t="s">
        <v>5</v>
      </c>
      <c r="C129" s="3" t="s">
        <v>39</v>
      </c>
      <c r="D129" s="4">
        <v>5323514.5</v>
      </c>
    </row>
    <row r="130" spans="1:4" x14ac:dyDescent="0.25">
      <c r="A130" s="5" t="s">
        <v>16</v>
      </c>
      <c r="B130" s="6" t="s">
        <v>5</v>
      </c>
      <c r="C130" s="6" t="s">
        <v>40</v>
      </c>
      <c r="D130" s="7">
        <v>5503223.5</v>
      </c>
    </row>
    <row r="131" spans="1:4" x14ac:dyDescent="0.25">
      <c r="A131" s="2" t="s">
        <v>16</v>
      </c>
      <c r="B131" s="3" t="s">
        <v>5</v>
      </c>
      <c r="C131" s="3" t="s">
        <v>41</v>
      </c>
      <c r="D131" s="4">
        <v>5432895</v>
      </c>
    </row>
    <row r="132" spans="1:4" x14ac:dyDescent="0.25">
      <c r="A132" s="5" t="s">
        <v>16</v>
      </c>
      <c r="B132" s="6" t="s">
        <v>5</v>
      </c>
      <c r="C132" s="6" t="s">
        <v>42</v>
      </c>
      <c r="D132" s="7">
        <v>5246748</v>
      </c>
    </row>
    <row r="133" spans="1:4" x14ac:dyDescent="0.25">
      <c r="A133" s="2" t="s">
        <v>16</v>
      </c>
      <c r="B133" s="3" t="s">
        <v>5</v>
      </c>
      <c r="C133" s="3" t="s">
        <v>43</v>
      </c>
      <c r="D133" s="4">
        <v>4859985.5</v>
      </c>
    </row>
    <row r="134" spans="1:4" x14ac:dyDescent="0.25">
      <c r="A134" s="5" t="s">
        <v>16</v>
      </c>
      <c r="B134" s="6" t="s">
        <v>5</v>
      </c>
      <c r="C134" s="6" t="s">
        <v>44</v>
      </c>
      <c r="D134" s="7">
        <v>4916649.5</v>
      </c>
    </row>
    <row r="135" spans="1:4" x14ac:dyDescent="0.25">
      <c r="A135" s="2" t="s">
        <v>16</v>
      </c>
      <c r="B135" s="3" t="s">
        <v>5</v>
      </c>
      <c r="C135" s="3" t="s">
        <v>45</v>
      </c>
      <c r="D135" s="4">
        <v>5029063</v>
      </c>
    </row>
    <row r="136" spans="1:4" x14ac:dyDescent="0.25">
      <c r="A136" s="5" t="s">
        <v>16</v>
      </c>
      <c r="B136" s="6" t="s">
        <v>5</v>
      </c>
      <c r="C136" s="6" t="s">
        <v>46</v>
      </c>
      <c r="D136" s="7">
        <v>5200303</v>
      </c>
    </row>
    <row r="137" spans="1:4" x14ac:dyDescent="0.25">
      <c r="A137" s="2" t="s">
        <v>16</v>
      </c>
      <c r="B137" s="3" t="s">
        <v>5</v>
      </c>
      <c r="C137" s="3" t="s">
        <v>47</v>
      </c>
      <c r="D137" s="4">
        <v>5163352.5</v>
      </c>
    </row>
    <row r="138" spans="1:4" x14ac:dyDescent="0.25">
      <c r="A138" s="5" t="s">
        <v>16</v>
      </c>
      <c r="B138" s="6" t="s">
        <v>5</v>
      </c>
      <c r="C138" s="6" t="s">
        <v>48</v>
      </c>
      <c r="D138" s="7">
        <v>5014799</v>
      </c>
    </row>
    <row r="139" spans="1:4" x14ac:dyDescent="0.25">
      <c r="A139" s="2" t="s">
        <v>16</v>
      </c>
      <c r="B139" s="3" t="s">
        <v>5</v>
      </c>
      <c r="C139" s="3" t="s">
        <v>49</v>
      </c>
      <c r="D139" s="4">
        <v>4923194</v>
      </c>
    </row>
    <row r="140" spans="1:4" x14ac:dyDescent="0.25">
      <c r="A140" s="5" t="s">
        <v>16</v>
      </c>
      <c r="B140" s="6" t="s">
        <v>5</v>
      </c>
      <c r="C140" s="6" t="s">
        <v>50</v>
      </c>
      <c r="D140" s="7">
        <v>4972993</v>
      </c>
    </row>
    <row r="141" spans="1:4" x14ac:dyDescent="0.25">
      <c r="A141" s="2" t="s">
        <v>16</v>
      </c>
      <c r="B141" s="3" t="s">
        <v>5</v>
      </c>
      <c r="C141" s="3" t="s">
        <v>51</v>
      </c>
      <c r="D141" s="4">
        <v>5051354.5</v>
      </c>
    </row>
    <row r="142" spans="1:4" x14ac:dyDescent="0.25">
      <c r="A142" s="5" t="s">
        <v>16</v>
      </c>
      <c r="B142" s="6" t="s">
        <v>5</v>
      </c>
      <c r="C142" s="6" t="s">
        <v>52</v>
      </c>
      <c r="D142" s="7">
        <v>5221786.5</v>
      </c>
    </row>
    <row r="143" spans="1:4" x14ac:dyDescent="0.25">
      <c r="A143" s="2" t="s">
        <v>16</v>
      </c>
      <c r="B143" s="3" t="s">
        <v>5</v>
      </c>
      <c r="C143" s="3" t="s">
        <v>53</v>
      </c>
      <c r="D143" s="4">
        <v>5155719</v>
      </c>
    </row>
    <row r="144" spans="1:4" x14ac:dyDescent="0.25">
      <c r="A144" s="5" t="s">
        <v>16</v>
      </c>
      <c r="B144" s="6" t="s">
        <v>5</v>
      </c>
      <c r="C144" s="6" t="s">
        <v>54</v>
      </c>
      <c r="D144" s="7">
        <v>4978684</v>
      </c>
    </row>
    <row r="145" spans="1:4" x14ac:dyDescent="0.25">
      <c r="A145" s="2" t="s">
        <v>16</v>
      </c>
      <c r="B145" s="3" t="s">
        <v>5</v>
      </c>
      <c r="C145" s="3" t="s">
        <v>55</v>
      </c>
      <c r="D145" s="4">
        <v>5978615</v>
      </c>
    </row>
    <row r="146" spans="1:4" x14ac:dyDescent="0.25">
      <c r="A146" s="2" t="s">
        <v>16</v>
      </c>
      <c r="B146" s="3" t="s">
        <v>5</v>
      </c>
      <c r="C146" s="3" t="s">
        <v>56</v>
      </c>
      <c r="D146" s="4">
        <v>6051281</v>
      </c>
    </row>
    <row r="147" spans="1:4" x14ac:dyDescent="0.25">
      <c r="A147" s="2" t="s">
        <v>16</v>
      </c>
      <c r="B147" s="3" t="s">
        <v>5</v>
      </c>
      <c r="C147" s="3" t="s">
        <v>57</v>
      </c>
      <c r="D147" s="4">
        <v>6184274.5</v>
      </c>
    </row>
    <row r="148" spans="1:4" x14ac:dyDescent="0.25">
      <c r="A148" s="2" t="s">
        <v>16</v>
      </c>
      <c r="B148" s="3" t="s">
        <v>5</v>
      </c>
      <c r="C148" s="3" t="s">
        <v>58</v>
      </c>
      <c r="D148" s="4">
        <v>6388804</v>
      </c>
    </row>
    <row r="149" spans="1:4" x14ac:dyDescent="0.25">
      <c r="A149" s="2" t="s">
        <v>16</v>
      </c>
      <c r="B149" s="3" t="s">
        <v>5</v>
      </c>
      <c r="C149" s="3" t="s">
        <v>59</v>
      </c>
      <c r="D149" s="4">
        <v>6346826</v>
      </c>
    </row>
    <row r="150" spans="1:4" x14ac:dyDescent="0.25">
      <c r="A150" s="2" t="s">
        <v>16</v>
      </c>
      <c r="B150" s="3" t="s">
        <v>5</v>
      </c>
      <c r="C150" s="3" t="s">
        <v>60</v>
      </c>
      <c r="D150" s="4">
        <v>6164943</v>
      </c>
    </row>
    <row r="151" spans="1:4" x14ac:dyDescent="0.25">
      <c r="A151" s="2" t="s">
        <v>16</v>
      </c>
      <c r="B151" s="3" t="s">
        <v>5</v>
      </c>
      <c r="C151" s="3" t="s">
        <v>61</v>
      </c>
      <c r="D151" s="4">
        <v>6051760</v>
      </c>
    </row>
    <row r="152" spans="1:4" x14ac:dyDescent="0.25">
      <c r="A152" s="2" t="s">
        <v>16</v>
      </c>
      <c r="B152" s="3" t="s">
        <v>5</v>
      </c>
      <c r="C152" s="3" t="s">
        <v>62</v>
      </c>
      <c r="D152" s="4">
        <v>6110917</v>
      </c>
    </row>
    <row r="153" spans="1:4" x14ac:dyDescent="0.25">
      <c r="A153" s="2" t="s">
        <v>16</v>
      </c>
      <c r="B153" s="3" t="s">
        <v>5</v>
      </c>
      <c r="C153" s="3" t="s">
        <v>63</v>
      </c>
      <c r="D153" s="4">
        <v>6209267</v>
      </c>
    </row>
    <row r="154" spans="1:4" x14ac:dyDescent="0.25">
      <c r="A154" s="2" t="s">
        <v>16</v>
      </c>
      <c r="B154" s="3" t="s">
        <v>5</v>
      </c>
      <c r="C154" s="3" t="s">
        <v>64</v>
      </c>
      <c r="D154" s="4">
        <v>6415342</v>
      </c>
    </row>
    <row r="155" spans="1:4" x14ac:dyDescent="0.25">
      <c r="A155" s="2" t="s">
        <v>16</v>
      </c>
      <c r="B155" s="3" t="s">
        <v>5</v>
      </c>
      <c r="C155" s="3" t="s">
        <v>65</v>
      </c>
      <c r="D155" s="4">
        <v>6334387</v>
      </c>
    </row>
    <row r="156" spans="1:4" x14ac:dyDescent="0.25">
      <c r="A156" s="2" t="s">
        <v>16</v>
      </c>
      <c r="B156" s="3" t="s">
        <v>5</v>
      </c>
      <c r="C156" s="3" t="s">
        <v>66</v>
      </c>
      <c r="D156" s="4">
        <v>6117073</v>
      </c>
    </row>
    <row r="157" spans="1:4" x14ac:dyDescent="0.25">
      <c r="A157" s="2" t="s">
        <v>17</v>
      </c>
      <c r="B157" s="3" t="s">
        <v>5</v>
      </c>
      <c r="C157" s="3" t="s">
        <v>36</v>
      </c>
      <c r="D157" s="4">
        <v>2466181.5</v>
      </c>
    </row>
    <row r="158" spans="1:4" x14ac:dyDescent="0.25">
      <c r="A158" s="5" t="s">
        <v>17</v>
      </c>
      <c r="B158" s="6" t="s">
        <v>5</v>
      </c>
      <c r="C158" s="6" t="s">
        <v>37</v>
      </c>
      <c r="D158" s="7">
        <v>2424375.25</v>
      </c>
    </row>
    <row r="159" spans="1:4" x14ac:dyDescent="0.25">
      <c r="A159" s="2" t="s">
        <v>17</v>
      </c>
      <c r="B159" s="3" t="s">
        <v>5</v>
      </c>
      <c r="C159" s="3" t="s">
        <v>38</v>
      </c>
      <c r="D159" s="4">
        <v>2445453</v>
      </c>
    </row>
    <row r="160" spans="1:4" x14ac:dyDescent="0.25">
      <c r="A160" s="5" t="s">
        <v>17</v>
      </c>
      <c r="B160" s="6" t="s">
        <v>5</v>
      </c>
      <c r="C160" s="6" t="s">
        <v>39</v>
      </c>
      <c r="D160" s="7">
        <v>2481632.5</v>
      </c>
    </row>
    <row r="161" spans="1:4" x14ac:dyDescent="0.25">
      <c r="A161" s="2" t="s">
        <v>17</v>
      </c>
      <c r="B161" s="3" t="s">
        <v>5</v>
      </c>
      <c r="C161" s="3" t="s">
        <v>40</v>
      </c>
      <c r="D161" s="4">
        <v>2555158.25</v>
      </c>
    </row>
    <row r="162" spans="1:4" x14ac:dyDescent="0.25">
      <c r="A162" s="5" t="s">
        <v>17</v>
      </c>
      <c r="B162" s="6" t="s">
        <v>5</v>
      </c>
      <c r="C162" s="6" t="s">
        <v>41</v>
      </c>
      <c r="D162" s="7">
        <v>2527639.75</v>
      </c>
    </row>
    <row r="163" spans="1:4" x14ac:dyDescent="0.25">
      <c r="A163" s="2" t="s">
        <v>17</v>
      </c>
      <c r="B163" s="3" t="s">
        <v>5</v>
      </c>
      <c r="C163" s="3" t="s">
        <v>42</v>
      </c>
      <c r="D163" s="4">
        <v>2450243.75</v>
      </c>
    </row>
    <row r="164" spans="1:4" x14ac:dyDescent="0.25">
      <c r="A164" s="5" t="s">
        <v>17</v>
      </c>
      <c r="B164" s="6" t="s">
        <v>5</v>
      </c>
      <c r="C164" s="6" t="s">
        <v>43</v>
      </c>
      <c r="D164" s="7">
        <v>2292711.75</v>
      </c>
    </row>
    <row r="165" spans="1:4" x14ac:dyDescent="0.25">
      <c r="A165" s="2" t="s">
        <v>17</v>
      </c>
      <c r="B165" s="3" t="s">
        <v>5</v>
      </c>
      <c r="C165" s="3" t="s">
        <v>44</v>
      </c>
      <c r="D165" s="4">
        <v>2319057.5</v>
      </c>
    </row>
    <row r="166" spans="1:4" x14ac:dyDescent="0.25">
      <c r="A166" s="5" t="s">
        <v>17</v>
      </c>
      <c r="B166" s="6" t="s">
        <v>5</v>
      </c>
      <c r="C166" s="6" t="s">
        <v>45</v>
      </c>
      <c r="D166" s="7">
        <v>2362047.5</v>
      </c>
    </row>
    <row r="167" spans="1:4" x14ac:dyDescent="0.25">
      <c r="A167" s="2" t="s">
        <v>17</v>
      </c>
      <c r="B167" s="3" t="s">
        <v>5</v>
      </c>
      <c r="C167" s="3" t="s">
        <v>46</v>
      </c>
      <c r="D167" s="4">
        <v>2432603.75</v>
      </c>
    </row>
    <row r="168" spans="1:4" x14ac:dyDescent="0.25">
      <c r="A168" s="5" t="s">
        <v>17</v>
      </c>
      <c r="B168" s="6" t="s">
        <v>5</v>
      </c>
      <c r="C168" s="6" t="s">
        <v>47</v>
      </c>
      <c r="D168" s="7">
        <v>2417029.75</v>
      </c>
    </row>
    <row r="169" spans="1:4" x14ac:dyDescent="0.25">
      <c r="A169" s="2" t="s">
        <v>17</v>
      </c>
      <c r="B169" s="3" t="s">
        <v>5</v>
      </c>
      <c r="C169" s="3" t="s">
        <v>48</v>
      </c>
      <c r="D169" s="4">
        <v>2356214.25</v>
      </c>
    </row>
    <row r="170" spans="1:4" x14ac:dyDescent="0.25">
      <c r="A170" s="5" t="s">
        <v>17</v>
      </c>
      <c r="B170" s="6" t="s">
        <v>5</v>
      </c>
      <c r="C170" s="6" t="s">
        <v>49</v>
      </c>
      <c r="D170" s="7">
        <v>2316260</v>
      </c>
    </row>
    <row r="171" spans="1:4" x14ac:dyDescent="0.25">
      <c r="A171" s="2" t="s">
        <v>17</v>
      </c>
      <c r="B171" s="3" t="s">
        <v>5</v>
      </c>
      <c r="C171" s="3" t="s">
        <v>50</v>
      </c>
      <c r="D171" s="4">
        <v>2336478.5</v>
      </c>
    </row>
    <row r="172" spans="1:4" x14ac:dyDescent="0.25">
      <c r="A172" s="5" t="s">
        <v>17</v>
      </c>
      <c r="B172" s="6" t="s">
        <v>5</v>
      </c>
      <c r="C172" s="6" t="s">
        <v>51</v>
      </c>
      <c r="D172" s="7">
        <v>2371014</v>
      </c>
    </row>
    <row r="173" spans="1:4" x14ac:dyDescent="0.25">
      <c r="A173" s="2" t="s">
        <v>17</v>
      </c>
      <c r="B173" s="3" t="s">
        <v>5</v>
      </c>
      <c r="C173" s="3" t="s">
        <v>52</v>
      </c>
      <c r="D173" s="4">
        <v>2441347.5</v>
      </c>
    </row>
    <row r="174" spans="1:4" x14ac:dyDescent="0.25">
      <c r="A174" s="5" t="s">
        <v>17</v>
      </c>
      <c r="B174" s="6" t="s">
        <v>5</v>
      </c>
      <c r="C174" s="6" t="s">
        <v>53</v>
      </c>
      <c r="D174" s="7">
        <v>2415041.25</v>
      </c>
    </row>
    <row r="175" spans="1:4" x14ac:dyDescent="0.25">
      <c r="A175" s="2" t="s">
        <v>17</v>
      </c>
      <c r="B175" s="3" t="s">
        <v>5</v>
      </c>
      <c r="C175" s="3" t="s">
        <v>54</v>
      </c>
      <c r="D175" s="4">
        <v>2340974.25</v>
      </c>
    </row>
    <row r="176" spans="1:4" x14ac:dyDescent="0.25">
      <c r="A176" s="5" t="s">
        <v>17</v>
      </c>
      <c r="B176" s="6" t="s">
        <v>5</v>
      </c>
      <c r="C176" s="6" t="s">
        <v>55</v>
      </c>
      <c r="D176" s="7">
        <v>2863503.5</v>
      </c>
    </row>
    <row r="177" spans="1:4" x14ac:dyDescent="0.25">
      <c r="A177" s="5" t="s">
        <v>17</v>
      </c>
      <c r="B177" s="6" t="s">
        <v>5</v>
      </c>
      <c r="C177" s="6" t="s">
        <v>56</v>
      </c>
      <c r="D177" s="7">
        <v>2895464.5</v>
      </c>
    </row>
    <row r="178" spans="1:4" x14ac:dyDescent="0.25">
      <c r="A178" s="5" t="s">
        <v>17</v>
      </c>
      <c r="B178" s="6" t="s">
        <v>5</v>
      </c>
      <c r="C178" s="6" t="s">
        <v>57</v>
      </c>
      <c r="D178" s="7">
        <v>2947310</v>
      </c>
    </row>
    <row r="179" spans="1:4" x14ac:dyDescent="0.25">
      <c r="A179" s="5" t="s">
        <v>17</v>
      </c>
      <c r="B179" s="6" t="s">
        <v>5</v>
      </c>
      <c r="C179" s="6" t="s">
        <v>58</v>
      </c>
      <c r="D179" s="7">
        <v>3032432</v>
      </c>
    </row>
    <row r="180" spans="1:4" x14ac:dyDescent="0.25">
      <c r="A180" s="5" t="s">
        <v>17</v>
      </c>
      <c r="B180" s="6" t="s">
        <v>5</v>
      </c>
      <c r="C180" s="6" t="s">
        <v>59</v>
      </c>
      <c r="D180" s="7">
        <v>3013692.75</v>
      </c>
    </row>
    <row r="181" spans="1:4" x14ac:dyDescent="0.25">
      <c r="A181" s="5" t="s">
        <v>17</v>
      </c>
      <c r="B181" s="6" t="s">
        <v>5</v>
      </c>
      <c r="C181" s="6" t="s">
        <v>60</v>
      </c>
      <c r="D181" s="7">
        <v>2940177.75</v>
      </c>
    </row>
    <row r="182" spans="1:4" x14ac:dyDescent="0.25">
      <c r="A182" s="5" t="s">
        <v>17</v>
      </c>
      <c r="B182" s="6" t="s">
        <v>5</v>
      </c>
      <c r="C182" s="6" t="s">
        <v>61</v>
      </c>
      <c r="D182" s="7">
        <v>2891869</v>
      </c>
    </row>
    <row r="183" spans="1:4" x14ac:dyDescent="0.25">
      <c r="A183" s="5" t="s">
        <v>17</v>
      </c>
      <c r="B183" s="6" t="s">
        <v>5</v>
      </c>
      <c r="C183" s="6" t="s">
        <v>62</v>
      </c>
      <c r="D183" s="7">
        <v>2916264.5</v>
      </c>
    </row>
    <row r="184" spans="1:4" x14ac:dyDescent="0.25">
      <c r="A184" s="5" t="s">
        <v>17</v>
      </c>
      <c r="B184" s="6" t="s">
        <v>5</v>
      </c>
      <c r="C184" s="6" t="s">
        <v>63</v>
      </c>
      <c r="D184" s="7">
        <v>2958081</v>
      </c>
    </row>
    <row r="185" spans="1:4" x14ac:dyDescent="0.25">
      <c r="A185" s="5" t="s">
        <v>17</v>
      </c>
      <c r="B185" s="6" t="s">
        <v>5</v>
      </c>
      <c r="C185" s="6" t="s">
        <v>64</v>
      </c>
      <c r="D185" s="7">
        <v>3043008.5</v>
      </c>
    </row>
    <row r="186" spans="1:4" x14ac:dyDescent="0.25">
      <c r="A186" s="5" t="s">
        <v>17</v>
      </c>
      <c r="B186" s="6" t="s">
        <v>5</v>
      </c>
      <c r="C186" s="6" t="s">
        <v>65</v>
      </c>
      <c r="D186" s="7">
        <v>3011198</v>
      </c>
    </row>
    <row r="187" spans="1:4" x14ac:dyDescent="0.25">
      <c r="A187" s="5" t="s">
        <v>17</v>
      </c>
      <c r="B187" s="6" t="s">
        <v>5</v>
      </c>
      <c r="C187" s="6" t="s">
        <v>66</v>
      </c>
      <c r="D187" s="7">
        <v>2921651.5</v>
      </c>
    </row>
    <row r="188" spans="1:4" x14ac:dyDescent="0.25">
      <c r="A188" s="5" t="s">
        <v>30</v>
      </c>
      <c r="B188" s="6" t="s">
        <v>5</v>
      </c>
      <c r="C188" s="6" t="s">
        <v>36</v>
      </c>
      <c r="D188" s="7">
        <v>940191.8125</v>
      </c>
    </row>
    <row r="189" spans="1:4" x14ac:dyDescent="0.25">
      <c r="A189" s="2" t="s">
        <v>30</v>
      </c>
      <c r="B189" s="3" t="s">
        <v>5</v>
      </c>
      <c r="C189" s="3" t="s">
        <v>37</v>
      </c>
      <c r="D189" s="4">
        <v>925150.3125</v>
      </c>
    </row>
    <row r="190" spans="1:4" x14ac:dyDescent="0.25">
      <c r="A190" s="5" t="s">
        <v>30</v>
      </c>
      <c r="B190" s="6" t="s">
        <v>5</v>
      </c>
      <c r="C190" s="6" t="s">
        <v>38</v>
      </c>
      <c r="D190" s="7">
        <v>932713.375</v>
      </c>
    </row>
    <row r="191" spans="1:4" x14ac:dyDescent="0.25">
      <c r="A191" s="2" t="s">
        <v>30</v>
      </c>
      <c r="B191" s="3" t="s">
        <v>5</v>
      </c>
      <c r="C191" s="3" t="s">
        <v>39</v>
      </c>
      <c r="D191" s="4">
        <v>945730.0625</v>
      </c>
    </row>
    <row r="192" spans="1:4" x14ac:dyDescent="0.25">
      <c r="A192" s="5" t="s">
        <v>30</v>
      </c>
      <c r="B192" s="6" t="s">
        <v>5</v>
      </c>
      <c r="C192" s="6" t="s">
        <v>40</v>
      </c>
      <c r="D192" s="7">
        <v>972054.6875</v>
      </c>
    </row>
    <row r="193" spans="1:4" x14ac:dyDescent="0.25">
      <c r="A193" s="2" t="s">
        <v>30</v>
      </c>
      <c r="B193" s="3" t="s">
        <v>5</v>
      </c>
      <c r="C193" s="3" t="s">
        <v>41</v>
      </c>
      <c r="D193" s="4">
        <v>962257.5625</v>
      </c>
    </row>
    <row r="194" spans="1:4" x14ac:dyDescent="0.25">
      <c r="A194" s="5" t="s">
        <v>30</v>
      </c>
      <c r="B194" s="6" t="s">
        <v>5</v>
      </c>
      <c r="C194" s="6" t="s">
        <v>42</v>
      </c>
      <c r="D194" s="7">
        <v>934538.6875</v>
      </c>
    </row>
    <row r="195" spans="1:4" x14ac:dyDescent="0.25">
      <c r="A195" s="2" t="s">
        <v>30</v>
      </c>
      <c r="B195" s="3" t="s">
        <v>5</v>
      </c>
      <c r="C195" s="3" t="s">
        <v>43</v>
      </c>
      <c r="D195" s="4">
        <v>837159.875</v>
      </c>
    </row>
    <row r="196" spans="1:4" x14ac:dyDescent="0.25">
      <c r="A196" s="5" t="s">
        <v>30</v>
      </c>
      <c r="B196" s="6" t="s">
        <v>5</v>
      </c>
      <c r="C196" s="6" t="s">
        <v>44</v>
      </c>
      <c r="D196" s="7">
        <v>846692.8125</v>
      </c>
    </row>
    <row r="197" spans="1:4" x14ac:dyDescent="0.25">
      <c r="A197" s="2" t="s">
        <v>30</v>
      </c>
      <c r="B197" s="3" t="s">
        <v>5</v>
      </c>
      <c r="C197" s="3" t="s">
        <v>45</v>
      </c>
      <c r="D197" s="4">
        <v>861962.5</v>
      </c>
    </row>
    <row r="198" spans="1:4" x14ac:dyDescent="0.25">
      <c r="A198" s="5" t="s">
        <v>30</v>
      </c>
      <c r="B198" s="6" t="s">
        <v>5</v>
      </c>
      <c r="C198" s="6" t="s">
        <v>46</v>
      </c>
      <c r="D198" s="7">
        <v>887233.3125</v>
      </c>
    </row>
    <row r="199" spans="1:4" x14ac:dyDescent="0.25">
      <c r="A199" s="2" t="s">
        <v>30</v>
      </c>
      <c r="B199" s="3" t="s">
        <v>5</v>
      </c>
      <c r="C199" s="3" t="s">
        <v>47</v>
      </c>
      <c r="D199" s="4">
        <v>881628.375</v>
      </c>
    </row>
    <row r="200" spans="1:4" x14ac:dyDescent="0.25">
      <c r="A200" s="5" t="s">
        <v>30</v>
      </c>
      <c r="B200" s="6" t="s">
        <v>5</v>
      </c>
      <c r="C200" s="6" t="s">
        <v>48</v>
      </c>
      <c r="D200" s="7">
        <v>859842.625</v>
      </c>
    </row>
    <row r="201" spans="1:4" x14ac:dyDescent="0.25">
      <c r="A201" s="2" t="s">
        <v>30</v>
      </c>
      <c r="B201" s="3" t="s">
        <v>5</v>
      </c>
      <c r="C201" s="3" t="s">
        <v>49</v>
      </c>
      <c r="D201" s="4">
        <v>845445.6875</v>
      </c>
    </row>
    <row r="202" spans="1:4" x14ac:dyDescent="0.25">
      <c r="A202" s="5" t="s">
        <v>30</v>
      </c>
      <c r="B202" s="6" t="s">
        <v>5</v>
      </c>
      <c r="C202" s="6" t="s">
        <v>50</v>
      </c>
      <c r="D202" s="7">
        <v>852684.625</v>
      </c>
    </row>
    <row r="203" spans="1:4" x14ac:dyDescent="0.25">
      <c r="A203" s="2" t="s">
        <v>30</v>
      </c>
      <c r="B203" s="3" t="s">
        <v>5</v>
      </c>
      <c r="C203" s="3" t="s">
        <v>51</v>
      </c>
      <c r="D203" s="4">
        <v>865143.5625</v>
      </c>
    </row>
    <row r="204" spans="1:4" x14ac:dyDescent="0.25">
      <c r="A204" s="5" t="s">
        <v>30</v>
      </c>
      <c r="B204" s="6" t="s">
        <v>5</v>
      </c>
      <c r="C204" s="6" t="s">
        <v>52</v>
      </c>
      <c r="D204" s="7">
        <v>890340</v>
      </c>
    </row>
    <row r="205" spans="1:4" x14ac:dyDescent="0.25">
      <c r="A205" s="2" t="s">
        <v>30</v>
      </c>
      <c r="B205" s="3" t="s">
        <v>5</v>
      </c>
      <c r="C205" s="3" t="s">
        <v>53</v>
      </c>
      <c r="D205" s="4">
        <v>880962.8125</v>
      </c>
    </row>
    <row r="206" spans="1:4" x14ac:dyDescent="0.25">
      <c r="A206" s="5" t="s">
        <v>30</v>
      </c>
      <c r="B206" s="6" t="s">
        <v>5</v>
      </c>
      <c r="C206" s="6" t="s">
        <v>54</v>
      </c>
      <c r="D206" s="7">
        <v>854412.625</v>
      </c>
    </row>
    <row r="207" spans="1:4" x14ac:dyDescent="0.25">
      <c r="A207" s="5" t="s">
        <v>30</v>
      </c>
      <c r="B207" s="6" t="s">
        <v>5</v>
      </c>
      <c r="C207" s="6" t="s">
        <v>55</v>
      </c>
      <c r="D207" s="7">
        <v>1059164.5</v>
      </c>
    </row>
    <row r="208" spans="1:4" x14ac:dyDescent="0.25">
      <c r="A208" s="5" t="s">
        <v>30</v>
      </c>
      <c r="B208" s="6" t="s">
        <v>5</v>
      </c>
      <c r="C208" s="6" t="s">
        <v>56</v>
      </c>
      <c r="D208" s="7">
        <v>1070666.25</v>
      </c>
    </row>
    <row r="209" spans="1:4" x14ac:dyDescent="0.25">
      <c r="A209" s="5" t="s">
        <v>30</v>
      </c>
      <c r="B209" s="6" t="s">
        <v>5</v>
      </c>
      <c r="C209" s="6" t="s">
        <v>57</v>
      </c>
      <c r="D209" s="7">
        <v>1089089.5</v>
      </c>
    </row>
    <row r="210" spans="1:4" x14ac:dyDescent="0.25">
      <c r="A210" s="5" t="s">
        <v>30</v>
      </c>
      <c r="B210" s="6" t="s">
        <v>5</v>
      </c>
      <c r="C210" s="6" t="s">
        <v>58</v>
      </c>
      <c r="D210" s="7">
        <v>1119578.875</v>
      </c>
    </row>
    <row r="211" spans="1:4" x14ac:dyDescent="0.25">
      <c r="A211" s="5" t="s">
        <v>30</v>
      </c>
      <c r="B211" s="6" t="s">
        <v>5</v>
      </c>
      <c r="C211" s="6" t="s">
        <v>59</v>
      </c>
      <c r="D211" s="7">
        <v>1112816.875</v>
      </c>
    </row>
    <row r="212" spans="1:4" x14ac:dyDescent="0.25">
      <c r="A212" s="5" t="s">
        <v>30</v>
      </c>
      <c r="B212" s="6" t="s">
        <v>5</v>
      </c>
      <c r="C212" s="6" t="s">
        <v>60</v>
      </c>
      <c r="D212" s="7">
        <v>1086533</v>
      </c>
    </row>
    <row r="213" spans="1:4" x14ac:dyDescent="0.25">
      <c r="A213" s="5" t="s">
        <v>30</v>
      </c>
      <c r="B213" s="6" t="s">
        <v>5</v>
      </c>
      <c r="C213" s="6" t="s">
        <v>61</v>
      </c>
      <c r="D213" s="7">
        <v>1069163.375</v>
      </c>
    </row>
    <row r="214" spans="1:4" x14ac:dyDescent="0.25">
      <c r="A214" s="5" t="s">
        <v>30</v>
      </c>
      <c r="B214" s="6" t="s">
        <v>5</v>
      </c>
      <c r="C214" s="6" t="s">
        <v>62</v>
      </c>
      <c r="D214" s="7">
        <v>1077897</v>
      </c>
    </row>
    <row r="215" spans="1:4" x14ac:dyDescent="0.25">
      <c r="A215" s="5" t="s">
        <v>30</v>
      </c>
      <c r="B215" s="6" t="s">
        <v>5</v>
      </c>
      <c r="C215" s="6" t="s">
        <v>63</v>
      </c>
      <c r="D215" s="7">
        <v>1092928.25</v>
      </c>
    </row>
    <row r="216" spans="1:4" x14ac:dyDescent="0.25">
      <c r="A216" s="5" t="s">
        <v>30</v>
      </c>
      <c r="B216" s="6" t="s">
        <v>5</v>
      </c>
      <c r="C216" s="6" t="s">
        <v>64</v>
      </c>
      <c r="D216" s="7">
        <v>1123327.75</v>
      </c>
    </row>
    <row r="217" spans="1:4" x14ac:dyDescent="0.25">
      <c r="A217" s="5" t="s">
        <v>30</v>
      </c>
      <c r="B217" s="6" t="s">
        <v>5</v>
      </c>
      <c r="C217" s="6" t="s">
        <v>65</v>
      </c>
      <c r="D217" s="7">
        <v>1112013.75</v>
      </c>
    </row>
    <row r="218" spans="1:4" x14ac:dyDescent="0.25">
      <c r="A218" s="5" t="s">
        <v>30</v>
      </c>
      <c r="B218" s="6" t="s">
        <v>5</v>
      </c>
      <c r="C218" s="6" t="s">
        <v>66</v>
      </c>
      <c r="D218" s="7">
        <v>1080003.75</v>
      </c>
    </row>
    <row r="219" spans="1:4" x14ac:dyDescent="0.25">
      <c r="A219" s="2" t="s">
        <v>24</v>
      </c>
      <c r="B219" s="3" t="s">
        <v>5</v>
      </c>
      <c r="C219" s="3" t="s">
        <v>36</v>
      </c>
      <c r="D219" s="4">
        <v>446669.8125</v>
      </c>
    </row>
    <row r="220" spans="1:4" x14ac:dyDescent="0.25">
      <c r="A220" s="5" t="s">
        <v>24</v>
      </c>
      <c r="B220" s="6" t="s">
        <v>5</v>
      </c>
      <c r="C220" s="6" t="s">
        <v>37</v>
      </c>
      <c r="D220" s="7">
        <v>438943.46875</v>
      </c>
    </row>
    <row r="221" spans="1:4" x14ac:dyDescent="0.25">
      <c r="A221" s="2" t="s">
        <v>24</v>
      </c>
      <c r="B221" s="3" t="s">
        <v>5</v>
      </c>
      <c r="C221" s="3" t="s">
        <v>38</v>
      </c>
      <c r="D221" s="4">
        <v>443211.65625</v>
      </c>
    </row>
    <row r="222" spans="1:4" x14ac:dyDescent="0.25">
      <c r="A222" s="5" t="s">
        <v>24</v>
      </c>
      <c r="B222" s="6" t="s">
        <v>5</v>
      </c>
      <c r="C222" s="6" t="s">
        <v>39</v>
      </c>
      <c r="D222" s="7">
        <v>449933.40625</v>
      </c>
    </row>
    <row r="223" spans="1:4" x14ac:dyDescent="0.25">
      <c r="A223" s="2" t="s">
        <v>24</v>
      </c>
      <c r="B223" s="3" t="s">
        <v>5</v>
      </c>
      <c r="C223" s="3" t="s">
        <v>40</v>
      </c>
      <c r="D223" s="4">
        <v>465460.28125</v>
      </c>
    </row>
    <row r="224" spans="1:4" x14ac:dyDescent="0.25">
      <c r="A224" s="5" t="s">
        <v>24</v>
      </c>
      <c r="B224" s="6" t="s">
        <v>5</v>
      </c>
      <c r="C224" s="6" t="s">
        <v>41</v>
      </c>
      <c r="D224" s="7">
        <v>458893.84375</v>
      </c>
    </row>
    <row r="225" spans="1:4" x14ac:dyDescent="0.25">
      <c r="A225" s="2" t="s">
        <v>24</v>
      </c>
      <c r="B225" s="3" t="s">
        <v>5</v>
      </c>
      <c r="C225" s="3" t="s">
        <v>42</v>
      </c>
      <c r="D225" s="4">
        <v>443254.5625</v>
      </c>
    </row>
    <row r="226" spans="1:4" x14ac:dyDescent="0.25">
      <c r="A226" s="5" t="s">
        <v>24</v>
      </c>
      <c r="B226" s="6" t="s">
        <v>5</v>
      </c>
      <c r="C226" s="6" t="s">
        <v>43</v>
      </c>
      <c r="D226" s="7">
        <v>400988.71875</v>
      </c>
    </row>
    <row r="227" spans="1:4" x14ac:dyDescent="0.25">
      <c r="A227" s="2" t="s">
        <v>24</v>
      </c>
      <c r="B227" s="3" t="s">
        <v>5</v>
      </c>
      <c r="C227" s="3" t="s">
        <v>44</v>
      </c>
      <c r="D227" s="4">
        <v>404775.6875</v>
      </c>
    </row>
    <row r="228" spans="1:4" x14ac:dyDescent="0.25">
      <c r="A228" s="5" t="s">
        <v>24</v>
      </c>
      <c r="B228" s="6" t="s">
        <v>5</v>
      </c>
      <c r="C228" s="6" t="s">
        <v>45</v>
      </c>
      <c r="D228" s="7">
        <v>415604.5</v>
      </c>
    </row>
    <row r="229" spans="1:4" x14ac:dyDescent="0.25">
      <c r="A229" s="2" t="s">
        <v>24</v>
      </c>
      <c r="B229" s="3" t="s">
        <v>5</v>
      </c>
      <c r="C229" s="3" t="s">
        <v>46</v>
      </c>
      <c r="D229" s="4">
        <v>430228.8125</v>
      </c>
    </row>
    <row r="230" spans="1:4" x14ac:dyDescent="0.25">
      <c r="A230" s="5" t="s">
        <v>24</v>
      </c>
      <c r="B230" s="6" t="s">
        <v>5</v>
      </c>
      <c r="C230" s="6" t="s">
        <v>47</v>
      </c>
      <c r="D230" s="7">
        <v>427237.96875</v>
      </c>
    </row>
    <row r="231" spans="1:4" x14ac:dyDescent="0.25">
      <c r="A231" s="2" t="s">
        <v>24</v>
      </c>
      <c r="B231" s="3" t="s">
        <v>5</v>
      </c>
      <c r="C231" s="3" t="s">
        <v>48</v>
      </c>
      <c r="D231" s="4">
        <v>414460.78125</v>
      </c>
    </row>
    <row r="232" spans="1:4" x14ac:dyDescent="0.25">
      <c r="A232" s="5" t="s">
        <v>24</v>
      </c>
      <c r="B232" s="6" t="s">
        <v>5</v>
      </c>
      <c r="C232" s="6" t="s">
        <v>49</v>
      </c>
      <c r="D232" s="7">
        <v>407457.21875</v>
      </c>
    </row>
    <row r="233" spans="1:4" x14ac:dyDescent="0.25">
      <c r="A233" s="2" t="s">
        <v>24</v>
      </c>
      <c r="B233" s="3" t="s">
        <v>5</v>
      </c>
      <c r="C233" s="3" t="s">
        <v>50</v>
      </c>
      <c r="D233" s="4">
        <v>411795.40625</v>
      </c>
    </row>
    <row r="234" spans="1:4" x14ac:dyDescent="0.25">
      <c r="A234" s="5" t="s">
        <v>24</v>
      </c>
      <c r="B234" s="6" t="s">
        <v>5</v>
      </c>
      <c r="C234" s="6" t="s">
        <v>51</v>
      </c>
      <c r="D234" s="7">
        <v>417652.875</v>
      </c>
    </row>
    <row r="235" spans="1:4" x14ac:dyDescent="0.25">
      <c r="A235" s="2" t="s">
        <v>24</v>
      </c>
      <c r="B235" s="3" t="s">
        <v>5</v>
      </c>
      <c r="C235" s="3" t="s">
        <v>52</v>
      </c>
      <c r="D235" s="4">
        <v>432165.90625</v>
      </c>
    </row>
    <row r="236" spans="1:4" x14ac:dyDescent="0.25">
      <c r="A236" s="5" t="s">
        <v>24</v>
      </c>
      <c r="B236" s="6" t="s">
        <v>5</v>
      </c>
      <c r="C236" s="6" t="s">
        <v>53</v>
      </c>
      <c r="D236" s="7">
        <v>426155.71875</v>
      </c>
    </row>
    <row r="237" spans="1:4" x14ac:dyDescent="0.25">
      <c r="A237" s="2" t="s">
        <v>24</v>
      </c>
      <c r="B237" s="3" t="s">
        <v>5</v>
      </c>
      <c r="C237" s="3" t="s">
        <v>54</v>
      </c>
      <c r="D237" s="4">
        <v>411435.9375</v>
      </c>
    </row>
    <row r="238" spans="1:4" x14ac:dyDescent="0.25">
      <c r="A238" s="2" t="s">
        <v>24</v>
      </c>
      <c r="B238" s="3" t="s">
        <v>5</v>
      </c>
      <c r="C238" s="3" t="s">
        <v>55</v>
      </c>
      <c r="D238" s="4">
        <v>481417.5625</v>
      </c>
    </row>
    <row r="239" spans="1:4" x14ac:dyDescent="0.25">
      <c r="A239" s="2" t="s">
        <v>24</v>
      </c>
      <c r="B239" s="3" t="s">
        <v>5</v>
      </c>
      <c r="C239" s="3" t="s">
        <v>56</v>
      </c>
      <c r="D239" s="4">
        <v>487308.84375</v>
      </c>
    </row>
    <row r="240" spans="1:4" x14ac:dyDescent="0.25">
      <c r="A240" s="2" t="s">
        <v>24</v>
      </c>
      <c r="B240" s="3" t="s">
        <v>5</v>
      </c>
      <c r="C240" s="3" t="s">
        <v>57</v>
      </c>
      <c r="D240" s="4">
        <v>499063.375</v>
      </c>
    </row>
    <row r="241" spans="1:4" x14ac:dyDescent="0.25">
      <c r="A241" s="2" t="s">
        <v>24</v>
      </c>
      <c r="B241" s="3" t="s">
        <v>5</v>
      </c>
      <c r="C241" s="3" t="s">
        <v>58</v>
      </c>
      <c r="D241" s="4">
        <v>515923.75</v>
      </c>
    </row>
    <row r="242" spans="1:4" x14ac:dyDescent="0.25">
      <c r="A242" s="2" t="s">
        <v>24</v>
      </c>
      <c r="B242" s="3" t="s">
        <v>5</v>
      </c>
      <c r="C242" s="3" t="s">
        <v>59</v>
      </c>
      <c r="D242" s="4">
        <v>512776.90625</v>
      </c>
    </row>
    <row r="243" spans="1:4" x14ac:dyDescent="0.25">
      <c r="A243" s="2" t="s">
        <v>24</v>
      </c>
      <c r="B243" s="3" t="s">
        <v>5</v>
      </c>
      <c r="C243" s="3" t="s">
        <v>60</v>
      </c>
      <c r="D243" s="4">
        <v>497341.96875</v>
      </c>
    </row>
    <row r="244" spans="1:4" x14ac:dyDescent="0.25">
      <c r="A244" s="2" t="s">
        <v>24</v>
      </c>
      <c r="B244" s="3" t="s">
        <v>5</v>
      </c>
      <c r="C244" s="3" t="s">
        <v>61</v>
      </c>
      <c r="D244" s="4">
        <v>488325.28125</v>
      </c>
    </row>
    <row r="245" spans="1:4" x14ac:dyDescent="0.25">
      <c r="A245" s="2" t="s">
        <v>24</v>
      </c>
      <c r="B245" s="3" t="s">
        <v>5</v>
      </c>
      <c r="C245" s="3" t="s">
        <v>62</v>
      </c>
      <c r="D245" s="4">
        <v>493224.0625</v>
      </c>
    </row>
    <row r="246" spans="1:4" x14ac:dyDescent="0.25">
      <c r="A246" s="2" t="s">
        <v>24</v>
      </c>
      <c r="B246" s="3" t="s">
        <v>5</v>
      </c>
      <c r="C246" s="3" t="s">
        <v>63</v>
      </c>
      <c r="D246" s="4">
        <v>501184.78125</v>
      </c>
    </row>
    <row r="247" spans="1:4" x14ac:dyDescent="0.25">
      <c r="A247" s="2" t="s">
        <v>24</v>
      </c>
      <c r="B247" s="3" t="s">
        <v>5</v>
      </c>
      <c r="C247" s="3" t="s">
        <v>64</v>
      </c>
      <c r="D247" s="4">
        <v>518257.625</v>
      </c>
    </row>
    <row r="248" spans="1:4" x14ac:dyDescent="0.25">
      <c r="A248" s="2" t="s">
        <v>24</v>
      </c>
      <c r="B248" s="3" t="s">
        <v>5</v>
      </c>
      <c r="C248" s="3" t="s">
        <v>65</v>
      </c>
      <c r="D248" s="4">
        <v>511048.5625</v>
      </c>
    </row>
    <row r="249" spans="1:4" x14ac:dyDescent="0.25">
      <c r="A249" s="2" t="s">
        <v>24</v>
      </c>
      <c r="B249" s="3" t="s">
        <v>5</v>
      </c>
      <c r="C249" s="3" t="s">
        <v>66</v>
      </c>
      <c r="D249" s="4">
        <v>492744.125</v>
      </c>
    </row>
    <row r="250" spans="1:4" x14ac:dyDescent="0.25">
      <c r="A250" s="5" t="s">
        <v>21</v>
      </c>
      <c r="B250" s="6" t="s">
        <v>5</v>
      </c>
      <c r="C250" s="6" t="s">
        <v>36</v>
      </c>
      <c r="D250" s="7">
        <v>3592222</v>
      </c>
    </row>
    <row r="251" spans="1:4" x14ac:dyDescent="0.25">
      <c r="A251" s="2" t="s">
        <v>21</v>
      </c>
      <c r="B251" s="3" t="s">
        <v>5</v>
      </c>
      <c r="C251" s="3" t="s">
        <v>37</v>
      </c>
      <c r="D251" s="4">
        <v>3517242.5</v>
      </c>
    </row>
    <row r="252" spans="1:4" x14ac:dyDescent="0.25">
      <c r="A252" s="5" t="s">
        <v>21</v>
      </c>
      <c r="B252" s="6" t="s">
        <v>5</v>
      </c>
      <c r="C252" s="6" t="s">
        <v>38</v>
      </c>
      <c r="D252" s="7">
        <v>3555133.25</v>
      </c>
    </row>
    <row r="253" spans="1:4" x14ac:dyDescent="0.25">
      <c r="A253" s="2" t="s">
        <v>21</v>
      </c>
      <c r="B253" s="3" t="s">
        <v>5</v>
      </c>
      <c r="C253" s="3" t="s">
        <v>39</v>
      </c>
      <c r="D253" s="4">
        <v>3620038.75</v>
      </c>
    </row>
    <row r="254" spans="1:4" x14ac:dyDescent="0.25">
      <c r="A254" s="5" t="s">
        <v>21</v>
      </c>
      <c r="B254" s="6" t="s">
        <v>5</v>
      </c>
      <c r="C254" s="6" t="s">
        <v>40</v>
      </c>
      <c r="D254" s="7">
        <v>3752205.5</v>
      </c>
    </row>
    <row r="255" spans="1:4" x14ac:dyDescent="0.25">
      <c r="A255" s="2" t="s">
        <v>21</v>
      </c>
      <c r="B255" s="3" t="s">
        <v>5</v>
      </c>
      <c r="C255" s="3" t="s">
        <v>41</v>
      </c>
      <c r="D255" s="4">
        <v>3702661</v>
      </c>
    </row>
    <row r="256" spans="1:4" x14ac:dyDescent="0.25">
      <c r="A256" s="5" t="s">
        <v>21</v>
      </c>
      <c r="B256" s="6" t="s">
        <v>5</v>
      </c>
      <c r="C256" s="6" t="s">
        <v>42</v>
      </c>
      <c r="D256" s="7">
        <v>3563350.5</v>
      </c>
    </row>
    <row r="257" spans="1:4" x14ac:dyDescent="0.25">
      <c r="A257" s="2" t="s">
        <v>21</v>
      </c>
      <c r="B257" s="3" t="s">
        <v>5</v>
      </c>
      <c r="C257" s="3" t="s">
        <v>43</v>
      </c>
      <c r="D257" s="4">
        <v>3271673.75</v>
      </c>
    </row>
    <row r="258" spans="1:4" x14ac:dyDescent="0.25">
      <c r="A258" s="5" t="s">
        <v>21</v>
      </c>
      <c r="B258" s="6" t="s">
        <v>5</v>
      </c>
      <c r="C258" s="6" t="s">
        <v>44</v>
      </c>
      <c r="D258" s="7">
        <v>3318628.75</v>
      </c>
    </row>
    <row r="259" spans="1:4" x14ac:dyDescent="0.25">
      <c r="A259" s="2" t="s">
        <v>21</v>
      </c>
      <c r="B259" s="3" t="s">
        <v>5</v>
      </c>
      <c r="C259" s="3" t="s">
        <v>45</v>
      </c>
      <c r="D259" s="4">
        <v>3396138.5</v>
      </c>
    </row>
    <row r="260" spans="1:4" x14ac:dyDescent="0.25">
      <c r="A260" s="5" t="s">
        <v>21</v>
      </c>
      <c r="B260" s="6" t="s">
        <v>5</v>
      </c>
      <c r="C260" s="6" t="s">
        <v>46</v>
      </c>
      <c r="D260" s="7">
        <v>3522856</v>
      </c>
    </row>
    <row r="261" spans="1:4" x14ac:dyDescent="0.25">
      <c r="A261" s="2" t="s">
        <v>21</v>
      </c>
      <c r="B261" s="3" t="s">
        <v>5</v>
      </c>
      <c r="C261" s="3" t="s">
        <v>47</v>
      </c>
      <c r="D261" s="4">
        <v>3494853</v>
      </c>
    </row>
    <row r="262" spans="1:4" x14ac:dyDescent="0.25">
      <c r="A262" s="5" t="s">
        <v>21</v>
      </c>
      <c r="B262" s="6" t="s">
        <v>5</v>
      </c>
      <c r="C262" s="6" t="s">
        <v>48</v>
      </c>
      <c r="D262" s="7">
        <v>3385502.75</v>
      </c>
    </row>
    <row r="263" spans="1:4" x14ac:dyDescent="0.25">
      <c r="A263" s="2" t="s">
        <v>21</v>
      </c>
      <c r="B263" s="3" t="s">
        <v>5</v>
      </c>
      <c r="C263" s="3" t="s">
        <v>49</v>
      </c>
      <c r="D263" s="4">
        <v>3313938.5</v>
      </c>
    </row>
    <row r="264" spans="1:4" x14ac:dyDescent="0.25">
      <c r="A264" s="5" t="s">
        <v>21</v>
      </c>
      <c r="B264" s="6" t="s">
        <v>5</v>
      </c>
      <c r="C264" s="6" t="s">
        <v>50</v>
      </c>
      <c r="D264" s="7">
        <v>3350321</v>
      </c>
    </row>
    <row r="265" spans="1:4" x14ac:dyDescent="0.25">
      <c r="A265" s="2" t="s">
        <v>21</v>
      </c>
      <c r="B265" s="3" t="s">
        <v>5</v>
      </c>
      <c r="C265" s="3" t="s">
        <v>51</v>
      </c>
      <c r="D265" s="4">
        <v>3412155.75</v>
      </c>
    </row>
    <row r="266" spans="1:4" x14ac:dyDescent="0.25">
      <c r="A266" s="5" t="s">
        <v>21</v>
      </c>
      <c r="B266" s="6" t="s">
        <v>5</v>
      </c>
      <c r="C266" s="6" t="s">
        <v>52</v>
      </c>
      <c r="D266" s="7">
        <v>3538467</v>
      </c>
    </row>
    <row r="267" spans="1:4" x14ac:dyDescent="0.25">
      <c r="A267" s="2" t="s">
        <v>21</v>
      </c>
      <c r="B267" s="3" t="s">
        <v>5</v>
      </c>
      <c r="C267" s="3" t="s">
        <v>53</v>
      </c>
      <c r="D267" s="4">
        <v>3491187</v>
      </c>
    </row>
    <row r="268" spans="1:4" x14ac:dyDescent="0.25">
      <c r="A268" s="5" t="s">
        <v>21</v>
      </c>
      <c r="B268" s="6" t="s">
        <v>5</v>
      </c>
      <c r="C268" s="6" t="s">
        <v>54</v>
      </c>
      <c r="D268" s="7">
        <v>3357969.75</v>
      </c>
    </row>
    <row r="269" spans="1:4" x14ac:dyDescent="0.25">
      <c r="A269" s="5" t="s">
        <v>21</v>
      </c>
      <c r="B269" s="6" t="s">
        <v>5</v>
      </c>
      <c r="C269" s="6" t="s">
        <v>55</v>
      </c>
      <c r="D269" s="7">
        <v>3971950</v>
      </c>
    </row>
    <row r="270" spans="1:4" x14ac:dyDescent="0.25">
      <c r="A270" s="5" t="s">
        <v>21</v>
      </c>
      <c r="B270" s="6" t="s">
        <v>5</v>
      </c>
      <c r="C270" s="6" t="s">
        <v>56</v>
      </c>
      <c r="D270" s="7">
        <v>4027849.5</v>
      </c>
    </row>
    <row r="271" spans="1:4" x14ac:dyDescent="0.25">
      <c r="A271" s="5" t="s">
        <v>21</v>
      </c>
      <c r="B271" s="6" t="s">
        <v>5</v>
      </c>
      <c r="C271" s="6" t="s">
        <v>57</v>
      </c>
      <c r="D271" s="7">
        <v>4120983.5</v>
      </c>
    </row>
    <row r="272" spans="1:4" x14ac:dyDescent="0.25">
      <c r="A272" s="5" t="s">
        <v>21</v>
      </c>
      <c r="B272" s="6" t="s">
        <v>5</v>
      </c>
      <c r="C272" s="6" t="s">
        <v>58</v>
      </c>
      <c r="D272" s="7">
        <v>4271779</v>
      </c>
    </row>
    <row r="273" spans="1:4" x14ac:dyDescent="0.25">
      <c r="A273" s="5" t="s">
        <v>21</v>
      </c>
      <c r="B273" s="6" t="s">
        <v>5</v>
      </c>
      <c r="C273" s="6" t="s">
        <v>59</v>
      </c>
      <c r="D273" s="7">
        <v>4239080</v>
      </c>
    </row>
    <row r="274" spans="1:4" x14ac:dyDescent="0.25">
      <c r="A274" s="5" t="s">
        <v>21</v>
      </c>
      <c r="B274" s="6" t="s">
        <v>5</v>
      </c>
      <c r="C274" s="6" t="s">
        <v>60</v>
      </c>
      <c r="D274" s="7">
        <v>4107858.25</v>
      </c>
    </row>
    <row r="275" spans="1:4" x14ac:dyDescent="0.25">
      <c r="A275" s="5" t="s">
        <v>21</v>
      </c>
      <c r="B275" s="6" t="s">
        <v>5</v>
      </c>
      <c r="C275" s="6" t="s">
        <v>61</v>
      </c>
      <c r="D275" s="7">
        <v>4022550.5</v>
      </c>
    </row>
    <row r="276" spans="1:4" x14ac:dyDescent="0.25">
      <c r="A276" s="5" t="s">
        <v>21</v>
      </c>
      <c r="B276" s="6" t="s">
        <v>5</v>
      </c>
      <c r="C276" s="6" t="s">
        <v>62</v>
      </c>
      <c r="D276" s="7">
        <v>4065909.75</v>
      </c>
    </row>
    <row r="277" spans="1:4" x14ac:dyDescent="0.25">
      <c r="A277" s="5" t="s">
        <v>21</v>
      </c>
      <c r="B277" s="6" t="s">
        <v>5</v>
      </c>
      <c r="C277" s="6" t="s">
        <v>63</v>
      </c>
      <c r="D277" s="7">
        <v>4139783.25</v>
      </c>
    </row>
    <row r="278" spans="1:4" x14ac:dyDescent="0.25">
      <c r="A278" s="5" t="s">
        <v>21</v>
      </c>
      <c r="B278" s="6" t="s">
        <v>5</v>
      </c>
      <c r="C278" s="6" t="s">
        <v>64</v>
      </c>
      <c r="D278" s="7">
        <v>4290825</v>
      </c>
    </row>
    <row r="279" spans="1:4" x14ac:dyDescent="0.25">
      <c r="A279" s="5" t="s">
        <v>21</v>
      </c>
      <c r="B279" s="6" t="s">
        <v>5</v>
      </c>
      <c r="C279" s="6" t="s">
        <v>65</v>
      </c>
      <c r="D279" s="7">
        <v>4233826.5</v>
      </c>
    </row>
    <row r="280" spans="1:4" x14ac:dyDescent="0.25">
      <c r="A280" s="5" t="s">
        <v>21</v>
      </c>
      <c r="B280" s="6" t="s">
        <v>5</v>
      </c>
      <c r="C280" s="6" t="s">
        <v>66</v>
      </c>
      <c r="D280" s="7">
        <v>4074427.75</v>
      </c>
    </row>
    <row r="281" spans="1:4" x14ac:dyDescent="0.25">
      <c r="A281" s="2" t="s">
        <v>22</v>
      </c>
      <c r="B281" s="3" t="s">
        <v>5</v>
      </c>
      <c r="C281" s="3" t="s">
        <v>36</v>
      </c>
      <c r="D281" s="4">
        <v>3593224.25</v>
      </c>
    </row>
    <row r="282" spans="1:4" x14ac:dyDescent="0.25">
      <c r="A282" s="5" t="s">
        <v>22</v>
      </c>
      <c r="B282" s="6" t="s">
        <v>5</v>
      </c>
      <c r="C282" s="6" t="s">
        <v>37</v>
      </c>
      <c r="D282" s="7">
        <v>3520345</v>
      </c>
    </row>
    <row r="283" spans="1:4" x14ac:dyDescent="0.25">
      <c r="A283" s="2" t="s">
        <v>22</v>
      </c>
      <c r="B283" s="3" t="s">
        <v>5</v>
      </c>
      <c r="C283" s="3" t="s">
        <v>38</v>
      </c>
      <c r="D283" s="4">
        <v>3556993.25</v>
      </c>
    </row>
    <row r="284" spans="1:4" x14ac:dyDescent="0.25">
      <c r="A284" s="5" t="s">
        <v>22</v>
      </c>
      <c r="B284" s="6" t="s">
        <v>5</v>
      </c>
      <c r="C284" s="6" t="s">
        <v>39</v>
      </c>
      <c r="D284" s="7">
        <v>3620063.5</v>
      </c>
    </row>
    <row r="285" spans="1:4" x14ac:dyDescent="0.25">
      <c r="A285" s="2" t="s">
        <v>22</v>
      </c>
      <c r="B285" s="3" t="s">
        <v>5</v>
      </c>
      <c r="C285" s="3" t="s">
        <v>40</v>
      </c>
      <c r="D285" s="4">
        <v>3747596</v>
      </c>
    </row>
    <row r="286" spans="1:4" x14ac:dyDescent="0.25">
      <c r="A286" s="5" t="s">
        <v>22</v>
      </c>
      <c r="B286" s="6" t="s">
        <v>5</v>
      </c>
      <c r="C286" s="6" t="s">
        <v>41</v>
      </c>
      <c r="D286" s="7">
        <v>3700148.25</v>
      </c>
    </row>
    <row r="287" spans="1:4" x14ac:dyDescent="0.25">
      <c r="A287" s="2" t="s">
        <v>22</v>
      </c>
      <c r="B287" s="3" t="s">
        <v>5</v>
      </c>
      <c r="C287" s="3" t="s">
        <v>42</v>
      </c>
      <c r="D287" s="4">
        <v>3565420.25</v>
      </c>
    </row>
    <row r="288" spans="1:4" x14ac:dyDescent="0.25">
      <c r="A288" s="5" t="s">
        <v>22</v>
      </c>
      <c r="B288" s="6" t="s">
        <v>5</v>
      </c>
      <c r="C288" s="6" t="s">
        <v>43</v>
      </c>
      <c r="D288" s="7">
        <v>3278836.5</v>
      </c>
    </row>
    <row r="289" spans="1:4" x14ac:dyDescent="0.25">
      <c r="A289" s="2" t="s">
        <v>22</v>
      </c>
      <c r="B289" s="3" t="s">
        <v>5</v>
      </c>
      <c r="C289" s="3" t="s">
        <v>44</v>
      </c>
      <c r="D289" s="4">
        <v>3325000.25</v>
      </c>
    </row>
    <row r="290" spans="1:4" x14ac:dyDescent="0.25">
      <c r="A290" s="5" t="s">
        <v>22</v>
      </c>
      <c r="B290" s="6" t="s">
        <v>5</v>
      </c>
      <c r="C290" s="6" t="s">
        <v>45</v>
      </c>
      <c r="D290" s="7">
        <v>3398946</v>
      </c>
    </row>
    <row r="291" spans="1:4" x14ac:dyDescent="0.25">
      <c r="A291" s="2" t="s">
        <v>22</v>
      </c>
      <c r="B291" s="3" t="s">
        <v>5</v>
      </c>
      <c r="C291" s="3" t="s">
        <v>46</v>
      </c>
      <c r="D291" s="4">
        <v>3521344.5</v>
      </c>
    </row>
    <row r="292" spans="1:4" x14ac:dyDescent="0.25">
      <c r="A292" s="5" t="s">
        <v>22</v>
      </c>
      <c r="B292" s="6" t="s">
        <v>5</v>
      </c>
      <c r="C292" s="6" t="s">
        <v>47</v>
      </c>
      <c r="D292" s="7">
        <v>3494184</v>
      </c>
    </row>
    <row r="293" spans="1:4" x14ac:dyDescent="0.25">
      <c r="A293" s="2" t="s">
        <v>22</v>
      </c>
      <c r="B293" s="3" t="s">
        <v>5</v>
      </c>
      <c r="C293" s="3" t="s">
        <v>48</v>
      </c>
      <c r="D293" s="4">
        <v>3388647.75</v>
      </c>
    </row>
    <row r="294" spans="1:4" x14ac:dyDescent="0.25">
      <c r="A294" s="5" t="s">
        <v>22</v>
      </c>
      <c r="B294" s="6" t="s">
        <v>5</v>
      </c>
      <c r="C294" s="6" t="s">
        <v>49</v>
      </c>
      <c r="D294" s="7">
        <v>3318908</v>
      </c>
    </row>
    <row r="295" spans="1:4" x14ac:dyDescent="0.25">
      <c r="A295" s="2" t="s">
        <v>22</v>
      </c>
      <c r="B295" s="3" t="s">
        <v>5</v>
      </c>
      <c r="C295" s="3" t="s">
        <v>50</v>
      </c>
      <c r="D295" s="4">
        <v>3353977.5</v>
      </c>
    </row>
    <row r="296" spans="1:4" x14ac:dyDescent="0.25">
      <c r="A296" s="5" t="s">
        <v>22</v>
      </c>
      <c r="B296" s="6" t="s">
        <v>5</v>
      </c>
      <c r="C296" s="6" t="s">
        <v>51</v>
      </c>
      <c r="D296" s="7">
        <v>3414330.75</v>
      </c>
    </row>
    <row r="297" spans="1:4" x14ac:dyDescent="0.25">
      <c r="A297" s="2" t="s">
        <v>22</v>
      </c>
      <c r="B297" s="3" t="s">
        <v>5</v>
      </c>
      <c r="C297" s="3" t="s">
        <v>52</v>
      </c>
      <c r="D297" s="4">
        <v>3536368.5</v>
      </c>
    </row>
    <row r="298" spans="1:4" x14ac:dyDescent="0.25">
      <c r="A298" s="5" t="s">
        <v>22</v>
      </c>
      <c r="B298" s="6" t="s">
        <v>5</v>
      </c>
      <c r="C298" s="6" t="s">
        <v>53</v>
      </c>
      <c r="D298" s="7">
        <v>3490965.25</v>
      </c>
    </row>
    <row r="299" spans="1:4" x14ac:dyDescent="0.25">
      <c r="A299" s="2" t="s">
        <v>22</v>
      </c>
      <c r="B299" s="3" t="s">
        <v>5</v>
      </c>
      <c r="C299" s="3" t="s">
        <v>54</v>
      </c>
      <c r="D299" s="4">
        <v>3362018.25</v>
      </c>
    </row>
    <row r="300" spans="1:4" x14ac:dyDescent="0.25">
      <c r="A300" s="2" t="s">
        <v>22</v>
      </c>
      <c r="B300" s="3" t="s">
        <v>5</v>
      </c>
      <c r="C300" s="3" t="s">
        <v>55</v>
      </c>
      <c r="D300" s="4">
        <v>4016345.5</v>
      </c>
    </row>
    <row r="301" spans="1:4" x14ac:dyDescent="0.25">
      <c r="A301" s="2" t="s">
        <v>22</v>
      </c>
      <c r="B301" s="3" t="s">
        <v>5</v>
      </c>
      <c r="C301" s="3" t="s">
        <v>56</v>
      </c>
      <c r="D301" s="4">
        <v>4071865</v>
      </c>
    </row>
    <row r="302" spans="1:4" x14ac:dyDescent="0.25">
      <c r="A302" s="2" t="s">
        <v>22</v>
      </c>
      <c r="B302" s="3" t="s">
        <v>5</v>
      </c>
      <c r="C302" s="3" t="s">
        <v>57</v>
      </c>
      <c r="D302" s="4">
        <v>4160797.5</v>
      </c>
    </row>
    <row r="303" spans="1:4" x14ac:dyDescent="0.25">
      <c r="A303" s="2" t="s">
        <v>22</v>
      </c>
      <c r="B303" s="3" t="s">
        <v>5</v>
      </c>
      <c r="C303" s="3" t="s">
        <v>58</v>
      </c>
      <c r="D303" s="4">
        <v>4307999.5</v>
      </c>
    </row>
    <row r="304" spans="1:4" x14ac:dyDescent="0.25">
      <c r="A304" s="2" t="s">
        <v>22</v>
      </c>
      <c r="B304" s="3" t="s">
        <v>5</v>
      </c>
      <c r="C304" s="3" t="s">
        <v>59</v>
      </c>
      <c r="D304" s="4">
        <v>4275337</v>
      </c>
    </row>
    <row r="305" spans="1:4" x14ac:dyDescent="0.25">
      <c r="A305" s="2" t="s">
        <v>22</v>
      </c>
      <c r="B305" s="3" t="s">
        <v>5</v>
      </c>
      <c r="C305" s="3" t="s">
        <v>60</v>
      </c>
      <c r="D305" s="4">
        <v>4148417</v>
      </c>
    </row>
    <row r="306" spans="1:4" x14ac:dyDescent="0.25">
      <c r="A306" s="2" t="s">
        <v>22</v>
      </c>
      <c r="B306" s="3" t="s">
        <v>5</v>
      </c>
      <c r="C306" s="3" t="s">
        <v>61</v>
      </c>
      <c r="D306" s="4">
        <v>4064546.5</v>
      </c>
    </row>
    <row r="307" spans="1:4" x14ac:dyDescent="0.25">
      <c r="A307" s="2" t="s">
        <v>22</v>
      </c>
      <c r="B307" s="3" t="s">
        <v>5</v>
      </c>
      <c r="C307" s="3" t="s">
        <v>62</v>
      </c>
      <c r="D307" s="4">
        <v>4106721.5</v>
      </c>
    </row>
    <row r="308" spans="1:4" x14ac:dyDescent="0.25">
      <c r="A308" s="2" t="s">
        <v>22</v>
      </c>
      <c r="B308" s="3" t="s">
        <v>5</v>
      </c>
      <c r="C308" s="3" t="s">
        <v>63</v>
      </c>
      <c r="D308" s="4">
        <v>4179303.25</v>
      </c>
    </row>
    <row r="309" spans="1:4" x14ac:dyDescent="0.25">
      <c r="A309" s="2" t="s">
        <v>22</v>
      </c>
      <c r="B309" s="3" t="s">
        <v>5</v>
      </c>
      <c r="C309" s="3" t="s">
        <v>64</v>
      </c>
      <c r="D309" s="4">
        <v>4326072</v>
      </c>
    </row>
    <row r="310" spans="1:4" x14ac:dyDescent="0.25">
      <c r="A310" s="2" t="s">
        <v>22</v>
      </c>
      <c r="B310" s="3" t="s">
        <v>5</v>
      </c>
      <c r="C310" s="3" t="s">
        <v>65</v>
      </c>
      <c r="D310" s="4">
        <v>4271465.5</v>
      </c>
    </row>
    <row r="311" spans="1:4" x14ac:dyDescent="0.25">
      <c r="A311" s="2" t="s">
        <v>22</v>
      </c>
      <c r="B311" s="3" t="s">
        <v>5</v>
      </c>
      <c r="C311" s="3" t="s">
        <v>66</v>
      </c>
      <c r="D311" s="4">
        <v>4116419.5</v>
      </c>
    </row>
    <row r="312" spans="1:4" x14ac:dyDescent="0.25">
      <c r="A312" s="5" t="s">
        <v>35</v>
      </c>
      <c r="B312" s="6" t="s">
        <v>5</v>
      </c>
      <c r="C312" s="6" t="s">
        <v>36</v>
      </c>
      <c r="D312" s="7">
        <v>2049422.125</v>
      </c>
    </row>
    <row r="313" spans="1:4" x14ac:dyDescent="0.25">
      <c r="A313" s="2" t="s">
        <v>35</v>
      </c>
      <c r="B313" s="3" t="s">
        <v>5</v>
      </c>
      <c r="C313" s="3" t="s">
        <v>37</v>
      </c>
      <c r="D313" s="4">
        <v>2014339.875</v>
      </c>
    </row>
    <row r="314" spans="1:4" x14ac:dyDescent="0.25">
      <c r="A314" s="5" t="s">
        <v>35</v>
      </c>
      <c r="B314" s="6" t="s">
        <v>5</v>
      </c>
      <c r="C314" s="6" t="s">
        <v>38</v>
      </c>
      <c r="D314" s="7">
        <v>2031927.625</v>
      </c>
    </row>
    <row r="315" spans="1:4" x14ac:dyDescent="0.25">
      <c r="A315" s="2" t="s">
        <v>35</v>
      </c>
      <c r="B315" s="3" t="s">
        <v>5</v>
      </c>
      <c r="C315" s="3" t="s">
        <v>39</v>
      </c>
      <c r="D315" s="4">
        <v>2062260.375</v>
      </c>
    </row>
    <row r="316" spans="1:4" x14ac:dyDescent="0.25">
      <c r="A316" s="5" t="s">
        <v>35</v>
      </c>
      <c r="B316" s="6" t="s">
        <v>5</v>
      </c>
      <c r="C316" s="6" t="s">
        <v>40</v>
      </c>
      <c r="D316" s="7">
        <v>2123876.25</v>
      </c>
    </row>
    <row r="317" spans="1:4" x14ac:dyDescent="0.25">
      <c r="A317" s="2" t="s">
        <v>35</v>
      </c>
      <c r="B317" s="3" t="s">
        <v>5</v>
      </c>
      <c r="C317" s="3" t="s">
        <v>41</v>
      </c>
      <c r="D317" s="4">
        <v>2100742.5</v>
      </c>
    </row>
    <row r="318" spans="1:4" x14ac:dyDescent="0.25">
      <c r="A318" s="5" t="s">
        <v>35</v>
      </c>
      <c r="B318" s="6" t="s">
        <v>5</v>
      </c>
      <c r="C318" s="6" t="s">
        <v>42</v>
      </c>
      <c r="D318" s="7">
        <v>2035520.125</v>
      </c>
    </row>
    <row r="319" spans="1:4" x14ac:dyDescent="0.25">
      <c r="A319" s="2" t="s">
        <v>35</v>
      </c>
      <c r="B319" s="3" t="s">
        <v>5</v>
      </c>
      <c r="C319" s="3" t="s">
        <v>43</v>
      </c>
      <c r="D319" s="4">
        <v>1952355.5</v>
      </c>
    </row>
    <row r="320" spans="1:4" x14ac:dyDescent="0.25">
      <c r="A320" s="5" t="s">
        <v>35</v>
      </c>
      <c r="B320" s="6" t="s">
        <v>5</v>
      </c>
      <c r="C320" s="6" t="s">
        <v>44</v>
      </c>
      <c r="D320" s="7">
        <v>1974799.375</v>
      </c>
    </row>
    <row r="321" spans="1:4" x14ac:dyDescent="0.25">
      <c r="A321" s="2" t="s">
        <v>35</v>
      </c>
      <c r="B321" s="3" t="s">
        <v>5</v>
      </c>
      <c r="C321" s="3" t="s">
        <v>45</v>
      </c>
      <c r="D321" s="4">
        <v>2010684.625</v>
      </c>
    </row>
    <row r="322" spans="1:4" x14ac:dyDescent="0.25">
      <c r="A322" s="5" t="s">
        <v>35</v>
      </c>
      <c r="B322" s="6" t="s">
        <v>5</v>
      </c>
      <c r="C322" s="6" t="s">
        <v>46</v>
      </c>
      <c r="D322" s="7">
        <v>2069845.25</v>
      </c>
    </row>
    <row r="323" spans="1:4" x14ac:dyDescent="0.25">
      <c r="A323" s="2" t="s">
        <v>35</v>
      </c>
      <c r="B323" s="3" t="s">
        <v>5</v>
      </c>
      <c r="C323" s="3" t="s">
        <v>47</v>
      </c>
      <c r="D323" s="4">
        <v>2056930</v>
      </c>
    </row>
    <row r="324" spans="1:4" x14ac:dyDescent="0.25">
      <c r="A324" s="5" t="s">
        <v>35</v>
      </c>
      <c r="B324" s="6" t="s">
        <v>5</v>
      </c>
      <c r="C324" s="6" t="s">
        <v>48</v>
      </c>
      <c r="D324" s="7">
        <v>2006195.5</v>
      </c>
    </row>
    <row r="325" spans="1:4" x14ac:dyDescent="0.25">
      <c r="A325" s="2" t="s">
        <v>35</v>
      </c>
      <c r="B325" s="3" t="s">
        <v>5</v>
      </c>
      <c r="C325" s="3" t="s">
        <v>49</v>
      </c>
      <c r="D325" s="4">
        <v>1972622.125</v>
      </c>
    </row>
    <row r="326" spans="1:4" x14ac:dyDescent="0.25">
      <c r="A326" s="5" t="s">
        <v>35</v>
      </c>
      <c r="B326" s="6" t="s">
        <v>5</v>
      </c>
      <c r="C326" s="6" t="s">
        <v>50</v>
      </c>
      <c r="D326" s="7">
        <v>1989451.625</v>
      </c>
    </row>
    <row r="327" spans="1:4" x14ac:dyDescent="0.25">
      <c r="A327" s="2" t="s">
        <v>35</v>
      </c>
      <c r="B327" s="3" t="s">
        <v>5</v>
      </c>
      <c r="C327" s="3" t="s">
        <v>51</v>
      </c>
      <c r="D327" s="4">
        <v>2018479</v>
      </c>
    </row>
    <row r="328" spans="1:4" x14ac:dyDescent="0.25">
      <c r="A328" s="5" t="s">
        <v>35</v>
      </c>
      <c r="B328" s="6" t="s">
        <v>5</v>
      </c>
      <c r="C328" s="6" t="s">
        <v>52</v>
      </c>
      <c r="D328" s="7">
        <v>2077451.25</v>
      </c>
    </row>
    <row r="329" spans="1:4" x14ac:dyDescent="0.25">
      <c r="A329" s="2" t="s">
        <v>35</v>
      </c>
      <c r="B329" s="3" t="s">
        <v>5</v>
      </c>
      <c r="C329" s="3" t="s">
        <v>53</v>
      </c>
      <c r="D329" s="4">
        <v>2055303.875</v>
      </c>
    </row>
    <row r="330" spans="1:4" x14ac:dyDescent="0.25">
      <c r="A330" s="5" t="s">
        <v>35</v>
      </c>
      <c r="B330" s="6" t="s">
        <v>5</v>
      </c>
      <c r="C330" s="6" t="s">
        <v>54</v>
      </c>
      <c r="D330" s="7">
        <v>1992893.125</v>
      </c>
    </row>
    <row r="331" spans="1:4" x14ac:dyDescent="0.25">
      <c r="A331" s="5" t="s">
        <v>35</v>
      </c>
      <c r="B331" s="6" t="s">
        <v>5</v>
      </c>
      <c r="C331" s="6" t="s">
        <v>55</v>
      </c>
      <c r="D331" s="7">
        <v>2410743</v>
      </c>
    </row>
    <row r="332" spans="1:4" x14ac:dyDescent="0.25">
      <c r="A332" s="5" t="s">
        <v>35</v>
      </c>
      <c r="B332" s="6" t="s">
        <v>5</v>
      </c>
      <c r="C332" s="6" t="s">
        <v>56</v>
      </c>
      <c r="D332" s="7">
        <v>2437691.5</v>
      </c>
    </row>
    <row r="333" spans="1:4" x14ac:dyDescent="0.25">
      <c r="A333" s="5" t="s">
        <v>35</v>
      </c>
      <c r="B333" s="6" t="s">
        <v>5</v>
      </c>
      <c r="C333" s="6" t="s">
        <v>57</v>
      </c>
      <c r="D333" s="7">
        <v>2480793.25</v>
      </c>
    </row>
    <row r="334" spans="1:4" x14ac:dyDescent="0.25">
      <c r="A334" s="5" t="s">
        <v>35</v>
      </c>
      <c r="B334" s="6" t="s">
        <v>5</v>
      </c>
      <c r="C334" s="6" t="s">
        <v>58</v>
      </c>
      <c r="D334" s="7">
        <v>2551902.25</v>
      </c>
    </row>
    <row r="335" spans="1:4" x14ac:dyDescent="0.25">
      <c r="A335" s="5" t="s">
        <v>35</v>
      </c>
      <c r="B335" s="6" t="s">
        <v>5</v>
      </c>
      <c r="C335" s="6" t="s">
        <v>59</v>
      </c>
      <c r="D335" s="7">
        <v>2536334</v>
      </c>
    </row>
    <row r="336" spans="1:4" x14ac:dyDescent="0.25">
      <c r="A336" s="5" t="s">
        <v>35</v>
      </c>
      <c r="B336" s="6" t="s">
        <v>5</v>
      </c>
      <c r="C336" s="6" t="s">
        <v>60</v>
      </c>
      <c r="D336" s="7">
        <v>2475295</v>
      </c>
    </row>
    <row r="337" spans="1:4" x14ac:dyDescent="0.25">
      <c r="A337" s="5" t="s">
        <v>35</v>
      </c>
      <c r="B337" s="6" t="s">
        <v>5</v>
      </c>
      <c r="C337" s="6" t="s">
        <v>61</v>
      </c>
      <c r="D337" s="7">
        <v>2434912.75</v>
      </c>
    </row>
    <row r="338" spans="1:4" x14ac:dyDescent="0.25">
      <c r="A338" s="5" t="s">
        <v>35</v>
      </c>
      <c r="B338" s="6" t="s">
        <v>5</v>
      </c>
      <c r="C338" s="6" t="s">
        <v>62</v>
      </c>
      <c r="D338" s="7">
        <v>2455166.75</v>
      </c>
    </row>
    <row r="339" spans="1:4" x14ac:dyDescent="0.25">
      <c r="A339" s="5" t="s">
        <v>35</v>
      </c>
      <c r="B339" s="6" t="s">
        <v>5</v>
      </c>
      <c r="C339" s="6" t="s">
        <v>63</v>
      </c>
      <c r="D339" s="7">
        <v>2490086.5</v>
      </c>
    </row>
    <row r="340" spans="1:4" x14ac:dyDescent="0.25">
      <c r="A340" s="5" t="s">
        <v>35</v>
      </c>
      <c r="B340" s="6" t="s">
        <v>5</v>
      </c>
      <c r="C340" s="6" t="s">
        <v>64</v>
      </c>
      <c r="D340" s="7">
        <v>2560972</v>
      </c>
    </row>
    <row r="341" spans="1:4" x14ac:dyDescent="0.25">
      <c r="A341" s="5" t="s">
        <v>35</v>
      </c>
      <c r="B341" s="6" t="s">
        <v>5</v>
      </c>
      <c r="C341" s="6" t="s">
        <v>65</v>
      </c>
      <c r="D341" s="7">
        <v>2534394.5</v>
      </c>
    </row>
    <row r="342" spans="1:4" x14ac:dyDescent="0.25">
      <c r="A342" s="5" t="s">
        <v>35</v>
      </c>
      <c r="B342" s="6" t="s">
        <v>5</v>
      </c>
      <c r="C342" s="6" t="s">
        <v>66</v>
      </c>
      <c r="D342" s="7">
        <v>2459465.5</v>
      </c>
    </row>
    <row r="343" spans="1:4" x14ac:dyDescent="0.25">
      <c r="A343" s="2" t="s">
        <v>25</v>
      </c>
      <c r="B343" s="3" t="s">
        <v>5</v>
      </c>
      <c r="C343" s="3" t="s">
        <v>36</v>
      </c>
      <c r="D343" s="4">
        <v>2730375.75</v>
      </c>
    </row>
    <row r="344" spans="1:4" x14ac:dyDescent="0.25">
      <c r="A344" s="5" t="s">
        <v>25</v>
      </c>
      <c r="B344" s="6" t="s">
        <v>5</v>
      </c>
      <c r="C344" s="6" t="s">
        <v>37</v>
      </c>
      <c r="D344" s="7">
        <v>2681917.25</v>
      </c>
    </row>
    <row r="345" spans="1:4" x14ac:dyDescent="0.25">
      <c r="A345" s="2" t="s">
        <v>25</v>
      </c>
      <c r="B345" s="3" t="s">
        <v>5</v>
      </c>
      <c r="C345" s="3" t="s">
        <v>38</v>
      </c>
      <c r="D345" s="4">
        <v>2706282.5</v>
      </c>
    </row>
    <row r="346" spans="1:4" x14ac:dyDescent="0.25">
      <c r="A346" s="5" t="s">
        <v>25</v>
      </c>
      <c r="B346" s="6" t="s">
        <v>5</v>
      </c>
      <c r="C346" s="6" t="s">
        <v>39</v>
      </c>
      <c r="D346" s="7">
        <v>2748217.75</v>
      </c>
    </row>
    <row r="347" spans="1:4" x14ac:dyDescent="0.25">
      <c r="A347" s="2" t="s">
        <v>25</v>
      </c>
      <c r="B347" s="3" t="s">
        <v>5</v>
      </c>
      <c r="C347" s="3" t="s">
        <v>40</v>
      </c>
      <c r="D347" s="4">
        <v>2833027.5</v>
      </c>
    </row>
    <row r="348" spans="1:4" x14ac:dyDescent="0.25">
      <c r="A348" s="5" t="s">
        <v>25</v>
      </c>
      <c r="B348" s="6" t="s">
        <v>5</v>
      </c>
      <c r="C348" s="6" t="s">
        <v>41</v>
      </c>
      <c r="D348" s="7">
        <v>2801463.25</v>
      </c>
    </row>
    <row r="349" spans="1:4" x14ac:dyDescent="0.25">
      <c r="A349" s="2" t="s">
        <v>25</v>
      </c>
      <c r="B349" s="3" t="s">
        <v>5</v>
      </c>
      <c r="C349" s="3" t="s">
        <v>42</v>
      </c>
      <c r="D349" s="4">
        <v>2712017.25</v>
      </c>
    </row>
    <row r="350" spans="1:4" x14ac:dyDescent="0.25">
      <c r="A350" s="5" t="s">
        <v>25</v>
      </c>
      <c r="B350" s="6" t="s">
        <v>5</v>
      </c>
      <c r="C350" s="6" t="s">
        <v>43</v>
      </c>
      <c r="D350" s="7">
        <v>2482463</v>
      </c>
    </row>
    <row r="351" spans="1:4" x14ac:dyDescent="0.25">
      <c r="A351" s="2" t="s">
        <v>25</v>
      </c>
      <c r="B351" s="3" t="s">
        <v>5</v>
      </c>
      <c r="C351" s="3" t="s">
        <v>44</v>
      </c>
      <c r="D351" s="4">
        <v>2513174.25</v>
      </c>
    </row>
    <row r="352" spans="1:4" x14ac:dyDescent="0.25">
      <c r="A352" s="5" t="s">
        <v>25</v>
      </c>
      <c r="B352" s="6" t="s">
        <v>5</v>
      </c>
      <c r="C352" s="6" t="s">
        <v>45</v>
      </c>
      <c r="D352" s="7">
        <v>2562366.25</v>
      </c>
    </row>
    <row r="353" spans="1:4" x14ac:dyDescent="0.25">
      <c r="A353" s="2" t="s">
        <v>25</v>
      </c>
      <c r="B353" s="3" t="s">
        <v>5</v>
      </c>
      <c r="C353" s="3" t="s">
        <v>46</v>
      </c>
      <c r="D353" s="4">
        <v>2643776.5</v>
      </c>
    </row>
    <row r="354" spans="1:4" x14ac:dyDescent="0.25">
      <c r="A354" s="5" t="s">
        <v>25</v>
      </c>
      <c r="B354" s="6" t="s">
        <v>5</v>
      </c>
      <c r="C354" s="6" t="s">
        <v>47</v>
      </c>
      <c r="D354" s="7">
        <v>2625721</v>
      </c>
    </row>
    <row r="355" spans="1:4" x14ac:dyDescent="0.25">
      <c r="A355" s="2" t="s">
        <v>25</v>
      </c>
      <c r="B355" s="3" t="s">
        <v>5</v>
      </c>
      <c r="C355" s="3" t="s">
        <v>48</v>
      </c>
      <c r="D355" s="4">
        <v>2555538.75</v>
      </c>
    </row>
    <row r="356" spans="1:4" x14ac:dyDescent="0.25">
      <c r="A356" s="5" t="s">
        <v>25</v>
      </c>
      <c r="B356" s="6" t="s">
        <v>5</v>
      </c>
      <c r="C356" s="6" t="s">
        <v>49</v>
      </c>
      <c r="D356" s="7">
        <v>2509159.5</v>
      </c>
    </row>
    <row r="357" spans="1:4" x14ac:dyDescent="0.25">
      <c r="A357" s="2" t="s">
        <v>25</v>
      </c>
      <c r="B357" s="3" t="s">
        <v>5</v>
      </c>
      <c r="C357" s="3" t="s">
        <v>50</v>
      </c>
      <c r="D357" s="4">
        <v>2532479.25</v>
      </c>
    </row>
    <row r="358" spans="1:4" x14ac:dyDescent="0.25">
      <c r="A358" s="5" t="s">
        <v>25</v>
      </c>
      <c r="B358" s="6" t="s">
        <v>5</v>
      </c>
      <c r="C358" s="6" t="s">
        <v>51</v>
      </c>
      <c r="D358" s="7">
        <v>2572615.25</v>
      </c>
    </row>
    <row r="359" spans="1:4" x14ac:dyDescent="0.25">
      <c r="A359" s="2" t="s">
        <v>25</v>
      </c>
      <c r="B359" s="3" t="s">
        <v>5</v>
      </c>
      <c r="C359" s="3" t="s">
        <v>52</v>
      </c>
      <c r="D359" s="4">
        <v>2653786</v>
      </c>
    </row>
    <row r="360" spans="1:4" x14ac:dyDescent="0.25">
      <c r="A360" s="5" t="s">
        <v>25</v>
      </c>
      <c r="B360" s="6" t="s">
        <v>5</v>
      </c>
      <c r="C360" s="6" t="s">
        <v>53</v>
      </c>
      <c r="D360" s="7">
        <v>2623576.25</v>
      </c>
    </row>
    <row r="361" spans="1:4" x14ac:dyDescent="0.25">
      <c r="A361" s="2" t="s">
        <v>25</v>
      </c>
      <c r="B361" s="3" t="s">
        <v>5</v>
      </c>
      <c r="C361" s="3" t="s">
        <v>54</v>
      </c>
      <c r="D361" s="4">
        <v>2537940.75</v>
      </c>
    </row>
    <row r="362" spans="1:4" x14ac:dyDescent="0.25">
      <c r="A362" s="5" t="s">
        <v>25</v>
      </c>
      <c r="B362" s="6" t="s">
        <v>5</v>
      </c>
      <c r="C362" s="6" t="s">
        <v>55</v>
      </c>
      <c r="D362" s="7">
        <v>3096169.5</v>
      </c>
    </row>
    <row r="363" spans="1:4" x14ac:dyDescent="0.25">
      <c r="A363" s="5" t="s">
        <v>25</v>
      </c>
      <c r="B363" s="6" t="s">
        <v>5</v>
      </c>
      <c r="C363" s="6" t="s">
        <v>56</v>
      </c>
      <c r="D363" s="7">
        <v>3133020</v>
      </c>
    </row>
    <row r="364" spans="1:4" x14ac:dyDescent="0.25">
      <c r="A364" s="5" t="s">
        <v>25</v>
      </c>
      <c r="B364" s="6" t="s">
        <v>5</v>
      </c>
      <c r="C364" s="6" t="s">
        <v>57</v>
      </c>
      <c r="D364" s="7">
        <v>3192046</v>
      </c>
    </row>
    <row r="365" spans="1:4" x14ac:dyDescent="0.25">
      <c r="A365" s="5" t="s">
        <v>25</v>
      </c>
      <c r="B365" s="6" t="s">
        <v>5</v>
      </c>
      <c r="C365" s="6" t="s">
        <v>58</v>
      </c>
      <c r="D365" s="7">
        <v>3289729.25</v>
      </c>
    </row>
    <row r="366" spans="1:4" x14ac:dyDescent="0.25">
      <c r="A366" s="5" t="s">
        <v>25</v>
      </c>
      <c r="B366" s="6" t="s">
        <v>5</v>
      </c>
      <c r="C366" s="6" t="s">
        <v>59</v>
      </c>
      <c r="D366" s="7">
        <v>3268066.25</v>
      </c>
    </row>
    <row r="367" spans="1:4" x14ac:dyDescent="0.25">
      <c r="A367" s="5" t="s">
        <v>25</v>
      </c>
      <c r="B367" s="6" t="s">
        <v>5</v>
      </c>
      <c r="C367" s="6" t="s">
        <v>60</v>
      </c>
      <c r="D367" s="7">
        <v>3183857.5</v>
      </c>
    </row>
    <row r="368" spans="1:4" x14ac:dyDescent="0.25">
      <c r="A368" s="5" t="s">
        <v>25</v>
      </c>
      <c r="B368" s="6" t="s">
        <v>5</v>
      </c>
      <c r="C368" s="6" t="s">
        <v>61</v>
      </c>
      <c r="D368" s="7">
        <v>3128209</v>
      </c>
    </row>
    <row r="369" spans="1:4" x14ac:dyDescent="0.25">
      <c r="A369" s="5" t="s">
        <v>25</v>
      </c>
      <c r="B369" s="6" t="s">
        <v>5</v>
      </c>
      <c r="C369" s="6" t="s">
        <v>62</v>
      </c>
      <c r="D369" s="7">
        <v>3156189.5</v>
      </c>
    </row>
    <row r="370" spans="1:4" x14ac:dyDescent="0.25">
      <c r="A370" s="5" t="s">
        <v>25</v>
      </c>
      <c r="B370" s="6" t="s">
        <v>5</v>
      </c>
      <c r="C370" s="6" t="s">
        <v>63</v>
      </c>
      <c r="D370" s="7">
        <v>3204346.75</v>
      </c>
    </row>
    <row r="371" spans="1:4" x14ac:dyDescent="0.25">
      <c r="A371" s="5" t="s">
        <v>25</v>
      </c>
      <c r="B371" s="6" t="s">
        <v>5</v>
      </c>
      <c r="C371" s="6" t="s">
        <v>64</v>
      </c>
      <c r="D371" s="7">
        <v>3301742.5</v>
      </c>
    </row>
    <row r="372" spans="1:4" x14ac:dyDescent="0.25">
      <c r="A372" s="5" t="s">
        <v>25</v>
      </c>
      <c r="B372" s="6" t="s">
        <v>5</v>
      </c>
      <c r="C372" s="6" t="s">
        <v>65</v>
      </c>
      <c r="D372" s="7">
        <v>3265492.5</v>
      </c>
    </row>
    <row r="373" spans="1:4" x14ac:dyDescent="0.25">
      <c r="A373" s="5" t="s">
        <v>25</v>
      </c>
      <c r="B373" s="6" t="s">
        <v>5</v>
      </c>
      <c r="C373" s="6" t="s">
        <v>66</v>
      </c>
      <c r="D373" s="7">
        <v>3162793.5</v>
      </c>
    </row>
    <row r="374" spans="1:4" x14ac:dyDescent="0.25">
      <c r="A374" s="5" t="s">
        <v>26</v>
      </c>
      <c r="B374" s="6" t="s">
        <v>5</v>
      </c>
      <c r="C374" s="6" t="s">
        <v>36</v>
      </c>
      <c r="D374" s="7">
        <v>2031124.125</v>
      </c>
    </row>
    <row r="375" spans="1:4" x14ac:dyDescent="0.25">
      <c r="A375" s="2" t="s">
        <v>26</v>
      </c>
      <c r="B375" s="3" t="s">
        <v>5</v>
      </c>
      <c r="C375" s="3" t="s">
        <v>37</v>
      </c>
      <c r="D375" s="4">
        <v>2004000</v>
      </c>
    </row>
    <row r="376" spans="1:4" x14ac:dyDescent="0.25">
      <c r="A376" s="5" t="s">
        <v>26</v>
      </c>
      <c r="B376" s="6" t="s">
        <v>5</v>
      </c>
      <c r="C376" s="6" t="s">
        <v>38</v>
      </c>
      <c r="D376" s="7">
        <v>2017643.375</v>
      </c>
    </row>
    <row r="377" spans="1:4" x14ac:dyDescent="0.25">
      <c r="A377" s="2" t="s">
        <v>26</v>
      </c>
      <c r="B377" s="3" t="s">
        <v>5</v>
      </c>
      <c r="C377" s="3" t="s">
        <v>39</v>
      </c>
      <c r="D377" s="4">
        <v>2041118.125</v>
      </c>
    </row>
    <row r="378" spans="1:4" x14ac:dyDescent="0.25">
      <c r="A378" s="5" t="s">
        <v>26</v>
      </c>
      <c r="B378" s="6" t="s">
        <v>5</v>
      </c>
      <c r="C378" s="6" t="s">
        <v>40</v>
      </c>
      <c r="D378" s="7">
        <v>2088567.625</v>
      </c>
    </row>
    <row r="379" spans="1:4" x14ac:dyDescent="0.25">
      <c r="A379" s="2" t="s">
        <v>26</v>
      </c>
      <c r="B379" s="3" t="s">
        <v>5</v>
      </c>
      <c r="C379" s="3" t="s">
        <v>41</v>
      </c>
      <c r="D379" s="4">
        <v>2070929.5</v>
      </c>
    </row>
    <row r="380" spans="1:4" x14ac:dyDescent="0.25">
      <c r="A380" s="5" t="s">
        <v>26</v>
      </c>
      <c r="B380" s="6" t="s">
        <v>5</v>
      </c>
      <c r="C380" s="6" t="s">
        <v>42</v>
      </c>
      <c r="D380" s="7">
        <v>2021156.25</v>
      </c>
    </row>
    <row r="381" spans="1:4" x14ac:dyDescent="0.25">
      <c r="A381" s="2" t="s">
        <v>26</v>
      </c>
      <c r="B381" s="3" t="s">
        <v>5</v>
      </c>
      <c r="C381" s="3" t="s">
        <v>43</v>
      </c>
      <c r="D381" s="4">
        <v>1878875.375</v>
      </c>
    </row>
    <row r="382" spans="1:4" x14ac:dyDescent="0.25">
      <c r="A382" s="5" t="s">
        <v>26</v>
      </c>
      <c r="B382" s="6" t="s">
        <v>5</v>
      </c>
      <c r="C382" s="6" t="s">
        <v>44</v>
      </c>
      <c r="D382" s="7">
        <v>1896043</v>
      </c>
    </row>
    <row r="383" spans="1:4" x14ac:dyDescent="0.25">
      <c r="A383" s="2" t="s">
        <v>26</v>
      </c>
      <c r="B383" s="3" t="s">
        <v>5</v>
      </c>
      <c r="C383" s="3" t="s">
        <v>45</v>
      </c>
      <c r="D383" s="4">
        <v>1923544</v>
      </c>
    </row>
    <row r="384" spans="1:4" x14ac:dyDescent="0.25">
      <c r="A384" s="5" t="s">
        <v>26</v>
      </c>
      <c r="B384" s="6" t="s">
        <v>5</v>
      </c>
      <c r="C384" s="6" t="s">
        <v>46</v>
      </c>
      <c r="D384" s="7">
        <v>1969084.375</v>
      </c>
    </row>
    <row r="385" spans="1:4" x14ac:dyDescent="0.25">
      <c r="A385" s="2" t="s">
        <v>26</v>
      </c>
      <c r="B385" s="3" t="s">
        <v>5</v>
      </c>
      <c r="C385" s="3" t="s">
        <v>47</v>
      </c>
      <c r="D385" s="4">
        <v>1958966</v>
      </c>
    </row>
    <row r="386" spans="1:4" x14ac:dyDescent="0.25">
      <c r="A386" s="5" t="s">
        <v>26</v>
      </c>
      <c r="B386" s="6" t="s">
        <v>5</v>
      </c>
      <c r="C386" s="6" t="s">
        <v>48</v>
      </c>
      <c r="D386" s="7">
        <v>1919682.25</v>
      </c>
    </row>
    <row r="387" spans="1:4" x14ac:dyDescent="0.25">
      <c r="A387" s="2" t="s">
        <v>26</v>
      </c>
      <c r="B387" s="3" t="s">
        <v>5</v>
      </c>
      <c r="C387" s="3" t="s">
        <v>49</v>
      </c>
      <c r="D387" s="4">
        <v>1893726</v>
      </c>
    </row>
    <row r="388" spans="1:4" x14ac:dyDescent="0.25">
      <c r="A388" s="5" t="s">
        <v>26</v>
      </c>
      <c r="B388" s="6" t="s">
        <v>5</v>
      </c>
      <c r="C388" s="6" t="s">
        <v>50</v>
      </c>
      <c r="D388" s="7">
        <v>1906781.875</v>
      </c>
    </row>
    <row r="389" spans="1:4" x14ac:dyDescent="0.25">
      <c r="A389" s="2" t="s">
        <v>26</v>
      </c>
      <c r="B389" s="3" t="s">
        <v>5</v>
      </c>
      <c r="C389" s="3" t="s">
        <v>51</v>
      </c>
      <c r="D389" s="4">
        <v>1929245.875</v>
      </c>
    </row>
    <row r="390" spans="1:4" x14ac:dyDescent="0.25">
      <c r="A390" s="5" t="s">
        <v>26</v>
      </c>
      <c r="B390" s="6" t="s">
        <v>5</v>
      </c>
      <c r="C390" s="6" t="s">
        <v>52</v>
      </c>
      <c r="D390" s="7">
        <v>1974652.125</v>
      </c>
    </row>
    <row r="391" spans="1:4" x14ac:dyDescent="0.25">
      <c r="A391" s="2" t="s">
        <v>26</v>
      </c>
      <c r="B391" s="3" t="s">
        <v>5</v>
      </c>
      <c r="C391" s="3" t="s">
        <v>53</v>
      </c>
      <c r="D391" s="4">
        <v>1957773.5</v>
      </c>
    </row>
    <row r="392" spans="1:4" x14ac:dyDescent="0.25">
      <c r="A392" s="5" t="s">
        <v>26</v>
      </c>
      <c r="B392" s="6" t="s">
        <v>5</v>
      </c>
      <c r="C392" s="6" t="s">
        <v>54</v>
      </c>
      <c r="D392" s="7">
        <v>1910132.125</v>
      </c>
    </row>
    <row r="393" spans="1:4" x14ac:dyDescent="0.25">
      <c r="A393" s="2" t="s">
        <v>26</v>
      </c>
      <c r="B393" s="3" t="s">
        <v>5</v>
      </c>
      <c r="C393" s="3" t="s">
        <v>55</v>
      </c>
      <c r="D393" s="4">
        <v>2393506.5</v>
      </c>
    </row>
    <row r="394" spans="1:4" x14ac:dyDescent="0.25">
      <c r="A394" s="2" t="s">
        <v>26</v>
      </c>
      <c r="B394" s="3" t="s">
        <v>5</v>
      </c>
      <c r="C394" s="3" t="s">
        <v>56</v>
      </c>
      <c r="D394" s="4">
        <v>2414213.5</v>
      </c>
    </row>
    <row r="395" spans="1:4" x14ac:dyDescent="0.25">
      <c r="A395" s="2" t="s">
        <v>26</v>
      </c>
      <c r="B395" s="3" t="s">
        <v>5</v>
      </c>
      <c r="C395" s="3" t="s">
        <v>57</v>
      </c>
      <c r="D395" s="4">
        <v>2447385</v>
      </c>
    </row>
    <row r="396" spans="1:4" x14ac:dyDescent="0.25">
      <c r="A396" s="2" t="s">
        <v>26</v>
      </c>
      <c r="B396" s="3" t="s">
        <v>5</v>
      </c>
      <c r="C396" s="3" t="s">
        <v>58</v>
      </c>
      <c r="D396" s="4">
        <v>2502314</v>
      </c>
    </row>
    <row r="397" spans="1:4" x14ac:dyDescent="0.25">
      <c r="A397" s="2" t="s">
        <v>26</v>
      </c>
      <c r="B397" s="3" t="s">
        <v>5</v>
      </c>
      <c r="C397" s="3" t="s">
        <v>59</v>
      </c>
      <c r="D397" s="4">
        <v>2490110</v>
      </c>
    </row>
    <row r="398" spans="1:4" x14ac:dyDescent="0.25">
      <c r="A398" s="2" t="s">
        <v>26</v>
      </c>
      <c r="B398" s="3" t="s">
        <v>5</v>
      </c>
      <c r="C398" s="3" t="s">
        <v>60</v>
      </c>
      <c r="D398" s="4">
        <v>2442727.75</v>
      </c>
    </row>
    <row r="399" spans="1:4" x14ac:dyDescent="0.25">
      <c r="A399" s="2" t="s">
        <v>26</v>
      </c>
      <c r="B399" s="3" t="s">
        <v>5</v>
      </c>
      <c r="C399" s="3" t="s">
        <v>61</v>
      </c>
      <c r="D399" s="4">
        <v>2411420.5</v>
      </c>
    </row>
    <row r="400" spans="1:4" x14ac:dyDescent="0.25">
      <c r="A400" s="2" t="s">
        <v>26</v>
      </c>
      <c r="B400" s="3" t="s">
        <v>5</v>
      </c>
      <c r="C400" s="3" t="s">
        <v>62</v>
      </c>
      <c r="D400" s="4">
        <v>2427168</v>
      </c>
    </row>
    <row r="401" spans="1:4" x14ac:dyDescent="0.25">
      <c r="A401" s="2" t="s">
        <v>26</v>
      </c>
      <c r="B401" s="3" t="s">
        <v>5</v>
      </c>
      <c r="C401" s="3" t="s">
        <v>63</v>
      </c>
      <c r="D401" s="4">
        <v>2454263</v>
      </c>
    </row>
    <row r="402" spans="1:4" x14ac:dyDescent="0.25">
      <c r="A402" s="2" t="s">
        <v>26</v>
      </c>
      <c r="B402" s="3" t="s">
        <v>5</v>
      </c>
      <c r="C402" s="3" t="s">
        <v>64</v>
      </c>
      <c r="D402" s="4">
        <v>2509030.5</v>
      </c>
    </row>
    <row r="403" spans="1:4" x14ac:dyDescent="0.25">
      <c r="A403" s="2" t="s">
        <v>26</v>
      </c>
      <c r="B403" s="3" t="s">
        <v>5</v>
      </c>
      <c r="C403" s="3" t="s">
        <v>65</v>
      </c>
      <c r="D403" s="4">
        <v>2488671.5</v>
      </c>
    </row>
    <row r="404" spans="1:4" x14ac:dyDescent="0.25">
      <c r="A404" s="2" t="s">
        <v>26</v>
      </c>
      <c r="B404" s="3" t="s">
        <v>5</v>
      </c>
      <c r="C404" s="3" t="s">
        <v>66</v>
      </c>
      <c r="D404" s="4">
        <v>2431268.5</v>
      </c>
    </row>
    <row r="405" spans="1:4" x14ac:dyDescent="0.25">
      <c r="A405" s="2" t="s">
        <v>9</v>
      </c>
      <c r="B405" s="3" t="s">
        <v>5</v>
      </c>
      <c r="C405" s="3" t="s">
        <v>36</v>
      </c>
      <c r="D405" s="4">
        <v>1098586</v>
      </c>
    </row>
    <row r="406" spans="1:4" x14ac:dyDescent="0.25">
      <c r="A406" s="5" t="s">
        <v>9</v>
      </c>
      <c r="B406" s="6" t="s">
        <v>5</v>
      </c>
      <c r="C406" s="6" t="s">
        <v>37</v>
      </c>
      <c r="D406" s="7">
        <v>1075225.25</v>
      </c>
    </row>
    <row r="407" spans="1:4" x14ac:dyDescent="0.25">
      <c r="A407" s="2" t="s">
        <v>9</v>
      </c>
      <c r="B407" s="3" t="s">
        <v>5</v>
      </c>
      <c r="C407" s="3" t="s">
        <v>38</v>
      </c>
      <c r="D407" s="4">
        <v>1086978.5</v>
      </c>
    </row>
    <row r="408" spans="1:4" x14ac:dyDescent="0.25">
      <c r="A408" s="5" t="s">
        <v>9</v>
      </c>
      <c r="B408" s="6" t="s">
        <v>5</v>
      </c>
      <c r="C408" s="6" t="s">
        <v>39</v>
      </c>
      <c r="D408" s="7">
        <v>1107196.875</v>
      </c>
    </row>
    <row r="409" spans="1:4" x14ac:dyDescent="0.25">
      <c r="A409" s="2" t="s">
        <v>9</v>
      </c>
      <c r="B409" s="3" t="s">
        <v>5</v>
      </c>
      <c r="C409" s="3" t="s">
        <v>40</v>
      </c>
      <c r="D409" s="4">
        <v>1148050.25</v>
      </c>
    </row>
    <row r="410" spans="1:4" x14ac:dyDescent="0.25">
      <c r="A410" s="5" t="s">
        <v>9</v>
      </c>
      <c r="B410" s="6" t="s">
        <v>5</v>
      </c>
      <c r="C410" s="6" t="s">
        <v>41</v>
      </c>
      <c r="D410" s="7">
        <v>1132876.375</v>
      </c>
    </row>
    <row r="411" spans="1:4" x14ac:dyDescent="0.25">
      <c r="A411" s="2" t="s">
        <v>9</v>
      </c>
      <c r="B411" s="3" t="s">
        <v>5</v>
      </c>
      <c r="C411" s="3" t="s">
        <v>42</v>
      </c>
      <c r="D411" s="4">
        <v>1089726.375</v>
      </c>
    </row>
    <row r="412" spans="1:4" x14ac:dyDescent="0.25">
      <c r="A412" s="5" t="s">
        <v>9</v>
      </c>
      <c r="B412" s="6" t="s">
        <v>5</v>
      </c>
      <c r="C412" s="6" t="s">
        <v>43</v>
      </c>
      <c r="D412" s="7">
        <v>993830.25</v>
      </c>
    </row>
    <row r="413" spans="1:4" x14ac:dyDescent="0.25">
      <c r="A413" s="2" t="s">
        <v>9</v>
      </c>
      <c r="B413" s="3" t="s">
        <v>5</v>
      </c>
      <c r="C413" s="3" t="s">
        <v>44</v>
      </c>
      <c r="D413" s="4">
        <v>1008606.125</v>
      </c>
    </row>
    <row r="414" spans="1:4" x14ac:dyDescent="0.25">
      <c r="A414" s="5" t="s">
        <v>9</v>
      </c>
      <c r="B414" s="6" t="s">
        <v>5</v>
      </c>
      <c r="C414" s="6" t="s">
        <v>45</v>
      </c>
      <c r="D414" s="7">
        <v>1032276.25</v>
      </c>
    </row>
    <row r="415" spans="1:4" x14ac:dyDescent="0.25">
      <c r="A415" s="2" t="s">
        <v>9</v>
      </c>
      <c r="B415" s="3" t="s">
        <v>5</v>
      </c>
      <c r="C415" s="3" t="s">
        <v>46</v>
      </c>
      <c r="D415" s="4">
        <v>1071489</v>
      </c>
    </row>
    <row r="416" spans="1:4" x14ac:dyDescent="0.25">
      <c r="A416" s="5" t="s">
        <v>9</v>
      </c>
      <c r="B416" s="6" t="s">
        <v>5</v>
      </c>
      <c r="C416" s="6" t="s">
        <v>47</v>
      </c>
      <c r="D416" s="7">
        <v>1062767.125</v>
      </c>
    </row>
    <row r="417" spans="1:4" x14ac:dyDescent="0.25">
      <c r="A417" s="2" t="s">
        <v>9</v>
      </c>
      <c r="B417" s="3" t="s">
        <v>5</v>
      </c>
      <c r="C417" s="3" t="s">
        <v>48</v>
      </c>
      <c r="D417" s="4">
        <v>1028928.75</v>
      </c>
    </row>
    <row r="418" spans="1:4" x14ac:dyDescent="0.25">
      <c r="A418" s="5" t="s">
        <v>9</v>
      </c>
      <c r="B418" s="6" t="s">
        <v>5</v>
      </c>
      <c r="C418" s="6" t="s">
        <v>49</v>
      </c>
      <c r="D418" s="7">
        <v>1006572.625</v>
      </c>
    </row>
    <row r="419" spans="1:4" x14ac:dyDescent="0.25">
      <c r="A419" s="2" t="s">
        <v>9</v>
      </c>
      <c r="B419" s="3" t="s">
        <v>5</v>
      </c>
      <c r="C419" s="3" t="s">
        <v>50</v>
      </c>
      <c r="D419" s="4">
        <v>1017820.375</v>
      </c>
    </row>
    <row r="420" spans="1:4" x14ac:dyDescent="0.25">
      <c r="A420" s="5" t="s">
        <v>9</v>
      </c>
      <c r="B420" s="6" t="s">
        <v>5</v>
      </c>
      <c r="C420" s="6" t="s">
        <v>51</v>
      </c>
      <c r="D420" s="7">
        <v>1037169.25</v>
      </c>
    </row>
    <row r="421" spans="1:4" x14ac:dyDescent="0.25">
      <c r="A421" s="2" t="s">
        <v>9</v>
      </c>
      <c r="B421" s="3" t="s">
        <v>5</v>
      </c>
      <c r="C421" s="3" t="s">
        <v>52</v>
      </c>
      <c r="D421" s="4">
        <v>1076266.25</v>
      </c>
    </row>
    <row r="422" spans="1:4" x14ac:dyDescent="0.25">
      <c r="A422" s="5" t="s">
        <v>9</v>
      </c>
      <c r="B422" s="6" t="s">
        <v>5</v>
      </c>
      <c r="C422" s="6" t="s">
        <v>53</v>
      </c>
      <c r="D422" s="7">
        <v>1061744.375</v>
      </c>
    </row>
    <row r="423" spans="1:4" x14ac:dyDescent="0.25">
      <c r="A423" s="2" t="s">
        <v>9</v>
      </c>
      <c r="B423" s="3" t="s">
        <v>5</v>
      </c>
      <c r="C423" s="3" t="s">
        <v>54</v>
      </c>
      <c r="D423" s="4">
        <v>1020438.4375</v>
      </c>
    </row>
    <row r="424" spans="1:4" x14ac:dyDescent="0.25">
      <c r="A424" s="5" t="s">
        <v>9</v>
      </c>
      <c r="B424" s="6" t="s">
        <v>5</v>
      </c>
      <c r="C424" s="6" t="s">
        <v>55</v>
      </c>
      <c r="D424" s="7">
        <v>1215818</v>
      </c>
    </row>
    <row r="425" spans="1:4" x14ac:dyDescent="0.25">
      <c r="A425" s="5" t="s">
        <v>9</v>
      </c>
      <c r="B425" s="6" t="s">
        <v>5</v>
      </c>
      <c r="C425" s="6" t="s">
        <v>56</v>
      </c>
      <c r="D425" s="7">
        <v>1233555.25</v>
      </c>
    </row>
    <row r="426" spans="1:4" x14ac:dyDescent="0.25">
      <c r="A426" s="5" t="s">
        <v>9</v>
      </c>
      <c r="B426" s="6" t="s">
        <v>5</v>
      </c>
      <c r="C426" s="6" t="s">
        <v>57</v>
      </c>
      <c r="D426" s="7">
        <v>1261970.625</v>
      </c>
    </row>
    <row r="427" spans="1:4" x14ac:dyDescent="0.25">
      <c r="A427" s="5" t="s">
        <v>9</v>
      </c>
      <c r="B427" s="6" t="s">
        <v>5</v>
      </c>
      <c r="C427" s="6" t="s">
        <v>58</v>
      </c>
      <c r="D427" s="7">
        <v>1309052.5</v>
      </c>
    </row>
    <row r="428" spans="1:4" x14ac:dyDescent="0.25">
      <c r="A428" s="5" t="s">
        <v>9</v>
      </c>
      <c r="B428" s="6" t="s">
        <v>5</v>
      </c>
      <c r="C428" s="6" t="s">
        <v>59</v>
      </c>
      <c r="D428" s="7">
        <v>1298573.75</v>
      </c>
    </row>
    <row r="429" spans="1:4" x14ac:dyDescent="0.25">
      <c r="A429" s="5" t="s">
        <v>9</v>
      </c>
      <c r="B429" s="6" t="s">
        <v>5</v>
      </c>
      <c r="C429" s="6" t="s">
        <v>60</v>
      </c>
      <c r="D429" s="7">
        <v>1257936.375</v>
      </c>
    </row>
    <row r="430" spans="1:4" x14ac:dyDescent="0.25">
      <c r="A430" s="5" t="s">
        <v>9</v>
      </c>
      <c r="B430" s="6" t="s">
        <v>5</v>
      </c>
      <c r="C430" s="6" t="s">
        <v>61</v>
      </c>
      <c r="D430" s="7">
        <v>1231089.75</v>
      </c>
    </row>
    <row r="431" spans="1:4" x14ac:dyDescent="0.25">
      <c r="A431" s="5" t="s">
        <v>9</v>
      </c>
      <c r="B431" s="6" t="s">
        <v>5</v>
      </c>
      <c r="C431" s="6" t="s">
        <v>62</v>
      </c>
      <c r="D431" s="7">
        <v>1244598.375</v>
      </c>
    </row>
    <row r="432" spans="1:4" x14ac:dyDescent="0.25">
      <c r="A432" s="5" t="s">
        <v>9</v>
      </c>
      <c r="B432" s="6" t="s">
        <v>5</v>
      </c>
      <c r="C432" s="6" t="s">
        <v>63</v>
      </c>
      <c r="D432" s="7">
        <v>1267834.625</v>
      </c>
    </row>
    <row r="433" spans="1:4" x14ac:dyDescent="0.25">
      <c r="A433" s="5" t="s">
        <v>9</v>
      </c>
      <c r="B433" s="6" t="s">
        <v>5</v>
      </c>
      <c r="C433" s="6" t="s">
        <v>64</v>
      </c>
      <c r="D433" s="7">
        <v>1314777.75</v>
      </c>
    </row>
    <row r="434" spans="1:4" x14ac:dyDescent="0.25">
      <c r="A434" s="5" t="s">
        <v>9</v>
      </c>
      <c r="B434" s="6" t="s">
        <v>5</v>
      </c>
      <c r="C434" s="6" t="s">
        <v>65</v>
      </c>
      <c r="D434" s="7">
        <v>1297348.125</v>
      </c>
    </row>
    <row r="435" spans="1:4" x14ac:dyDescent="0.25">
      <c r="A435" s="5" t="s">
        <v>9</v>
      </c>
      <c r="B435" s="6" t="s">
        <v>5</v>
      </c>
      <c r="C435" s="6" t="s">
        <v>66</v>
      </c>
      <c r="D435" s="7">
        <v>1247772.125</v>
      </c>
    </row>
    <row r="436" spans="1:4" x14ac:dyDescent="0.25">
      <c r="A436" s="5" t="s">
        <v>19</v>
      </c>
      <c r="B436" s="6" t="s">
        <v>5</v>
      </c>
      <c r="C436" s="6" t="s">
        <v>36</v>
      </c>
      <c r="D436" s="7">
        <v>4950152.5</v>
      </c>
    </row>
    <row r="437" spans="1:4" x14ac:dyDescent="0.25">
      <c r="A437" s="2" t="s">
        <v>19</v>
      </c>
      <c r="B437" s="3" t="s">
        <v>5</v>
      </c>
      <c r="C437" s="3" t="s">
        <v>37</v>
      </c>
      <c r="D437" s="4">
        <v>4858537.5</v>
      </c>
    </row>
    <row r="438" spans="1:4" x14ac:dyDescent="0.25">
      <c r="A438" s="5" t="s">
        <v>19</v>
      </c>
      <c r="B438" s="6" t="s">
        <v>5</v>
      </c>
      <c r="C438" s="6" t="s">
        <v>38</v>
      </c>
      <c r="D438" s="7">
        <v>4906745</v>
      </c>
    </row>
    <row r="439" spans="1:4" x14ac:dyDescent="0.25">
      <c r="A439" s="2" t="s">
        <v>19</v>
      </c>
      <c r="B439" s="3" t="s">
        <v>5</v>
      </c>
      <c r="C439" s="3" t="s">
        <v>39</v>
      </c>
      <c r="D439" s="4">
        <v>4986222</v>
      </c>
    </row>
    <row r="440" spans="1:4" x14ac:dyDescent="0.25">
      <c r="A440" s="5" t="s">
        <v>19</v>
      </c>
      <c r="B440" s="6" t="s">
        <v>5</v>
      </c>
      <c r="C440" s="6" t="s">
        <v>40</v>
      </c>
      <c r="D440" s="7">
        <v>5157908.5</v>
      </c>
    </row>
    <row r="441" spans="1:4" x14ac:dyDescent="0.25">
      <c r="A441" s="2" t="s">
        <v>19</v>
      </c>
      <c r="B441" s="3" t="s">
        <v>5</v>
      </c>
      <c r="C441" s="3" t="s">
        <v>41</v>
      </c>
      <c r="D441" s="4">
        <v>5089516</v>
      </c>
    </row>
    <row r="442" spans="1:4" x14ac:dyDescent="0.25">
      <c r="A442" s="5" t="s">
        <v>19</v>
      </c>
      <c r="B442" s="6" t="s">
        <v>5</v>
      </c>
      <c r="C442" s="6" t="s">
        <v>42</v>
      </c>
      <c r="D442" s="7">
        <v>4912374</v>
      </c>
    </row>
    <row r="443" spans="1:4" x14ac:dyDescent="0.25">
      <c r="A443" s="2" t="s">
        <v>19</v>
      </c>
      <c r="B443" s="3" t="s">
        <v>5</v>
      </c>
      <c r="C443" s="3" t="s">
        <v>43</v>
      </c>
      <c r="D443" s="4">
        <v>4570712.5</v>
      </c>
    </row>
    <row r="444" spans="1:4" x14ac:dyDescent="0.25">
      <c r="A444" s="5" t="s">
        <v>19</v>
      </c>
      <c r="B444" s="6" t="s">
        <v>5</v>
      </c>
      <c r="C444" s="6" t="s">
        <v>44</v>
      </c>
      <c r="D444" s="7">
        <v>4622587.5</v>
      </c>
    </row>
    <row r="445" spans="1:4" x14ac:dyDescent="0.25">
      <c r="A445" s="2" t="s">
        <v>19</v>
      </c>
      <c r="B445" s="3" t="s">
        <v>5</v>
      </c>
      <c r="C445" s="3" t="s">
        <v>45</v>
      </c>
      <c r="D445" s="4">
        <v>4732482.5</v>
      </c>
    </row>
    <row r="446" spans="1:4" x14ac:dyDescent="0.25">
      <c r="A446" s="5" t="s">
        <v>19</v>
      </c>
      <c r="B446" s="6" t="s">
        <v>5</v>
      </c>
      <c r="C446" s="6" t="s">
        <v>46</v>
      </c>
      <c r="D446" s="7">
        <v>4895718</v>
      </c>
    </row>
    <row r="447" spans="1:4" x14ac:dyDescent="0.25">
      <c r="A447" s="2" t="s">
        <v>19</v>
      </c>
      <c r="B447" s="3" t="s">
        <v>5</v>
      </c>
      <c r="C447" s="3" t="s">
        <v>47</v>
      </c>
      <c r="D447" s="4">
        <v>4860988.5</v>
      </c>
    </row>
    <row r="448" spans="1:4" x14ac:dyDescent="0.25">
      <c r="A448" s="5" t="s">
        <v>19</v>
      </c>
      <c r="B448" s="6" t="s">
        <v>5</v>
      </c>
      <c r="C448" s="6" t="s">
        <v>48</v>
      </c>
      <c r="D448" s="7">
        <v>4719380</v>
      </c>
    </row>
    <row r="449" spans="1:4" x14ac:dyDescent="0.25">
      <c r="A449" s="2" t="s">
        <v>19</v>
      </c>
      <c r="B449" s="3" t="s">
        <v>5</v>
      </c>
      <c r="C449" s="3" t="s">
        <v>49</v>
      </c>
      <c r="D449" s="4">
        <v>4633894</v>
      </c>
    </row>
    <row r="450" spans="1:4" x14ac:dyDescent="0.25">
      <c r="A450" s="5" t="s">
        <v>19</v>
      </c>
      <c r="B450" s="6" t="s">
        <v>5</v>
      </c>
      <c r="C450" s="6" t="s">
        <v>50</v>
      </c>
      <c r="D450" s="7">
        <v>4681460</v>
      </c>
    </row>
    <row r="451" spans="1:4" x14ac:dyDescent="0.25">
      <c r="A451" s="2" t="s">
        <v>19</v>
      </c>
      <c r="B451" s="3" t="s">
        <v>5</v>
      </c>
      <c r="C451" s="3" t="s">
        <v>51</v>
      </c>
      <c r="D451" s="4">
        <v>4754289.5</v>
      </c>
    </row>
    <row r="452" spans="1:4" x14ac:dyDescent="0.25">
      <c r="A452" s="5" t="s">
        <v>19</v>
      </c>
      <c r="B452" s="6" t="s">
        <v>5</v>
      </c>
      <c r="C452" s="6" t="s">
        <v>52</v>
      </c>
      <c r="D452" s="7">
        <v>4916660</v>
      </c>
    </row>
    <row r="453" spans="1:4" x14ac:dyDescent="0.25">
      <c r="A453" s="2" t="s">
        <v>19</v>
      </c>
      <c r="B453" s="3" t="s">
        <v>5</v>
      </c>
      <c r="C453" s="3" t="s">
        <v>53</v>
      </c>
      <c r="D453" s="4">
        <v>4852744.5</v>
      </c>
    </row>
    <row r="454" spans="1:4" x14ac:dyDescent="0.25">
      <c r="A454" s="5" t="s">
        <v>19</v>
      </c>
      <c r="B454" s="6" t="s">
        <v>5</v>
      </c>
      <c r="C454" s="6" t="s">
        <v>54</v>
      </c>
      <c r="D454" s="7">
        <v>4684621</v>
      </c>
    </row>
    <row r="455" spans="1:4" x14ac:dyDescent="0.25">
      <c r="A455" s="5" t="s">
        <v>19</v>
      </c>
      <c r="B455" s="6" t="s">
        <v>5</v>
      </c>
      <c r="C455" s="6" t="s">
        <v>55</v>
      </c>
      <c r="D455" s="7">
        <v>5580775</v>
      </c>
    </row>
    <row r="456" spans="1:4" x14ac:dyDescent="0.25">
      <c r="A456" s="5" t="s">
        <v>19</v>
      </c>
      <c r="B456" s="6" t="s">
        <v>5</v>
      </c>
      <c r="C456" s="6" t="s">
        <v>56</v>
      </c>
      <c r="D456" s="7">
        <v>5644560</v>
      </c>
    </row>
    <row r="457" spans="1:4" x14ac:dyDescent="0.25">
      <c r="A457" s="5" t="s">
        <v>19</v>
      </c>
      <c r="B457" s="6" t="s">
        <v>5</v>
      </c>
      <c r="C457" s="6" t="s">
        <v>57</v>
      </c>
      <c r="D457" s="7">
        <v>5774448.5</v>
      </c>
    </row>
    <row r="458" spans="1:4" x14ac:dyDescent="0.25">
      <c r="A458" s="5" t="s">
        <v>19</v>
      </c>
      <c r="B458" s="6" t="s">
        <v>5</v>
      </c>
      <c r="C458" s="6" t="s">
        <v>58</v>
      </c>
      <c r="D458" s="7">
        <v>5964648</v>
      </c>
    </row>
    <row r="459" spans="1:4" x14ac:dyDescent="0.25">
      <c r="A459" s="5" t="s">
        <v>19</v>
      </c>
      <c r="B459" s="6" t="s">
        <v>5</v>
      </c>
      <c r="C459" s="6" t="s">
        <v>59</v>
      </c>
      <c r="D459" s="7">
        <v>5927951.5</v>
      </c>
    </row>
    <row r="460" spans="1:4" x14ac:dyDescent="0.25">
      <c r="A460" s="5" t="s">
        <v>19</v>
      </c>
      <c r="B460" s="6" t="s">
        <v>5</v>
      </c>
      <c r="C460" s="6" t="s">
        <v>60</v>
      </c>
      <c r="D460" s="7">
        <v>5754387.5</v>
      </c>
    </row>
    <row r="461" spans="1:4" x14ac:dyDescent="0.25">
      <c r="A461" s="5" t="s">
        <v>19</v>
      </c>
      <c r="B461" s="6" t="s">
        <v>5</v>
      </c>
      <c r="C461" s="6" t="s">
        <v>61</v>
      </c>
      <c r="D461" s="7">
        <v>5649813</v>
      </c>
    </row>
    <row r="462" spans="1:4" x14ac:dyDescent="0.25">
      <c r="A462" s="5" t="s">
        <v>19</v>
      </c>
      <c r="B462" s="6" t="s">
        <v>5</v>
      </c>
      <c r="C462" s="6" t="s">
        <v>62</v>
      </c>
      <c r="D462" s="7">
        <v>5705345.5</v>
      </c>
    </row>
    <row r="463" spans="1:4" x14ac:dyDescent="0.25">
      <c r="A463" s="5" t="s">
        <v>19</v>
      </c>
      <c r="B463" s="6" t="s">
        <v>5</v>
      </c>
      <c r="C463" s="6" t="s">
        <v>63</v>
      </c>
      <c r="D463" s="7">
        <v>5796309</v>
      </c>
    </row>
    <row r="464" spans="1:4" x14ac:dyDescent="0.25">
      <c r="A464" s="5" t="s">
        <v>19</v>
      </c>
      <c r="B464" s="6" t="s">
        <v>5</v>
      </c>
      <c r="C464" s="6" t="s">
        <v>64</v>
      </c>
      <c r="D464" s="7">
        <v>5992628</v>
      </c>
    </row>
    <row r="465" spans="1:4" x14ac:dyDescent="0.25">
      <c r="A465" s="5" t="s">
        <v>19</v>
      </c>
      <c r="B465" s="6" t="s">
        <v>5</v>
      </c>
      <c r="C465" s="6" t="s">
        <v>65</v>
      </c>
      <c r="D465" s="7">
        <v>5914339</v>
      </c>
    </row>
    <row r="466" spans="1:4" x14ac:dyDescent="0.25">
      <c r="A466" s="5" t="s">
        <v>19</v>
      </c>
      <c r="B466" s="6" t="s">
        <v>5</v>
      </c>
      <c r="C466" s="6" t="s">
        <v>66</v>
      </c>
      <c r="D466" s="7">
        <v>5711307</v>
      </c>
    </row>
    <row r="467" spans="1:4" x14ac:dyDescent="0.25">
      <c r="A467" s="2" t="s">
        <v>20</v>
      </c>
      <c r="B467" s="3" t="s">
        <v>5</v>
      </c>
      <c r="C467" s="3" t="s">
        <v>36</v>
      </c>
      <c r="D467" s="4">
        <v>1464797.625</v>
      </c>
    </row>
    <row r="468" spans="1:4" x14ac:dyDescent="0.25">
      <c r="A468" s="5" t="s">
        <v>20</v>
      </c>
      <c r="B468" s="6" t="s">
        <v>5</v>
      </c>
      <c r="C468" s="6" t="s">
        <v>37</v>
      </c>
      <c r="D468" s="7">
        <v>1443242.625</v>
      </c>
    </row>
    <row r="469" spans="1:4" x14ac:dyDescent="0.25">
      <c r="A469" s="2" t="s">
        <v>20</v>
      </c>
      <c r="B469" s="3" t="s">
        <v>5</v>
      </c>
      <c r="C469" s="3" t="s">
        <v>38</v>
      </c>
      <c r="D469" s="4">
        <v>1454089.75</v>
      </c>
    </row>
    <row r="470" spans="1:4" x14ac:dyDescent="0.25">
      <c r="A470" s="5" t="s">
        <v>20</v>
      </c>
      <c r="B470" s="6" t="s">
        <v>5</v>
      </c>
      <c r="C470" s="6" t="s">
        <v>39</v>
      </c>
      <c r="D470" s="7">
        <v>1472746.25</v>
      </c>
    </row>
    <row r="471" spans="1:4" x14ac:dyDescent="0.25">
      <c r="A471" s="2" t="s">
        <v>20</v>
      </c>
      <c r="B471" s="3" t="s">
        <v>5</v>
      </c>
      <c r="C471" s="3" t="s">
        <v>40</v>
      </c>
      <c r="D471" s="4">
        <v>1510432.125</v>
      </c>
    </row>
    <row r="472" spans="1:4" x14ac:dyDescent="0.25">
      <c r="A472" s="5" t="s">
        <v>20</v>
      </c>
      <c r="B472" s="6" t="s">
        <v>5</v>
      </c>
      <c r="C472" s="6" t="s">
        <v>41</v>
      </c>
      <c r="D472" s="7">
        <v>1496443.875</v>
      </c>
    </row>
    <row r="473" spans="1:4" x14ac:dyDescent="0.25">
      <c r="A473" s="2" t="s">
        <v>20</v>
      </c>
      <c r="B473" s="3" t="s">
        <v>5</v>
      </c>
      <c r="C473" s="3" t="s">
        <v>42</v>
      </c>
      <c r="D473" s="4">
        <v>1456868.25</v>
      </c>
    </row>
    <row r="474" spans="1:4" x14ac:dyDescent="0.25">
      <c r="A474" s="5" t="s">
        <v>20</v>
      </c>
      <c r="B474" s="6" t="s">
        <v>5</v>
      </c>
      <c r="C474" s="6" t="s">
        <v>43</v>
      </c>
      <c r="D474" s="7">
        <v>1313394.25</v>
      </c>
    </row>
    <row r="475" spans="1:4" x14ac:dyDescent="0.25">
      <c r="A475" s="2" t="s">
        <v>20</v>
      </c>
      <c r="B475" s="3" t="s">
        <v>5</v>
      </c>
      <c r="C475" s="3" t="s">
        <v>44</v>
      </c>
      <c r="D475" s="4">
        <v>1327017.125</v>
      </c>
    </row>
    <row r="476" spans="1:4" x14ac:dyDescent="0.25">
      <c r="A476" s="5" t="s">
        <v>20</v>
      </c>
      <c r="B476" s="6" t="s">
        <v>5</v>
      </c>
      <c r="C476" s="6" t="s">
        <v>45</v>
      </c>
      <c r="D476" s="7">
        <v>1348842.375</v>
      </c>
    </row>
    <row r="477" spans="1:4" x14ac:dyDescent="0.25">
      <c r="A477" s="2" t="s">
        <v>20</v>
      </c>
      <c r="B477" s="3" t="s">
        <v>5</v>
      </c>
      <c r="C477" s="3" t="s">
        <v>46</v>
      </c>
      <c r="D477" s="4">
        <v>1385010</v>
      </c>
    </row>
    <row r="478" spans="1:4" x14ac:dyDescent="0.25">
      <c r="A478" s="5" t="s">
        <v>20</v>
      </c>
      <c r="B478" s="6" t="s">
        <v>5</v>
      </c>
      <c r="C478" s="6" t="s">
        <v>47</v>
      </c>
      <c r="D478" s="7">
        <v>1376956.75</v>
      </c>
    </row>
    <row r="479" spans="1:4" x14ac:dyDescent="0.25">
      <c r="A479" s="2" t="s">
        <v>20</v>
      </c>
      <c r="B479" s="3" t="s">
        <v>5</v>
      </c>
      <c r="C479" s="3" t="s">
        <v>48</v>
      </c>
      <c r="D479" s="4">
        <v>1345734.625</v>
      </c>
    </row>
    <row r="480" spans="1:4" x14ac:dyDescent="0.25">
      <c r="A480" s="5" t="s">
        <v>20</v>
      </c>
      <c r="B480" s="6" t="s">
        <v>5</v>
      </c>
      <c r="C480" s="6" t="s">
        <v>49</v>
      </c>
      <c r="D480" s="7">
        <v>1325109.125</v>
      </c>
    </row>
    <row r="481" spans="1:4" x14ac:dyDescent="0.25">
      <c r="A481" s="2" t="s">
        <v>20</v>
      </c>
      <c r="B481" s="3" t="s">
        <v>5</v>
      </c>
      <c r="C481" s="3" t="s">
        <v>50</v>
      </c>
      <c r="D481" s="4">
        <v>1335488.5</v>
      </c>
    </row>
    <row r="482" spans="1:4" x14ac:dyDescent="0.25">
      <c r="A482" s="5" t="s">
        <v>20</v>
      </c>
      <c r="B482" s="6" t="s">
        <v>5</v>
      </c>
      <c r="C482" s="6" t="s">
        <v>51</v>
      </c>
      <c r="D482" s="7">
        <v>1353340.625</v>
      </c>
    </row>
    <row r="483" spans="1:4" x14ac:dyDescent="0.25">
      <c r="A483" s="2" t="s">
        <v>20</v>
      </c>
      <c r="B483" s="3" t="s">
        <v>5</v>
      </c>
      <c r="C483" s="3" t="s">
        <v>52</v>
      </c>
      <c r="D483" s="4">
        <v>1389401.75</v>
      </c>
    </row>
    <row r="484" spans="1:4" x14ac:dyDescent="0.25">
      <c r="A484" s="5" t="s">
        <v>20</v>
      </c>
      <c r="B484" s="6" t="s">
        <v>5</v>
      </c>
      <c r="C484" s="6" t="s">
        <v>53</v>
      </c>
      <c r="D484" s="7">
        <v>1376016.5</v>
      </c>
    </row>
    <row r="485" spans="1:4" x14ac:dyDescent="0.25">
      <c r="A485" s="2" t="s">
        <v>20</v>
      </c>
      <c r="B485" s="3" t="s">
        <v>5</v>
      </c>
      <c r="C485" s="3" t="s">
        <v>54</v>
      </c>
      <c r="D485" s="4">
        <v>1338120.25</v>
      </c>
    </row>
    <row r="486" spans="1:4" x14ac:dyDescent="0.25">
      <c r="A486" s="2" t="s">
        <v>20</v>
      </c>
      <c r="B486" s="3" t="s">
        <v>5</v>
      </c>
      <c r="C486" s="3" t="s">
        <v>55</v>
      </c>
      <c r="D486" s="4">
        <v>1664343.5</v>
      </c>
    </row>
    <row r="487" spans="1:4" x14ac:dyDescent="0.25">
      <c r="A487" s="2" t="s">
        <v>20</v>
      </c>
      <c r="B487" s="3" t="s">
        <v>5</v>
      </c>
      <c r="C487" s="3" t="s">
        <v>56</v>
      </c>
      <c r="D487" s="4">
        <v>1680756.125</v>
      </c>
    </row>
    <row r="488" spans="1:4" x14ac:dyDescent="0.25">
      <c r="A488" s="2" t="s">
        <v>20</v>
      </c>
      <c r="B488" s="3" t="s">
        <v>5</v>
      </c>
      <c r="C488" s="3" t="s">
        <v>57</v>
      </c>
      <c r="D488" s="4">
        <v>1707050.5</v>
      </c>
    </row>
    <row r="489" spans="1:4" x14ac:dyDescent="0.25">
      <c r="A489" s="2" t="s">
        <v>20</v>
      </c>
      <c r="B489" s="3" t="s">
        <v>5</v>
      </c>
      <c r="C489" s="3" t="s">
        <v>58</v>
      </c>
      <c r="D489" s="4">
        <v>1750623.125</v>
      </c>
    </row>
    <row r="490" spans="1:4" x14ac:dyDescent="0.25">
      <c r="A490" s="2" t="s">
        <v>20</v>
      </c>
      <c r="B490" s="3" t="s">
        <v>5</v>
      </c>
      <c r="C490" s="3" t="s">
        <v>59</v>
      </c>
      <c r="D490" s="4">
        <v>1740921.875</v>
      </c>
    </row>
    <row r="491" spans="1:4" x14ac:dyDescent="0.25">
      <c r="A491" s="2" t="s">
        <v>20</v>
      </c>
      <c r="B491" s="3" t="s">
        <v>5</v>
      </c>
      <c r="C491" s="3" t="s">
        <v>60</v>
      </c>
      <c r="D491" s="4">
        <v>1703308.25</v>
      </c>
    </row>
    <row r="492" spans="1:4" x14ac:dyDescent="0.25">
      <c r="A492" s="2" t="s">
        <v>20</v>
      </c>
      <c r="B492" s="3" t="s">
        <v>5</v>
      </c>
      <c r="C492" s="3" t="s">
        <v>61</v>
      </c>
      <c r="D492" s="4">
        <v>1678460.25</v>
      </c>
    </row>
    <row r="493" spans="1:4" x14ac:dyDescent="0.25">
      <c r="A493" s="2" t="s">
        <v>20</v>
      </c>
      <c r="B493" s="3" t="s">
        <v>5</v>
      </c>
      <c r="C493" s="3" t="s">
        <v>62</v>
      </c>
      <c r="D493" s="4">
        <v>1690964.375</v>
      </c>
    </row>
    <row r="494" spans="1:4" x14ac:dyDescent="0.25">
      <c r="A494" s="2" t="s">
        <v>20</v>
      </c>
      <c r="B494" s="3" t="s">
        <v>5</v>
      </c>
      <c r="C494" s="3" t="s">
        <v>63</v>
      </c>
      <c r="D494" s="4">
        <v>1712471</v>
      </c>
    </row>
    <row r="495" spans="1:4" x14ac:dyDescent="0.25">
      <c r="A495" s="2" t="s">
        <v>20</v>
      </c>
      <c r="B495" s="3" t="s">
        <v>5</v>
      </c>
      <c r="C495" s="3" t="s">
        <v>64</v>
      </c>
      <c r="D495" s="4">
        <v>1755915.5</v>
      </c>
    </row>
    <row r="496" spans="1:4" x14ac:dyDescent="0.25">
      <c r="A496" s="2" t="s">
        <v>20</v>
      </c>
      <c r="B496" s="3" t="s">
        <v>5</v>
      </c>
      <c r="C496" s="3" t="s">
        <v>65</v>
      </c>
      <c r="D496" s="4">
        <v>1739788.75</v>
      </c>
    </row>
    <row r="497" spans="1:4" x14ac:dyDescent="0.25">
      <c r="A497" s="2" t="s">
        <v>20</v>
      </c>
      <c r="B497" s="3" t="s">
        <v>5</v>
      </c>
      <c r="C497" s="3" t="s">
        <v>66</v>
      </c>
      <c r="D497" s="4">
        <v>1694171.75</v>
      </c>
    </row>
    <row r="498" spans="1:4" x14ac:dyDescent="0.25">
      <c r="A498" s="5" t="s">
        <v>31</v>
      </c>
      <c r="B498" s="6" t="s">
        <v>5</v>
      </c>
      <c r="C498" s="6" t="s">
        <v>36</v>
      </c>
      <c r="D498" s="7">
        <v>2624919.5</v>
      </c>
    </row>
    <row r="499" spans="1:4" x14ac:dyDescent="0.25">
      <c r="A499" s="2" t="s">
        <v>31</v>
      </c>
      <c r="B499" s="3" t="s">
        <v>5</v>
      </c>
      <c r="C499" s="3" t="s">
        <v>37</v>
      </c>
      <c r="D499" s="4">
        <v>2569427.75</v>
      </c>
    </row>
    <row r="500" spans="1:4" x14ac:dyDescent="0.25">
      <c r="A500" s="5" t="s">
        <v>31</v>
      </c>
      <c r="B500" s="6" t="s">
        <v>5</v>
      </c>
      <c r="C500" s="6" t="s">
        <v>38</v>
      </c>
      <c r="D500" s="7">
        <v>2597682.5</v>
      </c>
    </row>
    <row r="501" spans="1:4" x14ac:dyDescent="0.25">
      <c r="A501" s="2" t="s">
        <v>31</v>
      </c>
      <c r="B501" s="3" t="s">
        <v>5</v>
      </c>
      <c r="C501" s="3" t="s">
        <v>39</v>
      </c>
      <c r="D501" s="4">
        <v>2645740</v>
      </c>
    </row>
    <row r="502" spans="1:4" x14ac:dyDescent="0.25">
      <c r="A502" s="5" t="s">
        <v>31</v>
      </c>
      <c r="B502" s="6" t="s">
        <v>5</v>
      </c>
      <c r="C502" s="6" t="s">
        <v>40</v>
      </c>
      <c r="D502" s="7">
        <v>2744606</v>
      </c>
    </row>
    <row r="503" spans="1:4" x14ac:dyDescent="0.25">
      <c r="A503" s="2" t="s">
        <v>31</v>
      </c>
      <c r="B503" s="3" t="s">
        <v>5</v>
      </c>
      <c r="C503" s="3" t="s">
        <v>41</v>
      </c>
      <c r="D503" s="4">
        <v>2707150.25</v>
      </c>
    </row>
    <row r="504" spans="1:4" x14ac:dyDescent="0.25">
      <c r="A504" s="5" t="s">
        <v>31</v>
      </c>
      <c r="B504" s="6" t="s">
        <v>5</v>
      </c>
      <c r="C504" s="6" t="s">
        <v>42</v>
      </c>
      <c r="D504" s="7">
        <v>2603350.75</v>
      </c>
    </row>
    <row r="505" spans="1:4" x14ac:dyDescent="0.25">
      <c r="A505" s="2" t="s">
        <v>31</v>
      </c>
      <c r="B505" s="3" t="s">
        <v>5</v>
      </c>
      <c r="C505" s="3" t="s">
        <v>43</v>
      </c>
      <c r="D505" s="4">
        <v>2381021.25</v>
      </c>
    </row>
    <row r="506" spans="1:4" x14ac:dyDescent="0.25">
      <c r="A506" s="5" t="s">
        <v>31</v>
      </c>
      <c r="B506" s="6" t="s">
        <v>5</v>
      </c>
      <c r="C506" s="6" t="s">
        <v>44</v>
      </c>
      <c r="D506" s="7">
        <v>2415153</v>
      </c>
    </row>
    <row r="507" spans="1:4" x14ac:dyDescent="0.25">
      <c r="A507" s="2" t="s">
        <v>31</v>
      </c>
      <c r="B507" s="3" t="s">
        <v>5</v>
      </c>
      <c r="C507" s="3" t="s">
        <v>45</v>
      </c>
      <c r="D507" s="4">
        <v>2474087.75</v>
      </c>
    </row>
    <row r="508" spans="1:4" x14ac:dyDescent="0.25">
      <c r="A508" s="5" t="s">
        <v>31</v>
      </c>
      <c r="B508" s="6" t="s">
        <v>5</v>
      </c>
      <c r="C508" s="6" t="s">
        <v>46</v>
      </c>
      <c r="D508" s="7">
        <v>2568730.25</v>
      </c>
    </row>
    <row r="509" spans="1:4" x14ac:dyDescent="0.25">
      <c r="A509" s="2" t="s">
        <v>31</v>
      </c>
      <c r="B509" s="3" t="s">
        <v>5</v>
      </c>
      <c r="C509" s="3" t="s">
        <v>47</v>
      </c>
      <c r="D509" s="4">
        <v>2547928.5</v>
      </c>
    </row>
    <row r="510" spans="1:4" x14ac:dyDescent="0.25">
      <c r="A510" s="5" t="s">
        <v>31</v>
      </c>
      <c r="B510" s="6" t="s">
        <v>5</v>
      </c>
      <c r="C510" s="6" t="s">
        <v>48</v>
      </c>
      <c r="D510" s="7">
        <v>2466137.25</v>
      </c>
    </row>
    <row r="511" spans="1:4" x14ac:dyDescent="0.25">
      <c r="A511" s="2" t="s">
        <v>31</v>
      </c>
      <c r="B511" s="3" t="s">
        <v>5</v>
      </c>
      <c r="C511" s="3" t="s">
        <v>49</v>
      </c>
      <c r="D511" s="4">
        <v>2413382</v>
      </c>
    </row>
    <row r="512" spans="1:4" x14ac:dyDescent="0.25">
      <c r="A512" s="5" t="s">
        <v>31</v>
      </c>
      <c r="B512" s="6" t="s">
        <v>5</v>
      </c>
      <c r="C512" s="6" t="s">
        <v>50</v>
      </c>
      <c r="D512" s="7">
        <v>2440648</v>
      </c>
    </row>
    <row r="513" spans="1:4" x14ac:dyDescent="0.25">
      <c r="A513" s="2" t="s">
        <v>31</v>
      </c>
      <c r="B513" s="3" t="s">
        <v>5</v>
      </c>
      <c r="C513" s="3" t="s">
        <v>51</v>
      </c>
      <c r="D513" s="4">
        <v>2486123.5</v>
      </c>
    </row>
    <row r="514" spans="1:4" x14ac:dyDescent="0.25">
      <c r="A514" s="5" t="s">
        <v>31</v>
      </c>
      <c r="B514" s="6" t="s">
        <v>5</v>
      </c>
      <c r="C514" s="6" t="s">
        <v>52</v>
      </c>
      <c r="D514" s="7">
        <v>2580426.5</v>
      </c>
    </row>
    <row r="515" spans="1:4" x14ac:dyDescent="0.25">
      <c r="A515" s="2" t="s">
        <v>31</v>
      </c>
      <c r="B515" s="3" t="s">
        <v>5</v>
      </c>
      <c r="C515" s="3" t="s">
        <v>53</v>
      </c>
      <c r="D515" s="4">
        <v>2544827</v>
      </c>
    </row>
    <row r="516" spans="1:4" x14ac:dyDescent="0.25">
      <c r="A516" s="5" t="s">
        <v>31</v>
      </c>
      <c r="B516" s="6" t="s">
        <v>5</v>
      </c>
      <c r="C516" s="6" t="s">
        <v>54</v>
      </c>
      <c r="D516" s="7">
        <v>2445698</v>
      </c>
    </row>
    <row r="517" spans="1:4" x14ac:dyDescent="0.25">
      <c r="A517" s="2" t="s">
        <v>31</v>
      </c>
      <c r="B517" s="3" t="s">
        <v>5</v>
      </c>
      <c r="C517" s="3" t="s">
        <v>55</v>
      </c>
      <c r="D517" s="4">
        <v>2925334.75</v>
      </c>
    </row>
    <row r="518" spans="1:4" x14ac:dyDescent="0.25">
      <c r="A518" s="2" t="s">
        <v>31</v>
      </c>
      <c r="B518" s="3" t="s">
        <v>5</v>
      </c>
      <c r="C518" s="3" t="s">
        <v>56</v>
      </c>
      <c r="D518" s="4">
        <v>2966957.5</v>
      </c>
    </row>
    <row r="519" spans="1:4" x14ac:dyDescent="0.25">
      <c r="A519" s="2" t="s">
        <v>31</v>
      </c>
      <c r="B519" s="3" t="s">
        <v>5</v>
      </c>
      <c r="C519" s="3" t="s">
        <v>57</v>
      </c>
      <c r="D519" s="4">
        <v>3038012</v>
      </c>
    </row>
    <row r="520" spans="1:4" x14ac:dyDescent="0.25">
      <c r="A520" s="2" t="s">
        <v>31</v>
      </c>
      <c r="B520" s="3" t="s">
        <v>5</v>
      </c>
      <c r="C520" s="3" t="s">
        <v>58</v>
      </c>
      <c r="D520" s="4">
        <v>3151982</v>
      </c>
    </row>
    <row r="521" spans="1:4" x14ac:dyDescent="0.25">
      <c r="A521" s="2" t="s">
        <v>31</v>
      </c>
      <c r="B521" s="3" t="s">
        <v>5</v>
      </c>
      <c r="C521" s="3" t="s">
        <v>59</v>
      </c>
      <c r="D521" s="4">
        <v>3127367</v>
      </c>
    </row>
    <row r="522" spans="1:4" x14ac:dyDescent="0.25">
      <c r="A522" s="2" t="s">
        <v>31</v>
      </c>
      <c r="B522" s="3" t="s">
        <v>5</v>
      </c>
      <c r="C522" s="3" t="s">
        <v>60</v>
      </c>
      <c r="D522" s="4">
        <v>3027948.5</v>
      </c>
    </row>
    <row r="523" spans="1:4" x14ac:dyDescent="0.25">
      <c r="A523" s="2" t="s">
        <v>31</v>
      </c>
      <c r="B523" s="3" t="s">
        <v>5</v>
      </c>
      <c r="C523" s="3" t="s">
        <v>61</v>
      </c>
      <c r="D523" s="4">
        <v>2963831.75</v>
      </c>
    </row>
    <row r="524" spans="1:4" x14ac:dyDescent="0.25">
      <c r="A524" s="2" t="s">
        <v>31</v>
      </c>
      <c r="B524" s="3" t="s">
        <v>5</v>
      </c>
      <c r="C524" s="3" t="s">
        <v>62</v>
      </c>
      <c r="D524" s="4">
        <v>2996645</v>
      </c>
    </row>
    <row r="525" spans="1:4" x14ac:dyDescent="0.25">
      <c r="A525" s="2" t="s">
        <v>31</v>
      </c>
      <c r="B525" s="3" t="s">
        <v>5</v>
      </c>
      <c r="C525" s="3" t="s">
        <v>63</v>
      </c>
      <c r="D525" s="4">
        <v>3052119</v>
      </c>
    </row>
    <row r="526" spans="1:4" x14ac:dyDescent="0.25">
      <c r="A526" s="2" t="s">
        <v>31</v>
      </c>
      <c r="B526" s="3" t="s">
        <v>5</v>
      </c>
      <c r="C526" s="3" t="s">
        <v>64</v>
      </c>
      <c r="D526" s="4">
        <v>3166298.25</v>
      </c>
    </row>
    <row r="527" spans="1:4" x14ac:dyDescent="0.25">
      <c r="A527" s="2" t="s">
        <v>31</v>
      </c>
      <c r="B527" s="3" t="s">
        <v>5</v>
      </c>
      <c r="C527" s="3" t="s">
        <v>65</v>
      </c>
      <c r="D527" s="4">
        <v>3122959.5</v>
      </c>
    </row>
    <row r="528" spans="1:4" x14ac:dyDescent="0.25">
      <c r="A528" s="2" t="s">
        <v>31</v>
      </c>
      <c r="B528" s="3" t="s">
        <v>5</v>
      </c>
      <c r="C528" s="3" t="s">
        <v>66</v>
      </c>
      <c r="D528" s="4">
        <v>3002467</v>
      </c>
    </row>
    <row r="529" spans="1:4" x14ac:dyDescent="0.25">
      <c r="A529" s="2" t="s">
        <v>7</v>
      </c>
      <c r="B529" s="3" t="s">
        <v>5</v>
      </c>
      <c r="C529" s="3" t="s">
        <v>36</v>
      </c>
      <c r="D529" s="4">
        <v>4278079.5</v>
      </c>
    </row>
    <row r="530" spans="1:4" x14ac:dyDescent="0.25">
      <c r="A530" s="5" t="s">
        <v>7</v>
      </c>
      <c r="B530" s="6" t="s">
        <v>5</v>
      </c>
      <c r="C530" s="6" t="s">
        <v>37</v>
      </c>
      <c r="D530" s="7">
        <v>4195674.5</v>
      </c>
    </row>
    <row r="531" spans="1:4" x14ac:dyDescent="0.25">
      <c r="A531" s="2" t="s">
        <v>7</v>
      </c>
      <c r="B531" s="3" t="s">
        <v>5</v>
      </c>
      <c r="C531" s="3" t="s">
        <v>38</v>
      </c>
      <c r="D531" s="4">
        <v>4237108</v>
      </c>
    </row>
    <row r="532" spans="1:4" x14ac:dyDescent="0.25">
      <c r="A532" s="5" t="s">
        <v>7</v>
      </c>
      <c r="B532" s="6" t="s">
        <v>5</v>
      </c>
      <c r="C532" s="6" t="s">
        <v>39</v>
      </c>
      <c r="D532" s="7">
        <v>4308418</v>
      </c>
    </row>
    <row r="533" spans="1:4" x14ac:dyDescent="0.25">
      <c r="A533" s="2" t="s">
        <v>7</v>
      </c>
      <c r="B533" s="3" t="s">
        <v>5</v>
      </c>
      <c r="C533" s="3" t="s">
        <v>40</v>
      </c>
      <c r="D533" s="4">
        <v>4452641</v>
      </c>
    </row>
    <row r="534" spans="1:4" x14ac:dyDescent="0.25">
      <c r="A534" s="5" t="s">
        <v>7</v>
      </c>
      <c r="B534" s="6" t="s">
        <v>5</v>
      </c>
      <c r="C534" s="6" t="s">
        <v>41</v>
      </c>
      <c r="D534" s="7">
        <v>4398965.5</v>
      </c>
    </row>
    <row r="535" spans="1:4" x14ac:dyDescent="0.25">
      <c r="A535" s="2" t="s">
        <v>7</v>
      </c>
      <c r="B535" s="3" t="s">
        <v>5</v>
      </c>
      <c r="C535" s="3" t="s">
        <v>42</v>
      </c>
      <c r="D535" s="4">
        <v>4246684</v>
      </c>
    </row>
    <row r="536" spans="1:4" x14ac:dyDescent="0.25">
      <c r="A536" s="5" t="s">
        <v>7</v>
      </c>
      <c r="B536" s="6" t="s">
        <v>5</v>
      </c>
      <c r="C536" s="6" t="s">
        <v>43</v>
      </c>
      <c r="D536" s="7">
        <v>3976696.75</v>
      </c>
    </row>
    <row r="537" spans="1:4" x14ac:dyDescent="0.25">
      <c r="A537" s="2" t="s">
        <v>7</v>
      </c>
      <c r="B537" s="3" t="s">
        <v>5</v>
      </c>
      <c r="C537" s="3" t="s">
        <v>44</v>
      </c>
      <c r="D537" s="4">
        <v>4028932.75</v>
      </c>
    </row>
    <row r="538" spans="1:4" x14ac:dyDescent="0.25">
      <c r="A538" s="5" t="s">
        <v>7</v>
      </c>
      <c r="B538" s="6" t="s">
        <v>5</v>
      </c>
      <c r="C538" s="6" t="s">
        <v>45</v>
      </c>
      <c r="D538" s="7">
        <v>4112592.75</v>
      </c>
    </row>
    <row r="539" spans="1:4" x14ac:dyDescent="0.25">
      <c r="A539" s="2" t="s">
        <v>7</v>
      </c>
      <c r="B539" s="3" t="s">
        <v>5</v>
      </c>
      <c r="C539" s="3" t="s">
        <v>46</v>
      </c>
      <c r="D539" s="4">
        <v>4251053</v>
      </c>
    </row>
    <row r="540" spans="1:4" x14ac:dyDescent="0.25">
      <c r="A540" s="5" t="s">
        <v>7</v>
      </c>
      <c r="B540" s="6" t="s">
        <v>5</v>
      </c>
      <c r="C540" s="6" t="s">
        <v>47</v>
      </c>
      <c r="D540" s="7">
        <v>4220353</v>
      </c>
    </row>
    <row r="541" spans="1:4" x14ac:dyDescent="0.25">
      <c r="A541" s="2" t="s">
        <v>7</v>
      </c>
      <c r="B541" s="3" t="s">
        <v>5</v>
      </c>
      <c r="C541" s="3" t="s">
        <v>48</v>
      </c>
      <c r="D541" s="4">
        <v>4100997.75</v>
      </c>
    </row>
    <row r="542" spans="1:4" x14ac:dyDescent="0.25">
      <c r="A542" s="5" t="s">
        <v>7</v>
      </c>
      <c r="B542" s="6" t="s">
        <v>5</v>
      </c>
      <c r="C542" s="6" t="s">
        <v>49</v>
      </c>
      <c r="D542" s="7">
        <v>4022121.25</v>
      </c>
    </row>
    <row r="543" spans="1:4" x14ac:dyDescent="0.25">
      <c r="A543" s="2" t="s">
        <v>7</v>
      </c>
      <c r="B543" s="3" t="s">
        <v>5</v>
      </c>
      <c r="C543" s="3" t="s">
        <v>50</v>
      </c>
      <c r="D543" s="4">
        <v>4061780.25</v>
      </c>
    </row>
    <row r="544" spans="1:4" x14ac:dyDescent="0.25">
      <c r="A544" s="5" t="s">
        <v>7</v>
      </c>
      <c r="B544" s="6" t="s">
        <v>5</v>
      </c>
      <c r="C544" s="6" t="s">
        <v>51</v>
      </c>
      <c r="D544" s="7">
        <v>4130036.5</v>
      </c>
    </row>
    <row r="545" spans="1:4" x14ac:dyDescent="0.25">
      <c r="A545" s="2" t="s">
        <v>7</v>
      </c>
      <c r="B545" s="3" t="s">
        <v>5</v>
      </c>
      <c r="C545" s="3" t="s">
        <v>52</v>
      </c>
      <c r="D545" s="4">
        <v>4268085.5</v>
      </c>
    </row>
    <row r="546" spans="1:4" x14ac:dyDescent="0.25">
      <c r="A546" s="5" t="s">
        <v>7</v>
      </c>
      <c r="B546" s="6" t="s">
        <v>5</v>
      </c>
      <c r="C546" s="6" t="s">
        <v>53</v>
      </c>
      <c r="D546" s="7">
        <v>4216706</v>
      </c>
    </row>
    <row r="547" spans="1:4" x14ac:dyDescent="0.25">
      <c r="A547" s="2" t="s">
        <v>7</v>
      </c>
      <c r="B547" s="3" t="s">
        <v>5</v>
      </c>
      <c r="C547" s="3" t="s">
        <v>54</v>
      </c>
      <c r="D547" s="4">
        <v>4070943.5</v>
      </c>
    </row>
    <row r="548" spans="1:4" x14ac:dyDescent="0.25">
      <c r="A548" s="2" t="s">
        <v>7</v>
      </c>
      <c r="B548" s="3" t="s">
        <v>5</v>
      </c>
      <c r="C548" s="3" t="s">
        <v>55</v>
      </c>
      <c r="D548" s="4">
        <v>4875938</v>
      </c>
    </row>
    <row r="549" spans="1:4" x14ac:dyDescent="0.25">
      <c r="A549" s="2" t="s">
        <v>7</v>
      </c>
      <c r="B549" s="3" t="s">
        <v>5</v>
      </c>
      <c r="C549" s="3" t="s">
        <v>56</v>
      </c>
      <c r="D549" s="4">
        <v>4938723</v>
      </c>
    </row>
    <row r="550" spans="1:4" x14ac:dyDescent="0.25">
      <c r="A550" s="2" t="s">
        <v>7</v>
      </c>
      <c r="B550" s="3" t="s">
        <v>5</v>
      </c>
      <c r="C550" s="3" t="s">
        <v>57</v>
      </c>
      <c r="D550" s="4">
        <v>5039290</v>
      </c>
    </row>
    <row r="551" spans="1:4" x14ac:dyDescent="0.25">
      <c r="A551" s="2" t="s">
        <v>7</v>
      </c>
      <c r="B551" s="3" t="s">
        <v>5</v>
      </c>
      <c r="C551" s="3" t="s">
        <v>58</v>
      </c>
      <c r="D551" s="4">
        <v>5205778.5</v>
      </c>
    </row>
    <row r="552" spans="1:4" x14ac:dyDescent="0.25">
      <c r="A552" s="2" t="s">
        <v>7</v>
      </c>
      <c r="B552" s="3" t="s">
        <v>5</v>
      </c>
      <c r="C552" s="3" t="s">
        <v>59</v>
      </c>
      <c r="D552" s="4">
        <v>5168824</v>
      </c>
    </row>
    <row r="553" spans="1:4" x14ac:dyDescent="0.25">
      <c r="A553" s="2" t="s">
        <v>7</v>
      </c>
      <c r="B553" s="3" t="s">
        <v>5</v>
      </c>
      <c r="C553" s="3" t="s">
        <v>60</v>
      </c>
      <c r="D553" s="4">
        <v>5025256.5</v>
      </c>
    </row>
    <row r="554" spans="1:4" x14ac:dyDescent="0.25">
      <c r="A554" s="2" t="s">
        <v>7</v>
      </c>
      <c r="B554" s="3" t="s">
        <v>5</v>
      </c>
      <c r="C554" s="3" t="s">
        <v>61</v>
      </c>
      <c r="D554" s="4">
        <v>4930389</v>
      </c>
    </row>
    <row r="555" spans="1:4" x14ac:dyDescent="0.25">
      <c r="A555" s="2" t="s">
        <v>7</v>
      </c>
      <c r="B555" s="3" t="s">
        <v>5</v>
      </c>
      <c r="C555" s="3" t="s">
        <v>62</v>
      </c>
      <c r="D555" s="4">
        <v>4978098.5</v>
      </c>
    </row>
    <row r="556" spans="1:4" x14ac:dyDescent="0.25">
      <c r="A556" s="2" t="s">
        <v>7</v>
      </c>
      <c r="B556" s="3" t="s">
        <v>5</v>
      </c>
      <c r="C556" s="3" t="s">
        <v>63</v>
      </c>
      <c r="D556" s="4">
        <v>5060197.5</v>
      </c>
    </row>
    <row r="557" spans="1:4" x14ac:dyDescent="0.25">
      <c r="A557" s="2" t="s">
        <v>7</v>
      </c>
      <c r="B557" s="3" t="s">
        <v>5</v>
      </c>
      <c r="C557" s="3" t="s">
        <v>64</v>
      </c>
      <c r="D557" s="4">
        <v>5226194</v>
      </c>
    </row>
    <row r="558" spans="1:4" x14ac:dyDescent="0.25">
      <c r="A558" s="2" t="s">
        <v>7</v>
      </c>
      <c r="B558" s="3" t="s">
        <v>5</v>
      </c>
      <c r="C558" s="3" t="s">
        <v>65</v>
      </c>
      <c r="D558" s="4">
        <v>5164452</v>
      </c>
    </row>
    <row r="559" spans="1:4" x14ac:dyDescent="0.25">
      <c r="A559" s="2" t="s">
        <v>7</v>
      </c>
      <c r="B559" s="3" t="s">
        <v>5</v>
      </c>
      <c r="C559" s="3" t="s">
        <v>66</v>
      </c>
      <c r="D559" s="4">
        <v>4989278</v>
      </c>
    </row>
    <row r="560" spans="1:4" x14ac:dyDescent="0.25">
      <c r="A560" s="5" t="s">
        <v>12</v>
      </c>
      <c r="B560" s="6" t="s">
        <v>5</v>
      </c>
      <c r="C560" s="6" t="s">
        <v>36</v>
      </c>
      <c r="D560" s="7">
        <v>861403.75</v>
      </c>
    </row>
    <row r="561" spans="1:4" x14ac:dyDescent="0.25">
      <c r="A561" s="2" t="s">
        <v>12</v>
      </c>
      <c r="B561" s="3" t="s">
        <v>5</v>
      </c>
      <c r="C561" s="3" t="s">
        <v>37</v>
      </c>
      <c r="D561" s="4">
        <v>844625.8125</v>
      </c>
    </row>
    <row r="562" spans="1:4" x14ac:dyDescent="0.25">
      <c r="A562" s="5" t="s">
        <v>12</v>
      </c>
      <c r="B562" s="6" t="s">
        <v>5</v>
      </c>
      <c r="C562" s="6" t="s">
        <v>38</v>
      </c>
      <c r="D562" s="7">
        <v>853060.1875</v>
      </c>
    </row>
    <row r="563" spans="1:4" x14ac:dyDescent="0.25">
      <c r="A563" s="2" t="s">
        <v>12</v>
      </c>
      <c r="B563" s="3" t="s">
        <v>5</v>
      </c>
      <c r="C563" s="3" t="s">
        <v>39</v>
      </c>
      <c r="D563" s="4">
        <v>867579.0625</v>
      </c>
    </row>
    <row r="564" spans="1:4" x14ac:dyDescent="0.25">
      <c r="A564" s="5" t="s">
        <v>12</v>
      </c>
      <c r="B564" s="6" t="s">
        <v>5</v>
      </c>
      <c r="C564" s="6" t="s">
        <v>40</v>
      </c>
      <c r="D564" s="7">
        <v>896950.1875</v>
      </c>
    </row>
    <row r="565" spans="1:4" x14ac:dyDescent="0.25">
      <c r="A565" s="2" t="s">
        <v>12</v>
      </c>
      <c r="B565" s="3" t="s">
        <v>5</v>
      </c>
      <c r="C565" s="3" t="s">
        <v>41</v>
      </c>
      <c r="D565" s="4">
        <v>886012</v>
      </c>
    </row>
    <row r="566" spans="1:4" x14ac:dyDescent="0.25">
      <c r="A566" s="5" t="s">
        <v>12</v>
      </c>
      <c r="B566" s="6" t="s">
        <v>5</v>
      </c>
      <c r="C566" s="6" t="s">
        <v>42</v>
      </c>
      <c r="D566" s="7">
        <v>854985.5625</v>
      </c>
    </row>
    <row r="567" spans="1:4" x14ac:dyDescent="0.25">
      <c r="A567" s="2" t="s">
        <v>12</v>
      </c>
      <c r="B567" s="3" t="s">
        <v>5</v>
      </c>
      <c r="C567" s="3" t="s">
        <v>43</v>
      </c>
      <c r="D567" s="4">
        <v>797274</v>
      </c>
    </row>
    <row r="568" spans="1:4" x14ac:dyDescent="0.25">
      <c r="A568" s="5" t="s">
        <v>12</v>
      </c>
      <c r="B568" s="6" t="s">
        <v>5</v>
      </c>
      <c r="C568" s="6" t="s">
        <v>44</v>
      </c>
      <c r="D568" s="7">
        <v>807913.5</v>
      </c>
    </row>
    <row r="569" spans="1:4" x14ac:dyDescent="0.25">
      <c r="A569" s="2" t="s">
        <v>12</v>
      </c>
      <c r="B569" s="3" t="s">
        <v>5</v>
      </c>
      <c r="C569" s="3" t="s">
        <v>45</v>
      </c>
      <c r="D569" s="4">
        <v>824954.625</v>
      </c>
    </row>
    <row r="570" spans="1:4" x14ac:dyDescent="0.25">
      <c r="A570" s="5" t="s">
        <v>12</v>
      </c>
      <c r="B570" s="6" t="s">
        <v>5</v>
      </c>
      <c r="C570" s="6" t="s">
        <v>46</v>
      </c>
      <c r="D570" s="7">
        <v>853148.0625</v>
      </c>
    </row>
    <row r="571" spans="1:4" x14ac:dyDescent="0.25">
      <c r="A571" s="2" t="s">
        <v>12</v>
      </c>
      <c r="B571" s="3" t="s">
        <v>5</v>
      </c>
      <c r="C571" s="3" t="s">
        <v>47</v>
      </c>
      <c r="D571" s="4">
        <v>846901.0625</v>
      </c>
    </row>
    <row r="572" spans="1:4" x14ac:dyDescent="0.25">
      <c r="A572" s="5" t="s">
        <v>12</v>
      </c>
      <c r="B572" s="6" t="s">
        <v>5</v>
      </c>
      <c r="C572" s="6" t="s">
        <v>48</v>
      </c>
      <c r="D572" s="7">
        <v>822604</v>
      </c>
    </row>
    <row r="573" spans="1:4" x14ac:dyDescent="0.25">
      <c r="A573" s="2" t="s">
        <v>12</v>
      </c>
      <c r="B573" s="3" t="s">
        <v>5</v>
      </c>
      <c r="C573" s="3" t="s">
        <v>49</v>
      </c>
      <c r="D573" s="4">
        <v>806546.125</v>
      </c>
    </row>
    <row r="574" spans="1:4" x14ac:dyDescent="0.25">
      <c r="A574" s="5" t="s">
        <v>12</v>
      </c>
      <c r="B574" s="6" t="s">
        <v>5</v>
      </c>
      <c r="C574" s="6" t="s">
        <v>50</v>
      </c>
      <c r="D574" s="7">
        <v>814618.5625</v>
      </c>
    </row>
    <row r="575" spans="1:4" x14ac:dyDescent="0.25">
      <c r="A575" s="2" t="s">
        <v>12</v>
      </c>
      <c r="B575" s="3" t="s">
        <v>5</v>
      </c>
      <c r="C575" s="3" t="s">
        <v>51</v>
      </c>
      <c r="D575" s="4">
        <v>828514.25</v>
      </c>
    </row>
    <row r="576" spans="1:4" x14ac:dyDescent="0.25">
      <c r="A576" s="5" t="s">
        <v>12</v>
      </c>
      <c r="B576" s="6" t="s">
        <v>5</v>
      </c>
      <c r="C576" s="6" t="s">
        <v>52</v>
      </c>
      <c r="D576" s="7">
        <v>856624.625</v>
      </c>
    </row>
    <row r="577" spans="1:4" x14ac:dyDescent="0.25">
      <c r="A577" s="2" t="s">
        <v>12</v>
      </c>
      <c r="B577" s="3" t="s">
        <v>5</v>
      </c>
      <c r="C577" s="3" t="s">
        <v>53</v>
      </c>
      <c r="D577" s="4">
        <v>846156.0625</v>
      </c>
    </row>
    <row r="578" spans="1:4" x14ac:dyDescent="0.25">
      <c r="A578" s="5" t="s">
        <v>12</v>
      </c>
      <c r="B578" s="6" t="s">
        <v>5</v>
      </c>
      <c r="C578" s="6" t="s">
        <v>54</v>
      </c>
      <c r="D578" s="7">
        <v>816460.625</v>
      </c>
    </row>
    <row r="579" spans="1:4" x14ac:dyDescent="0.25">
      <c r="A579" s="2" t="s">
        <v>12</v>
      </c>
      <c r="B579" s="3" t="s">
        <v>5</v>
      </c>
      <c r="C579" s="3" t="s">
        <v>55</v>
      </c>
      <c r="D579" s="4">
        <v>987518.875</v>
      </c>
    </row>
    <row r="580" spans="1:4" x14ac:dyDescent="0.25">
      <c r="A580" s="2" t="s">
        <v>12</v>
      </c>
      <c r="B580" s="3" t="s">
        <v>5</v>
      </c>
      <c r="C580" s="3" t="s">
        <v>56</v>
      </c>
      <c r="D580" s="4">
        <v>1000442.625</v>
      </c>
    </row>
    <row r="581" spans="1:4" x14ac:dyDescent="0.25">
      <c r="A581" s="2" t="s">
        <v>12</v>
      </c>
      <c r="B581" s="3" t="s">
        <v>5</v>
      </c>
      <c r="C581" s="3" t="s">
        <v>57</v>
      </c>
      <c r="D581" s="4">
        <v>1021142.375</v>
      </c>
    </row>
    <row r="582" spans="1:4" x14ac:dyDescent="0.25">
      <c r="A582" s="2" t="s">
        <v>12</v>
      </c>
      <c r="B582" s="3" t="s">
        <v>5</v>
      </c>
      <c r="C582" s="3" t="s">
        <v>58</v>
      </c>
      <c r="D582" s="4">
        <v>1055387.875</v>
      </c>
    </row>
    <row r="583" spans="1:4" x14ac:dyDescent="0.25">
      <c r="A583" s="2" t="s">
        <v>12</v>
      </c>
      <c r="B583" s="3" t="s">
        <v>5</v>
      </c>
      <c r="C583" s="3" t="s">
        <v>59</v>
      </c>
      <c r="D583" s="4">
        <v>1047800.4375</v>
      </c>
    </row>
    <row r="584" spans="1:4" x14ac:dyDescent="0.25">
      <c r="A584" s="2" t="s">
        <v>12</v>
      </c>
      <c r="B584" s="3" t="s">
        <v>5</v>
      </c>
      <c r="C584" s="3" t="s">
        <v>60</v>
      </c>
      <c r="D584" s="4">
        <v>1018288.5</v>
      </c>
    </row>
    <row r="585" spans="1:4" x14ac:dyDescent="0.25">
      <c r="A585" s="2" t="s">
        <v>12</v>
      </c>
      <c r="B585" s="3" t="s">
        <v>5</v>
      </c>
      <c r="C585" s="3" t="s">
        <v>61</v>
      </c>
      <c r="D585" s="4">
        <v>998784</v>
      </c>
    </row>
    <row r="586" spans="1:4" x14ac:dyDescent="0.25">
      <c r="A586" s="2" t="s">
        <v>12</v>
      </c>
      <c r="B586" s="3" t="s">
        <v>5</v>
      </c>
      <c r="C586" s="3" t="s">
        <v>62</v>
      </c>
      <c r="D586" s="4">
        <v>1008588.9375</v>
      </c>
    </row>
    <row r="587" spans="1:4" x14ac:dyDescent="0.25">
      <c r="A587" s="2" t="s">
        <v>12</v>
      </c>
      <c r="B587" s="3" t="s">
        <v>5</v>
      </c>
      <c r="C587" s="3" t="s">
        <v>63</v>
      </c>
      <c r="D587" s="4">
        <v>1025467.125</v>
      </c>
    </row>
    <row r="588" spans="1:4" x14ac:dyDescent="0.25">
      <c r="A588" s="2" t="s">
        <v>12</v>
      </c>
      <c r="B588" s="3" t="s">
        <v>5</v>
      </c>
      <c r="C588" s="3" t="s">
        <v>64</v>
      </c>
      <c r="D588" s="4">
        <v>1059611.875</v>
      </c>
    </row>
    <row r="589" spans="1:4" x14ac:dyDescent="0.25">
      <c r="A589" s="2" t="s">
        <v>12</v>
      </c>
      <c r="B589" s="3" t="s">
        <v>5</v>
      </c>
      <c r="C589" s="3" t="s">
        <v>65</v>
      </c>
      <c r="D589" s="4">
        <v>1046895.375</v>
      </c>
    </row>
    <row r="590" spans="1:4" x14ac:dyDescent="0.25">
      <c r="A590" s="2" t="s">
        <v>12</v>
      </c>
      <c r="B590" s="3" t="s">
        <v>5</v>
      </c>
      <c r="C590" s="3" t="s">
        <v>66</v>
      </c>
      <c r="D590" s="4">
        <v>1010833.6875</v>
      </c>
    </row>
    <row r="591" spans="1:4" x14ac:dyDescent="0.25">
      <c r="A591" s="2" t="s">
        <v>34</v>
      </c>
      <c r="B591" s="3" t="s">
        <v>5</v>
      </c>
      <c r="C591" s="3" t="s">
        <v>36</v>
      </c>
      <c r="D591" s="4">
        <v>2002781.875</v>
      </c>
    </row>
    <row r="592" spans="1:4" x14ac:dyDescent="0.25">
      <c r="A592" s="5" t="s">
        <v>34</v>
      </c>
      <c r="B592" s="6" t="s">
        <v>5</v>
      </c>
      <c r="C592" s="6" t="s">
        <v>37</v>
      </c>
      <c r="D592" s="7">
        <v>1971930.625</v>
      </c>
    </row>
    <row r="593" spans="1:4" x14ac:dyDescent="0.25">
      <c r="A593" s="2" t="s">
        <v>34</v>
      </c>
      <c r="B593" s="3" t="s">
        <v>5</v>
      </c>
      <c r="C593" s="3" t="s">
        <v>38</v>
      </c>
      <c r="D593" s="4">
        <v>1987449.875</v>
      </c>
    </row>
    <row r="594" spans="1:4" x14ac:dyDescent="0.25">
      <c r="A594" s="5" t="s">
        <v>34</v>
      </c>
      <c r="B594" s="6" t="s">
        <v>5</v>
      </c>
      <c r="C594" s="6" t="s">
        <v>39</v>
      </c>
      <c r="D594" s="7">
        <v>2014150.625</v>
      </c>
    </row>
    <row r="595" spans="1:4" x14ac:dyDescent="0.25">
      <c r="A595" s="2" t="s">
        <v>34</v>
      </c>
      <c r="B595" s="3" t="s">
        <v>5</v>
      </c>
      <c r="C595" s="3" t="s">
        <v>40</v>
      </c>
      <c r="D595" s="4">
        <v>2068115.25</v>
      </c>
    </row>
    <row r="596" spans="1:4" x14ac:dyDescent="0.25">
      <c r="A596" s="5" t="s">
        <v>34</v>
      </c>
      <c r="B596" s="6" t="s">
        <v>5</v>
      </c>
      <c r="C596" s="6" t="s">
        <v>41</v>
      </c>
      <c r="D596" s="7">
        <v>2048059.875</v>
      </c>
    </row>
    <row r="597" spans="1:4" x14ac:dyDescent="0.25">
      <c r="A597" s="2" t="s">
        <v>34</v>
      </c>
      <c r="B597" s="3" t="s">
        <v>5</v>
      </c>
      <c r="C597" s="3" t="s">
        <v>42</v>
      </c>
      <c r="D597" s="4">
        <v>1991311.125</v>
      </c>
    </row>
    <row r="598" spans="1:4" x14ac:dyDescent="0.25">
      <c r="A598" s="5" t="s">
        <v>34</v>
      </c>
      <c r="B598" s="6" t="s">
        <v>5</v>
      </c>
      <c r="C598" s="6" t="s">
        <v>43</v>
      </c>
      <c r="D598" s="7">
        <v>1941048.625</v>
      </c>
    </row>
    <row r="599" spans="1:4" x14ac:dyDescent="0.25">
      <c r="A599" s="2" t="s">
        <v>34</v>
      </c>
      <c r="B599" s="3" t="s">
        <v>5</v>
      </c>
      <c r="C599" s="3" t="s">
        <v>44</v>
      </c>
      <c r="D599" s="4">
        <v>1960573.125</v>
      </c>
    </row>
    <row r="600" spans="1:4" x14ac:dyDescent="0.25">
      <c r="A600" s="5" t="s">
        <v>34</v>
      </c>
      <c r="B600" s="6" t="s">
        <v>5</v>
      </c>
      <c r="C600" s="6" t="s">
        <v>45</v>
      </c>
      <c r="D600" s="7">
        <v>1991850.5</v>
      </c>
    </row>
    <row r="601" spans="1:4" x14ac:dyDescent="0.25">
      <c r="A601" s="2" t="s">
        <v>34</v>
      </c>
      <c r="B601" s="3" t="s">
        <v>5</v>
      </c>
      <c r="C601" s="3" t="s">
        <v>46</v>
      </c>
      <c r="D601" s="4">
        <v>2043649.875</v>
      </c>
    </row>
    <row r="602" spans="1:4" x14ac:dyDescent="0.25">
      <c r="A602" s="5" t="s">
        <v>34</v>
      </c>
      <c r="B602" s="6" t="s">
        <v>5</v>
      </c>
      <c r="C602" s="6" t="s">
        <v>47</v>
      </c>
      <c r="D602" s="7">
        <v>2032136.875</v>
      </c>
    </row>
    <row r="603" spans="1:4" x14ac:dyDescent="0.25">
      <c r="A603" s="2" t="s">
        <v>34</v>
      </c>
      <c r="B603" s="3" t="s">
        <v>5</v>
      </c>
      <c r="C603" s="3" t="s">
        <v>48</v>
      </c>
      <c r="D603" s="4">
        <v>1987448.625</v>
      </c>
    </row>
    <row r="604" spans="1:4" x14ac:dyDescent="0.25">
      <c r="A604" s="5" t="s">
        <v>34</v>
      </c>
      <c r="B604" s="6" t="s">
        <v>5</v>
      </c>
      <c r="C604" s="6" t="s">
        <v>49</v>
      </c>
      <c r="D604" s="7">
        <v>1957922.375</v>
      </c>
    </row>
    <row r="605" spans="1:4" x14ac:dyDescent="0.25">
      <c r="A605" s="2" t="s">
        <v>34</v>
      </c>
      <c r="B605" s="3" t="s">
        <v>5</v>
      </c>
      <c r="C605" s="3" t="s">
        <v>50</v>
      </c>
      <c r="D605" s="4">
        <v>1972775.125</v>
      </c>
    </row>
    <row r="606" spans="1:4" x14ac:dyDescent="0.25">
      <c r="A606" s="5" t="s">
        <v>34</v>
      </c>
      <c r="B606" s="6" t="s">
        <v>5</v>
      </c>
      <c r="C606" s="6" t="s">
        <v>51</v>
      </c>
      <c r="D606" s="7">
        <v>1998329.125</v>
      </c>
    </row>
    <row r="607" spans="1:4" x14ac:dyDescent="0.25">
      <c r="A607" s="2" t="s">
        <v>34</v>
      </c>
      <c r="B607" s="3" t="s">
        <v>5</v>
      </c>
      <c r="C607" s="3" t="s">
        <v>52</v>
      </c>
      <c r="D607" s="4">
        <v>2049976</v>
      </c>
    </row>
    <row r="608" spans="1:4" x14ac:dyDescent="0.25">
      <c r="A608" s="5" t="s">
        <v>34</v>
      </c>
      <c r="B608" s="6" t="s">
        <v>5</v>
      </c>
      <c r="C608" s="6" t="s">
        <v>53</v>
      </c>
      <c r="D608" s="7">
        <v>2030782.125</v>
      </c>
    </row>
    <row r="609" spans="1:4" x14ac:dyDescent="0.25">
      <c r="A609" s="2" t="s">
        <v>34</v>
      </c>
      <c r="B609" s="3" t="s">
        <v>5</v>
      </c>
      <c r="C609" s="3" t="s">
        <v>54</v>
      </c>
      <c r="D609" s="4">
        <v>1976504.5</v>
      </c>
    </row>
    <row r="610" spans="1:4" x14ac:dyDescent="0.25">
      <c r="A610" s="5" t="s">
        <v>34</v>
      </c>
      <c r="B610" s="6" t="s">
        <v>5</v>
      </c>
      <c r="C610" s="6" t="s">
        <v>55</v>
      </c>
      <c r="D610" s="7">
        <v>2397256</v>
      </c>
    </row>
    <row r="611" spans="1:4" x14ac:dyDescent="0.25">
      <c r="A611" s="5" t="s">
        <v>34</v>
      </c>
      <c r="B611" s="6" t="s">
        <v>5</v>
      </c>
      <c r="C611" s="6" t="s">
        <v>56</v>
      </c>
      <c r="D611" s="7">
        <v>2420686.75</v>
      </c>
    </row>
    <row r="612" spans="1:4" x14ac:dyDescent="0.25">
      <c r="A612" s="5" t="s">
        <v>34</v>
      </c>
      <c r="B612" s="6" t="s">
        <v>5</v>
      </c>
      <c r="C612" s="6" t="s">
        <v>57</v>
      </c>
      <c r="D612" s="7">
        <v>2458221.5</v>
      </c>
    </row>
    <row r="613" spans="1:4" x14ac:dyDescent="0.25">
      <c r="A613" s="5" t="s">
        <v>34</v>
      </c>
      <c r="B613" s="6" t="s">
        <v>5</v>
      </c>
      <c r="C613" s="6" t="s">
        <v>58</v>
      </c>
      <c r="D613" s="7">
        <v>2520383.25</v>
      </c>
    </row>
    <row r="614" spans="1:4" x14ac:dyDescent="0.25">
      <c r="A614" s="5" t="s">
        <v>34</v>
      </c>
      <c r="B614" s="6" t="s">
        <v>5</v>
      </c>
      <c r="C614" s="6" t="s">
        <v>59</v>
      </c>
      <c r="D614" s="7">
        <v>2506568</v>
      </c>
    </row>
    <row r="615" spans="1:4" x14ac:dyDescent="0.25">
      <c r="A615" s="5" t="s">
        <v>34</v>
      </c>
      <c r="B615" s="6" t="s">
        <v>5</v>
      </c>
      <c r="C615" s="6" t="s">
        <v>60</v>
      </c>
      <c r="D615" s="7">
        <v>2452940.75</v>
      </c>
    </row>
    <row r="616" spans="1:4" x14ac:dyDescent="0.25">
      <c r="A616" s="5" t="s">
        <v>34</v>
      </c>
      <c r="B616" s="6" t="s">
        <v>5</v>
      </c>
      <c r="C616" s="6" t="s">
        <v>61</v>
      </c>
      <c r="D616" s="7">
        <v>2417508.25</v>
      </c>
    </row>
    <row r="617" spans="1:4" x14ac:dyDescent="0.25">
      <c r="A617" s="5" t="s">
        <v>34</v>
      </c>
      <c r="B617" s="6" t="s">
        <v>5</v>
      </c>
      <c r="C617" s="6" t="s">
        <v>62</v>
      </c>
      <c r="D617" s="6">
        <v>2435332</v>
      </c>
    </row>
    <row r="618" spans="1:4" x14ac:dyDescent="0.25">
      <c r="A618" s="5" t="s">
        <v>34</v>
      </c>
      <c r="B618" s="6" t="s">
        <v>5</v>
      </c>
      <c r="C618" s="6" t="s">
        <v>63</v>
      </c>
      <c r="D618" s="6">
        <v>2465997.5</v>
      </c>
    </row>
    <row r="619" spans="1:4" x14ac:dyDescent="0.25">
      <c r="A619" s="5" t="s">
        <v>34</v>
      </c>
      <c r="B619" s="6" t="s">
        <v>5</v>
      </c>
      <c r="C619" s="6" t="s">
        <v>64</v>
      </c>
      <c r="D619" s="6">
        <v>2527976</v>
      </c>
    </row>
    <row r="620" spans="1:4" x14ac:dyDescent="0.25">
      <c r="A620" s="5" t="s">
        <v>34</v>
      </c>
      <c r="B620" s="6" t="s">
        <v>5</v>
      </c>
      <c r="C620" s="6" t="s">
        <v>65</v>
      </c>
      <c r="D620" s="6">
        <v>2504941.5</v>
      </c>
    </row>
    <row r="621" spans="1:4" x14ac:dyDescent="0.25">
      <c r="A621" s="5" t="s">
        <v>34</v>
      </c>
      <c r="B621" s="6" t="s">
        <v>5</v>
      </c>
      <c r="C621" s="6" t="s">
        <v>66</v>
      </c>
      <c r="D621" s="6">
        <v>2439837.75</v>
      </c>
    </row>
    <row r="622" spans="1:4" x14ac:dyDescent="0.25">
      <c r="A622" s="5" t="s">
        <v>14</v>
      </c>
      <c r="B622" s="6" t="s">
        <v>5</v>
      </c>
      <c r="C622" s="6" t="s">
        <v>36</v>
      </c>
      <c r="D622" s="6">
        <v>3713548.75</v>
      </c>
    </row>
    <row r="623" spans="1:4" x14ac:dyDescent="0.25">
      <c r="A623" s="2" t="s">
        <v>14</v>
      </c>
      <c r="B623" s="3" t="s">
        <v>5</v>
      </c>
      <c r="C623" s="3" t="s">
        <v>37</v>
      </c>
      <c r="D623" s="3">
        <v>3642443.25</v>
      </c>
    </row>
    <row r="624" spans="1:4" x14ac:dyDescent="0.25">
      <c r="A624" s="5" t="s">
        <v>14</v>
      </c>
      <c r="B624" s="6" t="s">
        <v>5</v>
      </c>
      <c r="C624" s="6" t="s">
        <v>38</v>
      </c>
      <c r="D624" s="6">
        <v>3678823.5</v>
      </c>
    </row>
    <row r="625" spans="1:4" x14ac:dyDescent="0.25">
      <c r="A625" s="2" t="s">
        <v>14</v>
      </c>
      <c r="B625" s="3" t="s">
        <v>5</v>
      </c>
      <c r="C625" s="3" t="s">
        <v>39</v>
      </c>
      <c r="D625" s="3">
        <v>3740415.5</v>
      </c>
    </row>
    <row r="626" spans="1:4" x14ac:dyDescent="0.25">
      <c r="A626" s="5" t="s">
        <v>14</v>
      </c>
      <c r="B626" s="6" t="s">
        <v>5</v>
      </c>
      <c r="C626" s="6" t="s">
        <v>40</v>
      </c>
      <c r="D626" s="6">
        <v>3868137</v>
      </c>
    </row>
    <row r="627" spans="1:4" x14ac:dyDescent="0.25">
      <c r="A627" s="2" t="s">
        <v>14</v>
      </c>
      <c r="B627" s="3" t="s">
        <v>5</v>
      </c>
      <c r="C627" s="3" t="s">
        <v>41</v>
      </c>
      <c r="D627" s="3">
        <v>3819316.5</v>
      </c>
    </row>
    <row r="628" spans="1:4" x14ac:dyDescent="0.25">
      <c r="A628" s="5" t="s">
        <v>14</v>
      </c>
      <c r="B628" s="6" t="s">
        <v>5</v>
      </c>
      <c r="C628" s="6" t="s">
        <v>42</v>
      </c>
      <c r="D628" s="6">
        <v>3685672.25</v>
      </c>
    </row>
    <row r="629" spans="1:4" x14ac:dyDescent="0.25">
      <c r="A629" s="2" t="s">
        <v>14</v>
      </c>
      <c r="B629" s="3" t="s">
        <v>5</v>
      </c>
      <c r="C629" s="3" t="s">
        <v>43</v>
      </c>
      <c r="D629" s="3">
        <v>3376229.75</v>
      </c>
    </row>
    <row r="630" spans="1:4" x14ac:dyDescent="0.25">
      <c r="A630" s="5" t="s">
        <v>14</v>
      </c>
      <c r="B630" s="6" t="s">
        <v>5</v>
      </c>
      <c r="C630" s="6" t="s">
        <v>44</v>
      </c>
      <c r="D630" s="6">
        <v>3419468.5</v>
      </c>
    </row>
    <row r="631" spans="1:4" x14ac:dyDescent="0.25">
      <c r="A631" s="2" t="s">
        <v>14</v>
      </c>
      <c r="B631" s="3" t="s">
        <v>5</v>
      </c>
      <c r="C631" s="3" t="s">
        <v>45</v>
      </c>
      <c r="D631" s="3">
        <v>3496519.25</v>
      </c>
    </row>
    <row r="632" spans="1:4" x14ac:dyDescent="0.25">
      <c r="A632" s="5" t="s">
        <v>14</v>
      </c>
      <c r="B632" s="6" t="s">
        <v>5</v>
      </c>
      <c r="C632" s="6" t="s">
        <v>46</v>
      </c>
      <c r="D632" s="6">
        <v>3618645.25</v>
      </c>
    </row>
    <row r="633" spans="1:4" x14ac:dyDescent="0.25">
      <c r="A633" s="2" t="s">
        <v>14</v>
      </c>
      <c r="B633" s="3" t="s">
        <v>5</v>
      </c>
      <c r="C633" s="3" t="s">
        <v>47</v>
      </c>
      <c r="D633" s="3">
        <v>3591970</v>
      </c>
    </row>
    <row r="634" spans="1:4" x14ac:dyDescent="0.25">
      <c r="A634" s="5" t="s">
        <v>14</v>
      </c>
      <c r="B634" s="6" t="s">
        <v>5</v>
      </c>
      <c r="C634" s="6" t="s">
        <v>48</v>
      </c>
      <c r="D634" s="6">
        <v>3486406.25</v>
      </c>
    </row>
    <row r="635" spans="1:4" x14ac:dyDescent="0.25">
      <c r="A635" s="2" t="s">
        <v>14</v>
      </c>
      <c r="B635" s="3" t="s">
        <v>5</v>
      </c>
      <c r="C635" s="3" t="s">
        <v>49</v>
      </c>
      <c r="D635" s="3">
        <v>3419001.75</v>
      </c>
    </row>
    <row r="636" spans="1:4" x14ac:dyDescent="0.25">
      <c r="A636" s="5" t="s">
        <v>14</v>
      </c>
      <c r="B636" s="6" t="s">
        <v>5</v>
      </c>
      <c r="C636" s="6" t="s">
        <v>50</v>
      </c>
      <c r="D636" s="6">
        <v>3454230.25</v>
      </c>
    </row>
    <row r="637" spans="1:4" x14ac:dyDescent="0.25">
      <c r="A637" s="2" t="s">
        <v>14</v>
      </c>
      <c r="B637" s="3" t="s">
        <v>5</v>
      </c>
      <c r="C637" s="3" t="s">
        <v>51</v>
      </c>
      <c r="D637" s="3">
        <v>3512228.75</v>
      </c>
    </row>
    <row r="638" spans="1:4" x14ac:dyDescent="0.25">
      <c r="A638" s="5" t="s">
        <v>14</v>
      </c>
      <c r="B638" s="6" t="s">
        <v>5</v>
      </c>
      <c r="C638" s="6" t="s">
        <v>52</v>
      </c>
      <c r="D638" s="6">
        <v>3633883.5</v>
      </c>
    </row>
    <row r="639" spans="1:4" x14ac:dyDescent="0.25">
      <c r="A639" s="2" t="s">
        <v>14</v>
      </c>
      <c r="B639" s="3" t="s">
        <v>5</v>
      </c>
      <c r="C639" s="3" t="s">
        <v>53</v>
      </c>
      <c r="D639" s="3">
        <v>3587613.75</v>
      </c>
    </row>
    <row r="640" spans="1:4" x14ac:dyDescent="0.25">
      <c r="A640" s="5" t="s">
        <v>14</v>
      </c>
      <c r="B640" s="6" t="s">
        <v>5</v>
      </c>
      <c r="C640" s="6" t="s">
        <v>54</v>
      </c>
      <c r="D640" s="6">
        <v>3460107.25</v>
      </c>
    </row>
    <row r="641" spans="1:4" x14ac:dyDescent="0.25">
      <c r="A641" s="2" t="s">
        <v>14</v>
      </c>
      <c r="B641" s="3" t="s">
        <v>5</v>
      </c>
      <c r="C641" s="3" t="s">
        <v>55</v>
      </c>
      <c r="D641" s="3">
        <v>4175964</v>
      </c>
    </row>
    <row r="642" spans="1:4" x14ac:dyDescent="0.25">
      <c r="A642" s="2" t="s">
        <v>14</v>
      </c>
      <c r="B642" s="3" t="s">
        <v>5</v>
      </c>
      <c r="C642" s="3" t="s">
        <v>56</v>
      </c>
      <c r="D642" s="3">
        <v>4229818</v>
      </c>
    </row>
    <row r="643" spans="1:4" x14ac:dyDescent="0.25">
      <c r="A643" s="2" t="s">
        <v>14</v>
      </c>
      <c r="B643" s="3" t="s">
        <v>5</v>
      </c>
      <c r="C643" s="3" t="s">
        <v>57</v>
      </c>
      <c r="D643" s="3">
        <v>4321400</v>
      </c>
    </row>
    <row r="644" spans="1:4" x14ac:dyDescent="0.25">
      <c r="A644" s="2" t="s">
        <v>14</v>
      </c>
      <c r="B644" s="3" t="s">
        <v>5</v>
      </c>
      <c r="C644" s="3" t="s">
        <v>58</v>
      </c>
      <c r="D644" s="3">
        <v>4467771</v>
      </c>
    </row>
    <row r="645" spans="1:4" x14ac:dyDescent="0.25">
      <c r="A645" s="2" t="s">
        <v>14</v>
      </c>
      <c r="B645" s="3" t="s">
        <v>5</v>
      </c>
      <c r="C645" s="3" t="s">
        <v>59</v>
      </c>
      <c r="D645" s="3">
        <v>4436370</v>
      </c>
    </row>
    <row r="646" spans="1:4" x14ac:dyDescent="0.25">
      <c r="A646" s="2" t="s">
        <v>14</v>
      </c>
      <c r="B646" s="3" t="s">
        <v>5</v>
      </c>
      <c r="C646" s="3" t="s">
        <v>60</v>
      </c>
      <c r="D646" s="3">
        <v>4308680</v>
      </c>
    </row>
    <row r="647" spans="1:4" x14ac:dyDescent="0.25">
      <c r="A647" s="2" t="s">
        <v>14</v>
      </c>
      <c r="B647" s="3" t="s">
        <v>5</v>
      </c>
      <c r="C647" s="3" t="s">
        <v>61</v>
      </c>
      <c r="D647" s="3">
        <v>4226568</v>
      </c>
    </row>
    <row r="648" spans="1:4" x14ac:dyDescent="0.25">
      <c r="A648" s="2" t="s">
        <v>14</v>
      </c>
      <c r="B648" s="3" t="s">
        <v>5</v>
      </c>
      <c r="C648" s="3" t="s">
        <v>62</v>
      </c>
      <c r="D648" s="3">
        <v>4268707</v>
      </c>
    </row>
    <row r="649" spans="1:4" x14ac:dyDescent="0.25">
      <c r="A649" s="2" t="s">
        <v>14</v>
      </c>
      <c r="B649" s="3" t="s">
        <v>5</v>
      </c>
      <c r="C649" s="3" t="s">
        <v>63</v>
      </c>
      <c r="D649" s="3">
        <v>4339863</v>
      </c>
    </row>
    <row r="650" spans="1:4" x14ac:dyDescent="0.25">
      <c r="A650" s="2" t="s">
        <v>14</v>
      </c>
      <c r="B650" s="3" t="s">
        <v>5</v>
      </c>
      <c r="C650" s="3" t="s">
        <v>64</v>
      </c>
      <c r="D650" s="3">
        <v>4486307.5</v>
      </c>
    </row>
    <row r="651" spans="1:4" x14ac:dyDescent="0.25">
      <c r="A651" s="2" t="s">
        <v>14</v>
      </c>
      <c r="B651" s="3" t="s">
        <v>5</v>
      </c>
      <c r="C651" s="3" t="s">
        <v>65</v>
      </c>
      <c r="D651" s="3">
        <v>4430317.5</v>
      </c>
    </row>
    <row r="652" spans="1:4" x14ac:dyDescent="0.25">
      <c r="A652" s="2" t="s">
        <v>14</v>
      </c>
      <c r="B652" s="3" t="s">
        <v>5</v>
      </c>
      <c r="C652" s="3" t="s">
        <v>66</v>
      </c>
      <c r="D652" s="3">
        <v>4275391</v>
      </c>
    </row>
    <row r="653" spans="1:4" x14ac:dyDescent="0.25">
      <c r="A653" s="2" t="s">
        <v>15</v>
      </c>
      <c r="B653" s="3" t="s">
        <v>5</v>
      </c>
      <c r="C653" s="3" t="s">
        <v>36</v>
      </c>
      <c r="D653" s="3">
        <v>1847067.875</v>
      </c>
    </row>
    <row r="654" spans="1:4" x14ac:dyDescent="0.25">
      <c r="A654" s="5" t="s">
        <v>15</v>
      </c>
      <c r="B654" s="6" t="s">
        <v>5</v>
      </c>
      <c r="C654" s="6" t="s">
        <v>37</v>
      </c>
      <c r="D654" s="6">
        <v>1811180.125</v>
      </c>
    </row>
    <row r="655" spans="1:4" x14ac:dyDescent="0.25">
      <c r="A655" s="2" t="s">
        <v>15</v>
      </c>
      <c r="B655" s="3" t="s">
        <v>5</v>
      </c>
      <c r="C655" s="3" t="s">
        <v>38</v>
      </c>
      <c r="D655" s="3">
        <v>1829226.5</v>
      </c>
    </row>
    <row r="656" spans="1:4" x14ac:dyDescent="0.25">
      <c r="A656" s="5" t="s">
        <v>15</v>
      </c>
      <c r="B656" s="6" t="s">
        <v>5</v>
      </c>
      <c r="C656" s="6" t="s">
        <v>39</v>
      </c>
      <c r="D656" s="6">
        <v>1860284</v>
      </c>
    </row>
    <row r="657" spans="1:4" x14ac:dyDescent="0.25">
      <c r="A657" s="2" t="s">
        <v>15</v>
      </c>
      <c r="B657" s="3" t="s">
        <v>5</v>
      </c>
      <c r="C657" s="3" t="s">
        <v>40</v>
      </c>
      <c r="D657" s="3">
        <v>1923085.375</v>
      </c>
    </row>
    <row r="658" spans="1:4" x14ac:dyDescent="0.25">
      <c r="A658" s="5" t="s">
        <v>15</v>
      </c>
      <c r="B658" s="6" t="s">
        <v>5</v>
      </c>
      <c r="C658" s="6" t="s">
        <v>41</v>
      </c>
      <c r="D658" s="6">
        <v>1899719.625</v>
      </c>
    </row>
    <row r="659" spans="1:4" x14ac:dyDescent="0.25">
      <c r="A659" s="2" t="s">
        <v>15</v>
      </c>
      <c r="B659" s="3" t="s">
        <v>5</v>
      </c>
      <c r="C659" s="3" t="s">
        <v>42</v>
      </c>
      <c r="D659" s="3">
        <v>1833410.875</v>
      </c>
    </row>
    <row r="660" spans="1:4" x14ac:dyDescent="0.25">
      <c r="A660" s="5" t="s">
        <v>15</v>
      </c>
      <c r="B660" s="6" t="s">
        <v>5</v>
      </c>
      <c r="C660" s="6" t="s">
        <v>43</v>
      </c>
      <c r="D660" s="6">
        <v>1672230.625</v>
      </c>
    </row>
    <row r="661" spans="1:4" x14ac:dyDescent="0.25">
      <c r="A661" s="2" t="s">
        <v>15</v>
      </c>
      <c r="B661" s="3" t="s">
        <v>5</v>
      </c>
      <c r="C661" s="3" t="s">
        <v>44</v>
      </c>
      <c r="D661" s="3">
        <v>1694964.625</v>
      </c>
    </row>
    <row r="662" spans="1:4" x14ac:dyDescent="0.25">
      <c r="A662" s="5" t="s">
        <v>15</v>
      </c>
      <c r="B662" s="6" t="s">
        <v>5</v>
      </c>
      <c r="C662" s="6" t="s">
        <v>45</v>
      </c>
      <c r="D662" s="6">
        <v>1731380.25</v>
      </c>
    </row>
    <row r="663" spans="1:4" x14ac:dyDescent="0.25">
      <c r="A663" s="2" t="s">
        <v>15</v>
      </c>
      <c r="B663" s="3" t="s">
        <v>5</v>
      </c>
      <c r="C663" s="3" t="s">
        <v>46</v>
      </c>
      <c r="D663" s="3">
        <v>1791655.75</v>
      </c>
    </row>
    <row r="664" spans="1:4" x14ac:dyDescent="0.25">
      <c r="A664" s="5" t="s">
        <v>15</v>
      </c>
      <c r="B664" s="6" t="s">
        <v>5</v>
      </c>
      <c r="C664" s="6" t="s">
        <v>47</v>
      </c>
      <c r="D664" s="6">
        <v>1778281.25</v>
      </c>
    </row>
    <row r="665" spans="1:4" x14ac:dyDescent="0.25">
      <c r="A665" s="2" t="s">
        <v>15</v>
      </c>
      <c r="B665" s="3" t="s">
        <v>5</v>
      </c>
      <c r="C665" s="3" t="s">
        <v>48</v>
      </c>
      <c r="D665" s="3">
        <v>1726310.5</v>
      </c>
    </row>
    <row r="666" spans="1:4" x14ac:dyDescent="0.25">
      <c r="A666" s="5" t="s">
        <v>15</v>
      </c>
      <c r="B666" s="6" t="s">
        <v>5</v>
      </c>
      <c r="C666" s="6" t="s">
        <v>49</v>
      </c>
      <c r="D666" s="6">
        <v>1691967.5</v>
      </c>
    </row>
    <row r="667" spans="1:4" x14ac:dyDescent="0.25">
      <c r="A667" s="2" t="s">
        <v>15</v>
      </c>
      <c r="B667" s="3" t="s">
        <v>5</v>
      </c>
      <c r="C667" s="3" t="s">
        <v>50</v>
      </c>
      <c r="D667" s="3">
        <v>1709237.125</v>
      </c>
    </row>
    <row r="668" spans="1:4" x14ac:dyDescent="0.25">
      <c r="A668" s="5" t="s">
        <v>15</v>
      </c>
      <c r="B668" s="6" t="s">
        <v>5</v>
      </c>
      <c r="C668" s="6" t="s">
        <v>51</v>
      </c>
      <c r="D668" s="6">
        <v>1738957.75</v>
      </c>
    </row>
    <row r="669" spans="1:4" x14ac:dyDescent="0.25">
      <c r="A669" s="2" t="s">
        <v>15</v>
      </c>
      <c r="B669" s="3" t="s">
        <v>5</v>
      </c>
      <c r="C669" s="3" t="s">
        <v>52</v>
      </c>
      <c r="D669" s="3">
        <v>1799055.75</v>
      </c>
    </row>
    <row r="670" spans="1:4" x14ac:dyDescent="0.25">
      <c r="A670" s="5" t="s">
        <v>15</v>
      </c>
      <c r="B670" s="6" t="s">
        <v>5</v>
      </c>
      <c r="C670" s="6" t="s">
        <v>53</v>
      </c>
      <c r="D670" s="6">
        <v>1776695.875</v>
      </c>
    </row>
    <row r="671" spans="1:4" x14ac:dyDescent="0.25">
      <c r="A671" s="2" t="s">
        <v>15</v>
      </c>
      <c r="B671" s="3" t="s">
        <v>5</v>
      </c>
      <c r="C671" s="3" t="s">
        <v>54</v>
      </c>
      <c r="D671" s="3">
        <v>1713221.875</v>
      </c>
    </row>
    <row r="672" spans="1:4" x14ac:dyDescent="0.25">
      <c r="A672" s="5" t="s">
        <v>15</v>
      </c>
      <c r="B672" s="6" t="s">
        <v>5</v>
      </c>
      <c r="C672" s="6" t="s">
        <v>55</v>
      </c>
      <c r="D672" s="6">
        <v>2062390.75</v>
      </c>
    </row>
    <row r="673" spans="1:4" x14ac:dyDescent="0.25">
      <c r="A673" s="5" t="s">
        <v>15</v>
      </c>
      <c r="B673" s="6" t="s">
        <v>5</v>
      </c>
      <c r="C673" s="6" t="s">
        <v>56</v>
      </c>
      <c r="D673" s="6">
        <v>2089754.25</v>
      </c>
    </row>
    <row r="674" spans="1:4" x14ac:dyDescent="0.25">
      <c r="A674" s="5" t="s">
        <v>15</v>
      </c>
      <c r="B674" s="6" t="s">
        <v>5</v>
      </c>
      <c r="C674" s="6" t="s">
        <v>57</v>
      </c>
      <c r="D674" s="6">
        <v>2133585.25</v>
      </c>
    </row>
    <row r="675" spans="1:4" x14ac:dyDescent="0.25">
      <c r="A675" s="5" t="s">
        <v>15</v>
      </c>
      <c r="B675" s="6" t="s">
        <v>5</v>
      </c>
      <c r="C675" s="6" t="s">
        <v>58</v>
      </c>
      <c r="D675" s="6">
        <v>2206134.25</v>
      </c>
    </row>
    <row r="676" spans="1:4" x14ac:dyDescent="0.25">
      <c r="A676" s="5" t="s">
        <v>15</v>
      </c>
      <c r="B676" s="6" t="s">
        <v>5</v>
      </c>
      <c r="C676" s="6" t="s">
        <v>59</v>
      </c>
      <c r="D676" s="6">
        <v>2190036.75</v>
      </c>
    </row>
    <row r="677" spans="1:4" x14ac:dyDescent="0.25">
      <c r="A677" s="5" t="s">
        <v>15</v>
      </c>
      <c r="B677" s="6" t="s">
        <v>5</v>
      </c>
      <c r="C677" s="6" t="s">
        <v>60</v>
      </c>
      <c r="D677" s="6">
        <v>2127484</v>
      </c>
    </row>
    <row r="678" spans="1:4" x14ac:dyDescent="0.25">
      <c r="A678" s="5" t="s">
        <v>15</v>
      </c>
      <c r="B678" s="6" t="s">
        <v>5</v>
      </c>
      <c r="C678" s="6" t="s">
        <v>61</v>
      </c>
      <c r="D678" s="6">
        <v>2086148.5</v>
      </c>
    </row>
    <row r="679" spans="1:4" x14ac:dyDescent="0.25">
      <c r="A679" s="5" t="s">
        <v>15</v>
      </c>
      <c r="B679" s="6" t="s">
        <v>5</v>
      </c>
      <c r="C679" s="6" t="s">
        <v>62</v>
      </c>
      <c r="D679" s="6">
        <v>2106934.5</v>
      </c>
    </row>
    <row r="680" spans="1:4" x14ac:dyDescent="0.25">
      <c r="A680" s="5" t="s">
        <v>15</v>
      </c>
      <c r="B680" s="6" t="s">
        <v>5</v>
      </c>
      <c r="C680" s="6" t="s">
        <v>63</v>
      </c>
      <c r="D680" s="6">
        <v>2142706.5</v>
      </c>
    </row>
    <row r="681" spans="1:4" x14ac:dyDescent="0.25">
      <c r="A681" s="5" t="s">
        <v>15</v>
      </c>
      <c r="B681" s="6" t="s">
        <v>5</v>
      </c>
      <c r="C681" s="6" t="s">
        <v>64</v>
      </c>
      <c r="D681" s="6">
        <v>2215041.75</v>
      </c>
    </row>
    <row r="682" spans="1:4" x14ac:dyDescent="0.25">
      <c r="A682" s="5" t="s">
        <v>15</v>
      </c>
      <c r="B682" s="6" t="s">
        <v>5</v>
      </c>
      <c r="C682" s="6" t="s">
        <v>65</v>
      </c>
      <c r="D682" s="6">
        <v>2188128.5</v>
      </c>
    </row>
    <row r="683" spans="1:4" x14ac:dyDescent="0.25">
      <c r="A683" s="5" t="s">
        <v>15</v>
      </c>
      <c r="B683" s="6" t="s">
        <v>5</v>
      </c>
      <c r="C683" s="6" t="s">
        <v>66</v>
      </c>
      <c r="D683" s="6">
        <v>2111753</v>
      </c>
    </row>
    <row r="684" spans="1:4" x14ac:dyDescent="0.25">
      <c r="A684" s="5" t="s">
        <v>33</v>
      </c>
      <c r="B684" s="6" t="s">
        <v>5</v>
      </c>
      <c r="C684" s="6" t="s">
        <v>36</v>
      </c>
      <c r="D684" s="6">
        <v>2200944.75</v>
      </c>
    </row>
    <row r="685" spans="1:4" x14ac:dyDescent="0.25">
      <c r="A685" s="2" t="s">
        <v>33</v>
      </c>
      <c r="B685" s="3" t="s">
        <v>5</v>
      </c>
      <c r="C685" s="3" t="s">
        <v>37</v>
      </c>
      <c r="D685" s="3">
        <v>2157740.25</v>
      </c>
    </row>
    <row r="686" spans="1:4" x14ac:dyDescent="0.25">
      <c r="A686" s="5" t="s">
        <v>33</v>
      </c>
      <c r="B686" s="6" t="s">
        <v>5</v>
      </c>
      <c r="C686" s="6" t="s">
        <v>38</v>
      </c>
      <c r="D686" s="6">
        <v>2179465.75</v>
      </c>
    </row>
    <row r="687" spans="1:4" x14ac:dyDescent="0.25">
      <c r="A687" s="2" t="s">
        <v>33</v>
      </c>
      <c r="B687" s="3" t="s">
        <v>5</v>
      </c>
      <c r="C687" s="3" t="s">
        <v>39</v>
      </c>
      <c r="D687" s="3">
        <v>2216855</v>
      </c>
    </row>
    <row r="688" spans="1:4" x14ac:dyDescent="0.25">
      <c r="A688" s="5" t="s">
        <v>33</v>
      </c>
      <c r="B688" s="6" t="s">
        <v>5</v>
      </c>
      <c r="C688" s="6" t="s">
        <v>40</v>
      </c>
      <c r="D688" s="6">
        <v>2292461.25</v>
      </c>
    </row>
    <row r="689" spans="1:4" x14ac:dyDescent="0.25">
      <c r="A689" s="2" t="s">
        <v>33</v>
      </c>
      <c r="B689" s="3" t="s">
        <v>5</v>
      </c>
      <c r="C689" s="3" t="s">
        <v>41</v>
      </c>
      <c r="D689" s="3">
        <v>2264330.25</v>
      </c>
    </row>
    <row r="690" spans="1:4" x14ac:dyDescent="0.25">
      <c r="A690" s="5" t="s">
        <v>33</v>
      </c>
      <c r="B690" s="6" t="s">
        <v>5</v>
      </c>
      <c r="C690" s="6" t="s">
        <v>42</v>
      </c>
      <c r="D690" s="6">
        <v>2184488.75</v>
      </c>
    </row>
    <row r="691" spans="1:4" x14ac:dyDescent="0.25">
      <c r="A691" s="2" t="s">
        <v>33</v>
      </c>
      <c r="B691" s="3" t="s">
        <v>5</v>
      </c>
      <c r="C691" s="3" t="s">
        <v>43</v>
      </c>
      <c r="D691" s="3">
        <v>1978000.125</v>
      </c>
    </row>
    <row r="692" spans="1:4" x14ac:dyDescent="0.25">
      <c r="A692" s="5" t="s">
        <v>33</v>
      </c>
      <c r="B692" s="6" t="s">
        <v>5</v>
      </c>
      <c r="C692" s="6" t="s">
        <v>44</v>
      </c>
      <c r="D692" s="6">
        <v>2005372.875</v>
      </c>
    </row>
    <row r="693" spans="1:4" x14ac:dyDescent="0.25">
      <c r="A693" s="2" t="s">
        <v>33</v>
      </c>
      <c r="B693" s="3" t="s">
        <v>5</v>
      </c>
      <c r="C693" s="3" t="s">
        <v>45</v>
      </c>
      <c r="D693" s="3">
        <v>2049218.625</v>
      </c>
    </row>
    <row r="694" spans="1:4" x14ac:dyDescent="0.25">
      <c r="A694" s="5" t="s">
        <v>33</v>
      </c>
      <c r="B694" s="6" t="s">
        <v>5</v>
      </c>
      <c r="C694" s="6" t="s">
        <v>46</v>
      </c>
      <c r="D694" s="6">
        <v>2121791</v>
      </c>
    </row>
    <row r="695" spans="1:4" x14ac:dyDescent="0.25">
      <c r="A695" s="2" t="s">
        <v>33</v>
      </c>
      <c r="B695" s="3" t="s">
        <v>5</v>
      </c>
      <c r="C695" s="3" t="s">
        <v>47</v>
      </c>
      <c r="D695" s="3">
        <v>2105689</v>
      </c>
    </row>
    <row r="696" spans="1:4" x14ac:dyDescent="0.25">
      <c r="A696" s="5" t="s">
        <v>33</v>
      </c>
      <c r="B696" s="6" t="s">
        <v>5</v>
      </c>
      <c r="C696" s="6" t="s">
        <v>48</v>
      </c>
      <c r="D696" s="6">
        <v>2043117</v>
      </c>
    </row>
    <row r="697" spans="1:4" x14ac:dyDescent="0.25">
      <c r="A697" s="2" t="s">
        <v>33</v>
      </c>
      <c r="B697" s="3" t="s">
        <v>5</v>
      </c>
      <c r="C697" s="3" t="s">
        <v>49</v>
      </c>
      <c r="D697" s="3">
        <v>2001768.375</v>
      </c>
    </row>
    <row r="698" spans="1:4" x14ac:dyDescent="0.25">
      <c r="A698" s="5" t="s">
        <v>33</v>
      </c>
      <c r="B698" s="6" t="s">
        <v>5</v>
      </c>
      <c r="C698" s="6" t="s">
        <v>50</v>
      </c>
      <c r="D698" s="6">
        <v>2022560.625</v>
      </c>
    </row>
    <row r="699" spans="1:4" x14ac:dyDescent="0.25">
      <c r="A699" s="2" t="s">
        <v>33</v>
      </c>
      <c r="B699" s="3" t="s">
        <v>5</v>
      </c>
      <c r="C699" s="3" t="s">
        <v>51</v>
      </c>
      <c r="D699" s="3">
        <v>2058343.75</v>
      </c>
    </row>
    <row r="700" spans="1:4" x14ac:dyDescent="0.25">
      <c r="A700" s="5" t="s">
        <v>33</v>
      </c>
      <c r="B700" s="6" t="s">
        <v>5</v>
      </c>
      <c r="C700" s="6" t="s">
        <v>52</v>
      </c>
      <c r="D700" s="6">
        <v>2130702.5</v>
      </c>
    </row>
    <row r="701" spans="1:4" x14ac:dyDescent="0.25">
      <c r="A701" s="2" t="s">
        <v>33</v>
      </c>
      <c r="B701" s="3" t="s">
        <v>5</v>
      </c>
      <c r="C701" s="3" t="s">
        <v>53</v>
      </c>
      <c r="D701" s="3">
        <v>2103779.75</v>
      </c>
    </row>
    <row r="702" spans="1:4" x14ac:dyDescent="0.25">
      <c r="A702" s="5" t="s">
        <v>33</v>
      </c>
      <c r="B702" s="6" t="s">
        <v>5</v>
      </c>
      <c r="C702" s="6" t="s">
        <v>54</v>
      </c>
      <c r="D702" s="6">
        <v>2027337.875</v>
      </c>
    </row>
    <row r="703" spans="1:4" x14ac:dyDescent="0.25">
      <c r="A703" s="2" t="s">
        <v>33</v>
      </c>
      <c r="B703" s="3" t="s">
        <v>5</v>
      </c>
      <c r="C703" s="3" t="s">
        <v>55</v>
      </c>
      <c r="D703" s="3">
        <v>2462420.75</v>
      </c>
    </row>
    <row r="704" spans="1:4" x14ac:dyDescent="0.25">
      <c r="A704" s="2" t="s">
        <v>33</v>
      </c>
      <c r="B704" s="3" t="s">
        <v>5</v>
      </c>
      <c r="C704" s="3" t="s">
        <v>56</v>
      </c>
      <c r="D704" s="3">
        <v>2495341</v>
      </c>
    </row>
    <row r="705" spans="1:4" x14ac:dyDescent="0.25">
      <c r="A705" s="2" t="s">
        <v>33</v>
      </c>
      <c r="B705" s="3" t="s">
        <v>5</v>
      </c>
      <c r="C705" s="3" t="s">
        <v>57</v>
      </c>
      <c r="D705" s="3">
        <v>2548073.5</v>
      </c>
    </row>
    <row r="706" spans="1:4" x14ac:dyDescent="0.25">
      <c r="A706" s="2" t="s">
        <v>33</v>
      </c>
      <c r="B706" s="3" t="s">
        <v>5</v>
      </c>
      <c r="C706" s="3" t="s">
        <v>58</v>
      </c>
      <c r="D706" s="3">
        <v>2635352.25</v>
      </c>
    </row>
    <row r="707" spans="1:4" x14ac:dyDescent="0.25">
      <c r="A707" s="2" t="s">
        <v>33</v>
      </c>
      <c r="B707" s="3" t="s">
        <v>5</v>
      </c>
      <c r="C707" s="3" t="s">
        <v>59</v>
      </c>
      <c r="D707" s="3">
        <v>2615988.75</v>
      </c>
    </row>
    <row r="708" spans="1:4" x14ac:dyDescent="0.25">
      <c r="A708" s="2" t="s">
        <v>33</v>
      </c>
      <c r="B708" s="3" t="s">
        <v>5</v>
      </c>
      <c r="C708" s="3" t="s">
        <v>60</v>
      </c>
      <c r="D708" s="3">
        <v>2540739</v>
      </c>
    </row>
    <row r="709" spans="1:4" x14ac:dyDescent="0.25">
      <c r="A709" s="2" t="s">
        <v>33</v>
      </c>
      <c r="B709" s="3" t="s">
        <v>5</v>
      </c>
      <c r="C709" s="3" t="s">
        <v>61</v>
      </c>
      <c r="D709" s="3">
        <v>2491012.25</v>
      </c>
    </row>
    <row r="710" spans="1:4" x14ac:dyDescent="0.25">
      <c r="A710" s="2" t="s">
        <v>33</v>
      </c>
      <c r="B710" s="3" t="s">
        <v>5</v>
      </c>
      <c r="C710" s="3" t="s">
        <v>62</v>
      </c>
      <c r="D710" s="3">
        <v>2516017</v>
      </c>
    </row>
    <row r="711" spans="1:4" x14ac:dyDescent="0.25">
      <c r="A711" s="2" t="s">
        <v>33</v>
      </c>
      <c r="B711" s="3" t="s">
        <v>5</v>
      </c>
      <c r="C711" s="3" t="s">
        <v>63</v>
      </c>
      <c r="D711" s="3">
        <v>2559050.5</v>
      </c>
    </row>
    <row r="712" spans="1:4" x14ac:dyDescent="0.25">
      <c r="A712" s="2" t="s">
        <v>33</v>
      </c>
      <c r="B712" s="3" t="s">
        <v>5</v>
      </c>
      <c r="C712" s="3" t="s">
        <v>64</v>
      </c>
      <c r="D712" s="3">
        <v>2646072.5</v>
      </c>
    </row>
    <row r="713" spans="1:4" x14ac:dyDescent="0.25">
      <c r="A713" s="2" t="s">
        <v>33</v>
      </c>
      <c r="B713" s="3" t="s">
        <v>5</v>
      </c>
      <c r="C713" s="3" t="s">
        <v>65</v>
      </c>
      <c r="D713" s="3">
        <v>2613692.25</v>
      </c>
    </row>
    <row r="714" spans="1:4" x14ac:dyDescent="0.25">
      <c r="A714" s="2" t="s">
        <v>33</v>
      </c>
      <c r="B714" s="3" t="s">
        <v>5</v>
      </c>
      <c r="C714" s="3" t="s">
        <v>66</v>
      </c>
      <c r="D714" s="3">
        <v>2521797.5</v>
      </c>
    </row>
    <row r="715" spans="1:4" x14ac:dyDescent="0.25">
      <c r="A715" s="2" t="s">
        <v>4</v>
      </c>
      <c r="B715" s="3" t="s">
        <v>5</v>
      </c>
      <c r="C715" s="3" t="s">
        <v>36</v>
      </c>
      <c r="D715" s="3">
        <v>1589208.75</v>
      </c>
    </row>
    <row r="716" spans="1:4" x14ac:dyDescent="0.25">
      <c r="A716" s="5" t="s">
        <v>4</v>
      </c>
      <c r="B716" s="6" t="s">
        <v>5</v>
      </c>
      <c r="C716" s="6" t="s">
        <v>37</v>
      </c>
      <c r="D716" s="6">
        <v>1559970.875</v>
      </c>
    </row>
    <row r="717" spans="1:4" x14ac:dyDescent="0.25">
      <c r="A717" s="2" t="s">
        <v>4</v>
      </c>
      <c r="B717" s="3" t="s">
        <v>5</v>
      </c>
      <c r="C717" s="3" t="s">
        <v>38</v>
      </c>
      <c r="D717" s="3">
        <v>1575580.25</v>
      </c>
    </row>
    <row r="718" spans="1:4" x14ac:dyDescent="0.25">
      <c r="A718" s="5" t="s">
        <v>4</v>
      </c>
      <c r="B718" s="6" t="s">
        <v>5</v>
      </c>
      <c r="C718" s="6" t="s">
        <v>39</v>
      </c>
      <c r="D718" s="6">
        <v>1600965</v>
      </c>
    </row>
    <row r="719" spans="1:4" x14ac:dyDescent="0.25">
      <c r="A719" s="2" t="s">
        <v>4</v>
      </c>
      <c r="B719" s="3" t="s">
        <v>5</v>
      </c>
      <c r="C719" s="3" t="s">
        <v>40</v>
      </c>
      <c r="D719" s="3">
        <v>1656943.125</v>
      </c>
    </row>
    <row r="720" spans="1:4" x14ac:dyDescent="0.25">
      <c r="A720" s="5" t="s">
        <v>4</v>
      </c>
      <c r="B720" s="6" t="s">
        <v>5</v>
      </c>
      <c r="C720" s="6" t="s">
        <v>41</v>
      </c>
      <c r="D720" s="6">
        <v>1634205.625</v>
      </c>
    </row>
    <row r="721" spans="1:4" x14ac:dyDescent="0.25">
      <c r="A721" s="2" t="s">
        <v>4</v>
      </c>
      <c r="B721" s="3" t="s">
        <v>5</v>
      </c>
      <c r="C721" s="3" t="s">
        <v>42</v>
      </c>
      <c r="D721" s="3">
        <v>1576849.75</v>
      </c>
    </row>
    <row r="722" spans="1:4" x14ac:dyDescent="0.25">
      <c r="A722" s="5" t="s">
        <v>4</v>
      </c>
      <c r="B722" s="6" t="s">
        <v>5</v>
      </c>
      <c r="C722" s="6" t="s">
        <v>43</v>
      </c>
      <c r="D722" s="6">
        <v>1447848.625</v>
      </c>
    </row>
    <row r="723" spans="1:4" x14ac:dyDescent="0.25">
      <c r="A723" s="2" t="s">
        <v>4</v>
      </c>
      <c r="B723" s="3" t="s">
        <v>5</v>
      </c>
      <c r="C723" s="3" t="s">
        <v>44</v>
      </c>
      <c r="D723" s="3">
        <v>1463749.75</v>
      </c>
    </row>
    <row r="724" spans="1:4" x14ac:dyDescent="0.25">
      <c r="A724" s="5" t="s">
        <v>4</v>
      </c>
      <c r="B724" s="6" t="s">
        <v>5</v>
      </c>
      <c r="C724" s="6" t="s">
        <v>45</v>
      </c>
      <c r="D724" s="6">
        <v>1500578.875</v>
      </c>
    </row>
    <row r="725" spans="1:4" x14ac:dyDescent="0.25">
      <c r="A725" s="2" t="s">
        <v>4</v>
      </c>
      <c r="B725" s="3" t="s">
        <v>5</v>
      </c>
      <c r="C725" s="3" t="s">
        <v>46</v>
      </c>
      <c r="D725" s="3">
        <v>1553633.375</v>
      </c>
    </row>
    <row r="726" spans="1:4" x14ac:dyDescent="0.25">
      <c r="A726" s="5" t="s">
        <v>4</v>
      </c>
      <c r="B726" s="6" t="s">
        <v>5</v>
      </c>
      <c r="C726" s="6" t="s">
        <v>47</v>
      </c>
      <c r="D726" s="6">
        <v>1542490.25</v>
      </c>
    </row>
    <row r="727" spans="1:4" x14ac:dyDescent="0.25">
      <c r="A727" s="2" t="s">
        <v>4</v>
      </c>
      <c r="B727" s="3" t="s">
        <v>5</v>
      </c>
      <c r="C727" s="3" t="s">
        <v>48</v>
      </c>
      <c r="D727" s="3">
        <v>1496375.875</v>
      </c>
    </row>
    <row r="728" spans="1:4" x14ac:dyDescent="0.25">
      <c r="A728" s="5" t="s">
        <v>4</v>
      </c>
      <c r="B728" s="6" t="s">
        <v>5</v>
      </c>
      <c r="C728" s="6" t="s">
        <v>49</v>
      </c>
      <c r="D728" s="6">
        <v>1469332.5</v>
      </c>
    </row>
    <row r="729" spans="1:4" x14ac:dyDescent="0.25">
      <c r="A729" s="2" t="s">
        <v>4</v>
      </c>
      <c r="B729" s="3" t="s">
        <v>5</v>
      </c>
      <c r="C729" s="3" t="s">
        <v>50</v>
      </c>
      <c r="D729" s="3">
        <v>1484872.875</v>
      </c>
    </row>
    <row r="730" spans="1:4" x14ac:dyDescent="0.25">
      <c r="A730" s="5" t="s">
        <v>4</v>
      </c>
      <c r="B730" s="6" t="s">
        <v>5</v>
      </c>
      <c r="C730" s="6" t="s">
        <v>51</v>
      </c>
      <c r="D730" s="6">
        <v>1507788.875</v>
      </c>
    </row>
    <row r="731" spans="1:4" x14ac:dyDescent="0.25">
      <c r="A731" s="2" t="s">
        <v>4</v>
      </c>
      <c r="B731" s="3" t="s">
        <v>5</v>
      </c>
      <c r="C731" s="3" t="s">
        <v>52</v>
      </c>
      <c r="D731" s="3">
        <v>1560524.375</v>
      </c>
    </row>
    <row r="732" spans="1:4" x14ac:dyDescent="0.25">
      <c r="A732" s="5" t="s">
        <v>4</v>
      </c>
      <c r="B732" s="6" t="s">
        <v>5</v>
      </c>
      <c r="C732" s="6" t="s">
        <v>53</v>
      </c>
      <c r="D732" s="6">
        <v>1539421.625</v>
      </c>
    </row>
    <row r="733" spans="1:4" x14ac:dyDescent="0.25">
      <c r="A733" s="2" t="s">
        <v>4</v>
      </c>
      <c r="B733" s="3" t="s">
        <v>5</v>
      </c>
      <c r="C733" s="3" t="s">
        <v>54</v>
      </c>
      <c r="D733" s="3">
        <v>1485135.25</v>
      </c>
    </row>
    <row r="734" spans="1:4" x14ac:dyDescent="0.25">
      <c r="A734" s="2" t="s">
        <v>4</v>
      </c>
      <c r="B734" s="3" t="s">
        <v>5</v>
      </c>
      <c r="C734" s="3" t="s">
        <v>55</v>
      </c>
      <c r="D734" s="3">
        <v>1807076</v>
      </c>
    </row>
    <row r="735" spans="1:4" x14ac:dyDescent="0.25">
      <c r="A735" s="2" t="s">
        <v>4</v>
      </c>
      <c r="B735" s="3" t="s">
        <v>5</v>
      </c>
      <c r="C735" s="3" t="s">
        <v>56</v>
      </c>
      <c r="D735" s="3">
        <v>1827755.5</v>
      </c>
    </row>
    <row r="736" spans="1:4" x14ac:dyDescent="0.25">
      <c r="A736" s="2" t="s">
        <v>4</v>
      </c>
      <c r="B736" s="3" t="s">
        <v>5</v>
      </c>
      <c r="C736" s="3" t="s">
        <v>57</v>
      </c>
      <c r="D736" s="3">
        <v>1870305.125</v>
      </c>
    </row>
    <row r="737" spans="1:4" x14ac:dyDescent="0.25">
      <c r="A737" s="2" t="s">
        <v>4</v>
      </c>
      <c r="B737" s="3" t="s">
        <v>5</v>
      </c>
      <c r="C737" s="3" t="s">
        <v>58</v>
      </c>
      <c r="D737" s="3">
        <v>1932781.625</v>
      </c>
    </row>
    <row r="738" spans="1:4" x14ac:dyDescent="0.25">
      <c r="A738" s="2" t="s">
        <v>4</v>
      </c>
      <c r="B738" s="3" t="s">
        <v>5</v>
      </c>
      <c r="C738" s="3" t="s">
        <v>59</v>
      </c>
      <c r="D738" s="3">
        <v>1920708</v>
      </c>
    </row>
    <row r="739" spans="1:4" x14ac:dyDescent="0.25">
      <c r="A739" s="2" t="s">
        <v>4</v>
      </c>
      <c r="B739" s="3" t="s">
        <v>5</v>
      </c>
      <c r="C739" s="3" t="s">
        <v>60</v>
      </c>
      <c r="D739" s="3">
        <v>1864049.25</v>
      </c>
    </row>
    <row r="740" spans="1:4" x14ac:dyDescent="0.25">
      <c r="A740" s="2" t="s">
        <v>4</v>
      </c>
      <c r="B740" s="3" t="s">
        <v>5</v>
      </c>
      <c r="C740" s="3" t="s">
        <v>61</v>
      </c>
      <c r="D740" s="3">
        <v>1829975.375</v>
      </c>
    </row>
    <row r="741" spans="1:4" x14ac:dyDescent="0.25">
      <c r="A741" s="2" t="s">
        <v>4</v>
      </c>
      <c r="B741" s="3" t="s">
        <v>5</v>
      </c>
      <c r="C741" s="3" t="s">
        <v>62</v>
      </c>
      <c r="D741" s="3">
        <v>1848130.625</v>
      </c>
    </row>
    <row r="742" spans="1:4" x14ac:dyDescent="0.25">
      <c r="A742" s="2" t="s">
        <v>4</v>
      </c>
      <c r="B742" s="3" t="s">
        <v>5</v>
      </c>
      <c r="C742" s="3" t="s">
        <v>63</v>
      </c>
      <c r="D742" s="3">
        <v>1877606.5</v>
      </c>
    </row>
    <row r="743" spans="1:4" x14ac:dyDescent="0.25">
      <c r="A743" s="2" t="s">
        <v>4</v>
      </c>
      <c r="B743" s="3" t="s">
        <v>5</v>
      </c>
      <c r="C743" s="3" t="s">
        <v>64</v>
      </c>
      <c r="D743" s="3">
        <v>1941477.75</v>
      </c>
    </row>
    <row r="744" spans="1:4" x14ac:dyDescent="0.25">
      <c r="A744" s="2" t="s">
        <v>4</v>
      </c>
      <c r="B744" s="3" t="s">
        <v>5</v>
      </c>
      <c r="C744" s="3" t="s">
        <v>65</v>
      </c>
      <c r="D744" s="3">
        <v>1915852.75</v>
      </c>
    </row>
    <row r="745" spans="1:4" x14ac:dyDescent="0.25">
      <c r="A745" s="2" t="s">
        <v>4</v>
      </c>
      <c r="B745" s="3" t="s">
        <v>5</v>
      </c>
      <c r="C745" s="3" t="s">
        <v>66</v>
      </c>
      <c r="D745" s="3">
        <v>1849269.375</v>
      </c>
    </row>
    <row r="746" spans="1:4" x14ac:dyDescent="0.25">
      <c r="A746" s="5" t="s">
        <v>10</v>
      </c>
      <c r="B746" s="6" t="s">
        <v>5</v>
      </c>
      <c r="C746" s="6" t="s">
        <v>36</v>
      </c>
      <c r="D746" s="6">
        <v>3094063.25</v>
      </c>
    </row>
    <row r="747" spans="1:4" x14ac:dyDescent="0.25">
      <c r="A747" s="2" t="s">
        <v>10</v>
      </c>
      <c r="B747" s="3" t="s">
        <v>5</v>
      </c>
      <c r="C747" s="3" t="s">
        <v>37</v>
      </c>
      <c r="D747" s="3">
        <v>3035609.25</v>
      </c>
    </row>
    <row r="748" spans="1:4" x14ac:dyDescent="0.25">
      <c r="A748" s="5" t="s">
        <v>10</v>
      </c>
      <c r="B748" s="6" t="s">
        <v>5</v>
      </c>
      <c r="C748" s="6" t="s">
        <v>38</v>
      </c>
      <c r="D748" s="6">
        <v>3065004.75</v>
      </c>
    </row>
    <row r="749" spans="1:4" x14ac:dyDescent="0.25">
      <c r="A749" s="2" t="s">
        <v>10</v>
      </c>
      <c r="B749" s="3" t="s">
        <v>5</v>
      </c>
      <c r="C749" s="3" t="s">
        <v>39</v>
      </c>
      <c r="D749" s="3">
        <v>3115591.5</v>
      </c>
    </row>
    <row r="750" spans="1:4" x14ac:dyDescent="0.25">
      <c r="A750" s="5" t="s">
        <v>10</v>
      </c>
      <c r="B750" s="6" t="s">
        <v>5</v>
      </c>
      <c r="C750" s="6" t="s">
        <v>40</v>
      </c>
      <c r="D750" s="6">
        <v>3217875.5</v>
      </c>
    </row>
    <row r="751" spans="1:4" x14ac:dyDescent="0.25">
      <c r="A751" s="2" t="s">
        <v>10</v>
      </c>
      <c r="B751" s="3" t="s">
        <v>5</v>
      </c>
      <c r="C751" s="3" t="s">
        <v>41</v>
      </c>
      <c r="D751" s="3">
        <v>3179826.5</v>
      </c>
    </row>
    <row r="752" spans="1:4" x14ac:dyDescent="0.25">
      <c r="A752" s="5" t="s">
        <v>10</v>
      </c>
      <c r="B752" s="6" t="s">
        <v>5</v>
      </c>
      <c r="C752" s="6" t="s">
        <v>42</v>
      </c>
      <c r="D752" s="6">
        <v>3071880</v>
      </c>
    </row>
    <row r="753" spans="1:4" x14ac:dyDescent="0.25">
      <c r="A753" s="2" t="s">
        <v>10</v>
      </c>
      <c r="B753" s="3" t="s">
        <v>5</v>
      </c>
      <c r="C753" s="3" t="s">
        <v>43</v>
      </c>
      <c r="D753" s="3">
        <v>2823443</v>
      </c>
    </row>
    <row r="754" spans="1:4" x14ac:dyDescent="0.25">
      <c r="A754" s="5" t="s">
        <v>10</v>
      </c>
      <c r="B754" s="6" t="s">
        <v>5</v>
      </c>
      <c r="C754" s="6" t="s">
        <v>44</v>
      </c>
      <c r="D754" s="6">
        <v>2860470.75</v>
      </c>
    </row>
    <row r="755" spans="1:4" x14ac:dyDescent="0.25">
      <c r="A755" s="2" t="s">
        <v>10</v>
      </c>
      <c r="B755" s="3" t="s">
        <v>5</v>
      </c>
      <c r="C755" s="3" t="s">
        <v>45</v>
      </c>
      <c r="D755" s="3">
        <v>2919782.75</v>
      </c>
    </row>
    <row r="756" spans="1:4" x14ac:dyDescent="0.25">
      <c r="A756" s="5" t="s">
        <v>10</v>
      </c>
      <c r="B756" s="6" t="s">
        <v>5</v>
      </c>
      <c r="C756" s="6" t="s">
        <v>46</v>
      </c>
      <c r="D756" s="6">
        <v>3017965.25</v>
      </c>
    </row>
    <row r="757" spans="1:4" x14ac:dyDescent="0.25">
      <c r="A757" s="2" t="s">
        <v>10</v>
      </c>
      <c r="B757" s="3" t="s">
        <v>5</v>
      </c>
      <c r="C757" s="3" t="s">
        <v>47</v>
      </c>
      <c r="D757" s="3">
        <v>2996174</v>
      </c>
    </row>
    <row r="758" spans="1:4" x14ac:dyDescent="0.25">
      <c r="A758" s="5" t="s">
        <v>10</v>
      </c>
      <c r="B758" s="6" t="s">
        <v>5</v>
      </c>
      <c r="C758" s="6" t="s">
        <v>48</v>
      </c>
      <c r="D758" s="6">
        <v>2911511.75</v>
      </c>
    </row>
    <row r="759" spans="1:4" x14ac:dyDescent="0.25">
      <c r="A759" s="2" t="s">
        <v>10</v>
      </c>
      <c r="B759" s="3" t="s">
        <v>5</v>
      </c>
      <c r="C759" s="3" t="s">
        <v>49</v>
      </c>
      <c r="D759" s="3">
        <v>2855567</v>
      </c>
    </row>
    <row r="760" spans="1:4" x14ac:dyDescent="0.25">
      <c r="A760" s="5" t="s">
        <v>10</v>
      </c>
      <c r="B760" s="6" t="s">
        <v>5</v>
      </c>
      <c r="C760" s="6" t="s">
        <v>50</v>
      </c>
      <c r="D760" s="6">
        <v>2883700.75</v>
      </c>
    </row>
    <row r="761" spans="1:4" x14ac:dyDescent="0.25">
      <c r="A761" s="2" t="s">
        <v>10</v>
      </c>
      <c r="B761" s="3" t="s">
        <v>5</v>
      </c>
      <c r="C761" s="3" t="s">
        <v>51</v>
      </c>
      <c r="D761" s="3">
        <v>2932116</v>
      </c>
    </row>
    <row r="762" spans="1:4" x14ac:dyDescent="0.25">
      <c r="A762" s="5" t="s">
        <v>10</v>
      </c>
      <c r="B762" s="6" t="s">
        <v>5</v>
      </c>
      <c r="C762" s="6" t="s">
        <v>52</v>
      </c>
      <c r="D762" s="6">
        <v>3030009.5</v>
      </c>
    </row>
    <row r="763" spans="1:4" x14ac:dyDescent="0.25">
      <c r="A763" s="2" t="s">
        <v>10</v>
      </c>
      <c r="B763" s="3" t="s">
        <v>5</v>
      </c>
      <c r="C763" s="3" t="s">
        <v>53</v>
      </c>
      <c r="D763" s="3">
        <v>2993593.75</v>
      </c>
    </row>
    <row r="764" spans="1:4" x14ac:dyDescent="0.25">
      <c r="A764" s="5" t="s">
        <v>10</v>
      </c>
      <c r="B764" s="6" t="s">
        <v>5</v>
      </c>
      <c r="C764" s="6" t="s">
        <v>54</v>
      </c>
      <c r="D764" s="6">
        <v>2890257.5</v>
      </c>
    </row>
    <row r="765" spans="1:4" x14ac:dyDescent="0.25">
      <c r="A765" s="2" t="s">
        <v>10</v>
      </c>
      <c r="B765" s="3" t="s">
        <v>5</v>
      </c>
      <c r="C765" s="3" t="s">
        <v>55</v>
      </c>
      <c r="D765" s="3">
        <v>3475384.25</v>
      </c>
    </row>
    <row r="766" spans="1:4" x14ac:dyDescent="0.25">
      <c r="A766" s="2" t="s">
        <v>10</v>
      </c>
      <c r="B766" s="3" t="s">
        <v>5</v>
      </c>
      <c r="C766" s="3" t="s">
        <v>56</v>
      </c>
      <c r="D766" s="3">
        <v>3519864.5</v>
      </c>
    </row>
    <row r="767" spans="1:4" x14ac:dyDescent="0.25">
      <c r="A767" s="2" t="s">
        <v>10</v>
      </c>
      <c r="B767" s="3" t="s">
        <v>5</v>
      </c>
      <c r="C767" s="3" t="s">
        <v>57</v>
      </c>
      <c r="D767" s="3">
        <v>3591113.75</v>
      </c>
    </row>
    <row r="768" spans="1:4" x14ac:dyDescent="0.25">
      <c r="A768" s="2" t="s">
        <v>10</v>
      </c>
      <c r="B768" s="3" t="s">
        <v>5</v>
      </c>
      <c r="C768" s="3" t="s">
        <v>58</v>
      </c>
      <c r="D768" s="3">
        <v>3709055</v>
      </c>
    </row>
    <row r="769" spans="1:4" x14ac:dyDescent="0.25">
      <c r="A769" s="2" t="s">
        <v>10</v>
      </c>
      <c r="B769" s="3" t="s">
        <v>5</v>
      </c>
      <c r="C769" s="3" t="s">
        <v>59</v>
      </c>
      <c r="D769" s="3">
        <v>3682880.25</v>
      </c>
    </row>
    <row r="770" spans="1:4" x14ac:dyDescent="0.25">
      <c r="A770" s="2" t="s">
        <v>10</v>
      </c>
      <c r="B770" s="3" t="s">
        <v>5</v>
      </c>
      <c r="C770" s="3" t="s">
        <v>60</v>
      </c>
      <c r="D770" s="3">
        <v>3581183</v>
      </c>
    </row>
    <row r="771" spans="1:4" x14ac:dyDescent="0.25">
      <c r="A771" s="2" t="s">
        <v>10</v>
      </c>
      <c r="B771" s="3" t="s">
        <v>5</v>
      </c>
      <c r="C771" s="3" t="s">
        <v>61</v>
      </c>
      <c r="D771" s="3">
        <v>3513981</v>
      </c>
    </row>
    <row r="772" spans="1:4" x14ac:dyDescent="0.25">
      <c r="A772" s="2" t="s">
        <v>10</v>
      </c>
      <c r="B772" s="3" t="s">
        <v>5</v>
      </c>
      <c r="C772" s="3" t="s">
        <v>62</v>
      </c>
      <c r="D772" s="3">
        <v>3547775.5</v>
      </c>
    </row>
    <row r="773" spans="1:4" x14ac:dyDescent="0.25">
      <c r="A773" s="2" t="s">
        <v>10</v>
      </c>
      <c r="B773" s="3" t="s">
        <v>5</v>
      </c>
      <c r="C773" s="3" t="s">
        <v>63</v>
      </c>
      <c r="D773" s="3">
        <v>3605932.5</v>
      </c>
    </row>
    <row r="774" spans="1:4" x14ac:dyDescent="0.25">
      <c r="A774" s="2" t="s">
        <v>10</v>
      </c>
      <c r="B774" s="3" t="s">
        <v>5</v>
      </c>
      <c r="C774" s="3" t="s">
        <v>64</v>
      </c>
      <c r="D774" s="3">
        <v>3723526</v>
      </c>
    </row>
    <row r="775" spans="1:4" x14ac:dyDescent="0.25">
      <c r="A775" s="2" t="s">
        <v>10</v>
      </c>
      <c r="B775" s="3" t="s">
        <v>5</v>
      </c>
      <c r="C775" s="3" t="s">
        <v>65</v>
      </c>
      <c r="D775" s="3">
        <v>3679780</v>
      </c>
    </row>
    <row r="776" spans="1:4" x14ac:dyDescent="0.25">
      <c r="A776" s="2" t="s">
        <v>10</v>
      </c>
      <c r="B776" s="3" t="s">
        <v>5</v>
      </c>
      <c r="C776" s="3" t="s">
        <v>66</v>
      </c>
      <c r="D776" s="3">
        <v>3555686</v>
      </c>
    </row>
    <row r="777" spans="1:4" x14ac:dyDescent="0.25">
      <c r="A777" s="5" t="s">
        <v>11</v>
      </c>
      <c r="B777" s="6" t="s">
        <v>5</v>
      </c>
      <c r="C777" s="6" t="s">
        <v>36</v>
      </c>
      <c r="D777" s="6">
        <v>1582307.625</v>
      </c>
    </row>
    <row r="778" spans="1:4" x14ac:dyDescent="0.25">
      <c r="A778" s="2" t="s">
        <v>11</v>
      </c>
      <c r="B778" s="3" t="s">
        <v>5</v>
      </c>
      <c r="C778" s="3" t="s">
        <v>37</v>
      </c>
      <c r="D778" s="3">
        <v>1549535.75</v>
      </c>
    </row>
    <row r="779" spans="1:4" x14ac:dyDescent="0.25">
      <c r="A779" s="5" t="s">
        <v>11</v>
      </c>
      <c r="B779" s="6" t="s">
        <v>5</v>
      </c>
      <c r="C779" s="6" t="s">
        <v>38</v>
      </c>
      <c r="D779" s="6">
        <v>1566341.875</v>
      </c>
    </row>
    <row r="780" spans="1:4" x14ac:dyDescent="0.25">
      <c r="A780" s="2" t="s">
        <v>11</v>
      </c>
      <c r="B780" s="3" t="s">
        <v>5</v>
      </c>
      <c r="C780" s="3" t="s">
        <v>39</v>
      </c>
      <c r="D780" s="3">
        <v>1594732.125</v>
      </c>
    </row>
    <row r="781" spans="1:4" x14ac:dyDescent="0.25">
      <c r="A781" s="5" t="s">
        <v>11</v>
      </c>
      <c r="B781" s="6" t="s">
        <v>5</v>
      </c>
      <c r="C781" s="6" t="s">
        <v>40</v>
      </c>
      <c r="D781" s="6">
        <v>1653823.875</v>
      </c>
    </row>
    <row r="782" spans="1:4" x14ac:dyDescent="0.25">
      <c r="A782" s="2" t="s">
        <v>11</v>
      </c>
      <c r="B782" s="3" t="s">
        <v>5</v>
      </c>
      <c r="C782" s="3" t="s">
        <v>41</v>
      </c>
      <c r="D782" s="3">
        <v>1631144.125</v>
      </c>
    </row>
    <row r="783" spans="1:4" x14ac:dyDescent="0.25">
      <c r="A783" s="5" t="s">
        <v>11</v>
      </c>
      <c r="B783" s="6" t="s">
        <v>5</v>
      </c>
      <c r="C783" s="6" t="s">
        <v>42</v>
      </c>
      <c r="D783" s="6">
        <v>1569313.25</v>
      </c>
    </row>
    <row r="784" spans="1:4" x14ac:dyDescent="0.25">
      <c r="A784" s="2" t="s">
        <v>11</v>
      </c>
      <c r="B784" s="3" t="s">
        <v>5</v>
      </c>
      <c r="C784" s="3" t="s">
        <v>43</v>
      </c>
      <c r="D784" s="3">
        <v>1459420.375</v>
      </c>
    </row>
    <row r="785" spans="1:4" x14ac:dyDescent="0.25">
      <c r="A785" s="5" t="s">
        <v>11</v>
      </c>
      <c r="B785" s="6" t="s">
        <v>5</v>
      </c>
      <c r="C785" s="6" t="s">
        <v>44</v>
      </c>
      <c r="D785" s="6">
        <v>1479239.125</v>
      </c>
    </row>
    <row r="786" spans="1:4" x14ac:dyDescent="0.25">
      <c r="A786" s="2" t="s">
        <v>11</v>
      </c>
      <c r="B786" s="3" t="s">
        <v>5</v>
      </c>
      <c r="C786" s="3" t="s">
        <v>45</v>
      </c>
      <c r="D786" s="3">
        <v>1515086.75</v>
      </c>
    </row>
    <row r="787" spans="1:4" x14ac:dyDescent="0.25">
      <c r="A787" s="5" t="s">
        <v>11</v>
      </c>
      <c r="B787" s="6" t="s">
        <v>5</v>
      </c>
      <c r="C787" s="6" t="s">
        <v>46</v>
      </c>
      <c r="D787" s="6">
        <v>1571561.625</v>
      </c>
    </row>
    <row r="788" spans="1:4" x14ac:dyDescent="0.25">
      <c r="A788" s="2" t="s">
        <v>11</v>
      </c>
      <c r="B788" s="3" t="s">
        <v>5</v>
      </c>
      <c r="C788" s="3" t="s">
        <v>47</v>
      </c>
      <c r="D788" s="3">
        <v>1559261.25</v>
      </c>
    </row>
    <row r="789" spans="1:4" x14ac:dyDescent="0.25">
      <c r="A789" s="5" t="s">
        <v>11</v>
      </c>
      <c r="B789" s="6" t="s">
        <v>5</v>
      </c>
      <c r="C789" s="6" t="s">
        <v>48</v>
      </c>
      <c r="D789" s="6">
        <v>1510438.875</v>
      </c>
    </row>
    <row r="790" spans="1:4" x14ac:dyDescent="0.25">
      <c r="A790" s="2" t="s">
        <v>11</v>
      </c>
      <c r="B790" s="3" t="s">
        <v>5</v>
      </c>
      <c r="C790" s="3" t="s">
        <v>49</v>
      </c>
      <c r="D790" s="3">
        <v>1479414.125</v>
      </c>
    </row>
    <row r="791" spans="1:4" x14ac:dyDescent="0.25">
      <c r="A791" s="5" t="s">
        <v>11</v>
      </c>
      <c r="B791" s="6" t="s">
        <v>5</v>
      </c>
      <c r="C791" s="6" t="s">
        <v>50</v>
      </c>
      <c r="D791" s="6">
        <v>1495715.25</v>
      </c>
    </row>
    <row r="792" spans="1:4" x14ac:dyDescent="0.25">
      <c r="A792" s="2" t="s">
        <v>11</v>
      </c>
      <c r="B792" s="3" t="s">
        <v>5</v>
      </c>
      <c r="C792" s="3" t="s">
        <v>51</v>
      </c>
      <c r="D792" s="3">
        <v>1522387.875</v>
      </c>
    </row>
    <row r="793" spans="1:4" x14ac:dyDescent="0.25">
      <c r="A793" s="5" t="s">
        <v>11</v>
      </c>
      <c r="B793" s="6" t="s">
        <v>5</v>
      </c>
      <c r="C793" s="6" t="s">
        <v>52</v>
      </c>
      <c r="D793" s="6">
        <v>1578637.625</v>
      </c>
    </row>
    <row r="794" spans="1:4" x14ac:dyDescent="0.25">
      <c r="A794" s="2" t="s">
        <v>11</v>
      </c>
      <c r="B794" s="3" t="s">
        <v>5</v>
      </c>
      <c r="C794" s="3" t="s">
        <v>53</v>
      </c>
      <c r="D794" s="3">
        <v>1557170.125</v>
      </c>
    </row>
    <row r="795" spans="1:4" x14ac:dyDescent="0.25">
      <c r="A795" s="5" t="s">
        <v>11</v>
      </c>
      <c r="B795" s="6" t="s">
        <v>5</v>
      </c>
      <c r="C795" s="6" t="s">
        <v>54</v>
      </c>
      <c r="D795" s="6">
        <v>1498217.625</v>
      </c>
    </row>
    <row r="796" spans="1:4" x14ac:dyDescent="0.25">
      <c r="A796" s="5" t="s">
        <v>11</v>
      </c>
      <c r="B796" s="6" t="s">
        <v>5</v>
      </c>
      <c r="C796" s="6" t="s">
        <v>55</v>
      </c>
      <c r="D796" s="6">
        <v>1766719.625</v>
      </c>
    </row>
    <row r="797" spans="1:4" x14ac:dyDescent="0.25">
      <c r="A797" s="5" t="s">
        <v>11</v>
      </c>
      <c r="B797" s="6" t="s">
        <v>5</v>
      </c>
      <c r="C797" s="6" t="s">
        <v>56</v>
      </c>
      <c r="D797" s="6">
        <v>1791672.5</v>
      </c>
    </row>
    <row r="798" spans="1:4" x14ac:dyDescent="0.25">
      <c r="A798" s="5" t="s">
        <v>11</v>
      </c>
      <c r="B798" s="6" t="s">
        <v>5</v>
      </c>
      <c r="C798" s="6" t="s">
        <v>57</v>
      </c>
      <c r="D798" s="6">
        <v>1833367.5</v>
      </c>
    </row>
    <row r="799" spans="1:4" x14ac:dyDescent="0.25">
      <c r="A799" s="5" t="s">
        <v>11</v>
      </c>
      <c r="B799" s="6" t="s">
        <v>5</v>
      </c>
      <c r="C799" s="6" t="s">
        <v>58</v>
      </c>
      <c r="D799" s="6">
        <v>1900839.875</v>
      </c>
    </row>
    <row r="800" spans="1:4" x14ac:dyDescent="0.25">
      <c r="A800" s="5" t="s">
        <v>11</v>
      </c>
      <c r="B800" s="6" t="s">
        <v>5</v>
      </c>
      <c r="C800" s="6" t="s">
        <v>59</v>
      </c>
      <c r="D800" s="6">
        <v>1886228</v>
      </c>
    </row>
    <row r="801" spans="1:4" x14ac:dyDescent="0.25">
      <c r="A801" s="5" t="s">
        <v>11</v>
      </c>
      <c r="B801" s="6" t="s">
        <v>5</v>
      </c>
      <c r="C801" s="6" t="s">
        <v>60</v>
      </c>
      <c r="D801" s="6">
        <v>1827539.5</v>
      </c>
    </row>
    <row r="802" spans="1:4" x14ac:dyDescent="0.25">
      <c r="A802" s="5" t="s">
        <v>11</v>
      </c>
      <c r="B802" s="6" t="s">
        <v>5</v>
      </c>
      <c r="C802" s="6" t="s">
        <v>61</v>
      </c>
      <c r="D802" s="6">
        <v>1789411.125</v>
      </c>
    </row>
    <row r="803" spans="1:4" x14ac:dyDescent="0.25">
      <c r="A803" s="5" t="s">
        <v>11</v>
      </c>
      <c r="B803" s="6" t="s">
        <v>5</v>
      </c>
      <c r="C803" s="6" t="s">
        <v>62</v>
      </c>
      <c r="D803" s="6">
        <v>1808754.625</v>
      </c>
    </row>
    <row r="804" spans="1:4" x14ac:dyDescent="0.25">
      <c r="A804" s="5" t="s">
        <v>11</v>
      </c>
      <c r="B804" s="6" t="s">
        <v>5</v>
      </c>
      <c r="C804" s="6" t="s">
        <v>63</v>
      </c>
      <c r="D804" s="6">
        <v>1841758.625</v>
      </c>
    </row>
    <row r="805" spans="1:4" x14ac:dyDescent="0.25">
      <c r="A805" s="5" t="s">
        <v>11</v>
      </c>
      <c r="B805" s="6" t="s">
        <v>5</v>
      </c>
      <c r="C805" s="6" t="s">
        <v>64</v>
      </c>
      <c r="D805" s="6">
        <v>1909261.375</v>
      </c>
    </row>
    <row r="806" spans="1:4" x14ac:dyDescent="0.25">
      <c r="A806" s="5" t="s">
        <v>11</v>
      </c>
      <c r="B806" s="6" t="s">
        <v>5</v>
      </c>
      <c r="C806" s="6" t="s">
        <v>65</v>
      </c>
      <c r="D806" s="6">
        <v>1883730.375</v>
      </c>
    </row>
    <row r="807" spans="1:4" x14ac:dyDescent="0.25">
      <c r="A807" s="5" t="s">
        <v>11</v>
      </c>
      <c r="B807" s="6" t="s">
        <v>5</v>
      </c>
      <c r="C807" s="6" t="s">
        <v>66</v>
      </c>
      <c r="D807" s="6">
        <v>1812413</v>
      </c>
    </row>
    <row r="808" spans="1:4" x14ac:dyDescent="0.25">
      <c r="A808" s="2" t="s">
        <v>29</v>
      </c>
      <c r="B808" s="3" t="s">
        <v>5</v>
      </c>
      <c r="C808" s="3" t="s">
        <v>36</v>
      </c>
      <c r="D808" s="3">
        <v>873881.1875</v>
      </c>
    </row>
    <row r="809" spans="1:4" x14ac:dyDescent="0.25">
      <c r="A809" s="5" t="s">
        <v>29</v>
      </c>
      <c r="B809" s="6" t="s">
        <v>5</v>
      </c>
      <c r="C809" s="6" t="s">
        <v>37</v>
      </c>
      <c r="D809" s="6">
        <v>856562.25</v>
      </c>
    </row>
    <row r="810" spans="1:4" x14ac:dyDescent="0.25">
      <c r="A810" s="2" t="s">
        <v>29</v>
      </c>
      <c r="B810" s="3" t="s">
        <v>5</v>
      </c>
      <c r="C810" s="3" t="s">
        <v>38</v>
      </c>
      <c r="D810" s="3">
        <v>865314.375</v>
      </c>
    </row>
    <row r="811" spans="1:4" x14ac:dyDescent="0.25">
      <c r="A811" s="5" t="s">
        <v>29</v>
      </c>
      <c r="B811" s="6" t="s">
        <v>5</v>
      </c>
      <c r="C811" s="6" t="s">
        <v>39</v>
      </c>
      <c r="D811" s="6">
        <v>880318.0625</v>
      </c>
    </row>
    <row r="812" spans="1:4" x14ac:dyDescent="0.25">
      <c r="A812" s="2" t="s">
        <v>29</v>
      </c>
      <c r="B812" s="3" t="s">
        <v>5</v>
      </c>
      <c r="C812" s="3" t="s">
        <v>40</v>
      </c>
      <c r="D812" s="3">
        <v>910444.8125</v>
      </c>
    </row>
    <row r="813" spans="1:4" x14ac:dyDescent="0.25">
      <c r="A813" s="5" t="s">
        <v>29</v>
      </c>
      <c r="B813" s="6" t="s">
        <v>5</v>
      </c>
      <c r="C813" s="6" t="s">
        <v>41</v>
      </c>
      <c r="D813" s="6">
        <v>899410.875</v>
      </c>
    </row>
    <row r="814" spans="1:4" x14ac:dyDescent="0.25">
      <c r="A814" s="2" t="s">
        <v>29</v>
      </c>
      <c r="B814" s="3" t="s">
        <v>5</v>
      </c>
      <c r="C814" s="3" t="s">
        <v>42</v>
      </c>
      <c r="D814" s="3">
        <v>867830.9375</v>
      </c>
    </row>
    <row r="815" spans="1:4" x14ac:dyDescent="0.25">
      <c r="A815" s="5" t="s">
        <v>29</v>
      </c>
      <c r="B815" s="6" t="s">
        <v>5</v>
      </c>
      <c r="C815" s="6" t="s">
        <v>43</v>
      </c>
      <c r="D815" s="6">
        <v>825002.625</v>
      </c>
    </row>
    <row r="816" spans="1:4" x14ac:dyDescent="0.25">
      <c r="A816" s="2" t="s">
        <v>29</v>
      </c>
      <c r="B816" s="3" t="s">
        <v>5</v>
      </c>
      <c r="C816" s="3" t="s">
        <v>44</v>
      </c>
      <c r="D816" s="3">
        <v>835913.4375</v>
      </c>
    </row>
    <row r="817" spans="1:4" x14ac:dyDescent="0.25">
      <c r="A817" s="5" t="s">
        <v>29</v>
      </c>
      <c r="B817" s="6" t="s">
        <v>5</v>
      </c>
      <c r="C817" s="6" t="s">
        <v>45</v>
      </c>
      <c r="D817" s="6">
        <v>853428.6875</v>
      </c>
    </row>
    <row r="818" spans="1:4" x14ac:dyDescent="0.25">
      <c r="A818" s="2" t="s">
        <v>29</v>
      </c>
      <c r="B818" s="3" t="s">
        <v>5</v>
      </c>
      <c r="C818" s="3" t="s">
        <v>46</v>
      </c>
      <c r="D818" s="3">
        <v>882661.8125</v>
      </c>
    </row>
    <row r="819" spans="1:4" x14ac:dyDescent="0.25">
      <c r="A819" s="5" t="s">
        <v>29</v>
      </c>
      <c r="B819" s="6" t="s">
        <v>5</v>
      </c>
      <c r="C819" s="6" t="s">
        <v>47</v>
      </c>
      <c r="D819" s="6">
        <v>876000</v>
      </c>
    </row>
    <row r="820" spans="1:4" x14ac:dyDescent="0.25">
      <c r="A820" s="2" t="s">
        <v>29</v>
      </c>
      <c r="B820" s="3" t="s">
        <v>5</v>
      </c>
      <c r="C820" s="3" t="s">
        <v>48</v>
      </c>
      <c r="D820" s="3">
        <v>850560.875</v>
      </c>
    </row>
    <row r="821" spans="1:4" x14ac:dyDescent="0.25">
      <c r="A821" s="5" t="s">
        <v>29</v>
      </c>
      <c r="B821" s="6" t="s">
        <v>5</v>
      </c>
      <c r="C821" s="6" t="s">
        <v>49</v>
      </c>
      <c r="D821" s="6">
        <v>833790.0625</v>
      </c>
    </row>
    <row r="822" spans="1:4" x14ac:dyDescent="0.25">
      <c r="A822" s="2" t="s">
        <v>29</v>
      </c>
      <c r="B822" s="3" t="s">
        <v>5</v>
      </c>
      <c r="C822" s="3" t="s">
        <v>50</v>
      </c>
      <c r="D822" s="3">
        <v>842270.1875</v>
      </c>
    </row>
    <row r="823" spans="1:4" x14ac:dyDescent="0.25">
      <c r="A823" s="5" t="s">
        <v>29</v>
      </c>
      <c r="B823" s="6" t="s">
        <v>5</v>
      </c>
      <c r="C823" s="6" t="s">
        <v>51</v>
      </c>
      <c r="D823" s="6">
        <v>856800.875</v>
      </c>
    </row>
    <row r="824" spans="1:4" x14ac:dyDescent="0.25">
      <c r="A824" s="2" t="s">
        <v>29</v>
      </c>
      <c r="B824" s="3" t="s">
        <v>5</v>
      </c>
      <c r="C824" s="3" t="s">
        <v>52</v>
      </c>
      <c r="D824" s="3">
        <v>885953.0625</v>
      </c>
    </row>
    <row r="825" spans="1:4" x14ac:dyDescent="0.25">
      <c r="A825" s="5" t="s">
        <v>29</v>
      </c>
      <c r="B825" s="6" t="s">
        <v>5</v>
      </c>
      <c r="C825" s="6" t="s">
        <v>53</v>
      </c>
      <c r="D825" s="6">
        <v>875296.75</v>
      </c>
    </row>
    <row r="826" spans="1:4" x14ac:dyDescent="0.25">
      <c r="A826" s="2" t="s">
        <v>29</v>
      </c>
      <c r="B826" s="3" t="s">
        <v>5</v>
      </c>
      <c r="C826" s="3" t="s">
        <v>54</v>
      </c>
      <c r="D826" s="3">
        <v>844768.625</v>
      </c>
    </row>
    <row r="827" spans="1:4" x14ac:dyDescent="0.25">
      <c r="A827" s="2" t="s">
        <v>29</v>
      </c>
      <c r="B827" s="3" t="s">
        <v>5</v>
      </c>
      <c r="C827" s="3" t="s">
        <v>55</v>
      </c>
      <c r="D827" s="3">
        <v>1003708.875</v>
      </c>
    </row>
    <row r="828" spans="1:4" x14ac:dyDescent="0.25">
      <c r="A828" s="2" t="s">
        <v>29</v>
      </c>
      <c r="B828" s="3" t="s">
        <v>5</v>
      </c>
      <c r="C828" s="3" t="s">
        <v>56</v>
      </c>
      <c r="D828" s="3">
        <v>1016693.625</v>
      </c>
    </row>
    <row r="829" spans="1:4" x14ac:dyDescent="0.25">
      <c r="A829" s="2" t="s">
        <v>29</v>
      </c>
      <c r="B829" s="3" t="s">
        <v>5</v>
      </c>
      <c r="C829" s="3" t="s">
        <v>57</v>
      </c>
      <c r="D829" s="3">
        <v>1037543.75</v>
      </c>
    </row>
    <row r="830" spans="1:4" x14ac:dyDescent="0.25">
      <c r="A830" s="2" t="s">
        <v>29</v>
      </c>
      <c r="B830" s="3" t="s">
        <v>5</v>
      </c>
      <c r="C830" s="3" t="s">
        <v>58</v>
      </c>
      <c r="D830" s="3">
        <v>1072370.25</v>
      </c>
    </row>
    <row r="831" spans="1:4" x14ac:dyDescent="0.25">
      <c r="A831" s="2" t="s">
        <v>29</v>
      </c>
      <c r="B831" s="3" t="s">
        <v>5</v>
      </c>
      <c r="C831" s="3" t="s">
        <v>59</v>
      </c>
      <c r="D831" s="3">
        <v>1064414.75</v>
      </c>
    </row>
    <row r="832" spans="1:4" x14ac:dyDescent="0.25">
      <c r="A832" s="2" t="s">
        <v>29</v>
      </c>
      <c r="B832" s="3" t="s">
        <v>5</v>
      </c>
      <c r="C832" s="3" t="s">
        <v>60</v>
      </c>
      <c r="D832" s="3">
        <v>1034081.875</v>
      </c>
    </row>
    <row r="833" spans="1:4" x14ac:dyDescent="0.25">
      <c r="A833" s="2" t="s">
        <v>29</v>
      </c>
      <c r="B833" s="3" t="s">
        <v>5</v>
      </c>
      <c r="C833" s="3" t="s">
        <v>61</v>
      </c>
      <c r="D833" s="3">
        <v>1014087.8125</v>
      </c>
    </row>
    <row r="834" spans="1:4" x14ac:dyDescent="0.25">
      <c r="A834" s="2" t="s">
        <v>29</v>
      </c>
      <c r="B834" s="3" t="s">
        <v>5</v>
      </c>
      <c r="C834" s="3" t="s">
        <v>62</v>
      </c>
      <c r="D834" s="3">
        <v>1024201.375</v>
      </c>
    </row>
    <row r="835" spans="1:4" x14ac:dyDescent="0.25">
      <c r="A835" s="2" t="s">
        <v>29</v>
      </c>
      <c r="B835" s="3" t="s">
        <v>5</v>
      </c>
      <c r="C835" s="3" t="s">
        <v>63</v>
      </c>
      <c r="D835" s="3">
        <v>1041525.5</v>
      </c>
    </row>
    <row r="836" spans="1:4" x14ac:dyDescent="0.25">
      <c r="A836" s="2" t="s">
        <v>29</v>
      </c>
      <c r="B836" s="3" t="s">
        <v>5</v>
      </c>
      <c r="C836" s="3" t="s">
        <v>64</v>
      </c>
      <c r="D836" s="3">
        <v>1076258.25</v>
      </c>
    </row>
    <row r="837" spans="1:4" x14ac:dyDescent="0.25">
      <c r="A837" s="2" t="s">
        <v>29</v>
      </c>
      <c r="B837" s="3" t="s">
        <v>5</v>
      </c>
      <c r="C837" s="3" t="s">
        <v>65</v>
      </c>
      <c r="D837" s="3">
        <v>1063582</v>
      </c>
    </row>
    <row r="838" spans="1:4" x14ac:dyDescent="0.25">
      <c r="A838" s="2" t="s">
        <v>29</v>
      </c>
      <c r="B838" s="3" t="s">
        <v>5</v>
      </c>
      <c r="C838" s="3" t="s">
        <v>66</v>
      </c>
      <c r="D838" s="3">
        <v>1027248</v>
      </c>
    </row>
    <row r="839" spans="1:4" x14ac:dyDescent="0.25">
      <c r="A839" s="2" t="s">
        <v>18</v>
      </c>
      <c r="B839" s="3" t="s">
        <v>5</v>
      </c>
      <c r="C839" s="3" t="s">
        <v>36</v>
      </c>
      <c r="D839" s="3">
        <v>5255871.5</v>
      </c>
    </row>
    <row r="840" spans="1:4" x14ac:dyDescent="0.25">
      <c r="A840" s="5" t="s">
        <v>18</v>
      </c>
      <c r="B840" s="6" t="s">
        <v>5</v>
      </c>
      <c r="C840" s="6" t="s">
        <v>37</v>
      </c>
      <c r="D840" s="6">
        <v>5139707.5</v>
      </c>
    </row>
    <row r="841" spans="1:4" x14ac:dyDescent="0.25">
      <c r="A841" s="2" t="s">
        <v>18</v>
      </c>
      <c r="B841" s="3" t="s">
        <v>5</v>
      </c>
      <c r="C841" s="3" t="s">
        <v>38</v>
      </c>
      <c r="D841" s="3">
        <v>5198126</v>
      </c>
    </row>
    <row r="842" spans="1:4" x14ac:dyDescent="0.25">
      <c r="A842" s="5" t="s">
        <v>18</v>
      </c>
      <c r="B842" s="6" t="s">
        <v>5</v>
      </c>
      <c r="C842" s="6" t="s">
        <v>39</v>
      </c>
      <c r="D842" s="6">
        <v>5298655</v>
      </c>
    </row>
    <row r="843" spans="1:4" x14ac:dyDescent="0.25">
      <c r="A843" s="2" t="s">
        <v>18</v>
      </c>
      <c r="B843" s="3" t="s">
        <v>5</v>
      </c>
      <c r="C843" s="3" t="s">
        <v>40</v>
      </c>
      <c r="D843" s="3">
        <v>5501913</v>
      </c>
    </row>
    <row r="844" spans="1:4" x14ac:dyDescent="0.25">
      <c r="A844" s="5" t="s">
        <v>18</v>
      </c>
      <c r="B844" s="6" t="s">
        <v>5</v>
      </c>
      <c r="C844" s="6" t="s">
        <v>41</v>
      </c>
      <c r="D844" s="6">
        <v>5426311</v>
      </c>
    </row>
    <row r="845" spans="1:4" x14ac:dyDescent="0.25">
      <c r="A845" s="2" t="s">
        <v>18</v>
      </c>
      <c r="B845" s="3" t="s">
        <v>5</v>
      </c>
      <c r="C845" s="3" t="s">
        <v>42</v>
      </c>
      <c r="D845" s="3">
        <v>5211383</v>
      </c>
    </row>
    <row r="846" spans="1:4" x14ac:dyDescent="0.25">
      <c r="A846" s="5" t="s">
        <v>18</v>
      </c>
      <c r="B846" s="6" t="s">
        <v>5</v>
      </c>
      <c r="C846" s="6" t="s">
        <v>43</v>
      </c>
      <c r="D846" s="6">
        <v>4806268.5</v>
      </c>
    </row>
    <row r="847" spans="1:4" x14ac:dyDescent="0.25">
      <c r="A847" s="2" t="s">
        <v>18</v>
      </c>
      <c r="B847" s="3" t="s">
        <v>5</v>
      </c>
      <c r="C847" s="3" t="s">
        <v>44</v>
      </c>
      <c r="D847" s="3">
        <v>4879867.5</v>
      </c>
    </row>
    <row r="848" spans="1:4" x14ac:dyDescent="0.25">
      <c r="A848" s="5" t="s">
        <v>18</v>
      </c>
      <c r="B848" s="6" t="s">
        <v>5</v>
      </c>
      <c r="C848" s="6" t="s">
        <v>45</v>
      </c>
      <c r="D848" s="6">
        <v>4997752.5</v>
      </c>
    </row>
    <row r="849" spans="1:4" x14ac:dyDescent="0.25">
      <c r="A849" s="2" t="s">
        <v>18</v>
      </c>
      <c r="B849" s="3" t="s">
        <v>5</v>
      </c>
      <c r="C849" s="3" t="s">
        <v>46</v>
      </c>
      <c r="D849" s="3">
        <v>5192899</v>
      </c>
    </row>
    <row r="850" spans="1:4" x14ac:dyDescent="0.25">
      <c r="A850" s="5" t="s">
        <v>18</v>
      </c>
      <c r="B850" s="6" t="s">
        <v>5</v>
      </c>
      <c r="C850" s="6" t="s">
        <v>47</v>
      </c>
      <c r="D850" s="6">
        <v>5149592.5</v>
      </c>
    </row>
    <row r="851" spans="1:4" x14ac:dyDescent="0.25">
      <c r="A851" s="2" t="s">
        <v>18</v>
      </c>
      <c r="B851" s="3" t="s">
        <v>5</v>
      </c>
      <c r="C851" s="3" t="s">
        <v>48</v>
      </c>
      <c r="D851" s="3">
        <v>4981324.5</v>
      </c>
    </row>
    <row r="852" spans="1:4" x14ac:dyDescent="0.25">
      <c r="A852" s="5" t="s">
        <v>18</v>
      </c>
      <c r="B852" s="6" t="s">
        <v>5</v>
      </c>
      <c r="C852" s="6" t="s">
        <v>49</v>
      </c>
      <c r="D852" s="6">
        <v>4870131.5</v>
      </c>
    </row>
    <row r="853" spans="1:4" x14ac:dyDescent="0.25">
      <c r="A853" s="2" t="s">
        <v>18</v>
      </c>
      <c r="B853" s="3" t="s">
        <v>5</v>
      </c>
      <c r="C853" s="3" t="s">
        <v>50</v>
      </c>
      <c r="D853" s="3">
        <v>4926047.5</v>
      </c>
    </row>
    <row r="854" spans="1:4" x14ac:dyDescent="0.25">
      <c r="A854" s="5" t="s">
        <v>18</v>
      </c>
      <c r="B854" s="6" t="s">
        <v>5</v>
      </c>
      <c r="C854" s="6" t="s">
        <v>51</v>
      </c>
      <c r="D854" s="6">
        <v>5022273.5</v>
      </c>
    </row>
    <row r="855" spans="1:4" x14ac:dyDescent="0.25">
      <c r="A855" s="2" t="s">
        <v>18</v>
      </c>
      <c r="B855" s="3" t="s">
        <v>5</v>
      </c>
      <c r="C855" s="3" t="s">
        <v>52</v>
      </c>
      <c r="D855" s="3">
        <v>5216843</v>
      </c>
    </row>
    <row r="856" spans="1:4" x14ac:dyDescent="0.25">
      <c r="A856" s="5" t="s">
        <v>18</v>
      </c>
      <c r="B856" s="6" t="s">
        <v>5</v>
      </c>
      <c r="C856" s="6" t="s">
        <v>53</v>
      </c>
      <c r="D856" s="6">
        <v>5144464</v>
      </c>
    </row>
    <row r="857" spans="1:4" x14ac:dyDescent="0.25">
      <c r="A857" s="2" t="s">
        <v>18</v>
      </c>
      <c r="B857" s="3" t="s">
        <v>5</v>
      </c>
      <c r="C857" s="3" t="s">
        <v>54</v>
      </c>
      <c r="D857" s="3">
        <v>4938688.5</v>
      </c>
    </row>
    <row r="858" spans="1:4" x14ac:dyDescent="0.25">
      <c r="A858" s="2" t="s">
        <v>18</v>
      </c>
      <c r="B858" s="3" t="s">
        <v>5</v>
      </c>
      <c r="C858" s="3" t="s">
        <v>55</v>
      </c>
      <c r="D858" s="3">
        <v>5835340</v>
      </c>
    </row>
    <row r="859" spans="1:4" x14ac:dyDescent="0.25">
      <c r="A859" s="2" t="s">
        <v>18</v>
      </c>
      <c r="B859" s="3" t="s">
        <v>5</v>
      </c>
      <c r="C859" s="3" t="s">
        <v>56</v>
      </c>
      <c r="D859" s="3">
        <v>5923833.5</v>
      </c>
    </row>
    <row r="860" spans="1:4" x14ac:dyDescent="0.25">
      <c r="A860" s="2" t="s">
        <v>18</v>
      </c>
      <c r="B860" s="3" t="s">
        <v>5</v>
      </c>
      <c r="C860" s="3" t="s">
        <v>57</v>
      </c>
      <c r="D860" s="3">
        <v>6065584.5</v>
      </c>
    </row>
    <row r="861" spans="1:4" x14ac:dyDescent="0.25">
      <c r="A861" s="2" t="s">
        <v>18</v>
      </c>
      <c r="B861" s="3" t="s">
        <v>5</v>
      </c>
      <c r="C861" s="3" t="s">
        <v>58</v>
      </c>
      <c r="D861" s="3">
        <v>6300267.5</v>
      </c>
    </row>
    <row r="862" spans="1:4" x14ac:dyDescent="0.25">
      <c r="A862" s="2" t="s">
        <v>18</v>
      </c>
      <c r="B862" s="3" t="s">
        <v>5</v>
      </c>
      <c r="C862" s="3" t="s">
        <v>59</v>
      </c>
      <c r="D862" s="3">
        <v>6248163</v>
      </c>
    </row>
    <row r="863" spans="1:4" x14ac:dyDescent="0.25">
      <c r="A863" s="2" t="s">
        <v>18</v>
      </c>
      <c r="B863" s="3" t="s">
        <v>5</v>
      </c>
      <c r="C863" s="3" t="s">
        <v>60</v>
      </c>
      <c r="D863" s="3">
        <v>6045773.5</v>
      </c>
    </row>
    <row r="864" spans="1:4" x14ac:dyDescent="0.25">
      <c r="A864" s="2" t="s">
        <v>18</v>
      </c>
      <c r="B864" s="3" t="s">
        <v>5</v>
      </c>
      <c r="C864" s="3" t="s">
        <v>61</v>
      </c>
      <c r="D864" s="3">
        <v>5912038</v>
      </c>
    </row>
    <row r="865" spans="1:4" x14ac:dyDescent="0.25">
      <c r="A865" s="2" t="s">
        <v>18</v>
      </c>
      <c r="B865" s="3" t="s">
        <v>5</v>
      </c>
      <c r="C865" s="3" t="s">
        <v>62</v>
      </c>
      <c r="D865" s="3">
        <v>5979296.5</v>
      </c>
    </row>
    <row r="866" spans="1:4" x14ac:dyDescent="0.25">
      <c r="A866" s="2" t="s">
        <v>18</v>
      </c>
      <c r="B866" s="3" t="s">
        <v>5</v>
      </c>
      <c r="C866" s="3" t="s">
        <v>63</v>
      </c>
      <c r="D866" s="3">
        <v>6095033.5</v>
      </c>
    </row>
    <row r="867" spans="1:4" x14ac:dyDescent="0.25">
      <c r="A867" s="2" t="s">
        <v>18</v>
      </c>
      <c r="B867" s="3" t="s">
        <v>5</v>
      </c>
      <c r="C867" s="3" t="s">
        <v>64</v>
      </c>
      <c r="D867" s="3">
        <v>6329024</v>
      </c>
    </row>
    <row r="868" spans="1:4" x14ac:dyDescent="0.25">
      <c r="A868" s="2" t="s">
        <v>18</v>
      </c>
      <c r="B868" s="3" t="s">
        <v>5</v>
      </c>
      <c r="C868" s="3" t="s">
        <v>65</v>
      </c>
      <c r="D868" s="3">
        <v>6242004.5</v>
      </c>
    </row>
    <row r="869" spans="1:4" x14ac:dyDescent="0.25">
      <c r="A869" s="2" t="s">
        <v>18</v>
      </c>
      <c r="B869" s="3" t="s">
        <v>5</v>
      </c>
      <c r="C869" s="3" t="s">
        <v>66</v>
      </c>
      <c r="D869" s="3">
        <v>5994595</v>
      </c>
    </row>
    <row r="870" spans="1:4" x14ac:dyDescent="0.25">
      <c r="A870" s="5" t="s">
        <v>6</v>
      </c>
      <c r="B870" s="6" t="s">
        <v>5</v>
      </c>
      <c r="C870" s="6" t="s">
        <v>36</v>
      </c>
      <c r="D870" s="6">
        <v>3487874</v>
      </c>
    </row>
    <row r="871" spans="1:4" x14ac:dyDescent="0.25">
      <c r="A871" s="2" t="s">
        <v>6</v>
      </c>
      <c r="B871" s="3" t="s">
        <v>5</v>
      </c>
      <c r="C871" s="3" t="s">
        <v>37</v>
      </c>
      <c r="D871" s="3">
        <v>3420286.25</v>
      </c>
    </row>
    <row r="872" spans="1:4" x14ac:dyDescent="0.25">
      <c r="A872" s="5" t="s">
        <v>6</v>
      </c>
      <c r="B872" s="6" t="s">
        <v>5</v>
      </c>
      <c r="C872" s="6" t="s">
        <v>38</v>
      </c>
      <c r="D872" s="6">
        <v>3454264</v>
      </c>
    </row>
    <row r="873" spans="1:4" x14ac:dyDescent="0.25">
      <c r="A873" s="2" t="s">
        <v>6</v>
      </c>
      <c r="B873" s="3" t="s">
        <v>5</v>
      </c>
      <c r="C873" s="3" t="s">
        <v>39</v>
      </c>
      <c r="D873" s="3">
        <v>3512750</v>
      </c>
    </row>
    <row r="874" spans="1:4" x14ac:dyDescent="0.25">
      <c r="A874" s="5" t="s">
        <v>6</v>
      </c>
      <c r="B874" s="6" t="s">
        <v>5</v>
      </c>
      <c r="C874" s="6" t="s">
        <v>40</v>
      </c>
      <c r="D874" s="6">
        <v>3631054</v>
      </c>
    </row>
    <row r="875" spans="1:4" x14ac:dyDescent="0.25">
      <c r="A875" s="2" t="s">
        <v>6</v>
      </c>
      <c r="B875" s="3" t="s">
        <v>5</v>
      </c>
      <c r="C875" s="3" t="s">
        <v>41</v>
      </c>
      <c r="D875" s="3">
        <v>3587007.25</v>
      </c>
    </row>
    <row r="876" spans="1:4" x14ac:dyDescent="0.25">
      <c r="A876" s="5" t="s">
        <v>6</v>
      </c>
      <c r="B876" s="6" t="s">
        <v>5</v>
      </c>
      <c r="C876" s="6" t="s">
        <v>42</v>
      </c>
      <c r="D876" s="6">
        <v>3462058.75</v>
      </c>
    </row>
    <row r="877" spans="1:4" x14ac:dyDescent="0.25">
      <c r="A877" s="2" t="s">
        <v>6</v>
      </c>
      <c r="B877" s="3" t="s">
        <v>5</v>
      </c>
      <c r="C877" s="3" t="s">
        <v>43</v>
      </c>
      <c r="D877" s="3">
        <v>3240888.75</v>
      </c>
    </row>
    <row r="878" spans="1:4" x14ac:dyDescent="0.25">
      <c r="A878" s="5" t="s">
        <v>6</v>
      </c>
      <c r="B878" s="6" t="s">
        <v>5</v>
      </c>
      <c r="C878" s="6" t="s">
        <v>44</v>
      </c>
      <c r="D878" s="6">
        <v>3283756.75</v>
      </c>
    </row>
    <row r="879" spans="1:4" x14ac:dyDescent="0.25">
      <c r="A879" s="2" t="s">
        <v>6</v>
      </c>
      <c r="B879" s="3" t="s">
        <v>5</v>
      </c>
      <c r="C879" s="3" t="s">
        <v>45</v>
      </c>
      <c r="D879" s="3">
        <v>3352409.25</v>
      </c>
    </row>
    <row r="880" spans="1:4" x14ac:dyDescent="0.25">
      <c r="A880" s="5" t="s">
        <v>6</v>
      </c>
      <c r="B880" s="6" t="s">
        <v>5</v>
      </c>
      <c r="C880" s="6" t="s">
        <v>46</v>
      </c>
      <c r="D880" s="6">
        <v>3466001.75</v>
      </c>
    </row>
    <row r="881" spans="1:4" x14ac:dyDescent="0.25">
      <c r="A881" s="2" t="s">
        <v>6</v>
      </c>
      <c r="B881" s="3" t="s">
        <v>5</v>
      </c>
      <c r="C881" s="3" t="s">
        <v>47</v>
      </c>
      <c r="D881" s="3">
        <v>3440831.75</v>
      </c>
    </row>
    <row r="882" spans="1:4" x14ac:dyDescent="0.25">
      <c r="A882" s="5" t="s">
        <v>6</v>
      </c>
      <c r="B882" s="6" t="s">
        <v>5</v>
      </c>
      <c r="C882" s="6" t="s">
        <v>48</v>
      </c>
      <c r="D882" s="6">
        <v>3342934.5</v>
      </c>
    </row>
    <row r="883" spans="1:4" x14ac:dyDescent="0.25">
      <c r="A883" s="2" t="s">
        <v>6</v>
      </c>
      <c r="B883" s="3" t="s">
        <v>5</v>
      </c>
      <c r="C883" s="3" t="s">
        <v>49</v>
      </c>
      <c r="D883" s="3">
        <v>3278233.5</v>
      </c>
    </row>
    <row r="884" spans="1:4" x14ac:dyDescent="0.25">
      <c r="A884" s="5" t="s">
        <v>6</v>
      </c>
      <c r="B884" s="6" t="s">
        <v>5</v>
      </c>
      <c r="C884" s="6" t="s">
        <v>50</v>
      </c>
      <c r="D884" s="6">
        <v>3310758.75</v>
      </c>
    </row>
    <row r="885" spans="1:4" x14ac:dyDescent="0.25">
      <c r="A885" s="2" t="s">
        <v>6</v>
      </c>
      <c r="B885" s="3" t="s">
        <v>5</v>
      </c>
      <c r="C885" s="3" t="s">
        <v>51</v>
      </c>
      <c r="D885" s="3">
        <v>3366746.25</v>
      </c>
    </row>
    <row r="886" spans="1:4" x14ac:dyDescent="0.25">
      <c r="A886" s="5" t="s">
        <v>6</v>
      </c>
      <c r="B886" s="6" t="s">
        <v>5</v>
      </c>
      <c r="C886" s="6" t="s">
        <v>52</v>
      </c>
      <c r="D886" s="6">
        <v>3480002.25</v>
      </c>
    </row>
    <row r="887" spans="1:4" x14ac:dyDescent="0.25">
      <c r="A887" s="2" t="s">
        <v>6</v>
      </c>
      <c r="B887" s="3" t="s">
        <v>5</v>
      </c>
      <c r="C887" s="3" t="s">
        <v>53</v>
      </c>
      <c r="D887" s="3">
        <v>3437830.75</v>
      </c>
    </row>
    <row r="888" spans="1:4" x14ac:dyDescent="0.25">
      <c r="A888" s="5" t="s">
        <v>6</v>
      </c>
      <c r="B888" s="6" t="s">
        <v>5</v>
      </c>
      <c r="C888" s="6" t="s">
        <v>54</v>
      </c>
      <c r="D888" s="6">
        <v>3318210.25</v>
      </c>
    </row>
    <row r="889" spans="1:4" x14ac:dyDescent="0.25">
      <c r="A889" s="5" t="s">
        <v>6</v>
      </c>
      <c r="B889" s="6" t="s">
        <v>5</v>
      </c>
      <c r="C889" s="6" t="s">
        <v>55</v>
      </c>
      <c r="D889" s="6">
        <v>3969032.25</v>
      </c>
    </row>
    <row r="890" spans="1:4" x14ac:dyDescent="0.25">
      <c r="A890" s="5" t="s">
        <v>6</v>
      </c>
      <c r="B890" s="6" t="s">
        <v>5</v>
      </c>
      <c r="C890" s="6" t="s">
        <v>56</v>
      </c>
      <c r="D890" s="6">
        <v>4020473</v>
      </c>
    </row>
    <row r="891" spans="1:4" x14ac:dyDescent="0.25">
      <c r="A891" s="5" t="s">
        <v>6</v>
      </c>
      <c r="B891" s="6" t="s">
        <v>5</v>
      </c>
      <c r="C891" s="6" t="s">
        <v>57</v>
      </c>
      <c r="D891" s="6">
        <v>4102861.5</v>
      </c>
    </row>
    <row r="892" spans="1:4" x14ac:dyDescent="0.25">
      <c r="A892" s="5" t="s">
        <v>6</v>
      </c>
      <c r="B892" s="6" t="s">
        <v>5</v>
      </c>
      <c r="C892" s="6" t="s">
        <v>58</v>
      </c>
      <c r="D892" s="6">
        <v>4239200</v>
      </c>
    </row>
    <row r="893" spans="1:4" x14ac:dyDescent="0.25">
      <c r="A893" s="5" t="s">
        <v>6</v>
      </c>
      <c r="B893" s="6" t="s">
        <v>5</v>
      </c>
      <c r="C893" s="6" t="s">
        <v>59</v>
      </c>
      <c r="D893" s="6">
        <v>4208974</v>
      </c>
    </row>
    <row r="894" spans="1:4" x14ac:dyDescent="0.25">
      <c r="A894" s="5" t="s">
        <v>6</v>
      </c>
      <c r="B894" s="6" t="s">
        <v>5</v>
      </c>
      <c r="C894" s="6" t="s">
        <v>60</v>
      </c>
      <c r="D894" s="6">
        <v>4091454.25</v>
      </c>
    </row>
    <row r="895" spans="1:4" x14ac:dyDescent="0.25">
      <c r="A895" s="5" t="s">
        <v>6</v>
      </c>
      <c r="B895" s="6" t="s">
        <v>5</v>
      </c>
      <c r="C895" s="6" t="s">
        <v>61</v>
      </c>
      <c r="D895" s="6">
        <v>4013789</v>
      </c>
    </row>
    <row r="896" spans="1:4" x14ac:dyDescent="0.25">
      <c r="A896" s="5" t="s">
        <v>6</v>
      </c>
      <c r="B896" s="6" t="s">
        <v>5</v>
      </c>
      <c r="C896" s="6" t="s">
        <v>62</v>
      </c>
      <c r="D896" s="6">
        <v>4052836</v>
      </c>
    </row>
    <row r="897" spans="1:4" x14ac:dyDescent="0.25">
      <c r="A897" s="5" t="s">
        <v>6</v>
      </c>
      <c r="B897" s="6" t="s">
        <v>5</v>
      </c>
      <c r="C897" s="6" t="s">
        <v>63</v>
      </c>
      <c r="D897" s="6">
        <v>4120044.5</v>
      </c>
    </row>
    <row r="898" spans="1:4" x14ac:dyDescent="0.25">
      <c r="A898" s="5" t="s">
        <v>6</v>
      </c>
      <c r="B898" s="6" t="s">
        <v>5</v>
      </c>
      <c r="C898" s="6" t="s">
        <v>64</v>
      </c>
      <c r="D898" s="6">
        <v>4255980</v>
      </c>
    </row>
    <row r="899" spans="1:4" x14ac:dyDescent="0.25">
      <c r="A899" s="5" t="s">
        <v>6</v>
      </c>
      <c r="B899" s="6" t="s">
        <v>5</v>
      </c>
      <c r="C899" s="6" t="s">
        <v>65</v>
      </c>
      <c r="D899" s="6">
        <v>4205378.5</v>
      </c>
    </row>
    <row r="900" spans="1:4" x14ac:dyDescent="0.25">
      <c r="A900" s="5" t="s">
        <v>6</v>
      </c>
      <c r="B900" s="6" t="s">
        <v>5</v>
      </c>
      <c r="C900" s="6" t="s">
        <v>66</v>
      </c>
      <c r="D900" s="6">
        <v>4061861.5</v>
      </c>
    </row>
    <row r="901" spans="1:4" x14ac:dyDescent="0.25">
      <c r="A901" s="2" t="s">
        <v>23</v>
      </c>
      <c r="B901" s="3" t="s">
        <v>5</v>
      </c>
      <c r="C901" s="3" t="s">
        <v>36</v>
      </c>
      <c r="D901" s="3">
        <v>3507482.5</v>
      </c>
    </row>
    <row r="902" spans="1:4" x14ac:dyDescent="0.25">
      <c r="A902" s="5" t="s">
        <v>23</v>
      </c>
      <c r="B902" s="6" t="s">
        <v>5</v>
      </c>
      <c r="C902" s="6" t="s">
        <v>37</v>
      </c>
      <c r="D902" s="6">
        <v>3437891.75</v>
      </c>
    </row>
    <row r="903" spans="1:4" x14ac:dyDescent="0.25">
      <c r="A903" s="2" t="s">
        <v>23</v>
      </c>
      <c r="B903" s="3" t="s">
        <v>5</v>
      </c>
      <c r="C903" s="3" t="s">
        <v>38</v>
      </c>
      <c r="D903" s="3">
        <v>3473972.25</v>
      </c>
    </row>
    <row r="904" spans="1:4" x14ac:dyDescent="0.25">
      <c r="A904" s="5" t="s">
        <v>23</v>
      </c>
      <c r="B904" s="6" t="s">
        <v>5</v>
      </c>
      <c r="C904" s="6" t="s">
        <v>39</v>
      </c>
      <c r="D904" s="6">
        <v>3534294</v>
      </c>
    </row>
    <row r="905" spans="1:4" x14ac:dyDescent="0.25">
      <c r="A905" s="2" t="s">
        <v>23</v>
      </c>
      <c r="B905" s="3" t="s">
        <v>5</v>
      </c>
      <c r="C905" s="3" t="s">
        <v>40</v>
      </c>
      <c r="D905" s="3">
        <v>3661861.5</v>
      </c>
    </row>
    <row r="906" spans="1:4" x14ac:dyDescent="0.25">
      <c r="A906" s="5" t="s">
        <v>23</v>
      </c>
      <c r="B906" s="6" t="s">
        <v>5</v>
      </c>
      <c r="C906" s="6" t="s">
        <v>41</v>
      </c>
      <c r="D906" s="6">
        <v>3612096.25</v>
      </c>
    </row>
    <row r="907" spans="1:4" x14ac:dyDescent="0.25">
      <c r="A907" s="2" t="s">
        <v>23</v>
      </c>
      <c r="B907" s="3" t="s">
        <v>5</v>
      </c>
      <c r="C907" s="3" t="s">
        <v>42</v>
      </c>
      <c r="D907" s="3">
        <v>3479406</v>
      </c>
    </row>
    <row r="908" spans="1:4" x14ac:dyDescent="0.25">
      <c r="A908" s="5" t="s">
        <v>23</v>
      </c>
      <c r="B908" s="6" t="s">
        <v>5</v>
      </c>
      <c r="C908" s="6" t="s">
        <v>43</v>
      </c>
      <c r="D908" s="6">
        <v>3179837.75</v>
      </c>
    </row>
    <row r="909" spans="1:4" x14ac:dyDescent="0.25">
      <c r="A909" s="2" t="s">
        <v>23</v>
      </c>
      <c r="B909" s="3" t="s">
        <v>5</v>
      </c>
      <c r="C909" s="3" t="s">
        <v>44</v>
      </c>
      <c r="D909" s="3">
        <v>3220794.75</v>
      </c>
    </row>
    <row r="910" spans="1:4" x14ac:dyDescent="0.25">
      <c r="A910" s="5" t="s">
        <v>23</v>
      </c>
      <c r="B910" s="6" t="s">
        <v>5</v>
      </c>
      <c r="C910" s="6" t="s">
        <v>45</v>
      </c>
      <c r="D910" s="6">
        <v>3300032</v>
      </c>
    </row>
    <row r="911" spans="1:4" x14ac:dyDescent="0.25">
      <c r="A911" s="2" t="s">
        <v>23</v>
      </c>
      <c r="B911" s="3" t="s">
        <v>5</v>
      </c>
      <c r="C911" s="3" t="s">
        <v>46</v>
      </c>
      <c r="D911" s="3">
        <v>3421685</v>
      </c>
    </row>
    <row r="912" spans="1:4" x14ac:dyDescent="0.25">
      <c r="A912" s="5" t="s">
        <v>23</v>
      </c>
      <c r="B912" s="6" t="s">
        <v>5</v>
      </c>
      <c r="C912" s="6" t="s">
        <v>47</v>
      </c>
      <c r="D912" s="6">
        <v>3395454.75</v>
      </c>
    </row>
    <row r="913" spans="1:4" x14ac:dyDescent="0.25">
      <c r="A913" s="2" t="s">
        <v>23</v>
      </c>
      <c r="B913" s="3" t="s">
        <v>5</v>
      </c>
      <c r="C913" s="3" t="s">
        <v>48</v>
      </c>
      <c r="D913" s="3">
        <v>3290130.5</v>
      </c>
    </row>
    <row r="914" spans="1:4" x14ac:dyDescent="0.25">
      <c r="A914" s="5" t="s">
        <v>23</v>
      </c>
      <c r="B914" s="6" t="s">
        <v>5</v>
      </c>
      <c r="C914" s="6" t="s">
        <v>49</v>
      </c>
      <c r="D914" s="6">
        <v>3224645.25</v>
      </c>
    </row>
    <row r="915" spans="1:4" x14ac:dyDescent="0.25">
      <c r="A915" s="2" t="s">
        <v>23</v>
      </c>
      <c r="B915" s="3" t="s">
        <v>5</v>
      </c>
      <c r="C915" s="3" t="s">
        <v>50</v>
      </c>
      <c r="D915" s="3">
        <v>3259903</v>
      </c>
    </row>
    <row r="916" spans="1:4" x14ac:dyDescent="0.25">
      <c r="A916" s="5" t="s">
        <v>23</v>
      </c>
      <c r="B916" s="6" t="s">
        <v>5</v>
      </c>
      <c r="C916" s="6" t="s">
        <v>51</v>
      </c>
      <c r="D916" s="6">
        <v>3315988.25</v>
      </c>
    </row>
    <row r="917" spans="1:4" x14ac:dyDescent="0.25">
      <c r="A917" s="2" t="s">
        <v>23</v>
      </c>
      <c r="B917" s="3" t="s">
        <v>5</v>
      </c>
      <c r="C917" s="3" t="s">
        <v>52</v>
      </c>
      <c r="D917" s="3">
        <v>3437087.75</v>
      </c>
    </row>
    <row r="918" spans="1:4" x14ac:dyDescent="0.25">
      <c r="A918" s="5" t="s">
        <v>23</v>
      </c>
      <c r="B918" s="6" t="s">
        <v>5</v>
      </c>
      <c r="C918" s="6" t="s">
        <v>53</v>
      </c>
      <c r="D918" s="6">
        <v>3390243.75</v>
      </c>
    </row>
    <row r="919" spans="1:4" x14ac:dyDescent="0.25">
      <c r="A919" s="2" t="s">
        <v>23</v>
      </c>
      <c r="B919" s="3" t="s">
        <v>5</v>
      </c>
      <c r="C919" s="3" t="s">
        <v>54</v>
      </c>
      <c r="D919" s="3">
        <v>3263943.25</v>
      </c>
    </row>
    <row r="920" spans="1:4" x14ac:dyDescent="0.25">
      <c r="A920" s="5" t="s">
        <v>23</v>
      </c>
      <c r="B920" s="6" t="s">
        <v>5</v>
      </c>
      <c r="C920" s="6" t="s">
        <v>55</v>
      </c>
      <c r="D920" s="6">
        <v>3889144.75</v>
      </c>
    </row>
    <row r="921" spans="1:4" x14ac:dyDescent="0.25">
      <c r="A921" s="5" t="s">
        <v>23</v>
      </c>
      <c r="B921" s="6" t="s">
        <v>5</v>
      </c>
      <c r="C921" s="6" t="s">
        <v>56</v>
      </c>
      <c r="D921" s="6">
        <v>3940077.5</v>
      </c>
    </row>
    <row r="922" spans="1:4" x14ac:dyDescent="0.25">
      <c r="A922" s="5" t="s">
        <v>23</v>
      </c>
      <c r="B922" s="6" t="s">
        <v>5</v>
      </c>
      <c r="C922" s="6" t="s">
        <v>57</v>
      </c>
      <c r="D922" s="6">
        <v>4033538.75</v>
      </c>
    </row>
    <row r="923" spans="1:4" x14ac:dyDescent="0.25">
      <c r="A923" s="5" t="s">
        <v>23</v>
      </c>
      <c r="B923" s="6" t="s">
        <v>5</v>
      </c>
      <c r="C923" s="6" t="s">
        <v>58</v>
      </c>
      <c r="D923" s="6">
        <v>4177498.25</v>
      </c>
    </row>
    <row r="924" spans="1:4" x14ac:dyDescent="0.25">
      <c r="A924" s="5" t="s">
        <v>23</v>
      </c>
      <c r="B924" s="6" t="s">
        <v>5</v>
      </c>
      <c r="C924" s="6" t="s">
        <v>59</v>
      </c>
      <c r="D924" s="6">
        <v>4147807.5</v>
      </c>
    </row>
    <row r="925" spans="1:4" x14ac:dyDescent="0.25">
      <c r="A925" s="5" t="s">
        <v>23</v>
      </c>
      <c r="B925" s="6" t="s">
        <v>5</v>
      </c>
      <c r="C925" s="6" t="s">
        <v>60</v>
      </c>
      <c r="D925" s="6">
        <v>4020158</v>
      </c>
    </row>
    <row r="926" spans="1:4" x14ac:dyDescent="0.25">
      <c r="A926" s="5" t="s">
        <v>23</v>
      </c>
      <c r="B926" s="6" t="s">
        <v>5</v>
      </c>
      <c r="C926" s="6" t="s">
        <v>61</v>
      </c>
      <c r="D926" s="6">
        <v>3940457</v>
      </c>
    </row>
    <row r="927" spans="1:4" x14ac:dyDescent="0.25">
      <c r="A927" s="5" t="s">
        <v>23</v>
      </c>
      <c r="B927" s="6" t="s">
        <v>5</v>
      </c>
      <c r="C927" s="6" t="s">
        <v>62</v>
      </c>
      <c r="D927" s="6">
        <v>3982013.5</v>
      </c>
    </row>
    <row r="928" spans="1:4" x14ac:dyDescent="0.25">
      <c r="A928" s="5" t="s">
        <v>23</v>
      </c>
      <c r="B928" s="6" t="s">
        <v>5</v>
      </c>
      <c r="C928" s="6" t="s">
        <v>63</v>
      </c>
      <c r="D928" s="6">
        <v>4051201</v>
      </c>
    </row>
    <row r="929" spans="1:4" x14ac:dyDescent="0.25">
      <c r="A929" s="5" t="s">
        <v>23</v>
      </c>
      <c r="B929" s="6" t="s">
        <v>5</v>
      </c>
      <c r="C929" s="6" t="s">
        <v>64</v>
      </c>
      <c r="D929" s="6">
        <v>4196407.5</v>
      </c>
    </row>
    <row r="930" spans="1:4" x14ac:dyDescent="0.25">
      <c r="A930" s="5" t="s">
        <v>23</v>
      </c>
      <c r="B930" s="6" t="s">
        <v>5</v>
      </c>
      <c r="C930" s="6" t="s">
        <v>65</v>
      </c>
      <c r="D930" s="6">
        <v>4139504.5</v>
      </c>
    </row>
    <row r="931" spans="1:4" x14ac:dyDescent="0.25">
      <c r="A931" s="5" t="s">
        <v>23</v>
      </c>
      <c r="B931" s="6" t="s">
        <v>5</v>
      </c>
      <c r="C931" s="6" t="s">
        <v>66</v>
      </c>
      <c r="D931" s="6">
        <v>3986197</v>
      </c>
    </row>
    <row r="932" spans="1:4" x14ac:dyDescent="0.25">
      <c r="A932" s="5" t="s">
        <v>32</v>
      </c>
      <c r="B932" s="6" t="s">
        <v>5</v>
      </c>
      <c r="C932" s="6" t="s">
        <v>36</v>
      </c>
      <c r="D932" s="6">
        <v>1325566.875</v>
      </c>
    </row>
    <row r="933" spans="1:4" x14ac:dyDescent="0.25">
      <c r="A933" s="2" t="s">
        <v>32</v>
      </c>
      <c r="B933" s="3" t="s">
        <v>5</v>
      </c>
      <c r="C933" s="3" t="s">
        <v>37</v>
      </c>
      <c r="D933" s="3">
        <v>1302890.25</v>
      </c>
    </row>
    <row r="934" spans="1:4" x14ac:dyDescent="0.25">
      <c r="A934" s="5" t="s">
        <v>32</v>
      </c>
      <c r="B934" s="6" t="s">
        <v>5</v>
      </c>
      <c r="C934" s="6" t="s">
        <v>38</v>
      </c>
      <c r="D934" s="6">
        <v>1314290.125</v>
      </c>
    </row>
    <row r="935" spans="1:4" x14ac:dyDescent="0.25">
      <c r="A935" s="2" t="s">
        <v>32</v>
      </c>
      <c r="B935" s="3" t="s">
        <v>5</v>
      </c>
      <c r="C935" s="3" t="s">
        <v>39</v>
      </c>
      <c r="D935" s="3">
        <v>1333913.625</v>
      </c>
    </row>
    <row r="936" spans="1:4" x14ac:dyDescent="0.25">
      <c r="A936" s="5" t="s">
        <v>32</v>
      </c>
      <c r="B936" s="6" t="s">
        <v>5</v>
      </c>
      <c r="C936" s="6" t="s">
        <v>40</v>
      </c>
      <c r="D936" s="6">
        <v>1373610</v>
      </c>
    </row>
    <row r="937" spans="1:4" x14ac:dyDescent="0.25">
      <c r="A937" s="2" t="s">
        <v>32</v>
      </c>
      <c r="B937" s="3" t="s">
        <v>5</v>
      </c>
      <c r="C937" s="3" t="s">
        <v>41</v>
      </c>
      <c r="D937" s="3">
        <v>1358827.5</v>
      </c>
    </row>
    <row r="938" spans="1:4" x14ac:dyDescent="0.25">
      <c r="A938" s="5" t="s">
        <v>32</v>
      </c>
      <c r="B938" s="6" t="s">
        <v>5</v>
      </c>
      <c r="C938" s="6" t="s">
        <v>42</v>
      </c>
      <c r="D938" s="6">
        <v>1316972.625</v>
      </c>
    </row>
    <row r="939" spans="1:4" x14ac:dyDescent="0.25">
      <c r="A939" s="2" t="s">
        <v>32</v>
      </c>
      <c r="B939" s="3" t="s">
        <v>5</v>
      </c>
      <c r="C939" s="3" t="s">
        <v>43</v>
      </c>
      <c r="D939" s="3">
        <v>1204136.375</v>
      </c>
    </row>
    <row r="940" spans="1:4" x14ac:dyDescent="0.25">
      <c r="A940" s="5" t="s">
        <v>32</v>
      </c>
      <c r="B940" s="6" t="s">
        <v>5</v>
      </c>
      <c r="C940" s="6" t="s">
        <v>44</v>
      </c>
      <c r="D940" s="6">
        <v>1218513</v>
      </c>
    </row>
    <row r="941" spans="1:4" x14ac:dyDescent="0.25">
      <c r="A941" s="2" t="s">
        <v>32</v>
      </c>
      <c r="B941" s="3" t="s">
        <v>5</v>
      </c>
      <c r="C941" s="3" t="s">
        <v>45</v>
      </c>
      <c r="D941" s="3">
        <v>1241540.25</v>
      </c>
    </row>
    <row r="942" spans="1:4" x14ac:dyDescent="0.25">
      <c r="A942" s="5" t="s">
        <v>32</v>
      </c>
      <c r="B942" s="6" t="s">
        <v>5</v>
      </c>
      <c r="C942" s="6" t="s">
        <v>46</v>
      </c>
      <c r="D942" s="6">
        <v>1279638.5</v>
      </c>
    </row>
    <row r="943" spans="1:4" x14ac:dyDescent="0.25">
      <c r="A943" s="2" t="s">
        <v>32</v>
      </c>
      <c r="B943" s="3" t="s">
        <v>5</v>
      </c>
      <c r="C943" s="3" t="s">
        <v>47</v>
      </c>
      <c r="D943" s="3">
        <v>1271196</v>
      </c>
    </row>
    <row r="944" spans="1:4" x14ac:dyDescent="0.25">
      <c r="A944" s="5" t="s">
        <v>32</v>
      </c>
      <c r="B944" s="6" t="s">
        <v>5</v>
      </c>
      <c r="C944" s="6" t="s">
        <v>48</v>
      </c>
      <c r="D944" s="6">
        <v>1238361.875</v>
      </c>
    </row>
    <row r="945" spans="1:4" x14ac:dyDescent="0.25">
      <c r="A945" s="2" t="s">
        <v>32</v>
      </c>
      <c r="B945" s="3" t="s">
        <v>5</v>
      </c>
      <c r="C945" s="3" t="s">
        <v>49</v>
      </c>
      <c r="D945" s="3">
        <v>1216662.25</v>
      </c>
    </row>
    <row r="946" spans="1:4" x14ac:dyDescent="0.25">
      <c r="A946" s="5" t="s">
        <v>32</v>
      </c>
      <c r="B946" s="6" t="s">
        <v>5</v>
      </c>
      <c r="C946" s="6" t="s">
        <v>50</v>
      </c>
      <c r="D946" s="6">
        <v>1227571</v>
      </c>
    </row>
    <row r="947" spans="1:4" x14ac:dyDescent="0.25">
      <c r="A947" s="2" t="s">
        <v>32</v>
      </c>
      <c r="B947" s="3" t="s">
        <v>5</v>
      </c>
      <c r="C947" s="3" t="s">
        <v>51</v>
      </c>
      <c r="D947" s="3">
        <v>1246349</v>
      </c>
    </row>
    <row r="948" spans="1:4" x14ac:dyDescent="0.25">
      <c r="A948" s="5" t="s">
        <v>32</v>
      </c>
      <c r="B948" s="6" t="s">
        <v>5</v>
      </c>
      <c r="C948" s="6" t="s">
        <v>52</v>
      </c>
      <c r="D948" s="6">
        <v>1284335</v>
      </c>
    </row>
    <row r="949" spans="1:4" x14ac:dyDescent="0.25">
      <c r="A949" s="2" t="s">
        <v>32</v>
      </c>
      <c r="B949" s="3" t="s">
        <v>5</v>
      </c>
      <c r="C949" s="3" t="s">
        <v>53</v>
      </c>
      <c r="D949" s="3">
        <v>1270189.625</v>
      </c>
    </row>
    <row r="950" spans="1:4" x14ac:dyDescent="0.25">
      <c r="A950" s="5" t="s">
        <v>32</v>
      </c>
      <c r="B950" s="6" t="s">
        <v>5</v>
      </c>
      <c r="C950" s="6" t="s">
        <v>54</v>
      </c>
      <c r="D950" s="6">
        <v>1230123.75</v>
      </c>
    </row>
    <row r="951" spans="1:4" x14ac:dyDescent="0.25">
      <c r="A951" s="5" t="s">
        <v>32</v>
      </c>
      <c r="B951" s="6" t="s">
        <v>5</v>
      </c>
      <c r="C951" s="6" t="s">
        <v>55</v>
      </c>
      <c r="D951" s="6">
        <v>1509271.5</v>
      </c>
    </row>
    <row r="952" spans="1:4" x14ac:dyDescent="0.25">
      <c r="A952" s="5" t="s">
        <v>32</v>
      </c>
      <c r="B952" s="6" t="s">
        <v>5</v>
      </c>
      <c r="C952" s="6" t="s">
        <v>56</v>
      </c>
      <c r="D952" s="6">
        <v>1526553.875</v>
      </c>
    </row>
    <row r="953" spans="1:4" x14ac:dyDescent="0.25">
      <c r="A953" s="5" t="s">
        <v>32</v>
      </c>
      <c r="B953" s="6" t="s">
        <v>5</v>
      </c>
      <c r="C953" s="6" t="s">
        <v>57</v>
      </c>
      <c r="D953" s="6">
        <v>1554234.75</v>
      </c>
    </row>
    <row r="954" spans="1:4" x14ac:dyDescent="0.25">
      <c r="A954" s="5" t="s">
        <v>32</v>
      </c>
      <c r="B954" s="6" t="s">
        <v>5</v>
      </c>
      <c r="C954" s="6" t="s">
        <v>58</v>
      </c>
      <c r="D954" s="6">
        <v>1600031.75</v>
      </c>
    </row>
    <row r="955" spans="1:4" x14ac:dyDescent="0.25">
      <c r="A955" s="5" t="s">
        <v>32</v>
      </c>
      <c r="B955" s="6" t="s">
        <v>5</v>
      </c>
      <c r="C955" s="6" t="s">
        <v>59</v>
      </c>
      <c r="D955" s="6">
        <v>1589883.875</v>
      </c>
    </row>
    <row r="956" spans="1:4" x14ac:dyDescent="0.25">
      <c r="A956" s="5" t="s">
        <v>32</v>
      </c>
      <c r="B956" s="6" t="s">
        <v>5</v>
      </c>
      <c r="C956" s="6" t="s">
        <v>60</v>
      </c>
      <c r="D956" s="6">
        <v>1550416</v>
      </c>
    </row>
    <row r="957" spans="1:4" x14ac:dyDescent="0.25">
      <c r="A957" s="5" t="s">
        <v>32</v>
      </c>
      <c r="B957" s="6" t="s">
        <v>5</v>
      </c>
      <c r="C957" s="6" t="s">
        <v>61</v>
      </c>
      <c r="D957" s="6">
        <v>1524331.75</v>
      </c>
    </row>
    <row r="958" spans="1:4" x14ac:dyDescent="0.25">
      <c r="A958" s="5" t="s">
        <v>32</v>
      </c>
      <c r="B958" s="6" t="s">
        <v>5</v>
      </c>
      <c r="C958" s="6" t="s">
        <v>62</v>
      </c>
      <c r="D958" s="6">
        <v>1537444.75</v>
      </c>
    </row>
    <row r="959" spans="1:4" x14ac:dyDescent="0.25">
      <c r="A959" s="5" t="s">
        <v>32</v>
      </c>
      <c r="B959" s="6" t="s">
        <v>5</v>
      </c>
      <c r="C959" s="6" t="s">
        <v>63</v>
      </c>
      <c r="D959" s="6">
        <v>1560016.625</v>
      </c>
    </row>
    <row r="960" spans="1:4" x14ac:dyDescent="0.25">
      <c r="A960" s="5" t="s">
        <v>32</v>
      </c>
      <c r="B960" s="6" t="s">
        <v>5</v>
      </c>
      <c r="C960" s="6" t="s">
        <v>64</v>
      </c>
      <c r="D960" s="6">
        <v>1605678.75</v>
      </c>
    </row>
    <row r="961" spans="1:4" x14ac:dyDescent="0.25">
      <c r="A961" s="5" t="s">
        <v>32</v>
      </c>
      <c r="B961" s="6" t="s">
        <v>5</v>
      </c>
      <c r="C961" s="6" t="s">
        <v>65</v>
      </c>
      <c r="D961" s="6">
        <v>1588674</v>
      </c>
    </row>
    <row r="962" spans="1:4" x14ac:dyDescent="0.25">
      <c r="A962" s="5" t="s">
        <v>32</v>
      </c>
      <c r="B962" s="6" t="s">
        <v>5</v>
      </c>
      <c r="C962" s="6" t="s">
        <v>66</v>
      </c>
      <c r="D962" s="6">
        <v>1540540.5</v>
      </c>
    </row>
  </sheetData>
  <autoFilter ref="A1:A962" xr:uid="{570AED51-43E9-4E25-8400-17AC27F2DA6E}"/>
  <sortState xmlns:xlrd2="http://schemas.microsoft.com/office/spreadsheetml/2017/richdata2" ref="A2:D962">
    <sortCondition ref="A1:A962"/>
  </sortState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总表</vt:lpstr>
      <vt:lpstr>电力行业</vt:lpstr>
      <vt:lpstr>工业过程</vt:lpstr>
      <vt:lpstr>建筑物能源</vt:lpstr>
      <vt:lpstr>工业燃烧</vt:lpstr>
      <vt:lpstr>浪费</vt:lpstr>
      <vt:lpstr>农业</vt:lpstr>
      <vt:lpstr>燃烧能源</vt:lpstr>
      <vt:lpstr>运输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2025-11-29T06:59:29Z</dcterms:modified>
</cp:coreProperties>
</file>