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章超涵\Desktop\"/>
    </mc:Choice>
  </mc:AlternateContent>
  <xr:revisionPtr revIDLastSave="0" documentId="13_ncr:1_{03ACCE79-E9FF-49BC-B60C-DFA4ADA766AF}" xr6:coauthVersionLast="47" xr6:coauthVersionMax="47" xr10:uidLastSave="{00000000-0000-0000-0000-000000000000}"/>
  <bookViews>
    <workbookView xWindow="-108" yWindow="-108" windowWidth="30936" windowHeight="18696" activeTab="2" xr2:uid="{00000000-000D-0000-FFFF-FFFF00000000}"/>
  </bookViews>
  <sheets>
    <sheet name="面板数据" sheetId="3" r:id="rId1"/>
    <sheet name="“主要目标”数据分表" sheetId="7" r:id="rId2"/>
    <sheet name="部分解释变量分表" sheetId="6" r:id="rId3"/>
    <sheet name="变量说明" sheetId="8" r:id="rId4"/>
  </sheets>
  <definedNames>
    <definedName name="_xlnm._FilterDatabase" localSheetId="0" hidden="1">面板数据!$A$1:$O$222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3" i="3" l="1" a="1"/>
  <c r="AW3" i="3"/>
  <c r="AW4" i="3" a="1"/>
  <c r="AW4" i="3" s="1"/>
  <c r="AW5" i="3" a="1"/>
  <c r="AW5" i="3" s="1"/>
  <c r="AW6" i="3" a="1"/>
  <c r="AW6" i="3" s="1"/>
  <c r="AW7" i="3" a="1"/>
  <c r="AW7" i="3"/>
  <c r="AW8" i="3" a="1"/>
  <c r="AW8" i="3"/>
  <c r="AW9" i="3" a="1"/>
  <c r="AW9" i="3"/>
  <c r="AW10" i="3" a="1"/>
  <c r="AW10" i="3"/>
  <c r="AW11" i="3" a="1"/>
  <c r="AW11" i="3"/>
  <c r="AW12" i="3" a="1"/>
  <c r="AW12" i="3"/>
  <c r="AW13" i="3" a="1"/>
  <c r="AW13" i="3"/>
  <c r="AW14" i="3" a="1"/>
  <c r="AW14" i="3" s="1"/>
  <c r="AW15" i="3" a="1"/>
  <c r="AW15" i="3" s="1"/>
  <c r="AW16" i="3" a="1"/>
  <c r="AW16" i="3" s="1"/>
  <c r="AW17" i="3" a="1"/>
  <c r="AW17" i="3"/>
  <c r="AW18" i="3" a="1"/>
  <c r="AW18" i="3"/>
  <c r="AW19" i="3" a="1"/>
  <c r="AW19" i="3"/>
  <c r="AW20" i="3" a="1"/>
  <c r="AW20" i="3"/>
  <c r="AW21" i="3" a="1"/>
  <c r="AW21" i="3"/>
  <c r="AW22" i="3" a="1"/>
  <c r="AW22" i="3"/>
  <c r="AW23" i="3" a="1"/>
  <c r="AW23" i="3"/>
  <c r="AW24" i="3" a="1"/>
  <c r="AW24" i="3" s="1"/>
  <c r="AW25" i="3" a="1"/>
  <c r="AW25" i="3" s="1"/>
  <c r="AW26" i="3" a="1"/>
  <c r="AW26" i="3" s="1"/>
  <c r="AW27" i="3" a="1"/>
  <c r="AW27" i="3"/>
  <c r="AW28" i="3" a="1"/>
  <c r="AW28" i="3"/>
  <c r="AW29" i="3" a="1"/>
  <c r="AW29" i="3"/>
  <c r="AW30" i="3" a="1"/>
  <c r="AW30" i="3"/>
  <c r="AW31" i="3" a="1"/>
  <c r="AW31" i="3"/>
  <c r="AW32" i="3" a="1"/>
  <c r="AW32" i="3"/>
  <c r="AW33" i="3" a="1"/>
  <c r="AW33" i="3"/>
  <c r="AW34" i="3" a="1"/>
  <c r="AW34" i="3" s="1"/>
  <c r="AW35" i="3" a="1"/>
  <c r="AW35" i="3" s="1"/>
  <c r="AW36" i="3" a="1"/>
  <c r="AW36" i="3" s="1"/>
  <c r="AW37" i="3" a="1"/>
  <c r="AW37" i="3"/>
  <c r="AW38" i="3" a="1"/>
  <c r="AW38" i="3"/>
  <c r="AW39" i="3" a="1"/>
  <c r="AW39" i="3"/>
  <c r="AW40" i="3" a="1"/>
  <c r="AW40" i="3"/>
  <c r="AW41" i="3" a="1"/>
  <c r="AW41" i="3"/>
  <c r="AW42" i="3" a="1"/>
  <c r="AW42" i="3"/>
  <c r="AW43" i="3" a="1"/>
  <c r="AW43" i="3"/>
  <c r="AW44" i="3" a="1"/>
  <c r="AW44" i="3" s="1"/>
  <c r="AW45" i="3" a="1"/>
  <c r="AW45" i="3" s="1"/>
  <c r="AW46" i="3" a="1"/>
  <c r="AW46" i="3" s="1"/>
  <c r="AW47" i="3" a="1"/>
  <c r="AW47" i="3"/>
  <c r="AW48" i="3" a="1"/>
  <c r="AW48" i="3"/>
  <c r="AW49" i="3" a="1"/>
  <c r="AW49" i="3"/>
  <c r="AW50" i="3" a="1"/>
  <c r="AW50" i="3"/>
  <c r="AW51" i="3" a="1"/>
  <c r="AW51" i="3"/>
  <c r="AW52" i="3" a="1"/>
  <c r="AW52" i="3"/>
  <c r="AW53" i="3" a="1"/>
  <c r="AW53" i="3"/>
  <c r="AW54" i="3" a="1"/>
  <c r="AW54" i="3" s="1"/>
  <c r="AW55" i="3" a="1"/>
  <c r="AW55" i="3" s="1"/>
  <c r="AW56" i="3" a="1"/>
  <c r="AW56" i="3" s="1"/>
  <c r="AW57" i="3" a="1"/>
  <c r="AW57" i="3"/>
  <c r="AW58" i="3" a="1"/>
  <c r="AW58" i="3"/>
  <c r="AW59" i="3" a="1"/>
  <c r="AW59" i="3"/>
  <c r="AW60" i="3" a="1"/>
  <c r="AW60" i="3"/>
  <c r="AW61" i="3" a="1"/>
  <c r="AW61" i="3"/>
  <c r="AW62" i="3" a="1"/>
  <c r="AW62" i="3"/>
  <c r="AW63" i="3" a="1"/>
  <c r="AW63" i="3"/>
  <c r="AW64" i="3" a="1"/>
  <c r="AW64" i="3" s="1"/>
  <c r="AW65" i="3" a="1"/>
  <c r="AW65" i="3" s="1"/>
  <c r="AW66" i="3" a="1"/>
  <c r="AW66" i="3" s="1"/>
  <c r="AW67" i="3" a="1"/>
  <c r="AW67" i="3"/>
  <c r="AW68" i="3" a="1"/>
  <c r="AW68" i="3"/>
  <c r="AW69" i="3" a="1"/>
  <c r="AW69" i="3"/>
  <c r="AW70" i="3" a="1"/>
  <c r="AW70" i="3"/>
  <c r="AW71" i="3" a="1"/>
  <c r="AW71" i="3"/>
  <c r="AW72" i="3" a="1"/>
  <c r="AW72" i="3"/>
  <c r="AW73" i="3" a="1"/>
  <c r="AW73" i="3"/>
  <c r="AW74" i="3" a="1"/>
  <c r="AW74" i="3" s="1"/>
  <c r="AW75" i="3" a="1"/>
  <c r="AW75" i="3" s="1"/>
  <c r="AW76" i="3" a="1"/>
  <c r="AW76" i="3" s="1"/>
  <c r="AW77" i="3" a="1"/>
  <c r="AW77" i="3"/>
  <c r="AW78" i="3" a="1"/>
  <c r="AW78" i="3"/>
  <c r="AW79" i="3" a="1"/>
  <c r="AW79" i="3"/>
  <c r="AW80" i="3" a="1"/>
  <c r="AW80" i="3"/>
  <c r="AW81" i="3" a="1"/>
  <c r="AW81" i="3"/>
  <c r="AW82" i="3" a="1"/>
  <c r="AW82" i="3"/>
  <c r="AW83" i="3" a="1"/>
  <c r="AW83" i="3"/>
  <c r="AW84" i="3" a="1"/>
  <c r="AW84" i="3" s="1"/>
  <c r="AW85" i="3" a="1"/>
  <c r="AW85" i="3" s="1"/>
  <c r="AW86" i="3" a="1"/>
  <c r="AW86" i="3" s="1"/>
  <c r="AW87" i="3" a="1"/>
  <c r="AW87" i="3"/>
  <c r="AW88" i="3" a="1"/>
  <c r="AW88" i="3"/>
  <c r="AW89" i="3" a="1"/>
  <c r="AW89" i="3"/>
  <c r="AW90" i="3" a="1"/>
  <c r="AW90" i="3"/>
  <c r="AW91" i="3" a="1"/>
  <c r="AW91" i="3"/>
  <c r="AW92" i="3" a="1"/>
  <c r="AW92" i="3"/>
  <c r="AW93" i="3" a="1"/>
  <c r="AW93" i="3"/>
  <c r="AW94" i="3" a="1"/>
  <c r="AW94" i="3" s="1"/>
  <c r="AW95" i="3" a="1"/>
  <c r="AW95" i="3" s="1"/>
  <c r="AW96" i="3" a="1"/>
  <c r="AW96" i="3" s="1"/>
  <c r="AW97" i="3" a="1"/>
  <c r="AW97" i="3"/>
  <c r="AW98" i="3" a="1"/>
  <c r="AW98" i="3"/>
  <c r="AW99" i="3" a="1"/>
  <c r="AW99" i="3"/>
  <c r="AW100" i="3" a="1"/>
  <c r="AW100" i="3"/>
  <c r="AW101" i="3" a="1"/>
  <c r="AW101" i="3"/>
  <c r="AW102" i="3" a="1"/>
  <c r="AW102" i="3"/>
  <c r="AW103" i="3" a="1"/>
  <c r="AW103" i="3"/>
  <c r="AW104" i="3" a="1"/>
  <c r="AW104" i="3" s="1"/>
  <c r="AW105" i="3" a="1"/>
  <c r="AW105" i="3" s="1"/>
  <c r="AW106" i="3" a="1"/>
  <c r="AW106" i="3" s="1"/>
  <c r="AW107" i="3" a="1"/>
  <c r="AW107" i="3"/>
  <c r="AW108" i="3" a="1"/>
  <c r="AW108" i="3"/>
  <c r="AW109" i="3" a="1"/>
  <c r="AW109" i="3"/>
  <c r="AW110" i="3" a="1"/>
  <c r="AW110" i="3"/>
  <c r="AW111" i="3" a="1"/>
  <c r="AW111" i="3"/>
  <c r="AW112" i="3" a="1"/>
  <c r="AW112" i="3"/>
  <c r="AW113" i="3" a="1"/>
  <c r="AW113" i="3"/>
  <c r="AW114" i="3" a="1"/>
  <c r="AW114" i="3" s="1"/>
  <c r="AW115" i="3" a="1"/>
  <c r="AW115" i="3" s="1"/>
  <c r="AW116" i="3" a="1"/>
  <c r="AW116" i="3" s="1"/>
  <c r="AW117" i="3" a="1"/>
  <c r="AW117" i="3"/>
  <c r="AW118" i="3" a="1"/>
  <c r="AW118" i="3"/>
  <c r="AW119" i="3" a="1"/>
  <c r="AW119" i="3"/>
  <c r="AW120" i="3" a="1"/>
  <c r="AW120" i="3"/>
  <c r="AW121" i="3" a="1"/>
  <c r="AW121" i="3"/>
  <c r="AW122" i="3" a="1"/>
  <c r="AW122" i="3"/>
  <c r="AW123" i="3" a="1"/>
  <c r="AW123" i="3"/>
  <c r="AW124" i="3" a="1"/>
  <c r="AW124" i="3" s="1"/>
  <c r="AW125" i="3" a="1"/>
  <c r="AW125" i="3" s="1"/>
  <c r="AW126" i="3" a="1"/>
  <c r="AW126" i="3" s="1"/>
  <c r="AW127" i="3" a="1"/>
  <c r="AW127" i="3"/>
  <c r="AW128" i="3" a="1"/>
  <c r="AW128" i="3"/>
  <c r="AW129" i="3" a="1"/>
  <c r="AW129" i="3"/>
  <c r="AW130" i="3" a="1"/>
  <c r="AW130" i="3"/>
  <c r="AW131" i="3" a="1"/>
  <c r="AW131" i="3"/>
  <c r="AW132" i="3" a="1"/>
  <c r="AW132" i="3"/>
  <c r="AW133" i="3" a="1"/>
  <c r="AW133" i="3"/>
  <c r="AW134" i="3" a="1"/>
  <c r="AW134" i="3" s="1"/>
  <c r="AW135" i="3" a="1"/>
  <c r="AW135" i="3" s="1"/>
  <c r="AW136" i="3" a="1"/>
  <c r="AW136" i="3" s="1"/>
  <c r="AW137" i="3" a="1"/>
  <c r="AW137" i="3"/>
  <c r="AW138" i="3" a="1"/>
  <c r="AW138" i="3"/>
  <c r="AW139" i="3" a="1"/>
  <c r="AW139" i="3"/>
  <c r="AW140" i="3" a="1"/>
  <c r="AW140" i="3"/>
  <c r="AW141" i="3" a="1"/>
  <c r="AW141" i="3"/>
  <c r="AW142" i="3" a="1"/>
  <c r="AW142" i="3"/>
  <c r="AW143" i="3" a="1"/>
  <c r="AW143" i="3"/>
  <c r="AW144" i="3" a="1"/>
  <c r="AW144" i="3" s="1"/>
  <c r="AW145" i="3" a="1"/>
  <c r="AW145" i="3" s="1"/>
  <c r="AW146" i="3" a="1"/>
  <c r="AW146" i="3" s="1"/>
  <c r="AW147" i="3" a="1"/>
  <c r="AW147" i="3"/>
  <c r="AW148" i="3" a="1"/>
  <c r="AW148" i="3"/>
  <c r="AW149" i="3" a="1"/>
  <c r="AW149" i="3"/>
  <c r="AW150" i="3" a="1"/>
  <c r="AW150" i="3"/>
  <c r="AW151" i="3" a="1"/>
  <c r="AW151" i="3"/>
  <c r="AW152" i="3" a="1"/>
  <c r="AW152" i="3"/>
  <c r="AW153" i="3" a="1"/>
  <c r="AW153" i="3"/>
  <c r="AW154" i="3" a="1"/>
  <c r="AW154" i="3" s="1"/>
  <c r="AW155" i="3" a="1"/>
  <c r="AW155" i="3" s="1"/>
  <c r="AW156" i="3" a="1"/>
  <c r="AW156" i="3" s="1"/>
  <c r="AW157" i="3" a="1"/>
  <c r="AW157" i="3"/>
  <c r="AW158" i="3" a="1"/>
  <c r="AW158" i="3"/>
  <c r="AW159" i="3" a="1"/>
  <c r="AW159" i="3"/>
  <c r="AW160" i="3" a="1"/>
  <c r="AW160" i="3"/>
  <c r="AW161" i="3" a="1"/>
  <c r="AW161" i="3"/>
  <c r="AW162" i="3" a="1"/>
  <c r="AW162" i="3"/>
  <c r="AW163" i="3" a="1"/>
  <c r="AW163" i="3"/>
  <c r="AW164" i="3" a="1"/>
  <c r="AW164" i="3" s="1"/>
  <c r="AW165" i="3" a="1"/>
  <c r="AW165" i="3" s="1"/>
  <c r="AW166" i="3" a="1"/>
  <c r="AW166" i="3" s="1"/>
  <c r="AW167" i="3" a="1"/>
  <c r="AW167" i="3"/>
  <c r="AW168" i="3" a="1"/>
  <c r="AW168" i="3"/>
  <c r="AW169" i="3" a="1"/>
  <c r="AW169" i="3"/>
  <c r="AW170" i="3" a="1"/>
  <c r="AW170" i="3"/>
  <c r="AW171" i="3" a="1"/>
  <c r="AW171" i="3"/>
  <c r="AW172" i="3" a="1"/>
  <c r="AW172" i="3"/>
  <c r="AW173" i="3" a="1"/>
  <c r="AW173" i="3"/>
  <c r="AW174" i="3" a="1"/>
  <c r="AW174" i="3" s="1"/>
  <c r="AW175" i="3" a="1"/>
  <c r="AW175" i="3" s="1"/>
  <c r="AW176" i="3" a="1"/>
  <c r="AW176" i="3" s="1"/>
  <c r="AW177" i="3" a="1"/>
  <c r="AW177" i="3"/>
  <c r="AW178" i="3" a="1"/>
  <c r="AW178" i="3"/>
  <c r="AW179" i="3" a="1"/>
  <c r="AW179" i="3"/>
  <c r="AW180" i="3" a="1"/>
  <c r="AW180" i="3"/>
  <c r="AW181" i="3" a="1"/>
  <c r="AW181" i="3"/>
  <c r="AW182" i="3" a="1"/>
  <c r="AW182" i="3"/>
  <c r="AW183" i="3" a="1"/>
  <c r="AW183" i="3"/>
  <c r="AW184" i="3" a="1"/>
  <c r="AW184" i="3" s="1"/>
  <c r="AW185" i="3" a="1"/>
  <c r="AW185" i="3" s="1"/>
  <c r="AW186" i="3" a="1"/>
  <c r="AW186" i="3" s="1"/>
  <c r="AW187" i="3" a="1"/>
  <c r="AW187" i="3"/>
  <c r="AW188" i="3" a="1"/>
  <c r="AW188" i="3"/>
  <c r="AW189" i="3" a="1"/>
  <c r="AW189" i="3"/>
  <c r="AW190" i="3" a="1"/>
  <c r="AW190" i="3"/>
  <c r="AW191" i="3" a="1"/>
  <c r="AW191" i="3"/>
  <c r="AW192" i="3" a="1"/>
  <c r="AW192" i="3"/>
  <c r="AW193" i="3" a="1"/>
  <c r="AW193" i="3"/>
  <c r="AW194" i="3" a="1"/>
  <c r="AW194" i="3" s="1"/>
  <c r="AW195" i="3" a="1"/>
  <c r="AW195" i="3" s="1"/>
  <c r="AW196" i="3" a="1"/>
  <c r="AW196" i="3" s="1"/>
  <c r="AW197" i="3" a="1"/>
  <c r="AW197" i="3"/>
  <c r="AW198" i="3" a="1"/>
  <c r="AW198" i="3"/>
  <c r="AW199" i="3" a="1"/>
  <c r="AW199" i="3"/>
  <c r="AW200" i="3" a="1"/>
  <c r="AW200" i="3"/>
  <c r="AW201" i="3" a="1"/>
  <c r="AW201" i="3"/>
  <c r="AW202" i="3" a="1"/>
  <c r="AW202" i="3"/>
  <c r="AW203" i="3" a="1"/>
  <c r="AW203" i="3"/>
  <c r="AW204" i="3" a="1"/>
  <c r="AW204" i="3" s="1"/>
  <c r="AW205" i="3" a="1"/>
  <c r="AW205" i="3" s="1"/>
  <c r="AW206" i="3" a="1"/>
  <c r="AW206" i="3" s="1"/>
  <c r="AW207" i="3" a="1"/>
  <c r="AW207" i="3"/>
  <c r="AW208" i="3" a="1"/>
  <c r="AW208" i="3"/>
  <c r="AW209" i="3" a="1"/>
  <c r="AW209" i="3"/>
  <c r="AW210" i="3" a="1"/>
  <c r="AW210" i="3"/>
  <c r="AW211" i="3" a="1"/>
  <c r="AW211" i="3"/>
  <c r="AW212" i="3" a="1"/>
  <c r="AW212" i="3"/>
  <c r="AW213" i="3" a="1"/>
  <c r="AW213" i="3"/>
  <c r="AW214" i="3" a="1"/>
  <c r="AW214" i="3" s="1"/>
  <c r="AW215" i="3" a="1"/>
  <c r="AW215" i="3" s="1"/>
  <c r="AW216" i="3" a="1"/>
  <c r="AW216" i="3" s="1"/>
  <c r="AW217" i="3" a="1"/>
  <c r="AW217" i="3"/>
  <c r="AW218" i="3" a="1"/>
  <c r="AW218" i="3"/>
  <c r="AW219" i="3" a="1"/>
  <c r="AW219" i="3"/>
  <c r="AW220" i="3" a="1"/>
  <c r="AW220" i="3"/>
  <c r="AW221" i="3" a="1"/>
  <c r="AW221" i="3"/>
  <c r="AW222" i="3" a="1"/>
  <c r="AW222" i="3"/>
  <c r="AW2" i="3" a="1"/>
  <c r="AW2" i="3" s="1"/>
  <c r="AV3" i="3" a="1"/>
  <c r="AV3" i="3"/>
  <c r="AV4" i="3" a="1"/>
  <c r="AV4" i="3"/>
  <c r="AV5" i="3" a="1"/>
  <c r="AV5" i="3" s="1"/>
  <c r="AV6" i="3" a="1"/>
  <c r="AV6" i="3" s="1"/>
  <c r="AV7" i="3" a="1"/>
  <c r="AV7" i="3"/>
  <c r="AV8" i="3" a="1"/>
  <c r="AV8" i="3"/>
  <c r="AV9" i="3" a="1"/>
  <c r="AV9" i="3"/>
  <c r="AV10" i="3" a="1"/>
  <c r="AV10" i="3"/>
  <c r="AV11" i="3" a="1"/>
  <c r="AV11" i="3"/>
  <c r="AV12" i="3" a="1"/>
  <c r="AV12" i="3"/>
  <c r="AV13" i="3" a="1"/>
  <c r="AV13" i="3"/>
  <c r="AV14" i="3" a="1"/>
  <c r="AV14" i="3"/>
  <c r="AV15" i="3" a="1"/>
  <c r="AV15" i="3" s="1"/>
  <c r="AV16" i="3" a="1"/>
  <c r="AV16" i="3" s="1"/>
  <c r="AV17" i="3" a="1"/>
  <c r="AV17" i="3"/>
  <c r="AV18" i="3" a="1"/>
  <c r="AV18" i="3"/>
  <c r="AV19" i="3" a="1"/>
  <c r="AV19" i="3"/>
  <c r="AV20" i="3" a="1"/>
  <c r="AV20" i="3"/>
  <c r="AV21" i="3" a="1"/>
  <c r="AV21" i="3"/>
  <c r="AV22" i="3" a="1"/>
  <c r="AV22" i="3"/>
  <c r="AV23" i="3" a="1"/>
  <c r="AV23" i="3"/>
  <c r="AV24" i="3" a="1"/>
  <c r="AV24" i="3"/>
  <c r="AV25" i="3" a="1"/>
  <c r="AV25" i="3" s="1"/>
  <c r="AV26" i="3" a="1"/>
  <c r="AV26" i="3" s="1"/>
  <c r="AV27" i="3" a="1"/>
  <c r="AV27" i="3"/>
  <c r="AV28" i="3" a="1"/>
  <c r="AV28" i="3"/>
  <c r="AV29" i="3" a="1"/>
  <c r="AV29" i="3"/>
  <c r="AV30" i="3" a="1"/>
  <c r="AV30" i="3"/>
  <c r="AV31" i="3" a="1"/>
  <c r="AV31" i="3"/>
  <c r="AV32" i="3" a="1"/>
  <c r="AV32" i="3"/>
  <c r="AV33" i="3" a="1"/>
  <c r="AV33" i="3"/>
  <c r="AV34" i="3" a="1"/>
  <c r="AV34" i="3"/>
  <c r="AV35" i="3" a="1"/>
  <c r="AV35" i="3" s="1"/>
  <c r="AV36" i="3" a="1"/>
  <c r="AV36" i="3" s="1"/>
  <c r="AV37" i="3" a="1"/>
  <c r="AV37" i="3"/>
  <c r="AV38" i="3" a="1"/>
  <c r="AV38" i="3"/>
  <c r="AV39" i="3" a="1"/>
  <c r="AV39" i="3"/>
  <c r="AV40" i="3" a="1"/>
  <c r="AV40" i="3"/>
  <c r="AV41" i="3" a="1"/>
  <c r="AV41" i="3"/>
  <c r="AV42" i="3" a="1"/>
  <c r="AV42" i="3"/>
  <c r="AV43" i="3" a="1"/>
  <c r="AV43" i="3"/>
  <c r="AV44" i="3" a="1"/>
  <c r="AV44" i="3"/>
  <c r="AV45" i="3" a="1"/>
  <c r="AV45" i="3" s="1"/>
  <c r="AV46" i="3" a="1"/>
  <c r="AV46" i="3" s="1"/>
  <c r="AV47" i="3" a="1"/>
  <c r="AV47" i="3"/>
  <c r="AV48" i="3" a="1"/>
  <c r="AV48" i="3"/>
  <c r="AV49" i="3" a="1"/>
  <c r="AV49" i="3"/>
  <c r="AV50" i="3" a="1"/>
  <c r="AV50" i="3"/>
  <c r="AV51" i="3" a="1"/>
  <c r="AV51" i="3"/>
  <c r="AV52" i="3" a="1"/>
  <c r="AV52" i="3"/>
  <c r="AV53" i="3" a="1"/>
  <c r="AV53" i="3"/>
  <c r="AV54" i="3" a="1"/>
  <c r="AV54" i="3"/>
  <c r="AV55" i="3" a="1"/>
  <c r="AV55" i="3" s="1"/>
  <c r="AV56" i="3" a="1"/>
  <c r="AV56" i="3" s="1"/>
  <c r="AV57" i="3" a="1"/>
  <c r="AV57" i="3"/>
  <c r="AV58" i="3" a="1"/>
  <c r="AV58" i="3"/>
  <c r="AV59" i="3" a="1"/>
  <c r="AV59" i="3"/>
  <c r="AV60" i="3" a="1"/>
  <c r="AV60" i="3"/>
  <c r="AV61" i="3" a="1"/>
  <c r="AV61" i="3"/>
  <c r="AV62" i="3" a="1"/>
  <c r="AV62" i="3"/>
  <c r="AV63" i="3" a="1"/>
  <c r="AV63" i="3"/>
  <c r="AV64" i="3" a="1"/>
  <c r="AV64" i="3"/>
  <c r="AV65" i="3" a="1"/>
  <c r="AV65" i="3" s="1"/>
  <c r="AV66" i="3" a="1"/>
  <c r="AV66" i="3" s="1"/>
  <c r="AV67" i="3" a="1"/>
  <c r="AV67" i="3"/>
  <c r="AV68" i="3" a="1"/>
  <c r="AV68" i="3"/>
  <c r="AV69" i="3" a="1"/>
  <c r="AV69" i="3"/>
  <c r="AV70" i="3" a="1"/>
  <c r="AV70" i="3"/>
  <c r="AV71" i="3" a="1"/>
  <c r="AV71" i="3"/>
  <c r="AV72" i="3" a="1"/>
  <c r="AV72" i="3"/>
  <c r="AV73" i="3" a="1"/>
  <c r="AV73" i="3"/>
  <c r="AV74" i="3" a="1"/>
  <c r="AV74" i="3"/>
  <c r="AV75" i="3" a="1"/>
  <c r="AV75" i="3" s="1"/>
  <c r="AV76" i="3" a="1"/>
  <c r="AV76" i="3" s="1"/>
  <c r="AV77" i="3" a="1"/>
  <c r="AV77" i="3"/>
  <c r="AV78" i="3" a="1"/>
  <c r="AV78" i="3"/>
  <c r="AV79" i="3" a="1"/>
  <c r="AV79" i="3"/>
  <c r="AV80" i="3" a="1"/>
  <c r="AV80" i="3"/>
  <c r="AV81" i="3" a="1"/>
  <c r="AV81" i="3"/>
  <c r="AV82" i="3" a="1"/>
  <c r="AV82" i="3"/>
  <c r="AV83" i="3" a="1"/>
  <c r="AV83" i="3"/>
  <c r="AV84" i="3" a="1"/>
  <c r="AV84" i="3"/>
  <c r="AV85" i="3" a="1"/>
  <c r="AV85" i="3" s="1"/>
  <c r="AV86" i="3" a="1"/>
  <c r="AV86" i="3" s="1"/>
  <c r="AV87" i="3" a="1"/>
  <c r="AV87" i="3"/>
  <c r="AV88" i="3" a="1"/>
  <c r="AV88" i="3"/>
  <c r="AV89" i="3" a="1"/>
  <c r="AV89" i="3"/>
  <c r="AV90" i="3" a="1"/>
  <c r="AV90" i="3"/>
  <c r="AV91" i="3" a="1"/>
  <c r="AV91" i="3"/>
  <c r="AV92" i="3" a="1"/>
  <c r="AV92" i="3"/>
  <c r="AV93" i="3" a="1"/>
  <c r="AV93" i="3"/>
  <c r="AV94" i="3" a="1"/>
  <c r="AV94" i="3"/>
  <c r="AV95" i="3" a="1"/>
  <c r="AV95" i="3" s="1"/>
  <c r="AV96" i="3" a="1"/>
  <c r="AV96" i="3" s="1"/>
  <c r="AV97" i="3" a="1"/>
  <c r="AV97" i="3"/>
  <c r="AV98" i="3" a="1"/>
  <c r="AV98" i="3"/>
  <c r="AV99" i="3" a="1"/>
  <c r="AV99" i="3"/>
  <c r="AV100" i="3" a="1"/>
  <c r="AV100" i="3"/>
  <c r="AV101" i="3" a="1"/>
  <c r="AV101" i="3"/>
  <c r="AV102" i="3" a="1"/>
  <c r="AV102" i="3"/>
  <c r="AV103" i="3" a="1"/>
  <c r="AV103" i="3"/>
  <c r="AV104" i="3" a="1"/>
  <c r="AV104" i="3"/>
  <c r="AV105" i="3" a="1"/>
  <c r="AV105" i="3" s="1"/>
  <c r="AV106" i="3" a="1"/>
  <c r="AV106" i="3" s="1"/>
  <c r="AV107" i="3" a="1"/>
  <c r="AV107" i="3"/>
  <c r="AV108" i="3" a="1"/>
  <c r="AV108" i="3"/>
  <c r="AV109" i="3" a="1"/>
  <c r="AV109" i="3"/>
  <c r="AV110" i="3" a="1"/>
  <c r="AV110" i="3"/>
  <c r="AV111" i="3" a="1"/>
  <c r="AV111" i="3"/>
  <c r="AV112" i="3" a="1"/>
  <c r="AV112" i="3"/>
  <c r="AV113" i="3" a="1"/>
  <c r="AV113" i="3"/>
  <c r="AV114" i="3" a="1"/>
  <c r="AV114" i="3"/>
  <c r="AV115" i="3" a="1"/>
  <c r="AV115" i="3" s="1"/>
  <c r="AV116" i="3" a="1"/>
  <c r="AV116" i="3" s="1"/>
  <c r="AV117" i="3" a="1"/>
  <c r="AV117" i="3"/>
  <c r="AV118" i="3" a="1"/>
  <c r="AV118" i="3"/>
  <c r="AV119" i="3" a="1"/>
  <c r="AV119" i="3" s="1"/>
  <c r="AV120" i="3" a="1"/>
  <c r="AV120" i="3"/>
  <c r="AV121" i="3" a="1"/>
  <c r="AV121" i="3"/>
  <c r="AV122" i="3" a="1"/>
  <c r="AV122" i="3"/>
  <c r="AV123" i="3" a="1"/>
  <c r="AV123" i="3"/>
  <c r="AV124" i="3" a="1"/>
  <c r="AV124" i="3"/>
  <c r="AV125" i="3" a="1"/>
  <c r="AV125" i="3" s="1"/>
  <c r="AV126" i="3" a="1"/>
  <c r="AV126" i="3" s="1"/>
  <c r="AV127" i="3" a="1"/>
  <c r="AV127" i="3"/>
  <c r="AV128" i="3" a="1"/>
  <c r="AV128" i="3"/>
  <c r="AV129" i="3" a="1"/>
  <c r="AV129" i="3"/>
  <c r="AV130" i="3" a="1"/>
  <c r="AV130" i="3"/>
  <c r="AV131" i="3" a="1"/>
  <c r="AV131" i="3"/>
  <c r="AV132" i="3" a="1"/>
  <c r="AV132" i="3"/>
  <c r="AV133" i="3" a="1"/>
  <c r="AV133" i="3"/>
  <c r="AV134" i="3" a="1"/>
  <c r="AV134" i="3"/>
  <c r="AV135" i="3" a="1"/>
  <c r="AV135" i="3" s="1"/>
  <c r="AV136" i="3" a="1"/>
  <c r="AV136" i="3" s="1"/>
  <c r="AV137" i="3" a="1"/>
  <c r="AV137" i="3"/>
  <c r="AV138" i="3" a="1"/>
  <c r="AV138" i="3"/>
  <c r="AV139" i="3" a="1"/>
  <c r="AV139" i="3"/>
  <c r="AV140" i="3" a="1"/>
  <c r="AV140" i="3"/>
  <c r="AV141" i="3" a="1"/>
  <c r="AV141" i="3"/>
  <c r="AV142" i="3" a="1"/>
  <c r="AV142" i="3"/>
  <c r="AV143" i="3" a="1"/>
  <c r="AV143" i="3"/>
  <c r="AV144" i="3" a="1"/>
  <c r="AV144" i="3"/>
  <c r="AV145" i="3" a="1"/>
  <c r="AV145" i="3" s="1"/>
  <c r="AV146" i="3" a="1"/>
  <c r="AV146" i="3" s="1"/>
  <c r="AV147" i="3" a="1"/>
  <c r="AV147" i="3"/>
  <c r="AV148" i="3" a="1"/>
  <c r="AV148" i="3"/>
  <c r="AV149" i="3" a="1"/>
  <c r="AV149" i="3"/>
  <c r="AV150" i="3" a="1"/>
  <c r="AV150" i="3"/>
  <c r="AV151" i="3" a="1"/>
  <c r="AV151" i="3"/>
  <c r="AV152" i="3" a="1"/>
  <c r="AV152" i="3"/>
  <c r="AV153" i="3" a="1"/>
  <c r="AV153" i="3"/>
  <c r="AV154" i="3" a="1"/>
  <c r="AV154" i="3"/>
  <c r="AV155" i="3" a="1"/>
  <c r="AV155" i="3" s="1"/>
  <c r="AV156" i="3" a="1"/>
  <c r="AV156" i="3" s="1"/>
  <c r="AV157" i="3" a="1"/>
  <c r="AV157" i="3"/>
  <c r="AV158" i="3" a="1"/>
  <c r="AV158" i="3"/>
  <c r="AV159" i="3" a="1"/>
  <c r="AV159" i="3"/>
  <c r="AV160" i="3" a="1"/>
  <c r="AV160" i="3"/>
  <c r="AV161" i="3" a="1"/>
  <c r="AV161" i="3"/>
  <c r="AV162" i="3" a="1"/>
  <c r="AV162" i="3"/>
  <c r="AV163" i="3" a="1"/>
  <c r="AV163" i="3"/>
  <c r="AV164" i="3" a="1"/>
  <c r="AV164" i="3"/>
  <c r="AV165" i="3" a="1"/>
  <c r="AV165" i="3" s="1"/>
  <c r="AV166" i="3" a="1"/>
  <c r="AV166" i="3" s="1"/>
  <c r="AV167" i="3" a="1"/>
  <c r="AV167" i="3"/>
  <c r="AV168" i="3" a="1"/>
  <c r="AV168" i="3"/>
  <c r="AV169" i="3" a="1"/>
  <c r="AV169" i="3"/>
  <c r="AV170" i="3" a="1"/>
  <c r="AV170" i="3"/>
  <c r="AV171" i="3" a="1"/>
  <c r="AV171" i="3"/>
  <c r="AV172" i="3" a="1"/>
  <c r="AV172" i="3"/>
  <c r="AV173" i="3" a="1"/>
  <c r="AV173" i="3"/>
  <c r="AV174" i="3" a="1"/>
  <c r="AV174" i="3"/>
  <c r="AV175" i="3" a="1"/>
  <c r="AV175" i="3" s="1"/>
  <c r="AV176" i="3" a="1"/>
  <c r="AV176" i="3" s="1"/>
  <c r="AV177" i="3" a="1"/>
  <c r="AV177" i="3"/>
  <c r="AV178" i="3" a="1"/>
  <c r="AV178" i="3"/>
  <c r="AV179" i="3" a="1"/>
  <c r="AV179" i="3"/>
  <c r="AV180" i="3" a="1"/>
  <c r="AV180" i="3"/>
  <c r="AV181" i="3" a="1"/>
  <c r="AV181" i="3"/>
  <c r="AV182" i="3" a="1"/>
  <c r="AV182" i="3"/>
  <c r="AV183" i="3" a="1"/>
  <c r="AV183" i="3"/>
  <c r="AV184" i="3" a="1"/>
  <c r="AV184" i="3"/>
  <c r="AV185" i="3" a="1"/>
  <c r="AV185" i="3" s="1"/>
  <c r="AV186" i="3" a="1"/>
  <c r="AV186" i="3" s="1"/>
  <c r="AV187" i="3" a="1"/>
  <c r="AV187" i="3"/>
  <c r="AV188" i="3" a="1"/>
  <c r="AV188" i="3"/>
  <c r="AV189" i="3" a="1"/>
  <c r="AV189" i="3"/>
  <c r="AV190" i="3" a="1"/>
  <c r="AV190" i="3"/>
  <c r="AV191" i="3" a="1"/>
  <c r="AV191" i="3"/>
  <c r="AV192" i="3" a="1"/>
  <c r="AV192" i="3"/>
  <c r="AV193" i="3" a="1"/>
  <c r="AV193" i="3"/>
  <c r="AV194" i="3" a="1"/>
  <c r="AV194" i="3"/>
  <c r="AV195" i="3" a="1"/>
  <c r="AV195" i="3" s="1"/>
  <c r="AV196" i="3" a="1"/>
  <c r="AV196" i="3" s="1"/>
  <c r="AV197" i="3" a="1"/>
  <c r="AV197" i="3"/>
  <c r="AV198" i="3" a="1"/>
  <c r="AV198" i="3"/>
  <c r="AV199" i="3" a="1"/>
  <c r="AV199" i="3"/>
  <c r="AV200" i="3" a="1"/>
  <c r="AV200" i="3"/>
  <c r="AV201" i="3" a="1"/>
  <c r="AV201" i="3"/>
  <c r="AV202" i="3" a="1"/>
  <c r="AV202" i="3"/>
  <c r="AV203" i="3" a="1"/>
  <c r="AV203" i="3"/>
  <c r="AV204" i="3" a="1"/>
  <c r="AV204" i="3"/>
  <c r="AV205" i="3" a="1"/>
  <c r="AV205" i="3" s="1"/>
  <c r="AV206" i="3" a="1"/>
  <c r="AV206" i="3" s="1"/>
  <c r="AV207" i="3" a="1"/>
  <c r="AV207" i="3"/>
  <c r="AV208" i="3" a="1"/>
  <c r="AV208" i="3"/>
  <c r="AV209" i="3" a="1"/>
  <c r="AV209" i="3"/>
  <c r="AV210" i="3" a="1"/>
  <c r="AV210" i="3"/>
  <c r="AV211" i="3" a="1"/>
  <c r="AV211" i="3"/>
  <c r="AV212" i="3" a="1"/>
  <c r="AV212" i="3"/>
  <c r="AV213" i="3" a="1"/>
  <c r="AV213" i="3"/>
  <c r="AV214" i="3" a="1"/>
  <c r="AV214" i="3"/>
  <c r="AV215" i="3" a="1"/>
  <c r="AV215" i="3" s="1"/>
  <c r="AV216" i="3" a="1"/>
  <c r="AV216" i="3" s="1"/>
  <c r="AV217" i="3" a="1"/>
  <c r="AV217" i="3"/>
  <c r="AV218" i="3" a="1"/>
  <c r="AV218" i="3"/>
  <c r="AV219" i="3" a="1"/>
  <c r="AV219" i="3"/>
  <c r="AV220" i="3" a="1"/>
  <c r="AV220" i="3"/>
  <c r="AV221" i="3" a="1"/>
  <c r="AV221" i="3"/>
  <c r="AV222" i="3" a="1"/>
  <c r="AV222" i="3"/>
  <c r="AV2" i="3" a="1"/>
  <c r="AV2" i="3"/>
  <c r="AU3" i="3" a="1"/>
  <c r="AU3" i="3" s="1"/>
  <c r="AU4" i="3" a="1"/>
  <c r="AU4" i="3" s="1"/>
  <c r="AU5" i="3" a="1"/>
  <c r="AU5" i="3" s="1"/>
  <c r="AU6" i="3" a="1"/>
  <c r="AU6" i="3" s="1"/>
  <c r="AU7" i="3" a="1"/>
  <c r="AU7" i="3"/>
  <c r="AU8" i="3" a="1"/>
  <c r="AU8" i="3"/>
  <c r="AU9" i="3" a="1"/>
  <c r="AU9" i="3"/>
  <c r="AU10" i="3" a="1"/>
  <c r="AU10" i="3"/>
  <c r="AU11" i="3" a="1"/>
  <c r="AU11" i="3"/>
  <c r="AU12" i="3" a="1"/>
  <c r="AU12" i="3"/>
  <c r="AU13" i="3" a="1"/>
  <c r="AU13" i="3" s="1"/>
  <c r="AU14" i="3" a="1"/>
  <c r="AU14" i="3" s="1"/>
  <c r="AU15" i="3" a="1"/>
  <c r="AU15" i="3" s="1"/>
  <c r="AU16" i="3" a="1"/>
  <c r="AU16" i="3" s="1"/>
  <c r="AU17" i="3" a="1"/>
  <c r="AU17" i="3"/>
  <c r="AU18" i="3" a="1"/>
  <c r="AU18" i="3"/>
  <c r="AU19" i="3" a="1"/>
  <c r="AU19" i="3"/>
  <c r="AU20" i="3" a="1"/>
  <c r="AU20" i="3"/>
  <c r="AU21" i="3" a="1"/>
  <c r="AU21" i="3"/>
  <c r="AU22" i="3" a="1"/>
  <c r="AU22" i="3"/>
  <c r="AU23" i="3" a="1"/>
  <c r="AU23" i="3" s="1"/>
  <c r="AU24" i="3" a="1"/>
  <c r="AU24" i="3" s="1"/>
  <c r="AU25" i="3" a="1"/>
  <c r="AU25" i="3" s="1"/>
  <c r="AU26" i="3" a="1"/>
  <c r="AU26" i="3" s="1"/>
  <c r="AU27" i="3" a="1"/>
  <c r="AU27" i="3"/>
  <c r="AU28" i="3" a="1"/>
  <c r="AU28" i="3"/>
  <c r="AU29" i="3" a="1"/>
  <c r="AU29" i="3"/>
  <c r="AU30" i="3" a="1"/>
  <c r="AU30" i="3"/>
  <c r="AU31" i="3" a="1"/>
  <c r="AU31" i="3"/>
  <c r="AU32" i="3" a="1"/>
  <c r="AU32" i="3"/>
  <c r="AU33" i="3" a="1"/>
  <c r="AU33" i="3" s="1"/>
  <c r="AU34" i="3" a="1"/>
  <c r="AU34" i="3" s="1"/>
  <c r="AU35" i="3" a="1"/>
  <c r="AU35" i="3" s="1"/>
  <c r="AU36" i="3" a="1"/>
  <c r="AU36" i="3" s="1"/>
  <c r="AU37" i="3" a="1"/>
  <c r="AU37" i="3"/>
  <c r="AU38" i="3" a="1"/>
  <c r="AU38" i="3"/>
  <c r="AU39" i="3" a="1"/>
  <c r="AU39" i="3"/>
  <c r="AU40" i="3" a="1"/>
  <c r="AU40" i="3"/>
  <c r="AU41" i="3" a="1"/>
  <c r="AU41" i="3"/>
  <c r="AU42" i="3" a="1"/>
  <c r="AU42" i="3"/>
  <c r="AU43" i="3" a="1"/>
  <c r="AU43" i="3" s="1"/>
  <c r="AU44" i="3" a="1"/>
  <c r="AU44" i="3" s="1"/>
  <c r="AU45" i="3" a="1"/>
  <c r="AU45" i="3" s="1"/>
  <c r="AU46" i="3" a="1"/>
  <c r="AU46" i="3" s="1"/>
  <c r="AU47" i="3" a="1"/>
  <c r="AU47" i="3"/>
  <c r="AU48" i="3" a="1"/>
  <c r="AU48" i="3"/>
  <c r="AU49" i="3" a="1"/>
  <c r="AU49" i="3"/>
  <c r="AU50" i="3" a="1"/>
  <c r="AU50" i="3"/>
  <c r="AU51" i="3" a="1"/>
  <c r="AU51" i="3"/>
  <c r="AU52" i="3" a="1"/>
  <c r="AU52" i="3"/>
  <c r="AU53" i="3" a="1"/>
  <c r="AU53" i="3" s="1"/>
  <c r="AU54" i="3" a="1"/>
  <c r="AU54" i="3" s="1"/>
  <c r="AU55" i="3" a="1"/>
  <c r="AU55" i="3" s="1"/>
  <c r="AU56" i="3" a="1"/>
  <c r="AU56" i="3" s="1"/>
  <c r="AU57" i="3" a="1"/>
  <c r="AU57" i="3"/>
  <c r="AU58" i="3" a="1"/>
  <c r="AU58" i="3"/>
  <c r="AU59" i="3" a="1"/>
  <c r="AU59" i="3"/>
  <c r="AU60" i="3" a="1"/>
  <c r="AU60" i="3"/>
  <c r="AU61" i="3" a="1"/>
  <c r="AU61" i="3"/>
  <c r="AU62" i="3" a="1"/>
  <c r="AU62" i="3"/>
  <c r="AU63" i="3" a="1"/>
  <c r="AU63" i="3" s="1"/>
  <c r="AU64" i="3" a="1"/>
  <c r="AU64" i="3" s="1"/>
  <c r="AU65" i="3" a="1"/>
  <c r="AU65" i="3" s="1"/>
  <c r="AU66" i="3" a="1"/>
  <c r="AU66" i="3" s="1"/>
  <c r="AU67" i="3" a="1"/>
  <c r="AU67" i="3"/>
  <c r="AU68" i="3" a="1"/>
  <c r="AU68" i="3"/>
  <c r="AU69" i="3" a="1"/>
  <c r="AU69" i="3"/>
  <c r="AU70" i="3" a="1"/>
  <c r="AU70" i="3"/>
  <c r="AU71" i="3" a="1"/>
  <c r="AU71" i="3"/>
  <c r="AU72" i="3" a="1"/>
  <c r="AU72" i="3"/>
  <c r="AU73" i="3" a="1"/>
  <c r="AU73" i="3" s="1"/>
  <c r="AU74" i="3" a="1"/>
  <c r="AU74" i="3" s="1"/>
  <c r="AU75" i="3" a="1"/>
  <c r="AU75" i="3" s="1"/>
  <c r="AU76" i="3" a="1"/>
  <c r="AU76" i="3" s="1"/>
  <c r="AU77" i="3" a="1"/>
  <c r="AU77" i="3"/>
  <c r="AU78" i="3" a="1"/>
  <c r="AU78" i="3"/>
  <c r="AU79" i="3" a="1"/>
  <c r="AU79" i="3"/>
  <c r="AU80" i="3" a="1"/>
  <c r="AU80" i="3"/>
  <c r="AU81" i="3" a="1"/>
  <c r="AU81" i="3"/>
  <c r="AU82" i="3" a="1"/>
  <c r="AU82" i="3"/>
  <c r="AU83" i="3" a="1"/>
  <c r="AU83" i="3" s="1"/>
  <c r="AU84" i="3" a="1"/>
  <c r="AU84" i="3" s="1"/>
  <c r="AU85" i="3" a="1"/>
  <c r="AU85" i="3" s="1"/>
  <c r="AU86" i="3" a="1"/>
  <c r="AU86" i="3" s="1"/>
  <c r="AU87" i="3" a="1"/>
  <c r="AU87" i="3"/>
  <c r="AU88" i="3" a="1"/>
  <c r="AU88" i="3"/>
  <c r="AU89" i="3" a="1"/>
  <c r="AU89" i="3"/>
  <c r="AU90" i="3" a="1"/>
  <c r="AU90" i="3"/>
  <c r="AU91" i="3" a="1"/>
  <c r="AU91" i="3"/>
  <c r="AU92" i="3" a="1"/>
  <c r="AU92" i="3"/>
  <c r="AU93" i="3" a="1"/>
  <c r="AU93" i="3" s="1"/>
  <c r="AU94" i="3" a="1"/>
  <c r="AU94" i="3" s="1"/>
  <c r="AU95" i="3" a="1"/>
  <c r="AU95" i="3" s="1"/>
  <c r="AU96" i="3" a="1"/>
  <c r="AU96" i="3" s="1"/>
  <c r="AU97" i="3" a="1"/>
  <c r="AU97" i="3"/>
  <c r="AU98" i="3" a="1"/>
  <c r="AU98" i="3"/>
  <c r="AU99" i="3" a="1"/>
  <c r="AU99" i="3"/>
  <c r="AU100" i="3" a="1"/>
  <c r="AU100" i="3"/>
  <c r="AU101" i="3" a="1"/>
  <c r="AU101" i="3"/>
  <c r="AU102" i="3" a="1"/>
  <c r="AU102" i="3"/>
  <c r="AU103" i="3" a="1"/>
  <c r="AU103" i="3" s="1"/>
  <c r="AU104" i="3" a="1"/>
  <c r="AU104" i="3" s="1"/>
  <c r="AU105" i="3" a="1"/>
  <c r="AU105" i="3" s="1"/>
  <c r="AU106" i="3" a="1"/>
  <c r="AU106" i="3" s="1"/>
  <c r="AU107" i="3" a="1"/>
  <c r="AU107" i="3"/>
  <c r="AU108" i="3" a="1"/>
  <c r="AU108" i="3"/>
  <c r="AU109" i="3" a="1"/>
  <c r="AU109" i="3"/>
  <c r="AU110" i="3" a="1"/>
  <c r="AU110" i="3"/>
  <c r="AU111" i="3" a="1"/>
  <c r="AU111" i="3"/>
  <c r="AU112" i="3" a="1"/>
  <c r="AU112" i="3"/>
  <c r="AU113" i="3" a="1"/>
  <c r="AU113" i="3" s="1"/>
  <c r="AU114" i="3" a="1"/>
  <c r="AU114" i="3" s="1"/>
  <c r="AU115" i="3" a="1"/>
  <c r="AU115" i="3" s="1"/>
  <c r="AU116" i="3" a="1"/>
  <c r="AU116" i="3" s="1"/>
  <c r="AU117" i="3" a="1"/>
  <c r="AU117" i="3"/>
  <c r="AU118" i="3" a="1"/>
  <c r="AU118" i="3"/>
  <c r="AU119" i="3" a="1"/>
  <c r="AU119" i="3"/>
  <c r="AU120" i="3" a="1"/>
  <c r="AU120" i="3"/>
  <c r="AU121" i="3" a="1"/>
  <c r="AU121" i="3"/>
  <c r="AU122" i="3" a="1"/>
  <c r="AU122" i="3"/>
  <c r="AU123" i="3" a="1"/>
  <c r="AU123" i="3" s="1"/>
  <c r="AU124" i="3" a="1"/>
  <c r="AU124" i="3" s="1"/>
  <c r="AU125" i="3" a="1"/>
  <c r="AU125" i="3" s="1"/>
  <c r="AU126" i="3" a="1"/>
  <c r="AU126" i="3" s="1"/>
  <c r="AU127" i="3" a="1"/>
  <c r="AU127" i="3"/>
  <c r="AU128" i="3" a="1"/>
  <c r="AU128" i="3"/>
  <c r="AU129" i="3" a="1"/>
  <c r="AU129" i="3"/>
  <c r="AU130" i="3" a="1"/>
  <c r="AU130" i="3"/>
  <c r="AU131" i="3" a="1"/>
  <c r="AU131" i="3"/>
  <c r="AU132" i="3" a="1"/>
  <c r="AU132" i="3"/>
  <c r="AU133" i="3" a="1"/>
  <c r="AU133" i="3" s="1"/>
  <c r="AU134" i="3" a="1"/>
  <c r="AU134" i="3" s="1"/>
  <c r="AU135" i="3" a="1"/>
  <c r="AU135" i="3" s="1"/>
  <c r="AU136" i="3" a="1"/>
  <c r="AU136" i="3" s="1"/>
  <c r="AU137" i="3" a="1"/>
  <c r="AU137" i="3"/>
  <c r="AU138" i="3" a="1"/>
  <c r="AU138" i="3"/>
  <c r="AU139" i="3" a="1"/>
  <c r="AU139" i="3"/>
  <c r="AU140" i="3" a="1"/>
  <c r="AU140" i="3"/>
  <c r="AU141" i="3" a="1"/>
  <c r="AU141" i="3"/>
  <c r="AU142" i="3" a="1"/>
  <c r="AU142" i="3"/>
  <c r="AU143" i="3" a="1"/>
  <c r="AU143" i="3" s="1"/>
  <c r="AU144" i="3" a="1"/>
  <c r="AU144" i="3" s="1"/>
  <c r="AU145" i="3" a="1"/>
  <c r="AU145" i="3" s="1"/>
  <c r="AU146" i="3" a="1"/>
  <c r="AU146" i="3" s="1"/>
  <c r="AU147" i="3" a="1"/>
  <c r="AU147" i="3"/>
  <c r="AU148" i="3" a="1"/>
  <c r="AU148" i="3"/>
  <c r="AU149" i="3" a="1"/>
  <c r="AU149" i="3"/>
  <c r="AU150" i="3" a="1"/>
  <c r="AU150" i="3"/>
  <c r="AU151" i="3" a="1"/>
  <c r="AU151" i="3"/>
  <c r="AU152" i="3" a="1"/>
  <c r="AU152" i="3"/>
  <c r="AU153" i="3" a="1"/>
  <c r="AU153" i="3" s="1"/>
  <c r="AU154" i="3" a="1"/>
  <c r="AU154" i="3" s="1"/>
  <c r="AU155" i="3" a="1"/>
  <c r="AU155" i="3" s="1"/>
  <c r="AU156" i="3" a="1"/>
  <c r="AU156" i="3" s="1"/>
  <c r="AU157" i="3" a="1"/>
  <c r="AU157" i="3"/>
  <c r="AU158" i="3" a="1"/>
  <c r="AU158" i="3"/>
  <c r="AU159" i="3" a="1"/>
  <c r="AU159" i="3"/>
  <c r="AU160" i="3" a="1"/>
  <c r="AU160" i="3"/>
  <c r="AU161" i="3" a="1"/>
  <c r="AU161" i="3"/>
  <c r="AU162" i="3" a="1"/>
  <c r="AU162" i="3"/>
  <c r="AU163" i="3" a="1"/>
  <c r="AU163" i="3" s="1"/>
  <c r="AU164" i="3" a="1"/>
  <c r="AU164" i="3" s="1"/>
  <c r="AU165" i="3" a="1"/>
  <c r="AU165" i="3" s="1"/>
  <c r="AU166" i="3" a="1"/>
  <c r="AU166" i="3" s="1"/>
  <c r="AU167" i="3" a="1"/>
  <c r="AU167" i="3"/>
  <c r="AU168" i="3" a="1"/>
  <c r="AU168" i="3"/>
  <c r="AU169" i="3" a="1"/>
  <c r="AU169" i="3"/>
  <c r="AU170" i="3" a="1"/>
  <c r="AU170" i="3"/>
  <c r="AU171" i="3" a="1"/>
  <c r="AU171" i="3"/>
  <c r="AU172" i="3" a="1"/>
  <c r="AU172" i="3"/>
  <c r="AU173" i="3" a="1"/>
  <c r="AU173" i="3" s="1"/>
  <c r="AU174" i="3" a="1"/>
  <c r="AU174" i="3" s="1"/>
  <c r="AU175" i="3" a="1"/>
  <c r="AU175" i="3" s="1"/>
  <c r="AU176" i="3" a="1"/>
  <c r="AU176" i="3" s="1"/>
  <c r="AU177" i="3" a="1"/>
  <c r="AU177" i="3"/>
  <c r="AU178" i="3" a="1"/>
  <c r="AU178" i="3"/>
  <c r="AU179" i="3" a="1"/>
  <c r="AU179" i="3"/>
  <c r="AU180" i="3" a="1"/>
  <c r="AU180" i="3"/>
  <c r="AU181" i="3" a="1"/>
  <c r="AU181" i="3"/>
  <c r="AU182" i="3" a="1"/>
  <c r="AU182" i="3"/>
  <c r="AU183" i="3" a="1"/>
  <c r="AU183" i="3" s="1"/>
  <c r="AU184" i="3" a="1"/>
  <c r="AU184" i="3" s="1"/>
  <c r="AU185" i="3" a="1"/>
  <c r="AU185" i="3" s="1"/>
  <c r="AU186" i="3" a="1"/>
  <c r="AU186" i="3" s="1"/>
  <c r="AU187" i="3" a="1"/>
  <c r="AU187" i="3"/>
  <c r="AU188" i="3" a="1"/>
  <c r="AU188" i="3"/>
  <c r="AU189" i="3" a="1"/>
  <c r="AU189" i="3"/>
  <c r="AU190" i="3" a="1"/>
  <c r="AU190" i="3"/>
  <c r="AU191" i="3" a="1"/>
  <c r="AU191" i="3"/>
  <c r="AU192" i="3" a="1"/>
  <c r="AU192" i="3"/>
  <c r="AU193" i="3" a="1"/>
  <c r="AU193" i="3" s="1"/>
  <c r="AU194" i="3" a="1"/>
  <c r="AU194" i="3" s="1"/>
  <c r="AU195" i="3" a="1"/>
  <c r="AU195" i="3" s="1"/>
  <c r="AU196" i="3" a="1"/>
  <c r="AU196" i="3" s="1"/>
  <c r="AU197" i="3" a="1"/>
  <c r="AU197" i="3"/>
  <c r="AU198" i="3" a="1"/>
  <c r="AU198" i="3"/>
  <c r="AU199" i="3" a="1"/>
  <c r="AU199" i="3"/>
  <c r="AU200" i="3" a="1"/>
  <c r="AU200" i="3"/>
  <c r="AU201" i="3" a="1"/>
  <c r="AU201" i="3"/>
  <c r="AU202" i="3" a="1"/>
  <c r="AU202" i="3"/>
  <c r="AU203" i="3" a="1"/>
  <c r="AU203" i="3" s="1"/>
  <c r="AU204" i="3" a="1"/>
  <c r="AU204" i="3" s="1"/>
  <c r="AU205" i="3" a="1"/>
  <c r="AU205" i="3" s="1"/>
  <c r="AU206" i="3" a="1"/>
  <c r="AU206" i="3" s="1"/>
  <c r="AU207" i="3" a="1"/>
  <c r="AU207" i="3"/>
  <c r="AU208" i="3" a="1"/>
  <c r="AU208" i="3"/>
  <c r="AU209" i="3" a="1"/>
  <c r="AU209" i="3"/>
  <c r="AU210" i="3" a="1"/>
  <c r="AU210" i="3"/>
  <c r="AU211" i="3" a="1"/>
  <c r="AU211" i="3"/>
  <c r="AU212" i="3" a="1"/>
  <c r="AU212" i="3"/>
  <c r="AU213" i="3" a="1"/>
  <c r="AU213" i="3" s="1"/>
  <c r="AU214" i="3" a="1"/>
  <c r="AU214" i="3" s="1"/>
  <c r="AU215" i="3" a="1"/>
  <c r="AU215" i="3" s="1"/>
  <c r="AU216" i="3" a="1"/>
  <c r="AU216" i="3" s="1"/>
  <c r="AU217" i="3" a="1"/>
  <c r="AU217" i="3"/>
  <c r="AU218" i="3" a="1"/>
  <c r="AU218" i="3"/>
  <c r="AU219" i="3" a="1"/>
  <c r="AU219" i="3"/>
  <c r="AU220" i="3" a="1"/>
  <c r="AU220" i="3"/>
  <c r="AU221" i="3" a="1"/>
  <c r="AU221" i="3"/>
  <c r="AU222" i="3" a="1"/>
  <c r="AU222" i="3"/>
  <c r="AU2" i="3" a="1"/>
  <c r="AU2" i="3" s="1"/>
  <c r="AT3" i="3" a="1"/>
  <c r="AT3" i="3"/>
  <c r="AT4" i="3" a="1"/>
  <c r="AT4" i="3" s="1"/>
  <c r="AT5" i="3" a="1"/>
  <c r="AT5" i="3" s="1"/>
  <c r="AT6" i="3" a="1"/>
  <c r="AT6" i="3" s="1"/>
  <c r="AT7" i="3" a="1"/>
  <c r="AT7" i="3"/>
  <c r="AT8" i="3" a="1"/>
  <c r="AT8" i="3"/>
  <c r="AT9" i="3" a="1"/>
  <c r="AT9" i="3"/>
  <c r="AT10" i="3" a="1"/>
  <c r="AT10" i="3"/>
  <c r="AT11" i="3" a="1"/>
  <c r="AT11" i="3"/>
  <c r="AT12" i="3" a="1"/>
  <c r="AT12" i="3"/>
  <c r="AT13" i="3" a="1"/>
  <c r="AT13" i="3"/>
  <c r="AT14" i="3" a="1"/>
  <c r="AT14" i="3" s="1"/>
  <c r="AT15" i="3" a="1"/>
  <c r="AT15" i="3" s="1"/>
  <c r="AT16" i="3" a="1"/>
  <c r="AT16" i="3" s="1"/>
  <c r="AT17" i="3" a="1"/>
  <c r="AT17" i="3"/>
  <c r="AT18" i="3" a="1"/>
  <c r="AT18" i="3"/>
  <c r="AT19" i="3" a="1"/>
  <c r="AT19" i="3"/>
  <c r="AT20" i="3" a="1"/>
  <c r="AT20" i="3"/>
  <c r="AT21" i="3" a="1"/>
  <c r="AT21" i="3"/>
  <c r="AT22" i="3" a="1"/>
  <c r="AT22" i="3"/>
  <c r="AT23" i="3" a="1"/>
  <c r="AT23" i="3"/>
  <c r="AT24" i="3" a="1"/>
  <c r="AT24" i="3" s="1"/>
  <c r="AT25" i="3" a="1"/>
  <c r="AT25" i="3" s="1"/>
  <c r="AT26" i="3" a="1"/>
  <c r="AT26" i="3" s="1"/>
  <c r="AT27" i="3" a="1"/>
  <c r="AT27" i="3"/>
  <c r="AT28" i="3" a="1"/>
  <c r="AT28" i="3"/>
  <c r="AT29" i="3" a="1"/>
  <c r="AT29" i="3"/>
  <c r="AT30" i="3" a="1"/>
  <c r="AT30" i="3"/>
  <c r="AT31" i="3" a="1"/>
  <c r="AT31" i="3"/>
  <c r="AT32" i="3" a="1"/>
  <c r="AT32" i="3"/>
  <c r="AT33" i="3" a="1"/>
  <c r="AT33" i="3"/>
  <c r="AT34" i="3" a="1"/>
  <c r="AT34" i="3" s="1"/>
  <c r="AT35" i="3" a="1"/>
  <c r="AT35" i="3" s="1"/>
  <c r="AT36" i="3" a="1"/>
  <c r="AT36" i="3" s="1"/>
  <c r="AT37" i="3" a="1"/>
  <c r="AT37" i="3"/>
  <c r="AT38" i="3" a="1"/>
  <c r="AT38" i="3"/>
  <c r="AT39" i="3" a="1"/>
  <c r="AT39" i="3"/>
  <c r="AT40" i="3" a="1"/>
  <c r="AT40" i="3"/>
  <c r="AT41" i="3" a="1"/>
  <c r="AT41" i="3"/>
  <c r="AT42" i="3" a="1"/>
  <c r="AT42" i="3"/>
  <c r="AT43" i="3" a="1"/>
  <c r="AT43" i="3"/>
  <c r="AT44" i="3" a="1"/>
  <c r="AT44" i="3" s="1"/>
  <c r="AT45" i="3" a="1"/>
  <c r="AT45" i="3" s="1"/>
  <c r="AT46" i="3" a="1"/>
  <c r="AT46" i="3" s="1"/>
  <c r="AT47" i="3" a="1"/>
  <c r="AT47" i="3"/>
  <c r="AT48" i="3" a="1"/>
  <c r="AT48" i="3"/>
  <c r="AT49" i="3" a="1"/>
  <c r="AT49" i="3"/>
  <c r="AT50" i="3" a="1"/>
  <c r="AT50" i="3"/>
  <c r="AT51" i="3" a="1"/>
  <c r="AT51" i="3"/>
  <c r="AT52" i="3" a="1"/>
  <c r="AT52" i="3"/>
  <c r="AT53" i="3" a="1"/>
  <c r="AT53" i="3"/>
  <c r="AT54" i="3" a="1"/>
  <c r="AT54" i="3" s="1"/>
  <c r="AT55" i="3" a="1"/>
  <c r="AT55" i="3" s="1"/>
  <c r="AT56" i="3" a="1"/>
  <c r="AT56" i="3" s="1"/>
  <c r="AT57" i="3" a="1"/>
  <c r="AT57" i="3"/>
  <c r="AT58" i="3" a="1"/>
  <c r="AT58" i="3"/>
  <c r="AT59" i="3" a="1"/>
  <c r="AT59" i="3"/>
  <c r="AT60" i="3" a="1"/>
  <c r="AT60" i="3"/>
  <c r="AT61" i="3" a="1"/>
  <c r="AT61" i="3"/>
  <c r="AT62" i="3" a="1"/>
  <c r="AT62" i="3"/>
  <c r="AT63" i="3" a="1"/>
  <c r="AT63" i="3"/>
  <c r="AT64" i="3" a="1"/>
  <c r="AT64" i="3" s="1"/>
  <c r="AT65" i="3" a="1"/>
  <c r="AT65" i="3" s="1"/>
  <c r="AT66" i="3" a="1"/>
  <c r="AT66" i="3" s="1"/>
  <c r="AT67" i="3" a="1"/>
  <c r="AT67" i="3"/>
  <c r="AT68" i="3" a="1"/>
  <c r="AT68" i="3"/>
  <c r="AT69" i="3" a="1"/>
  <c r="AT69" i="3"/>
  <c r="AT70" i="3" a="1"/>
  <c r="AT70" i="3"/>
  <c r="AT71" i="3" a="1"/>
  <c r="AT71" i="3"/>
  <c r="AT72" i="3" a="1"/>
  <c r="AT72" i="3"/>
  <c r="AT73" i="3" a="1"/>
  <c r="AT73" i="3"/>
  <c r="AT74" i="3" a="1"/>
  <c r="AT74" i="3" s="1"/>
  <c r="AT75" i="3" a="1"/>
  <c r="AT75" i="3" s="1"/>
  <c r="AT76" i="3" a="1"/>
  <c r="AT76" i="3" s="1"/>
  <c r="AT77" i="3" a="1"/>
  <c r="AT77" i="3"/>
  <c r="AT78" i="3" a="1"/>
  <c r="AT78" i="3"/>
  <c r="AT79" i="3" a="1"/>
  <c r="AT79" i="3"/>
  <c r="AT80" i="3" a="1"/>
  <c r="AT80" i="3"/>
  <c r="AT81" i="3" a="1"/>
  <c r="AT81" i="3"/>
  <c r="AT82" i="3" a="1"/>
  <c r="AT82" i="3"/>
  <c r="AT83" i="3" a="1"/>
  <c r="AT83" i="3"/>
  <c r="AT84" i="3" a="1"/>
  <c r="AT84" i="3" s="1"/>
  <c r="AT85" i="3" a="1"/>
  <c r="AT85" i="3" s="1"/>
  <c r="AT86" i="3" a="1"/>
  <c r="AT86" i="3" s="1"/>
  <c r="AT87" i="3" a="1"/>
  <c r="AT87" i="3"/>
  <c r="AT88" i="3" a="1"/>
  <c r="AT88" i="3"/>
  <c r="AT89" i="3" a="1"/>
  <c r="AT89" i="3"/>
  <c r="AT90" i="3" a="1"/>
  <c r="AT90" i="3"/>
  <c r="AT91" i="3" a="1"/>
  <c r="AT91" i="3"/>
  <c r="AT92" i="3" a="1"/>
  <c r="AT92" i="3"/>
  <c r="AT93" i="3" a="1"/>
  <c r="AT93" i="3"/>
  <c r="AT94" i="3" a="1"/>
  <c r="AT94" i="3" s="1"/>
  <c r="AT95" i="3" a="1"/>
  <c r="AT95" i="3" s="1"/>
  <c r="AT96" i="3" a="1"/>
  <c r="AT96" i="3" s="1"/>
  <c r="AT97" i="3" a="1"/>
  <c r="AT97" i="3"/>
  <c r="AT98" i="3" a="1"/>
  <c r="AT98" i="3"/>
  <c r="AT99" i="3" a="1"/>
  <c r="AT99" i="3"/>
  <c r="AT100" i="3" a="1"/>
  <c r="AT100" i="3"/>
  <c r="AT101" i="3" a="1"/>
  <c r="AT101" i="3"/>
  <c r="AT102" i="3" a="1"/>
  <c r="AT102" i="3"/>
  <c r="AT103" i="3" a="1"/>
  <c r="AT103" i="3"/>
  <c r="AT104" i="3" a="1"/>
  <c r="AT104" i="3" s="1"/>
  <c r="AT105" i="3" a="1"/>
  <c r="AT105" i="3" s="1"/>
  <c r="AT106" i="3" a="1"/>
  <c r="AT106" i="3" s="1"/>
  <c r="AT107" i="3" a="1"/>
  <c r="AT107" i="3"/>
  <c r="AT108" i="3" a="1"/>
  <c r="AT108" i="3"/>
  <c r="AT109" i="3" a="1"/>
  <c r="AT109" i="3"/>
  <c r="AT110" i="3" a="1"/>
  <c r="AT110" i="3"/>
  <c r="AT111" i="3" a="1"/>
  <c r="AT111" i="3"/>
  <c r="AT112" i="3" a="1"/>
  <c r="AT112" i="3"/>
  <c r="AT113" i="3" a="1"/>
  <c r="AT113" i="3"/>
  <c r="AT114" i="3" a="1"/>
  <c r="AT114" i="3" s="1"/>
  <c r="AT115" i="3" a="1"/>
  <c r="AT115" i="3" s="1"/>
  <c r="AT116" i="3" a="1"/>
  <c r="AT116" i="3" s="1"/>
  <c r="AT117" i="3" a="1"/>
  <c r="AT117" i="3"/>
  <c r="AT118" i="3" a="1"/>
  <c r="AT118" i="3"/>
  <c r="AT119" i="3" a="1"/>
  <c r="AT119" i="3"/>
  <c r="AT120" i="3" a="1"/>
  <c r="AT120" i="3"/>
  <c r="AT121" i="3" a="1"/>
  <c r="AT121" i="3"/>
  <c r="AT122" i="3" a="1"/>
  <c r="AT122" i="3"/>
  <c r="AT123" i="3" a="1"/>
  <c r="AT123" i="3"/>
  <c r="AT124" i="3" a="1"/>
  <c r="AT124" i="3" s="1"/>
  <c r="AT125" i="3" a="1"/>
  <c r="AT125" i="3" s="1"/>
  <c r="AT126" i="3" a="1"/>
  <c r="AT126" i="3" s="1"/>
  <c r="AT127" i="3" a="1"/>
  <c r="AT127" i="3"/>
  <c r="AT128" i="3" a="1"/>
  <c r="AT128" i="3"/>
  <c r="AT129" i="3" a="1"/>
  <c r="AT129" i="3"/>
  <c r="AT130" i="3" a="1"/>
  <c r="AT130" i="3"/>
  <c r="AT131" i="3" a="1"/>
  <c r="AT131" i="3"/>
  <c r="AT132" i="3" a="1"/>
  <c r="AT132" i="3"/>
  <c r="AT133" i="3" a="1"/>
  <c r="AT133" i="3"/>
  <c r="AT134" i="3" a="1"/>
  <c r="AT134" i="3" s="1"/>
  <c r="AT135" i="3" a="1"/>
  <c r="AT135" i="3" s="1"/>
  <c r="AT136" i="3" a="1"/>
  <c r="AT136" i="3" s="1"/>
  <c r="AT137" i="3" a="1"/>
  <c r="AT137" i="3"/>
  <c r="AT138" i="3" a="1"/>
  <c r="AT138" i="3"/>
  <c r="AT139" i="3" a="1"/>
  <c r="AT139" i="3"/>
  <c r="AT140" i="3" a="1"/>
  <c r="AT140" i="3"/>
  <c r="AT141" i="3" a="1"/>
  <c r="AT141" i="3"/>
  <c r="AT142" i="3" a="1"/>
  <c r="AT142" i="3"/>
  <c r="AT143" i="3" a="1"/>
  <c r="AT143" i="3"/>
  <c r="AT144" i="3" a="1"/>
  <c r="AT144" i="3" s="1"/>
  <c r="AT145" i="3" a="1"/>
  <c r="AT145" i="3" s="1"/>
  <c r="AT146" i="3" a="1"/>
  <c r="AT146" i="3" s="1"/>
  <c r="AT147" i="3" a="1"/>
  <c r="AT147" i="3"/>
  <c r="AT148" i="3" a="1"/>
  <c r="AT148" i="3"/>
  <c r="AT149" i="3" a="1"/>
  <c r="AT149" i="3"/>
  <c r="AT150" i="3" a="1"/>
  <c r="AT150" i="3"/>
  <c r="AT151" i="3" a="1"/>
  <c r="AT151" i="3"/>
  <c r="AT152" i="3" a="1"/>
  <c r="AT152" i="3"/>
  <c r="AT153" i="3" a="1"/>
  <c r="AT153" i="3"/>
  <c r="AT154" i="3" a="1"/>
  <c r="AT154" i="3" s="1"/>
  <c r="AT155" i="3" a="1"/>
  <c r="AT155" i="3" s="1"/>
  <c r="AT156" i="3" a="1"/>
  <c r="AT156" i="3" s="1"/>
  <c r="AT157" i="3" a="1"/>
  <c r="AT157" i="3"/>
  <c r="AT158" i="3" a="1"/>
  <c r="AT158" i="3"/>
  <c r="AT159" i="3" a="1"/>
  <c r="AT159" i="3"/>
  <c r="AT160" i="3" a="1"/>
  <c r="AT160" i="3"/>
  <c r="AT161" i="3" a="1"/>
  <c r="AT161" i="3"/>
  <c r="AT162" i="3" a="1"/>
  <c r="AT162" i="3"/>
  <c r="AT163" i="3" a="1"/>
  <c r="AT163" i="3"/>
  <c r="AT164" i="3" a="1"/>
  <c r="AT164" i="3" s="1"/>
  <c r="AT165" i="3" a="1"/>
  <c r="AT165" i="3" s="1"/>
  <c r="AT166" i="3" a="1"/>
  <c r="AT166" i="3" s="1"/>
  <c r="AT167" i="3" a="1"/>
  <c r="AT167" i="3"/>
  <c r="AT168" i="3" a="1"/>
  <c r="AT168" i="3"/>
  <c r="AT169" i="3" a="1"/>
  <c r="AT169" i="3"/>
  <c r="AT170" i="3" a="1"/>
  <c r="AT170" i="3"/>
  <c r="AT171" i="3" a="1"/>
  <c r="AT171" i="3"/>
  <c r="AT172" i="3" a="1"/>
  <c r="AT172" i="3"/>
  <c r="AT173" i="3" a="1"/>
  <c r="AT173" i="3"/>
  <c r="AT174" i="3" a="1"/>
  <c r="AT174" i="3" s="1"/>
  <c r="AT175" i="3" a="1"/>
  <c r="AT175" i="3" s="1"/>
  <c r="AT176" i="3" a="1"/>
  <c r="AT176" i="3" s="1"/>
  <c r="AT177" i="3" a="1"/>
  <c r="AT177" i="3"/>
  <c r="AT178" i="3" a="1"/>
  <c r="AT178" i="3"/>
  <c r="AT179" i="3" a="1"/>
  <c r="AT179" i="3"/>
  <c r="AT180" i="3" a="1"/>
  <c r="AT180" i="3"/>
  <c r="AT181" i="3" a="1"/>
  <c r="AT181" i="3"/>
  <c r="AT182" i="3" a="1"/>
  <c r="AT182" i="3"/>
  <c r="AT183" i="3" a="1"/>
  <c r="AT183" i="3"/>
  <c r="AT184" i="3" a="1"/>
  <c r="AT184" i="3" s="1"/>
  <c r="AT185" i="3" a="1"/>
  <c r="AT185" i="3" s="1"/>
  <c r="AT186" i="3" a="1"/>
  <c r="AT186" i="3" s="1"/>
  <c r="AT187" i="3" a="1"/>
  <c r="AT187" i="3"/>
  <c r="AT188" i="3" a="1"/>
  <c r="AT188" i="3"/>
  <c r="AT189" i="3" a="1"/>
  <c r="AT189" i="3"/>
  <c r="AT190" i="3" a="1"/>
  <c r="AT190" i="3"/>
  <c r="AT191" i="3" a="1"/>
  <c r="AT191" i="3"/>
  <c r="AT192" i="3" a="1"/>
  <c r="AT192" i="3"/>
  <c r="AT193" i="3" a="1"/>
  <c r="AT193" i="3"/>
  <c r="AT194" i="3" a="1"/>
  <c r="AT194" i="3" s="1"/>
  <c r="AT195" i="3" a="1"/>
  <c r="AT195" i="3" s="1"/>
  <c r="AT196" i="3" a="1"/>
  <c r="AT196" i="3" s="1"/>
  <c r="AT197" i="3" a="1"/>
  <c r="AT197" i="3"/>
  <c r="AT198" i="3" a="1"/>
  <c r="AT198" i="3"/>
  <c r="AT199" i="3" a="1"/>
  <c r="AT199" i="3"/>
  <c r="AT200" i="3" a="1"/>
  <c r="AT200" i="3"/>
  <c r="AT201" i="3" a="1"/>
  <c r="AT201" i="3"/>
  <c r="AT202" i="3" a="1"/>
  <c r="AT202" i="3"/>
  <c r="AT203" i="3" a="1"/>
  <c r="AT203" i="3"/>
  <c r="AT204" i="3" a="1"/>
  <c r="AT204" i="3" s="1"/>
  <c r="AT205" i="3" a="1"/>
  <c r="AT205" i="3" s="1"/>
  <c r="AT206" i="3" a="1"/>
  <c r="AT206" i="3" s="1"/>
  <c r="AT207" i="3" a="1"/>
  <c r="AT207" i="3"/>
  <c r="AT208" i="3" a="1"/>
  <c r="AT208" i="3"/>
  <c r="AT209" i="3" a="1"/>
  <c r="AT209" i="3"/>
  <c r="AT210" i="3" a="1"/>
  <c r="AT210" i="3"/>
  <c r="AT211" i="3" a="1"/>
  <c r="AT211" i="3"/>
  <c r="AT212" i="3" a="1"/>
  <c r="AT212" i="3"/>
  <c r="AT213" i="3" a="1"/>
  <c r="AT213" i="3"/>
  <c r="AT214" i="3" a="1"/>
  <c r="AT214" i="3" s="1"/>
  <c r="AT215" i="3" a="1"/>
  <c r="AT215" i="3" s="1"/>
  <c r="AT216" i="3" a="1"/>
  <c r="AT216" i="3" s="1"/>
  <c r="AT217" i="3" a="1"/>
  <c r="AT217" i="3"/>
  <c r="AT218" i="3" a="1"/>
  <c r="AT218" i="3"/>
  <c r="AT219" i="3" a="1"/>
  <c r="AT219" i="3"/>
  <c r="AT220" i="3" a="1"/>
  <c r="AT220" i="3"/>
  <c r="AT221" i="3" a="1"/>
  <c r="AT221" i="3"/>
  <c r="AT222" i="3" a="1"/>
  <c r="AT222" i="3"/>
  <c r="AT2" i="3" a="1"/>
  <c r="AT2" i="3" s="1"/>
  <c r="AS3" i="3" a="1"/>
  <c r="AS3" i="3" s="1"/>
  <c r="AS4" i="3" a="1"/>
  <c r="AS4" i="3" s="1"/>
  <c r="AS5" i="3" a="1"/>
  <c r="AS5" i="3" s="1"/>
  <c r="AS6" i="3" a="1"/>
  <c r="AS6" i="3"/>
  <c r="AS7" i="3" a="1"/>
  <c r="AS7" i="3"/>
  <c r="AS8" i="3" a="1"/>
  <c r="AS8" i="3"/>
  <c r="AS9" i="3" a="1"/>
  <c r="AS9" i="3"/>
  <c r="AS10" i="3" a="1"/>
  <c r="AS10" i="3"/>
  <c r="AS11" i="3" a="1"/>
  <c r="AS11" i="3" s="1"/>
  <c r="AS12" i="3" a="1"/>
  <c r="AS12" i="3"/>
  <c r="AS13" i="3" a="1"/>
  <c r="AS13" i="3" s="1"/>
  <c r="AS14" i="3" a="1"/>
  <c r="AS14" i="3" s="1"/>
  <c r="AS15" i="3" a="1"/>
  <c r="AS15" i="3" s="1"/>
  <c r="AS16" i="3" a="1"/>
  <c r="AS16" i="3" s="1"/>
  <c r="AS17" i="3" a="1"/>
  <c r="AS17" i="3"/>
  <c r="AS18" i="3" a="1"/>
  <c r="AS18" i="3"/>
  <c r="AS19" i="3" a="1"/>
  <c r="AS19" i="3"/>
  <c r="AS20" i="3" a="1"/>
  <c r="AS20" i="3"/>
  <c r="AS21" i="3" a="1"/>
  <c r="AS21" i="3" s="1"/>
  <c r="AS22" i="3" a="1"/>
  <c r="AS22" i="3"/>
  <c r="AS23" i="3" a="1"/>
  <c r="AS23" i="3" s="1"/>
  <c r="AS24" i="3" a="1"/>
  <c r="AS24" i="3" s="1"/>
  <c r="AS25" i="3" a="1"/>
  <c r="AS25" i="3" s="1"/>
  <c r="AS26" i="3" a="1"/>
  <c r="AS26" i="3"/>
  <c r="AS27" i="3" a="1"/>
  <c r="AS27" i="3"/>
  <c r="AS28" i="3" a="1"/>
  <c r="AS28" i="3"/>
  <c r="AS29" i="3" a="1"/>
  <c r="AS29" i="3"/>
  <c r="AS30" i="3" a="1"/>
  <c r="AS30" i="3"/>
  <c r="AS31" i="3" a="1"/>
  <c r="AS31" i="3" s="1"/>
  <c r="AS32" i="3" a="1"/>
  <c r="AS32" i="3"/>
  <c r="AS33" i="3" a="1"/>
  <c r="AS33" i="3" s="1"/>
  <c r="AS34" i="3" a="1"/>
  <c r="AS34" i="3" s="1"/>
  <c r="AS35" i="3" a="1"/>
  <c r="AS35" i="3" s="1"/>
  <c r="AS36" i="3" a="1"/>
  <c r="AS36" i="3"/>
  <c r="AS37" i="3" a="1"/>
  <c r="AS37" i="3"/>
  <c r="AS38" i="3" a="1"/>
  <c r="AS38" i="3"/>
  <c r="AS39" i="3" a="1"/>
  <c r="AS39" i="3"/>
  <c r="AS40" i="3" a="1"/>
  <c r="AS40" i="3"/>
  <c r="AS41" i="3" a="1"/>
  <c r="AS41" i="3" s="1"/>
  <c r="AS42" i="3" a="1"/>
  <c r="AS42" i="3"/>
  <c r="AS43" i="3" a="1"/>
  <c r="AS43" i="3" s="1"/>
  <c r="AS44" i="3" a="1"/>
  <c r="AS44" i="3" s="1"/>
  <c r="AS45" i="3" a="1"/>
  <c r="AS45" i="3" s="1"/>
  <c r="AS46" i="3" a="1"/>
  <c r="AS46" i="3"/>
  <c r="AS47" i="3" a="1"/>
  <c r="AS47" i="3"/>
  <c r="AS48" i="3" a="1"/>
  <c r="AS48" i="3"/>
  <c r="AS49" i="3" a="1"/>
  <c r="AS49" i="3"/>
  <c r="AS50" i="3" a="1"/>
  <c r="AS50" i="3"/>
  <c r="AS51" i="3" a="1"/>
  <c r="AS51" i="3" s="1"/>
  <c r="AS52" i="3" a="1"/>
  <c r="AS52" i="3"/>
  <c r="AS53" i="3" a="1"/>
  <c r="AS53" i="3" s="1"/>
  <c r="AS54" i="3" a="1"/>
  <c r="AS54" i="3" s="1"/>
  <c r="AS55" i="3" a="1"/>
  <c r="AS55" i="3" s="1"/>
  <c r="AS56" i="3" a="1"/>
  <c r="AS56" i="3"/>
  <c r="AS57" i="3" a="1"/>
  <c r="AS57" i="3"/>
  <c r="AS58" i="3" a="1"/>
  <c r="AS58" i="3"/>
  <c r="AS59" i="3" a="1"/>
  <c r="AS59" i="3"/>
  <c r="AS60" i="3" a="1"/>
  <c r="AS60" i="3"/>
  <c r="AS61" i="3" a="1"/>
  <c r="AS61" i="3" s="1"/>
  <c r="AS62" i="3" a="1"/>
  <c r="AS62" i="3"/>
  <c r="AS63" i="3" a="1"/>
  <c r="AS63" i="3" s="1"/>
  <c r="AS64" i="3" a="1"/>
  <c r="AS64" i="3" s="1"/>
  <c r="AS65" i="3" a="1"/>
  <c r="AS65" i="3" s="1"/>
  <c r="AS66" i="3" a="1"/>
  <c r="AS66" i="3"/>
  <c r="AS67" i="3" a="1"/>
  <c r="AS67" i="3"/>
  <c r="AS68" i="3" a="1"/>
  <c r="AS68" i="3"/>
  <c r="AS69" i="3" a="1"/>
  <c r="AS69" i="3"/>
  <c r="AS70" i="3" a="1"/>
  <c r="AS70" i="3"/>
  <c r="AS71" i="3" a="1"/>
  <c r="AS71" i="3" s="1"/>
  <c r="AS72" i="3" a="1"/>
  <c r="AS72" i="3"/>
  <c r="AS73" i="3" a="1"/>
  <c r="AS73" i="3" s="1"/>
  <c r="AS74" i="3" a="1"/>
  <c r="AS74" i="3" s="1"/>
  <c r="AS75" i="3" a="1"/>
  <c r="AS75" i="3" s="1"/>
  <c r="AS76" i="3" a="1"/>
  <c r="AS76" i="3"/>
  <c r="AS77" i="3" a="1"/>
  <c r="AS77" i="3"/>
  <c r="AS78" i="3" a="1"/>
  <c r="AS78" i="3"/>
  <c r="AS79" i="3" a="1"/>
  <c r="AS79" i="3"/>
  <c r="AS80" i="3" a="1"/>
  <c r="AS80" i="3"/>
  <c r="AS81" i="3" a="1"/>
  <c r="AS81" i="3" s="1"/>
  <c r="AS82" i="3" a="1"/>
  <c r="AS82" i="3"/>
  <c r="AS83" i="3" a="1"/>
  <c r="AS83" i="3" s="1"/>
  <c r="AS84" i="3" a="1"/>
  <c r="AS84" i="3" s="1"/>
  <c r="AS85" i="3" a="1"/>
  <c r="AS85" i="3" s="1"/>
  <c r="AS86" i="3" a="1"/>
  <c r="AS86" i="3"/>
  <c r="AS87" i="3" a="1"/>
  <c r="AS87" i="3"/>
  <c r="AS88" i="3" a="1"/>
  <c r="AS88" i="3"/>
  <c r="AS89" i="3" a="1"/>
  <c r="AS89" i="3"/>
  <c r="AS90" i="3" a="1"/>
  <c r="AS90" i="3"/>
  <c r="AS91" i="3" a="1"/>
  <c r="AS91" i="3" s="1"/>
  <c r="AS92" i="3" a="1"/>
  <c r="AS92" i="3"/>
  <c r="AS93" i="3" a="1"/>
  <c r="AS93" i="3" s="1"/>
  <c r="AS94" i="3" a="1"/>
  <c r="AS94" i="3" s="1"/>
  <c r="AS95" i="3" a="1"/>
  <c r="AS95" i="3" s="1"/>
  <c r="AS96" i="3" a="1"/>
  <c r="AS96" i="3"/>
  <c r="AS97" i="3" a="1"/>
  <c r="AS97" i="3"/>
  <c r="AS98" i="3" a="1"/>
  <c r="AS98" i="3"/>
  <c r="AS99" i="3" a="1"/>
  <c r="AS99" i="3"/>
  <c r="AS100" i="3" a="1"/>
  <c r="AS100" i="3"/>
  <c r="AS101" i="3" a="1"/>
  <c r="AS101" i="3" s="1"/>
  <c r="AS102" i="3" a="1"/>
  <c r="AS102" i="3"/>
  <c r="AS103" i="3" a="1"/>
  <c r="AS103" i="3" s="1"/>
  <c r="AS104" i="3" a="1"/>
  <c r="AS104" i="3" s="1"/>
  <c r="AS105" i="3" a="1"/>
  <c r="AS105" i="3" s="1"/>
  <c r="AS106" i="3" a="1"/>
  <c r="AS106" i="3"/>
  <c r="AS107" i="3" a="1"/>
  <c r="AS107" i="3"/>
  <c r="AS108" i="3" a="1"/>
  <c r="AS108" i="3"/>
  <c r="AS109" i="3" a="1"/>
  <c r="AS109" i="3"/>
  <c r="AS110" i="3" a="1"/>
  <c r="AS110" i="3"/>
  <c r="AS111" i="3" a="1"/>
  <c r="AS111" i="3" s="1"/>
  <c r="AS112" i="3" a="1"/>
  <c r="AS112" i="3"/>
  <c r="AS113" i="3" a="1"/>
  <c r="AS113" i="3" s="1"/>
  <c r="AS114" i="3" a="1"/>
  <c r="AS114" i="3" s="1"/>
  <c r="AS115" i="3" a="1"/>
  <c r="AS115" i="3" s="1"/>
  <c r="AS116" i="3" a="1"/>
  <c r="AS116" i="3"/>
  <c r="AS117" i="3" a="1"/>
  <c r="AS117" i="3"/>
  <c r="AS118" i="3" a="1"/>
  <c r="AS118" i="3"/>
  <c r="AS119" i="3" a="1"/>
  <c r="AS119" i="3"/>
  <c r="AS120" i="3" a="1"/>
  <c r="AS120" i="3"/>
  <c r="AS121" i="3" a="1"/>
  <c r="AS121" i="3" s="1"/>
  <c r="AS122" i="3" a="1"/>
  <c r="AS122" i="3"/>
  <c r="AS123" i="3" a="1"/>
  <c r="AS123" i="3" s="1"/>
  <c r="AS124" i="3" a="1"/>
  <c r="AS124" i="3" s="1"/>
  <c r="AS125" i="3" a="1"/>
  <c r="AS125" i="3" s="1"/>
  <c r="AS126" i="3" a="1"/>
  <c r="AS126" i="3"/>
  <c r="AS127" i="3" a="1"/>
  <c r="AS127" i="3"/>
  <c r="AS128" i="3" a="1"/>
  <c r="AS128" i="3"/>
  <c r="AS129" i="3" a="1"/>
  <c r="AS129" i="3"/>
  <c r="AS130" i="3" a="1"/>
  <c r="AS130" i="3"/>
  <c r="AS131" i="3" a="1"/>
  <c r="AS131" i="3" s="1"/>
  <c r="AS132" i="3" a="1"/>
  <c r="AS132" i="3"/>
  <c r="AS133" i="3" a="1"/>
  <c r="AS133" i="3" s="1"/>
  <c r="AS134" i="3" a="1"/>
  <c r="AS134" i="3" s="1"/>
  <c r="AS135" i="3" a="1"/>
  <c r="AS135" i="3" s="1"/>
  <c r="AS136" i="3" a="1"/>
  <c r="AS136" i="3" s="1"/>
  <c r="AS137" i="3" a="1"/>
  <c r="AS137" i="3"/>
  <c r="AS138" i="3" a="1"/>
  <c r="AS138" i="3"/>
  <c r="AS139" i="3" a="1"/>
  <c r="AS139" i="3"/>
  <c r="AS140" i="3" a="1"/>
  <c r="AS140" i="3"/>
  <c r="AS141" i="3" a="1"/>
  <c r="AS141" i="3" s="1"/>
  <c r="AS142" i="3" a="1"/>
  <c r="AS142" i="3"/>
  <c r="AS143" i="3" a="1"/>
  <c r="AS143" i="3" s="1"/>
  <c r="AS144" i="3" a="1"/>
  <c r="AS144" i="3" s="1"/>
  <c r="AS145" i="3" a="1"/>
  <c r="AS145" i="3" s="1"/>
  <c r="AS146" i="3" a="1"/>
  <c r="AS146" i="3" s="1"/>
  <c r="AS147" i="3" a="1"/>
  <c r="AS147" i="3"/>
  <c r="AS148" i="3" a="1"/>
  <c r="AS148" i="3"/>
  <c r="AS149" i="3" a="1"/>
  <c r="AS149" i="3"/>
  <c r="AS150" i="3" a="1"/>
  <c r="AS150" i="3"/>
  <c r="AS151" i="3" a="1"/>
  <c r="AS151" i="3" s="1"/>
  <c r="AS152" i="3" a="1"/>
  <c r="AS152" i="3"/>
  <c r="AS153" i="3" a="1"/>
  <c r="AS153" i="3" s="1"/>
  <c r="AS154" i="3" a="1"/>
  <c r="AS154" i="3" s="1"/>
  <c r="AS155" i="3" a="1"/>
  <c r="AS155" i="3" s="1"/>
  <c r="AS156" i="3" a="1"/>
  <c r="AS156" i="3" s="1"/>
  <c r="AS157" i="3" a="1"/>
  <c r="AS157" i="3"/>
  <c r="AS158" i="3" a="1"/>
  <c r="AS158" i="3"/>
  <c r="AS159" i="3" a="1"/>
  <c r="AS159" i="3"/>
  <c r="AS160" i="3" a="1"/>
  <c r="AS160" i="3"/>
  <c r="AS161" i="3" a="1"/>
  <c r="AS161" i="3" s="1"/>
  <c r="AS162" i="3" a="1"/>
  <c r="AS162" i="3"/>
  <c r="AS163" i="3" a="1"/>
  <c r="AS163" i="3" s="1"/>
  <c r="AS164" i="3" a="1"/>
  <c r="AS164" i="3" s="1"/>
  <c r="AS165" i="3" a="1"/>
  <c r="AS165" i="3" s="1"/>
  <c r="AS166" i="3" a="1"/>
  <c r="AS166" i="3" s="1"/>
  <c r="AS167" i="3" a="1"/>
  <c r="AS167" i="3"/>
  <c r="AS168" i="3" a="1"/>
  <c r="AS168" i="3"/>
  <c r="AS169" i="3" a="1"/>
  <c r="AS169" i="3"/>
  <c r="AS170" i="3" a="1"/>
  <c r="AS170" i="3"/>
  <c r="AS171" i="3" a="1"/>
  <c r="AS171" i="3" s="1"/>
  <c r="AS172" i="3" a="1"/>
  <c r="AS172" i="3"/>
  <c r="AS173" i="3" a="1"/>
  <c r="AS173" i="3" s="1"/>
  <c r="AS174" i="3" a="1"/>
  <c r="AS174" i="3" s="1"/>
  <c r="AS175" i="3" a="1"/>
  <c r="AS175" i="3" s="1"/>
  <c r="AS176" i="3" a="1"/>
  <c r="AS176" i="3" s="1"/>
  <c r="AS177" i="3" a="1"/>
  <c r="AS177" i="3"/>
  <c r="AS178" i="3" a="1"/>
  <c r="AS178" i="3"/>
  <c r="AS179" i="3" a="1"/>
  <c r="AS179" i="3"/>
  <c r="AS180" i="3" a="1"/>
  <c r="AS180" i="3"/>
  <c r="AS181" i="3" a="1"/>
  <c r="AS181" i="3" s="1"/>
  <c r="AS182" i="3" a="1"/>
  <c r="AS182" i="3"/>
  <c r="AS183" i="3" a="1"/>
  <c r="AS183" i="3" s="1"/>
  <c r="AS184" i="3" a="1"/>
  <c r="AS184" i="3" s="1"/>
  <c r="AS185" i="3" a="1"/>
  <c r="AS185" i="3" s="1"/>
  <c r="AS186" i="3" a="1"/>
  <c r="AS186" i="3" s="1"/>
  <c r="AS187" i="3" a="1"/>
  <c r="AS187" i="3"/>
  <c r="AS188" i="3" a="1"/>
  <c r="AS188" i="3"/>
  <c r="AS189" i="3" a="1"/>
  <c r="AS189" i="3"/>
  <c r="AS190" i="3" a="1"/>
  <c r="AS190" i="3"/>
  <c r="AS191" i="3" a="1"/>
  <c r="AS191" i="3" s="1"/>
  <c r="AS192" i="3" a="1"/>
  <c r="AS192" i="3"/>
  <c r="AS193" i="3" a="1"/>
  <c r="AS193" i="3" s="1"/>
  <c r="AS194" i="3" a="1"/>
  <c r="AS194" i="3" s="1"/>
  <c r="AS195" i="3" a="1"/>
  <c r="AS195" i="3" s="1"/>
  <c r="AS196" i="3" a="1"/>
  <c r="AS196" i="3" s="1"/>
  <c r="AS197" i="3" a="1"/>
  <c r="AS197" i="3"/>
  <c r="AS198" i="3" a="1"/>
  <c r="AS198" i="3"/>
  <c r="AS199" i="3" a="1"/>
  <c r="AS199" i="3"/>
  <c r="AS200" i="3" a="1"/>
  <c r="AS200" i="3"/>
  <c r="AS201" i="3" a="1"/>
  <c r="AS201" i="3" s="1"/>
  <c r="AS202" i="3" a="1"/>
  <c r="AS202" i="3"/>
  <c r="AS203" i="3" a="1"/>
  <c r="AS203" i="3" s="1"/>
  <c r="AS204" i="3" a="1"/>
  <c r="AS204" i="3" s="1"/>
  <c r="AS205" i="3" a="1"/>
  <c r="AS205" i="3" s="1"/>
  <c r="AS206" i="3" a="1"/>
  <c r="AS206" i="3" s="1"/>
  <c r="AS207" i="3" a="1"/>
  <c r="AS207" i="3"/>
  <c r="AS208" i="3" a="1"/>
  <c r="AS208" i="3"/>
  <c r="AS209" i="3" a="1"/>
  <c r="AS209" i="3"/>
  <c r="AS210" i="3" a="1"/>
  <c r="AS210" i="3"/>
  <c r="AS211" i="3" a="1"/>
  <c r="AS211" i="3" s="1"/>
  <c r="AS212" i="3" a="1"/>
  <c r="AS212" i="3"/>
  <c r="AS213" i="3" a="1"/>
  <c r="AS213" i="3" s="1"/>
  <c r="AS214" i="3" a="1"/>
  <c r="AS214" i="3" s="1"/>
  <c r="AS215" i="3" a="1"/>
  <c r="AS215" i="3" s="1"/>
  <c r="AS216" i="3" a="1"/>
  <c r="AS216" i="3" s="1"/>
  <c r="AS217" i="3" a="1"/>
  <c r="AS217" i="3"/>
  <c r="AS218" i="3" a="1"/>
  <c r="AS218" i="3"/>
  <c r="AS219" i="3" a="1"/>
  <c r="AS219" i="3"/>
  <c r="AS220" i="3" a="1"/>
  <c r="AS220" i="3"/>
  <c r="AS221" i="3" a="1"/>
  <c r="AS221" i="3" s="1"/>
  <c r="AS222" i="3" a="1"/>
  <c r="AS222" i="3"/>
  <c r="AS2" i="3" a="1"/>
  <c r="AS2" i="3"/>
  <c r="AP3" i="3"/>
  <c r="AQ3" i="3"/>
  <c r="AR3" i="3"/>
  <c r="AP4" i="3"/>
  <c r="AQ4" i="3"/>
  <c r="AR4" i="3"/>
  <c r="AP5" i="3"/>
  <c r="AQ5" i="3"/>
  <c r="AR5" i="3"/>
  <c r="AP6" i="3"/>
  <c r="AQ6" i="3"/>
  <c r="AR6" i="3"/>
  <c r="AP7" i="3"/>
  <c r="AQ7" i="3"/>
  <c r="AR7" i="3"/>
  <c r="AP8" i="3"/>
  <c r="AQ8" i="3"/>
  <c r="AR8" i="3"/>
  <c r="AP9" i="3"/>
  <c r="AQ9" i="3"/>
  <c r="AR9" i="3"/>
  <c r="AP10" i="3"/>
  <c r="AQ10" i="3"/>
  <c r="AR10" i="3"/>
  <c r="AP11" i="3"/>
  <c r="AQ11" i="3"/>
  <c r="AR11" i="3"/>
  <c r="AP12" i="3"/>
  <c r="AQ12" i="3"/>
  <c r="AR12" i="3"/>
  <c r="AP13" i="3"/>
  <c r="AQ13" i="3"/>
  <c r="AR13" i="3"/>
  <c r="AP14" i="3"/>
  <c r="AQ14" i="3"/>
  <c r="AR14" i="3"/>
  <c r="AP15" i="3"/>
  <c r="AQ15" i="3"/>
  <c r="AR15" i="3"/>
  <c r="AP16" i="3"/>
  <c r="AQ16" i="3"/>
  <c r="AR16" i="3"/>
  <c r="AP17" i="3"/>
  <c r="AQ17" i="3"/>
  <c r="AR17" i="3"/>
  <c r="AP18" i="3"/>
  <c r="AQ18" i="3"/>
  <c r="AR18" i="3"/>
  <c r="AP19" i="3"/>
  <c r="AQ19" i="3"/>
  <c r="AR19" i="3"/>
  <c r="AP20" i="3"/>
  <c r="AQ20" i="3"/>
  <c r="AR20" i="3"/>
  <c r="AP21" i="3"/>
  <c r="AQ21" i="3"/>
  <c r="AR21" i="3"/>
  <c r="AP22" i="3"/>
  <c r="AQ22" i="3"/>
  <c r="AR22" i="3"/>
  <c r="AP23" i="3"/>
  <c r="AQ23" i="3"/>
  <c r="AR23" i="3"/>
  <c r="AP24" i="3"/>
  <c r="AQ24" i="3"/>
  <c r="AR24" i="3"/>
  <c r="AP25" i="3"/>
  <c r="AQ25" i="3"/>
  <c r="AR25" i="3"/>
  <c r="AP26" i="3"/>
  <c r="AQ26" i="3"/>
  <c r="AR26" i="3"/>
  <c r="AP27" i="3"/>
  <c r="AQ27" i="3"/>
  <c r="AR27" i="3"/>
  <c r="AP28" i="3"/>
  <c r="AQ28" i="3"/>
  <c r="AR28" i="3"/>
  <c r="AP29" i="3"/>
  <c r="AQ29" i="3"/>
  <c r="AR29" i="3"/>
  <c r="AP30" i="3"/>
  <c r="AQ30" i="3"/>
  <c r="AR30" i="3"/>
  <c r="AP31" i="3"/>
  <c r="AQ31" i="3"/>
  <c r="AR31" i="3"/>
  <c r="AP32" i="3"/>
  <c r="AQ32" i="3"/>
  <c r="AR32" i="3"/>
  <c r="AP33" i="3"/>
  <c r="AQ33" i="3"/>
  <c r="AR33" i="3"/>
  <c r="AP34" i="3"/>
  <c r="AQ34" i="3"/>
  <c r="AR34" i="3"/>
  <c r="AP35" i="3"/>
  <c r="AQ35" i="3"/>
  <c r="AR35" i="3"/>
  <c r="AP36" i="3"/>
  <c r="AQ36" i="3"/>
  <c r="AR36" i="3"/>
  <c r="AP37" i="3"/>
  <c r="AQ37" i="3"/>
  <c r="AR37" i="3"/>
  <c r="AP38" i="3"/>
  <c r="AQ38" i="3"/>
  <c r="AR38" i="3"/>
  <c r="AP39" i="3"/>
  <c r="AQ39" i="3"/>
  <c r="AR39" i="3"/>
  <c r="AP40" i="3"/>
  <c r="AQ40" i="3"/>
  <c r="AR40" i="3"/>
  <c r="AP41" i="3"/>
  <c r="AQ41" i="3"/>
  <c r="AR41" i="3"/>
  <c r="AP42" i="3"/>
  <c r="AQ42" i="3"/>
  <c r="AR42" i="3"/>
  <c r="AP43" i="3"/>
  <c r="AQ43" i="3"/>
  <c r="AR43" i="3"/>
  <c r="AP44" i="3"/>
  <c r="AQ44" i="3"/>
  <c r="AR44" i="3"/>
  <c r="AP45" i="3"/>
  <c r="AQ45" i="3"/>
  <c r="AR45" i="3"/>
  <c r="AP46" i="3"/>
  <c r="AQ46" i="3"/>
  <c r="AR46" i="3"/>
  <c r="AP47" i="3"/>
  <c r="AQ47" i="3"/>
  <c r="AR47" i="3"/>
  <c r="AP48" i="3"/>
  <c r="AQ48" i="3"/>
  <c r="AR48" i="3"/>
  <c r="AP49" i="3"/>
  <c r="AQ49" i="3"/>
  <c r="AR49" i="3"/>
  <c r="AP50" i="3"/>
  <c r="AQ50" i="3"/>
  <c r="AR50" i="3"/>
  <c r="AP51" i="3"/>
  <c r="AQ51" i="3"/>
  <c r="AR51" i="3"/>
  <c r="AP52" i="3"/>
  <c r="AQ52" i="3"/>
  <c r="AR52" i="3"/>
  <c r="AP53" i="3"/>
  <c r="AQ53" i="3"/>
  <c r="AR53" i="3"/>
  <c r="AP54" i="3"/>
  <c r="AQ54" i="3"/>
  <c r="AR54" i="3"/>
  <c r="AP55" i="3"/>
  <c r="AQ55" i="3"/>
  <c r="AR55" i="3"/>
  <c r="AP56" i="3"/>
  <c r="AQ56" i="3"/>
  <c r="AR56" i="3"/>
  <c r="AP57" i="3"/>
  <c r="AQ57" i="3"/>
  <c r="AR57" i="3"/>
  <c r="AP58" i="3"/>
  <c r="AQ58" i="3"/>
  <c r="AR58" i="3"/>
  <c r="AP59" i="3"/>
  <c r="AQ59" i="3"/>
  <c r="AR59" i="3"/>
  <c r="AP60" i="3"/>
  <c r="AQ60" i="3"/>
  <c r="AR60" i="3"/>
  <c r="AP61" i="3"/>
  <c r="AQ61" i="3"/>
  <c r="AR61" i="3"/>
  <c r="AP62" i="3"/>
  <c r="AQ62" i="3"/>
  <c r="AR62" i="3"/>
  <c r="AP63" i="3"/>
  <c r="AQ63" i="3"/>
  <c r="AR63" i="3"/>
  <c r="AP64" i="3"/>
  <c r="AQ64" i="3"/>
  <c r="AR64" i="3"/>
  <c r="AP65" i="3"/>
  <c r="AQ65" i="3"/>
  <c r="AR65" i="3"/>
  <c r="AP66" i="3"/>
  <c r="AQ66" i="3"/>
  <c r="AR66" i="3"/>
  <c r="AP67" i="3"/>
  <c r="AQ67" i="3"/>
  <c r="AR67" i="3"/>
  <c r="AP68" i="3"/>
  <c r="AQ68" i="3"/>
  <c r="AR68" i="3"/>
  <c r="AP69" i="3"/>
  <c r="AQ69" i="3"/>
  <c r="AR69" i="3"/>
  <c r="AP70" i="3"/>
  <c r="AQ70" i="3"/>
  <c r="AR70" i="3"/>
  <c r="AP71" i="3"/>
  <c r="AQ71" i="3"/>
  <c r="AR71" i="3"/>
  <c r="AP72" i="3"/>
  <c r="AQ72" i="3"/>
  <c r="AR72" i="3"/>
  <c r="AP73" i="3"/>
  <c r="AQ73" i="3"/>
  <c r="AR73" i="3"/>
  <c r="AP74" i="3"/>
  <c r="AQ74" i="3"/>
  <c r="AR74" i="3"/>
  <c r="AP75" i="3"/>
  <c r="AQ75" i="3"/>
  <c r="AR75" i="3"/>
  <c r="AP76" i="3"/>
  <c r="AQ76" i="3"/>
  <c r="AR76" i="3"/>
  <c r="AP77" i="3"/>
  <c r="AQ77" i="3"/>
  <c r="AR77" i="3"/>
  <c r="AP78" i="3"/>
  <c r="AQ78" i="3"/>
  <c r="AR78" i="3"/>
  <c r="AP79" i="3"/>
  <c r="AQ79" i="3"/>
  <c r="AR79" i="3"/>
  <c r="AP80" i="3"/>
  <c r="AQ80" i="3"/>
  <c r="AR80" i="3"/>
  <c r="AP81" i="3"/>
  <c r="AQ81" i="3"/>
  <c r="AR81" i="3"/>
  <c r="AP82" i="3"/>
  <c r="AQ82" i="3"/>
  <c r="AR82" i="3"/>
  <c r="AP83" i="3"/>
  <c r="AQ83" i="3"/>
  <c r="AR83" i="3"/>
  <c r="AP84" i="3"/>
  <c r="AQ84" i="3"/>
  <c r="AR84" i="3"/>
  <c r="AP85" i="3"/>
  <c r="AQ85" i="3"/>
  <c r="AR85" i="3"/>
  <c r="AP86" i="3"/>
  <c r="AQ86" i="3"/>
  <c r="AR86" i="3"/>
  <c r="AP87" i="3"/>
  <c r="AQ87" i="3"/>
  <c r="AR87" i="3"/>
  <c r="AP88" i="3"/>
  <c r="AQ88" i="3"/>
  <c r="AR88" i="3"/>
  <c r="AP89" i="3"/>
  <c r="AQ89" i="3"/>
  <c r="AR89" i="3"/>
  <c r="AP90" i="3"/>
  <c r="AQ90" i="3"/>
  <c r="AR90" i="3"/>
  <c r="AP91" i="3"/>
  <c r="AQ91" i="3"/>
  <c r="AR91" i="3"/>
  <c r="AP92" i="3"/>
  <c r="AQ92" i="3"/>
  <c r="AR92" i="3"/>
  <c r="AP93" i="3"/>
  <c r="AQ93" i="3"/>
  <c r="AR93" i="3"/>
  <c r="AP94" i="3"/>
  <c r="AQ94" i="3"/>
  <c r="AR94" i="3"/>
  <c r="AP95" i="3"/>
  <c r="AQ95" i="3"/>
  <c r="AR95" i="3"/>
  <c r="AP96" i="3"/>
  <c r="AQ96" i="3"/>
  <c r="AR96" i="3"/>
  <c r="AP97" i="3"/>
  <c r="AQ97" i="3"/>
  <c r="AR97" i="3"/>
  <c r="AP98" i="3"/>
  <c r="AQ98" i="3"/>
  <c r="AR98" i="3"/>
  <c r="AP99" i="3"/>
  <c r="AQ99" i="3"/>
  <c r="AR99" i="3"/>
  <c r="AP100" i="3"/>
  <c r="AQ100" i="3"/>
  <c r="AR100" i="3"/>
  <c r="AP101" i="3"/>
  <c r="AQ101" i="3"/>
  <c r="AR101" i="3"/>
  <c r="AP102" i="3"/>
  <c r="AQ102" i="3"/>
  <c r="AR102" i="3"/>
  <c r="AP103" i="3"/>
  <c r="AQ103" i="3"/>
  <c r="AR103" i="3"/>
  <c r="AP104" i="3"/>
  <c r="AQ104" i="3"/>
  <c r="AR104" i="3"/>
  <c r="AP105" i="3"/>
  <c r="AQ105" i="3"/>
  <c r="AR105" i="3"/>
  <c r="AP106" i="3"/>
  <c r="AQ106" i="3"/>
  <c r="AR106" i="3"/>
  <c r="AP107" i="3"/>
  <c r="AQ107" i="3"/>
  <c r="AR107" i="3"/>
  <c r="AP108" i="3"/>
  <c r="AQ108" i="3"/>
  <c r="AR108" i="3"/>
  <c r="AP109" i="3"/>
  <c r="AQ109" i="3"/>
  <c r="AR109" i="3"/>
  <c r="AP110" i="3"/>
  <c r="AQ110" i="3"/>
  <c r="AR110" i="3"/>
  <c r="AP111" i="3"/>
  <c r="AQ111" i="3"/>
  <c r="AR111" i="3"/>
  <c r="AP112" i="3"/>
  <c r="AQ112" i="3"/>
  <c r="AR112" i="3"/>
  <c r="AP113" i="3"/>
  <c r="AQ113" i="3"/>
  <c r="AR113" i="3"/>
  <c r="AP114" i="3"/>
  <c r="AQ114" i="3"/>
  <c r="AR114" i="3"/>
  <c r="AP115" i="3"/>
  <c r="AQ115" i="3"/>
  <c r="AR115" i="3"/>
  <c r="AP116" i="3"/>
  <c r="AQ116" i="3"/>
  <c r="AR116" i="3"/>
  <c r="AP117" i="3"/>
  <c r="AQ117" i="3"/>
  <c r="AR117" i="3"/>
  <c r="AP118" i="3"/>
  <c r="AQ118" i="3"/>
  <c r="AR118" i="3"/>
  <c r="AP119" i="3"/>
  <c r="AQ119" i="3"/>
  <c r="AR119" i="3"/>
  <c r="AP120" i="3"/>
  <c r="AQ120" i="3"/>
  <c r="AR120" i="3"/>
  <c r="AP121" i="3"/>
  <c r="AQ121" i="3"/>
  <c r="AR121" i="3"/>
  <c r="AP122" i="3"/>
  <c r="AQ122" i="3"/>
  <c r="AR122" i="3"/>
  <c r="AP123" i="3"/>
  <c r="AQ123" i="3"/>
  <c r="AR123" i="3"/>
  <c r="AP124" i="3"/>
  <c r="AQ124" i="3"/>
  <c r="AR124" i="3"/>
  <c r="AP125" i="3"/>
  <c r="AQ125" i="3"/>
  <c r="AR125" i="3"/>
  <c r="AP126" i="3"/>
  <c r="AQ126" i="3"/>
  <c r="AR126" i="3"/>
  <c r="AP127" i="3"/>
  <c r="AQ127" i="3"/>
  <c r="AR127" i="3"/>
  <c r="AP128" i="3"/>
  <c r="AQ128" i="3"/>
  <c r="AR128" i="3"/>
  <c r="AP129" i="3"/>
  <c r="AQ129" i="3"/>
  <c r="AR129" i="3"/>
  <c r="AP130" i="3"/>
  <c r="AQ130" i="3"/>
  <c r="AR130" i="3"/>
  <c r="AP131" i="3"/>
  <c r="AQ131" i="3"/>
  <c r="AR131" i="3"/>
  <c r="AP132" i="3"/>
  <c r="AQ132" i="3"/>
  <c r="AR132" i="3"/>
  <c r="AP133" i="3"/>
  <c r="AQ133" i="3"/>
  <c r="AR133" i="3"/>
  <c r="AP134" i="3"/>
  <c r="AQ134" i="3"/>
  <c r="AR134" i="3"/>
  <c r="AP135" i="3"/>
  <c r="AQ135" i="3"/>
  <c r="AR135" i="3"/>
  <c r="AP136" i="3"/>
  <c r="AQ136" i="3"/>
  <c r="AR136" i="3"/>
  <c r="AP137" i="3"/>
  <c r="AQ137" i="3"/>
  <c r="AR137" i="3"/>
  <c r="AP138" i="3"/>
  <c r="AQ138" i="3"/>
  <c r="AR138" i="3"/>
  <c r="AP139" i="3"/>
  <c r="AQ139" i="3"/>
  <c r="AR139" i="3"/>
  <c r="AP140" i="3"/>
  <c r="AQ140" i="3"/>
  <c r="AR140" i="3"/>
  <c r="AP141" i="3"/>
  <c r="AQ141" i="3"/>
  <c r="AR141" i="3"/>
  <c r="AP142" i="3"/>
  <c r="AQ142" i="3"/>
  <c r="AR142" i="3"/>
  <c r="AP143" i="3"/>
  <c r="AQ143" i="3"/>
  <c r="AR143" i="3"/>
  <c r="AP144" i="3"/>
  <c r="AQ144" i="3"/>
  <c r="AR144" i="3"/>
  <c r="AP145" i="3"/>
  <c r="AQ145" i="3"/>
  <c r="AR145" i="3"/>
  <c r="AP146" i="3"/>
  <c r="AQ146" i="3"/>
  <c r="AR146" i="3"/>
  <c r="AP147" i="3"/>
  <c r="AQ147" i="3"/>
  <c r="AR147" i="3"/>
  <c r="AP148" i="3"/>
  <c r="AQ148" i="3"/>
  <c r="AR148" i="3"/>
  <c r="AP149" i="3"/>
  <c r="AQ149" i="3"/>
  <c r="AR149" i="3"/>
  <c r="AP150" i="3"/>
  <c r="AQ150" i="3"/>
  <c r="AR150" i="3"/>
  <c r="AP151" i="3"/>
  <c r="AQ151" i="3"/>
  <c r="AR151" i="3"/>
  <c r="AP152" i="3"/>
  <c r="AQ152" i="3"/>
  <c r="AR152" i="3"/>
  <c r="AP153" i="3"/>
  <c r="AQ153" i="3"/>
  <c r="AR153" i="3"/>
  <c r="AP154" i="3"/>
  <c r="AQ154" i="3"/>
  <c r="AR154" i="3"/>
  <c r="AP155" i="3"/>
  <c r="AQ155" i="3"/>
  <c r="AR155" i="3"/>
  <c r="AP156" i="3"/>
  <c r="AQ156" i="3"/>
  <c r="AR156" i="3"/>
  <c r="AP157" i="3"/>
  <c r="AQ157" i="3"/>
  <c r="AR157" i="3"/>
  <c r="AP158" i="3"/>
  <c r="AQ158" i="3"/>
  <c r="AR158" i="3"/>
  <c r="AP159" i="3"/>
  <c r="AQ159" i="3"/>
  <c r="AR159" i="3"/>
  <c r="AP160" i="3"/>
  <c r="AQ160" i="3"/>
  <c r="AR160" i="3"/>
  <c r="AP161" i="3"/>
  <c r="AQ161" i="3"/>
  <c r="AR161" i="3"/>
  <c r="AP162" i="3"/>
  <c r="AQ162" i="3"/>
  <c r="AR162" i="3"/>
  <c r="AP163" i="3"/>
  <c r="AQ163" i="3"/>
  <c r="AR163" i="3"/>
  <c r="AP164" i="3"/>
  <c r="AQ164" i="3"/>
  <c r="AR164" i="3"/>
  <c r="AP165" i="3"/>
  <c r="AQ165" i="3"/>
  <c r="AR165" i="3"/>
  <c r="AP166" i="3"/>
  <c r="AQ166" i="3"/>
  <c r="AR166" i="3"/>
  <c r="AP167" i="3"/>
  <c r="AQ167" i="3"/>
  <c r="AR167" i="3"/>
  <c r="AP168" i="3"/>
  <c r="AQ168" i="3"/>
  <c r="AR168" i="3"/>
  <c r="AP169" i="3"/>
  <c r="AQ169" i="3"/>
  <c r="AR169" i="3"/>
  <c r="AP170" i="3"/>
  <c r="AQ170" i="3"/>
  <c r="AR170" i="3"/>
  <c r="AP171" i="3"/>
  <c r="AQ171" i="3"/>
  <c r="AR171" i="3"/>
  <c r="AP172" i="3"/>
  <c r="AQ172" i="3"/>
  <c r="AR172" i="3"/>
  <c r="AP173" i="3"/>
  <c r="AQ173" i="3"/>
  <c r="AR173" i="3"/>
  <c r="AP174" i="3"/>
  <c r="AQ174" i="3"/>
  <c r="AR174" i="3"/>
  <c r="AP175" i="3"/>
  <c r="AQ175" i="3"/>
  <c r="AR175" i="3"/>
  <c r="AP176" i="3"/>
  <c r="AQ176" i="3"/>
  <c r="AR176" i="3"/>
  <c r="AP177" i="3"/>
  <c r="AQ177" i="3"/>
  <c r="AR177" i="3"/>
  <c r="AP178" i="3"/>
  <c r="AQ178" i="3"/>
  <c r="AR178" i="3"/>
  <c r="AP179" i="3"/>
  <c r="AQ179" i="3"/>
  <c r="AR179" i="3"/>
  <c r="AP180" i="3"/>
  <c r="AQ180" i="3"/>
  <c r="AR180" i="3"/>
  <c r="AP181" i="3"/>
  <c r="AQ181" i="3"/>
  <c r="AR181" i="3"/>
  <c r="AP182" i="3"/>
  <c r="AQ182" i="3"/>
  <c r="AR182" i="3"/>
  <c r="AP183" i="3"/>
  <c r="AQ183" i="3"/>
  <c r="AR183" i="3"/>
  <c r="AP184" i="3"/>
  <c r="AQ184" i="3"/>
  <c r="AR184" i="3"/>
  <c r="AP185" i="3"/>
  <c r="AQ185" i="3"/>
  <c r="AR185" i="3"/>
  <c r="AP186" i="3"/>
  <c r="AQ186" i="3"/>
  <c r="AR186" i="3"/>
  <c r="AP187" i="3"/>
  <c r="AQ187" i="3"/>
  <c r="AR187" i="3"/>
  <c r="AP188" i="3"/>
  <c r="AQ188" i="3"/>
  <c r="AR188" i="3"/>
  <c r="AP189" i="3"/>
  <c r="AQ189" i="3"/>
  <c r="AR189" i="3"/>
  <c r="AP190" i="3"/>
  <c r="AQ190" i="3"/>
  <c r="AR190" i="3"/>
  <c r="AP191" i="3"/>
  <c r="AQ191" i="3"/>
  <c r="AR191" i="3"/>
  <c r="AP192" i="3"/>
  <c r="AQ192" i="3"/>
  <c r="AR192" i="3"/>
  <c r="AP193" i="3"/>
  <c r="AQ193" i="3"/>
  <c r="AR193" i="3"/>
  <c r="AP194" i="3"/>
  <c r="AQ194" i="3"/>
  <c r="AR194" i="3"/>
  <c r="AP195" i="3"/>
  <c r="AQ195" i="3"/>
  <c r="AR195" i="3"/>
  <c r="AP196" i="3"/>
  <c r="AQ196" i="3"/>
  <c r="AR196" i="3"/>
  <c r="AP197" i="3"/>
  <c r="AQ197" i="3"/>
  <c r="AR197" i="3"/>
  <c r="AP198" i="3"/>
  <c r="AQ198" i="3"/>
  <c r="AR198" i="3"/>
  <c r="AP199" i="3"/>
  <c r="AQ199" i="3"/>
  <c r="AR199" i="3"/>
  <c r="AP200" i="3"/>
  <c r="AQ200" i="3"/>
  <c r="AR200" i="3"/>
  <c r="AP201" i="3"/>
  <c r="AQ201" i="3"/>
  <c r="AR201" i="3"/>
  <c r="AP202" i="3"/>
  <c r="AQ202" i="3"/>
  <c r="AR202" i="3"/>
  <c r="AP203" i="3"/>
  <c r="AQ203" i="3"/>
  <c r="AR203" i="3"/>
  <c r="AP204" i="3"/>
  <c r="AQ204" i="3"/>
  <c r="AR204" i="3"/>
  <c r="AP205" i="3"/>
  <c r="AQ205" i="3"/>
  <c r="AR205" i="3"/>
  <c r="AP206" i="3"/>
  <c r="AQ206" i="3"/>
  <c r="AR206" i="3"/>
  <c r="AP207" i="3"/>
  <c r="AQ207" i="3"/>
  <c r="AR207" i="3"/>
  <c r="AP208" i="3"/>
  <c r="AQ208" i="3"/>
  <c r="AR208" i="3"/>
  <c r="AP209" i="3"/>
  <c r="AQ209" i="3"/>
  <c r="AR209" i="3"/>
  <c r="AP210" i="3"/>
  <c r="AQ210" i="3"/>
  <c r="AR210" i="3"/>
  <c r="AP211" i="3"/>
  <c r="AQ211" i="3"/>
  <c r="AR211" i="3"/>
  <c r="AP212" i="3"/>
  <c r="AQ212" i="3"/>
  <c r="AR212" i="3"/>
  <c r="AP213" i="3"/>
  <c r="AQ213" i="3"/>
  <c r="AR213" i="3"/>
  <c r="AP214" i="3"/>
  <c r="AQ214" i="3"/>
  <c r="AR214" i="3"/>
  <c r="AP215" i="3"/>
  <c r="AQ215" i="3"/>
  <c r="AR215" i="3"/>
  <c r="AP216" i="3"/>
  <c r="AQ216" i="3"/>
  <c r="AR216" i="3"/>
  <c r="AP217" i="3"/>
  <c r="AQ217" i="3"/>
  <c r="AR217" i="3"/>
  <c r="AP218" i="3"/>
  <c r="AQ218" i="3"/>
  <c r="AR218" i="3"/>
  <c r="AP219" i="3"/>
  <c r="AQ219" i="3"/>
  <c r="AR219" i="3"/>
  <c r="AP220" i="3"/>
  <c r="AQ220" i="3"/>
  <c r="AR220" i="3"/>
  <c r="AP221" i="3"/>
  <c r="AQ221" i="3"/>
  <c r="AR221" i="3"/>
  <c r="AP222" i="3"/>
  <c r="AQ222" i="3"/>
  <c r="AR222" i="3"/>
  <c r="AR2" i="3"/>
  <c r="AQ2" i="3"/>
  <c r="AP2" i="3"/>
  <c r="I2" i="7"/>
  <c r="J2" i="7"/>
  <c r="K2" i="7"/>
  <c r="L2" i="7"/>
  <c r="I3" i="7"/>
  <c r="J3" i="7"/>
  <c r="K3" i="7"/>
  <c r="L3" i="7"/>
  <c r="I4" i="7"/>
  <c r="J4" i="7"/>
  <c r="K4" i="7"/>
  <c r="L4" i="7"/>
  <c r="I5" i="7"/>
  <c r="J5" i="7"/>
  <c r="K5" i="7"/>
  <c r="L5" i="7"/>
  <c r="I6" i="7"/>
  <c r="J6" i="7"/>
  <c r="K6" i="7"/>
  <c r="L6" i="7"/>
  <c r="I7" i="7"/>
  <c r="J7" i="7"/>
  <c r="K7" i="7"/>
  <c r="L7" i="7"/>
  <c r="I8" i="7"/>
  <c r="J8" i="7"/>
  <c r="K8" i="7"/>
  <c r="L8" i="7"/>
  <c r="I9" i="7"/>
  <c r="J9" i="7"/>
  <c r="K9" i="7"/>
  <c r="L9" i="7"/>
  <c r="I10" i="7"/>
  <c r="J10" i="7"/>
  <c r="K10" i="7"/>
  <c r="L10" i="7"/>
  <c r="I11" i="7"/>
  <c r="J11" i="7"/>
  <c r="K11" i="7"/>
  <c r="L11" i="7"/>
  <c r="I12" i="7"/>
  <c r="J12" i="7"/>
  <c r="K12" i="7"/>
  <c r="L12" i="7"/>
  <c r="I13" i="7"/>
  <c r="J13" i="7"/>
  <c r="K13" i="7"/>
  <c r="L13" i="7"/>
  <c r="I14" i="7"/>
  <c r="J14" i="7"/>
  <c r="K14" i="7"/>
  <c r="L14" i="7"/>
  <c r="I15" i="7"/>
  <c r="J15" i="7"/>
  <c r="K15" i="7"/>
  <c r="L15" i="7"/>
  <c r="I16" i="7"/>
  <c r="J16" i="7"/>
  <c r="K16" i="7"/>
  <c r="L16" i="7"/>
  <c r="I17" i="7"/>
  <c r="J17" i="7"/>
  <c r="K17" i="7"/>
  <c r="L17" i="7"/>
  <c r="I18" i="7"/>
  <c r="J18" i="7"/>
  <c r="K18" i="7"/>
  <c r="L18" i="7"/>
  <c r="I19" i="7"/>
  <c r="J19" i="7"/>
  <c r="K19" i="7"/>
  <c r="L19" i="7"/>
  <c r="I20" i="7"/>
  <c r="J20" i="7"/>
  <c r="K20" i="7"/>
  <c r="L20" i="7"/>
  <c r="I21" i="7"/>
  <c r="J21" i="7"/>
  <c r="K21" i="7"/>
  <c r="L21" i="7"/>
  <c r="I22" i="7"/>
  <c r="J22" i="7"/>
  <c r="K22" i="7"/>
  <c r="L22" i="7"/>
  <c r="I23" i="7"/>
  <c r="J23" i="7"/>
  <c r="K23" i="7"/>
  <c r="L23" i="7"/>
  <c r="I24" i="7"/>
  <c r="J24" i="7"/>
  <c r="K24" i="7"/>
  <c r="L24" i="7"/>
  <c r="I25" i="7"/>
  <c r="J25" i="7"/>
  <c r="K25" i="7"/>
  <c r="L25" i="7"/>
  <c r="I26" i="7"/>
  <c r="J26" i="7"/>
  <c r="K26" i="7"/>
  <c r="L26" i="7"/>
  <c r="I27" i="7"/>
  <c r="J27" i="7"/>
  <c r="K27" i="7"/>
  <c r="L27" i="7"/>
  <c r="I28" i="7"/>
  <c r="J28" i="7"/>
  <c r="K28" i="7"/>
  <c r="L28" i="7"/>
  <c r="I29" i="7"/>
  <c r="J29" i="7"/>
  <c r="K29" i="7"/>
  <c r="L29" i="7"/>
  <c r="I30" i="7"/>
  <c r="J30" i="7"/>
  <c r="K30" i="7"/>
  <c r="L30" i="7"/>
  <c r="I31" i="7"/>
  <c r="J31" i="7"/>
  <c r="K31" i="7"/>
  <c r="L31" i="7"/>
  <c r="I32" i="7"/>
  <c r="J32" i="7"/>
  <c r="K32" i="7"/>
  <c r="L3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2" i="7"/>
  <c r="X11" i="3"/>
  <c r="Y11" i="3" a="1"/>
  <c r="Y11" i="3" s="1"/>
  <c r="Z11" i="3" a="1"/>
  <c r="Z11" i="3" s="1"/>
  <c r="AA11" i="3" a="1"/>
  <c r="AA11" i="3" s="1"/>
  <c r="AB11" i="3" a="1"/>
  <c r="AB11" i="3" s="1"/>
  <c r="AC11" i="3" a="1"/>
  <c r="AC11" i="3" s="1"/>
  <c r="AD11" i="3" a="1"/>
  <c r="AD11" i="3" s="1"/>
  <c r="AE11" i="3" a="1"/>
  <c r="AE11" i="3" s="1"/>
  <c r="X12" i="3"/>
  <c r="Y12" i="3" a="1"/>
  <c r="Y12" i="3" s="1"/>
  <c r="Z12" i="3" a="1"/>
  <c r="Z12" i="3" s="1"/>
  <c r="AA12" i="3" a="1"/>
  <c r="AA12" i="3" s="1"/>
  <c r="AB12" i="3" a="1"/>
  <c r="AB12" i="3" s="1"/>
  <c r="AC12" i="3" a="1"/>
  <c r="AC12" i="3" s="1"/>
  <c r="AD12" i="3" a="1"/>
  <c r="AD12" i="3" s="1"/>
  <c r="AE12" i="3" a="1"/>
  <c r="AE12" i="3" s="1"/>
  <c r="X13" i="3"/>
  <c r="Y13" i="3" a="1"/>
  <c r="Y13" i="3" s="1"/>
  <c r="Z13" i="3" a="1"/>
  <c r="Z13" i="3" s="1"/>
  <c r="AA13" i="3" a="1"/>
  <c r="AA13" i="3" s="1"/>
  <c r="AB13" i="3" a="1"/>
  <c r="AB13" i="3" s="1"/>
  <c r="AC13" i="3" a="1"/>
  <c r="AC13" i="3" s="1"/>
  <c r="AD13" i="3" a="1"/>
  <c r="AD13" i="3" s="1"/>
  <c r="AE13" i="3" a="1"/>
  <c r="AE13" i="3" s="1"/>
  <c r="X14" i="3"/>
  <c r="Y14" i="3" a="1"/>
  <c r="Y14" i="3" s="1"/>
  <c r="Z14" i="3" a="1"/>
  <c r="Z14" i="3" s="1"/>
  <c r="AA14" i="3" a="1"/>
  <c r="AA14" i="3" s="1"/>
  <c r="AB14" i="3" a="1"/>
  <c r="AB14" i="3" s="1"/>
  <c r="AC14" i="3" a="1"/>
  <c r="AC14" i="3" s="1"/>
  <c r="AD14" i="3" a="1"/>
  <c r="AD14" i="3" s="1"/>
  <c r="AE14" i="3" a="1"/>
  <c r="AE14" i="3" s="1"/>
  <c r="X15" i="3"/>
  <c r="Y15" i="3" a="1"/>
  <c r="Y15" i="3" s="1"/>
  <c r="Z15" i="3" a="1"/>
  <c r="Z15" i="3" s="1"/>
  <c r="AA15" i="3" a="1"/>
  <c r="AA15" i="3" s="1"/>
  <c r="AB15" i="3" a="1"/>
  <c r="AB15" i="3" s="1"/>
  <c r="AC15" i="3" a="1"/>
  <c r="AC15" i="3" s="1"/>
  <c r="AD15" i="3" a="1"/>
  <c r="AD15" i="3" s="1"/>
  <c r="AE15" i="3" a="1"/>
  <c r="AE15" i="3" s="1"/>
  <c r="X16" i="3"/>
  <c r="Y16" i="3" a="1"/>
  <c r="Y16" i="3" s="1"/>
  <c r="Z16" i="3" a="1"/>
  <c r="Z16" i="3" s="1"/>
  <c r="AA16" i="3" a="1"/>
  <c r="AA16" i="3" s="1"/>
  <c r="AB16" i="3" a="1"/>
  <c r="AB16" i="3" s="1"/>
  <c r="AC16" i="3" a="1"/>
  <c r="AC16" i="3" s="1"/>
  <c r="AD16" i="3" a="1"/>
  <c r="AD16" i="3" s="1"/>
  <c r="AE16" i="3" a="1"/>
  <c r="AE16" i="3" s="1"/>
  <c r="X17" i="3"/>
  <c r="Y17" i="3" a="1"/>
  <c r="Y17" i="3" s="1"/>
  <c r="Z17" i="3" a="1"/>
  <c r="Z17" i="3" s="1"/>
  <c r="AA17" i="3" a="1"/>
  <c r="AA17" i="3" s="1"/>
  <c r="AB17" i="3" a="1"/>
  <c r="AB17" i="3" s="1"/>
  <c r="AC17" i="3" a="1"/>
  <c r="AC17" i="3" s="1"/>
  <c r="AD17" i="3" a="1"/>
  <c r="AD17" i="3" s="1"/>
  <c r="AE17" i="3" a="1"/>
  <c r="AE17" i="3" s="1"/>
  <c r="AE10" i="3" a="1"/>
  <c r="AE10" i="3" s="1"/>
  <c r="AD10" i="3" a="1"/>
  <c r="AD10" i="3" s="1"/>
  <c r="AC10" i="3" a="1"/>
  <c r="AC10" i="3" s="1"/>
  <c r="AB10" i="3" a="1"/>
  <c r="AB10" i="3" s="1"/>
  <c r="AA10" i="3" a="1"/>
  <c r="AA10" i="3" s="1"/>
  <c r="Z10" i="3" a="1"/>
  <c r="Z10" i="3" s="1"/>
  <c r="Y10" i="3" a="1"/>
  <c r="Y10" i="3" s="1"/>
  <c r="X10" i="3"/>
  <c r="R26" i="6" a="1"/>
  <c r="R26" i="6" s="1"/>
  <c r="R25" i="6" a="1"/>
  <c r="R25" i="6" s="1"/>
  <c r="R24" i="6" a="1"/>
  <c r="R24" i="6" s="1"/>
  <c r="R23" i="6" a="1"/>
  <c r="R23" i="6" s="1"/>
  <c r="R22" i="6"/>
  <c r="R22" i="6" a="1"/>
  <c r="R21" i="6" a="1"/>
  <c r="R21" i="6" s="1"/>
  <c r="R20" i="6" a="1"/>
  <c r="R20" i="6" s="1"/>
  <c r="R19" i="6" a="1"/>
  <c r="R19" i="6" s="1"/>
  <c r="R18" i="6" a="1"/>
  <c r="R18" i="6" s="1"/>
  <c r="R17" i="6" a="1"/>
  <c r="R17" i="6" s="1"/>
  <c r="R16" i="6" a="1"/>
  <c r="R16" i="6" s="1"/>
  <c r="R15" i="6" a="1"/>
  <c r="R15" i="6" s="1"/>
  <c r="R14" i="6" a="1"/>
  <c r="R14" i="6" s="1"/>
  <c r="R13" i="6" a="1"/>
  <c r="R13" i="6" s="1"/>
  <c r="R12" i="6"/>
  <c r="R12" i="6" a="1"/>
  <c r="R11" i="6" a="1"/>
  <c r="R11" i="6" s="1"/>
  <c r="R10" i="6" a="1"/>
  <c r="R10" i="6" s="1"/>
  <c r="R9" i="6" a="1"/>
  <c r="R9" i="6" s="1"/>
  <c r="R8" i="6" a="1"/>
  <c r="R8" i="6" s="1"/>
  <c r="R7" i="6" a="1"/>
  <c r="R7" i="6" s="1"/>
  <c r="R6" i="6" a="1"/>
  <c r="R6" i="6" s="1"/>
  <c r="R5" i="6" a="1"/>
  <c r="R5" i="6" s="1"/>
  <c r="R4" i="6" a="1"/>
  <c r="R4" i="6" s="1"/>
  <c r="R3" i="6" a="1"/>
  <c r="R3" i="6" s="1"/>
  <c r="R2" i="6"/>
  <c r="R2" i="6" a="1"/>
  <c r="Q26" i="6" a="1"/>
  <c r="Q26" i="6" s="1"/>
  <c r="Q25" i="6" a="1"/>
  <c r="Q25" i="6" s="1"/>
  <c r="Q24" i="6" a="1"/>
  <c r="Q24" i="6" s="1"/>
  <c r="Q23" i="6" a="1"/>
  <c r="Q23" i="6" s="1"/>
  <c r="Q22" i="6" a="1"/>
  <c r="Q22" i="6" s="1"/>
  <c r="Q21" i="6" a="1"/>
  <c r="Q21" i="6" s="1"/>
  <c r="Q20" i="6" a="1"/>
  <c r="Q20" i="6" s="1"/>
  <c r="Q19" i="6" a="1"/>
  <c r="Q19" i="6" s="1"/>
  <c r="Q18" i="6" a="1"/>
  <c r="Q18" i="6" s="1"/>
  <c r="Q17" i="6"/>
  <c r="Q17" i="6" a="1"/>
  <c r="Q16" i="6" a="1"/>
  <c r="Q16" i="6" s="1"/>
  <c r="Q15" i="6" a="1"/>
  <c r="Q15" i="6" s="1"/>
  <c r="Q14" i="6" a="1"/>
  <c r="Q14" i="6" s="1"/>
  <c r="Q13" i="6" a="1"/>
  <c r="Q13" i="6" s="1"/>
  <c r="Q12" i="6" a="1"/>
  <c r="Q12" i="6" s="1"/>
  <c r="Q11" i="6" a="1"/>
  <c r="Q11" i="6" s="1"/>
  <c r="Q10" i="6" a="1"/>
  <c r="Q10" i="6" s="1"/>
  <c r="Q9" i="6" a="1"/>
  <c r="Q9" i="6" s="1"/>
  <c r="Q8" i="6" a="1"/>
  <c r="Q8" i="6" s="1"/>
  <c r="Q7" i="6" a="1"/>
  <c r="Q7" i="6" s="1"/>
  <c r="Q6" i="6" a="1"/>
  <c r="Q6" i="6" s="1"/>
  <c r="Q5" i="6" a="1"/>
  <c r="Q5" i="6" s="1"/>
  <c r="Q4" i="6" a="1"/>
  <c r="Q4" i="6" s="1"/>
  <c r="Q3" i="6" a="1"/>
  <c r="Q3" i="6" s="1"/>
  <c r="Q2" i="6" a="1"/>
  <c r="Q2" i="6" s="1"/>
  <c r="P26" i="6" a="1"/>
  <c r="P26" i="6" s="1"/>
  <c r="P25" i="6"/>
  <c r="P25" i="6" a="1"/>
  <c r="P24" i="6"/>
  <c r="P24" i="6" a="1"/>
  <c r="P23" i="6" a="1"/>
  <c r="P23" i="6" s="1"/>
  <c r="P22" i="6" a="1"/>
  <c r="P22" i="6" s="1"/>
  <c r="P21" i="6" a="1"/>
  <c r="P21" i="6" s="1"/>
  <c r="P20" i="6" a="1"/>
  <c r="P20" i="6" s="1"/>
  <c r="P19" i="6" a="1"/>
  <c r="P19" i="6" s="1"/>
  <c r="P18" i="6" a="1"/>
  <c r="P18" i="6" s="1"/>
  <c r="P17" i="6" a="1"/>
  <c r="P17" i="6" s="1"/>
  <c r="P16" i="6" a="1"/>
  <c r="P16" i="6" s="1"/>
  <c r="P15" i="6"/>
  <c r="P15" i="6" a="1"/>
  <c r="P14" i="6"/>
  <c r="P14" i="6" a="1"/>
  <c r="P13" i="6" a="1"/>
  <c r="P13" i="6" s="1"/>
  <c r="P12" i="6" a="1"/>
  <c r="P12" i="6" s="1"/>
  <c r="P11" i="6" a="1"/>
  <c r="P11" i="6" s="1"/>
  <c r="P10" i="6" a="1"/>
  <c r="P10" i="6" s="1"/>
  <c r="P9" i="6" a="1"/>
  <c r="P9" i="6" s="1"/>
  <c r="P8" i="6" a="1"/>
  <c r="P8" i="6" s="1"/>
  <c r="P7" i="6" a="1"/>
  <c r="P7" i="6" s="1"/>
  <c r="P6" i="6" a="1"/>
  <c r="P6" i="6" s="1"/>
  <c r="P5" i="6"/>
  <c r="P5" i="6" a="1"/>
  <c r="P4" i="6"/>
  <c r="P4" i="6" a="1"/>
  <c r="P3" i="6" a="1"/>
  <c r="P3" i="6" s="1"/>
  <c r="P2" i="6" a="1"/>
  <c r="P2" i="6" s="1"/>
  <c r="O3" i="6" a="1"/>
  <c r="O3" i="6"/>
  <c r="O4" i="6" a="1"/>
  <c r="O4" i="6" s="1"/>
  <c r="O5" i="6" a="1"/>
  <c r="O5" i="6"/>
  <c r="O6" i="6" a="1"/>
  <c r="O6" i="6" s="1"/>
  <c r="O7" i="6" a="1"/>
  <c r="O7" i="6" s="1"/>
  <c r="O8" i="6" a="1"/>
  <c r="O8" i="6"/>
  <c r="O9" i="6" a="1"/>
  <c r="O9" i="6" s="1"/>
  <c r="O10" i="6" a="1"/>
  <c r="O10" i="6"/>
  <c r="O11" i="6" a="1"/>
  <c r="O11" i="6" s="1"/>
  <c r="O12" i="6" a="1"/>
  <c r="O12" i="6"/>
  <c r="O13" i="6" a="1"/>
  <c r="O13" i="6"/>
  <c r="O14" i="6" a="1"/>
  <c r="O14" i="6" s="1"/>
  <c r="O15" i="6" a="1"/>
  <c r="O15" i="6"/>
  <c r="O16" i="6" a="1"/>
  <c r="O16" i="6" s="1"/>
  <c r="O17" i="6" a="1"/>
  <c r="O17" i="6" s="1"/>
  <c r="O18" i="6" a="1"/>
  <c r="O18" i="6" s="1"/>
  <c r="O19" i="6" a="1"/>
  <c r="O19" i="6" s="1"/>
  <c r="O20" i="6" a="1"/>
  <c r="O20" i="6"/>
  <c r="O21" i="6" a="1"/>
  <c r="O21" i="6" s="1"/>
  <c r="O22" i="6" a="1"/>
  <c r="O22" i="6"/>
  <c r="O23" i="6" a="1"/>
  <c r="O23" i="6"/>
  <c r="O24" i="6" a="1"/>
  <c r="O24" i="6" s="1"/>
  <c r="O25" i="6" a="1"/>
  <c r="O25" i="6"/>
  <c r="O26" i="6" a="1"/>
  <c r="O26" i="6" s="1"/>
  <c r="O2" i="6"/>
  <c r="O2" i="6" a="1"/>
  <c r="N3" i="6" a="1"/>
  <c r="N3" i="6" s="1"/>
  <c r="N4" i="6" a="1"/>
  <c r="N4" i="6" s="1"/>
  <c r="N5" i="6" a="1"/>
  <c r="N5" i="6" s="1"/>
  <c r="N6" i="6" a="1"/>
  <c r="N6" i="6" s="1"/>
  <c r="N7" i="6" a="1"/>
  <c r="N7" i="6" s="1"/>
  <c r="N8" i="6" a="1"/>
  <c r="N8" i="6" s="1"/>
  <c r="N9" i="6" a="1"/>
  <c r="N9" i="6" s="1"/>
  <c r="N10" i="6" a="1"/>
  <c r="N10" i="6" s="1"/>
  <c r="N11" i="6" a="1"/>
  <c r="N11" i="6" s="1"/>
  <c r="N12" i="6" a="1"/>
  <c r="N12" i="6" s="1"/>
  <c r="N13" i="6" a="1"/>
  <c r="N13" i="6" s="1"/>
  <c r="N14" i="6" a="1"/>
  <c r="N14" i="6" s="1"/>
  <c r="N15" i="6" a="1"/>
  <c r="N15" i="6" s="1"/>
  <c r="N16" i="6" a="1"/>
  <c r="N16" i="6" s="1"/>
  <c r="N17" i="6" a="1"/>
  <c r="N17" i="6" s="1"/>
  <c r="N18" i="6" a="1"/>
  <c r="N18" i="6"/>
  <c r="N19" i="6" a="1"/>
  <c r="N19" i="6" s="1"/>
  <c r="N20" i="6" a="1"/>
  <c r="N20" i="6" s="1"/>
  <c r="N21" i="6" a="1"/>
  <c r="N21" i="6" s="1"/>
  <c r="N22" i="6" a="1"/>
  <c r="N22" i="6" s="1"/>
  <c r="N23" i="6" a="1"/>
  <c r="N23" i="6" s="1"/>
  <c r="N24" i="6" a="1"/>
  <c r="N24" i="6" s="1"/>
  <c r="N25" i="6" a="1"/>
  <c r="N25" i="6" s="1"/>
  <c r="N26" i="6" a="1"/>
  <c r="N26" i="6" s="1"/>
  <c r="N2" i="6" a="1"/>
  <c r="N2" i="6" s="1"/>
  <c r="M3" i="6" a="1"/>
  <c r="M3" i="6" s="1"/>
  <c r="M4" i="6" a="1"/>
  <c r="M4" i="6" s="1"/>
  <c r="M5" i="6" a="1"/>
  <c r="M5" i="6"/>
  <c r="M6" i="6" a="1"/>
  <c r="M6" i="6" s="1"/>
  <c r="M7" i="6" a="1"/>
  <c r="M7" i="6"/>
  <c r="M8" i="6" a="1"/>
  <c r="M8" i="6" s="1"/>
  <c r="M9" i="6" a="1"/>
  <c r="M9" i="6" s="1"/>
  <c r="M10" i="6" a="1"/>
  <c r="M10" i="6" s="1"/>
  <c r="M11" i="6" a="1"/>
  <c r="M11" i="6" s="1"/>
  <c r="M12" i="6" a="1"/>
  <c r="M12" i="6" s="1"/>
  <c r="M13" i="6" a="1"/>
  <c r="M13" i="6" s="1"/>
  <c r="M14" i="6" a="1"/>
  <c r="M14" i="6" s="1"/>
  <c r="M15" i="6" a="1"/>
  <c r="M15" i="6"/>
  <c r="M16" i="6" a="1"/>
  <c r="M16" i="6" s="1"/>
  <c r="M17" i="6" a="1"/>
  <c r="M17" i="6"/>
  <c r="M18" i="6" a="1"/>
  <c r="M18" i="6" s="1"/>
  <c r="M19" i="6" a="1"/>
  <c r="M19" i="6" s="1"/>
  <c r="M20" i="6" a="1"/>
  <c r="M20" i="6" s="1"/>
  <c r="M21" i="6" a="1"/>
  <c r="M21" i="6" s="1"/>
  <c r="M22" i="6" a="1"/>
  <c r="M22" i="6" s="1"/>
  <c r="M23" i="6" a="1"/>
  <c r="M23" i="6" s="1"/>
  <c r="M24" i="6" a="1"/>
  <c r="M24" i="6" s="1"/>
  <c r="M25" i="6" a="1"/>
  <c r="M25" i="6"/>
  <c r="M26" i="6" a="1"/>
  <c r="M26" i="6" s="1"/>
  <c r="M2" i="6" a="1"/>
  <c r="M2" i="6" s="1"/>
  <c r="L3" i="6" a="1"/>
  <c r="L3" i="6"/>
  <c r="L4" i="6" a="1"/>
  <c r="L4" i="6"/>
  <c r="L5" i="6" a="1"/>
  <c r="L5" i="6" s="1"/>
  <c r="L6" i="6" a="1"/>
  <c r="L6" i="6"/>
  <c r="L7" i="6" a="1"/>
  <c r="L7" i="6"/>
  <c r="L8" i="6" a="1"/>
  <c r="L8" i="6" s="1"/>
  <c r="L9" i="6" a="1"/>
  <c r="L9" i="6"/>
  <c r="L10" i="6" a="1"/>
  <c r="L10" i="6"/>
  <c r="L11" i="6" a="1"/>
  <c r="L11" i="6" s="1"/>
  <c r="L12" i="6" a="1"/>
  <c r="L12" i="6"/>
  <c r="L13" i="6" a="1"/>
  <c r="L13" i="6"/>
  <c r="L14" i="6" a="1"/>
  <c r="L14" i="6" s="1"/>
  <c r="L15" i="6" a="1"/>
  <c r="L15" i="6"/>
  <c r="L16" i="6" a="1"/>
  <c r="L16" i="6"/>
  <c r="L17" i="6" a="1"/>
  <c r="L17" i="6" s="1"/>
  <c r="L18" i="6" a="1"/>
  <c r="L18" i="6" s="1"/>
  <c r="L19" i="6" a="1"/>
  <c r="L19" i="6"/>
  <c r="L20" i="6" a="1"/>
  <c r="L20" i="6"/>
  <c r="L21" i="6" a="1"/>
  <c r="L21" i="6" s="1"/>
  <c r="L22" i="6" a="1"/>
  <c r="L22" i="6"/>
  <c r="L23" i="6" a="1"/>
  <c r="L23" i="6"/>
  <c r="L24" i="6" a="1"/>
  <c r="L24" i="6"/>
  <c r="L25" i="6" a="1"/>
  <c r="L25" i="6"/>
  <c r="L26" i="6" a="1"/>
  <c r="L26" i="6"/>
  <c r="L2" i="6" a="1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" i="6"/>
  <c r="L222" i="3"/>
  <c r="L221" i="3"/>
  <c r="L220" i="3"/>
  <c r="L219" i="3"/>
  <c r="L218" i="3"/>
  <c r="L216" i="3"/>
  <c r="L215" i="3"/>
  <c r="L214" i="3"/>
  <c r="L213" i="3"/>
  <c r="L212" i="3"/>
  <c r="L211" i="3"/>
  <c r="L209" i="3"/>
  <c r="L208" i="3"/>
  <c r="L207" i="3"/>
  <c r="L206" i="3"/>
  <c r="L205" i="3"/>
  <c r="L204" i="3"/>
  <c r="L203" i="3"/>
  <c r="L201" i="3"/>
  <c r="L200" i="3"/>
  <c r="L199" i="3"/>
  <c r="L198" i="3"/>
  <c r="L197" i="3"/>
  <c r="L196" i="3"/>
  <c r="L195" i="3"/>
  <c r="L193" i="3"/>
  <c r="L192" i="3"/>
  <c r="L191" i="3"/>
  <c r="L190" i="3"/>
  <c r="L189" i="3"/>
  <c r="L188" i="3"/>
  <c r="L187" i="3"/>
  <c r="L185" i="3"/>
  <c r="L184" i="3"/>
  <c r="L183" i="3"/>
  <c r="L182" i="3"/>
  <c r="L181" i="3"/>
  <c r="L180" i="3"/>
  <c r="L178" i="3"/>
  <c r="L177" i="3"/>
  <c r="L176" i="3"/>
  <c r="L175" i="3"/>
  <c r="L174" i="3"/>
  <c r="L173" i="3"/>
  <c r="L171" i="3"/>
  <c r="L170" i="3"/>
  <c r="L169" i="3"/>
  <c r="L168" i="3"/>
  <c r="L167" i="3"/>
  <c r="L166" i="3"/>
  <c r="L164" i="3"/>
  <c r="L163" i="3"/>
  <c r="L162" i="3"/>
  <c r="L161" i="3"/>
  <c r="L160" i="3"/>
  <c r="L159" i="3"/>
  <c r="L157" i="3"/>
  <c r="L156" i="3"/>
  <c r="L155" i="3"/>
  <c r="L154" i="3"/>
  <c r="L153" i="3"/>
  <c r="L152" i="3"/>
  <c r="L151" i="3"/>
  <c r="L149" i="3"/>
  <c r="L148" i="3"/>
  <c r="L147" i="3"/>
  <c r="L146" i="3"/>
  <c r="L145" i="3"/>
  <c r="L144" i="3"/>
  <c r="L142" i="3"/>
  <c r="L141" i="3"/>
  <c r="L140" i="3"/>
  <c r="L139" i="3"/>
  <c r="L138" i="3"/>
  <c r="L137" i="3"/>
  <c r="L135" i="3"/>
  <c r="L134" i="3"/>
  <c r="L133" i="3"/>
  <c r="L132" i="3"/>
  <c r="L131" i="3"/>
  <c r="L130" i="3"/>
  <c r="L128" i="3"/>
  <c r="L127" i="3"/>
  <c r="L126" i="3"/>
  <c r="L125" i="3"/>
  <c r="L124" i="3"/>
  <c r="L123" i="3"/>
  <c r="L121" i="3"/>
  <c r="L120" i="3"/>
  <c r="L119" i="3"/>
  <c r="L118" i="3"/>
  <c r="L117" i="3"/>
  <c r="L116" i="3"/>
  <c r="L114" i="3"/>
  <c r="L113" i="3"/>
  <c r="L112" i="3"/>
  <c r="L111" i="3"/>
  <c r="L110" i="3"/>
  <c r="L109" i="3"/>
  <c r="L108" i="3"/>
  <c r="L106" i="3"/>
  <c r="L105" i="3"/>
  <c r="L104" i="3"/>
  <c r="L103" i="3"/>
  <c r="L102" i="3"/>
  <c r="L101" i="3"/>
  <c r="L100" i="3"/>
  <c r="L98" i="3"/>
  <c r="L97" i="3"/>
  <c r="L96" i="3"/>
  <c r="L95" i="3"/>
  <c r="L94" i="3"/>
  <c r="L92" i="3"/>
  <c r="L91" i="3"/>
  <c r="L90" i="3"/>
  <c r="L89" i="3"/>
  <c r="L88" i="3"/>
  <c r="L87" i="3"/>
  <c r="L85" i="3"/>
  <c r="L84" i="3"/>
  <c r="L83" i="3"/>
  <c r="L82" i="3"/>
  <c r="L81" i="3"/>
  <c r="L80" i="3"/>
  <c r="L78" i="3"/>
  <c r="L77" i="3"/>
  <c r="L76" i="3"/>
  <c r="L75" i="3"/>
  <c r="L74" i="3"/>
  <c r="L73" i="3"/>
  <c r="L71" i="3"/>
  <c r="L70" i="3"/>
  <c r="L69" i="3"/>
  <c r="L68" i="3"/>
  <c r="L67" i="3"/>
  <c r="L66" i="3"/>
  <c r="L65" i="3"/>
  <c r="L63" i="3"/>
  <c r="L62" i="3"/>
  <c r="L61" i="3"/>
  <c r="L60" i="3"/>
  <c r="L59" i="3"/>
  <c r="L58" i="3"/>
  <c r="L57" i="3"/>
  <c r="L55" i="3"/>
  <c r="L54" i="3"/>
  <c r="L53" i="3"/>
  <c r="L52" i="3"/>
  <c r="L51" i="3"/>
  <c r="L50" i="3"/>
  <c r="L49" i="3"/>
  <c r="L47" i="3"/>
  <c r="L46" i="3"/>
  <c r="L45" i="3"/>
  <c r="L44" i="3"/>
  <c r="L43" i="3"/>
  <c r="L42" i="3"/>
  <c r="L40" i="3"/>
  <c r="L39" i="3"/>
  <c r="L38" i="3"/>
  <c r="L37" i="3"/>
  <c r="L36" i="3"/>
  <c r="L35" i="3"/>
  <c r="L33" i="3"/>
  <c r="L32" i="3"/>
  <c r="L31" i="3"/>
  <c r="L30" i="3"/>
  <c r="L29" i="3"/>
  <c r="L28" i="3"/>
  <c r="L27" i="3"/>
  <c r="L25" i="3"/>
  <c r="L24" i="3"/>
  <c r="L23" i="3"/>
  <c r="L22" i="3"/>
  <c r="L21" i="3"/>
  <c r="L20" i="3"/>
  <c r="L19" i="3"/>
  <c r="L17" i="3"/>
  <c r="L16" i="3"/>
  <c r="L15" i="3"/>
  <c r="L14" i="3"/>
  <c r="L13" i="3"/>
  <c r="L12" i="3"/>
  <c r="L11" i="3"/>
  <c r="L9" i="3"/>
  <c r="L8" i="3"/>
  <c r="L7" i="3"/>
  <c r="L6" i="3"/>
  <c r="L5" i="3"/>
  <c r="L4" i="3"/>
  <c r="L3" i="3"/>
  <c r="J221" i="3"/>
  <c r="J220" i="3"/>
  <c r="J219" i="3"/>
  <c r="J218" i="3"/>
  <c r="J216" i="3"/>
  <c r="J215" i="3"/>
  <c r="J214" i="3"/>
  <c r="J213" i="3"/>
  <c r="J212" i="3"/>
  <c r="J211" i="3"/>
  <c r="J207" i="3"/>
  <c r="J206" i="3"/>
  <c r="J205" i="3"/>
  <c r="J204" i="3"/>
  <c r="J203" i="3"/>
  <c r="J199" i="3"/>
  <c r="J198" i="3"/>
  <c r="J197" i="3"/>
  <c r="J196" i="3"/>
  <c r="J195" i="3"/>
  <c r="J191" i="3"/>
  <c r="J190" i="3"/>
  <c r="J189" i="3"/>
  <c r="J188" i="3"/>
  <c r="J187" i="3"/>
  <c r="J185" i="3"/>
  <c r="J184" i="3"/>
  <c r="J183" i="3"/>
  <c r="J182" i="3"/>
  <c r="J181" i="3"/>
  <c r="J180" i="3"/>
  <c r="J178" i="3"/>
  <c r="J177" i="3"/>
  <c r="J176" i="3"/>
  <c r="J175" i="3"/>
  <c r="J174" i="3"/>
  <c r="J173" i="3"/>
  <c r="J171" i="3"/>
  <c r="J170" i="3"/>
  <c r="J169" i="3"/>
  <c r="J168" i="3"/>
  <c r="J167" i="3"/>
  <c r="J166" i="3"/>
  <c r="J164" i="3"/>
  <c r="J163" i="3"/>
  <c r="J162" i="3"/>
  <c r="J161" i="3"/>
  <c r="J160" i="3"/>
  <c r="J159" i="3"/>
  <c r="J156" i="3"/>
  <c r="J155" i="3"/>
  <c r="J154" i="3"/>
  <c r="J153" i="3"/>
  <c r="J152" i="3"/>
  <c r="J151" i="3"/>
  <c r="J149" i="3"/>
  <c r="J148" i="3"/>
  <c r="J147" i="3"/>
  <c r="J146" i="3"/>
  <c r="J145" i="3"/>
  <c r="J144" i="3"/>
  <c r="J142" i="3"/>
  <c r="J141" i="3"/>
  <c r="J140" i="3"/>
  <c r="J139" i="3"/>
  <c r="J138" i="3"/>
  <c r="J137" i="3"/>
  <c r="J135" i="3"/>
  <c r="J134" i="3"/>
  <c r="J133" i="3"/>
  <c r="J132" i="3"/>
  <c r="J131" i="3"/>
  <c r="J130" i="3"/>
  <c r="J128" i="3"/>
  <c r="J127" i="3"/>
  <c r="J126" i="3"/>
  <c r="J125" i="3"/>
  <c r="J124" i="3"/>
  <c r="J123" i="3"/>
  <c r="J121" i="3"/>
  <c r="J120" i="3"/>
  <c r="J119" i="3"/>
  <c r="J118" i="3"/>
  <c r="J117" i="3"/>
  <c r="J116" i="3"/>
  <c r="J113" i="3"/>
  <c r="J112" i="3"/>
  <c r="J111" i="3"/>
  <c r="J110" i="3"/>
  <c r="J109" i="3"/>
  <c r="J108" i="3"/>
  <c r="J105" i="3"/>
  <c r="J104" i="3"/>
  <c r="J103" i="3"/>
  <c r="J102" i="3"/>
  <c r="J101" i="3"/>
  <c r="J100" i="3"/>
  <c r="J98" i="3"/>
  <c r="J97" i="3"/>
  <c r="J96" i="3"/>
  <c r="J95" i="3"/>
  <c r="J94" i="3"/>
  <c r="J92" i="3"/>
  <c r="J91" i="3"/>
  <c r="J90" i="3"/>
  <c r="J89" i="3"/>
  <c r="J88" i="3"/>
  <c r="J87" i="3"/>
  <c r="J85" i="3"/>
  <c r="J84" i="3"/>
  <c r="J83" i="3"/>
  <c r="J82" i="3"/>
  <c r="J81" i="3"/>
  <c r="J80" i="3"/>
  <c r="J78" i="3"/>
  <c r="J77" i="3"/>
  <c r="J76" i="3"/>
  <c r="J75" i="3"/>
  <c r="J74" i="3"/>
  <c r="J73" i="3"/>
  <c r="J70" i="3"/>
  <c r="J69" i="3"/>
  <c r="J68" i="3"/>
  <c r="J67" i="3"/>
  <c r="J66" i="3"/>
  <c r="J65" i="3"/>
  <c r="J62" i="3"/>
  <c r="J61" i="3"/>
  <c r="J60" i="3"/>
  <c r="J59" i="3"/>
  <c r="J58" i="3"/>
  <c r="J57" i="3"/>
  <c r="J54" i="3"/>
  <c r="J53" i="3"/>
  <c r="J52" i="3"/>
  <c r="J51" i="3"/>
  <c r="J50" i="3"/>
  <c r="J49" i="3"/>
  <c r="J47" i="3"/>
  <c r="J46" i="3"/>
  <c r="J45" i="3"/>
  <c r="J44" i="3"/>
  <c r="J43" i="3"/>
  <c r="J42" i="3"/>
  <c r="J40" i="3"/>
  <c r="J39" i="3"/>
  <c r="J38" i="3"/>
  <c r="J37" i="3"/>
  <c r="J36" i="3"/>
  <c r="J35" i="3"/>
  <c r="J28" i="3"/>
  <c r="J29" i="3"/>
  <c r="J30" i="3"/>
  <c r="J31" i="3"/>
  <c r="J32" i="3"/>
  <c r="J27" i="3"/>
  <c r="J20" i="3"/>
  <c r="J21" i="3"/>
  <c r="J22" i="3"/>
  <c r="J23" i="3"/>
  <c r="J24" i="3"/>
  <c r="J19" i="3"/>
  <c r="J12" i="3"/>
  <c r="J13" i="3"/>
  <c r="J14" i="3"/>
  <c r="J15" i="3"/>
  <c r="J16" i="3"/>
  <c r="J11" i="3"/>
  <c r="J4" i="3"/>
  <c r="J5" i="3"/>
  <c r="J6" i="3"/>
  <c r="J7" i="3"/>
  <c r="J8" i="3"/>
  <c r="J3" i="3"/>
  <c r="H219" i="3" l="1"/>
  <c r="H220" i="3"/>
  <c r="H221" i="3"/>
  <c r="H222" i="3"/>
  <c r="H218" i="3"/>
  <c r="H212" i="3"/>
  <c r="H213" i="3"/>
  <c r="H214" i="3"/>
  <c r="H215" i="3"/>
  <c r="H216" i="3"/>
  <c r="H211" i="3"/>
  <c r="H204" i="3"/>
  <c r="H205" i="3"/>
  <c r="H206" i="3"/>
  <c r="H207" i="3"/>
  <c r="H208" i="3"/>
  <c r="H209" i="3"/>
  <c r="H203" i="3"/>
  <c r="H196" i="3"/>
  <c r="H197" i="3"/>
  <c r="H198" i="3"/>
  <c r="H199" i="3"/>
  <c r="H200" i="3"/>
  <c r="H201" i="3"/>
  <c r="H195" i="3"/>
  <c r="H188" i="3"/>
  <c r="H189" i="3"/>
  <c r="H190" i="3"/>
  <c r="H191" i="3"/>
  <c r="H192" i="3"/>
  <c r="H193" i="3"/>
  <c r="H187" i="3"/>
  <c r="H181" i="3"/>
  <c r="H182" i="3"/>
  <c r="H183" i="3"/>
  <c r="H184" i="3"/>
  <c r="H185" i="3"/>
  <c r="H180" i="3"/>
  <c r="H174" i="3"/>
  <c r="H175" i="3"/>
  <c r="H176" i="3"/>
  <c r="H177" i="3"/>
  <c r="H178" i="3"/>
  <c r="H173" i="3"/>
  <c r="H167" i="3"/>
  <c r="H168" i="3"/>
  <c r="H169" i="3"/>
  <c r="H170" i="3"/>
  <c r="H171" i="3"/>
  <c r="H166" i="3"/>
  <c r="H160" i="3"/>
  <c r="H161" i="3"/>
  <c r="H162" i="3"/>
  <c r="H163" i="3"/>
  <c r="H164" i="3"/>
  <c r="H159" i="3"/>
  <c r="H152" i="3"/>
  <c r="H153" i="3"/>
  <c r="H154" i="3"/>
  <c r="H155" i="3"/>
  <c r="H156" i="3"/>
  <c r="H157" i="3"/>
  <c r="H151" i="3"/>
  <c r="H145" i="3"/>
  <c r="H146" i="3"/>
  <c r="H147" i="3"/>
  <c r="H148" i="3"/>
  <c r="H149" i="3"/>
  <c r="H144" i="3"/>
  <c r="H138" i="3"/>
  <c r="H139" i="3"/>
  <c r="H140" i="3"/>
  <c r="H141" i="3"/>
  <c r="H142" i="3"/>
  <c r="H137" i="3"/>
  <c r="H131" i="3"/>
  <c r="H132" i="3"/>
  <c r="H133" i="3"/>
  <c r="H134" i="3"/>
  <c r="H135" i="3"/>
  <c r="H130" i="3"/>
  <c r="H124" i="3"/>
  <c r="H125" i="3"/>
  <c r="H126" i="3"/>
  <c r="H127" i="3"/>
  <c r="H128" i="3"/>
  <c r="H123" i="3"/>
  <c r="H117" i="3"/>
  <c r="H118" i="3"/>
  <c r="H119" i="3"/>
  <c r="H120" i="3"/>
  <c r="H121" i="3"/>
  <c r="H116" i="3"/>
  <c r="H109" i="3"/>
  <c r="H110" i="3"/>
  <c r="H111" i="3"/>
  <c r="H112" i="3"/>
  <c r="H113" i="3"/>
  <c r="H114" i="3"/>
  <c r="H108" i="3"/>
  <c r="H101" i="3"/>
  <c r="H102" i="3"/>
  <c r="H103" i="3"/>
  <c r="H104" i="3"/>
  <c r="H105" i="3"/>
  <c r="H106" i="3"/>
  <c r="H100" i="3"/>
  <c r="H95" i="3"/>
  <c r="H96" i="3"/>
  <c r="H97" i="3"/>
  <c r="H98" i="3"/>
  <c r="H94" i="3"/>
  <c r="H88" i="3"/>
  <c r="H89" i="3"/>
  <c r="H90" i="3"/>
  <c r="H91" i="3"/>
  <c r="H92" i="3"/>
  <c r="H87" i="3"/>
  <c r="H81" i="3"/>
  <c r="H82" i="3"/>
  <c r="H83" i="3"/>
  <c r="H84" i="3"/>
  <c r="H85" i="3"/>
  <c r="H80" i="3"/>
  <c r="H74" i="3"/>
  <c r="H75" i="3"/>
  <c r="H76" i="3"/>
  <c r="H77" i="3"/>
  <c r="H78" i="3"/>
  <c r="H73" i="3"/>
  <c r="H66" i="3"/>
  <c r="H67" i="3"/>
  <c r="H68" i="3"/>
  <c r="H69" i="3"/>
  <c r="H70" i="3"/>
  <c r="H65" i="3"/>
  <c r="H58" i="3"/>
  <c r="H59" i="3"/>
  <c r="H60" i="3"/>
  <c r="H61" i="3"/>
  <c r="H62" i="3"/>
  <c r="H63" i="3"/>
  <c r="H57" i="3"/>
  <c r="H50" i="3"/>
  <c r="H51" i="3"/>
  <c r="H52" i="3"/>
  <c r="H53" i="3"/>
  <c r="H54" i="3"/>
  <c r="H55" i="3"/>
  <c r="H49" i="3"/>
  <c r="H43" i="3"/>
  <c r="H44" i="3"/>
  <c r="H45" i="3"/>
  <c r="H46" i="3"/>
  <c r="H47" i="3"/>
  <c r="H42" i="3"/>
  <c r="H36" i="3"/>
  <c r="H37" i="3"/>
  <c r="H38" i="3"/>
  <c r="H39" i="3"/>
  <c r="H40" i="3"/>
  <c r="H35" i="3"/>
  <c r="H28" i="3"/>
  <c r="H29" i="3"/>
  <c r="H30" i="3"/>
  <c r="H31" i="3"/>
  <c r="H32" i="3"/>
  <c r="H33" i="3"/>
  <c r="H27" i="3"/>
  <c r="H21" i="3"/>
  <c r="H22" i="3"/>
  <c r="H23" i="3"/>
  <c r="H24" i="3"/>
  <c r="H25" i="3"/>
  <c r="H19" i="3"/>
  <c r="H11" i="3"/>
  <c r="H13" i="3"/>
  <c r="H14" i="3"/>
  <c r="H15" i="3"/>
  <c r="H16" i="3"/>
  <c r="H17" i="3"/>
  <c r="H4" i="3"/>
  <c r="H5" i="3"/>
  <c r="H6" i="3"/>
  <c r="H7" i="3"/>
  <c r="H8" i="3"/>
  <c r="H9" i="3"/>
  <c r="H3" i="3"/>
  <c r="G71" i="3"/>
  <c r="H71" i="3" s="1"/>
  <c r="H20" i="3"/>
  <c r="H1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<sst xmlns="http://schemas.openxmlformats.org/spreadsheetml/2006/main" count="445" uniqueCount="181">
  <si>
    <t>post1</t>
    <phoneticPr fontId="1" type="noConversion"/>
  </si>
  <si>
    <t>treated</t>
    <phoneticPr fontId="1" type="noConversion"/>
  </si>
  <si>
    <t>id</t>
  </si>
  <si>
    <r>
      <rPr>
        <sz val="11"/>
        <color theme="1"/>
        <rFont val="宋体"/>
        <family val="3"/>
        <charset val="134"/>
      </rPr>
      <t>地</t>
    </r>
  </si>
  <si>
    <t>year</t>
  </si>
  <si>
    <r>
      <rPr>
        <sz val="11"/>
        <color theme="1"/>
        <rFont val="宋体"/>
        <family val="3"/>
        <charset val="134"/>
      </rPr>
      <t>能源消费总量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3"/>
        <charset val="134"/>
      </rPr>
      <t>万吨标准煤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</si>
  <si>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宋体"/>
        <family val="3"/>
        <charset val="134"/>
      </rPr>
      <t>生产总值（亿元）</t>
    </r>
  </si>
  <si>
    <t>post2</t>
    <phoneticPr fontId="1" type="noConversion"/>
  </si>
  <si>
    <r>
      <rPr>
        <sz val="11"/>
        <color theme="1"/>
        <rFont val="宋体"/>
        <family val="3"/>
        <charset val="134"/>
      </rPr>
      <t>北京</t>
    </r>
  </si>
  <si>
    <r>
      <rPr>
        <sz val="11"/>
        <color theme="1"/>
        <rFont val="宋体"/>
        <family val="3"/>
        <charset val="134"/>
      </rPr>
      <t>天津</t>
    </r>
  </si>
  <si>
    <r>
      <rPr>
        <sz val="11"/>
        <color theme="1"/>
        <rFont val="宋体"/>
        <family val="3"/>
        <charset val="134"/>
      </rPr>
      <t>河北</t>
    </r>
  </si>
  <si>
    <r>
      <rPr>
        <sz val="11"/>
        <color theme="1"/>
        <rFont val="宋体"/>
        <family val="3"/>
        <charset val="134"/>
      </rPr>
      <t>山西</t>
    </r>
  </si>
  <si>
    <r>
      <rPr>
        <sz val="11"/>
        <color theme="1"/>
        <rFont val="宋体"/>
        <family val="3"/>
        <charset val="134"/>
      </rPr>
      <t>内蒙古</t>
    </r>
  </si>
  <si>
    <t>内蒙古</t>
  </si>
  <si>
    <r>
      <rPr>
        <sz val="11"/>
        <color theme="1"/>
        <rFont val="宋体"/>
        <family val="3"/>
        <charset val="134"/>
      </rPr>
      <t>辽宁</t>
    </r>
  </si>
  <si>
    <t>辽宁</t>
  </si>
  <si>
    <r>
      <rPr>
        <sz val="11"/>
        <color theme="1"/>
        <rFont val="宋体"/>
        <family val="3"/>
        <charset val="134"/>
      </rPr>
      <t>吉林</t>
    </r>
  </si>
  <si>
    <r>
      <rPr>
        <sz val="11"/>
        <color theme="1"/>
        <rFont val="宋体"/>
        <family val="3"/>
        <charset val="134"/>
      </rPr>
      <t>黑龙江</t>
    </r>
  </si>
  <si>
    <t>黑龙江</t>
  </si>
  <si>
    <r>
      <rPr>
        <sz val="11"/>
        <color theme="1"/>
        <rFont val="宋体"/>
        <family val="3"/>
        <charset val="134"/>
      </rPr>
      <t>上海</t>
    </r>
  </si>
  <si>
    <r>
      <rPr>
        <sz val="11"/>
        <color theme="1"/>
        <rFont val="宋体"/>
        <family val="3"/>
        <charset val="134"/>
      </rPr>
      <t>江苏</t>
    </r>
  </si>
  <si>
    <r>
      <rPr>
        <sz val="11"/>
        <color theme="1"/>
        <rFont val="宋体"/>
        <family val="3"/>
        <charset val="134"/>
      </rPr>
      <t>浙江</t>
    </r>
  </si>
  <si>
    <r>
      <rPr>
        <sz val="11"/>
        <color theme="1"/>
        <rFont val="宋体"/>
        <family val="3"/>
        <charset val="134"/>
      </rPr>
      <t>安徽</t>
    </r>
  </si>
  <si>
    <r>
      <rPr>
        <sz val="11"/>
        <color theme="1"/>
        <rFont val="宋体"/>
        <family val="3"/>
        <charset val="134"/>
      </rPr>
      <t>福建</t>
    </r>
  </si>
  <si>
    <r>
      <rPr>
        <sz val="11"/>
        <color theme="1"/>
        <rFont val="宋体"/>
        <family val="3"/>
        <charset val="134"/>
      </rPr>
      <t>江西</t>
    </r>
  </si>
  <si>
    <t>江西</t>
  </si>
  <si>
    <r>
      <rPr>
        <sz val="11"/>
        <color theme="1"/>
        <rFont val="宋体"/>
        <family val="3"/>
        <charset val="134"/>
      </rPr>
      <t>山东</t>
    </r>
  </si>
  <si>
    <t>山东</t>
  </si>
  <si>
    <r>
      <rPr>
        <sz val="11"/>
        <color theme="1"/>
        <rFont val="宋体"/>
        <family val="3"/>
        <charset val="134"/>
      </rPr>
      <t>河南</t>
    </r>
  </si>
  <si>
    <r>
      <rPr>
        <sz val="11"/>
        <color theme="1"/>
        <rFont val="宋体"/>
        <family val="3"/>
        <charset val="134"/>
      </rPr>
      <t>湖北</t>
    </r>
  </si>
  <si>
    <r>
      <rPr>
        <sz val="11"/>
        <color theme="1"/>
        <rFont val="宋体"/>
        <family val="3"/>
        <charset val="134"/>
      </rPr>
      <t>湖南</t>
    </r>
  </si>
  <si>
    <t>湖南</t>
  </si>
  <si>
    <r>
      <rPr>
        <sz val="11"/>
        <color theme="1"/>
        <rFont val="宋体"/>
        <family val="3"/>
        <charset val="134"/>
      </rPr>
      <t>广东</t>
    </r>
  </si>
  <si>
    <r>
      <rPr>
        <sz val="11"/>
        <color theme="1"/>
        <rFont val="宋体"/>
        <family val="3"/>
        <charset val="134"/>
      </rPr>
      <t>广西</t>
    </r>
  </si>
  <si>
    <r>
      <rPr>
        <sz val="11"/>
        <color theme="1"/>
        <rFont val="宋体"/>
        <family val="3"/>
        <charset val="134"/>
      </rPr>
      <t>海南</t>
    </r>
  </si>
  <si>
    <t>海南</t>
  </si>
  <si>
    <r>
      <rPr>
        <sz val="11"/>
        <color theme="1"/>
        <rFont val="宋体"/>
        <family val="3"/>
        <charset val="134"/>
      </rPr>
      <t>重庆</t>
    </r>
  </si>
  <si>
    <r>
      <rPr>
        <sz val="11"/>
        <color theme="1"/>
        <rFont val="宋体"/>
        <family val="3"/>
        <charset val="134"/>
      </rPr>
      <t>四川</t>
    </r>
  </si>
  <si>
    <r>
      <rPr>
        <sz val="11"/>
        <color theme="1"/>
        <rFont val="宋体"/>
        <family val="3"/>
        <charset val="134"/>
      </rPr>
      <t>贵州</t>
    </r>
  </si>
  <si>
    <r>
      <rPr>
        <sz val="11"/>
        <color theme="1"/>
        <rFont val="宋体"/>
        <family val="3"/>
        <charset val="134"/>
      </rPr>
      <t>云南</t>
    </r>
  </si>
  <si>
    <r>
      <rPr>
        <sz val="11"/>
        <color theme="1"/>
        <rFont val="宋体"/>
        <family val="3"/>
        <charset val="134"/>
      </rPr>
      <t>陕西</t>
    </r>
  </si>
  <si>
    <t>陕西</t>
  </si>
  <si>
    <r>
      <rPr>
        <sz val="11"/>
        <color theme="1"/>
        <rFont val="宋体"/>
        <family val="3"/>
        <charset val="134"/>
      </rPr>
      <t>甘肃</t>
    </r>
  </si>
  <si>
    <t>甘肃</t>
  </si>
  <si>
    <r>
      <rPr>
        <sz val="11"/>
        <color theme="1"/>
        <rFont val="宋体"/>
        <family val="3"/>
        <charset val="134"/>
      </rPr>
      <t>青海</t>
    </r>
  </si>
  <si>
    <t>青海</t>
  </si>
  <si>
    <r>
      <rPr>
        <sz val="11"/>
        <color theme="1"/>
        <rFont val="宋体"/>
        <family val="3"/>
        <charset val="134"/>
      </rPr>
      <t>宁夏</t>
    </r>
  </si>
  <si>
    <t>宁夏</t>
  </si>
  <si>
    <r>
      <rPr>
        <sz val="11"/>
        <color theme="1"/>
        <rFont val="宋体"/>
        <family val="3"/>
        <charset val="134"/>
      </rPr>
      <t>新疆</t>
    </r>
  </si>
  <si>
    <r>
      <rPr>
        <sz val="11"/>
        <color theme="1"/>
        <rFont val="宋体"/>
        <family val="3"/>
        <charset val="134"/>
      </rPr>
      <t>单位</t>
    </r>
    <r>
      <rPr>
        <sz val="11"/>
        <color theme="1"/>
        <rFont val="Times New Roman"/>
        <family val="3"/>
      </rPr>
      <t>GDP</t>
    </r>
    <r>
      <rPr>
        <sz val="11"/>
        <color theme="1"/>
        <rFont val="宋体"/>
        <family val="3"/>
        <charset val="134"/>
      </rPr>
      <t>能耗</t>
    </r>
    <phoneticPr fontId="1" type="noConversion"/>
  </si>
  <si>
    <t>上海</t>
    <phoneticPr fontId="1" type="noConversion"/>
  </si>
  <si>
    <t>河北</t>
    <phoneticPr fontId="1" type="noConversion"/>
  </si>
  <si>
    <t>山西</t>
    <phoneticPr fontId="1" type="noConversion"/>
  </si>
  <si>
    <t>std_deg</t>
    <phoneticPr fontId="1" type="noConversion"/>
  </si>
  <si>
    <r>
      <rPr>
        <sz val="11"/>
        <color theme="1"/>
        <rFont val="宋体"/>
        <family val="3"/>
        <charset val="134"/>
      </rPr>
      <t>单位</t>
    </r>
    <r>
      <rPr>
        <sz val="11"/>
        <color theme="1"/>
        <rFont val="Times New Roman"/>
        <family val="3"/>
        <charset val="134"/>
      </rPr>
      <t>GDP</t>
    </r>
    <r>
      <rPr>
        <sz val="11"/>
        <color theme="1"/>
        <rFont val="宋体"/>
        <family val="3"/>
        <charset val="134"/>
      </rPr>
      <t>能耗增长率</t>
    </r>
    <phoneticPr fontId="1" type="noConversion"/>
  </si>
  <si>
    <r>
      <rPr>
        <sz val="10"/>
        <color theme="1"/>
        <rFont val="等线"/>
        <family val="2"/>
      </rPr>
      <t>非化石能源占比</t>
    </r>
    <phoneticPr fontId="1" type="noConversion"/>
  </si>
  <si>
    <r>
      <t>CO2</t>
    </r>
    <r>
      <rPr>
        <sz val="11"/>
        <color theme="1"/>
        <rFont val="等线"/>
        <family val="1"/>
        <charset val="134"/>
      </rPr>
      <t>排放总量(万吨)</t>
    </r>
    <phoneticPr fontId="1" type="noConversion"/>
  </si>
  <si>
    <r>
      <rPr>
        <sz val="10"/>
        <color theme="1"/>
        <rFont val="等线"/>
        <family val="3"/>
        <charset val="134"/>
      </rPr>
      <t>非化石能源占比增长率</t>
    </r>
    <phoneticPr fontId="1" type="noConversion"/>
  </si>
  <si>
    <r>
      <rPr>
        <sz val="10"/>
        <color theme="1"/>
        <rFont val="宋体"/>
        <family val="1"/>
        <charset val="134"/>
      </rPr>
      <t>单位</t>
    </r>
    <r>
      <rPr>
        <sz val="10"/>
        <color theme="1"/>
        <rFont val="Times New Roman"/>
        <family val="1"/>
      </rPr>
      <t>GDP</t>
    </r>
    <r>
      <rPr>
        <sz val="10"/>
        <color theme="1"/>
        <rFont val="宋体"/>
        <family val="1"/>
        <charset val="134"/>
      </rPr>
      <t>碳排放量</t>
    </r>
    <phoneticPr fontId="1" type="noConversion"/>
  </si>
  <si>
    <r>
      <rPr>
        <sz val="10"/>
        <color theme="1"/>
        <rFont val="宋体"/>
        <family val="1"/>
        <charset val="134"/>
      </rPr>
      <t>单位</t>
    </r>
    <r>
      <rPr>
        <sz val="10"/>
        <color theme="1"/>
        <rFont val="Times New Roman"/>
        <family val="1"/>
      </rPr>
      <t>GDP</t>
    </r>
    <r>
      <rPr>
        <sz val="10"/>
        <color theme="1"/>
        <rFont val="宋体"/>
        <family val="1"/>
        <charset val="134"/>
      </rPr>
      <t>碳排放量增长率</t>
    </r>
    <phoneticPr fontId="1" type="noConversion"/>
  </si>
  <si>
    <t>file</t>
  </si>
  <si>
    <t>avg_direct_sim</t>
  </si>
  <si>
    <t>avg_direct_degree</t>
  </si>
  <si>
    <t>avg_hidden_degree</t>
  </si>
  <si>
    <t>2030年前碳达峰行动方案.docx</t>
  </si>
  <si>
    <t>上海市碳达峰实施方案.docx</t>
  </si>
  <si>
    <t>云南省碳达峰实施方案.docx</t>
  </si>
  <si>
    <t>内蒙古自治区碳达峰实施方案.docx</t>
  </si>
  <si>
    <t>北京市碳达峰实施方案.docx</t>
  </si>
  <si>
    <t>吉林省碳达峰实施方案.docx</t>
  </si>
  <si>
    <t>四川省碳达峰实施方案.docx</t>
  </si>
  <si>
    <t>天津市碳达峰实施方案.docx</t>
  </si>
  <si>
    <t>宁夏回族自治区碳达峰实施方案.docx</t>
  </si>
  <si>
    <t>安徽省碳达峰实施方案.docx</t>
  </si>
  <si>
    <t>山东省碳达峰实施方案.docx</t>
  </si>
  <si>
    <t>山西省碳达峰实施方案.docx</t>
  </si>
  <si>
    <t>广东省碳达峰实施方案.docx</t>
  </si>
  <si>
    <t>广西壮族自治区碳达峰实施方案.docx</t>
  </si>
  <si>
    <t>江苏省碳达峰实施方案.docx</t>
  </si>
  <si>
    <t>江西省碳达峰实施方案.docx</t>
  </si>
  <si>
    <t>河北省碳达峰实施方案.docx</t>
  </si>
  <si>
    <t>河南省碳达峰实施方案.docx</t>
  </si>
  <si>
    <t>海南省碳达峰实施方案.docx</t>
  </si>
  <si>
    <t>湖南省碳达峰实施方案.docx</t>
  </si>
  <si>
    <t>甘肃省碳达峰实施方案.docx</t>
  </si>
  <si>
    <t>贵州省碳达峰实施方案.docx</t>
  </si>
  <si>
    <t>辽宁省碳达峰实施方案.docx</t>
  </si>
  <si>
    <t>陕西省碳达峰实施方案.docx</t>
  </si>
  <si>
    <t>青海省碳达峰实施方案.docx</t>
  </si>
  <si>
    <t>主要目标</t>
    <phoneticPr fontId="1" type="noConversion"/>
  </si>
  <si>
    <t>主要目标_hid</t>
    <phoneticPr fontId="1" type="noConversion"/>
  </si>
  <si>
    <t>70相似度</t>
    <phoneticPr fontId="1" type="noConversion"/>
  </si>
  <si>
    <t>80相似度</t>
  </si>
  <si>
    <t>90相似度</t>
  </si>
  <si>
    <t>std_sim</t>
    <phoneticPr fontId="1" type="noConversion"/>
  </si>
  <si>
    <t>std_hid_deg</t>
    <phoneticPr fontId="1" type="noConversion"/>
  </si>
  <si>
    <t>std_主要目标</t>
    <phoneticPr fontId="1" type="noConversion"/>
  </si>
  <si>
    <t>std_hid_主要目标</t>
    <phoneticPr fontId="1" type="noConversion"/>
  </si>
  <si>
    <t>std_70</t>
    <phoneticPr fontId="1" type="noConversion"/>
  </si>
  <si>
    <t>std_80</t>
  </si>
  <si>
    <t>std_80</t>
    <phoneticPr fontId="1" type="noConversion"/>
  </si>
  <si>
    <t>std_90</t>
  </si>
  <si>
    <t>std_90</t>
    <phoneticPr fontId="1" type="noConversion"/>
  </si>
  <si>
    <t>target</t>
    <phoneticPr fontId="1" type="noConversion"/>
  </si>
  <si>
    <t>deg90</t>
    <phoneticPr fontId="1" type="noConversion"/>
  </si>
  <si>
    <t>deg70</t>
    <phoneticPr fontId="1" type="noConversion"/>
  </si>
  <si>
    <t>deg80</t>
    <phoneticPr fontId="1" type="noConversion"/>
  </si>
  <si>
    <r>
      <t>std_</t>
    </r>
    <r>
      <rPr>
        <sz val="11"/>
        <color theme="1"/>
        <rFont val="Times New Roman"/>
        <family val="3"/>
      </rPr>
      <t>target</t>
    </r>
    <phoneticPr fontId="1" type="noConversion"/>
  </si>
  <si>
    <r>
      <t>std_hid_</t>
    </r>
    <r>
      <rPr>
        <sz val="11"/>
        <color theme="1"/>
        <rFont val="Times New Roman"/>
        <family val="3"/>
      </rPr>
      <t>target</t>
    </r>
    <phoneticPr fontId="1" type="noConversion"/>
  </si>
  <si>
    <t>avg_direct_sim</t>
    <phoneticPr fontId="1" type="noConversion"/>
  </si>
  <si>
    <t>avg_direct_degree</t>
    <phoneticPr fontId="1" type="noConversion"/>
  </si>
  <si>
    <t>avg_hidden_degree</t>
    <phoneticPr fontId="1" type="noConversion"/>
  </si>
  <si>
    <r>
      <t>target</t>
    </r>
    <r>
      <rPr>
        <sz val="11"/>
        <color theme="1"/>
        <rFont val="Times New Roman"/>
        <family val="1"/>
      </rPr>
      <t>_hid</t>
    </r>
    <phoneticPr fontId="1" type="noConversion"/>
  </si>
  <si>
    <t>std_70</t>
    <phoneticPr fontId="1" type="noConversion"/>
  </si>
  <si>
    <t>std_deg</t>
    <phoneticPr fontId="1" type="noConversion"/>
  </si>
  <si>
    <t>std_hid_deg</t>
    <phoneticPr fontId="1" type="noConversion"/>
  </si>
  <si>
    <t>std_sim</t>
    <phoneticPr fontId="1" type="noConversion"/>
  </si>
  <si>
    <t>中央</t>
    <phoneticPr fontId="1" type="noConversion"/>
  </si>
  <si>
    <t>非化石能源</t>
    <phoneticPr fontId="1" type="noConversion"/>
  </si>
  <si>
    <t>能耗强度</t>
    <phoneticPr fontId="1" type="noConversion"/>
  </si>
  <si>
    <t>碳排强度</t>
    <phoneticPr fontId="1" type="noConversion"/>
  </si>
  <si>
    <t>非化石能源_155</t>
    <phoneticPr fontId="1" type="noConversion"/>
  </si>
  <si>
    <t>碳排强度_155</t>
    <phoneticPr fontId="1" type="noConversion"/>
  </si>
  <si>
    <t>a145</t>
    <phoneticPr fontId="1" type="noConversion"/>
  </si>
  <si>
    <t>b145</t>
    <phoneticPr fontId="1" type="noConversion"/>
  </si>
  <si>
    <t>c145</t>
    <phoneticPr fontId="1" type="noConversion"/>
  </si>
  <si>
    <t>a155</t>
    <phoneticPr fontId="1" type="noConversion"/>
  </si>
  <si>
    <t>c155</t>
    <phoneticPr fontId="1" type="noConversion"/>
  </si>
  <si>
    <t>std_a145</t>
    <phoneticPr fontId="1" type="noConversion"/>
  </si>
  <si>
    <t>std_b145</t>
    <phoneticPr fontId="1" type="noConversion"/>
  </si>
  <si>
    <t>std_c145</t>
    <phoneticPr fontId="1" type="noConversion"/>
  </si>
  <si>
    <t>std_a155</t>
    <phoneticPr fontId="1" type="noConversion"/>
  </si>
  <si>
    <t>std_c155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</si>
  <si>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</si>
  <si>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</si>
  <si>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</si>
  <si>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if_a</t>
    <phoneticPr fontId="1" type="noConversion"/>
  </si>
  <si>
    <t>if_b</t>
    <phoneticPr fontId="1" type="noConversion"/>
  </si>
  <si>
    <t>if_c</t>
    <phoneticPr fontId="1" type="noConversion"/>
  </si>
  <si>
    <t>if_a_155</t>
    <phoneticPr fontId="1" type="noConversion"/>
  </si>
  <si>
    <t>if_c_155</t>
    <phoneticPr fontId="1" type="noConversion"/>
  </si>
  <si>
    <t>解释</t>
    <phoneticPr fontId="1" type="noConversion"/>
  </si>
  <si>
    <t>自变量</t>
    <phoneticPr fontId="1" type="noConversion"/>
  </si>
  <si>
    <t>中央文件发布后地方是否有跟进发布地方文件</t>
    <phoneticPr fontId="1" type="noConversion"/>
  </si>
  <si>
    <t>地方在该年是否出台地方文件</t>
    <phoneticPr fontId="1" type="noConversion"/>
  </si>
  <si>
    <t>中央是否在该年出台中央文件</t>
    <phoneticPr fontId="1" type="noConversion"/>
  </si>
  <si>
    <t>相似度</t>
    <phoneticPr fontId="1" type="noConversion"/>
  </si>
  <si>
    <t>相对语调</t>
    <phoneticPr fontId="1" type="noConversion"/>
  </si>
  <si>
    <t>隐式相对语调（最相近十个句子的平均）</t>
    <phoneticPr fontId="1" type="noConversion"/>
  </si>
  <si>
    <t>“主要目标”段落的相对语调</t>
    <phoneticPr fontId="1" type="noConversion"/>
  </si>
  <si>
    <t>“主要目标”段落的隐式相对语调</t>
    <phoneticPr fontId="1" type="noConversion"/>
  </si>
  <si>
    <t>控制相似度阈值为70的相对语调</t>
    <phoneticPr fontId="1" type="noConversion"/>
  </si>
  <si>
    <t>控制相似度阈值为80的相对语调</t>
    <phoneticPr fontId="1" type="noConversion"/>
  </si>
  <si>
    <t>控制相似度阈值为90的相对语调</t>
    <phoneticPr fontId="1" type="noConversion"/>
  </si>
  <si>
    <t>avg_direct_sim标准化</t>
    <phoneticPr fontId="1" type="noConversion"/>
  </si>
  <si>
    <t>avg_direct_degree标准化</t>
    <phoneticPr fontId="1" type="noConversion"/>
  </si>
  <si>
    <t>avg_hidden_degree标准化</t>
    <phoneticPr fontId="1" type="noConversion"/>
  </si>
  <si>
    <t>deg70标准化</t>
    <phoneticPr fontId="1" type="noConversion"/>
  </si>
  <si>
    <t>deg80标准化</t>
    <phoneticPr fontId="1" type="noConversion"/>
  </si>
  <si>
    <t>deg90标准化</t>
  </si>
  <si>
    <t>target标准化</t>
    <phoneticPr fontId="1" type="noConversion"/>
  </si>
  <si>
    <t>target_hid标准化</t>
    <phoneticPr fontId="1" type="noConversion"/>
  </si>
  <si>
    <t>十四五期间能耗强目标下降百分比</t>
    <phoneticPr fontId="1" type="noConversion"/>
  </si>
  <si>
    <t>十四五期碳排强度目标下降百分比</t>
    <phoneticPr fontId="1" type="noConversion"/>
  </si>
  <si>
    <t>十四五期间目标非化石能源占比</t>
    <phoneticPr fontId="1" type="noConversion"/>
  </si>
  <si>
    <t>十五五期间目标非化石能源占比</t>
    <phoneticPr fontId="1" type="noConversion"/>
  </si>
  <si>
    <t>十五五期碳排强度目标下降百分比</t>
    <phoneticPr fontId="1" type="noConversion"/>
  </si>
  <si>
    <t>地方目标/中央目标</t>
    <phoneticPr fontId="1" type="noConversion"/>
  </si>
  <si>
    <t>十四五、十五五合并结果</t>
    <phoneticPr fontId="1" type="noConversion"/>
  </si>
  <si>
    <t>地方目标是否强于中央（1/0/-1）</t>
    <phoneticPr fontId="1" type="noConversion"/>
  </si>
  <si>
    <t>地方目标是否强于中央（1/0/-2）</t>
  </si>
  <si>
    <t>地方目标是否强于中央（1/0/-3）</t>
  </si>
  <si>
    <t>地方目标是否强于中央（1/0/-4）</t>
  </si>
  <si>
    <t>地方目标是否强于中央（1/0/-5）</t>
  </si>
  <si>
    <t>因变量</t>
    <phoneticPr fontId="1" type="noConversion"/>
  </si>
  <si>
    <t>-</t>
    <phoneticPr fontId="1" type="noConversion"/>
  </si>
  <si>
    <t>非化石能源（比中央）</t>
    <phoneticPr fontId="1" type="noConversion"/>
  </si>
  <si>
    <t>能耗强度（比中央）</t>
    <phoneticPr fontId="1" type="noConversion"/>
  </si>
  <si>
    <t>碳排强度（比中央）</t>
    <phoneticPr fontId="1" type="noConversion"/>
  </si>
  <si>
    <t>非化石能源_155（比中央）</t>
    <phoneticPr fontId="1" type="noConversion"/>
  </si>
  <si>
    <t>碳排强度_155（比中央）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</si>
</sst>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.00_);[Red]\(0.00\)"/>
    <numFmt numFmtId="178" formatCode="0.00_ "/>
    <numFmt numFmtId="179" formatCode="0.0000_ "/>
  </numFmts>
  <fonts count="2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name val="Times New Roman"/>
      <family val="1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1"/>
      <color theme="1"/>
      <name val="宋体"/>
      <family val="1"/>
      <charset val="134"/>
    </font>
    <font>
      <b/>
      <sz val="11"/>
      <name val="宋体"/>
      <family val="3"/>
      <charset val="134"/>
    </font>
    <font>
      <sz val="10"/>
      <color theme="1"/>
      <name val="Times New Roman"/>
      <family val="1"/>
    </font>
    <font>
      <sz val="10"/>
      <color theme="1"/>
      <name val="等线"/>
      <family val="2"/>
    </font>
    <font>
      <sz val="11"/>
      <color theme="1"/>
      <name val="等线"/>
      <family val="1"/>
      <charset val="134"/>
    </font>
    <font>
      <sz val="11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10"/>
      <color theme="1"/>
      <name val="Times New Roman"/>
      <family val="1"/>
      <charset val="134"/>
    </font>
    <font>
      <sz val="10"/>
      <color theme="1"/>
      <name val="宋体"/>
      <family val="1"/>
      <charset val="134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>
      <alignment vertical="center"/>
    </xf>
  </cellStyleXfs>
  <cellXfs count="3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177" fontId="9" fillId="0" borderId="1" xfId="2" applyNumberFormat="1" applyFont="1" applyBorder="1" applyAlignment="1">
      <alignment horizontal="center" vertical="center" wrapText="1"/>
    </xf>
    <xf numFmtId="178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top"/>
    </xf>
    <xf numFmtId="0" fontId="7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5" fillId="0" borderId="0" xfId="0" applyFont="1"/>
    <xf numFmtId="0" fontId="17" fillId="3" borderId="0" xfId="0" applyFont="1" applyFill="1" applyAlignment="1">
      <alignment horizontal="center" vertical="center" wrapText="1"/>
    </xf>
    <xf numFmtId="0" fontId="11" fillId="0" borderId="3" xfId="0" applyFont="1" applyBorder="1" applyAlignment="1">
      <alignment horizontal="center" vertical="top"/>
    </xf>
    <xf numFmtId="0" fontId="11" fillId="0" borderId="4" xfId="0" applyFont="1" applyBorder="1" applyAlignment="1">
      <alignment horizontal="center" vertical="top"/>
    </xf>
    <xf numFmtId="178" fontId="0" fillId="0" borderId="0" xfId="0" applyNumberFormat="1"/>
    <xf numFmtId="0" fontId="4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</cellXfs>
  <cellStyles count="3">
    <cellStyle name="常规" xfId="0" builtinId="0"/>
    <cellStyle name="常规 2" xfId="1" xr:uid="{3E388BCC-8E7E-4646-BC21-FF12E3278AC0}"/>
    <cellStyle name="常规 3" xfId="2" xr:uid="{A1169637-08AB-4489-B603-4A772DC8E8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CB0B-A000-407F-B163-14ABA742E5CA}">
  <dimension ref="A1:AW224"/>
  <sheetViews>
    <sheetView zoomScale="70" zoomScaleNormal="70" workbookViewId="0">
      <selection activeCell="N50" sqref="N50"/>
    </sheetView>
  </sheetViews>
  <sheetFormatPr defaultRowHeight="13.8" x14ac:dyDescent="0.25"/>
  <cols>
    <col min="5" max="5" width="12.77734375" bestFit="1" customWidth="1"/>
    <col min="7" max="7" width="14" bestFit="1" customWidth="1"/>
    <col min="8" max="8" width="20.5546875" style="15" customWidth="1"/>
    <col min="9" max="9" width="16.5546875" style="18" customWidth="1"/>
    <col min="10" max="12" width="16.5546875" style="2" customWidth="1"/>
    <col min="13" max="31" width="8.88671875" customWidth="1"/>
  </cols>
  <sheetData>
    <row r="1" spans="1:49" ht="57.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56</v>
      </c>
      <c r="F1" s="1" t="s">
        <v>6</v>
      </c>
      <c r="G1" s="13" t="s">
        <v>49</v>
      </c>
      <c r="H1" s="13" t="s">
        <v>54</v>
      </c>
      <c r="I1" s="17" t="s">
        <v>55</v>
      </c>
      <c r="J1" s="17" t="s">
        <v>57</v>
      </c>
      <c r="K1" s="20" t="s">
        <v>58</v>
      </c>
      <c r="L1" s="20" t="s">
        <v>59</v>
      </c>
      <c r="M1" s="14" t="s">
        <v>0</v>
      </c>
      <c r="N1" s="14" t="s">
        <v>7</v>
      </c>
      <c r="O1" s="14" t="s">
        <v>1</v>
      </c>
      <c r="P1" s="14" t="s">
        <v>109</v>
      </c>
      <c r="Q1" s="14" t="s">
        <v>110</v>
      </c>
      <c r="R1" s="14" t="s">
        <v>111</v>
      </c>
      <c r="S1" s="25" t="s">
        <v>103</v>
      </c>
      <c r="T1" s="25" t="s">
        <v>112</v>
      </c>
      <c r="U1" s="24" t="s">
        <v>105</v>
      </c>
      <c r="V1" s="24" t="s">
        <v>106</v>
      </c>
      <c r="W1" s="24" t="s">
        <v>104</v>
      </c>
      <c r="X1" s="14" t="s">
        <v>116</v>
      </c>
      <c r="Y1" s="14" t="s">
        <v>114</v>
      </c>
      <c r="Z1" s="14" t="s">
        <v>115</v>
      </c>
      <c r="AA1" s="14" t="s">
        <v>107</v>
      </c>
      <c r="AB1" s="14" t="s">
        <v>108</v>
      </c>
      <c r="AC1" s="14" t="s">
        <v>113</v>
      </c>
      <c r="AD1" s="14" t="s">
        <v>99</v>
      </c>
      <c r="AE1" s="14" t="s">
        <v>101</v>
      </c>
      <c r="AF1" s="14" t="s">
        <v>123</v>
      </c>
      <c r="AG1" s="14" t="s">
        <v>124</v>
      </c>
      <c r="AH1" s="14" t="s">
        <v>125</v>
      </c>
      <c r="AI1" s="14" t="s">
        <v>126</v>
      </c>
      <c r="AJ1" s="14" t="s">
        <v>127</v>
      </c>
      <c r="AK1" s="14" t="s">
        <v>128</v>
      </c>
      <c r="AL1" s="14" t="s">
        <v>129</v>
      </c>
      <c r="AM1" s="14" t="s">
        <v>130</v>
      </c>
      <c r="AN1" s="14" t="s">
        <v>131</v>
      </c>
      <c r="AO1" s="14" t="s">
        <v>132</v>
      </c>
      <c r="AP1" s="14" t="s">
        <v>133</v>
      </c>
      <c r="AQ1" s="14" t="s">
        <v>134</v>
      </c>
      <c r="AR1" s="14" t="s">
        <v>135</v>
      </c>
      <c r="AS1" s="14" t="s">
        <v>136</v>
      </c>
      <c r="AT1" s="14" t="s">
        <v>137</v>
      </c>
      <c r="AU1" s="14" t="s">
        <v>138</v>
      </c>
      <c r="AV1" s="14" t="s">
        <v>139</v>
      </c>
      <c r="AW1" s="14" t="s">
        <v>140</v>
      </c>
    </row>
    <row r="2" spans="1:49" ht="14.4" x14ac:dyDescent="0.25">
      <c r="A2" s="2">
        <v>1</v>
      </c>
      <c r="B2" s="2" t="s">
        <v>8</v>
      </c>
      <c r="C2" s="2">
        <v>2016</v>
      </c>
      <c r="D2" s="2">
        <v>6917</v>
      </c>
      <c r="E2" s="19">
        <v>7413.4216635208295</v>
      </c>
      <c r="F2" s="2">
        <v>25669.13</v>
      </c>
      <c r="G2" s="3">
        <v>0.26946764459878458</v>
      </c>
      <c r="H2" s="2"/>
      <c r="I2" s="16">
        <v>0.35776976242132996</v>
      </c>
      <c r="K2">
        <v>0.28880689230686157</v>
      </c>
      <c r="L2"/>
      <c r="M2" s="2">
        <v>0</v>
      </c>
      <c r="N2" s="2">
        <v>0</v>
      </c>
      <c r="O2" s="4">
        <v>1</v>
      </c>
      <c r="P2">
        <v>0.75759066304852885</v>
      </c>
      <c r="Q2">
        <v>0.49120234604105573</v>
      </c>
      <c r="R2">
        <v>0.19192210119629469</v>
      </c>
      <c r="S2">
        <v>1.1000000000000001</v>
      </c>
      <c r="T2">
        <v>-2.999999999999994E-2</v>
      </c>
      <c r="U2">
        <v>0.5178571428571429</v>
      </c>
      <c r="V2">
        <v>0.243801652892562</v>
      </c>
      <c r="W2">
        <v>0.8571428571428571</v>
      </c>
      <c r="X2">
        <v>0</v>
      </c>
      <c r="Y2" s="23">
        <v>0.35300316122233916</v>
      </c>
      <c r="Z2" s="23">
        <v>0.13763136932874845</v>
      </c>
      <c r="AA2" s="23">
        <v>0.31428571428571433</v>
      </c>
      <c r="AB2" s="23">
        <v>-1.7441860465116244E-2</v>
      </c>
      <c r="AC2" s="23">
        <v>0.41857142857142871</v>
      </c>
      <c r="AD2" s="23">
        <v>0.2606370611485701</v>
      </c>
      <c r="AE2" s="23">
        <v>1</v>
      </c>
      <c r="AF2">
        <v>0.14400000000000002</v>
      </c>
      <c r="AG2">
        <v>0.14000000000000001</v>
      </c>
      <c r="AH2">
        <v>0.18</v>
      </c>
      <c r="AI2">
        <v>0.25</v>
      </c>
      <c r="AJ2">
        <v>0.65</v>
      </c>
      <c r="AK2">
        <v>0.72000000000000008</v>
      </c>
      <c r="AL2">
        <v>1.037037037037037</v>
      </c>
      <c r="AM2">
        <v>1</v>
      </c>
      <c r="AN2">
        <v>1</v>
      </c>
      <c r="AO2">
        <v>1</v>
      </c>
      <c r="AP2">
        <f>AVERAGE(AK2,AN2)</f>
        <v>0.8600000000000001</v>
      </c>
      <c r="AQ2">
        <f>AVERAGE(AL2)</f>
        <v>1.037037037037037</v>
      </c>
      <c r="AR2">
        <f>AVERAGE(AM2,AO2)</f>
        <v>1</v>
      </c>
      <c r="AS2" cm="1">
        <f t="array" ref="AS2">_xlfn.IFS(AF2&gt;'“主要目标”数据分表'!$C$2,1,AF2='“主要目标”数据分表'!$C$2,0,AF2&lt;'“主要目标”数据分表'!$C$2,-1)</f>
        <v>-1</v>
      </c>
      <c r="AT2" cm="1">
        <f t="array" ref="AT2">_xlfn.IFS(AG2&gt;'“主要目标”数据分表'!$D$2,1,AG2='“主要目标”数据分表'!$D$2,0,AG2&lt;'“主要目标”数据分表'!$D$2,-1)</f>
        <v>1</v>
      </c>
      <c r="AU2" cm="1">
        <f t="array" ref="AU2">_xlfn.IFS(AH2&gt;'“主要目标”数据分表'!$E$2,1,AH2='“主要目标”数据分表'!$E$2,0,AH2&lt;'“主要目标”数据分表'!$E$2,-1)</f>
        <v>0</v>
      </c>
      <c r="AV2" cm="1">
        <f t="array" ref="AV2">_xlfn.IFS(AI2&gt;'“主要目标”数据分表'!$F$2,1,AI2='“主要目标”数据分表'!$F$2,0,AI2&lt;'“主要目标”数据分表'!$F$2,-1)</f>
        <v>0</v>
      </c>
      <c r="AW2" cm="1">
        <f t="array" ref="AW2">_xlfn.IFS(AJ2&gt;'“主要目标”数据分表'!$G$2,1,AJ2='“主要目标”数据分表'!$G$2,0,AJ2&lt;'“主要目标”数据分表'!$G$2,-1)</f>
        <v>0</v>
      </c>
    </row>
    <row r="3" spans="1:49" ht="14.4" x14ac:dyDescent="0.25">
      <c r="A3" s="2">
        <v>1</v>
      </c>
      <c r="B3" s="2" t="s">
        <v>8</v>
      </c>
      <c r="C3" s="2">
        <v>2017</v>
      </c>
      <c r="D3" s="2">
        <v>7088</v>
      </c>
      <c r="E3" s="19">
        <v>7623.3830489121301</v>
      </c>
      <c r="F3" s="2">
        <v>28014.94</v>
      </c>
      <c r="G3" s="3">
        <v>0.25300785937788911</v>
      </c>
      <c r="H3" s="2">
        <f>(G3-G2)/G2</f>
        <v>-6.1082603239445518E-2</v>
      </c>
      <c r="I3" s="16">
        <v>0.36853607721180265</v>
      </c>
      <c r="J3" s="2">
        <f>(I3-I2)/I2</f>
        <v>3.0092858372401141E-2</v>
      </c>
      <c r="K3">
        <v>0.2721184856691512</v>
      </c>
      <c r="L3">
        <f>(K3-K2)/K2</f>
        <v>-5.7783962510072978E-2</v>
      </c>
      <c r="M3" s="2">
        <v>0</v>
      </c>
      <c r="N3" s="2">
        <v>0</v>
      </c>
      <c r="O3" s="4">
        <v>1</v>
      </c>
      <c r="P3">
        <v>0.75759066304852885</v>
      </c>
      <c r="Q3">
        <v>0.49120234604105573</v>
      </c>
      <c r="R3">
        <v>0.19192210119629469</v>
      </c>
      <c r="S3">
        <v>1.1000000000000001</v>
      </c>
      <c r="T3">
        <v>-2.999999999999994E-2</v>
      </c>
      <c r="U3">
        <v>0.5178571428571429</v>
      </c>
      <c r="V3">
        <v>0.243801652892562</v>
      </c>
      <c r="W3">
        <v>0.8571428571428571</v>
      </c>
      <c r="X3">
        <v>0</v>
      </c>
      <c r="Y3" s="23">
        <v>0.35300316122233916</v>
      </c>
      <c r="Z3" s="23">
        <v>0.13763136932874845</v>
      </c>
      <c r="AA3" s="23">
        <v>0.31428571428571433</v>
      </c>
      <c r="AB3" s="23">
        <v>-1.7441860465116244E-2</v>
      </c>
      <c r="AC3" s="23">
        <v>0.41857142857142871</v>
      </c>
      <c r="AD3" s="23">
        <v>0.2606370611485701</v>
      </c>
      <c r="AE3" s="23">
        <v>1</v>
      </c>
      <c r="AF3">
        <v>0.14400000000000002</v>
      </c>
      <c r="AG3">
        <v>0.14000000000000001</v>
      </c>
      <c r="AH3">
        <v>0.18</v>
      </c>
      <c r="AI3">
        <v>0.25</v>
      </c>
      <c r="AJ3">
        <v>0.65</v>
      </c>
      <c r="AK3">
        <v>0.72000000000000008</v>
      </c>
      <c r="AL3">
        <v>1.037037037037037</v>
      </c>
      <c r="AM3">
        <v>1</v>
      </c>
      <c r="AN3">
        <v>1</v>
      </c>
      <c r="AO3">
        <v>1</v>
      </c>
      <c r="AP3">
        <f t="shared" ref="AP3:AP66" si="0">AVERAGE(AK3,AN3)</f>
        <v>0.8600000000000001</v>
      </c>
      <c r="AQ3">
        <f t="shared" ref="AQ3:AQ66" si="1">AVERAGE(AL3)</f>
        <v>1.037037037037037</v>
      </c>
      <c r="AR3">
        <f t="shared" ref="AR3:AR66" si="2">AVERAGE(AM3,AO3)</f>
        <v>1</v>
      </c>
      <c r="AS3" cm="1">
        <f t="array" ref="AS3">_xlfn.IFS(AF3&gt;'“主要目标”数据分表'!$C$2,1,AF3='“主要目标”数据分表'!$C$2,0,AF3&lt;'“主要目标”数据分表'!$C$2,-1)</f>
        <v>-1</v>
      </c>
      <c r="AT3" cm="1">
        <f t="array" ref="AT3">_xlfn.IFS(AG3&gt;'“主要目标”数据分表'!$D$2,1,AG3='“主要目标”数据分表'!$D$2,0,AG3&lt;'“主要目标”数据分表'!$D$2,-1)</f>
        <v>1</v>
      </c>
      <c r="AU3" cm="1">
        <f t="array" ref="AU3">_xlfn.IFS(AH3&gt;'“主要目标”数据分表'!$E$2,1,AH3='“主要目标”数据分表'!$E$2,0,AH3&lt;'“主要目标”数据分表'!$E$2,-1)</f>
        <v>0</v>
      </c>
      <c r="AV3" cm="1">
        <f t="array" ref="AV3">_xlfn.IFS(AI3&gt;'“主要目标”数据分表'!$F$2,1,AI3='“主要目标”数据分表'!$F$2,0,AI3&lt;'“主要目标”数据分表'!$F$2,-1)</f>
        <v>0</v>
      </c>
      <c r="AW3" cm="1">
        <f t="array" ref="AW3">_xlfn.IFS(AJ3&gt;'“主要目标”数据分表'!$G$2,1,AJ3='“主要目标”数据分表'!$G$2,0,AJ3&lt;'“主要目标”数据分表'!$G$2,-1)</f>
        <v>0</v>
      </c>
    </row>
    <row r="4" spans="1:49" ht="14.4" x14ac:dyDescent="0.25">
      <c r="A4" s="2">
        <v>1</v>
      </c>
      <c r="B4" s="2" t="s">
        <v>8</v>
      </c>
      <c r="C4" s="2">
        <v>2018</v>
      </c>
      <c r="D4" s="2">
        <v>7270</v>
      </c>
      <c r="E4" s="19">
        <v>7770.4186717307803</v>
      </c>
      <c r="F4" s="2">
        <v>30319.98</v>
      </c>
      <c r="G4" s="3">
        <v>0.23977588375717926</v>
      </c>
      <c r="H4" s="2">
        <f t="shared" ref="H4:H9" si="3">(G4-G3)/G3</f>
        <v>-5.2298674251643515E-2</v>
      </c>
      <c r="I4" s="16">
        <v>0.38943710048553515</v>
      </c>
      <c r="J4" s="2">
        <f t="shared" ref="J4:J8" si="4">(I4-I3)/I3</f>
        <v>5.6713642343678608E-2</v>
      </c>
      <c r="K4">
        <v>0.25628046825000478</v>
      </c>
      <c r="L4">
        <f t="shared" ref="L4:L67" si="5">(K4-K3)/K3</f>
        <v>-5.8202651614057188E-2</v>
      </c>
      <c r="M4" s="2">
        <v>0</v>
      </c>
      <c r="N4" s="2">
        <v>0</v>
      </c>
      <c r="O4" s="4">
        <v>1</v>
      </c>
      <c r="P4">
        <v>0.75759066304852885</v>
      </c>
      <c r="Q4">
        <v>0.49120234604105573</v>
      </c>
      <c r="R4">
        <v>0.19192210119629469</v>
      </c>
      <c r="S4">
        <v>1.1000000000000001</v>
      </c>
      <c r="T4">
        <v>-2.999999999999994E-2</v>
      </c>
      <c r="U4">
        <v>0.5178571428571429</v>
      </c>
      <c r="V4">
        <v>0.243801652892562</v>
      </c>
      <c r="W4">
        <v>0.8571428571428571</v>
      </c>
      <c r="X4">
        <v>0</v>
      </c>
      <c r="Y4" s="23">
        <v>0.35300316122233916</v>
      </c>
      <c r="Z4" s="23">
        <v>0.13763136932874845</v>
      </c>
      <c r="AA4" s="23">
        <v>0.31428571428571433</v>
      </c>
      <c r="AB4" s="23">
        <v>-1.7441860465116244E-2</v>
      </c>
      <c r="AC4" s="23">
        <v>0.41857142857142871</v>
      </c>
      <c r="AD4" s="23">
        <v>0.2606370611485701</v>
      </c>
      <c r="AE4" s="23">
        <v>1</v>
      </c>
      <c r="AF4">
        <v>0.14400000000000002</v>
      </c>
      <c r="AG4">
        <v>0.14000000000000001</v>
      </c>
      <c r="AH4">
        <v>0.18</v>
      </c>
      <c r="AI4">
        <v>0.25</v>
      </c>
      <c r="AJ4">
        <v>0.65</v>
      </c>
      <c r="AK4">
        <v>0.72000000000000008</v>
      </c>
      <c r="AL4">
        <v>1.037037037037037</v>
      </c>
      <c r="AM4">
        <v>1</v>
      </c>
      <c r="AN4">
        <v>1</v>
      </c>
      <c r="AO4">
        <v>1</v>
      </c>
      <c r="AP4">
        <f t="shared" si="0"/>
        <v>0.8600000000000001</v>
      </c>
      <c r="AQ4">
        <f t="shared" si="1"/>
        <v>1.037037037037037</v>
      </c>
      <c r="AR4">
        <f t="shared" si="2"/>
        <v>1</v>
      </c>
      <c r="AS4" cm="1">
        <f t="array" ref="AS4">_xlfn.IFS(AF4&gt;'“主要目标”数据分表'!$C$2,1,AF4='“主要目标”数据分表'!$C$2,0,AF4&lt;'“主要目标”数据分表'!$C$2,-1)</f>
        <v>-1</v>
      </c>
      <c r="AT4" cm="1">
        <f t="array" ref="AT4">_xlfn.IFS(AG4&gt;'“主要目标”数据分表'!$D$2,1,AG4='“主要目标”数据分表'!$D$2,0,AG4&lt;'“主要目标”数据分表'!$D$2,-1)</f>
        <v>1</v>
      </c>
      <c r="AU4" cm="1">
        <f t="array" ref="AU4">_xlfn.IFS(AH4&gt;'“主要目标”数据分表'!$E$2,1,AH4='“主要目标”数据分表'!$E$2,0,AH4&lt;'“主要目标”数据分表'!$E$2,-1)</f>
        <v>0</v>
      </c>
      <c r="AV4" cm="1">
        <f t="array" ref="AV4">_xlfn.IFS(AI4&gt;'“主要目标”数据分表'!$F$2,1,AI4='“主要目标”数据分表'!$F$2,0,AI4&lt;'“主要目标”数据分表'!$F$2,-1)</f>
        <v>0</v>
      </c>
      <c r="AW4" cm="1">
        <f t="array" ref="AW4">_xlfn.IFS(AJ4&gt;'“主要目标”数据分表'!$G$2,1,AJ4='“主要目标”数据分表'!$G$2,0,AJ4&lt;'“主要目标”数据分表'!$G$2,-1)</f>
        <v>0</v>
      </c>
    </row>
    <row r="5" spans="1:49" ht="14.4" x14ac:dyDescent="0.25">
      <c r="A5" s="2">
        <v>1</v>
      </c>
      <c r="B5" s="2" t="s">
        <v>8</v>
      </c>
      <c r="C5" s="2">
        <v>2019</v>
      </c>
      <c r="D5" s="2">
        <v>7360</v>
      </c>
      <c r="E5" s="19">
        <v>7804.4413078078805</v>
      </c>
      <c r="F5" s="2">
        <v>35371.279999999999</v>
      </c>
      <c r="G5" s="3">
        <v>0.20807841842308222</v>
      </c>
      <c r="H5" s="2">
        <f t="shared" si="3"/>
        <v>-0.13219621939209292</v>
      </c>
      <c r="I5" s="16">
        <v>0.3937850751222417</v>
      </c>
      <c r="J5" s="2">
        <f t="shared" si="4"/>
        <v>1.116476738165333E-2</v>
      </c>
      <c r="K5">
        <v>0.22064345163103741</v>
      </c>
      <c r="L5">
        <f t="shared" si="5"/>
        <v>-0.13905475068901083</v>
      </c>
      <c r="M5" s="2">
        <v>0</v>
      </c>
      <c r="N5" s="2">
        <v>0</v>
      </c>
      <c r="O5" s="4">
        <v>1</v>
      </c>
      <c r="P5">
        <v>0.75759066304852885</v>
      </c>
      <c r="Q5">
        <v>0.49120234604105573</v>
      </c>
      <c r="R5">
        <v>0.19192210119629469</v>
      </c>
      <c r="S5">
        <v>1.1000000000000001</v>
      </c>
      <c r="T5">
        <v>-2.999999999999994E-2</v>
      </c>
      <c r="U5">
        <v>0.5178571428571429</v>
      </c>
      <c r="V5">
        <v>0.243801652892562</v>
      </c>
      <c r="W5">
        <v>0.8571428571428571</v>
      </c>
      <c r="X5">
        <v>0</v>
      </c>
      <c r="Y5" s="23">
        <v>0.35300316122233916</v>
      </c>
      <c r="Z5" s="23">
        <v>0.13763136932874845</v>
      </c>
      <c r="AA5" s="23">
        <v>0.31428571428571433</v>
      </c>
      <c r="AB5" s="23">
        <v>-1.7441860465116244E-2</v>
      </c>
      <c r="AC5" s="23">
        <v>0.41857142857142871</v>
      </c>
      <c r="AD5" s="23">
        <v>0.2606370611485701</v>
      </c>
      <c r="AE5" s="23">
        <v>1</v>
      </c>
      <c r="AF5">
        <v>0.14400000000000002</v>
      </c>
      <c r="AG5">
        <v>0.14000000000000001</v>
      </c>
      <c r="AH5">
        <v>0.18</v>
      </c>
      <c r="AI5">
        <v>0.25</v>
      </c>
      <c r="AJ5">
        <v>0.65</v>
      </c>
      <c r="AK5">
        <v>0.72000000000000008</v>
      </c>
      <c r="AL5">
        <v>1.037037037037037</v>
      </c>
      <c r="AM5">
        <v>1</v>
      </c>
      <c r="AN5">
        <v>1</v>
      </c>
      <c r="AO5">
        <v>1</v>
      </c>
      <c r="AP5">
        <f t="shared" si="0"/>
        <v>0.8600000000000001</v>
      </c>
      <c r="AQ5">
        <f t="shared" si="1"/>
        <v>1.037037037037037</v>
      </c>
      <c r="AR5">
        <f t="shared" si="2"/>
        <v>1</v>
      </c>
      <c r="AS5" cm="1">
        <f t="array" ref="AS5">_xlfn.IFS(AF5&gt;'“主要目标”数据分表'!$C$2,1,AF5='“主要目标”数据分表'!$C$2,0,AF5&lt;'“主要目标”数据分表'!$C$2,-1)</f>
        <v>-1</v>
      </c>
      <c r="AT5" cm="1">
        <f t="array" ref="AT5">_xlfn.IFS(AG5&gt;'“主要目标”数据分表'!$D$2,1,AG5='“主要目标”数据分表'!$D$2,0,AG5&lt;'“主要目标”数据分表'!$D$2,-1)</f>
        <v>1</v>
      </c>
      <c r="AU5" cm="1">
        <f t="array" ref="AU5">_xlfn.IFS(AH5&gt;'“主要目标”数据分表'!$E$2,1,AH5='“主要目标”数据分表'!$E$2,0,AH5&lt;'“主要目标”数据分表'!$E$2,-1)</f>
        <v>0</v>
      </c>
      <c r="AV5" cm="1">
        <f t="array" ref="AV5">_xlfn.IFS(AI5&gt;'“主要目标”数据分表'!$F$2,1,AI5='“主要目标”数据分表'!$F$2,0,AI5&lt;'“主要目标”数据分表'!$F$2,-1)</f>
        <v>0</v>
      </c>
      <c r="AW5" cm="1">
        <f t="array" ref="AW5">_xlfn.IFS(AJ5&gt;'“主要目标”数据分表'!$G$2,1,AJ5='“主要目标”数据分表'!$G$2,0,AJ5&lt;'“主要目标”数据分表'!$G$2,-1)</f>
        <v>0</v>
      </c>
    </row>
    <row r="6" spans="1:49" ht="14.4" x14ac:dyDescent="0.25">
      <c r="A6" s="2">
        <v>1</v>
      </c>
      <c r="B6" s="2" t="s">
        <v>8</v>
      </c>
      <c r="C6" s="2">
        <v>2020</v>
      </c>
      <c r="D6" s="2">
        <v>6762.1</v>
      </c>
      <c r="E6" s="19">
        <v>7763.01371046851</v>
      </c>
      <c r="F6" s="2">
        <v>36102.550000000003</v>
      </c>
      <c r="G6" s="3">
        <v>0.18730255896051665</v>
      </c>
      <c r="H6" s="2">
        <f t="shared" si="3"/>
        <v>-9.9846296506937035E-2</v>
      </c>
      <c r="I6" s="16">
        <v>0.45559969112697413</v>
      </c>
      <c r="J6" s="2">
        <f t="shared" si="4"/>
        <v>0.15697551763622192</v>
      </c>
      <c r="K6">
        <v>0.21502674216830969</v>
      </c>
      <c r="L6">
        <f t="shared" si="5"/>
        <v>-2.5456044225232857E-2</v>
      </c>
      <c r="M6" s="2">
        <v>0</v>
      </c>
      <c r="N6" s="2">
        <v>0</v>
      </c>
      <c r="O6" s="4">
        <v>1</v>
      </c>
      <c r="P6">
        <v>0.75759066304852885</v>
      </c>
      <c r="Q6">
        <v>0.49120234604105573</v>
      </c>
      <c r="R6">
        <v>0.19192210119629469</v>
      </c>
      <c r="S6">
        <v>1.1000000000000001</v>
      </c>
      <c r="T6">
        <v>-2.999999999999994E-2</v>
      </c>
      <c r="U6">
        <v>0.5178571428571429</v>
      </c>
      <c r="V6">
        <v>0.243801652892562</v>
      </c>
      <c r="W6">
        <v>0.8571428571428571</v>
      </c>
      <c r="X6">
        <v>0</v>
      </c>
      <c r="Y6" s="23">
        <v>0.35300316122233916</v>
      </c>
      <c r="Z6" s="23">
        <v>0.13763136932874845</v>
      </c>
      <c r="AA6" s="23">
        <v>0.31428571428571433</v>
      </c>
      <c r="AB6" s="23">
        <v>-1.7441860465116244E-2</v>
      </c>
      <c r="AC6" s="23">
        <v>0.41857142857142871</v>
      </c>
      <c r="AD6" s="23">
        <v>0.2606370611485701</v>
      </c>
      <c r="AE6" s="23">
        <v>1</v>
      </c>
      <c r="AF6">
        <v>0.14400000000000002</v>
      </c>
      <c r="AG6">
        <v>0.14000000000000001</v>
      </c>
      <c r="AH6">
        <v>0.18</v>
      </c>
      <c r="AI6">
        <v>0.25</v>
      </c>
      <c r="AJ6">
        <v>0.65</v>
      </c>
      <c r="AK6">
        <v>0.72000000000000008</v>
      </c>
      <c r="AL6">
        <v>1.037037037037037</v>
      </c>
      <c r="AM6">
        <v>1</v>
      </c>
      <c r="AN6">
        <v>1</v>
      </c>
      <c r="AO6">
        <v>1</v>
      </c>
      <c r="AP6">
        <f t="shared" si="0"/>
        <v>0.8600000000000001</v>
      </c>
      <c r="AQ6">
        <f t="shared" si="1"/>
        <v>1.037037037037037</v>
      </c>
      <c r="AR6">
        <f t="shared" si="2"/>
        <v>1</v>
      </c>
      <c r="AS6" cm="1">
        <f t="array" ref="AS6">_xlfn.IFS(AF6&gt;'“主要目标”数据分表'!$C$2,1,AF6='“主要目标”数据分表'!$C$2,0,AF6&lt;'“主要目标”数据分表'!$C$2,-1)</f>
        <v>-1</v>
      </c>
      <c r="AT6" cm="1">
        <f t="array" ref="AT6">_xlfn.IFS(AG6&gt;'“主要目标”数据分表'!$D$2,1,AG6='“主要目标”数据分表'!$D$2,0,AG6&lt;'“主要目标”数据分表'!$D$2,-1)</f>
        <v>1</v>
      </c>
      <c r="AU6" cm="1">
        <f t="array" ref="AU6">_xlfn.IFS(AH6&gt;'“主要目标”数据分表'!$E$2,1,AH6='“主要目标”数据分表'!$E$2,0,AH6&lt;'“主要目标”数据分表'!$E$2,-1)</f>
        <v>0</v>
      </c>
      <c r="AV6" cm="1">
        <f t="array" ref="AV6">_xlfn.IFS(AI6&gt;'“主要目标”数据分表'!$F$2,1,AI6='“主要目标”数据分表'!$F$2,0,AI6&lt;'“主要目标”数据分表'!$F$2,-1)</f>
        <v>0</v>
      </c>
      <c r="AW6" cm="1">
        <f t="array" ref="AW6">_xlfn.IFS(AJ6&gt;'“主要目标”数据分表'!$G$2,1,AJ6='“主要目标”数据分表'!$G$2,0,AJ6&lt;'“主要目标”数据分表'!$G$2,-1)</f>
        <v>0</v>
      </c>
    </row>
    <row r="7" spans="1:49" ht="14.4" x14ac:dyDescent="0.25">
      <c r="A7" s="2">
        <v>1</v>
      </c>
      <c r="B7" s="2" t="s">
        <v>8</v>
      </c>
      <c r="C7" s="2">
        <v>2021</v>
      </c>
      <c r="D7" s="2">
        <v>7103.62</v>
      </c>
      <c r="E7" s="19">
        <v>8010.2176492781591</v>
      </c>
      <c r="F7" s="2">
        <v>40269.550000000003</v>
      </c>
      <c r="G7" s="3">
        <v>0.17640177255519368</v>
      </c>
      <c r="H7" s="2">
        <f t="shared" si="3"/>
        <v>-5.8198811942664644E-2</v>
      </c>
      <c r="I7" s="16">
        <v>0.44803090590260669</v>
      </c>
      <c r="J7" s="2">
        <f t="shared" si="4"/>
        <v>-1.6612797093091183E-2</v>
      </c>
      <c r="K7">
        <v>0.1989150027571244</v>
      </c>
      <c r="L7">
        <f t="shared" si="5"/>
        <v>-7.4929003010118692E-2</v>
      </c>
      <c r="M7" s="2">
        <v>0</v>
      </c>
      <c r="N7" s="2">
        <v>0</v>
      </c>
      <c r="O7" s="4">
        <v>1</v>
      </c>
      <c r="P7">
        <v>0.75759066304852885</v>
      </c>
      <c r="Q7">
        <v>0.49120234604105573</v>
      </c>
      <c r="R7">
        <v>0.19192210119629469</v>
      </c>
      <c r="S7">
        <v>1.1000000000000001</v>
      </c>
      <c r="T7">
        <v>-2.999999999999994E-2</v>
      </c>
      <c r="U7">
        <v>0.5178571428571429</v>
      </c>
      <c r="V7">
        <v>0.243801652892562</v>
      </c>
      <c r="W7">
        <v>0.8571428571428571</v>
      </c>
      <c r="X7">
        <v>0</v>
      </c>
      <c r="Y7" s="23">
        <v>0.35300316122233916</v>
      </c>
      <c r="Z7" s="23">
        <v>0.13763136932874845</v>
      </c>
      <c r="AA7" s="23">
        <v>0.31428571428571433</v>
      </c>
      <c r="AB7" s="23">
        <v>-1.7441860465116244E-2</v>
      </c>
      <c r="AC7" s="23">
        <v>0.41857142857142871</v>
      </c>
      <c r="AD7" s="23">
        <v>0.2606370611485701</v>
      </c>
      <c r="AE7" s="23">
        <v>1</v>
      </c>
      <c r="AF7">
        <v>0.14400000000000002</v>
      </c>
      <c r="AG7">
        <v>0.14000000000000001</v>
      </c>
      <c r="AH7">
        <v>0.18</v>
      </c>
      <c r="AI7">
        <v>0.25</v>
      </c>
      <c r="AJ7">
        <v>0.65</v>
      </c>
      <c r="AK7">
        <v>0.72000000000000008</v>
      </c>
      <c r="AL7">
        <v>1.037037037037037</v>
      </c>
      <c r="AM7">
        <v>1</v>
      </c>
      <c r="AN7">
        <v>1</v>
      </c>
      <c r="AO7">
        <v>1</v>
      </c>
      <c r="AP7">
        <f t="shared" si="0"/>
        <v>0.8600000000000001</v>
      </c>
      <c r="AQ7">
        <f t="shared" si="1"/>
        <v>1.037037037037037</v>
      </c>
      <c r="AR7">
        <f t="shared" si="2"/>
        <v>1</v>
      </c>
      <c r="AS7" cm="1">
        <f t="array" ref="AS7">_xlfn.IFS(AF7&gt;'“主要目标”数据分表'!$C$2,1,AF7='“主要目标”数据分表'!$C$2,0,AF7&lt;'“主要目标”数据分表'!$C$2,-1)</f>
        <v>-1</v>
      </c>
      <c r="AT7" cm="1">
        <f t="array" ref="AT7">_xlfn.IFS(AG7&gt;'“主要目标”数据分表'!$D$2,1,AG7='“主要目标”数据分表'!$D$2,0,AG7&lt;'“主要目标”数据分表'!$D$2,-1)</f>
        <v>1</v>
      </c>
      <c r="AU7" cm="1">
        <f t="array" ref="AU7">_xlfn.IFS(AH7&gt;'“主要目标”数据分表'!$E$2,1,AH7='“主要目标”数据分表'!$E$2,0,AH7&lt;'“主要目标”数据分表'!$E$2,-1)</f>
        <v>0</v>
      </c>
      <c r="AV7" cm="1">
        <f t="array" ref="AV7">_xlfn.IFS(AI7&gt;'“主要目标”数据分表'!$F$2,1,AI7='“主要目标”数据分表'!$F$2,0,AI7&lt;'“主要目标”数据分表'!$F$2,-1)</f>
        <v>0</v>
      </c>
      <c r="AW7" cm="1">
        <f t="array" ref="AW7">_xlfn.IFS(AJ7&gt;'“主要目标”数据分表'!$G$2,1,AJ7='“主要目标”数据分表'!$G$2,0,AJ7&lt;'“主要目标”数据分表'!$G$2,-1)</f>
        <v>0</v>
      </c>
    </row>
    <row r="8" spans="1:49" ht="14.4" x14ac:dyDescent="0.25">
      <c r="A8" s="2">
        <v>1</v>
      </c>
      <c r="B8" s="2" t="s">
        <v>8</v>
      </c>
      <c r="C8" s="2">
        <v>2022</v>
      </c>
      <c r="D8" s="2">
        <v>6896.89</v>
      </c>
      <c r="E8" s="19">
        <v>7715.7245185721295</v>
      </c>
      <c r="F8" s="2">
        <v>41610.9</v>
      </c>
      <c r="G8" s="3">
        <v>0.16574719604718957</v>
      </c>
      <c r="H8" s="2">
        <f t="shared" si="3"/>
        <v>-6.0399486658618697E-2</v>
      </c>
      <c r="I8" s="16">
        <v>0.49718447849820774</v>
      </c>
      <c r="J8" s="2">
        <f t="shared" si="4"/>
        <v>0.10971022745981299</v>
      </c>
      <c r="K8">
        <v>0.18542556201793592</v>
      </c>
      <c r="L8">
        <f t="shared" si="5"/>
        <v>-6.7815099676815788E-2</v>
      </c>
      <c r="M8" s="2">
        <v>1</v>
      </c>
      <c r="N8" s="2">
        <v>0</v>
      </c>
      <c r="O8" s="4">
        <v>1</v>
      </c>
      <c r="P8">
        <v>0.75759066304852885</v>
      </c>
      <c r="Q8">
        <v>0.49120234604105573</v>
      </c>
      <c r="R8">
        <v>0.19192210119629469</v>
      </c>
      <c r="S8">
        <v>1.1000000000000001</v>
      </c>
      <c r="T8">
        <v>-2.999999999999994E-2</v>
      </c>
      <c r="U8">
        <v>0.5178571428571429</v>
      </c>
      <c r="V8">
        <v>0.243801652892562</v>
      </c>
      <c r="W8">
        <v>0.8571428571428571</v>
      </c>
      <c r="X8">
        <v>0</v>
      </c>
      <c r="Y8" s="23">
        <v>0.35300316122233916</v>
      </c>
      <c r="Z8" s="23">
        <v>0.13763136932874845</v>
      </c>
      <c r="AA8" s="23">
        <v>0.31428571428571433</v>
      </c>
      <c r="AB8" s="23">
        <v>-1.7441860465116244E-2</v>
      </c>
      <c r="AC8" s="23">
        <v>0.41857142857142871</v>
      </c>
      <c r="AD8" s="23">
        <v>0.2606370611485701</v>
      </c>
      <c r="AE8" s="23">
        <v>1</v>
      </c>
      <c r="AF8">
        <v>0.14400000000000002</v>
      </c>
      <c r="AG8">
        <v>0.14000000000000001</v>
      </c>
      <c r="AH8">
        <v>0.18</v>
      </c>
      <c r="AI8">
        <v>0.25</v>
      </c>
      <c r="AJ8">
        <v>0.65</v>
      </c>
      <c r="AK8">
        <v>0.72000000000000008</v>
      </c>
      <c r="AL8">
        <v>1.037037037037037</v>
      </c>
      <c r="AM8">
        <v>1</v>
      </c>
      <c r="AN8">
        <v>1</v>
      </c>
      <c r="AO8">
        <v>1</v>
      </c>
      <c r="AP8">
        <f t="shared" si="0"/>
        <v>0.8600000000000001</v>
      </c>
      <c r="AQ8">
        <f t="shared" si="1"/>
        <v>1.037037037037037</v>
      </c>
      <c r="AR8">
        <f t="shared" si="2"/>
        <v>1</v>
      </c>
      <c r="AS8" cm="1">
        <f t="array" ref="AS8">_xlfn.IFS(AF8&gt;'“主要目标”数据分表'!$C$2,1,AF8='“主要目标”数据分表'!$C$2,0,AF8&lt;'“主要目标”数据分表'!$C$2,-1)</f>
        <v>-1</v>
      </c>
      <c r="AT8" cm="1">
        <f t="array" ref="AT8">_xlfn.IFS(AG8&gt;'“主要目标”数据分表'!$D$2,1,AG8='“主要目标”数据分表'!$D$2,0,AG8&lt;'“主要目标”数据分表'!$D$2,-1)</f>
        <v>1</v>
      </c>
      <c r="AU8" cm="1">
        <f t="array" ref="AU8">_xlfn.IFS(AH8&gt;'“主要目标”数据分表'!$E$2,1,AH8='“主要目标”数据分表'!$E$2,0,AH8&lt;'“主要目标”数据分表'!$E$2,-1)</f>
        <v>0</v>
      </c>
      <c r="AV8" cm="1">
        <f t="array" ref="AV8">_xlfn.IFS(AI8&gt;'“主要目标”数据分表'!$F$2,1,AI8='“主要目标”数据分表'!$F$2,0,AI8&lt;'“主要目标”数据分表'!$F$2,-1)</f>
        <v>0</v>
      </c>
      <c r="AW8" cm="1">
        <f t="array" ref="AW8">_xlfn.IFS(AJ8&gt;'“主要目标”数据分表'!$G$2,1,AJ8='“主要目标”数据分表'!$G$2,0,AJ8&lt;'“主要目标”数据分表'!$G$2,-1)</f>
        <v>0</v>
      </c>
    </row>
    <row r="9" spans="1:49" ht="14.4" x14ac:dyDescent="0.25">
      <c r="A9" s="2">
        <v>1</v>
      </c>
      <c r="B9" s="2" t="s">
        <v>8</v>
      </c>
      <c r="C9" s="2">
        <v>2023</v>
      </c>
      <c r="D9" s="2">
        <v>7571.35</v>
      </c>
      <c r="E9" s="19">
        <v>8227.26599320286</v>
      </c>
      <c r="F9" s="2">
        <v>43760.7</v>
      </c>
      <c r="G9" s="3">
        <v>0.17301711352880556</v>
      </c>
      <c r="H9" s="2">
        <f t="shared" si="3"/>
        <v>4.3861480948046802E-2</v>
      </c>
      <c r="K9">
        <v>0.18800581328001748</v>
      </c>
      <c r="L9">
        <f t="shared" si="5"/>
        <v>1.3915294277668E-2</v>
      </c>
      <c r="M9" s="2">
        <v>1</v>
      </c>
      <c r="N9" s="2">
        <v>1</v>
      </c>
      <c r="O9" s="4">
        <v>1</v>
      </c>
      <c r="P9">
        <v>0.75759066304852885</v>
      </c>
      <c r="Q9">
        <v>0.49120234604105573</v>
      </c>
      <c r="R9">
        <v>0.19192210119629469</v>
      </c>
      <c r="S9">
        <v>1.1000000000000001</v>
      </c>
      <c r="T9">
        <v>-2.999999999999994E-2</v>
      </c>
      <c r="U9">
        <v>0.5178571428571429</v>
      </c>
      <c r="V9">
        <v>0.243801652892562</v>
      </c>
      <c r="W9">
        <v>0.8571428571428571</v>
      </c>
      <c r="X9">
        <v>0</v>
      </c>
      <c r="Y9" s="23">
        <v>0.35300316122233916</v>
      </c>
      <c r="Z9" s="23">
        <v>0.13763136932874845</v>
      </c>
      <c r="AA9" s="23">
        <v>0.31428571428571433</v>
      </c>
      <c r="AB9" s="23">
        <v>-1.7441860465116244E-2</v>
      </c>
      <c r="AC9" s="23">
        <v>0.41857142857142871</v>
      </c>
      <c r="AD9" s="23">
        <v>0.2606370611485701</v>
      </c>
      <c r="AE9" s="23">
        <v>1</v>
      </c>
      <c r="AF9">
        <v>0.14400000000000002</v>
      </c>
      <c r="AG9">
        <v>0.14000000000000001</v>
      </c>
      <c r="AH9">
        <v>0.18</v>
      </c>
      <c r="AI9">
        <v>0.25</v>
      </c>
      <c r="AJ9">
        <v>0.65</v>
      </c>
      <c r="AK9">
        <v>0.72000000000000008</v>
      </c>
      <c r="AL9">
        <v>1.037037037037037</v>
      </c>
      <c r="AM9">
        <v>1</v>
      </c>
      <c r="AN9">
        <v>1</v>
      </c>
      <c r="AO9">
        <v>1</v>
      </c>
      <c r="AP9">
        <f t="shared" si="0"/>
        <v>0.8600000000000001</v>
      </c>
      <c r="AQ9">
        <f t="shared" si="1"/>
        <v>1.037037037037037</v>
      </c>
      <c r="AR9">
        <f t="shared" si="2"/>
        <v>1</v>
      </c>
      <c r="AS9" cm="1">
        <f t="array" ref="AS9">_xlfn.IFS(AF9&gt;'“主要目标”数据分表'!$C$2,1,AF9='“主要目标”数据分表'!$C$2,0,AF9&lt;'“主要目标”数据分表'!$C$2,-1)</f>
        <v>-1</v>
      </c>
      <c r="AT9" cm="1">
        <f t="array" ref="AT9">_xlfn.IFS(AG9&gt;'“主要目标”数据分表'!$D$2,1,AG9='“主要目标”数据分表'!$D$2,0,AG9&lt;'“主要目标”数据分表'!$D$2,-1)</f>
        <v>1</v>
      </c>
      <c r="AU9" cm="1">
        <f t="array" ref="AU9">_xlfn.IFS(AH9&gt;'“主要目标”数据分表'!$E$2,1,AH9='“主要目标”数据分表'!$E$2,0,AH9&lt;'“主要目标”数据分表'!$E$2,-1)</f>
        <v>0</v>
      </c>
      <c r="AV9" cm="1">
        <f t="array" ref="AV9">_xlfn.IFS(AI9&gt;'“主要目标”数据分表'!$F$2,1,AI9='“主要目标”数据分表'!$F$2,0,AI9&lt;'“主要目标”数据分表'!$F$2,-1)</f>
        <v>0</v>
      </c>
      <c r="AW9" cm="1">
        <f t="array" ref="AW9">_xlfn.IFS(AJ9&gt;'“主要目标”数据分表'!$G$2,1,AJ9='“主要目标”数据分表'!$G$2,0,AJ9&lt;'“主要目标”数据分表'!$G$2,-1)</f>
        <v>0</v>
      </c>
    </row>
    <row r="10" spans="1:49" ht="14.4" x14ac:dyDescent="0.25">
      <c r="A10" s="2">
        <v>2</v>
      </c>
      <c r="B10" s="2" t="s">
        <v>9</v>
      </c>
      <c r="C10" s="2">
        <v>2016</v>
      </c>
      <c r="D10" s="2">
        <v>8078</v>
      </c>
      <c r="E10" s="19">
        <v>12475.772839838799</v>
      </c>
      <c r="F10" s="2">
        <v>17885.39</v>
      </c>
      <c r="G10" s="3">
        <v>0.45165355633844162</v>
      </c>
      <c r="H10" s="2"/>
      <c r="I10" s="16">
        <v>0.31494388428958991</v>
      </c>
      <c r="K10">
        <v>0.69753988254317068</v>
      </c>
      <c r="L10"/>
      <c r="M10" s="2">
        <v>0</v>
      </c>
      <c r="N10" s="2">
        <v>0</v>
      </c>
      <c r="O10" s="4">
        <v>1</v>
      </c>
      <c r="P10">
        <v>0.83038969368529114</v>
      </c>
      <c r="Q10">
        <v>1.3914956011730211</v>
      </c>
      <c r="R10">
        <v>1.3944648093841641</v>
      </c>
      <c r="S10">
        <v>2.5</v>
      </c>
      <c r="T10">
        <v>1.72</v>
      </c>
      <c r="U10">
        <v>1.237201365187713</v>
      </c>
      <c r="V10">
        <v>0.79904306220095689</v>
      </c>
      <c r="W10">
        <v>0.33505154639175261</v>
      </c>
      <c r="X10">
        <f t="shared" ref="X10" si="6">(P10-MIN(P:P))/(MAX(P:P)-MIN(P:P))</f>
        <v>0.30031447143131257</v>
      </c>
      <c r="Y10" s="23" cm="1">
        <f t="array" ref="Y10">Q10/MAX(ABS(Q$2:Q$26))</f>
        <v>1</v>
      </c>
      <c r="Z10" s="23" cm="1">
        <f t="array" ref="Z10">R10/MAX(ABS(R$2:R$26))</f>
        <v>1</v>
      </c>
      <c r="AA10" s="23" cm="1">
        <f t="array" ref="AA10">S10/MAX(ABS(S$2:S$26))</f>
        <v>0.86206896551724144</v>
      </c>
      <c r="AB10" s="23" cm="1">
        <f t="array" ref="AB10">T10/MAX(ABS(T$2:T$26))</f>
        <v>1</v>
      </c>
      <c r="AC10" s="23" cm="1">
        <f t="array" ref="AC10">U10/MAX(ABS(U$2:U$26))</f>
        <v>1</v>
      </c>
      <c r="AD10" s="23" cm="1">
        <f t="array" ref="AD10">V10/MAX(ABS(V$2:V$26))</f>
        <v>1</v>
      </c>
      <c r="AE10" s="23" cm="1">
        <f t="array" ref="AE10">W10/MAX(ABS(W$2:W$26))</f>
        <v>0.39089347079037806</v>
      </c>
      <c r="AF10">
        <v>0.11699999999999999</v>
      </c>
      <c r="AG10">
        <v>0.13500000000000001</v>
      </c>
      <c r="AH10">
        <v>0.18</v>
      </c>
      <c r="AI10">
        <v>0.16</v>
      </c>
      <c r="AJ10">
        <v>0.65</v>
      </c>
      <c r="AK10">
        <v>0.58499999999999996</v>
      </c>
      <c r="AL10">
        <v>1</v>
      </c>
      <c r="AM10">
        <v>1</v>
      </c>
      <c r="AN10">
        <v>0.64</v>
      </c>
      <c r="AO10">
        <v>1</v>
      </c>
      <c r="AP10">
        <f t="shared" si="0"/>
        <v>0.61250000000000004</v>
      </c>
      <c r="AQ10">
        <f t="shared" si="1"/>
        <v>1</v>
      </c>
      <c r="AR10">
        <f t="shared" si="2"/>
        <v>1</v>
      </c>
      <c r="AS10" cm="1">
        <f t="array" ref="AS10">_xlfn.IFS(AF10&gt;'“主要目标”数据分表'!$C$2,1,AF10='“主要目标”数据分表'!$C$2,0,AF10&lt;'“主要目标”数据分表'!$C$2,-1)</f>
        <v>-1</v>
      </c>
      <c r="AT10" cm="1">
        <f t="array" ref="AT10">_xlfn.IFS(AG10&gt;'“主要目标”数据分表'!$D$2,1,AG10='“主要目标”数据分表'!$D$2,0,AG10&lt;'“主要目标”数据分表'!$D$2,-1)</f>
        <v>0</v>
      </c>
      <c r="AU10" cm="1">
        <f t="array" ref="AU10">_xlfn.IFS(AH10&gt;'“主要目标”数据分表'!$E$2,1,AH10='“主要目标”数据分表'!$E$2,0,AH10&lt;'“主要目标”数据分表'!$E$2,-1)</f>
        <v>0</v>
      </c>
      <c r="AV10" cm="1">
        <f t="array" ref="AV10">_xlfn.IFS(AI10&gt;'“主要目标”数据分表'!$F$2,1,AI10='“主要目标”数据分表'!$F$2,0,AI10&lt;'“主要目标”数据分表'!$F$2,-1)</f>
        <v>-1</v>
      </c>
      <c r="AW10" cm="1">
        <f t="array" ref="AW10">_xlfn.IFS(AJ10&gt;'“主要目标”数据分表'!$G$2,1,AJ10='“主要目标”数据分表'!$G$2,0,AJ10&lt;'“主要目标”数据分表'!$G$2,-1)</f>
        <v>0</v>
      </c>
    </row>
    <row r="11" spans="1:49" ht="14.4" x14ac:dyDescent="0.25">
      <c r="A11" s="2">
        <v>2</v>
      </c>
      <c r="B11" s="2" t="s">
        <v>9</v>
      </c>
      <c r="C11" s="2">
        <v>2017</v>
      </c>
      <c r="D11" s="2">
        <v>7832</v>
      </c>
      <c r="E11" s="19">
        <v>12589.065230119499</v>
      </c>
      <c r="F11" s="2">
        <v>18549.189999999999</v>
      </c>
      <c r="G11" s="3">
        <v>0.42222867952724624</v>
      </c>
      <c r="H11" s="2">
        <f>(G11-G10)/G10</f>
        <v>-6.5149219790812785E-2</v>
      </c>
      <c r="I11" s="16">
        <v>0.33162626816748303</v>
      </c>
      <c r="J11" s="2">
        <f>(I11-I10)/I10</f>
        <v>5.2969385055763506E-2</v>
      </c>
      <c r="K11">
        <v>0.67868544287483712</v>
      </c>
      <c r="L11">
        <f t="shared" si="5"/>
        <v>-2.7029909171059702E-2</v>
      </c>
      <c r="M11" s="2">
        <v>0</v>
      </c>
      <c r="N11" s="2">
        <v>0</v>
      </c>
      <c r="O11" s="4">
        <v>1</v>
      </c>
      <c r="P11">
        <v>0.83038969368529114</v>
      </c>
      <c r="Q11">
        <v>1.3914956011730211</v>
      </c>
      <c r="R11">
        <v>1.3944648093841641</v>
      </c>
      <c r="S11">
        <v>2.5</v>
      </c>
      <c r="T11">
        <v>1.72</v>
      </c>
      <c r="U11">
        <v>1.237201365187713</v>
      </c>
      <c r="V11">
        <v>0.79904306220095689</v>
      </c>
      <c r="W11">
        <v>0.33505154639175261</v>
      </c>
      <c r="X11">
        <f t="shared" ref="X11:X17" si="7">(P11-MIN(P:P))/(MAX(P:P)-MIN(P:P))</f>
        <v>0.30031447143131257</v>
      </c>
      <c r="Y11" s="23" cm="1">
        <f t="array" ref="Y11">Q11/MAX(ABS(Q$2:Q$26))</f>
        <v>1</v>
      </c>
      <c r="Z11" s="23" cm="1">
        <f t="array" ref="Z11">R11/MAX(ABS(R$2:R$26))</f>
        <v>1</v>
      </c>
      <c r="AA11" s="23" cm="1">
        <f t="array" ref="AA11">S11/MAX(ABS(S$2:S$26))</f>
        <v>0.86206896551724144</v>
      </c>
      <c r="AB11" s="23" cm="1">
        <f t="array" ref="AB11">T11/MAX(ABS(T$2:T$26))</f>
        <v>1</v>
      </c>
      <c r="AC11" s="23" cm="1">
        <f t="array" ref="AC11">U11/MAX(ABS(U$2:U$26))</f>
        <v>1</v>
      </c>
      <c r="AD11" s="23" cm="1">
        <f t="array" ref="AD11">V11/MAX(ABS(V$2:V$26))</f>
        <v>1</v>
      </c>
      <c r="AE11" s="23" cm="1">
        <f t="array" ref="AE11">W11/MAX(ABS(W$2:W$26))</f>
        <v>0.39089347079037806</v>
      </c>
      <c r="AF11">
        <v>0.11699999999999999</v>
      </c>
      <c r="AG11">
        <v>0.13500000000000001</v>
      </c>
      <c r="AH11">
        <v>0.18</v>
      </c>
      <c r="AI11">
        <v>0.16</v>
      </c>
      <c r="AJ11">
        <v>0.65</v>
      </c>
      <c r="AK11">
        <v>0.58499999999999996</v>
      </c>
      <c r="AL11">
        <v>1</v>
      </c>
      <c r="AM11">
        <v>1</v>
      </c>
      <c r="AN11">
        <v>0.64</v>
      </c>
      <c r="AO11">
        <v>1</v>
      </c>
      <c r="AP11">
        <f t="shared" si="0"/>
        <v>0.61250000000000004</v>
      </c>
      <c r="AQ11">
        <f t="shared" si="1"/>
        <v>1</v>
      </c>
      <c r="AR11">
        <f t="shared" si="2"/>
        <v>1</v>
      </c>
      <c r="AS11" cm="1">
        <f t="array" ref="AS11">_xlfn.IFS(AF11&gt;'“主要目标”数据分表'!$C$2,1,AF11='“主要目标”数据分表'!$C$2,0,AF11&lt;'“主要目标”数据分表'!$C$2,-1)</f>
        <v>-1</v>
      </c>
      <c r="AT11" cm="1">
        <f t="array" ref="AT11">_xlfn.IFS(AG11&gt;'“主要目标”数据分表'!$D$2,1,AG11='“主要目标”数据分表'!$D$2,0,AG11&lt;'“主要目标”数据分表'!$D$2,-1)</f>
        <v>0</v>
      </c>
      <c r="AU11" cm="1">
        <f t="array" ref="AU11">_xlfn.IFS(AH11&gt;'“主要目标”数据分表'!$E$2,1,AH11='“主要目标”数据分表'!$E$2,0,AH11&lt;'“主要目标”数据分表'!$E$2,-1)</f>
        <v>0</v>
      </c>
      <c r="AV11" cm="1">
        <f t="array" ref="AV11">_xlfn.IFS(AI11&gt;'“主要目标”数据分表'!$F$2,1,AI11='“主要目标”数据分表'!$F$2,0,AI11&lt;'“主要目标”数据分表'!$F$2,-1)</f>
        <v>-1</v>
      </c>
      <c r="AW11" cm="1">
        <f t="array" ref="AW11">_xlfn.IFS(AJ11&gt;'“主要目标”数据分表'!$G$2,1,AJ11='“主要目标”数据分表'!$G$2,0,AJ11&lt;'“主要目标”数据分表'!$G$2,-1)</f>
        <v>0</v>
      </c>
    </row>
    <row r="12" spans="1:49" ht="14.4" x14ac:dyDescent="0.25">
      <c r="A12" s="2">
        <v>2</v>
      </c>
      <c r="B12" s="2" t="s">
        <v>9</v>
      </c>
      <c r="C12" s="2">
        <v>2018</v>
      </c>
      <c r="D12" s="2">
        <v>7973</v>
      </c>
      <c r="E12" s="19">
        <v>13632.0006172587</v>
      </c>
      <c r="F12" s="2">
        <v>18809.64</v>
      </c>
      <c r="G12" s="3">
        <v>0.4238783942701721</v>
      </c>
      <c r="H12" s="2">
        <f>(G12-G11)/G11</f>
        <v>3.9071593733826428E-3</v>
      </c>
      <c r="I12" s="16">
        <v>0.34692660898639399</v>
      </c>
      <c r="J12" s="2">
        <f t="shared" ref="J12:J16" si="8">(I12-I11)/I11</f>
        <v>4.6137300592797879E-2</v>
      </c>
      <c r="K12">
        <v>0.72473479647982098</v>
      </c>
      <c r="L12">
        <f t="shared" si="5"/>
        <v>6.7850804947169399E-2</v>
      </c>
      <c r="M12" s="2">
        <v>0</v>
      </c>
      <c r="N12" s="2">
        <v>0</v>
      </c>
      <c r="O12" s="4">
        <v>1</v>
      </c>
      <c r="P12">
        <v>0.83038969368529114</v>
      </c>
      <c r="Q12">
        <v>1.3914956011730211</v>
      </c>
      <c r="R12">
        <v>1.3944648093841641</v>
      </c>
      <c r="S12">
        <v>2.5</v>
      </c>
      <c r="T12">
        <v>1.72</v>
      </c>
      <c r="U12">
        <v>1.237201365187713</v>
      </c>
      <c r="V12">
        <v>0.79904306220095689</v>
      </c>
      <c r="W12">
        <v>0.33505154639175261</v>
      </c>
      <c r="X12">
        <f t="shared" si="7"/>
        <v>0.30031447143131257</v>
      </c>
      <c r="Y12" s="23" cm="1">
        <f t="array" ref="Y12">Q12/MAX(ABS(Q$2:Q$26))</f>
        <v>1</v>
      </c>
      <c r="Z12" s="23" cm="1">
        <f t="array" ref="Z12">R12/MAX(ABS(R$2:R$26))</f>
        <v>1</v>
      </c>
      <c r="AA12" s="23" cm="1">
        <f t="array" ref="AA12">S12/MAX(ABS(S$2:S$26))</f>
        <v>0.86206896551724144</v>
      </c>
      <c r="AB12" s="23" cm="1">
        <f t="array" ref="AB12">T12/MAX(ABS(T$2:T$26))</f>
        <v>1</v>
      </c>
      <c r="AC12" s="23" cm="1">
        <f t="array" ref="AC12">U12/MAX(ABS(U$2:U$26))</f>
        <v>1</v>
      </c>
      <c r="AD12" s="23" cm="1">
        <f t="array" ref="AD12">V12/MAX(ABS(V$2:V$26))</f>
        <v>1</v>
      </c>
      <c r="AE12" s="23" cm="1">
        <f t="array" ref="AE12">W12/MAX(ABS(W$2:W$26))</f>
        <v>0.39089347079037806</v>
      </c>
      <c r="AF12">
        <v>0.11699999999999999</v>
      </c>
      <c r="AG12">
        <v>0.13500000000000001</v>
      </c>
      <c r="AH12">
        <v>0.18</v>
      </c>
      <c r="AI12">
        <v>0.16</v>
      </c>
      <c r="AJ12">
        <v>0.65</v>
      </c>
      <c r="AK12">
        <v>0.58499999999999996</v>
      </c>
      <c r="AL12">
        <v>1</v>
      </c>
      <c r="AM12">
        <v>1</v>
      </c>
      <c r="AN12">
        <v>0.64</v>
      </c>
      <c r="AO12">
        <v>1</v>
      </c>
      <c r="AP12">
        <f t="shared" si="0"/>
        <v>0.61250000000000004</v>
      </c>
      <c r="AQ12">
        <f t="shared" si="1"/>
        <v>1</v>
      </c>
      <c r="AR12">
        <f t="shared" si="2"/>
        <v>1</v>
      </c>
      <c r="AS12" cm="1">
        <f t="array" ref="AS12">_xlfn.IFS(AF12&gt;'“主要目标”数据分表'!$C$2,1,AF12='“主要目标”数据分表'!$C$2,0,AF12&lt;'“主要目标”数据分表'!$C$2,-1)</f>
        <v>-1</v>
      </c>
      <c r="AT12" cm="1">
        <f t="array" ref="AT12">_xlfn.IFS(AG12&gt;'“主要目标”数据分表'!$D$2,1,AG12='“主要目标”数据分表'!$D$2,0,AG12&lt;'“主要目标”数据分表'!$D$2,-1)</f>
        <v>0</v>
      </c>
      <c r="AU12" cm="1">
        <f t="array" ref="AU12">_xlfn.IFS(AH12&gt;'“主要目标”数据分表'!$E$2,1,AH12='“主要目标”数据分表'!$E$2,0,AH12&lt;'“主要目标”数据分表'!$E$2,-1)</f>
        <v>0</v>
      </c>
      <c r="AV12" cm="1">
        <f t="array" ref="AV12">_xlfn.IFS(AI12&gt;'“主要目标”数据分表'!$F$2,1,AI12='“主要目标”数据分表'!$F$2,0,AI12&lt;'“主要目标”数据分表'!$F$2,-1)</f>
        <v>-1</v>
      </c>
      <c r="AW12" cm="1">
        <f t="array" ref="AW12">_xlfn.IFS(AJ12&gt;'“主要目标”数据分表'!$G$2,1,AJ12='“主要目标”数据分表'!$G$2,0,AJ12&lt;'“主要目标”数据分表'!$G$2,-1)</f>
        <v>0</v>
      </c>
    </row>
    <row r="13" spans="1:49" ht="14.4" x14ac:dyDescent="0.25">
      <c r="A13" s="2">
        <v>2</v>
      </c>
      <c r="B13" s="2" t="s">
        <v>9</v>
      </c>
      <c r="C13" s="2">
        <v>2019</v>
      </c>
      <c r="D13" s="2">
        <v>8241</v>
      </c>
      <c r="E13" s="19">
        <v>14204.096360880601</v>
      </c>
      <c r="F13" s="2">
        <v>14104.28</v>
      </c>
      <c r="G13" s="3">
        <v>0.58429072593567344</v>
      </c>
      <c r="H13" s="2">
        <f t="shared" ref="H13:H17" si="9">(G13-G12)/G12</f>
        <v>0.37843950961854766</v>
      </c>
      <c r="I13" s="16">
        <v>0.35395048252672495</v>
      </c>
      <c r="J13" s="2">
        <f t="shared" si="8"/>
        <v>2.024599254825803E-2</v>
      </c>
      <c r="K13">
        <v>1.007077026326803</v>
      </c>
      <c r="L13">
        <f t="shared" si="5"/>
        <v>0.3895800660025896</v>
      </c>
      <c r="M13" s="2">
        <v>0</v>
      </c>
      <c r="N13" s="2">
        <v>0</v>
      </c>
      <c r="O13" s="4">
        <v>1</v>
      </c>
      <c r="P13">
        <v>0.83038969368529114</v>
      </c>
      <c r="Q13">
        <v>1.3914956011730211</v>
      </c>
      <c r="R13">
        <v>1.3944648093841641</v>
      </c>
      <c r="S13">
        <v>2.5</v>
      </c>
      <c r="T13">
        <v>1.72</v>
      </c>
      <c r="U13">
        <v>1.237201365187713</v>
      </c>
      <c r="V13">
        <v>0.79904306220095689</v>
      </c>
      <c r="W13">
        <v>0.33505154639175261</v>
      </c>
      <c r="X13">
        <f t="shared" si="7"/>
        <v>0.30031447143131257</v>
      </c>
      <c r="Y13" s="23" cm="1">
        <f t="array" ref="Y13">Q13/MAX(ABS(Q$2:Q$26))</f>
        <v>1</v>
      </c>
      <c r="Z13" s="23" cm="1">
        <f t="array" ref="Z13">R13/MAX(ABS(R$2:R$26))</f>
        <v>1</v>
      </c>
      <c r="AA13" s="23" cm="1">
        <f t="array" ref="AA13">S13/MAX(ABS(S$2:S$26))</f>
        <v>0.86206896551724144</v>
      </c>
      <c r="AB13" s="23" cm="1">
        <f t="array" ref="AB13">T13/MAX(ABS(T$2:T$26))</f>
        <v>1</v>
      </c>
      <c r="AC13" s="23" cm="1">
        <f t="array" ref="AC13">U13/MAX(ABS(U$2:U$26))</f>
        <v>1</v>
      </c>
      <c r="AD13" s="23" cm="1">
        <f t="array" ref="AD13">V13/MAX(ABS(V$2:V$26))</f>
        <v>1</v>
      </c>
      <c r="AE13" s="23" cm="1">
        <f t="array" ref="AE13">W13/MAX(ABS(W$2:W$26))</f>
        <v>0.39089347079037806</v>
      </c>
      <c r="AF13">
        <v>0.11699999999999999</v>
      </c>
      <c r="AG13">
        <v>0.13500000000000001</v>
      </c>
      <c r="AH13">
        <v>0.18</v>
      </c>
      <c r="AI13">
        <v>0.16</v>
      </c>
      <c r="AJ13">
        <v>0.65</v>
      </c>
      <c r="AK13">
        <v>0.58499999999999996</v>
      </c>
      <c r="AL13">
        <v>1</v>
      </c>
      <c r="AM13">
        <v>1</v>
      </c>
      <c r="AN13">
        <v>0.64</v>
      </c>
      <c r="AO13">
        <v>1</v>
      </c>
      <c r="AP13">
        <f t="shared" si="0"/>
        <v>0.61250000000000004</v>
      </c>
      <c r="AQ13">
        <f t="shared" si="1"/>
        <v>1</v>
      </c>
      <c r="AR13">
        <f t="shared" si="2"/>
        <v>1</v>
      </c>
      <c r="AS13" cm="1">
        <f t="array" ref="AS13">_xlfn.IFS(AF13&gt;'“主要目标”数据分表'!$C$2,1,AF13='“主要目标”数据分表'!$C$2,0,AF13&lt;'“主要目标”数据分表'!$C$2,-1)</f>
        <v>-1</v>
      </c>
      <c r="AT13" cm="1">
        <f t="array" ref="AT13">_xlfn.IFS(AG13&gt;'“主要目标”数据分表'!$D$2,1,AG13='“主要目标”数据分表'!$D$2,0,AG13&lt;'“主要目标”数据分表'!$D$2,-1)</f>
        <v>0</v>
      </c>
      <c r="AU13" cm="1">
        <f t="array" ref="AU13">_xlfn.IFS(AH13&gt;'“主要目标”数据分表'!$E$2,1,AH13='“主要目标”数据分表'!$E$2,0,AH13&lt;'“主要目标”数据分表'!$E$2,-1)</f>
        <v>0</v>
      </c>
      <c r="AV13" cm="1">
        <f t="array" ref="AV13">_xlfn.IFS(AI13&gt;'“主要目标”数据分表'!$F$2,1,AI13='“主要目标”数据分表'!$F$2,0,AI13&lt;'“主要目标”数据分表'!$F$2,-1)</f>
        <v>-1</v>
      </c>
      <c r="AW13" cm="1">
        <f t="array" ref="AW13">_xlfn.IFS(AJ13&gt;'“主要目标”数据分表'!$G$2,1,AJ13='“主要目标”数据分表'!$G$2,0,AJ13&lt;'“主要目标”数据分表'!$G$2,-1)</f>
        <v>0</v>
      </c>
    </row>
    <row r="14" spans="1:49" ht="14.4" x14ac:dyDescent="0.25">
      <c r="A14" s="2">
        <v>2</v>
      </c>
      <c r="B14" s="2" t="s">
        <v>9</v>
      </c>
      <c r="C14" s="2">
        <v>2020</v>
      </c>
      <c r="D14" s="2">
        <v>8104.6</v>
      </c>
      <c r="E14" s="19">
        <v>13993.578608268201</v>
      </c>
      <c r="F14" s="2">
        <v>14083.73</v>
      </c>
      <c r="G14" s="3">
        <v>0.5754583480370612</v>
      </c>
      <c r="H14" s="2">
        <f t="shared" si="9"/>
        <v>-1.5116409531347977E-2</v>
      </c>
      <c r="I14" s="16">
        <v>0.36016631627607859</v>
      </c>
      <c r="J14" s="2">
        <f t="shared" si="8"/>
        <v>1.7561308872871259E-2</v>
      </c>
      <c r="K14">
        <v>0.99359889803824708</v>
      </c>
      <c r="L14">
        <f t="shared" si="5"/>
        <v>-1.3383413518741257E-2</v>
      </c>
      <c r="M14" s="2">
        <v>0</v>
      </c>
      <c r="N14" s="2">
        <v>0</v>
      </c>
      <c r="O14" s="4">
        <v>1</v>
      </c>
      <c r="P14">
        <v>0.83038969368529114</v>
      </c>
      <c r="Q14">
        <v>1.3914956011730211</v>
      </c>
      <c r="R14">
        <v>1.3944648093841641</v>
      </c>
      <c r="S14">
        <v>2.5</v>
      </c>
      <c r="T14">
        <v>1.72</v>
      </c>
      <c r="U14">
        <v>1.237201365187713</v>
      </c>
      <c r="V14">
        <v>0.79904306220095689</v>
      </c>
      <c r="W14">
        <v>0.33505154639175261</v>
      </c>
      <c r="X14">
        <f t="shared" si="7"/>
        <v>0.30031447143131257</v>
      </c>
      <c r="Y14" s="23" cm="1">
        <f t="array" ref="Y14">Q14/MAX(ABS(Q$2:Q$26))</f>
        <v>1</v>
      </c>
      <c r="Z14" s="23" cm="1">
        <f t="array" ref="Z14">R14/MAX(ABS(R$2:R$26))</f>
        <v>1</v>
      </c>
      <c r="AA14" s="23" cm="1">
        <f t="array" ref="AA14">S14/MAX(ABS(S$2:S$26))</f>
        <v>0.86206896551724144</v>
      </c>
      <c r="AB14" s="23" cm="1">
        <f t="array" ref="AB14">T14/MAX(ABS(T$2:T$26))</f>
        <v>1</v>
      </c>
      <c r="AC14" s="23" cm="1">
        <f t="array" ref="AC14">U14/MAX(ABS(U$2:U$26))</f>
        <v>1</v>
      </c>
      <c r="AD14" s="23" cm="1">
        <f t="array" ref="AD14">V14/MAX(ABS(V$2:V$26))</f>
        <v>1</v>
      </c>
      <c r="AE14" s="23" cm="1">
        <f t="array" ref="AE14">W14/MAX(ABS(W$2:W$26))</f>
        <v>0.39089347079037806</v>
      </c>
      <c r="AF14">
        <v>0.11699999999999999</v>
      </c>
      <c r="AG14">
        <v>0.13500000000000001</v>
      </c>
      <c r="AH14">
        <v>0.18</v>
      </c>
      <c r="AI14">
        <v>0.16</v>
      </c>
      <c r="AJ14">
        <v>0.65</v>
      </c>
      <c r="AK14">
        <v>0.58499999999999996</v>
      </c>
      <c r="AL14">
        <v>1</v>
      </c>
      <c r="AM14">
        <v>1</v>
      </c>
      <c r="AN14">
        <v>0.64</v>
      </c>
      <c r="AO14">
        <v>1</v>
      </c>
      <c r="AP14">
        <f t="shared" si="0"/>
        <v>0.61250000000000004</v>
      </c>
      <c r="AQ14">
        <f t="shared" si="1"/>
        <v>1</v>
      </c>
      <c r="AR14">
        <f t="shared" si="2"/>
        <v>1</v>
      </c>
      <c r="AS14" cm="1">
        <f t="array" ref="AS14">_xlfn.IFS(AF14&gt;'“主要目标”数据分表'!$C$2,1,AF14='“主要目标”数据分表'!$C$2,0,AF14&lt;'“主要目标”数据分表'!$C$2,-1)</f>
        <v>-1</v>
      </c>
      <c r="AT14" cm="1">
        <f t="array" ref="AT14">_xlfn.IFS(AG14&gt;'“主要目标”数据分表'!$D$2,1,AG14='“主要目标”数据分表'!$D$2,0,AG14&lt;'“主要目标”数据分表'!$D$2,-1)</f>
        <v>0</v>
      </c>
      <c r="AU14" cm="1">
        <f t="array" ref="AU14">_xlfn.IFS(AH14&gt;'“主要目标”数据分表'!$E$2,1,AH14='“主要目标”数据分表'!$E$2,0,AH14&lt;'“主要目标”数据分表'!$E$2,-1)</f>
        <v>0</v>
      </c>
      <c r="AV14" cm="1">
        <f t="array" ref="AV14">_xlfn.IFS(AI14&gt;'“主要目标”数据分表'!$F$2,1,AI14='“主要目标”数据分表'!$F$2,0,AI14&lt;'“主要目标”数据分表'!$F$2,-1)</f>
        <v>-1</v>
      </c>
      <c r="AW14" cm="1">
        <f t="array" ref="AW14">_xlfn.IFS(AJ14&gt;'“主要目标”数据分表'!$G$2,1,AJ14='“主要目标”数据分表'!$G$2,0,AJ14&lt;'“主要目标”数据分表'!$G$2,-1)</f>
        <v>0</v>
      </c>
    </row>
    <row r="15" spans="1:49" ht="14.4" x14ac:dyDescent="0.25">
      <c r="A15" s="2">
        <v>2</v>
      </c>
      <c r="B15" s="2" t="s">
        <v>9</v>
      </c>
      <c r="C15" s="2">
        <v>2021</v>
      </c>
      <c r="D15" s="2">
        <v>8205.69</v>
      </c>
      <c r="E15" s="19">
        <v>14483.593968867001</v>
      </c>
      <c r="F15" s="2">
        <v>15695.0458</v>
      </c>
      <c r="G15" s="3">
        <v>0.52282039215202547</v>
      </c>
      <c r="H15" s="2">
        <f t="shared" si="9"/>
        <v>-9.1471356814247978E-2</v>
      </c>
      <c r="I15" s="16">
        <v>0.35929796808971892</v>
      </c>
      <c r="J15" s="2">
        <f t="shared" si="8"/>
        <v>-2.4109644548049656E-3</v>
      </c>
      <c r="K15">
        <v>0.92281310634130165</v>
      </c>
      <c r="L15">
        <f t="shared" si="5"/>
        <v>-7.1241817836859803E-2</v>
      </c>
      <c r="M15" s="2">
        <v>0</v>
      </c>
      <c r="N15" s="2">
        <v>0</v>
      </c>
      <c r="O15" s="4">
        <v>1</v>
      </c>
      <c r="P15">
        <v>0.83038969368529114</v>
      </c>
      <c r="Q15">
        <v>1.3914956011730211</v>
      </c>
      <c r="R15">
        <v>1.3944648093841641</v>
      </c>
      <c r="S15">
        <v>2.5</v>
      </c>
      <c r="T15">
        <v>1.72</v>
      </c>
      <c r="U15">
        <v>1.237201365187713</v>
      </c>
      <c r="V15">
        <v>0.79904306220095689</v>
      </c>
      <c r="W15">
        <v>0.33505154639175261</v>
      </c>
      <c r="X15">
        <f t="shared" si="7"/>
        <v>0.30031447143131257</v>
      </c>
      <c r="Y15" s="23" cm="1">
        <f t="array" ref="Y15">Q15/MAX(ABS(Q$2:Q$26))</f>
        <v>1</v>
      </c>
      <c r="Z15" s="23" cm="1">
        <f t="array" ref="Z15">R15/MAX(ABS(R$2:R$26))</f>
        <v>1</v>
      </c>
      <c r="AA15" s="23" cm="1">
        <f t="array" ref="AA15">S15/MAX(ABS(S$2:S$26))</f>
        <v>0.86206896551724144</v>
      </c>
      <c r="AB15" s="23" cm="1">
        <f t="array" ref="AB15">T15/MAX(ABS(T$2:T$26))</f>
        <v>1</v>
      </c>
      <c r="AC15" s="23" cm="1">
        <f t="array" ref="AC15">U15/MAX(ABS(U$2:U$26))</f>
        <v>1</v>
      </c>
      <c r="AD15" s="23" cm="1">
        <f t="array" ref="AD15">V15/MAX(ABS(V$2:V$26))</f>
        <v>1</v>
      </c>
      <c r="AE15" s="23" cm="1">
        <f t="array" ref="AE15">W15/MAX(ABS(W$2:W$26))</f>
        <v>0.39089347079037806</v>
      </c>
      <c r="AF15">
        <v>0.11699999999999999</v>
      </c>
      <c r="AG15">
        <v>0.13500000000000001</v>
      </c>
      <c r="AH15">
        <v>0.18</v>
      </c>
      <c r="AI15">
        <v>0.16</v>
      </c>
      <c r="AJ15">
        <v>0.65</v>
      </c>
      <c r="AK15">
        <v>0.58499999999999996</v>
      </c>
      <c r="AL15">
        <v>1</v>
      </c>
      <c r="AM15">
        <v>1</v>
      </c>
      <c r="AN15">
        <v>0.64</v>
      </c>
      <c r="AO15">
        <v>1</v>
      </c>
      <c r="AP15">
        <f t="shared" si="0"/>
        <v>0.61250000000000004</v>
      </c>
      <c r="AQ15">
        <f t="shared" si="1"/>
        <v>1</v>
      </c>
      <c r="AR15">
        <f t="shared" si="2"/>
        <v>1</v>
      </c>
      <c r="AS15" cm="1">
        <f t="array" ref="AS15">_xlfn.IFS(AF15&gt;'“主要目标”数据分表'!$C$2,1,AF15='“主要目标”数据分表'!$C$2,0,AF15&lt;'“主要目标”数据分表'!$C$2,-1)</f>
        <v>-1</v>
      </c>
      <c r="AT15" cm="1">
        <f t="array" ref="AT15">_xlfn.IFS(AG15&gt;'“主要目标”数据分表'!$D$2,1,AG15='“主要目标”数据分表'!$D$2,0,AG15&lt;'“主要目标”数据分表'!$D$2,-1)</f>
        <v>0</v>
      </c>
      <c r="AU15" cm="1">
        <f t="array" ref="AU15">_xlfn.IFS(AH15&gt;'“主要目标”数据分表'!$E$2,1,AH15='“主要目标”数据分表'!$E$2,0,AH15&lt;'“主要目标”数据分表'!$E$2,-1)</f>
        <v>0</v>
      </c>
      <c r="AV15" cm="1">
        <f t="array" ref="AV15">_xlfn.IFS(AI15&gt;'“主要目标”数据分表'!$F$2,1,AI15='“主要目标”数据分表'!$F$2,0,AI15&lt;'“主要目标”数据分表'!$F$2,-1)</f>
        <v>-1</v>
      </c>
      <c r="AW15" cm="1">
        <f t="array" ref="AW15">_xlfn.IFS(AJ15&gt;'“主要目标”数据分表'!$G$2,1,AJ15='“主要目标”数据分表'!$G$2,0,AJ15&lt;'“主要目标”数据分表'!$G$2,-1)</f>
        <v>0</v>
      </c>
    </row>
    <row r="16" spans="1:49" ht="14.4" x14ac:dyDescent="0.25">
      <c r="A16" s="2">
        <v>2</v>
      </c>
      <c r="B16" s="2" t="s">
        <v>9</v>
      </c>
      <c r="C16" s="2">
        <v>2022</v>
      </c>
      <c r="D16" s="2">
        <v>8121.77</v>
      </c>
      <c r="E16" s="19">
        <v>14301.849814918</v>
      </c>
      <c r="F16" s="2">
        <v>16311.3</v>
      </c>
      <c r="G16" s="3">
        <v>0.49792291233684627</v>
      </c>
      <c r="H16" s="2">
        <f t="shared" si="9"/>
        <v>-4.7621478023641292E-2</v>
      </c>
      <c r="I16" s="16">
        <v>0.39162796527583293</v>
      </c>
      <c r="J16" s="2">
        <f t="shared" si="8"/>
        <v>8.9981018701561402E-2</v>
      </c>
      <c r="K16">
        <v>0.87680625179587157</v>
      </c>
      <c r="L16">
        <f t="shared" si="5"/>
        <v>-4.9855007725057687E-2</v>
      </c>
      <c r="M16" s="2">
        <v>1</v>
      </c>
      <c r="N16" s="2">
        <v>0</v>
      </c>
      <c r="O16" s="4">
        <v>1</v>
      </c>
      <c r="P16">
        <v>0.83038969368529114</v>
      </c>
      <c r="Q16">
        <v>1.3914956011730211</v>
      </c>
      <c r="R16">
        <v>1.3944648093841641</v>
      </c>
      <c r="S16">
        <v>2.5</v>
      </c>
      <c r="T16">
        <v>1.72</v>
      </c>
      <c r="U16">
        <v>1.237201365187713</v>
      </c>
      <c r="V16">
        <v>0.79904306220095689</v>
      </c>
      <c r="W16">
        <v>0.33505154639175261</v>
      </c>
      <c r="X16">
        <f t="shared" si="7"/>
        <v>0.30031447143131257</v>
      </c>
      <c r="Y16" s="23" cm="1">
        <f t="array" ref="Y16">Q16/MAX(ABS(Q$2:Q$26))</f>
        <v>1</v>
      </c>
      <c r="Z16" s="23" cm="1">
        <f t="array" ref="Z16">R16/MAX(ABS(R$2:R$26))</f>
        <v>1</v>
      </c>
      <c r="AA16" s="23" cm="1">
        <f t="array" ref="AA16">S16/MAX(ABS(S$2:S$26))</f>
        <v>0.86206896551724144</v>
      </c>
      <c r="AB16" s="23" cm="1">
        <f t="array" ref="AB16">T16/MAX(ABS(T$2:T$26))</f>
        <v>1</v>
      </c>
      <c r="AC16" s="23" cm="1">
        <f t="array" ref="AC16">U16/MAX(ABS(U$2:U$26))</f>
        <v>1</v>
      </c>
      <c r="AD16" s="23" cm="1">
        <f t="array" ref="AD16">V16/MAX(ABS(V$2:V$26))</f>
        <v>1</v>
      </c>
      <c r="AE16" s="23" cm="1">
        <f t="array" ref="AE16">W16/MAX(ABS(W$2:W$26))</f>
        <v>0.39089347079037806</v>
      </c>
      <c r="AF16">
        <v>0.11699999999999999</v>
      </c>
      <c r="AG16">
        <v>0.13500000000000001</v>
      </c>
      <c r="AH16">
        <v>0.18</v>
      </c>
      <c r="AI16">
        <v>0.16</v>
      </c>
      <c r="AJ16">
        <v>0.65</v>
      </c>
      <c r="AK16">
        <v>0.58499999999999996</v>
      </c>
      <c r="AL16">
        <v>1</v>
      </c>
      <c r="AM16">
        <v>1</v>
      </c>
      <c r="AN16">
        <v>0.64</v>
      </c>
      <c r="AO16">
        <v>1</v>
      </c>
      <c r="AP16">
        <f t="shared" si="0"/>
        <v>0.61250000000000004</v>
      </c>
      <c r="AQ16">
        <f t="shared" si="1"/>
        <v>1</v>
      </c>
      <c r="AR16">
        <f t="shared" si="2"/>
        <v>1</v>
      </c>
      <c r="AS16" cm="1">
        <f t="array" ref="AS16">_xlfn.IFS(AF16&gt;'“主要目标”数据分表'!$C$2,1,AF16='“主要目标”数据分表'!$C$2,0,AF16&lt;'“主要目标”数据分表'!$C$2,-1)</f>
        <v>-1</v>
      </c>
      <c r="AT16" cm="1">
        <f t="array" ref="AT16">_xlfn.IFS(AG16&gt;'“主要目标”数据分表'!$D$2,1,AG16='“主要目标”数据分表'!$D$2,0,AG16&lt;'“主要目标”数据分表'!$D$2,-1)</f>
        <v>0</v>
      </c>
      <c r="AU16" cm="1">
        <f t="array" ref="AU16">_xlfn.IFS(AH16&gt;'“主要目标”数据分表'!$E$2,1,AH16='“主要目标”数据分表'!$E$2,0,AH16&lt;'“主要目标”数据分表'!$E$2,-1)</f>
        <v>0</v>
      </c>
      <c r="AV16" cm="1">
        <f t="array" ref="AV16">_xlfn.IFS(AI16&gt;'“主要目标”数据分表'!$F$2,1,AI16='“主要目标”数据分表'!$F$2,0,AI16&lt;'“主要目标”数据分表'!$F$2,-1)</f>
        <v>-1</v>
      </c>
      <c r="AW16" cm="1">
        <f t="array" ref="AW16">_xlfn.IFS(AJ16&gt;'“主要目标”数据分表'!$G$2,1,AJ16='“主要目标”数据分表'!$G$2,0,AJ16&lt;'“主要目标”数据分表'!$G$2,-1)</f>
        <v>0</v>
      </c>
    </row>
    <row r="17" spans="1:49" ht="14.4" x14ac:dyDescent="0.25">
      <c r="A17" s="2">
        <v>2</v>
      </c>
      <c r="B17" s="2" t="s">
        <v>9</v>
      </c>
      <c r="C17" s="2">
        <v>2023</v>
      </c>
      <c r="D17" s="2">
        <v>8493.1200000000008</v>
      </c>
      <c r="E17" s="19">
        <v>15167.832513354999</v>
      </c>
      <c r="F17" s="2">
        <v>16737.3</v>
      </c>
      <c r="G17" s="3">
        <v>0.50743668333602199</v>
      </c>
      <c r="H17" s="2">
        <f t="shared" si="9"/>
        <v>1.9106915475180276E-2</v>
      </c>
      <c r="K17">
        <v>0.9062293508125564</v>
      </c>
      <c r="L17">
        <f t="shared" si="5"/>
        <v>3.355712730882169E-2</v>
      </c>
      <c r="M17" s="2">
        <v>1</v>
      </c>
      <c r="N17" s="2">
        <v>1</v>
      </c>
      <c r="O17" s="4">
        <v>1</v>
      </c>
      <c r="P17">
        <v>0.83038969368529114</v>
      </c>
      <c r="Q17">
        <v>1.3914956011730211</v>
      </c>
      <c r="R17">
        <v>1.3944648093841641</v>
      </c>
      <c r="S17">
        <v>2.5</v>
      </c>
      <c r="T17">
        <v>1.72</v>
      </c>
      <c r="U17">
        <v>1.237201365187713</v>
      </c>
      <c r="V17">
        <v>0.79904306220095689</v>
      </c>
      <c r="W17">
        <v>0.33505154639175261</v>
      </c>
      <c r="X17">
        <f t="shared" si="7"/>
        <v>0.30031447143131257</v>
      </c>
      <c r="Y17" s="23" cm="1">
        <f t="array" ref="Y17">Q17/MAX(ABS(Q$2:Q$26))</f>
        <v>1</v>
      </c>
      <c r="Z17" s="23" cm="1">
        <f t="array" ref="Z17">R17/MAX(ABS(R$2:R$26))</f>
        <v>1</v>
      </c>
      <c r="AA17" s="23" cm="1">
        <f t="array" ref="AA17">S17/MAX(ABS(S$2:S$26))</f>
        <v>0.86206896551724144</v>
      </c>
      <c r="AB17" s="23" cm="1">
        <f t="array" ref="AB17">T17/MAX(ABS(T$2:T$26))</f>
        <v>1</v>
      </c>
      <c r="AC17" s="23" cm="1">
        <f t="array" ref="AC17">U17/MAX(ABS(U$2:U$26))</f>
        <v>1</v>
      </c>
      <c r="AD17" s="23" cm="1">
        <f t="array" ref="AD17">V17/MAX(ABS(V$2:V$26))</f>
        <v>1</v>
      </c>
      <c r="AE17" s="23" cm="1">
        <f t="array" ref="AE17">W17/MAX(ABS(W$2:W$26))</f>
        <v>0.39089347079037806</v>
      </c>
      <c r="AF17">
        <v>0.11699999999999999</v>
      </c>
      <c r="AG17">
        <v>0.13500000000000001</v>
      </c>
      <c r="AH17">
        <v>0.18</v>
      </c>
      <c r="AI17">
        <v>0.16</v>
      </c>
      <c r="AJ17">
        <v>0.65</v>
      </c>
      <c r="AK17">
        <v>0.58499999999999996</v>
      </c>
      <c r="AL17">
        <v>1</v>
      </c>
      <c r="AM17">
        <v>1</v>
      </c>
      <c r="AN17">
        <v>0.64</v>
      </c>
      <c r="AO17">
        <v>1</v>
      </c>
      <c r="AP17">
        <f t="shared" si="0"/>
        <v>0.61250000000000004</v>
      </c>
      <c r="AQ17">
        <f t="shared" si="1"/>
        <v>1</v>
      </c>
      <c r="AR17">
        <f t="shared" si="2"/>
        <v>1</v>
      </c>
      <c r="AS17" cm="1">
        <f t="array" ref="AS17">_xlfn.IFS(AF17&gt;'“主要目标”数据分表'!$C$2,1,AF17='“主要目标”数据分表'!$C$2,0,AF17&lt;'“主要目标”数据分表'!$C$2,-1)</f>
        <v>-1</v>
      </c>
      <c r="AT17" cm="1">
        <f t="array" ref="AT17">_xlfn.IFS(AG17&gt;'“主要目标”数据分表'!$D$2,1,AG17='“主要目标”数据分表'!$D$2,0,AG17&lt;'“主要目标”数据分表'!$D$2,-1)</f>
        <v>0</v>
      </c>
      <c r="AU17" cm="1">
        <f t="array" ref="AU17">_xlfn.IFS(AH17&gt;'“主要目标”数据分表'!$E$2,1,AH17='“主要目标”数据分表'!$E$2,0,AH17&lt;'“主要目标”数据分表'!$E$2,-1)</f>
        <v>0</v>
      </c>
      <c r="AV17" cm="1">
        <f t="array" ref="AV17">_xlfn.IFS(AI17&gt;'“主要目标”数据分表'!$F$2,1,AI17='“主要目标”数据分表'!$F$2,0,AI17&lt;'“主要目标”数据分表'!$F$2,-1)</f>
        <v>-1</v>
      </c>
      <c r="AW17" cm="1">
        <f t="array" ref="AW17">_xlfn.IFS(AJ17&gt;'“主要目标”数据分表'!$G$2,1,AJ17='“主要目标”数据分表'!$G$2,0,AJ17&lt;'“主要目标”数据分表'!$G$2,-1)</f>
        <v>0</v>
      </c>
    </row>
    <row r="18" spans="1:49" ht="14.4" x14ac:dyDescent="0.25">
      <c r="A18" s="2">
        <v>3</v>
      </c>
      <c r="B18" s="2" t="s">
        <v>10</v>
      </c>
      <c r="C18" s="2">
        <v>2016</v>
      </c>
      <c r="D18" s="2">
        <v>31458</v>
      </c>
      <c r="E18" s="19">
        <v>74877.961217163203</v>
      </c>
      <c r="F18" s="2">
        <v>32070.45</v>
      </c>
      <c r="G18" s="3">
        <v>0.9809029807813735</v>
      </c>
      <c r="H18" s="2"/>
      <c r="I18" s="16">
        <v>0.22307135076962681</v>
      </c>
      <c r="K18">
        <v>2.3347960885227117</v>
      </c>
      <c r="L18"/>
      <c r="M18" s="2">
        <v>0</v>
      </c>
      <c r="N18" s="2">
        <v>0</v>
      </c>
      <c r="O18" s="4">
        <v>1</v>
      </c>
      <c r="P18">
        <v>0.86522323557358682</v>
      </c>
      <c r="Q18">
        <v>3.2258064516129031E-2</v>
      </c>
      <c r="R18">
        <v>-0.2202695154308057</v>
      </c>
      <c r="S18">
        <v>1.3</v>
      </c>
      <c r="T18">
        <v>-0.15999999999999989</v>
      </c>
      <c r="U18">
        <v>-3.5143769968051117E-2</v>
      </c>
      <c r="V18">
        <v>-5.1999999999999998E-2</v>
      </c>
      <c r="W18">
        <v>-0.12949640287769781</v>
      </c>
      <c r="X18">
        <v>0.44401166944017406</v>
      </c>
      <c r="Y18">
        <v>2.3182297154899886E-2</v>
      </c>
      <c r="Z18">
        <v>-0.15795989540107727</v>
      </c>
      <c r="AA18">
        <v>0.37142857142857144</v>
      </c>
      <c r="AB18">
        <v>-9.3023255813953432E-2</v>
      </c>
      <c r="AC18">
        <v>-2.8405860967279945E-2</v>
      </c>
      <c r="AD18">
        <v>-5.5590792838874678E-2</v>
      </c>
      <c r="AE18">
        <v>-0.15107913669064746</v>
      </c>
      <c r="AF18">
        <v>0.13</v>
      </c>
      <c r="AG18">
        <v>0.13500000000000001</v>
      </c>
      <c r="AH18">
        <v>0.18</v>
      </c>
      <c r="AI18">
        <v>0.19</v>
      </c>
      <c r="AJ18">
        <v>0.65</v>
      </c>
      <c r="AK18">
        <v>0.65</v>
      </c>
      <c r="AL18">
        <v>1</v>
      </c>
      <c r="AM18">
        <v>1</v>
      </c>
      <c r="AN18">
        <v>0.76</v>
      </c>
      <c r="AO18">
        <v>1</v>
      </c>
      <c r="AP18">
        <f t="shared" si="0"/>
        <v>0.70500000000000007</v>
      </c>
      <c r="AQ18">
        <f t="shared" si="1"/>
        <v>1</v>
      </c>
      <c r="AR18">
        <f t="shared" si="2"/>
        <v>1</v>
      </c>
      <c r="AS18" cm="1">
        <f t="array" ref="AS18">_xlfn.IFS(AF18&gt;'“主要目标”数据分表'!$C$2,1,AF18='“主要目标”数据分表'!$C$2,0,AF18&lt;'“主要目标”数据分表'!$C$2,-1)</f>
        <v>-1</v>
      </c>
      <c r="AT18" cm="1">
        <f t="array" ref="AT18">_xlfn.IFS(AG18&gt;'“主要目标”数据分表'!$D$2,1,AG18='“主要目标”数据分表'!$D$2,0,AG18&lt;'“主要目标”数据分表'!$D$2,-1)</f>
        <v>0</v>
      </c>
      <c r="AU18" cm="1">
        <f t="array" ref="AU18">_xlfn.IFS(AH18&gt;'“主要目标”数据分表'!$E$2,1,AH18='“主要目标”数据分表'!$E$2,0,AH18&lt;'“主要目标”数据分表'!$E$2,-1)</f>
        <v>0</v>
      </c>
      <c r="AV18" cm="1">
        <f t="array" ref="AV18">_xlfn.IFS(AI18&gt;'“主要目标”数据分表'!$F$2,1,AI18='“主要目标”数据分表'!$F$2,0,AI18&lt;'“主要目标”数据分表'!$F$2,-1)</f>
        <v>-1</v>
      </c>
      <c r="AW18" cm="1">
        <f t="array" ref="AW18">_xlfn.IFS(AJ18&gt;'“主要目标”数据分表'!$G$2,1,AJ18='“主要目标”数据分表'!$G$2,0,AJ18&lt;'“主要目标”数据分表'!$G$2,-1)</f>
        <v>0</v>
      </c>
    </row>
    <row r="19" spans="1:49" ht="14.4" x14ac:dyDescent="0.25">
      <c r="A19" s="2">
        <v>3</v>
      </c>
      <c r="B19" s="2" t="s">
        <v>10</v>
      </c>
      <c r="C19" s="2">
        <v>2017</v>
      </c>
      <c r="D19" s="2">
        <v>32083</v>
      </c>
      <c r="E19" s="19">
        <v>75443.371608535905</v>
      </c>
      <c r="F19" s="2">
        <v>34016.32</v>
      </c>
      <c r="G19" s="3">
        <v>0.94316492789343465</v>
      </c>
      <c r="H19" s="2">
        <f>(G19-G18)/G18</f>
        <v>-3.8472768079343848E-2</v>
      </c>
      <c r="I19" s="16">
        <v>0.24563240781170934</v>
      </c>
      <c r="J19" s="2">
        <f>(I19-I18)/I18</f>
        <v>0.1011382993120532</v>
      </c>
      <c r="K19">
        <v>2.2178581224699174</v>
      </c>
      <c r="L19">
        <f t="shared" si="5"/>
        <v>-5.0084873204830523E-2</v>
      </c>
      <c r="M19" s="2">
        <v>0</v>
      </c>
      <c r="N19" s="2">
        <v>0</v>
      </c>
      <c r="O19" s="4">
        <v>1</v>
      </c>
      <c r="P19">
        <v>0.86522323557358682</v>
      </c>
      <c r="Q19">
        <v>3.2258064516129031E-2</v>
      </c>
      <c r="R19">
        <v>-0.2202695154308057</v>
      </c>
      <c r="S19">
        <v>1.3</v>
      </c>
      <c r="T19">
        <v>-0.15999999999999989</v>
      </c>
      <c r="U19">
        <v>-3.5143769968051117E-2</v>
      </c>
      <c r="V19">
        <v>-5.1999999999999998E-2</v>
      </c>
      <c r="W19">
        <v>-0.12949640287769781</v>
      </c>
      <c r="X19">
        <v>0.44401166944017406</v>
      </c>
      <c r="Y19">
        <v>2.3182297154899886E-2</v>
      </c>
      <c r="Z19">
        <v>-0.15795989540107727</v>
      </c>
      <c r="AA19">
        <v>0.37142857142857144</v>
      </c>
      <c r="AB19">
        <v>-9.3023255813953432E-2</v>
      </c>
      <c r="AC19">
        <v>-2.8405860967279945E-2</v>
      </c>
      <c r="AD19">
        <v>-5.5590792838874678E-2</v>
      </c>
      <c r="AE19">
        <v>-0.15107913669064746</v>
      </c>
      <c r="AF19">
        <v>0.13</v>
      </c>
      <c r="AG19">
        <v>0.13500000000000001</v>
      </c>
      <c r="AH19">
        <v>0.18</v>
      </c>
      <c r="AI19">
        <v>0.19</v>
      </c>
      <c r="AJ19">
        <v>0.65</v>
      </c>
      <c r="AK19">
        <v>0.65</v>
      </c>
      <c r="AL19">
        <v>1</v>
      </c>
      <c r="AM19">
        <v>1</v>
      </c>
      <c r="AN19">
        <v>0.76</v>
      </c>
      <c r="AO19">
        <v>1</v>
      </c>
      <c r="AP19">
        <f t="shared" si="0"/>
        <v>0.70500000000000007</v>
      </c>
      <c r="AQ19">
        <f t="shared" si="1"/>
        <v>1</v>
      </c>
      <c r="AR19">
        <f t="shared" si="2"/>
        <v>1</v>
      </c>
      <c r="AS19" cm="1">
        <f t="array" ref="AS19">_xlfn.IFS(AF19&gt;'“主要目标”数据分表'!$C$2,1,AF19='“主要目标”数据分表'!$C$2,0,AF19&lt;'“主要目标”数据分表'!$C$2,-1)</f>
        <v>-1</v>
      </c>
      <c r="AT19" cm="1">
        <f t="array" ref="AT19">_xlfn.IFS(AG19&gt;'“主要目标”数据分表'!$D$2,1,AG19='“主要目标”数据分表'!$D$2,0,AG19&lt;'“主要目标”数据分表'!$D$2,-1)</f>
        <v>0</v>
      </c>
      <c r="AU19" cm="1">
        <f t="array" ref="AU19">_xlfn.IFS(AH19&gt;'“主要目标”数据分表'!$E$2,1,AH19='“主要目标”数据分表'!$E$2,0,AH19&lt;'“主要目标”数据分表'!$E$2,-1)</f>
        <v>0</v>
      </c>
      <c r="AV19" cm="1">
        <f t="array" ref="AV19">_xlfn.IFS(AI19&gt;'“主要目标”数据分表'!$F$2,1,AI19='“主要目标”数据分表'!$F$2,0,AI19&lt;'“主要目标”数据分表'!$F$2,-1)</f>
        <v>-1</v>
      </c>
      <c r="AW19" cm="1">
        <f t="array" ref="AW19">_xlfn.IFS(AJ19&gt;'“主要目标”数据分表'!$G$2,1,AJ19='“主要目标”数据分表'!$G$2,0,AJ19&lt;'“主要目标”数据分表'!$G$2,-1)</f>
        <v>0</v>
      </c>
    </row>
    <row r="20" spans="1:49" ht="14.4" x14ac:dyDescent="0.25">
      <c r="A20" s="2">
        <v>3</v>
      </c>
      <c r="B20" s="2" t="s">
        <v>10</v>
      </c>
      <c r="C20" s="2">
        <v>2018</v>
      </c>
      <c r="D20" s="2">
        <v>32185</v>
      </c>
      <c r="E20" s="19">
        <v>79620.28000973571</v>
      </c>
      <c r="F20" s="2">
        <v>36010.269999999997</v>
      </c>
      <c r="G20" s="3">
        <v>0.89377280425834083</v>
      </c>
      <c r="H20" s="2">
        <f>(G20-G19)/G19</f>
        <v>-5.2368490572917578E-2</v>
      </c>
      <c r="I20" s="16">
        <v>0.28301300705448984</v>
      </c>
      <c r="J20" s="2">
        <f t="shared" ref="J20:J24" si="10">(I20-I19)/I19</f>
        <v>0.15218105613911817</v>
      </c>
      <c r="K20">
        <v>2.2110436830864004</v>
      </c>
      <c r="L20">
        <f t="shared" si="5"/>
        <v>-3.0725316982531336E-3</v>
      </c>
      <c r="M20" s="2">
        <v>0</v>
      </c>
      <c r="N20" s="2">
        <v>0</v>
      </c>
      <c r="O20" s="4">
        <v>1</v>
      </c>
      <c r="P20">
        <v>0.86522323557358682</v>
      </c>
      <c r="Q20">
        <v>3.2258064516129031E-2</v>
      </c>
      <c r="R20">
        <v>-0.2202695154308057</v>
      </c>
      <c r="S20">
        <v>1.3</v>
      </c>
      <c r="T20">
        <v>-0.15999999999999989</v>
      </c>
      <c r="U20">
        <v>-3.5143769968051117E-2</v>
      </c>
      <c r="V20">
        <v>-5.1999999999999998E-2</v>
      </c>
      <c r="W20">
        <v>-0.12949640287769781</v>
      </c>
      <c r="X20">
        <v>0.44401166944017406</v>
      </c>
      <c r="Y20">
        <v>2.3182297154899886E-2</v>
      </c>
      <c r="Z20">
        <v>-0.15795989540107727</v>
      </c>
      <c r="AA20">
        <v>0.37142857142857144</v>
      </c>
      <c r="AB20">
        <v>-9.3023255813953432E-2</v>
      </c>
      <c r="AC20">
        <v>-2.8405860967279945E-2</v>
      </c>
      <c r="AD20">
        <v>-5.5590792838874678E-2</v>
      </c>
      <c r="AE20">
        <v>-0.15107913669064746</v>
      </c>
      <c r="AF20">
        <v>0.13</v>
      </c>
      <c r="AG20">
        <v>0.13500000000000001</v>
      </c>
      <c r="AH20">
        <v>0.18</v>
      </c>
      <c r="AI20">
        <v>0.19</v>
      </c>
      <c r="AJ20">
        <v>0.65</v>
      </c>
      <c r="AK20">
        <v>0.65</v>
      </c>
      <c r="AL20">
        <v>1</v>
      </c>
      <c r="AM20">
        <v>1</v>
      </c>
      <c r="AN20">
        <v>0.76</v>
      </c>
      <c r="AO20">
        <v>1</v>
      </c>
      <c r="AP20">
        <f t="shared" si="0"/>
        <v>0.70500000000000007</v>
      </c>
      <c r="AQ20">
        <f t="shared" si="1"/>
        <v>1</v>
      </c>
      <c r="AR20">
        <f t="shared" si="2"/>
        <v>1</v>
      </c>
      <c r="AS20" cm="1">
        <f t="array" ref="AS20">_xlfn.IFS(AF20&gt;'“主要目标”数据分表'!$C$2,1,AF20='“主要目标”数据分表'!$C$2,0,AF20&lt;'“主要目标”数据分表'!$C$2,-1)</f>
        <v>-1</v>
      </c>
      <c r="AT20" cm="1">
        <f t="array" ref="AT20">_xlfn.IFS(AG20&gt;'“主要目标”数据分表'!$D$2,1,AG20='“主要目标”数据分表'!$D$2,0,AG20&lt;'“主要目标”数据分表'!$D$2,-1)</f>
        <v>0</v>
      </c>
      <c r="AU20" cm="1">
        <f t="array" ref="AU20">_xlfn.IFS(AH20&gt;'“主要目标”数据分表'!$E$2,1,AH20='“主要目标”数据分表'!$E$2,0,AH20&lt;'“主要目标”数据分表'!$E$2,-1)</f>
        <v>0</v>
      </c>
      <c r="AV20" cm="1">
        <f t="array" ref="AV20">_xlfn.IFS(AI20&gt;'“主要目标”数据分表'!$F$2,1,AI20='“主要目标”数据分表'!$F$2,0,AI20&lt;'“主要目标”数据分表'!$F$2,-1)</f>
        <v>-1</v>
      </c>
      <c r="AW20" cm="1">
        <f t="array" ref="AW20">_xlfn.IFS(AJ20&gt;'“主要目标”数据分表'!$G$2,1,AJ20='“主要目标”数据分表'!$G$2,0,AJ20&lt;'“主要目标”数据分表'!$G$2,-1)</f>
        <v>0</v>
      </c>
    </row>
    <row r="21" spans="1:49" ht="14.4" x14ac:dyDescent="0.25">
      <c r="A21" s="2">
        <v>3</v>
      </c>
      <c r="B21" s="2" t="s">
        <v>10</v>
      </c>
      <c r="C21" s="2">
        <v>2019</v>
      </c>
      <c r="D21" s="2">
        <v>32545</v>
      </c>
      <c r="E21" s="19">
        <v>82819.719953986889</v>
      </c>
      <c r="F21" s="2">
        <v>35104.519999999997</v>
      </c>
      <c r="G21" s="3">
        <v>0.92708859144064648</v>
      </c>
      <c r="H21" s="2">
        <f t="shared" ref="H21:H25" si="11">(G21-G20)/G20</f>
        <v>3.7275454146259615E-2</v>
      </c>
      <c r="I21" s="16">
        <v>0.26492563650582834</v>
      </c>
      <c r="J21" s="2">
        <f t="shared" si="10"/>
        <v>-6.3910032746936782E-2</v>
      </c>
      <c r="K21">
        <v>2.3592323710447229</v>
      </c>
      <c r="L21">
        <f t="shared" si="5"/>
        <v>6.7022053472713672E-2</v>
      </c>
      <c r="M21" s="2">
        <v>0</v>
      </c>
      <c r="N21" s="2">
        <v>0</v>
      </c>
      <c r="O21" s="4">
        <v>1</v>
      </c>
      <c r="P21">
        <v>0.86522323557358682</v>
      </c>
      <c r="Q21">
        <v>3.2258064516129031E-2</v>
      </c>
      <c r="R21">
        <v>-0.2202695154308057</v>
      </c>
      <c r="S21">
        <v>1.3</v>
      </c>
      <c r="T21">
        <v>-0.15999999999999989</v>
      </c>
      <c r="U21">
        <v>-3.5143769968051117E-2</v>
      </c>
      <c r="V21">
        <v>-5.1999999999999998E-2</v>
      </c>
      <c r="W21">
        <v>-0.12949640287769781</v>
      </c>
      <c r="X21">
        <v>0.44401166944017406</v>
      </c>
      <c r="Y21">
        <v>2.3182297154899886E-2</v>
      </c>
      <c r="Z21">
        <v>-0.15795989540107727</v>
      </c>
      <c r="AA21">
        <v>0.37142857142857144</v>
      </c>
      <c r="AB21">
        <v>-9.3023255813953432E-2</v>
      </c>
      <c r="AC21">
        <v>-2.8405860967279945E-2</v>
      </c>
      <c r="AD21">
        <v>-5.5590792838874678E-2</v>
      </c>
      <c r="AE21">
        <v>-0.15107913669064746</v>
      </c>
      <c r="AF21">
        <v>0.13</v>
      </c>
      <c r="AG21">
        <v>0.13500000000000001</v>
      </c>
      <c r="AH21">
        <v>0.18</v>
      </c>
      <c r="AI21">
        <v>0.19</v>
      </c>
      <c r="AJ21">
        <v>0.65</v>
      </c>
      <c r="AK21">
        <v>0.65</v>
      </c>
      <c r="AL21">
        <v>1</v>
      </c>
      <c r="AM21">
        <v>1</v>
      </c>
      <c r="AN21">
        <v>0.76</v>
      </c>
      <c r="AO21">
        <v>1</v>
      </c>
      <c r="AP21">
        <f t="shared" si="0"/>
        <v>0.70500000000000007</v>
      </c>
      <c r="AQ21">
        <f t="shared" si="1"/>
        <v>1</v>
      </c>
      <c r="AR21">
        <f t="shared" si="2"/>
        <v>1</v>
      </c>
      <c r="AS21" cm="1">
        <f t="array" ref="AS21">_xlfn.IFS(AF21&gt;'“主要目标”数据分表'!$C$2,1,AF21='“主要目标”数据分表'!$C$2,0,AF21&lt;'“主要目标”数据分表'!$C$2,-1)</f>
        <v>-1</v>
      </c>
      <c r="AT21" cm="1">
        <f t="array" ref="AT21">_xlfn.IFS(AG21&gt;'“主要目标”数据分表'!$D$2,1,AG21='“主要目标”数据分表'!$D$2,0,AG21&lt;'“主要目标”数据分表'!$D$2,-1)</f>
        <v>0</v>
      </c>
      <c r="AU21" cm="1">
        <f t="array" ref="AU21">_xlfn.IFS(AH21&gt;'“主要目标”数据分表'!$E$2,1,AH21='“主要目标”数据分表'!$E$2,0,AH21&lt;'“主要目标”数据分表'!$E$2,-1)</f>
        <v>0</v>
      </c>
      <c r="AV21" cm="1">
        <f t="array" ref="AV21">_xlfn.IFS(AI21&gt;'“主要目标”数据分表'!$F$2,1,AI21='“主要目标”数据分表'!$F$2,0,AI21&lt;'“主要目标”数据分表'!$F$2,-1)</f>
        <v>-1</v>
      </c>
      <c r="AW21" cm="1">
        <f t="array" ref="AW21">_xlfn.IFS(AJ21&gt;'“主要目标”数据分表'!$G$2,1,AJ21='“主要目标”数据分表'!$G$2,0,AJ21&lt;'“主要目标”数据分表'!$G$2,-1)</f>
        <v>0</v>
      </c>
    </row>
    <row r="22" spans="1:49" ht="14.4" x14ac:dyDescent="0.25">
      <c r="A22" s="2">
        <v>3</v>
      </c>
      <c r="B22" s="2" t="s">
        <v>10</v>
      </c>
      <c r="C22" s="2">
        <v>2020</v>
      </c>
      <c r="D22" s="2">
        <v>32782.76</v>
      </c>
      <c r="E22" s="19">
        <v>82674.328761434997</v>
      </c>
      <c r="F22" s="2">
        <v>36206.89</v>
      </c>
      <c r="G22" s="3">
        <v>0.90542877336330196</v>
      </c>
      <c r="H22" s="2">
        <f t="shared" si="11"/>
        <v>-2.3363266765785897E-2</v>
      </c>
      <c r="I22" s="16">
        <v>0.27888529188448369</v>
      </c>
      <c r="J22" s="2">
        <f t="shared" si="10"/>
        <v>5.2692731299140365E-2</v>
      </c>
      <c r="K22">
        <v>2.2833866361191197</v>
      </c>
      <c r="L22">
        <f t="shared" si="5"/>
        <v>-3.2148480097370376E-2</v>
      </c>
      <c r="M22" s="2">
        <v>0</v>
      </c>
      <c r="N22" s="2">
        <v>0</v>
      </c>
      <c r="O22" s="4">
        <v>1</v>
      </c>
      <c r="P22">
        <v>0.86522323557358682</v>
      </c>
      <c r="Q22">
        <v>3.2258064516129031E-2</v>
      </c>
      <c r="R22">
        <v>-0.2202695154308057</v>
      </c>
      <c r="S22">
        <v>1.3</v>
      </c>
      <c r="T22">
        <v>-0.15999999999999989</v>
      </c>
      <c r="U22">
        <v>-3.5143769968051117E-2</v>
      </c>
      <c r="V22">
        <v>-5.1999999999999998E-2</v>
      </c>
      <c r="W22">
        <v>-0.12949640287769781</v>
      </c>
      <c r="X22">
        <v>0.44401166944017406</v>
      </c>
      <c r="Y22">
        <v>2.3182297154899886E-2</v>
      </c>
      <c r="Z22">
        <v>-0.15795989540107727</v>
      </c>
      <c r="AA22">
        <v>0.37142857142857144</v>
      </c>
      <c r="AB22">
        <v>-9.3023255813953432E-2</v>
      </c>
      <c r="AC22">
        <v>-2.8405860967279945E-2</v>
      </c>
      <c r="AD22">
        <v>-5.5590792838874678E-2</v>
      </c>
      <c r="AE22">
        <v>-0.15107913669064746</v>
      </c>
      <c r="AF22">
        <v>0.13</v>
      </c>
      <c r="AG22">
        <v>0.13500000000000001</v>
      </c>
      <c r="AH22">
        <v>0.18</v>
      </c>
      <c r="AI22">
        <v>0.19</v>
      </c>
      <c r="AJ22">
        <v>0.65</v>
      </c>
      <c r="AK22">
        <v>0.65</v>
      </c>
      <c r="AL22">
        <v>1</v>
      </c>
      <c r="AM22">
        <v>1</v>
      </c>
      <c r="AN22">
        <v>0.76</v>
      </c>
      <c r="AO22">
        <v>1</v>
      </c>
      <c r="AP22">
        <f t="shared" si="0"/>
        <v>0.70500000000000007</v>
      </c>
      <c r="AQ22">
        <f t="shared" si="1"/>
        <v>1</v>
      </c>
      <c r="AR22">
        <f t="shared" si="2"/>
        <v>1</v>
      </c>
      <c r="AS22" cm="1">
        <f t="array" ref="AS22">_xlfn.IFS(AF22&gt;'“主要目标”数据分表'!$C$2,1,AF22='“主要目标”数据分表'!$C$2,0,AF22&lt;'“主要目标”数据分表'!$C$2,-1)</f>
        <v>-1</v>
      </c>
      <c r="AT22" cm="1">
        <f t="array" ref="AT22">_xlfn.IFS(AG22&gt;'“主要目标”数据分表'!$D$2,1,AG22='“主要目标”数据分表'!$D$2,0,AG22&lt;'“主要目标”数据分表'!$D$2,-1)</f>
        <v>0</v>
      </c>
      <c r="AU22" cm="1">
        <f t="array" ref="AU22">_xlfn.IFS(AH22&gt;'“主要目标”数据分表'!$E$2,1,AH22='“主要目标”数据分表'!$E$2,0,AH22&lt;'“主要目标”数据分表'!$E$2,-1)</f>
        <v>0</v>
      </c>
      <c r="AV22" cm="1">
        <f t="array" ref="AV22">_xlfn.IFS(AI22&gt;'“主要目标”数据分表'!$F$2,1,AI22='“主要目标”数据分表'!$F$2,0,AI22&lt;'“主要目标”数据分表'!$F$2,-1)</f>
        <v>-1</v>
      </c>
      <c r="AW22" cm="1">
        <f t="array" ref="AW22">_xlfn.IFS(AJ22&gt;'“主要目标”数据分表'!$G$2,1,AJ22='“主要目标”数据分表'!$G$2,0,AJ22&lt;'“主要目标”数据分表'!$G$2,-1)</f>
        <v>0</v>
      </c>
    </row>
    <row r="23" spans="1:49" ht="14.4" x14ac:dyDescent="0.25">
      <c r="A23" s="2">
        <v>3</v>
      </c>
      <c r="B23" s="2" t="s">
        <v>10</v>
      </c>
      <c r="C23" s="2">
        <v>2021</v>
      </c>
      <c r="D23" s="5">
        <v>33085.851559841103</v>
      </c>
      <c r="E23" s="19">
        <v>82061.504784799399</v>
      </c>
      <c r="F23" s="5">
        <v>40391.269999999997</v>
      </c>
      <c r="G23" s="3">
        <v>0.81913372765553316</v>
      </c>
      <c r="H23" s="2">
        <f t="shared" si="11"/>
        <v>-9.5308486152055436E-2</v>
      </c>
      <c r="I23" s="16">
        <v>0.31943667789638319</v>
      </c>
      <c r="J23" s="2">
        <f t="shared" si="10"/>
        <v>0.14540525152074418</v>
      </c>
      <c r="K23">
        <v>2.0316643865072677</v>
      </c>
      <c r="L23">
        <f t="shared" si="5"/>
        <v>-0.1102407475063808</v>
      </c>
      <c r="M23" s="2">
        <v>0</v>
      </c>
      <c r="N23" s="2">
        <v>0</v>
      </c>
      <c r="O23" s="4">
        <v>1</v>
      </c>
      <c r="P23">
        <v>0.86522323557358682</v>
      </c>
      <c r="Q23">
        <v>3.2258064516129031E-2</v>
      </c>
      <c r="R23">
        <v>-0.2202695154308057</v>
      </c>
      <c r="S23">
        <v>1.3</v>
      </c>
      <c r="T23">
        <v>-0.15999999999999989</v>
      </c>
      <c r="U23">
        <v>-3.5143769968051117E-2</v>
      </c>
      <c r="V23">
        <v>-5.1999999999999998E-2</v>
      </c>
      <c r="W23">
        <v>-0.12949640287769781</v>
      </c>
      <c r="X23">
        <v>0.44401166944017406</v>
      </c>
      <c r="Y23">
        <v>2.3182297154899886E-2</v>
      </c>
      <c r="Z23">
        <v>-0.15795989540107727</v>
      </c>
      <c r="AA23">
        <v>0.37142857142857144</v>
      </c>
      <c r="AB23">
        <v>-9.3023255813953432E-2</v>
      </c>
      <c r="AC23">
        <v>-2.8405860967279945E-2</v>
      </c>
      <c r="AD23">
        <v>-5.5590792838874678E-2</v>
      </c>
      <c r="AE23">
        <v>-0.15107913669064746</v>
      </c>
      <c r="AF23">
        <v>0.13</v>
      </c>
      <c r="AG23">
        <v>0.13500000000000001</v>
      </c>
      <c r="AH23">
        <v>0.18</v>
      </c>
      <c r="AI23">
        <v>0.19</v>
      </c>
      <c r="AJ23">
        <v>0.65</v>
      </c>
      <c r="AK23">
        <v>0.65</v>
      </c>
      <c r="AL23">
        <v>1</v>
      </c>
      <c r="AM23">
        <v>1</v>
      </c>
      <c r="AN23">
        <v>0.76</v>
      </c>
      <c r="AO23">
        <v>1</v>
      </c>
      <c r="AP23">
        <f t="shared" si="0"/>
        <v>0.70500000000000007</v>
      </c>
      <c r="AQ23">
        <f t="shared" si="1"/>
        <v>1</v>
      </c>
      <c r="AR23">
        <f t="shared" si="2"/>
        <v>1</v>
      </c>
      <c r="AS23" cm="1">
        <f t="array" ref="AS23">_xlfn.IFS(AF23&gt;'“主要目标”数据分表'!$C$2,1,AF23='“主要目标”数据分表'!$C$2,0,AF23&lt;'“主要目标”数据分表'!$C$2,-1)</f>
        <v>-1</v>
      </c>
      <c r="AT23" cm="1">
        <f t="array" ref="AT23">_xlfn.IFS(AG23&gt;'“主要目标”数据分表'!$D$2,1,AG23='“主要目标”数据分表'!$D$2,0,AG23&lt;'“主要目标”数据分表'!$D$2,-1)</f>
        <v>0</v>
      </c>
      <c r="AU23" cm="1">
        <f t="array" ref="AU23">_xlfn.IFS(AH23&gt;'“主要目标”数据分表'!$E$2,1,AH23='“主要目标”数据分表'!$E$2,0,AH23&lt;'“主要目标”数据分表'!$E$2,-1)</f>
        <v>0</v>
      </c>
      <c r="AV23" cm="1">
        <f t="array" ref="AV23">_xlfn.IFS(AI23&gt;'“主要目标”数据分表'!$F$2,1,AI23='“主要目标”数据分表'!$F$2,0,AI23&lt;'“主要目标”数据分表'!$F$2,-1)</f>
        <v>-1</v>
      </c>
      <c r="AW23" cm="1">
        <f t="array" ref="AW23">_xlfn.IFS(AJ23&gt;'“主要目标”数据分表'!$G$2,1,AJ23='“主要目标”数据分表'!$G$2,0,AJ23&lt;'“主要目标”数据分表'!$G$2,-1)</f>
        <v>0</v>
      </c>
    </row>
    <row r="24" spans="1:49" ht="14.4" x14ac:dyDescent="0.25">
      <c r="A24" s="2">
        <v>3</v>
      </c>
      <c r="B24" s="2" t="s">
        <v>10</v>
      </c>
      <c r="C24" s="2">
        <v>2022</v>
      </c>
      <c r="D24" s="5">
        <v>32538.48</v>
      </c>
      <c r="E24" s="19">
        <v>78668.401819440609</v>
      </c>
      <c r="F24" s="5">
        <v>42370.400000000001</v>
      </c>
      <c r="G24" s="3">
        <v>0.76795309933349698</v>
      </c>
      <c r="H24" s="2">
        <f t="shared" si="11"/>
        <v>-6.248140760669417E-2</v>
      </c>
      <c r="I24" s="16">
        <v>0.32134808865302389</v>
      </c>
      <c r="J24" s="2">
        <f t="shared" si="10"/>
        <v>5.9836921959872998E-3</v>
      </c>
      <c r="K24">
        <v>1.8566830102958813</v>
      </c>
      <c r="L24">
        <f t="shared" si="5"/>
        <v>-8.6127107101682893E-2</v>
      </c>
      <c r="M24" s="2">
        <v>1</v>
      </c>
      <c r="N24" s="2">
        <v>0</v>
      </c>
      <c r="O24" s="4">
        <v>1</v>
      </c>
      <c r="P24">
        <v>0.86522323557358682</v>
      </c>
      <c r="Q24">
        <v>3.2258064516129031E-2</v>
      </c>
      <c r="R24">
        <v>-0.2202695154308057</v>
      </c>
      <c r="S24">
        <v>1.3</v>
      </c>
      <c r="T24">
        <v>-0.15999999999999989</v>
      </c>
      <c r="U24">
        <v>-3.5143769968051117E-2</v>
      </c>
      <c r="V24">
        <v>-5.1999999999999998E-2</v>
      </c>
      <c r="W24">
        <v>-0.12949640287769781</v>
      </c>
      <c r="X24">
        <v>0.44401166944017406</v>
      </c>
      <c r="Y24">
        <v>2.3182297154899886E-2</v>
      </c>
      <c r="Z24">
        <v>-0.15795989540107727</v>
      </c>
      <c r="AA24">
        <v>0.37142857142857144</v>
      </c>
      <c r="AB24">
        <v>-9.3023255813953432E-2</v>
      </c>
      <c r="AC24">
        <v>-2.8405860967279945E-2</v>
      </c>
      <c r="AD24">
        <v>-5.5590792838874678E-2</v>
      </c>
      <c r="AE24">
        <v>-0.15107913669064746</v>
      </c>
      <c r="AF24">
        <v>0.13</v>
      </c>
      <c r="AG24">
        <v>0.13500000000000001</v>
      </c>
      <c r="AH24">
        <v>0.18</v>
      </c>
      <c r="AI24">
        <v>0.19</v>
      </c>
      <c r="AJ24">
        <v>0.65</v>
      </c>
      <c r="AK24">
        <v>0.65</v>
      </c>
      <c r="AL24">
        <v>1</v>
      </c>
      <c r="AM24">
        <v>1</v>
      </c>
      <c r="AN24">
        <v>0.76</v>
      </c>
      <c r="AO24">
        <v>1</v>
      </c>
      <c r="AP24">
        <f t="shared" si="0"/>
        <v>0.70500000000000007</v>
      </c>
      <c r="AQ24">
        <f t="shared" si="1"/>
        <v>1</v>
      </c>
      <c r="AR24">
        <f t="shared" si="2"/>
        <v>1</v>
      </c>
      <c r="AS24" cm="1">
        <f t="array" ref="AS24">_xlfn.IFS(AF24&gt;'“主要目标”数据分表'!$C$2,1,AF24='“主要目标”数据分表'!$C$2,0,AF24&lt;'“主要目标”数据分表'!$C$2,-1)</f>
        <v>-1</v>
      </c>
      <c r="AT24" cm="1">
        <f t="array" ref="AT24">_xlfn.IFS(AG24&gt;'“主要目标”数据分表'!$D$2,1,AG24='“主要目标”数据分表'!$D$2,0,AG24&lt;'“主要目标”数据分表'!$D$2,-1)</f>
        <v>0</v>
      </c>
      <c r="AU24" cm="1">
        <f t="array" ref="AU24">_xlfn.IFS(AH24&gt;'“主要目标”数据分表'!$E$2,1,AH24='“主要目标”数据分表'!$E$2,0,AH24&lt;'“主要目标”数据分表'!$E$2,-1)</f>
        <v>0</v>
      </c>
      <c r="AV24" cm="1">
        <f t="array" ref="AV24">_xlfn.IFS(AI24&gt;'“主要目标”数据分表'!$F$2,1,AI24='“主要目标”数据分表'!$F$2,0,AI24&lt;'“主要目标”数据分表'!$F$2,-1)</f>
        <v>-1</v>
      </c>
      <c r="AW24" cm="1">
        <f t="array" ref="AW24">_xlfn.IFS(AJ24&gt;'“主要目标”数据分表'!$G$2,1,AJ24='“主要目标”数据分表'!$G$2,0,AJ24&lt;'“主要目标”数据分表'!$G$2,-1)</f>
        <v>0</v>
      </c>
    </row>
    <row r="25" spans="1:49" ht="14.4" x14ac:dyDescent="0.25">
      <c r="A25" s="2">
        <v>3</v>
      </c>
      <c r="B25" s="11" t="s">
        <v>51</v>
      </c>
      <c r="C25" s="2">
        <v>2023</v>
      </c>
      <c r="D25" s="5">
        <v>33615.32</v>
      </c>
      <c r="E25" s="19">
        <v>81030.318853294099</v>
      </c>
      <c r="F25" s="5">
        <v>43944.1</v>
      </c>
      <c r="G25" s="3">
        <v>0.76495638777446806</v>
      </c>
      <c r="H25" s="2">
        <f t="shared" si="11"/>
        <v>-3.9022064780124617E-3</v>
      </c>
      <c r="K25">
        <v>1.8439407987259746</v>
      </c>
      <c r="L25">
        <f t="shared" si="5"/>
        <v>-6.8628901644746214E-3</v>
      </c>
      <c r="M25" s="2">
        <v>1</v>
      </c>
      <c r="N25" s="2">
        <v>1</v>
      </c>
      <c r="O25" s="4">
        <v>1</v>
      </c>
      <c r="P25">
        <v>0.86522323557358682</v>
      </c>
      <c r="Q25">
        <v>3.2258064516129031E-2</v>
      </c>
      <c r="R25">
        <v>-0.2202695154308057</v>
      </c>
      <c r="S25">
        <v>1.3</v>
      </c>
      <c r="T25">
        <v>-0.15999999999999989</v>
      </c>
      <c r="U25">
        <v>-3.5143769968051117E-2</v>
      </c>
      <c r="V25">
        <v>-5.1999999999999998E-2</v>
      </c>
      <c r="W25">
        <v>-0.12949640287769781</v>
      </c>
      <c r="X25">
        <v>0.44401166944017406</v>
      </c>
      <c r="Y25">
        <v>2.3182297154899886E-2</v>
      </c>
      <c r="Z25">
        <v>-0.15795989540107727</v>
      </c>
      <c r="AA25">
        <v>0.37142857142857144</v>
      </c>
      <c r="AB25">
        <v>-9.3023255813953432E-2</v>
      </c>
      <c r="AC25">
        <v>-2.8405860967279945E-2</v>
      </c>
      <c r="AD25">
        <v>-5.5590792838874678E-2</v>
      </c>
      <c r="AE25">
        <v>-0.15107913669064746</v>
      </c>
      <c r="AF25">
        <v>0.13</v>
      </c>
      <c r="AG25">
        <v>0.13500000000000001</v>
      </c>
      <c r="AH25">
        <v>0.18</v>
      </c>
      <c r="AI25">
        <v>0.19</v>
      </c>
      <c r="AJ25">
        <v>0.65</v>
      </c>
      <c r="AK25">
        <v>0.65</v>
      </c>
      <c r="AL25">
        <v>1</v>
      </c>
      <c r="AM25">
        <v>1</v>
      </c>
      <c r="AN25">
        <v>0.76</v>
      </c>
      <c r="AO25">
        <v>1</v>
      </c>
      <c r="AP25">
        <f t="shared" si="0"/>
        <v>0.70500000000000007</v>
      </c>
      <c r="AQ25">
        <f t="shared" si="1"/>
        <v>1</v>
      </c>
      <c r="AR25">
        <f t="shared" si="2"/>
        <v>1</v>
      </c>
      <c r="AS25" cm="1">
        <f t="array" ref="AS25">_xlfn.IFS(AF25&gt;'“主要目标”数据分表'!$C$2,1,AF25='“主要目标”数据分表'!$C$2,0,AF25&lt;'“主要目标”数据分表'!$C$2,-1)</f>
        <v>-1</v>
      </c>
      <c r="AT25" cm="1">
        <f t="array" ref="AT25">_xlfn.IFS(AG25&gt;'“主要目标”数据分表'!$D$2,1,AG25='“主要目标”数据分表'!$D$2,0,AG25&lt;'“主要目标”数据分表'!$D$2,-1)</f>
        <v>0</v>
      </c>
      <c r="AU25" cm="1">
        <f t="array" ref="AU25">_xlfn.IFS(AH25&gt;'“主要目标”数据分表'!$E$2,1,AH25='“主要目标”数据分表'!$E$2,0,AH25&lt;'“主要目标”数据分表'!$E$2,-1)</f>
        <v>0</v>
      </c>
      <c r="AV25" cm="1">
        <f t="array" ref="AV25">_xlfn.IFS(AI25&gt;'“主要目标”数据分表'!$F$2,1,AI25='“主要目标”数据分表'!$F$2,0,AI25&lt;'“主要目标”数据分表'!$F$2,-1)</f>
        <v>-1</v>
      </c>
      <c r="AW25" cm="1">
        <f t="array" ref="AW25">_xlfn.IFS(AJ25&gt;'“主要目标”数据分表'!$G$2,1,AJ25='“主要目标”数据分表'!$G$2,0,AJ25&lt;'“主要目标”数据分表'!$G$2,-1)</f>
        <v>0</v>
      </c>
    </row>
    <row r="26" spans="1:49" ht="14.4" x14ac:dyDescent="0.25">
      <c r="A26" s="2">
        <v>4</v>
      </c>
      <c r="B26" s="2" t="s">
        <v>11</v>
      </c>
      <c r="C26" s="2">
        <v>2016</v>
      </c>
      <c r="D26" s="2">
        <v>18974</v>
      </c>
      <c r="E26" s="19">
        <v>50115.1417156483</v>
      </c>
      <c r="F26" s="2">
        <v>13050.41</v>
      </c>
      <c r="G26" s="3">
        <v>1.4539006820475373</v>
      </c>
      <c r="H26" s="2"/>
      <c r="I26" s="16">
        <v>0.24061152917585291</v>
      </c>
      <c r="K26">
        <v>3.840120097042798</v>
      </c>
      <c r="L26"/>
      <c r="M26" s="2">
        <v>0</v>
      </c>
      <c r="N26" s="2">
        <v>0</v>
      </c>
      <c r="O26" s="4">
        <v>1</v>
      </c>
      <c r="P26">
        <v>0.83606885814946419</v>
      </c>
      <c r="Q26">
        <v>0.81818181818181823</v>
      </c>
      <c r="R26">
        <v>0.63020120560443138</v>
      </c>
      <c r="S26">
        <v>2.9</v>
      </c>
      <c r="T26">
        <v>0.82</v>
      </c>
      <c r="U26">
        <v>0.4726027397260274</v>
      </c>
      <c r="V26">
        <v>0.39013452914798208</v>
      </c>
      <c r="W26">
        <v>9.1743119266055051E-2</v>
      </c>
      <c r="X26">
        <v>0.3237424657234283</v>
      </c>
      <c r="Y26">
        <v>0.5879873551106426</v>
      </c>
      <c r="Z26">
        <v>0.45193051941034384</v>
      </c>
      <c r="AA26">
        <v>0.82857142857142851</v>
      </c>
      <c r="AB26">
        <v>0.47674418604651159</v>
      </c>
      <c r="AC26">
        <v>0.38199338686820983</v>
      </c>
      <c r="AD26">
        <v>0.41707476517610359</v>
      </c>
      <c r="AE26">
        <v>0.1070336391437309</v>
      </c>
      <c r="AF26">
        <v>0.12</v>
      </c>
      <c r="AG26">
        <v>0.13500000000000001</v>
      </c>
      <c r="AH26">
        <v>0.18</v>
      </c>
      <c r="AI26">
        <v>0.18</v>
      </c>
      <c r="AJ26">
        <v>0.65</v>
      </c>
      <c r="AK26">
        <v>0.6</v>
      </c>
      <c r="AL26">
        <v>1</v>
      </c>
      <c r="AM26">
        <v>1</v>
      </c>
      <c r="AN26">
        <v>0.72</v>
      </c>
      <c r="AO26">
        <v>1</v>
      </c>
      <c r="AP26">
        <f t="shared" si="0"/>
        <v>0.65999999999999992</v>
      </c>
      <c r="AQ26">
        <f t="shared" si="1"/>
        <v>1</v>
      </c>
      <c r="AR26">
        <f t="shared" si="2"/>
        <v>1</v>
      </c>
      <c r="AS26" cm="1">
        <f t="array" ref="AS26">_xlfn.IFS(AF26&gt;'“主要目标”数据分表'!$C$2,1,AF26='“主要目标”数据分表'!$C$2,0,AF26&lt;'“主要目标”数据分表'!$C$2,-1)</f>
        <v>-1</v>
      </c>
      <c r="AT26" cm="1">
        <f t="array" ref="AT26">_xlfn.IFS(AG26&gt;'“主要目标”数据分表'!$D$2,1,AG26='“主要目标”数据分表'!$D$2,0,AG26&lt;'“主要目标”数据分表'!$D$2,-1)</f>
        <v>0</v>
      </c>
      <c r="AU26" cm="1">
        <f t="array" ref="AU26">_xlfn.IFS(AH26&gt;'“主要目标”数据分表'!$E$2,1,AH26='“主要目标”数据分表'!$E$2,0,AH26&lt;'“主要目标”数据分表'!$E$2,-1)</f>
        <v>0</v>
      </c>
      <c r="AV26" cm="1">
        <f t="array" ref="AV26">_xlfn.IFS(AI26&gt;'“主要目标”数据分表'!$F$2,1,AI26='“主要目标”数据分表'!$F$2,0,AI26&lt;'“主要目标”数据分表'!$F$2,-1)</f>
        <v>-1</v>
      </c>
      <c r="AW26" cm="1">
        <f t="array" ref="AW26">_xlfn.IFS(AJ26&gt;'“主要目标”数据分表'!$G$2,1,AJ26='“主要目标”数据分表'!$G$2,0,AJ26&lt;'“主要目标”数据分表'!$G$2,-1)</f>
        <v>0</v>
      </c>
    </row>
    <row r="27" spans="1:49" ht="14.4" x14ac:dyDescent="0.25">
      <c r="A27" s="2">
        <v>4</v>
      </c>
      <c r="B27" s="2" t="s">
        <v>11</v>
      </c>
      <c r="C27" s="2">
        <v>2017</v>
      </c>
      <c r="D27" s="2">
        <v>19581</v>
      </c>
      <c r="E27" s="19">
        <v>50653.638905173204</v>
      </c>
      <c r="F27" s="2">
        <v>15528.42</v>
      </c>
      <c r="G27" s="3">
        <v>1.2609782579296542</v>
      </c>
      <c r="H27" s="2">
        <f>(G27-G26)/G26</f>
        <v>-0.13269298687320871</v>
      </c>
      <c r="I27" s="16">
        <v>0.26312939212758013</v>
      </c>
      <c r="J27" s="2">
        <f>(I27-I26)/I26</f>
        <v>9.3585968340153231E-2</v>
      </c>
      <c r="K27">
        <v>3.2619956766479272</v>
      </c>
      <c r="L27">
        <f t="shared" si="5"/>
        <v>-0.15054852603179603</v>
      </c>
      <c r="M27" s="2">
        <v>0</v>
      </c>
      <c r="N27" s="2">
        <v>0</v>
      </c>
      <c r="O27" s="4">
        <v>1</v>
      </c>
      <c r="P27">
        <v>0.83606885814946419</v>
      </c>
      <c r="Q27">
        <v>0.81818181818181823</v>
      </c>
      <c r="R27">
        <v>0.63020120560443138</v>
      </c>
      <c r="S27">
        <v>2.9</v>
      </c>
      <c r="T27">
        <v>0.82</v>
      </c>
      <c r="U27">
        <v>0.4726027397260274</v>
      </c>
      <c r="V27">
        <v>0.39013452914798208</v>
      </c>
      <c r="W27">
        <v>9.1743119266055051E-2</v>
      </c>
      <c r="X27">
        <v>0.3237424657234283</v>
      </c>
      <c r="Y27">
        <v>0.5879873551106426</v>
      </c>
      <c r="Z27">
        <v>0.45193051941034384</v>
      </c>
      <c r="AA27">
        <v>0.82857142857142851</v>
      </c>
      <c r="AB27">
        <v>0.47674418604651159</v>
      </c>
      <c r="AC27">
        <v>0.38199338686820983</v>
      </c>
      <c r="AD27">
        <v>0.41707476517610359</v>
      </c>
      <c r="AE27">
        <v>0.1070336391437309</v>
      </c>
      <c r="AF27">
        <v>0.12</v>
      </c>
      <c r="AG27">
        <v>0.13500000000000001</v>
      </c>
      <c r="AH27">
        <v>0.18</v>
      </c>
      <c r="AI27">
        <v>0.18</v>
      </c>
      <c r="AJ27">
        <v>0.65</v>
      </c>
      <c r="AK27">
        <v>0.6</v>
      </c>
      <c r="AL27">
        <v>1</v>
      </c>
      <c r="AM27">
        <v>1</v>
      </c>
      <c r="AN27">
        <v>0.72</v>
      </c>
      <c r="AO27">
        <v>1</v>
      </c>
      <c r="AP27">
        <f t="shared" si="0"/>
        <v>0.65999999999999992</v>
      </c>
      <c r="AQ27">
        <f t="shared" si="1"/>
        <v>1</v>
      </c>
      <c r="AR27">
        <f t="shared" si="2"/>
        <v>1</v>
      </c>
      <c r="AS27" cm="1">
        <f t="array" ref="AS27">_xlfn.IFS(AF27&gt;'“主要目标”数据分表'!$C$2,1,AF27='“主要目标”数据分表'!$C$2,0,AF27&lt;'“主要目标”数据分表'!$C$2,-1)</f>
        <v>-1</v>
      </c>
      <c r="AT27" cm="1">
        <f t="array" ref="AT27">_xlfn.IFS(AG27&gt;'“主要目标”数据分表'!$D$2,1,AG27='“主要目标”数据分表'!$D$2,0,AG27&lt;'“主要目标”数据分表'!$D$2,-1)</f>
        <v>0</v>
      </c>
      <c r="AU27" cm="1">
        <f t="array" ref="AU27">_xlfn.IFS(AH27&gt;'“主要目标”数据分表'!$E$2,1,AH27='“主要目标”数据分表'!$E$2,0,AH27&lt;'“主要目标”数据分表'!$E$2,-1)</f>
        <v>0</v>
      </c>
      <c r="AV27" cm="1">
        <f t="array" ref="AV27">_xlfn.IFS(AI27&gt;'“主要目标”数据分表'!$F$2,1,AI27='“主要目标”数据分表'!$F$2,0,AI27&lt;'“主要目标”数据分表'!$F$2,-1)</f>
        <v>-1</v>
      </c>
      <c r="AW27" cm="1">
        <f t="array" ref="AW27">_xlfn.IFS(AJ27&gt;'“主要目标”数据分表'!$G$2,1,AJ27='“主要目标”数据分表'!$G$2,0,AJ27&lt;'“主要目标”数据分表'!$G$2,-1)</f>
        <v>0</v>
      </c>
    </row>
    <row r="28" spans="1:49" ht="14.4" x14ac:dyDescent="0.25">
      <c r="A28" s="2">
        <v>4</v>
      </c>
      <c r="B28" s="2" t="s">
        <v>11</v>
      </c>
      <c r="C28" s="2">
        <v>2018</v>
      </c>
      <c r="D28" s="2">
        <v>20199</v>
      </c>
      <c r="E28" s="19">
        <v>52257.304261224403</v>
      </c>
      <c r="F28" s="2">
        <v>16818.11</v>
      </c>
      <c r="G28" s="3">
        <v>1.2010267503304473</v>
      </c>
      <c r="H28" s="2">
        <f t="shared" ref="H28:H33" si="12">(G28-G27)/G27</f>
        <v>-4.7543648926698205E-2</v>
      </c>
      <c r="I28" s="16">
        <v>0.29171651797939768</v>
      </c>
      <c r="J28" s="2">
        <f t="shared" ref="J28:J32" si="13">(I28-I27)/I27</f>
        <v>0.10864284533427145</v>
      </c>
      <c r="K28">
        <v>3.1072043327831964</v>
      </c>
      <c r="L28">
        <f t="shared" si="5"/>
        <v>-4.7452958007533776E-2</v>
      </c>
      <c r="M28" s="2">
        <v>0</v>
      </c>
      <c r="N28" s="2">
        <v>0</v>
      </c>
      <c r="O28" s="4">
        <v>1</v>
      </c>
      <c r="P28">
        <v>0.83606885814946419</v>
      </c>
      <c r="Q28">
        <v>0.81818181818181823</v>
      </c>
      <c r="R28">
        <v>0.63020120560443138</v>
      </c>
      <c r="S28">
        <v>2.9</v>
      </c>
      <c r="T28">
        <v>0.82</v>
      </c>
      <c r="U28">
        <v>0.4726027397260274</v>
      </c>
      <c r="V28">
        <v>0.39013452914798208</v>
      </c>
      <c r="W28">
        <v>9.1743119266055051E-2</v>
      </c>
      <c r="X28">
        <v>0.3237424657234283</v>
      </c>
      <c r="Y28">
        <v>0.5879873551106426</v>
      </c>
      <c r="Z28">
        <v>0.45193051941034384</v>
      </c>
      <c r="AA28">
        <v>0.82857142857142851</v>
      </c>
      <c r="AB28">
        <v>0.47674418604651159</v>
      </c>
      <c r="AC28">
        <v>0.38199338686820983</v>
      </c>
      <c r="AD28">
        <v>0.41707476517610359</v>
      </c>
      <c r="AE28">
        <v>0.1070336391437309</v>
      </c>
      <c r="AF28">
        <v>0.12</v>
      </c>
      <c r="AG28">
        <v>0.13500000000000001</v>
      </c>
      <c r="AH28">
        <v>0.18</v>
      </c>
      <c r="AI28">
        <v>0.18</v>
      </c>
      <c r="AJ28">
        <v>0.65</v>
      </c>
      <c r="AK28">
        <v>0.6</v>
      </c>
      <c r="AL28">
        <v>1</v>
      </c>
      <c r="AM28">
        <v>1</v>
      </c>
      <c r="AN28">
        <v>0.72</v>
      </c>
      <c r="AO28">
        <v>1</v>
      </c>
      <c r="AP28">
        <f t="shared" si="0"/>
        <v>0.65999999999999992</v>
      </c>
      <c r="AQ28">
        <f t="shared" si="1"/>
        <v>1</v>
      </c>
      <c r="AR28">
        <f t="shared" si="2"/>
        <v>1</v>
      </c>
      <c r="AS28" cm="1">
        <f t="array" ref="AS28">_xlfn.IFS(AF28&gt;'“主要目标”数据分表'!$C$2,1,AF28='“主要目标”数据分表'!$C$2,0,AF28&lt;'“主要目标”数据分表'!$C$2,-1)</f>
        <v>-1</v>
      </c>
      <c r="AT28" cm="1">
        <f t="array" ref="AT28">_xlfn.IFS(AG28&gt;'“主要目标”数据分表'!$D$2,1,AG28='“主要目标”数据分表'!$D$2,0,AG28&lt;'“主要目标”数据分表'!$D$2,-1)</f>
        <v>0</v>
      </c>
      <c r="AU28" cm="1">
        <f t="array" ref="AU28">_xlfn.IFS(AH28&gt;'“主要目标”数据分表'!$E$2,1,AH28='“主要目标”数据分表'!$E$2,0,AH28&lt;'“主要目标”数据分表'!$E$2,-1)</f>
        <v>0</v>
      </c>
      <c r="AV28" cm="1">
        <f t="array" ref="AV28">_xlfn.IFS(AI28&gt;'“主要目标”数据分表'!$F$2,1,AI28='“主要目标”数据分表'!$F$2,0,AI28&lt;'“主要目标”数据分表'!$F$2,-1)</f>
        <v>-1</v>
      </c>
      <c r="AW28" cm="1">
        <f t="array" ref="AW28">_xlfn.IFS(AJ28&gt;'“主要目标”数据分表'!$G$2,1,AJ28='“主要目标”数据分表'!$G$2,0,AJ28&lt;'“主要目标”数据分表'!$G$2,-1)</f>
        <v>0</v>
      </c>
    </row>
    <row r="29" spans="1:49" ht="14.4" x14ac:dyDescent="0.25">
      <c r="A29" s="2">
        <v>4</v>
      </c>
      <c r="B29" s="2" t="s">
        <v>11</v>
      </c>
      <c r="C29" s="2">
        <v>2019</v>
      </c>
      <c r="D29" s="2">
        <v>20859</v>
      </c>
      <c r="E29" s="19">
        <v>52940.152020508998</v>
      </c>
      <c r="F29" s="2">
        <v>17026.68</v>
      </c>
      <c r="G29" s="3">
        <v>1.2250773491954978</v>
      </c>
      <c r="H29" s="2">
        <f t="shared" si="12"/>
        <v>2.0025031797529364E-2</v>
      </c>
      <c r="I29" s="16">
        <v>0.29011883670198452</v>
      </c>
      <c r="J29" s="2">
        <f t="shared" si="13"/>
        <v>-5.4768282868575885E-3</v>
      </c>
      <c r="K29">
        <v>3.109246900776252</v>
      </c>
      <c r="L29">
        <f t="shared" si="5"/>
        <v>6.5736519851785898E-4</v>
      </c>
      <c r="M29" s="2">
        <v>0</v>
      </c>
      <c r="N29" s="2">
        <v>0</v>
      </c>
      <c r="O29" s="4">
        <v>1</v>
      </c>
      <c r="P29">
        <v>0.83606885814946419</v>
      </c>
      <c r="Q29">
        <v>0.81818181818181823</v>
      </c>
      <c r="R29">
        <v>0.63020120560443138</v>
      </c>
      <c r="S29">
        <v>2.9</v>
      </c>
      <c r="T29">
        <v>0.82</v>
      </c>
      <c r="U29">
        <v>0.4726027397260274</v>
      </c>
      <c r="V29">
        <v>0.39013452914798208</v>
      </c>
      <c r="W29">
        <v>9.1743119266055051E-2</v>
      </c>
      <c r="X29">
        <v>0.3237424657234283</v>
      </c>
      <c r="Y29">
        <v>0.5879873551106426</v>
      </c>
      <c r="Z29">
        <v>0.45193051941034384</v>
      </c>
      <c r="AA29">
        <v>0.82857142857142851</v>
      </c>
      <c r="AB29">
        <v>0.47674418604651159</v>
      </c>
      <c r="AC29">
        <v>0.38199338686820983</v>
      </c>
      <c r="AD29">
        <v>0.41707476517610359</v>
      </c>
      <c r="AE29">
        <v>0.1070336391437309</v>
      </c>
      <c r="AF29">
        <v>0.12</v>
      </c>
      <c r="AG29">
        <v>0.13500000000000001</v>
      </c>
      <c r="AH29">
        <v>0.18</v>
      </c>
      <c r="AI29">
        <v>0.18</v>
      </c>
      <c r="AJ29">
        <v>0.65</v>
      </c>
      <c r="AK29">
        <v>0.6</v>
      </c>
      <c r="AL29">
        <v>1</v>
      </c>
      <c r="AM29">
        <v>1</v>
      </c>
      <c r="AN29">
        <v>0.72</v>
      </c>
      <c r="AO29">
        <v>1</v>
      </c>
      <c r="AP29">
        <f t="shared" si="0"/>
        <v>0.65999999999999992</v>
      </c>
      <c r="AQ29">
        <f t="shared" si="1"/>
        <v>1</v>
      </c>
      <c r="AR29">
        <f t="shared" si="2"/>
        <v>1</v>
      </c>
      <c r="AS29" cm="1">
        <f t="array" ref="AS29">_xlfn.IFS(AF29&gt;'“主要目标”数据分表'!$C$2,1,AF29='“主要目标”数据分表'!$C$2,0,AF29&lt;'“主要目标”数据分表'!$C$2,-1)</f>
        <v>-1</v>
      </c>
      <c r="AT29" cm="1">
        <f t="array" ref="AT29">_xlfn.IFS(AG29&gt;'“主要目标”数据分表'!$D$2,1,AG29='“主要目标”数据分表'!$D$2,0,AG29&lt;'“主要目标”数据分表'!$D$2,-1)</f>
        <v>0</v>
      </c>
      <c r="AU29" cm="1">
        <f t="array" ref="AU29">_xlfn.IFS(AH29&gt;'“主要目标”数据分表'!$E$2,1,AH29='“主要目标”数据分表'!$E$2,0,AH29&lt;'“主要目标”数据分表'!$E$2,-1)</f>
        <v>0</v>
      </c>
      <c r="AV29" cm="1">
        <f t="array" ref="AV29">_xlfn.IFS(AI29&gt;'“主要目标”数据分表'!$F$2,1,AI29='“主要目标”数据分表'!$F$2,0,AI29&lt;'“主要目标”数据分表'!$F$2,-1)</f>
        <v>-1</v>
      </c>
      <c r="AW29" cm="1">
        <f t="array" ref="AW29">_xlfn.IFS(AJ29&gt;'“主要目标”数据分表'!$G$2,1,AJ29='“主要目标”数据分表'!$G$2,0,AJ29&lt;'“主要目标”数据分表'!$G$2,-1)</f>
        <v>0</v>
      </c>
    </row>
    <row r="30" spans="1:49" ht="14.4" x14ac:dyDescent="0.25">
      <c r="A30" s="2">
        <v>4</v>
      </c>
      <c r="B30" s="2" t="s">
        <v>11</v>
      </c>
      <c r="C30" s="2">
        <v>2020</v>
      </c>
      <c r="D30" s="2">
        <v>20980.55</v>
      </c>
      <c r="E30" s="19">
        <v>53023.822335002398</v>
      </c>
      <c r="F30" s="2">
        <v>17651.93</v>
      </c>
      <c r="G30" s="3">
        <v>1.1885697484637656</v>
      </c>
      <c r="H30" s="2">
        <f t="shared" si="12"/>
        <v>-2.9800241393497778E-2</v>
      </c>
      <c r="I30" s="16">
        <v>0.30115491169383812</v>
      </c>
      <c r="J30" s="2">
        <f t="shared" si="13"/>
        <v>3.8039842973691736E-2</v>
      </c>
      <c r="K30">
        <v>3.0038541017895719</v>
      </c>
      <c r="L30">
        <f t="shared" si="5"/>
        <v>-3.3896567995410014E-2</v>
      </c>
      <c r="M30" s="2">
        <v>0</v>
      </c>
      <c r="N30" s="2">
        <v>0</v>
      </c>
      <c r="O30" s="4">
        <v>1</v>
      </c>
      <c r="P30">
        <v>0.83606885814946419</v>
      </c>
      <c r="Q30">
        <v>0.81818181818181823</v>
      </c>
      <c r="R30">
        <v>0.63020120560443138</v>
      </c>
      <c r="S30">
        <v>2.9</v>
      </c>
      <c r="T30">
        <v>0.82</v>
      </c>
      <c r="U30">
        <v>0.4726027397260274</v>
      </c>
      <c r="V30">
        <v>0.39013452914798208</v>
      </c>
      <c r="W30">
        <v>9.1743119266055051E-2</v>
      </c>
      <c r="X30">
        <v>0.3237424657234283</v>
      </c>
      <c r="Y30">
        <v>0.5879873551106426</v>
      </c>
      <c r="Z30">
        <v>0.45193051941034384</v>
      </c>
      <c r="AA30">
        <v>0.82857142857142851</v>
      </c>
      <c r="AB30">
        <v>0.47674418604651159</v>
      </c>
      <c r="AC30">
        <v>0.38199338686820983</v>
      </c>
      <c r="AD30">
        <v>0.41707476517610359</v>
      </c>
      <c r="AE30">
        <v>0.1070336391437309</v>
      </c>
      <c r="AF30">
        <v>0.12</v>
      </c>
      <c r="AG30">
        <v>0.13500000000000001</v>
      </c>
      <c r="AH30">
        <v>0.18</v>
      </c>
      <c r="AI30">
        <v>0.18</v>
      </c>
      <c r="AJ30">
        <v>0.65</v>
      </c>
      <c r="AK30">
        <v>0.6</v>
      </c>
      <c r="AL30">
        <v>1</v>
      </c>
      <c r="AM30">
        <v>1</v>
      </c>
      <c r="AN30">
        <v>0.72</v>
      </c>
      <c r="AO30">
        <v>1</v>
      </c>
      <c r="AP30">
        <f t="shared" si="0"/>
        <v>0.65999999999999992</v>
      </c>
      <c r="AQ30">
        <f t="shared" si="1"/>
        <v>1</v>
      </c>
      <c r="AR30">
        <f t="shared" si="2"/>
        <v>1</v>
      </c>
      <c r="AS30" cm="1">
        <f t="array" ref="AS30">_xlfn.IFS(AF30&gt;'“主要目标”数据分表'!$C$2,1,AF30='“主要目标”数据分表'!$C$2,0,AF30&lt;'“主要目标”数据分表'!$C$2,-1)</f>
        <v>-1</v>
      </c>
      <c r="AT30" cm="1">
        <f t="array" ref="AT30">_xlfn.IFS(AG30&gt;'“主要目标”数据分表'!$D$2,1,AG30='“主要目标”数据分表'!$D$2,0,AG30&lt;'“主要目标”数据分表'!$D$2,-1)</f>
        <v>0</v>
      </c>
      <c r="AU30" cm="1">
        <f t="array" ref="AU30">_xlfn.IFS(AH30&gt;'“主要目标”数据分表'!$E$2,1,AH30='“主要目标”数据分表'!$E$2,0,AH30&lt;'“主要目标”数据分表'!$E$2,-1)</f>
        <v>0</v>
      </c>
      <c r="AV30" cm="1">
        <f t="array" ref="AV30">_xlfn.IFS(AI30&gt;'“主要目标”数据分表'!$F$2,1,AI30='“主要目标”数据分表'!$F$2,0,AI30&lt;'“主要目标”数据分表'!$F$2,-1)</f>
        <v>-1</v>
      </c>
      <c r="AW30" cm="1">
        <f t="array" ref="AW30">_xlfn.IFS(AJ30&gt;'“主要目标”数据分表'!$G$2,1,AJ30='“主要目标”数据分表'!$G$2,0,AJ30&lt;'“主要目标”数据分表'!$G$2,-1)</f>
        <v>0</v>
      </c>
    </row>
    <row r="31" spans="1:49" ht="14.4" x14ac:dyDescent="0.25">
      <c r="A31" s="2">
        <v>4</v>
      </c>
      <c r="B31" s="2" t="s">
        <v>11</v>
      </c>
      <c r="C31" s="2">
        <v>2021</v>
      </c>
      <c r="D31" s="2">
        <v>21643.94</v>
      </c>
      <c r="E31" s="19">
        <v>57900.729570894298</v>
      </c>
      <c r="F31" s="2">
        <v>22590.160800000001</v>
      </c>
      <c r="G31" s="3">
        <v>0.95811358722156581</v>
      </c>
      <c r="H31" s="2">
        <f t="shared" si="12"/>
        <v>-0.19389367897009488</v>
      </c>
      <c r="I31" s="16">
        <v>0.309443679404592</v>
      </c>
      <c r="J31" s="2">
        <f t="shared" si="13"/>
        <v>2.7523269217606023E-2</v>
      </c>
      <c r="K31">
        <v>2.5630950608768703</v>
      </c>
      <c r="L31">
        <f t="shared" si="5"/>
        <v>-0.14673117467659816</v>
      </c>
      <c r="M31" s="2">
        <v>0</v>
      </c>
      <c r="N31" s="2">
        <v>0</v>
      </c>
      <c r="O31" s="4">
        <v>1</v>
      </c>
      <c r="P31">
        <v>0.83606885814946419</v>
      </c>
      <c r="Q31">
        <v>0.81818181818181823</v>
      </c>
      <c r="R31">
        <v>0.63020120560443138</v>
      </c>
      <c r="S31">
        <v>2.9</v>
      </c>
      <c r="T31">
        <v>0.82</v>
      </c>
      <c r="U31">
        <v>0.4726027397260274</v>
      </c>
      <c r="V31">
        <v>0.39013452914798208</v>
      </c>
      <c r="W31">
        <v>9.1743119266055051E-2</v>
      </c>
      <c r="X31">
        <v>0.3237424657234283</v>
      </c>
      <c r="Y31">
        <v>0.5879873551106426</v>
      </c>
      <c r="Z31">
        <v>0.45193051941034384</v>
      </c>
      <c r="AA31">
        <v>0.82857142857142851</v>
      </c>
      <c r="AB31">
        <v>0.47674418604651159</v>
      </c>
      <c r="AC31">
        <v>0.38199338686820983</v>
      </c>
      <c r="AD31">
        <v>0.41707476517610359</v>
      </c>
      <c r="AE31">
        <v>0.1070336391437309</v>
      </c>
      <c r="AF31">
        <v>0.12</v>
      </c>
      <c r="AG31">
        <v>0.13500000000000001</v>
      </c>
      <c r="AH31">
        <v>0.18</v>
      </c>
      <c r="AI31">
        <v>0.18</v>
      </c>
      <c r="AJ31">
        <v>0.65</v>
      </c>
      <c r="AK31">
        <v>0.6</v>
      </c>
      <c r="AL31">
        <v>1</v>
      </c>
      <c r="AM31">
        <v>1</v>
      </c>
      <c r="AN31">
        <v>0.72</v>
      </c>
      <c r="AO31">
        <v>1</v>
      </c>
      <c r="AP31">
        <f t="shared" si="0"/>
        <v>0.65999999999999992</v>
      </c>
      <c r="AQ31">
        <f t="shared" si="1"/>
        <v>1</v>
      </c>
      <c r="AR31">
        <f t="shared" si="2"/>
        <v>1</v>
      </c>
      <c r="AS31" cm="1">
        <f t="array" ref="AS31">_xlfn.IFS(AF31&gt;'“主要目标”数据分表'!$C$2,1,AF31='“主要目标”数据分表'!$C$2,0,AF31&lt;'“主要目标”数据分表'!$C$2,-1)</f>
        <v>-1</v>
      </c>
      <c r="AT31" cm="1">
        <f t="array" ref="AT31">_xlfn.IFS(AG31&gt;'“主要目标”数据分表'!$D$2,1,AG31='“主要目标”数据分表'!$D$2,0,AG31&lt;'“主要目标”数据分表'!$D$2,-1)</f>
        <v>0</v>
      </c>
      <c r="AU31" cm="1">
        <f t="array" ref="AU31">_xlfn.IFS(AH31&gt;'“主要目标”数据分表'!$E$2,1,AH31='“主要目标”数据分表'!$E$2,0,AH31&lt;'“主要目标”数据分表'!$E$2,-1)</f>
        <v>0</v>
      </c>
      <c r="AV31" cm="1">
        <f t="array" ref="AV31">_xlfn.IFS(AI31&gt;'“主要目标”数据分表'!$F$2,1,AI31='“主要目标”数据分表'!$F$2,0,AI31&lt;'“主要目标”数据分表'!$F$2,-1)</f>
        <v>-1</v>
      </c>
      <c r="AW31" cm="1">
        <f t="array" ref="AW31">_xlfn.IFS(AJ31&gt;'“主要目标”数据分表'!$G$2,1,AJ31='“主要目标”数据分表'!$G$2,0,AJ31&lt;'“主要目标”数据分表'!$G$2,-1)</f>
        <v>0</v>
      </c>
    </row>
    <row r="32" spans="1:49" ht="14.4" x14ac:dyDescent="0.25">
      <c r="A32" s="2">
        <v>4</v>
      </c>
      <c r="B32" s="2" t="s">
        <v>11</v>
      </c>
      <c r="C32" s="2">
        <v>2022</v>
      </c>
      <c r="D32" s="2">
        <v>21918.5</v>
      </c>
      <c r="E32" s="19">
        <v>58957.833808602401</v>
      </c>
      <c r="F32" s="2">
        <v>25642.6</v>
      </c>
      <c r="G32" s="3">
        <v>0.8547690171823451</v>
      </c>
      <c r="H32" s="2">
        <f t="shared" si="12"/>
        <v>-0.10786254512777518</v>
      </c>
      <c r="I32" s="16">
        <v>0.37664799873694499</v>
      </c>
      <c r="J32" s="2">
        <f t="shared" si="13"/>
        <v>0.21717787049863946</v>
      </c>
      <c r="K32">
        <v>2.299214346774602</v>
      </c>
      <c r="L32">
        <f t="shared" si="5"/>
        <v>-0.10295393180305652</v>
      </c>
      <c r="M32" s="2">
        <v>1</v>
      </c>
      <c r="N32" s="2">
        <v>0</v>
      </c>
      <c r="O32" s="4">
        <v>1</v>
      </c>
      <c r="P32">
        <v>0.83606885814946419</v>
      </c>
      <c r="Q32">
        <v>0.81818181818181823</v>
      </c>
      <c r="R32">
        <v>0.63020120560443138</v>
      </c>
      <c r="S32">
        <v>2.9</v>
      </c>
      <c r="T32">
        <v>0.82</v>
      </c>
      <c r="U32">
        <v>0.4726027397260274</v>
      </c>
      <c r="V32">
        <v>0.39013452914798208</v>
      </c>
      <c r="W32">
        <v>9.1743119266055051E-2</v>
      </c>
      <c r="X32">
        <v>0.3237424657234283</v>
      </c>
      <c r="Y32">
        <v>0.5879873551106426</v>
      </c>
      <c r="Z32">
        <v>0.45193051941034384</v>
      </c>
      <c r="AA32">
        <v>0.82857142857142851</v>
      </c>
      <c r="AB32">
        <v>0.47674418604651159</v>
      </c>
      <c r="AC32">
        <v>0.38199338686820983</v>
      </c>
      <c r="AD32">
        <v>0.41707476517610359</v>
      </c>
      <c r="AE32">
        <v>0.1070336391437309</v>
      </c>
      <c r="AF32">
        <v>0.12</v>
      </c>
      <c r="AG32">
        <v>0.13500000000000001</v>
      </c>
      <c r="AH32">
        <v>0.18</v>
      </c>
      <c r="AI32">
        <v>0.18</v>
      </c>
      <c r="AJ32">
        <v>0.65</v>
      </c>
      <c r="AK32">
        <v>0.6</v>
      </c>
      <c r="AL32">
        <v>1</v>
      </c>
      <c r="AM32">
        <v>1</v>
      </c>
      <c r="AN32">
        <v>0.72</v>
      </c>
      <c r="AO32">
        <v>1</v>
      </c>
      <c r="AP32">
        <f t="shared" si="0"/>
        <v>0.65999999999999992</v>
      </c>
      <c r="AQ32">
        <f t="shared" si="1"/>
        <v>1</v>
      </c>
      <c r="AR32">
        <f t="shared" si="2"/>
        <v>1</v>
      </c>
      <c r="AS32" cm="1">
        <f t="array" ref="AS32">_xlfn.IFS(AF32&gt;'“主要目标”数据分表'!$C$2,1,AF32='“主要目标”数据分表'!$C$2,0,AF32&lt;'“主要目标”数据分表'!$C$2,-1)</f>
        <v>-1</v>
      </c>
      <c r="AT32" cm="1">
        <f t="array" ref="AT32">_xlfn.IFS(AG32&gt;'“主要目标”数据分表'!$D$2,1,AG32='“主要目标”数据分表'!$D$2,0,AG32&lt;'“主要目标”数据分表'!$D$2,-1)</f>
        <v>0</v>
      </c>
      <c r="AU32" cm="1">
        <f t="array" ref="AU32">_xlfn.IFS(AH32&gt;'“主要目标”数据分表'!$E$2,1,AH32='“主要目标”数据分表'!$E$2,0,AH32&lt;'“主要目标”数据分表'!$E$2,-1)</f>
        <v>0</v>
      </c>
      <c r="AV32" cm="1">
        <f t="array" ref="AV32">_xlfn.IFS(AI32&gt;'“主要目标”数据分表'!$F$2,1,AI32='“主要目标”数据分表'!$F$2,0,AI32&lt;'“主要目标”数据分表'!$F$2,-1)</f>
        <v>-1</v>
      </c>
      <c r="AW32" cm="1">
        <f t="array" ref="AW32">_xlfn.IFS(AJ32&gt;'“主要目标”数据分表'!$G$2,1,AJ32='“主要目标”数据分表'!$G$2,0,AJ32&lt;'“主要目标”数据分表'!$G$2,-1)</f>
        <v>0</v>
      </c>
    </row>
    <row r="33" spans="1:49" ht="14.4" x14ac:dyDescent="0.25">
      <c r="A33" s="2">
        <v>4</v>
      </c>
      <c r="B33" s="11" t="s">
        <v>52</v>
      </c>
      <c r="C33" s="2">
        <v>2023</v>
      </c>
      <c r="D33" s="8">
        <v>8426.2800000000007</v>
      </c>
      <c r="E33" s="19">
        <v>62909.476418189093</v>
      </c>
      <c r="F33" s="8">
        <v>25698.184499999999</v>
      </c>
      <c r="G33" s="8">
        <v>0.32789398021482807</v>
      </c>
      <c r="H33" s="2">
        <f t="shared" si="12"/>
        <v>-0.61639463571609598</v>
      </c>
      <c r="K33">
        <v>2.4480124819007778</v>
      </c>
      <c r="L33">
        <f t="shared" si="5"/>
        <v>6.4716947915236217E-2</v>
      </c>
      <c r="M33" s="2">
        <v>1</v>
      </c>
      <c r="N33" s="2">
        <v>1</v>
      </c>
      <c r="O33" s="4">
        <v>1</v>
      </c>
      <c r="P33">
        <v>0.83606885814946419</v>
      </c>
      <c r="Q33">
        <v>0.81818181818181823</v>
      </c>
      <c r="R33">
        <v>0.63020120560443138</v>
      </c>
      <c r="S33">
        <v>2.9</v>
      </c>
      <c r="T33">
        <v>0.82</v>
      </c>
      <c r="U33">
        <v>0.4726027397260274</v>
      </c>
      <c r="V33">
        <v>0.39013452914798208</v>
      </c>
      <c r="W33">
        <v>9.1743119266055051E-2</v>
      </c>
      <c r="X33">
        <v>0.3237424657234283</v>
      </c>
      <c r="Y33">
        <v>0.5879873551106426</v>
      </c>
      <c r="Z33">
        <v>0.45193051941034384</v>
      </c>
      <c r="AA33">
        <v>0.82857142857142851</v>
      </c>
      <c r="AB33">
        <v>0.47674418604651159</v>
      </c>
      <c r="AC33">
        <v>0.38199338686820983</v>
      </c>
      <c r="AD33">
        <v>0.41707476517610359</v>
      </c>
      <c r="AE33">
        <v>0.1070336391437309</v>
      </c>
      <c r="AF33">
        <v>0.12</v>
      </c>
      <c r="AG33">
        <v>0.13500000000000001</v>
      </c>
      <c r="AH33">
        <v>0.18</v>
      </c>
      <c r="AI33">
        <v>0.18</v>
      </c>
      <c r="AJ33">
        <v>0.65</v>
      </c>
      <c r="AK33">
        <v>0.6</v>
      </c>
      <c r="AL33">
        <v>1</v>
      </c>
      <c r="AM33">
        <v>1</v>
      </c>
      <c r="AN33">
        <v>0.72</v>
      </c>
      <c r="AO33">
        <v>1</v>
      </c>
      <c r="AP33">
        <f t="shared" si="0"/>
        <v>0.65999999999999992</v>
      </c>
      <c r="AQ33">
        <f t="shared" si="1"/>
        <v>1</v>
      </c>
      <c r="AR33">
        <f t="shared" si="2"/>
        <v>1</v>
      </c>
      <c r="AS33" cm="1">
        <f t="array" ref="AS33">_xlfn.IFS(AF33&gt;'“主要目标”数据分表'!$C$2,1,AF33='“主要目标”数据分表'!$C$2,0,AF33&lt;'“主要目标”数据分表'!$C$2,-1)</f>
        <v>-1</v>
      </c>
      <c r="AT33" cm="1">
        <f t="array" ref="AT33">_xlfn.IFS(AG33&gt;'“主要目标”数据分表'!$D$2,1,AG33='“主要目标”数据分表'!$D$2,0,AG33&lt;'“主要目标”数据分表'!$D$2,-1)</f>
        <v>0</v>
      </c>
      <c r="AU33" cm="1">
        <f t="array" ref="AU33">_xlfn.IFS(AH33&gt;'“主要目标”数据分表'!$E$2,1,AH33='“主要目标”数据分表'!$E$2,0,AH33&lt;'“主要目标”数据分表'!$E$2,-1)</f>
        <v>0</v>
      </c>
      <c r="AV33" cm="1">
        <f t="array" ref="AV33">_xlfn.IFS(AI33&gt;'“主要目标”数据分表'!$F$2,1,AI33='“主要目标”数据分表'!$F$2,0,AI33&lt;'“主要目标”数据分表'!$F$2,-1)</f>
        <v>-1</v>
      </c>
      <c r="AW33" cm="1">
        <f t="array" ref="AW33">_xlfn.IFS(AJ33&gt;'“主要目标”数据分表'!$G$2,1,AJ33='“主要目标”数据分表'!$G$2,0,AJ33&lt;'“主要目标”数据分表'!$G$2,-1)</f>
        <v>0</v>
      </c>
    </row>
    <row r="34" spans="1:49" ht="14.4" x14ac:dyDescent="0.25">
      <c r="A34" s="2">
        <v>5</v>
      </c>
      <c r="B34" s="2" t="s">
        <v>12</v>
      </c>
      <c r="C34" s="2">
        <v>2016</v>
      </c>
      <c r="D34" s="2">
        <v>19310</v>
      </c>
      <c r="E34" s="19">
        <v>54592.200104314492</v>
      </c>
      <c r="F34" s="2">
        <v>18128.099999999999</v>
      </c>
      <c r="G34" s="3">
        <v>1.0651971249055334</v>
      </c>
      <c r="I34" s="16">
        <v>0.32668047922991056</v>
      </c>
      <c r="K34">
        <v>3.0114683890928724</v>
      </c>
      <c r="L34"/>
      <c r="M34" s="2">
        <v>0</v>
      </c>
      <c r="N34" s="2">
        <v>0</v>
      </c>
      <c r="O34" s="4">
        <v>1</v>
      </c>
      <c r="P34">
        <v>0.82466688184094916</v>
      </c>
      <c r="Q34">
        <v>-0.76539589442815248</v>
      </c>
      <c r="R34">
        <v>-0.99324524042265971</v>
      </c>
      <c r="S34">
        <v>1.9</v>
      </c>
      <c r="T34">
        <v>-0.6</v>
      </c>
      <c r="U34">
        <v>-0.87123745819397991</v>
      </c>
      <c r="V34">
        <v>-0.93540669856459335</v>
      </c>
      <c r="W34">
        <v>-0.56914893617021278</v>
      </c>
      <c r="X34">
        <v>0.27670642062209577</v>
      </c>
      <c r="Y34">
        <v>-0.55005268703898813</v>
      </c>
      <c r="Z34">
        <v>-0.71227702107542279</v>
      </c>
      <c r="AA34">
        <v>0.54285714285714282</v>
      </c>
      <c r="AB34">
        <v>-0.34883720930232559</v>
      </c>
      <c r="AC34">
        <v>-0.70420020758851365</v>
      </c>
      <c r="AD34">
        <v>-1</v>
      </c>
      <c r="AE34">
        <v>-0.66400709219858156</v>
      </c>
      <c r="AF34">
        <v>0.18</v>
      </c>
      <c r="AG34">
        <v>0.13500000000000001</v>
      </c>
      <c r="AH34">
        <v>0.18</v>
      </c>
      <c r="AI34">
        <v>0.25</v>
      </c>
      <c r="AJ34">
        <v>0.65</v>
      </c>
      <c r="AK34">
        <v>0.89999999999999991</v>
      </c>
      <c r="AL34">
        <v>1</v>
      </c>
      <c r="AM34">
        <v>1</v>
      </c>
      <c r="AN34">
        <v>1</v>
      </c>
      <c r="AO34">
        <v>1</v>
      </c>
      <c r="AP34">
        <f t="shared" si="0"/>
        <v>0.95</v>
      </c>
      <c r="AQ34">
        <f t="shared" si="1"/>
        <v>1</v>
      </c>
      <c r="AR34">
        <f t="shared" si="2"/>
        <v>1</v>
      </c>
      <c r="AS34" cm="1">
        <f t="array" ref="AS34">_xlfn.IFS(AF34&gt;'“主要目标”数据分表'!$C$2,1,AF34='“主要目标”数据分表'!$C$2,0,AF34&lt;'“主要目标”数据分表'!$C$2,-1)</f>
        <v>-1</v>
      </c>
      <c r="AT34" cm="1">
        <f t="array" ref="AT34">_xlfn.IFS(AG34&gt;'“主要目标”数据分表'!$D$2,1,AG34='“主要目标”数据分表'!$D$2,0,AG34&lt;'“主要目标”数据分表'!$D$2,-1)</f>
        <v>0</v>
      </c>
      <c r="AU34" cm="1">
        <f t="array" ref="AU34">_xlfn.IFS(AH34&gt;'“主要目标”数据分表'!$E$2,1,AH34='“主要目标”数据分表'!$E$2,0,AH34&lt;'“主要目标”数据分表'!$E$2,-1)</f>
        <v>0</v>
      </c>
      <c r="AV34" cm="1">
        <f t="array" ref="AV34">_xlfn.IFS(AI34&gt;'“主要目标”数据分表'!$F$2,1,AI34='“主要目标”数据分表'!$F$2,0,AI34&lt;'“主要目标”数据分表'!$F$2,-1)</f>
        <v>0</v>
      </c>
      <c r="AW34" cm="1">
        <f t="array" ref="AW34">_xlfn.IFS(AJ34&gt;'“主要目标”数据分表'!$G$2,1,AJ34='“主要目标”数据分表'!$G$2,0,AJ34&lt;'“主要目标”数据分表'!$G$2,-1)</f>
        <v>0</v>
      </c>
    </row>
    <row r="35" spans="1:49" ht="14.4" x14ac:dyDescent="0.25">
      <c r="A35" s="2">
        <v>5</v>
      </c>
      <c r="B35" s="2" t="s">
        <v>12</v>
      </c>
      <c r="C35" s="2">
        <v>2017</v>
      </c>
      <c r="D35" s="2">
        <v>19763</v>
      </c>
      <c r="E35" s="19">
        <v>57761.392699345197</v>
      </c>
      <c r="F35" s="2">
        <v>16096.21</v>
      </c>
      <c r="G35" s="3">
        <v>1.2278045577188668</v>
      </c>
      <c r="H35" s="2">
        <f>(G35-G34)/G34</f>
        <v>0.15265478005092636</v>
      </c>
      <c r="I35" s="16">
        <v>0.35588348557152888</v>
      </c>
      <c r="J35" s="2">
        <f>(I35-I34)/I34</f>
        <v>8.9393178344965893E-2</v>
      </c>
      <c r="K35">
        <v>3.5885088911827814</v>
      </c>
      <c r="L35">
        <f t="shared" si="5"/>
        <v>0.19161433146031714</v>
      </c>
      <c r="M35" s="2">
        <v>0</v>
      </c>
      <c r="N35" s="2">
        <v>0</v>
      </c>
      <c r="O35" s="4">
        <v>1</v>
      </c>
      <c r="P35">
        <v>0.82466688184094916</v>
      </c>
      <c r="Q35">
        <v>-0.76539589442815248</v>
      </c>
      <c r="R35">
        <v>-0.99324524042265971</v>
      </c>
      <c r="S35">
        <v>1.9</v>
      </c>
      <c r="T35">
        <v>-0.6</v>
      </c>
      <c r="U35">
        <v>-0.87123745819397991</v>
      </c>
      <c r="V35">
        <v>-0.93540669856459335</v>
      </c>
      <c r="W35">
        <v>-0.56914893617021278</v>
      </c>
      <c r="X35">
        <v>0.27670642062209577</v>
      </c>
      <c r="Y35">
        <v>-0.55005268703898813</v>
      </c>
      <c r="Z35">
        <v>-0.71227702107542279</v>
      </c>
      <c r="AA35">
        <v>0.54285714285714282</v>
      </c>
      <c r="AB35">
        <v>-0.34883720930232559</v>
      </c>
      <c r="AC35">
        <v>-0.70420020758851365</v>
      </c>
      <c r="AD35">
        <v>-1</v>
      </c>
      <c r="AE35">
        <v>-0.66400709219858156</v>
      </c>
      <c r="AF35">
        <v>0.18</v>
      </c>
      <c r="AG35">
        <v>0.13500000000000001</v>
      </c>
      <c r="AH35">
        <v>0.18</v>
      </c>
      <c r="AI35">
        <v>0.25</v>
      </c>
      <c r="AJ35">
        <v>0.65</v>
      </c>
      <c r="AK35">
        <v>0.89999999999999991</v>
      </c>
      <c r="AL35">
        <v>1</v>
      </c>
      <c r="AM35">
        <v>1</v>
      </c>
      <c r="AN35">
        <v>1</v>
      </c>
      <c r="AO35">
        <v>1</v>
      </c>
      <c r="AP35">
        <f t="shared" si="0"/>
        <v>0.95</v>
      </c>
      <c r="AQ35">
        <f t="shared" si="1"/>
        <v>1</v>
      </c>
      <c r="AR35">
        <f t="shared" si="2"/>
        <v>1</v>
      </c>
      <c r="AS35" cm="1">
        <f t="array" ref="AS35">_xlfn.IFS(AF35&gt;'“主要目标”数据分表'!$C$2,1,AF35='“主要目标”数据分表'!$C$2,0,AF35&lt;'“主要目标”数据分表'!$C$2,-1)</f>
        <v>-1</v>
      </c>
      <c r="AT35" cm="1">
        <f t="array" ref="AT35">_xlfn.IFS(AG35&gt;'“主要目标”数据分表'!$D$2,1,AG35='“主要目标”数据分表'!$D$2,0,AG35&lt;'“主要目标”数据分表'!$D$2,-1)</f>
        <v>0</v>
      </c>
      <c r="AU35" cm="1">
        <f t="array" ref="AU35">_xlfn.IFS(AH35&gt;'“主要目标”数据分表'!$E$2,1,AH35='“主要目标”数据分表'!$E$2,0,AH35&lt;'“主要目标”数据分表'!$E$2,-1)</f>
        <v>0</v>
      </c>
      <c r="AV35" cm="1">
        <f t="array" ref="AV35">_xlfn.IFS(AI35&gt;'“主要目标”数据分表'!$F$2,1,AI35='“主要目标”数据分表'!$F$2,0,AI35&lt;'“主要目标”数据分表'!$F$2,-1)</f>
        <v>0</v>
      </c>
      <c r="AW35" cm="1">
        <f t="array" ref="AW35">_xlfn.IFS(AJ35&gt;'“主要目标”数据分表'!$G$2,1,AJ35='“主要目标”数据分表'!$G$2,0,AJ35&lt;'“主要目标”数据分表'!$G$2,-1)</f>
        <v>0</v>
      </c>
    </row>
    <row r="36" spans="1:49" ht="14.4" x14ac:dyDescent="0.25">
      <c r="A36" s="2">
        <v>5</v>
      </c>
      <c r="B36" s="2" t="s">
        <v>12</v>
      </c>
      <c r="C36" s="2">
        <v>2018</v>
      </c>
      <c r="D36" s="2">
        <v>23068</v>
      </c>
      <c r="E36" s="19">
        <v>60493.934630250391</v>
      </c>
      <c r="F36" s="2">
        <v>17289.22</v>
      </c>
      <c r="G36" s="3">
        <v>1.3342417992251818</v>
      </c>
      <c r="H36" s="2">
        <f t="shared" ref="H36:H39" si="14">(G36-G35)/G35</f>
        <v>8.6689075095196258E-2</v>
      </c>
      <c r="I36" s="16">
        <v>0.35655924672837475</v>
      </c>
      <c r="J36" s="2">
        <f t="shared" ref="J36:J39" si="15">(I36-I35)/I35</f>
        <v>1.8988269595051092E-3</v>
      </c>
      <c r="K36">
        <v>3.4989394912118872</v>
      </c>
      <c r="L36">
        <f t="shared" si="5"/>
        <v>-2.4960060762555865E-2</v>
      </c>
      <c r="M36" s="2">
        <v>0</v>
      </c>
      <c r="N36" s="2">
        <v>0</v>
      </c>
      <c r="O36" s="4">
        <v>1</v>
      </c>
      <c r="P36">
        <v>0.82466688184094916</v>
      </c>
      <c r="Q36">
        <v>-0.76539589442815248</v>
      </c>
      <c r="R36">
        <v>-0.99324524042265971</v>
      </c>
      <c r="S36">
        <v>1.9</v>
      </c>
      <c r="T36">
        <v>-0.6</v>
      </c>
      <c r="U36">
        <v>-0.87123745819397991</v>
      </c>
      <c r="V36">
        <v>-0.93540669856459335</v>
      </c>
      <c r="W36">
        <v>-0.56914893617021278</v>
      </c>
      <c r="X36">
        <v>0.27670642062209577</v>
      </c>
      <c r="Y36">
        <v>-0.55005268703898813</v>
      </c>
      <c r="Z36">
        <v>-0.71227702107542279</v>
      </c>
      <c r="AA36">
        <v>0.54285714285714282</v>
      </c>
      <c r="AB36">
        <v>-0.34883720930232559</v>
      </c>
      <c r="AC36">
        <v>-0.70420020758851365</v>
      </c>
      <c r="AD36">
        <v>-1</v>
      </c>
      <c r="AE36">
        <v>-0.66400709219858156</v>
      </c>
      <c r="AF36">
        <v>0.18</v>
      </c>
      <c r="AG36">
        <v>0.13500000000000001</v>
      </c>
      <c r="AH36">
        <v>0.18</v>
      </c>
      <c r="AI36">
        <v>0.25</v>
      </c>
      <c r="AJ36">
        <v>0.65</v>
      </c>
      <c r="AK36">
        <v>0.89999999999999991</v>
      </c>
      <c r="AL36">
        <v>1</v>
      </c>
      <c r="AM36">
        <v>1</v>
      </c>
      <c r="AN36">
        <v>1</v>
      </c>
      <c r="AO36">
        <v>1</v>
      </c>
      <c r="AP36">
        <f t="shared" si="0"/>
        <v>0.95</v>
      </c>
      <c r="AQ36">
        <f t="shared" si="1"/>
        <v>1</v>
      </c>
      <c r="AR36">
        <f t="shared" si="2"/>
        <v>1</v>
      </c>
      <c r="AS36" cm="1">
        <f t="array" ref="AS36">_xlfn.IFS(AF36&gt;'“主要目标”数据分表'!$C$2,1,AF36='“主要目标”数据分表'!$C$2,0,AF36&lt;'“主要目标”数据分表'!$C$2,-1)</f>
        <v>-1</v>
      </c>
      <c r="AT36" cm="1">
        <f t="array" ref="AT36">_xlfn.IFS(AG36&gt;'“主要目标”数据分表'!$D$2,1,AG36='“主要目标”数据分表'!$D$2,0,AG36&lt;'“主要目标”数据分表'!$D$2,-1)</f>
        <v>0</v>
      </c>
      <c r="AU36" cm="1">
        <f t="array" ref="AU36">_xlfn.IFS(AH36&gt;'“主要目标”数据分表'!$E$2,1,AH36='“主要目标”数据分表'!$E$2,0,AH36&lt;'“主要目标”数据分表'!$E$2,-1)</f>
        <v>0</v>
      </c>
      <c r="AV36" cm="1">
        <f t="array" ref="AV36">_xlfn.IFS(AI36&gt;'“主要目标”数据分表'!$F$2,1,AI36='“主要目标”数据分表'!$F$2,0,AI36&lt;'“主要目标”数据分表'!$F$2,-1)</f>
        <v>0</v>
      </c>
      <c r="AW36" cm="1">
        <f t="array" ref="AW36">_xlfn.IFS(AJ36&gt;'“主要目标”数据分表'!$G$2,1,AJ36='“主要目标”数据分表'!$G$2,0,AJ36&lt;'“主要目标”数据分表'!$G$2,-1)</f>
        <v>0</v>
      </c>
    </row>
    <row r="37" spans="1:49" ht="14.4" x14ac:dyDescent="0.25">
      <c r="A37" s="2">
        <v>5</v>
      </c>
      <c r="B37" s="2" t="s">
        <v>12</v>
      </c>
      <c r="C37" s="2">
        <v>2019</v>
      </c>
      <c r="D37" s="2">
        <v>25346</v>
      </c>
      <c r="E37" s="19">
        <v>63563.319497910205</v>
      </c>
      <c r="F37" s="2">
        <v>17212.53</v>
      </c>
      <c r="G37" s="3">
        <v>1.4725319287751424</v>
      </c>
      <c r="H37" s="2">
        <f t="shared" si="14"/>
        <v>0.10364697735468048</v>
      </c>
      <c r="I37" s="16">
        <v>0.35899209638703028</v>
      </c>
      <c r="J37" s="2">
        <f t="shared" si="15"/>
        <v>6.8231287814809298E-3</v>
      </c>
      <c r="K37">
        <v>3.692851631800218</v>
      </c>
      <c r="L37">
        <f t="shared" si="5"/>
        <v>5.5420261217826242E-2</v>
      </c>
      <c r="M37" s="2">
        <v>0</v>
      </c>
      <c r="N37" s="2">
        <v>0</v>
      </c>
      <c r="O37" s="4">
        <v>1</v>
      </c>
      <c r="P37">
        <v>0.82466688184094916</v>
      </c>
      <c r="Q37">
        <v>-0.76539589442815248</v>
      </c>
      <c r="R37">
        <v>-0.99324524042265971</v>
      </c>
      <c r="S37">
        <v>1.9</v>
      </c>
      <c r="T37">
        <v>-0.6</v>
      </c>
      <c r="U37">
        <v>-0.87123745819397991</v>
      </c>
      <c r="V37">
        <v>-0.93540669856459335</v>
      </c>
      <c r="W37">
        <v>-0.56914893617021278</v>
      </c>
      <c r="X37">
        <v>0.27670642062209577</v>
      </c>
      <c r="Y37">
        <v>-0.55005268703898813</v>
      </c>
      <c r="Z37">
        <v>-0.71227702107542279</v>
      </c>
      <c r="AA37">
        <v>0.54285714285714282</v>
      </c>
      <c r="AB37">
        <v>-0.34883720930232559</v>
      </c>
      <c r="AC37">
        <v>-0.70420020758851365</v>
      </c>
      <c r="AD37">
        <v>-1</v>
      </c>
      <c r="AE37">
        <v>-0.66400709219858156</v>
      </c>
      <c r="AF37">
        <v>0.18</v>
      </c>
      <c r="AG37">
        <v>0.13500000000000001</v>
      </c>
      <c r="AH37">
        <v>0.18</v>
      </c>
      <c r="AI37">
        <v>0.25</v>
      </c>
      <c r="AJ37">
        <v>0.65</v>
      </c>
      <c r="AK37">
        <v>0.89999999999999991</v>
      </c>
      <c r="AL37">
        <v>1</v>
      </c>
      <c r="AM37">
        <v>1</v>
      </c>
      <c r="AN37">
        <v>1</v>
      </c>
      <c r="AO37">
        <v>1</v>
      </c>
      <c r="AP37">
        <f t="shared" si="0"/>
        <v>0.95</v>
      </c>
      <c r="AQ37">
        <f t="shared" si="1"/>
        <v>1</v>
      </c>
      <c r="AR37">
        <f t="shared" si="2"/>
        <v>1</v>
      </c>
      <c r="AS37" cm="1">
        <f t="array" ref="AS37">_xlfn.IFS(AF37&gt;'“主要目标”数据分表'!$C$2,1,AF37='“主要目标”数据分表'!$C$2,0,AF37&lt;'“主要目标”数据分表'!$C$2,-1)</f>
        <v>-1</v>
      </c>
      <c r="AT37" cm="1">
        <f t="array" ref="AT37">_xlfn.IFS(AG37&gt;'“主要目标”数据分表'!$D$2,1,AG37='“主要目标”数据分表'!$D$2,0,AG37&lt;'“主要目标”数据分表'!$D$2,-1)</f>
        <v>0</v>
      </c>
      <c r="AU37" cm="1">
        <f t="array" ref="AU37">_xlfn.IFS(AH37&gt;'“主要目标”数据分表'!$E$2,1,AH37='“主要目标”数据分表'!$E$2,0,AH37&lt;'“主要目标”数据分表'!$E$2,-1)</f>
        <v>0</v>
      </c>
      <c r="AV37" cm="1">
        <f t="array" ref="AV37">_xlfn.IFS(AI37&gt;'“主要目标”数据分表'!$F$2,1,AI37='“主要目标”数据分表'!$F$2,0,AI37&lt;'“主要目标”数据分表'!$F$2,-1)</f>
        <v>0</v>
      </c>
      <c r="AW37" cm="1">
        <f t="array" ref="AW37">_xlfn.IFS(AJ37&gt;'“主要目标”数据分表'!$G$2,1,AJ37='“主要目标”数据分表'!$G$2,0,AJ37&lt;'“主要目标”数据分表'!$G$2,-1)</f>
        <v>0</v>
      </c>
    </row>
    <row r="38" spans="1:49" ht="14.4" x14ac:dyDescent="0.25">
      <c r="A38" s="2">
        <v>5</v>
      </c>
      <c r="B38" s="2" t="s">
        <v>12</v>
      </c>
      <c r="C38" s="2">
        <v>2020</v>
      </c>
      <c r="D38" s="2">
        <v>27133.65</v>
      </c>
      <c r="E38" s="19">
        <v>65228.3065666845</v>
      </c>
      <c r="F38" s="2">
        <v>17359.82</v>
      </c>
      <c r="G38" s="3">
        <v>1.5630144782607194</v>
      </c>
      <c r="H38" s="2">
        <f t="shared" si="14"/>
        <v>6.1446918547186084E-2</v>
      </c>
      <c r="I38" s="16">
        <v>0.37054340387154944</v>
      </c>
      <c r="J38" s="2">
        <f t="shared" si="15"/>
        <v>3.2177052366260631E-2</v>
      </c>
      <c r="K38">
        <v>3.7574298907871455</v>
      </c>
      <c r="L38">
        <f t="shared" si="5"/>
        <v>1.7487368956506495E-2</v>
      </c>
      <c r="M38" s="2">
        <v>0</v>
      </c>
      <c r="N38" s="2">
        <v>0</v>
      </c>
      <c r="O38" s="4">
        <v>1</v>
      </c>
      <c r="P38">
        <v>0.82466688184094916</v>
      </c>
      <c r="Q38">
        <v>-0.76539589442815248</v>
      </c>
      <c r="R38">
        <v>-0.99324524042265971</v>
      </c>
      <c r="S38">
        <v>1.9</v>
      </c>
      <c r="T38">
        <v>-0.6</v>
      </c>
      <c r="U38">
        <v>-0.87123745819397991</v>
      </c>
      <c r="V38">
        <v>-0.93540669856459335</v>
      </c>
      <c r="W38">
        <v>-0.56914893617021278</v>
      </c>
      <c r="X38">
        <v>0.27670642062209577</v>
      </c>
      <c r="Y38">
        <v>-0.55005268703898813</v>
      </c>
      <c r="Z38">
        <v>-0.71227702107542279</v>
      </c>
      <c r="AA38">
        <v>0.54285714285714282</v>
      </c>
      <c r="AB38">
        <v>-0.34883720930232559</v>
      </c>
      <c r="AC38">
        <v>-0.70420020758851365</v>
      </c>
      <c r="AD38">
        <v>-1</v>
      </c>
      <c r="AE38">
        <v>-0.66400709219858156</v>
      </c>
      <c r="AF38">
        <v>0.18</v>
      </c>
      <c r="AG38">
        <v>0.13500000000000001</v>
      </c>
      <c r="AH38">
        <v>0.18</v>
      </c>
      <c r="AI38">
        <v>0.25</v>
      </c>
      <c r="AJ38">
        <v>0.65</v>
      </c>
      <c r="AK38">
        <v>0.89999999999999991</v>
      </c>
      <c r="AL38">
        <v>1</v>
      </c>
      <c r="AM38">
        <v>1</v>
      </c>
      <c r="AN38">
        <v>1</v>
      </c>
      <c r="AO38">
        <v>1</v>
      </c>
      <c r="AP38">
        <f t="shared" si="0"/>
        <v>0.95</v>
      </c>
      <c r="AQ38">
        <f t="shared" si="1"/>
        <v>1</v>
      </c>
      <c r="AR38">
        <f t="shared" si="2"/>
        <v>1</v>
      </c>
      <c r="AS38" cm="1">
        <f t="array" ref="AS38">_xlfn.IFS(AF38&gt;'“主要目标”数据分表'!$C$2,1,AF38='“主要目标”数据分表'!$C$2,0,AF38&lt;'“主要目标”数据分表'!$C$2,-1)</f>
        <v>-1</v>
      </c>
      <c r="AT38" cm="1">
        <f t="array" ref="AT38">_xlfn.IFS(AG38&gt;'“主要目标”数据分表'!$D$2,1,AG38='“主要目标”数据分表'!$D$2,0,AG38&lt;'“主要目标”数据分表'!$D$2,-1)</f>
        <v>0</v>
      </c>
      <c r="AU38" cm="1">
        <f t="array" ref="AU38">_xlfn.IFS(AH38&gt;'“主要目标”数据分表'!$E$2,1,AH38='“主要目标”数据分表'!$E$2,0,AH38&lt;'“主要目标”数据分表'!$E$2,-1)</f>
        <v>0</v>
      </c>
      <c r="AV38" cm="1">
        <f t="array" ref="AV38">_xlfn.IFS(AI38&gt;'“主要目标”数据分表'!$F$2,1,AI38='“主要目标”数据分表'!$F$2,0,AI38&lt;'“主要目标”数据分表'!$F$2,-1)</f>
        <v>0</v>
      </c>
      <c r="AW38" cm="1">
        <f t="array" ref="AW38">_xlfn.IFS(AJ38&gt;'“主要目标”数据分表'!$G$2,1,AJ38='“主要目标”数据分表'!$G$2,0,AJ38&lt;'“主要目标”数据分表'!$G$2,-1)</f>
        <v>0</v>
      </c>
    </row>
    <row r="39" spans="1:49" ht="14.4" x14ac:dyDescent="0.25">
      <c r="A39" s="2">
        <v>5</v>
      </c>
      <c r="B39" s="2" t="s">
        <v>12</v>
      </c>
      <c r="C39" s="2">
        <v>2021</v>
      </c>
      <c r="D39" s="2">
        <v>26900.46</v>
      </c>
      <c r="E39" s="19">
        <v>72847.093929839</v>
      </c>
      <c r="F39" s="2">
        <v>20514.1947</v>
      </c>
      <c r="G39" s="3">
        <v>1.3113095782404756</v>
      </c>
      <c r="H39" s="2">
        <f t="shared" si="14"/>
        <v>-0.16103811162410619</v>
      </c>
      <c r="I39" s="16">
        <v>0.40318423226954997</v>
      </c>
      <c r="J39" s="2">
        <f t="shared" si="15"/>
        <v>8.8089082296322896E-2</v>
      </c>
      <c r="K39">
        <v>3.5510579379379195</v>
      </c>
      <c r="L39">
        <f t="shared" si="5"/>
        <v>-5.4923700201361073E-2</v>
      </c>
      <c r="M39" s="2">
        <v>0</v>
      </c>
      <c r="N39" s="2">
        <v>0</v>
      </c>
      <c r="O39" s="4">
        <v>1</v>
      </c>
      <c r="P39">
        <v>0.82466688184094916</v>
      </c>
      <c r="Q39">
        <v>-0.76539589442815248</v>
      </c>
      <c r="R39">
        <v>-0.99324524042265971</v>
      </c>
      <c r="S39">
        <v>1.9</v>
      </c>
      <c r="T39">
        <v>-0.6</v>
      </c>
      <c r="U39">
        <v>-0.87123745819397991</v>
      </c>
      <c r="V39">
        <v>-0.93540669856459335</v>
      </c>
      <c r="W39">
        <v>-0.56914893617021278</v>
      </c>
      <c r="X39">
        <v>0.27670642062209577</v>
      </c>
      <c r="Y39">
        <v>-0.55005268703898813</v>
      </c>
      <c r="Z39">
        <v>-0.71227702107542279</v>
      </c>
      <c r="AA39">
        <v>0.54285714285714282</v>
      </c>
      <c r="AB39">
        <v>-0.34883720930232559</v>
      </c>
      <c r="AC39">
        <v>-0.70420020758851365</v>
      </c>
      <c r="AD39">
        <v>-1</v>
      </c>
      <c r="AE39">
        <v>-0.66400709219858156</v>
      </c>
      <c r="AF39">
        <v>0.18</v>
      </c>
      <c r="AG39">
        <v>0.13500000000000001</v>
      </c>
      <c r="AH39">
        <v>0.18</v>
      </c>
      <c r="AI39">
        <v>0.25</v>
      </c>
      <c r="AJ39">
        <v>0.65</v>
      </c>
      <c r="AK39">
        <v>0.89999999999999991</v>
      </c>
      <c r="AL39">
        <v>1</v>
      </c>
      <c r="AM39">
        <v>1</v>
      </c>
      <c r="AN39">
        <v>1</v>
      </c>
      <c r="AO39">
        <v>1</v>
      </c>
      <c r="AP39">
        <f t="shared" si="0"/>
        <v>0.95</v>
      </c>
      <c r="AQ39">
        <f t="shared" si="1"/>
        <v>1</v>
      </c>
      <c r="AR39">
        <f t="shared" si="2"/>
        <v>1</v>
      </c>
      <c r="AS39" cm="1">
        <f t="array" ref="AS39">_xlfn.IFS(AF39&gt;'“主要目标”数据分表'!$C$2,1,AF39='“主要目标”数据分表'!$C$2,0,AF39&lt;'“主要目标”数据分表'!$C$2,-1)</f>
        <v>-1</v>
      </c>
      <c r="AT39" cm="1">
        <f t="array" ref="AT39">_xlfn.IFS(AG39&gt;'“主要目标”数据分表'!$D$2,1,AG39='“主要目标”数据分表'!$D$2,0,AG39&lt;'“主要目标”数据分表'!$D$2,-1)</f>
        <v>0</v>
      </c>
      <c r="AU39" cm="1">
        <f t="array" ref="AU39">_xlfn.IFS(AH39&gt;'“主要目标”数据分表'!$E$2,1,AH39='“主要目标”数据分表'!$E$2,0,AH39&lt;'“主要目标”数据分表'!$E$2,-1)</f>
        <v>0</v>
      </c>
      <c r="AV39" cm="1">
        <f t="array" ref="AV39">_xlfn.IFS(AI39&gt;'“主要目标”数据分表'!$F$2,1,AI39='“主要目标”数据分表'!$F$2,0,AI39&lt;'“主要目标”数据分表'!$F$2,-1)</f>
        <v>0</v>
      </c>
      <c r="AW39" cm="1">
        <f t="array" ref="AW39">_xlfn.IFS(AJ39&gt;'“主要目标”数据分表'!$G$2,1,AJ39='“主要目标”数据分表'!$G$2,0,AJ39&lt;'“主要目标”数据分表'!$G$2,-1)</f>
        <v>0</v>
      </c>
    </row>
    <row r="40" spans="1:49" ht="14.4" x14ac:dyDescent="0.25">
      <c r="A40" s="2">
        <v>5</v>
      </c>
      <c r="B40" s="6" t="s">
        <v>13</v>
      </c>
      <c r="C40" s="2">
        <v>2022</v>
      </c>
      <c r="D40" s="2">
        <v>27980.98</v>
      </c>
      <c r="E40" s="19">
        <v>75702.872296358997</v>
      </c>
      <c r="F40" s="2">
        <v>23158.6</v>
      </c>
      <c r="G40" s="3">
        <v>1.2082327947285243</v>
      </c>
      <c r="H40" s="2">
        <f>(G40-G39)/G39</f>
        <v>-7.8605986886986987E-2</v>
      </c>
      <c r="I40" s="16">
        <v>0.4110277056618617</v>
      </c>
      <c r="J40" s="2">
        <f>(I40-I39)/I39</f>
        <v>1.9453819779013462E-2</v>
      </c>
      <c r="K40">
        <v>3.2688881148410958</v>
      </c>
      <c r="L40">
        <f t="shared" si="5"/>
        <v>-7.9460777049635584E-2</v>
      </c>
      <c r="M40" s="2">
        <v>1</v>
      </c>
      <c r="N40" s="2">
        <v>0</v>
      </c>
      <c r="O40" s="4">
        <v>1</v>
      </c>
      <c r="P40">
        <v>0.82466688184094916</v>
      </c>
      <c r="Q40">
        <v>-0.76539589442815248</v>
      </c>
      <c r="R40">
        <v>-0.99324524042265971</v>
      </c>
      <c r="S40">
        <v>1.9</v>
      </c>
      <c r="T40">
        <v>-0.6</v>
      </c>
      <c r="U40">
        <v>-0.87123745819397991</v>
      </c>
      <c r="V40">
        <v>-0.93540669856459335</v>
      </c>
      <c r="W40">
        <v>-0.56914893617021278</v>
      </c>
      <c r="X40">
        <v>0.27670642062209577</v>
      </c>
      <c r="Y40">
        <v>-0.55005268703898813</v>
      </c>
      <c r="Z40">
        <v>-0.71227702107542279</v>
      </c>
      <c r="AA40">
        <v>0.54285714285714282</v>
      </c>
      <c r="AB40">
        <v>-0.34883720930232559</v>
      </c>
      <c r="AC40">
        <v>-0.70420020758851365</v>
      </c>
      <c r="AD40">
        <v>-1</v>
      </c>
      <c r="AE40">
        <v>-0.66400709219858156</v>
      </c>
      <c r="AF40">
        <v>0.18</v>
      </c>
      <c r="AG40">
        <v>0.13500000000000001</v>
      </c>
      <c r="AH40">
        <v>0.18</v>
      </c>
      <c r="AI40">
        <v>0.25</v>
      </c>
      <c r="AJ40">
        <v>0.65</v>
      </c>
      <c r="AK40">
        <v>0.89999999999999991</v>
      </c>
      <c r="AL40">
        <v>1</v>
      </c>
      <c r="AM40">
        <v>1</v>
      </c>
      <c r="AN40">
        <v>1</v>
      </c>
      <c r="AO40">
        <v>1</v>
      </c>
      <c r="AP40">
        <f t="shared" si="0"/>
        <v>0.95</v>
      </c>
      <c r="AQ40">
        <f t="shared" si="1"/>
        <v>1</v>
      </c>
      <c r="AR40">
        <f t="shared" si="2"/>
        <v>1</v>
      </c>
      <c r="AS40" cm="1">
        <f t="array" ref="AS40">_xlfn.IFS(AF40&gt;'“主要目标”数据分表'!$C$2,1,AF40='“主要目标”数据分表'!$C$2,0,AF40&lt;'“主要目标”数据分表'!$C$2,-1)</f>
        <v>-1</v>
      </c>
      <c r="AT40" cm="1">
        <f t="array" ref="AT40">_xlfn.IFS(AG40&gt;'“主要目标”数据分表'!$D$2,1,AG40='“主要目标”数据分表'!$D$2,0,AG40&lt;'“主要目标”数据分表'!$D$2,-1)</f>
        <v>0</v>
      </c>
      <c r="AU40" cm="1">
        <f t="array" ref="AU40">_xlfn.IFS(AH40&gt;'“主要目标”数据分表'!$E$2,1,AH40='“主要目标”数据分表'!$E$2,0,AH40&lt;'“主要目标”数据分表'!$E$2,-1)</f>
        <v>0</v>
      </c>
      <c r="AV40" cm="1">
        <f t="array" ref="AV40">_xlfn.IFS(AI40&gt;'“主要目标”数据分表'!$F$2,1,AI40='“主要目标”数据分表'!$F$2,0,AI40&lt;'“主要目标”数据分表'!$F$2,-1)</f>
        <v>0</v>
      </c>
      <c r="AW40" cm="1">
        <f t="array" ref="AW40">_xlfn.IFS(AJ40&gt;'“主要目标”数据分表'!$G$2,1,AJ40='“主要目标”数据分表'!$G$2,0,AJ40&lt;'“主要目标”数据分表'!$G$2,-1)</f>
        <v>0</v>
      </c>
    </row>
    <row r="41" spans="1:49" ht="14.4" x14ac:dyDescent="0.25">
      <c r="A41" s="2">
        <v>6</v>
      </c>
      <c r="B41" s="2" t="s">
        <v>14</v>
      </c>
      <c r="C41" s="2">
        <v>2016</v>
      </c>
      <c r="D41" s="2">
        <v>20847</v>
      </c>
      <c r="E41" s="19">
        <v>39857.294693443102</v>
      </c>
      <c r="F41" s="2">
        <v>22246.9</v>
      </c>
      <c r="G41" s="3">
        <v>0.937074378902229</v>
      </c>
      <c r="H41" s="2"/>
      <c r="I41" s="16">
        <v>0.28841748271327849</v>
      </c>
      <c r="K41">
        <v>1.7915887019514225</v>
      </c>
      <c r="L41"/>
      <c r="M41" s="2">
        <v>0</v>
      </c>
      <c r="N41" s="2">
        <v>0</v>
      </c>
      <c r="O41" s="4">
        <v>1</v>
      </c>
      <c r="P41">
        <v>0.83076049715193134</v>
      </c>
      <c r="Q41">
        <v>0.85190615835777128</v>
      </c>
      <c r="R41">
        <v>0.85626891030116836</v>
      </c>
      <c r="S41">
        <v>3.5</v>
      </c>
      <c r="T41">
        <v>1.5</v>
      </c>
      <c r="U41">
        <v>0.65066225165562919</v>
      </c>
      <c r="V41">
        <v>0.41855203619909498</v>
      </c>
      <c r="W41">
        <v>0.1741573033707865</v>
      </c>
      <c r="X41">
        <v>0.30184412980883385</v>
      </c>
      <c r="Y41">
        <v>0.61222339304531059</v>
      </c>
      <c r="Z41">
        <v>0.61404841810193933</v>
      </c>
      <c r="AA41">
        <v>1</v>
      </c>
      <c r="AB41">
        <v>0.87209302325581395</v>
      </c>
      <c r="AC41">
        <v>0.52591459237268801</v>
      </c>
      <c r="AD41">
        <v>0.44745460647371277</v>
      </c>
      <c r="AE41">
        <v>0.20318352059925093</v>
      </c>
      <c r="AF41">
        <v>0.13699999999999998</v>
      </c>
      <c r="AG41">
        <v>0.14499999999999999</v>
      </c>
      <c r="AH41">
        <v>0.18</v>
      </c>
      <c r="AI41">
        <v>0.2</v>
      </c>
      <c r="AJ41">
        <v>0.65</v>
      </c>
      <c r="AK41">
        <v>0.68499999999999983</v>
      </c>
      <c r="AL41">
        <v>1.074074074074074</v>
      </c>
      <c r="AM41">
        <v>1</v>
      </c>
      <c r="AN41">
        <v>0.8</v>
      </c>
      <c r="AO41">
        <v>1</v>
      </c>
      <c r="AP41">
        <f t="shared" si="0"/>
        <v>0.74249999999999994</v>
      </c>
      <c r="AQ41">
        <f t="shared" si="1"/>
        <v>1.074074074074074</v>
      </c>
      <c r="AR41">
        <f t="shared" si="2"/>
        <v>1</v>
      </c>
      <c r="AS41" cm="1">
        <f t="array" ref="AS41">_xlfn.IFS(AF41&gt;'“主要目标”数据分表'!$C$2,1,AF41='“主要目标”数据分表'!$C$2,0,AF41&lt;'“主要目标”数据分表'!$C$2,-1)</f>
        <v>-1</v>
      </c>
      <c r="AT41" cm="1">
        <f t="array" ref="AT41">_xlfn.IFS(AG41&gt;'“主要目标”数据分表'!$D$2,1,AG41='“主要目标”数据分表'!$D$2,0,AG41&lt;'“主要目标”数据分表'!$D$2,-1)</f>
        <v>1</v>
      </c>
      <c r="AU41" cm="1">
        <f t="array" ref="AU41">_xlfn.IFS(AH41&gt;'“主要目标”数据分表'!$E$2,1,AH41='“主要目标”数据分表'!$E$2,0,AH41&lt;'“主要目标”数据分表'!$E$2,-1)</f>
        <v>0</v>
      </c>
      <c r="AV41" cm="1">
        <f t="array" ref="AV41">_xlfn.IFS(AI41&gt;'“主要目标”数据分表'!$F$2,1,AI41='“主要目标”数据分表'!$F$2,0,AI41&lt;'“主要目标”数据分表'!$F$2,-1)</f>
        <v>-1</v>
      </c>
      <c r="AW41" cm="1">
        <f t="array" ref="AW41">_xlfn.IFS(AJ41&gt;'“主要目标”数据分表'!$G$2,1,AJ41='“主要目标”数据分表'!$G$2,0,AJ41&lt;'“主要目标”数据分表'!$G$2,-1)</f>
        <v>0</v>
      </c>
    </row>
    <row r="42" spans="1:49" ht="14.4" x14ac:dyDescent="0.25">
      <c r="A42" s="2">
        <v>6</v>
      </c>
      <c r="B42" s="2" t="s">
        <v>14</v>
      </c>
      <c r="C42" s="2">
        <v>2017</v>
      </c>
      <c r="D42" s="2">
        <v>21365</v>
      </c>
      <c r="E42" s="19">
        <v>41085.318519872999</v>
      </c>
      <c r="F42" s="2">
        <v>23409.24</v>
      </c>
      <c r="G42" s="3">
        <v>0.91267379889308664</v>
      </c>
      <c r="H42" s="2">
        <f>(G42-G41)/G41</f>
        <v>-2.6039106989273718E-2</v>
      </c>
      <c r="I42" s="16">
        <v>0.29456883169284603</v>
      </c>
      <c r="J42" s="2">
        <f>(I42-I41)/I41</f>
        <v>2.132793380518724E-2</v>
      </c>
      <c r="K42">
        <v>1.7550898072672585</v>
      </c>
      <c r="L42">
        <f t="shared" si="5"/>
        <v>-2.0372362610016976E-2</v>
      </c>
      <c r="M42" s="2">
        <v>0</v>
      </c>
      <c r="N42" s="2">
        <v>0</v>
      </c>
      <c r="O42" s="4">
        <v>1</v>
      </c>
      <c r="P42">
        <v>0.83076049715193134</v>
      </c>
      <c r="Q42">
        <v>0.85190615835777128</v>
      </c>
      <c r="R42">
        <v>0.85626891030116836</v>
      </c>
      <c r="S42">
        <v>3.5</v>
      </c>
      <c r="T42">
        <v>1.5</v>
      </c>
      <c r="U42">
        <v>0.65066225165562919</v>
      </c>
      <c r="V42">
        <v>0.41855203619909498</v>
      </c>
      <c r="W42">
        <v>0.1741573033707865</v>
      </c>
      <c r="X42">
        <v>0.30184412980883385</v>
      </c>
      <c r="Y42">
        <v>0.61222339304531059</v>
      </c>
      <c r="Z42">
        <v>0.61404841810193933</v>
      </c>
      <c r="AA42">
        <v>1</v>
      </c>
      <c r="AB42">
        <v>0.87209302325581395</v>
      </c>
      <c r="AC42">
        <v>0.52591459237268801</v>
      </c>
      <c r="AD42">
        <v>0.44745460647371277</v>
      </c>
      <c r="AE42">
        <v>0.20318352059925093</v>
      </c>
      <c r="AF42">
        <v>0.13699999999999998</v>
      </c>
      <c r="AG42">
        <v>0.14499999999999999</v>
      </c>
      <c r="AH42">
        <v>0.18</v>
      </c>
      <c r="AI42">
        <v>0.2</v>
      </c>
      <c r="AJ42">
        <v>0.65</v>
      </c>
      <c r="AK42">
        <v>0.68499999999999983</v>
      </c>
      <c r="AL42">
        <v>1.074074074074074</v>
      </c>
      <c r="AM42">
        <v>1</v>
      </c>
      <c r="AN42">
        <v>0.8</v>
      </c>
      <c r="AO42">
        <v>1</v>
      </c>
      <c r="AP42">
        <f t="shared" si="0"/>
        <v>0.74249999999999994</v>
      </c>
      <c r="AQ42">
        <f t="shared" si="1"/>
        <v>1.074074074074074</v>
      </c>
      <c r="AR42">
        <f t="shared" si="2"/>
        <v>1</v>
      </c>
      <c r="AS42" cm="1">
        <f t="array" ref="AS42">_xlfn.IFS(AF42&gt;'“主要目标”数据分表'!$C$2,1,AF42='“主要目标”数据分表'!$C$2,0,AF42&lt;'“主要目标”数据分表'!$C$2,-1)</f>
        <v>-1</v>
      </c>
      <c r="AT42" cm="1">
        <f t="array" ref="AT42">_xlfn.IFS(AG42&gt;'“主要目标”数据分表'!$D$2,1,AG42='“主要目标”数据分表'!$D$2,0,AG42&lt;'“主要目标”数据分表'!$D$2,-1)</f>
        <v>1</v>
      </c>
      <c r="AU42" cm="1">
        <f t="array" ref="AU42">_xlfn.IFS(AH42&gt;'“主要目标”数据分表'!$E$2,1,AH42='“主要目标”数据分表'!$E$2,0,AH42&lt;'“主要目标”数据分表'!$E$2,-1)</f>
        <v>0</v>
      </c>
      <c r="AV42" cm="1">
        <f t="array" ref="AV42">_xlfn.IFS(AI42&gt;'“主要目标”数据分表'!$F$2,1,AI42='“主要目标”数据分表'!$F$2,0,AI42&lt;'“主要目标”数据分表'!$F$2,-1)</f>
        <v>-1</v>
      </c>
      <c r="AW42" cm="1">
        <f t="array" ref="AW42">_xlfn.IFS(AJ42&gt;'“主要目标”数据分表'!$G$2,1,AJ42='“主要目标”数据分表'!$G$2,0,AJ42&lt;'“主要目标”数据分表'!$G$2,-1)</f>
        <v>0</v>
      </c>
    </row>
    <row r="43" spans="1:49" ht="14.4" x14ac:dyDescent="0.25">
      <c r="A43" s="2">
        <v>6</v>
      </c>
      <c r="B43" s="2" t="s">
        <v>14</v>
      </c>
      <c r="C43" s="2">
        <v>2018</v>
      </c>
      <c r="D43" s="2">
        <v>22321</v>
      </c>
      <c r="E43" s="19">
        <v>43458.294770436194</v>
      </c>
      <c r="F43" s="2">
        <v>25315.35</v>
      </c>
      <c r="G43" s="3">
        <v>0.88171800903404463</v>
      </c>
      <c r="H43" s="2">
        <f t="shared" ref="H43:H47" si="16">(G43-G42)/G42</f>
        <v>-3.3917693152346398E-2</v>
      </c>
      <c r="I43" s="16">
        <v>0.31191125921812479</v>
      </c>
      <c r="J43" s="2">
        <f t="shared" ref="J43:J47" si="17">(I43-I42)/I42</f>
        <v>5.8873939328931181E-2</v>
      </c>
      <c r="K43">
        <v>1.7166776193272539</v>
      </c>
      <c r="L43">
        <f t="shared" si="5"/>
        <v>-2.1886166611504512E-2</v>
      </c>
      <c r="M43" s="2">
        <v>0</v>
      </c>
      <c r="N43" s="2">
        <v>0</v>
      </c>
      <c r="O43" s="4">
        <v>1</v>
      </c>
      <c r="P43">
        <v>0.83076049715193134</v>
      </c>
      <c r="Q43">
        <v>0.85190615835777128</v>
      </c>
      <c r="R43">
        <v>0.85626891030116836</v>
      </c>
      <c r="S43">
        <v>3.5</v>
      </c>
      <c r="T43">
        <v>1.5</v>
      </c>
      <c r="U43">
        <v>0.65066225165562919</v>
      </c>
      <c r="V43">
        <v>0.41855203619909498</v>
      </c>
      <c r="W43">
        <v>0.1741573033707865</v>
      </c>
      <c r="X43">
        <v>0.30184412980883385</v>
      </c>
      <c r="Y43">
        <v>0.61222339304531059</v>
      </c>
      <c r="Z43">
        <v>0.61404841810193933</v>
      </c>
      <c r="AA43">
        <v>1</v>
      </c>
      <c r="AB43">
        <v>0.87209302325581395</v>
      </c>
      <c r="AC43">
        <v>0.52591459237268801</v>
      </c>
      <c r="AD43">
        <v>0.44745460647371277</v>
      </c>
      <c r="AE43">
        <v>0.20318352059925093</v>
      </c>
      <c r="AF43">
        <v>0.13699999999999998</v>
      </c>
      <c r="AG43">
        <v>0.14499999999999999</v>
      </c>
      <c r="AH43">
        <v>0.18</v>
      </c>
      <c r="AI43">
        <v>0.2</v>
      </c>
      <c r="AJ43">
        <v>0.65</v>
      </c>
      <c r="AK43">
        <v>0.68499999999999983</v>
      </c>
      <c r="AL43">
        <v>1.074074074074074</v>
      </c>
      <c r="AM43">
        <v>1</v>
      </c>
      <c r="AN43">
        <v>0.8</v>
      </c>
      <c r="AO43">
        <v>1</v>
      </c>
      <c r="AP43">
        <f t="shared" si="0"/>
        <v>0.74249999999999994</v>
      </c>
      <c r="AQ43">
        <f t="shared" si="1"/>
        <v>1.074074074074074</v>
      </c>
      <c r="AR43">
        <f t="shared" si="2"/>
        <v>1</v>
      </c>
      <c r="AS43" cm="1">
        <f t="array" ref="AS43">_xlfn.IFS(AF43&gt;'“主要目标”数据分表'!$C$2,1,AF43='“主要目标”数据分表'!$C$2,0,AF43&lt;'“主要目标”数据分表'!$C$2,-1)</f>
        <v>-1</v>
      </c>
      <c r="AT43" cm="1">
        <f t="array" ref="AT43">_xlfn.IFS(AG43&gt;'“主要目标”数据分表'!$D$2,1,AG43='“主要目标”数据分表'!$D$2,0,AG43&lt;'“主要目标”数据分表'!$D$2,-1)</f>
        <v>1</v>
      </c>
      <c r="AU43" cm="1">
        <f t="array" ref="AU43">_xlfn.IFS(AH43&gt;'“主要目标”数据分表'!$E$2,1,AH43='“主要目标”数据分表'!$E$2,0,AH43&lt;'“主要目标”数据分表'!$E$2,-1)</f>
        <v>0</v>
      </c>
      <c r="AV43" cm="1">
        <f t="array" ref="AV43">_xlfn.IFS(AI43&gt;'“主要目标”数据分表'!$F$2,1,AI43='“主要目标”数据分表'!$F$2,0,AI43&lt;'“主要目标”数据分表'!$F$2,-1)</f>
        <v>-1</v>
      </c>
      <c r="AW43" cm="1">
        <f t="array" ref="AW43">_xlfn.IFS(AJ43&gt;'“主要目标”数据分表'!$G$2,1,AJ43='“主要目标”数据分表'!$G$2,0,AJ43&lt;'“主要目标”数据分表'!$G$2,-1)</f>
        <v>0</v>
      </c>
    </row>
    <row r="44" spans="1:49" ht="14.4" x14ac:dyDescent="0.25">
      <c r="A44" s="2">
        <v>6</v>
      </c>
      <c r="B44" s="2" t="s">
        <v>14</v>
      </c>
      <c r="C44" s="2">
        <v>2019</v>
      </c>
      <c r="D44" s="2">
        <v>23749</v>
      </c>
      <c r="E44" s="19">
        <v>44569.194894324304</v>
      </c>
      <c r="F44" s="2">
        <v>24909.45</v>
      </c>
      <c r="G44" s="3">
        <v>0.95341326283799921</v>
      </c>
      <c r="H44" s="2">
        <f t="shared" si="16"/>
        <v>8.1313133075845243E-2</v>
      </c>
      <c r="I44" s="16">
        <v>0.3120078845551354</v>
      </c>
      <c r="J44" s="2">
        <f t="shared" si="17"/>
        <v>3.0978470367762909E-4</v>
      </c>
      <c r="K44">
        <v>1.7892484536721727</v>
      </c>
      <c r="L44">
        <f t="shared" si="5"/>
        <v>4.2274002717737069E-2</v>
      </c>
      <c r="M44" s="2">
        <v>0</v>
      </c>
      <c r="N44" s="2">
        <v>0</v>
      </c>
      <c r="O44" s="4">
        <v>1</v>
      </c>
      <c r="P44">
        <v>0.83076049715193134</v>
      </c>
      <c r="Q44">
        <v>0.85190615835777128</v>
      </c>
      <c r="R44">
        <v>0.85626891030116836</v>
      </c>
      <c r="S44">
        <v>3.5</v>
      </c>
      <c r="T44">
        <v>1.5</v>
      </c>
      <c r="U44">
        <v>0.65066225165562919</v>
      </c>
      <c r="V44">
        <v>0.41855203619909498</v>
      </c>
      <c r="W44">
        <v>0.1741573033707865</v>
      </c>
      <c r="X44">
        <v>0.30184412980883385</v>
      </c>
      <c r="Y44">
        <v>0.61222339304531059</v>
      </c>
      <c r="Z44">
        <v>0.61404841810193933</v>
      </c>
      <c r="AA44">
        <v>1</v>
      </c>
      <c r="AB44">
        <v>0.87209302325581395</v>
      </c>
      <c r="AC44">
        <v>0.52591459237268801</v>
      </c>
      <c r="AD44">
        <v>0.44745460647371277</v>
      </c>
      <c r="AE44">
        <v>0.20318352059925093</v>
      </c>
      <c r="AF44">
        <v>0.13699999999999998</v>
      </c>
      <c r="AG44">
        <v>0.14499999999999999</v>
      </c>
      <c r="AH44">
        <v>0.18</v>
      </c>
      <c r="AI44">
        <v>0.2</v>
      </c>
      <c r="AJ44">
        <v>0.65</v>
      </c>
      <c r="AK44">
        <v>0.68499999999999983</v>
      </c>
      <c r="AL44">
        <v>1.074074074074074</v>
      </c>
      <c r="AM44">
        <v>1</v>
      </c>
      <c r="AN44">
        <v>0.8</v>
      </c>
      <c r="AO44">
        <v>1</v>
      </c>
      <c r="AP44">
        <f t="shared" si="0"/>
        <v>0.74249999999999994</v>
      </c>
      <c r="AQ44">
        <f t="shared" si="1"/>
        <v>1.074074074074074</v>
      </c>
      <c r="AR44">
        <f t="shared" si="2"/>
        <v>1</v>
      </c>
      <c r="AS44" cm="1">
        <f t="array" ref="AS44">_xlfn.IFS(AF44&gt;'“主要目标”数据分表'!$C$2,1,AF44='“主要目标”数据分表'!$C$2,0,AF44&lt;'“主要目标”数据分表'!$C$2,-1)</f>
        <v>-1</v>
      </c>
      <c r="AT44" cm="1">
        <f t="array" ref="AT44">_xlfn.IFS(AG44&gt;'“主要目标”数据分表'!$D$2,1,AG44='“主要目标”数据分表'!$D$2,0,AG44&lt;'“主要目标”数据分表'!$D$2,-1)</f>
        <v>1</v>
      </c>
      <c r="AU44" cm="1">
        <f t="array" ref="AU44">_xlfn.IFS(AH44&gt;'“主要目标”数据分表'!$E$2,1,AH44='“主要目标”数据分表'!$E$2,0,AH44&lt;'“主要目标”数据分表'!$E$2,-1)</f>
        <v>0</v>
      </c>
      <c r="AV44" cm="1">
        <f t="array" ref="AV44">_xlfn.IFS(AI44&gt;'“主要目标”数据分表'!$F$2,1,AI44='“主要目标”数据分表'!$F$2,0,AI44&lt;'“主要目标”数据分表'!$F$2,-1)</f>
        <v>-1</v>
      </c>
      <c r="AW44" cm="1">
        <f t="array" ref="AW44">_xlfn.IFS(AJ44&gt;'“主要目标”数据分表'!$G$2,1,AJ44='“主要目标”数据分表'!$G$2,0,AJ44&lt;'“主要目标”数据分表'!$G$2,-1)</f>
        <v>0</v>
      </c>
    </row>
    <row r="45" spans="1:49" ht="14.4" x14ac:dyDescent="0.25">
      <c r="A45" s="2">
        <v>6</v>
      </c>
      <c r="B45" s="2" t="s">
        <v>14</v>
      </c>
      <c r="C45" s="2">
        <v>2020</v>
      </c>
      <c r="D45" s="2">
        <v>24849.5</v>
      </c>
      <c r="E45" s="19">
        <v>44280.624368991899</v>
      </c>
      <c r="F45" s="2">
        <v>25114.959999999999</v>
      </c>
      <c r="G45" s="3">
        <v>0.98943020414924021</v>
      </c>
      <c r="H45" s="2">
        <f t="shared" si="16"/>
        <v>3.7776841077320822E-2</v>
      </c>
      <c r="I45" s="16">
        <v>0.31899534459106288</v>
      </c>
      <c r="J45" s="2">
        <f t="shared" si="17"/>
        <v>2.2395139295567128E-2</v>
      </c>
      <c r="K45">
        <v>1.7631174554525231</v>
      </c>
      <c r="L45">
        <f t="shared" si="5"/>
        <v>-1.4604454829076147E-2</v>
      </c>
      <c r="M45" s="2">
        <v>0</v>
      </c>
      <c r="N45" s="2">
        <v>0</v>
      </c>
      <c r="O45" s="4">
        <v>1</v>
      </c>
      <c r="P45">
        <v>0.83076049715193134</v>
      </c>
      <c r="Q45">
        <v>0.85190615835777128</v>
      </c>
      <c r="R45">
        <v>0.85626891030116836</v>
      </c>
      <c r="S45">
        <v>3.5</v>
      </c>
      <c r="T45">
        <v>1.5</v>
      </c>
      <c r="U45">
        <v>0.65066225165562919</v>
      </c>
      <c r="V45">
        <v>0.41855203619909498</v>
      </c>
      <c r="W45">
        <v>0.1741573033707865</v>
      </c>
      <c r="X45">
        <v>0.30184412980883385</v>
      </c>
      <c r="Y45">
        <v>0.61222339304531059</v>
      </c>
      <c r="Z45">
        <v>0.61404841810193933</v>
      </c>
      <c r="AA45">
        <v>1</v>
      </c>
      <c r="AB45">
        <v>0.87209302325581395</v>
      </c>
      <c r="AC45">
        <v>0.52591459237268801</v>
      </c>
      <c r="AD45">
        <v>0.44745460647371277</v>
      </c>
      <c r="AE45">
        <v>0.20318352059925093</v>
      </c>
      <c r="AF45">
        <v>0.13699999999999998</v>
      </c>
      <c r="AG45">
        <v>0.14499999999999999</v>
      </c>
      <c r="AH45">
        <v>0.18</v>
      </c>
      <c r="AI45">
        <v>0.2</v>
      </c>
      <c r="AJ45">
        <v>0.65</v>
      </c>
      <c r="AK45">
        <v>0.68499999999999983</v>
      </c>
      <c r="AL45">
        <v>1.074074074074074</v>
      </c>
      <c r="AM45">
        <v>1</v>
      </c>
      <c r="AN45">
        <v>0.8</v>
      </c>
      <c r="AO45">
        <v>1</v>
      </c>
      <c r="AP45">
        <f t="shared" si="0"/>
        <v>0.74249999999999994</v>
      </c>
      <c r="AQ45">
        <f t="shared" si="1"/>
        <v>1.074074074074074</v>
      </c>
      <c r="AR45">
        <f t="shared" si="2"/>
        <v>1</v>
      </c>
      <c r="AS45" cm="1">
        <f t="array" ref="AS45">_xlfn.IFS(AF45&gt;'“主要目标”数据分表'!$C$2,1,AF45='“主要目标”数据分表'!$C$2,0,AF45&lt;'“主要目标”数据分表'!$C$2,-1)</f>
        <v>-1</v>
      </c>
      <c r="AT45" cm="1">
        <f t="array" ref="AT45">_xlfn.IFS(AG45&gt;'“主要目标”数据分表'!$D$2,1,AG45='“主要目标”数据分表'!$D$2,0,AG45&lt;'“主要目标”数据分表'!$D$2,-1)</f>
        <v>1</v>
      </c>
      <c r="AU45" cm="1">
        <f t="array" ref="AU45">_xlfn.IFS(AH45&gt;'“主要目标”数据分表'!$E$2,1,AH45='“主要目标”数据分表'!$E$2,0,AH45&lt;'“主要目标”数据分表'!$E$2,-1)</f>
        <v>0</v>
      </c>
      <c r="AV45" cm="1">
        <f t="array" ref="AV45">_xlfn.IFS(AI45&gt;'“主要目标”数据分表'!$F$2,1,AI45='“主要目标”数据分表'!$F$2,0,AI45&lt;'“主要目标”数据分表'!$F$2,-1)</f>
        <v>-1</v>
      </c>
      <c r="AW45" cm="1">
        <f t="array" ref="AW45">_xlfn.IFS(AJ45&gt;'“主要目标”数据分表'!$G$2,1,AJ45='“主要目标”数据分表'!$G$2,0,AJ45&lt;'“主要目标”数据分表'!$G$2,-1)</f>
        <v>0</v>
      </c>
    </row>
    <row r="46" spans="1:49" ht="14.4" x14ac:dyDescent="0.25">
      <c r="A46" s="2">
        <v>6</v>
      </c>
      <c r="B46" s="2" t="s">
        <v>14</v>
      </c>
      <c r="C46" s="2">
        <v>2021</v>
      </c>
      <c r="D46" s="2">
        <v>24930.799999999999</v>
      </c>
      <c r="E46" s="19">
        <v>46713.143174695499</v>
      </c>
      <c r="F46" s="2">
        <v>27584.075000000001</v>
      </c>
      <c r="G46" s="3">
        <v>0.90381134767071214</v>
      </c>
      <c r="H46" s="2">
        <f t="shared" si="16"/>
        <v>-8.6533497885429217E-2</v>
      </c>
      <c r="I46" s="16">
        <v>0.33859877593886512</v>
      </c>
      <c r="J46" s="2">
        <f t="shared" si="17"/>
        <v>6.1453659685638734E-2</v>
      </c>
      <c r="K46">
        <v>1.6934823145128302</v>
      </c>
      <c r="L46">
        <f t="shared" si="5"/>
        <v>-3.949546340451851E-2</v>
      </c>
      <c r="M46" s="2">
        <v>0</v>
      </c>
      <c r="N46" s="2">
        <v>0</v>
      </c>
      <c r="O46" s="4">
        <v>1</v>
      </c>
      <c r="P46">
        <v>0.83076049715193134</v>
      </c>
      <c r="Q46">
        <v>0.85190615835777128</v>
      </c>
      <c r="R46">
        <v>0.85626891030116836</v>
      </c>
      <c r="S46">
        <v>3.5</v>
      </c>
      <c r="T46">
        <v>1.5</v>
      </c>
      <c r="U46">
        <v>0.65066225165562919</v>
      </c>
      <c r="V46">
        <v>0.41855203619909498</v>
      </c>
      <c r="W46">
        <v>0.1741573033707865</v>
      </c>
      <c r="X46">
        <v>0.30184412980883385</v>
      </c>
      <c r="Y46">
        <v>0.61222339304531059</v>
      </c>
      <c r="Z46">
        <v>0.61404841810193933</v>
      </c>
      <c r="AA46">
        <v>1</v>
      </c>
      <c r="AB46">
        <v>0.87209302325581395</v>
      </c>
      <c r="AC46">
        <v>0.52591459237268801</v>
      </c>
      <c r="AD46">
        <v>0.44745460647371277</v>
      </c>
      <c r="AE46">
        <v>0.20318352059925093</v>
      </c>
      <c r="AF46">
        <v>0.13699999999999998</v>
      </c>
      <c r="AG46">
        <v>0.14499999999999999</v>
      </c>
      <c r="AH46">
        <v>0.18</v>
      </c>
      <c r="AI46">
        <v>0.2</v>
      </c>
      <c r="AJ46">
        <v>0.65</v>
      </c>
      <c r="AK46">
        <v>0.68499999999999983</v>
      </c>
      <c r="AL46">
        <v>1.074074074074074</v>
      </c>
      <c r="AM46">
        <v>1</v>
      </c>
      <c r="AN46">
        <v>0.8</v>
      </c>
      <c r="AO46">
        <v>1</v>
      </c>
      <c r="AP46">
        <f t="shared" si="0"/>
        <v>0.74249999999999994</v>
      </c>
      <c r="AQ46">
        <f t="shared" si="1"/>
        <v>1.074074074074074</v>
      </c>
      <c r="AR46">
        <f t="shared" si="2"/>
        <v>1</v>
      </c>
      <c r="AS46" cm="1">
        <f t="array" ref="AS46">_xlfn.IFS(AF46&gt;'“主要目标”数据分表'!$C$2,1,AF46='“主要目标”数据分表'!$C$2,0,AF46&lt;'“主要目标”数据分表'!$C$2,-1)</f>
        <v>-1</v>
      </c>
      <c r="AT46" cm="1">
        <f t="array" ref="AT46">_xlfn.IFS(AG46&gt;'“主要目标”数据分表'!$D$2,1,AG46='“主要目标”数据分表'!$D$2,0,AG46&lt;'“主要目标”数据分表'!$D$2,-1)</f>
        <v>1</v>
      </c>
      <c r="AU46" cm="1">
        <f t="array" ref="AU46">_xlfn.IFS(AH46&gt;'“主要目标”数据分表'!$E$2,1,AH46='“主要目标”数据分表'!$E$2,0,AH46&lt;'“主要目标”数据分表'!$E$2,-1)</f>
        <v>0</v>
      </c>
      <c r="AV46" cm="1">
        <f t="array" ref="AV46">_xlfn.IFS(AI46&gt;'“主要目标”数据分表'!$F$2,1,AI46='“主要目标”数据分表'!$F$2,0,AI46&lt;'“主要目标”数据分表'!$F$2,-1)</f>
        <v>-1</v>
      </c>
      <c r="AW46" cm="1">
        <f t="array" ref="AW46">_xlfn.IFS(AJ46&gt;'“主要目标”数据分表'!$G$2,1,AJ46='“主要目标”数据分表'!$G$2,0,AJ46&lt;'“主要目标”数据分表'!$G$2,-1)</f>
        <v>0</v>
      </c>
    </row>
    <row r="47" spans="1:49" ht="14.4" x14ac:dyDescent="0.25">
      <c r="A47" s="2">
        <v>6</v>
      </c>
      <c r="B47" s="6" t="s">
        <v>15</v>
      </c>
      <c r="C47" s="2">
        <v>2022</v>
      </c>
      <c r="D47" s="2">
        <v>24707.3</v>
      </c>
      <c r="E47" s="19">
        <v>45898.946325047604</v>
      </c>
      <c r="F47" s="2">
        <v>28975.1</v>
      </c>
      <c r="G47" s="3">
        <v>0.85270801481271852</v>
      </c>
      <c r="H47" s="2">
        <f t="shared" si="16"/>
        <v>-5.6542035005088503E-2</v>
      </c>
      <c r="I47" s="16">
        <v>0.34558682063848178</v>
      </c>
      <c r="J47" s="2">
        <f t="shared" si="17"/>
        <v>2.063812747178501E-2</v>
      </c>
      <c r="K47">
        <v>1.5840824130045317</v>
      </c>
      <c r="L47">
        <f t="shared" si="5"/>
        <v>-6.4600557425821076E-2</v>
      </c>
      <c r="M47" s="2">
        <v>1</v>
      </c>
      <c r="N47" s="2">
        <v>0</v>
      </c>
      <c r="O47" s="4">
        <v>1</v>
      </c>
      <c r="P47">
        <v>0.83076049715193134</v>
      </c>
      <c r="Q47">
        <v>0.85190615835777128</v>
      </c>
      <c r="R47">
        <v>0.85626891030116836</v>
      </c>
      <c r="S47">
        <v>3.5</v>
      </c>
      <c r="T47">
        <v>1.5</v>
      </c>
      <c r="U47">
        <v>0.65066225165562919</v>
      </c>
      <c r="V47">
        <v>0.41855203619909498</v>
      </c>
      <c r="W47">
        <v>0.1741573033707865</v>
      </c>
      <c r="X47">
        <v>0.30184412980883385</v>
      </c>
      <c r="Y47">
        <v>0.61222339304531059</v>
      </c>
      <c r="Z47">
        <v>0.61404841810193933</v>
      </c>
      <c r="AA47">
        <v>1</v>
      </c>
      <c r="AB47">
        <v>0.87209302325581395</v>
      </c>
      <c r="AC47">
        <v>0.52591459237268801</v>
      </c>
      <c r="AD47">
        <v>0.44745460647371277</v>
      </c>
      <c r="AE47">
        <v>0.20318352059925093</v>
      </c>
      <c r="AF47">
        <v>0.13699999999999998</v>
      </c>
      <c r="AG47">
        <v>0.14499999999999999</v>
      </c>
      <c r="AH47">
        <v>0.18</v>
      </c>
      <c r="AI47">
        <v>0.2</v>
      </c>
      <c r="AJ47">
        <v>0.65</v>
      </c>
      <c r="AK47">
        <v>0.68499999999999983</v>
      </c>
      <c r="AL47">
        <v>1.074074074074074</v>
      </c>
      <c r="AM47">
        <v>1</v>
      </c>
      <c r="AN47">
        <v>0.8</v>
      </c>
      <c r="AO47">
        <v>1</v>
      </c>
      <c r="AP47">
        <f t="shared" si="0"/>
        <v>0.74249999999999994</v>
      </c>
      <c r="AQ47">
        <f t="shared" si="1"/>
        <v>1.074074074074074</v>
      </c>
      <c r="AR47">
        <f t="shared" si="2"/>
        <v>1</v>
      </c>
      <c r="AS47" cm="1">
        <f t="array" ref="AS47">_xlfn.IFS(AF47&gt;'“主要目标”数据分表'!$C$2,1,AF47='“主要目标”数据分表'!$C$2,0,AF47&lt;'“主要目标”数据分表'!$C$2,-1)</f>
        <v>-1</v>
      </c>
      <c r="AT47" cm="1">
        <f t="array" ref="AT47">_xlfn.IFS(AG47&gt;'“主要目标”数据分表'!$D$2,1,AG47='“主要目标”数据分表'!$D$2,0,AG47&lt;'“主要目标”数据分表'!$D$2,-1)</f>
        <v>1</v>
      </c>
      <c r="AU47" cm="1">
        <f t="array" ref="AU47">_xlfn.IFS(AH47&gt;'“主要目标”数据分表'!$E$2,1,AH47='“主要目标”数据分表'!$E$2,0,AH47&lt;'“主要目标”数据分表'!$E$2,-1)</f>
        <v>0</v>
      </c>
      <c r="AV47" cm="1">
        <f t="array" ref="AV47">_xlfn.IFS(AI47&gt;'“主要目标”数据分表'!$F$2,1,AI47='“主要目标”数据分表'!$F$2,0,AI47&lt;'“主要目标”数据分表'!$F$2,-1)</f>
        <v>-1</v>
      </c>
      <c r="AW47" cm="1">
        <f t="array" ref="AW47">_xlfn.IFS(AJ47&gt;'“主要目标”数据分表'!$G$2,1,AJ47='“主要目标”数据分表'!$G$2,0,AJ47&lt;'“主要目标”数据分表'!$G$2,-1)</f>
        <v>0</v>
      </c>
    </row>
    <row r="48" spans="1:49" ht="14.4" x14ac:dyDescent="0.25">
      <c r="A48" s="2">
        <v>7</v>
      </c>
      <c r="B48" s="2" t="s">
        <v>16</v>
      </c>
      <c r="C48" s="2">
        <v>2016</v>
      </c>
      <c r="D48" s="2">
        <v>6886</v>
      </c>
      <c r="E48" s="19">
        <v>14938.601007400799</v>
      </c>
      <c r="F48" s="2">
        <v>14776.8</v>
      </c>
      <c r="G48" s="3">
        <v>0.4660007579448866</v>
      </c>
      <c r="H48" s="2"/>
      <c r="I48" s="16">
        <v>0.31241226875417277</v>
      </c>
      <c r="K48">
        <v>1.0109496648395322</v>
      </c>
      <c r="L48"/>
      <c r="M48" s="2">
        <v>0</v>
      </c>
      <c r="N48" s="2">
        <v>0</v>
      </c>
      <c r="O48" s="4">
        <v>1</v>
      </c>
      <c r="P48">
        <v>0.84762755656871624</v>
      </c>
      <c r="Q48">
        <v>0.13196480938416419</v>
      </c>
      <c r="R48">
        <v>5.7812572731927581E-2</v>
      </c>
      <c r="S48">
        <v>0.4</v>
      </c>
      <c r="T48">
        <v>-0.54</v>
      </c>
      <c r="U48">
        <v>4.472843450479233E-2</v>
      </c>
      <c r="V48">
        <v>-0.10307017543859651</v>
      </c>
      <c r="W48">
        <v>-0.112</v>
      </c>
      <c r="X48">
        <v>0.37142502929397547</v>
      </c>
      <c r="Y48">
        <v>9.4836670179135871E-2</v>
      </c>
      <c r="Z48">
        <v>4.1458610029362651E-2</v>
      </c>
      <c r="AA48">
        <v>0.1142857142857143</v>
      </c>
      <c r="AB48">
        <v>-0.31395348837209303</v>
      </c>
      <c r="AC48">
        <v>3.6152913958356292E-2</v>
      </c>
      <c r="AD48">
        <v>-0.11018755328218245</v>
      </c>
      <c r="AE48">
        <v>-0.13066666666666668</v>
      </c>
      <c r="AF48">
        <v>0.17699999999999999</v>
      </c>
      <c r="AG48">
        <v>0.13500000000000001</v>
      </c>
      <c r="AH48">
        <v>0.18</v>
      </c>
      <c r="AI48">
        <v>0.2</v>
      </c>
      <c r="AJ48">
        <v>0.65</v>
      </c>
      <c r="AK48">
        <v>0.8849999999999999</v>
      </c>
      <c r="AL48">
        <v>1</v>
      </c>
      <c r="AM48">
        <v>1</v>
      </c>
      <c r="AN48">
        <v>0.8</v>
      </c>
      <c r="AO48">
        <v>1</v>
      </c>
      <c r="AP48">
        <f t="shared" si="0"/>
        <v>0.84250000000000003</v>
      </c>
      <c r="AQ48">
        <f t="shared" si="1"/>
        <v>1</v>
      </c>
      <c r="AR48">
        <f t="shared" si="2"/>
        <v>1</v>
      </c>
      <c r="AS48" cm="1">
        <f t="array" ref="AS48">_xlfn.IFS(AF48&gt;'“主要目标”数据分表'!$C$2,1,AF48='“主要目标”数据分表'!$C$2,0,AF48&lt;'“主要目标”数据分表'!$C$2,-1)</f>
        <v>-1</v>
      </c>
      <c r="AT48" cm="1">
        <f t="array" ref="AT48">_xlfn.IFS(AG48&gt;'“主要目标”数据分表'!$D$2,1,AG48='“主要目标”数据分表'!$D$2,0,AG48&lt;'“主要目标”数据分表'!$D$2,-1)</f>
        <v>0</v>
      </c>
      <c r="AU48" cm="1">
        <f t="array" ref="AU48">_xlfn.IFS(AH48&gt;'“主要目标”数据分表'!$E$2,1,AH48='“主要目标”数据分表'!$E$2,0,AH48&lt;'“主要目标”数据分表'!$E$2,-1)</f>
        <v>0</v>
      </c>
      <c r="AV48" cm="1">
        <f t="array" ref="AV48">_xlfn.IFS(AI48&gt;'“主要目标”数据分表'!$F$2,1,AI48='“主要目标”数据分表'!$F$2,0,AI48&lt;'“主要目标”数据分表'!$F$2,-1)</f>
        <v>-1</v>
      </c>
      <c r="AW48" cm="1">
        <f t="array" ref="AW48">_xlfn.IFS(AJ48&gt;'“主要目标”数据分表'!$G$2,1,AJ48='“主要目标”数据分表'!$G$2,0,AJ48&lt;'“主要目标”数据分表'!$G$2,-1)</f>
        <v>0</v>
      </c>
    </row>
    <row r="49" spans="1:49" ht="14.4" x14ac:dyDescent="0.25">
      <c r="A49" s="2">
        <v>7</v>
      </c>
      <c r="B49" s="2" t="s">
        <v>16</v>
      </c>
      <c r="C49" s="2">
        <v>2017</v>
      </c>
      <c r="D49" s="2">
        <v>6881</v>
      </c>
      <c r="E49" s="19">
        <v>15066.6328028599</v>
      </c>
      <c r="F49" s="2">
        <v>14944.53</v>
      </c>
      <c r="G49" s="3">
        <v>0.46043602575658116</v>
      </c>
      <c r="H49" s="2">
        <f>(G49-G48)/G48</f>
        <v>-1.1941465959940731E-2</v>
      </c>
      <c r="I49" s="16">
        <v>0.35822441611780997</v>
      </c>
      <c r="J49" s="2">
        <f>(I49-I48)/I48</f>
        <v>0.14664003928631023</v>
      </c>
      <c r="K49">
        <v>1.0081704010002255</v>
      </c>
      <c r="L49">
        <f t="shared" si="5"/>
        <v>-2.7491614429170056E-3</v>
      </c>
      <c r="M49" s="2">
        <v>0</v>
      </c>
      <c r="N49" s="2">
        <v>0</v>
      </c>
      <c r="O49" s="4">
        <v>1</v>
      </c>
      <c r="P49">
        <v>0.84762755656871624</v>
      </c>
      <c r="Q49">
        <v>0.13196480938416419</v>
      </c>
      <c r="R49">
        <v>5.7812572731927581E-2</v>
      </c>
      <c r="S49">
        <v>0.4</v>
      </c>
      <c r="T49">
        <v>-0.54</v>
      </c>
      <c r="U49">
        <v>4.472843450479233E-2</v>
      </c>
      <c r="V49">
        <v>-0.10307017543859651</v>
      </c>
      <c r="W49">
        <v>-0.112</v>
      </c>
      <c r="X49">
        <v>0.37142502929397547</v>
      </c>
      <c r="Y49">
        <v>9.4836670179135871E-2</v>
      </c>
      <c r="Z49">
        <v>4.1458610029362651E-2</v>
      </c>
      <c r="AA49">
        <v>0.1142857142857143</v>
      </c>
      <c r="AB49">
        <v>-0.31395348837209303</v>
      </c>
      <c r="AC49">
        <v>3.6152913958356292E-2</v>
      </c>
      <c r="AD49">
        <v>-0.11018755328218245</v>
      </c>
      <c r="AE49">
        <v>-0.13066666666666668</v>
      </c>
      <c r="AF49">
        <v>0.17699999999999999</v>
      </c>
      <c r="AG49">
        <v>0.13500000000000001</v>
      </c>
      <c r="AH49">
        <v>0.18</v>
      </c>
      <c r="AI49">
        <v>0.2</v>
      </c>
      <c r="AJ49">
        <v>0.65</v>
      </c>
      <c r="AK49">
        <v>0.8849999999999999</v>
      </c>
      <c r="AL49">
        <v>1</v>
      </c>
      <c r="AM49">
        <v>1</v>
      </c>
      <c r="AN49">
        <v>0.8</v>
      </c>
      <c r="AO49">
        <v>1</v>
      </c>
      <c r="AP49">
        <f t="shared" si="0"/>
        <v>0.84250000000000003</v>
      </c>
      <c r="AQ49">
        <f t="shared" si="1"/>
        <v>1</v>
      </c>
      <c r="AR49">
        <f t="shared" si="2"/>
        <v>1</v>
      </c>
      <c r="AS49" cm="1">
        <f t="array" ref="AS49">_xlfn.IFS(AF49&gt;'“主要目标”数据分表'!$C$2,1,AF49='“主要目标”数据分表'!$C$2,0,AF49&lt;'“主要目标”数据分表'!$C$2,-1)</f>
        <v>-1</v>
      </c>
      <c r="AT49" cm="1">
        <f t="array" ref="AT49">_xlfn.IFS(AG49&gt;'“主要目标”数据分表'!$D$2,1,AG49='“主要目标”数据分表'!$D$2,0,AG49&lt;'“主要目标”数据分表'!$D$2,-1)</f>
        <v>0</v>
      </c>
      <c r="AU49" cm="1">
        <f t="array" ref="AU49">_xlfn.IFS(AH49&gt;'“主要目标”数据分表'!$E$2,1,AH49='“主要目标”数据分表'!$E$2,0,AH49&lt;'“主要目标”数据分表'!$E$2,-1)</f>
        <v>0</v>
      </c>
      <c r="AV49" cm="1">
        <f t="array" ref="AV49">_xlfn.IFS(AI49&gt;'“主要目标”数据分表'!$F$2,1,AI49='“主要目标”数据分表'!$F$2,0,AI49&lt;'“主要目标”数据分表'!$F$2,-1)</f>
        <v>-1</v>
      </c>
      <c r="AW49" cm="1">
        <f t="array" ref="AW49">_xlfn.IFS(AJ49&gt;'“主要目标”数据分表'!$G$2,1,AJ49='“主要目标”数据分表'!$G$2,0,AJ49&lt;'“主要目标”数据分表'!$G$2,-1)</f>
        <v>0</v>
      </c>
    </row>
    <row r="50" spans="1:49" ht="14.4" x14ac:dyDescent="0.25">
      <c r="A50" s="2">
        <v>7</v>
      </c>
      <c r="B50" s="2" t="s">
        <v>16</v>
      </c>
      <c r="C50" s="2">
        <v>2018</v>
      </c>
      <c r="D50" s="2">
        <v>7000</v>
      </c>
      <c r="E50" s="19">
        <v>15911.7710056865</v>
      </c>
      <c r="F50" s="2">
        <v>15074.62</v>
      </c>
      <c r="G50" s="3">
        <v>0.46435664713273034</v>
      </c>
      <c r="H50" s="2">
        <f t="shared" ref="H50:H55" si="18">(G50-G49)/G49</f>
        <v>8.5150187145040992E-3</v>
      </c>
      <c r="I50" s="16">
        <v>0.36722919345668964</v>
      </c>
      <c r="J50" s="2">
        <f t="shared" ref="J50:J54" si="19">(I50-I49)/I49</f>
        <v>2.5137251772135619E-2</v>
      </c>
      <c r="K50">
        <v>1.055533804877768</v>
      </c>
      <c r="L50">
        <f t="shared" si="5"/>
        <v>4.6979562017048317E-2</v>
      </c>
      <c r="M50" s="2">
        <v>0</v>
      </c>
      <c r="N50" s="2">
        <v>0</v>
      </c>
      <c r="O50" s="4">
        <v>1</v>
      </c>
      <c r="P50">
        <v>0.84762755656871624</v>
      </c>
      <c r="Q50">
        <v>0.13196480938416419</v>
      </c>
      <c r="R50">
        <v>5.7812572731927581E-2</v>
      </c>
      <c r="S50">
        <v>0.4</v>
      </c>
      <c r="T50">
        <v>-0.54</v>
      </c>
      <c r="U50">
        <v>4.472843450479233E-2</v>
      </c>
      <c r="V50">
        <v>-0.10307017543859651</v>
      </c>
      <c r="W50">
        <v>-0.112</v>
      </c>
      <c r="X50">
        <v>0.37142502929397547</v>
      </c>
      <c r="Y50">
        <v>9.4836670179135871E-2</v>
      </c>
      <c r="Z50">
        <v>4.1458610029362651E-2</v>
      </c>
      <c r="AA50">
        <v>0.1142857142857143</v>
      </c>
      <c r="AB50">
        <v>-0.31395348837209303</v>
      </c>
      <c r="AC50">
        <v>3.6152913958356292E-2</v>
      </c>
      <c r="AD50">
        <v>-0.11018755328218245</v>
      </c>
      <c r="AE50">
        <v>-0.13066666666666668</v>
      </c>
      <c r="AF50">
        <v>0.17699999999999999</v>
      </c>
      <c r="AG50">
        <v>0.13500000000000001</v>
      </c>
      <c r="AH50">
        <v>0.18</v>
      </c>
      <c r="AI50">
        <v>0.2</v>
      </c>
      <c r="AJ50">
        <v>0.65</v>
      </c>
      <c r="AK50">
        <v>0.8849999999999999</v>
      </c>
      <c r="AL50">
        <v>1</v>
      </c>
      <c r="AM50">
        <v>1</v>
      </c>
      <c r="AN50">
        <v>0.8</v>
      </c>
      <c r="AO50">
        <v>1</v>
      </c>
      <c r="AP50">
        <f t="shared" si="0"/>
        <v>0.84250000000000003</v>
      </c>
      <c r="AQ50">
        <f t="shared" si="1"/>
        <v>1</v>
      </c>
      <c r="AR50">
        <f t="shared" si="2"/>
        <v>1</v>
      </c>
      <c r="AS50" cm="1">
        <f t="array" ref="AS50">_xlfn.IFS(AF50&gt;'“主要目标”数据分表'!$C$2,1,AF50='“主要目标”数据分表'!$C$2,0,AF50&lt;'“主要目标”数据分表'!$C$2,-1)</f>
        <v>-1</v>
      </c>
      <c r="AT50" cm="1">
        <f t="array" ref="AT50">_xlfn.IFS(AG50&gt;'“主要目标”数据分表'!$D$2,1,AG50='“主要目标”数据分表'!$D$2,0,AG50&lt;'“主要目标”数据分表'!$D$2,-1)</f>
        <v>0</v>
      </c>
      <c r="AU50" cm="1">
        <f t="array" ref="AU50">_xlfn.IFS(AH50&gt;'“主要目标”数据分表'!$E$2,1,AH50='“主要目标”数据分表'!$E$2,0,AH50&lt;'“主要目标”数据分表'!$E$2,-1)</f>
        <v>0</v>
      </c>
      <c r="AV50" cm="1">
        <f t="array" ref="AV50">_xlfn.IFS(AI50&gt;'“主要目标”数据分表'!$F$2,1,AI50='“主要目标”数据分表'!$F$2,0,AI50&lt;'“主要目标”数据分表'!$F$2,-1)</f>
        <v>-1</v>
      </c>
      <c r="AW50" cm="1">
        <f t="array" ref="AW50">_xlfn.IFS(AJ50&gt;'“主要目标”数据分表'!$G$2,1,AJ50='“主要目标”数据分表'!$G$2,0,AJ50&lt;'“主要目标”数据分表'!$G$2,-1)</f>
        <v>0</v>
      </c>
    </row>
    <row r="51" spans="1:49" ht="14.4" x14ac:dyDescent="0.25">
      <c r="A51" s="2">
        <v>7</v>
      </c>
      <c r="B51" s="2" t="s">
        <v>16</v>
      </c>
      <c r="C51" s="2">
        <v>2019</v>
      </c>
      <c r="D51" s="2">
        <v>7132</v>
      </c>
      <c r="E51" s="19">
        <v>15913.342927289001</v>
      </c>
      <c r="F51" s="2">
        <v>11726.82</v>
      </c>
      <c r="G51" s="3">
        <v>0.60817851727919425</v>
      </c>
      <c r="H51" s="2">
        <f t="shared" si="18"/>
        <v>0.30972286287818401</v>
      </c>
      <c r="I51" s="16">
        <v>0.36487620126397707</v>
      </c>
      <c r="J51" s="2">
        <f t="shared" si="19"/>
        <v>-6.4074213996008844E-3</v>
      </c>
      <c r="K51">
        <v>1.3570041091522682</v>
      </c>
      <c r="L51">
        <f t="shared" si="5"/>
        <v>0.28560933139361722</v>
      </c>
      <c r="M51" s="2">
        <v>0</v>
      </c>
      <c r="N51" s="2">
        <v>0</v>
      </c>
      <c r="O51" s="4">
        <v>1</v>
      </c>
      <c r="P51">
        <v>0.84762755656871624</v>
      </c>
      <c r="Q51">
        <v>0.13196480938416419</v>
      </c>
      <c r="R51">
        <v>5.7812572731927581E-2</v>
      </c>
      <c r="S51">
        <v>0.4</v>
      </c>
      <c r="T51">
        <v>-0.54</v>
      </c>
      <c r="U51">
        <v>4.472843450479233E-2</v>
      </c>
      <c r="V51">
        <v>-0.10307017543859651</v>
      </c>
      <c r="W51">
        <v>-0.112</v>
      </c>
      <c r="X51">
        <v>0.37142502929397547</v>
      </c>
      <c r="Y51">
        <v>9.4836670179135871E-2</v>
      </c>
      <c r="Z51">
        <v>4.1458610029362651E-2</v>
      </c>
      <c r="AA51">
        <v>0.1142857142857143</v>
      </c>
      <c r="AB51">
        <v>-0.31395348837209303</v>
      </c>
      <c r="AC51">
        <v>3.6152913958356292E-2</v>
      </c>
      <c r="AD51">
        <v>-0.11018755328218245</v>
      </c>
      <c r="AE51">
        <v>-0.13066666666666668</v>
      </c>
      <c r="AF51">
        <v>0.17699999999999999</v>
      </c>
      <c r="AG51">
        <v>0.13500000000000001</v>
      </c>
      <c r="AH51">
        <v>0.18</v>
      </c>
      <c r="AI51">
        <v>0.2</v>
      </c>
      <c r="AJ51">
        <v>0.65</v>
      </c>
      <c r="AK51">
        <v>0.8849999999999999</v>
      </c>
      <c r="AL51">
        <v>1</v>
      </c>
      <c r="AM51">
        <v>1</v>
      </c>
      <c r="AN51">
        <v>0.8</v>
      </c>
      <c r="AO51">
        <v>1</v>
      </c>
      <c r="AP51">
        <f t="shared" si="0"/>
        <v>0.84250000000000003</v>
      </c>
      <c r="AQ51">
        <f t="shared" si="1"/>
        <v>1</v>
      </c>
      <c r="AR51">
        <f t="shared" si="2"/>
        <v>1</v>
      </c>
      <c r="AS51" cm="1">
        <f t="array" ref="AS51">_xlfn.IFS(AF51&gt;'“主要目标”数据分表'!$C$2,1,AF51='“主要目标”数据分表'!$C$2,0,AF51&lt;'“主要目标”数据分表'!$C$2,-1)</f>
        <v>-1</v>
      </c>
      <c r="AT51" cm="1">
        <f t="array" ref="AT51">_xlfn.IFS(AG51&gt;'“主要目标”数据分表'!$D$2,1,AG51='“主要目标”数据分表'!$D$2,0,AG51&lt;'“主要目标”数据分表'!$D$2,-1)</f>
        <v>0</v>
      </c>
      <c r="AU51" cm="1">
        <f t="array" ref="AU51">_xlfn.IFS(AH51&gt;'“主要目标”数据分表'!$E$2,1,AH51='“主要目标”数据分表'!$E$2,0,AH51&lt;'“主要目标”数据分表'!$E$2,-1)</f>
        <v>0</v>
      </c>
      <c r="AV51" cm="1">
        <f t="array" ref="AV51">_xlfn.IFS(AI51&gt;'“主要目标”数据分表'!$F$2,1,AI51='“主要目标”数据分表'!$F$2,0,AI51&lt;'“主要目标”数据分表'!$F$2,-1)</f>
        <v>-1</v>
      </c>
      <c r="AW51" cm="1">
        <f t="array" ref="AW51">_xlfn.IFS(AJ51&gt;'“主要目标”数据分表'!$G$2,1,AJ51='“主要目标”数据分表'!$G$2,0,AJ51&lt;'“主要目标”数据分表'!$G$2,-1)</f>
        <v>0</v>
      </c>
    </row>
    <row r="52" spans="1:49" ht="14.4" x14ac:dyDescent="0.25">
      <c r="A52" s="2">
        <v>7</v>
      </c>
      <c r="B52" s="2" t="s">
        <v>16</v>
      </c>
      <c r="C52" s="2">
        <v>2020</v>
      </c>
      <c r="D52" s="2">
        <v>7185.7</v>
      </c>
      <c r="E52" s="19">
        <v>15764.858052379999</v>
      </c>
      <c r="F52" s="2">
        <v>12311.32</v>
      </c>
      <c r="G52" s="3">
        <v>0.58366608942014342</v>
      </c>
      <c r="H52" s="2">
        <f t="shared" si="18"/>
        <v>-4.0304659179202812E-2</v>
      </c>
      <c r="I52" s="16">
        <v>0.39364336670217531</v>
      </c>
      <c r="J52" s="2">
        <f t="shared" si="19"/>
        <v>7.8840892715241931E-2</v>
      </c>
      <c r="K52">
        <v>1.2805172842863315</v>
      </c>
      <c r="L52">
        <f t="shared" si="5"/>
        <v>-5.6364475501639179E-2</v>
      </c>
      <c r="M52" s="2">
        <v>0</v>
      </c>
      <c r="N52" s="2">
        <v>0</v>
      </c>
      <c r="O52" s="4">
        <v>1</v>
      </c>
      <c r="P52">
        <v>0.84762755656871624</v>
      </c>
      <c r="Q52">
        <v>0.13196480938416419</v>
      </c>
      <c r="R52">
        <v>5.7812572731927581E-2</v>
      </c>
      <c r="S52">
        <v>0.4</v>
      </c>
      <c r="T52">
        <v>-0.54</v>
      </c>
      <c r="U52">
        <v>4.472843450479233E-2</v>
      </c>
      <c r="V52">
        <v>-0.10307017543859651</v>
      </c>
      <c r="W52">
        <v>-0.112</v>
      </c>
      <c r="X52">
        <v>0.37142502929397547</v>
      </c>
      <c r="Y52">
        <v>9.4836670179135871E-2</v>
      </c>
      <c r="Z52">
        <v>4.1458610029362651E-2</v>
      </c>
      <c r="AA52">
        <v>0.1142857142857143</v>
      </c>
      <c r="AB52">
        <v>-0.31395348837209303</v>
      </c>
      <c r="AC52">
        <v>3.6152913958356292E-2</v>
      </c>
      <c r="AD52">
        <v>-0.11018755328218245</v>
      </c>
      <c r="AE52">
        <v>-0.13066666666666668</v>
      </c>
      <c r="AF52">
        <v>0.17699999999999999</v>
      </c>
      <c r="AG52">
        <v>0.13500000000000001</v>
      </c>
      <c r="AH52">
        <v>0.18</v>
      </c>
      <c r="AI52">
        <v>0.2</v>
      </c>
      <c r="AJ52">
        <v>0.65</v>
      </c>
      <c r="AK52">
        <v>0.8849999999999999</v>
      </c>
      <c r="AL52">
        <v>1</v>
      </c>
      <c r="AM52">
        <v>1</v>
      </c>
      <c r="AN52">
        <v>0.8</v>
      </c>
      <c r="AO52">
        <v>1</v>
      </c>
      <c r="AP52">
        <f t="shared" si="0"/>
        <v>0.84250000000000003</v>
      </c>
      <c r="AQ52">
        <f t="shared" si="1"/>
        <v>1</v>
      </c>
      <c r="AR52">
        <f t="shared" si="2"/>
        <v>1</v>
      </c>
      <c r="AS52" cm="1">
        <f t="array" ref="AS52">_xlfn.IFS(AF52&gt;'“主要目标”数据分表'!$C$2,1,AF52='“主要目标”数据分表'!$C$2,0,AF52&lt;'“主要目标”数据分表'!$C$2,-1)</f>
        <v>-1</v>
      </c>
      <c r="AT52" cm="1">
        <f t="array" ref="AT52">_xlfn.IFS(AG52&gt;'“主要目标”数据分表'!$D$2,1,AG52='“主要目标”数据分表'!$D$2,0,AG52&lt;'“主要目标”数据分表'!$D$2,-1)</f>
        <v>0</v>
      </c>
      <c r="AU52" cm="1">
        <f t="array" ref="AU52">_xlfn.IFS(AH52&gt;'“主要目标”数据分表'!$E$2,1,AH52='“主要目标”数据分表'!$E$2,0,AH52&lt;'“主要目标”数据分表'!$E$2,-1)</f>
        <v>0</v>
      </c>
      <c r="AV52" cm="1">
        <f t="array" ref="AV52">_xlfn.IFS(AI52&gt;'“主要目标”数据分表'!$F$2,1,AI52='“主要目标”数据分表'!$F$2,0,AI52&lt;'“主要目标”数据分表'!$F$2,-1)</f>
        <v>-1</v>
      </c>
      <c r="AW52" cm="1">
        <f t="array" ref="AW52">_xlfn.IFS(AJ52&gt;'“主要目标”数据分表'!$G$2,1,AJ52='“主要目标”数据分表'!$G$2,0,AJ52&lt;'“主要目标”数据分表'!$G$2,-1)</f>
        <v>0</v>
      </c>
    </row>
    <row r="53" spans="1:49" ht="14.4" x14ac:dyDescent="0.25">
      <c r="A53" s="2">
        <v>7</v>
      </c>
      <c r="B53" s="2" t="s">
        <v>16</v>
      </c>
      <c r="C53" s="2">
        <v>2021</v>
      </c>
      <c r="D53" s="2">
        <v>7287.6</v>
      </c>
      <c r="E53" s="19">
        <v>16255.551837544701</v>
      </c>
      <c r="F53" s="2">
        <v>13235.5152</v>
      </c>
      <c r="G53" s="3">
        <v>0.55060946928609178</v>
      </c>
      <c r="H53" s="2">
        <f t="shared" si="18"/>
        <v>-5.6636184169775054E-2</v>
      </c>
      <c r="I53" s="16">
        <v>0.39998786739045983</v>
      </c>
      <c r="J53" s="2">
        <f t="shared" si="19"/>
        <v>1.6117382445528849E-2</v>
      </c>
      <c r="K53">
        <v>1.2281767344836489</v>
      </c>
      <c r="L53">
        <f t="shared" si="5"/>
        <v>-4.0874535974618584E-2</v>
      </c>
      <c r="M53" s="2">
        <v>0</v>
      </c>
      <c r="N53" s="2">
        <v>0</v>
      </c>
      <c r="O53" s="4">
        <v>1</v>
      </c>
      <c r="P53">
        <v>0.84762755656871624</v>
      </c>
      <c r="Q53">
        <v>0.13196480938416419</v>
      </c>
      <c r="R53">
        <v>5.7812572731927581E-2</v>
      </c>
      <c r="S53">
        <v>0.4</v>
      </c>
      <c r="T53">
        <v>-0.54</v>
      </c>
      <c r="U53">
        <v>4.472843450479233E-2</v>
      </c>
      <c r="V53">
        <v>-0.10307017543859651</v>
      </c>
      <c r="W53">
        <v>-0.112</v>
      </c>
      <c r="X53">
        <v>0.37142502929397547</v>
      </c>
      <c r="Y53">
        <v>9.4836670179135871E-2</v>
      </c>
      <c r="Z53">
        <v>4.1458610029362651E-2</v>
      </c>
      <c r="AA53">
        <v>0.1142857142857143</v>
      </c>
      <c r="AB53">
        <v>-0.31395348837209303</v>
      </c>
      <c r="AC53">
        <v>3.6152913958356292E-2</v>
      </c>
      <c r="AD53">
        <v>-0.11018755328218245</v>
      </c>
      <c r="AE53">
        <v>-0.13066666666666668</v>
      </c>
      <c r="AF53">
        <v>0.17699999999999999</v>
      </c>
      <c r="AG53">
        <v>0.13500000000000001</v>
      </c>
      <c r="AH53">
        <v>0.18</v>
      </c>
      <c r="AI53">
        <v>0.2</v>
      </c>
      <c r="AJ53">
        <v>0.65</v>
      </c>
      <c r="AK53">
        <v>0.8849999999999999</v>
      </c>
      <c r="AL53">
        <v>1</v>
      </c>
      <c r="AM53">
        <v>1</v>
      </c>
      <c r="AN53">
        <v>0.8</v>
      </c>
      <c r="AO53">
        <v>1</v>
      </c>
      <c r="AP53">
        <f t="shared" si="0"/>
        <v>0.84250000000000003</v>
      </c>
      <c r="AQ53">
        <f t="shared" si="1"/>
        <v>1</v>
      </c>
      <c r="AR53">
        <f t="shared" si="2"/>
        <v>1</v>
      </c>
      <c r="AS53" cm="1">
        <f t="array" ref="AS53">_xlfn.IFS(AF53&gt;'“主要目标”数据分表'!$C$2,1,AF53='“主要目标”数据分表'!$C$2,0,AF53&lt;'“主要目标”数据分表'!$C$2,-1)</f>
        <v>-1</v>
      </c>
      <c r="AT53" cm="1">
        <f t="array" ref="AT53">_xlfn.IFS(AG53&gt;'“主要目标”数据分表'!$D$2,1,AG53='“主要目标”数据分表'!$D$2,0,AG53&lt;'“主要目标”数据分表'!$D$2,-1)</f>
        <v>0</v>
      </c>
      <c r="AU53" cm="1">
        <f t="array" ref="AU53">_xlfn.IFS(AH53&gt;'“主要目标”数据分表'!$E$2,1,AH53='“主要目标”数据分表'!$E$2,0,AH53&lt;'“主要目标”数据分表'!$E$2,-1)</f>
        <v>0</v>
      </c>
      <c r="AV53" cm="1">
        <f t="array" ref="AV53">_xlfn.IFS(AI53&gt;'“主要目标”数据分表'!$F$2,1,AI53='“主要目标”数据分表'!$F$2,0,AI53&lt;'“主要目标”数据分表'!$F$2,-1)</f>
        <v>-1</v>
      </c>
      <c r="AW53" cm="1">
        <f t="array" ref="AW53">_xlfn.IFS(AJ53&gt;'“主要目标”数据分表'!$G$2,1,AJ53='“主要目标”数据分表'!$G$2,0,AJ53&lt;'“主要目标”数据分表'!$G$2,-1)</f>
        <v>0</v>
      </c>
    </row>
    <row r="54" spans="1:49" ht="14.4" x14ac:dyDescent="0.25">
      <c r="A54" s="2">
        <v>7</v>
      </c>
      <c r="B54" s="2" t="s">
        <v>16</v>
      </c>
      <c r="C54" s="2">
        <v>2022</v>
      </c>
      <c r="D54" s="2">
        <v>7027.8</v>
      </c>
      <c r="E54" s="19">
        <v>16005.1499686551</v>
      </c>
      <c r="F54" s="2">
        <v>13070.2</v>
      </c>
      <c r="G54" s="3">
        <v>0.5376964392281679</v>
      </c>
      <c r="H54" s="2">
        <f t="shared" si="18"/>
        <v>-2.3452248423309233E-2</v>
      </c>
      <c r="I54" s="16">
        <v>0.45648061194143041</v>
      </c>
      <c r="J54" s="2">
        <f t="shared" si="19"/>
        <v>0.14123614528493572</v>
      </c>
      <c r="K54">
        <v>1.2245527970998988</v>
      </c>
      <c r="L54">
        <f t="shared" si="5"/>
        <v>-2.9506644133539032E-3</v>
      </c>
      <c r="M54" s="2">
        <v>1</v>
      </c>
      <c r="N54" s="2">
        <v>0</v>
      </c>
      <c r="O54" s="4">
        <v>1</v>
      </c>
      <c r="P54">
        <v>0.84762755656871624</v>
      </c>
      <c r="Q54">
        <v>0.13196480938416419</v>
      </c>
      <c r="R54">
        <v>5.7812572731927581E-2</v>
      </c>
      <c r="S54">
        <v>0.4</v>
      </c>
      <c r="T54">
        <v>-0.54</v>
      </c>
      <c r="U54">
        <v>4.472843450479233E-2</v>
      </c>
      <c r="V54">
        <v>-0.10307017543859651</v>
      </c>
      <c r="W54">
        <v>-0.112</v>
      </c>
      <c r="X54">
        <v>0.37142502929397547</v>
      </c>
      <c r="Y54">
        <v>9.4836670179135871E-2</v>
      </c>
      <c r="Z54">
        <v>4.1458610029362651E-2</v>
      </c>
      <c r="AA54">
        <v>0.1142857142857143</v>
      </c>
      <c r="AB54">
        <v>-0.31395348837209303</v>
      </c>
      <c r="AC54">
        <v>3.6152913958356292E-2</v>
      </c>
      <c r="AD54">
        <v>-0.11018755328218245</v>
      </c>
      <c r="AE54">
        <v>-0.13066666666666668</v>
      </c>
      <c r="AF54">
        <v>0.17699999999999999</v>
      </c>
      <c r="AG54">
        <v>0.13500000000000001</v>
      </c>
      <c r="AH54">
        <v>0.18</v>
      </c>
      <c r="AI54">
        <v>0.2</v>
      </c>
      <c r="AJ54">
        <v>0.65</v>
      </c>
      <c r="AK54">
        <v>0.8849999999999999</v>
      </c>
      <c r="AL54">
        <v>1</v>
      </c>
      <c r="AM54">
        <v>1</v>
      </c>
      <c r="AN54">
        <v>0.8</v>
      </c>
      <c r="AO54">
        <v>1</v>
      </c>
      <c r="AP54">
        <f t="shared" si="0"/>
        <v>0.84250000000000003</v>
      </c>
      <c r="AQ54">
        <f t="shared" si="1"/>
        <v>1</v>
      </c>
      <c r="AR54">
        <f t="shared" si="2"/>
        <v>1</v>
      </c>
      <c r="AS54" cm="1">
        <f t="array" ref="AS54">_xlfn.IFS(AF54&gt;'“主要目标”数据分表'!$C$2,1,AF54='“主要目标”数据分表'!$C$2,0,AF54&lt;'“主要目标”数据分表'!$C$2,-1)</f>
        <v>-1</v>
      </c>
      <c r="AT54" cm="1">
        <f t="array" ref="AT54">_xlfn.IFS(AG54&gt;'“主要目标”数据分表'!$D$2,1,AG54='“主要目标”数据分表'!$D$2,0,AG54&lt;'“主要目标”数据分表'!$D$2,-1)</f>
        <v>0</v>
      </c>
      <c r="AU54" cm="1">
        <f t="array" ref="AU54">_xlfn.IFS(AH54&gt;'“主要目标”数据分表'!$E$2,1,AH54='“主要目标”数据分表'!$E$2,0,AH54&lt;'“主要目标”数据分表'!$E$2,-1)</f>
        <v>0</v>
      </c>
      <c r="AV54" cm="1">
        <f t="array" ref="AV54">_xlfn.IFS(AI54&gt;'“主要目标”数据分表'!$F$2,1,AI54='“主要目标”数据分表'!$F$2,0,AI54&lt;'“主要目标”数据分表'!$F$2,-1)</f>
        <v>-1</v>
      </c>
      <c r="AW54" cm="1">
        <f t="array" ref="AW54">_xlfn.IFS(AJ54&gt;'“主要目标”数据分表'!$G$2,1,AJ54='“主要目标”数据分表'!$G$2,0,AJ54&lt;'“主要目标”数据分表'!$G$2,-1)</f>
        <v>0</v>
      </c>
    </row>
    <row r="55" spans="1:49" ht="14.4" x14ac:dyDescent="0.25">
      <c r="A55" s="2">
        <v>7</v>
      </c>
      <c r="B55" s="2" t="s">
        <v>16</v>
      </c>
      <c r="C55" s="2">
        <v>2023</v>
      </c>
      <c r="D55" s="7">
        <v>7434</v>
      </c>
      <c r="E55" s="19">
        <v>17040.448381791299</v>
      </c>
      <c r="F55" s="2">
        <v>13531.2</v>
      </c>
      <c r="G55" s="3">
        <v>0.5493969492727917</v>
      </c>
      <c r="H55" s="2">
        <f t="shared" si="18"/>
        <v>2.1760438029716556E-2</v>
      </c>
      <c r="K55">
        <v>1.2593449495825424</v>
      </c>
      <c r="L55">
        <f t="shared" si="5"/>
        <v>2.8412129362687836E-2</v>
      </c>
      <c r="M55" s="2">
        <v>1</v>
      </c>
      <c r="N55" s="2">
        <v>1</v>
      </c>
      <c r="O55" s="4">
        <v>1</v>
      </c>
      <c r="P55">
        <v>0.84762755656871624</v>
      </c>
      <c r="Q55">
        <v>0.13196480938416419</v>
      </c>
      <c r="R55">
        <v>5.7812572731927581E-2</v>
      </c>
      <c r="S55">
        <v>0.4</v>
      </c>
      <c r="T55">
        <v>-0.54</v>
      </c>
      <c r="U55">
        <v>4.472843450479233E-2</v>
      </c>
      <c r="V55">
        <v>-0.10307017543859651</v>
      </c>
      <c r="W55">
        <v>-0.112</v>
      </c>
      <c r="X55">
        <v>0.37142502929397547</v>
      </c>
      <c r="Y55">
        <v>9.4836670179135871E-2</v>
      </c>
      <c r="Z55">
        <v>4.1458610029362651E-2</v>
      </c>
      <c r="AA55">
        <v>0.1142857142857143</v>
      </c>
      <c r="AB55">
        <v>-0.31395348837209303</v>
      </c>
      <c r="AC55">
        <v>3.6152913958356292E-2</v>
      </c>
      <c r="AD55">
        <v>-0.11018755328218245</v>
      </c>
      <c r="AE55">
        <v>-0.13066666666666668</v>
      </c>
      <c r="AF55">
        <v>0.17699999999999999</v>
      </c>
      <c r="AG55">
        <v>0.13500000000000001</v>
      </c>
      <c r="AH55">
        <v>0.18</v>
      </c>
      <c r="AI55">
        <v>0.2</v>
      </c>
      <c r="AJ55">
        <v>0.65</v>
      </c>
      <c r="AK55">
        <v>0.8849999999999999</v>
      </c>
      <c r="AL55">
        <v>1</v>
      </c>
      <c r="AM55">
        <v>1</v>
      </c>
      <c r="AN55">
        <v>0.8</v>
      </c>
      <c r="AO55">
        <v>1</v>
      </c>
      <c r="AP55">
        <f t="shared" si="0"/>
        <v>0.84250000000000003</v>
      </c>
      <c r="AQ55">
        <f t="shared" si="1"/>
        <v>1</v>
      </c>
      <c r="AR55">
        <f t="shared" si="2"/>
        <v>1</v>
      </c>
      <c r="AS55" cm="1">
        <f t="array" ref="AS55">_xlfn.IFS(AF55&gt;'“主要目标”数据分表'!$C$2,1,AF55='“主要目标”数据分表'!$C$2,0,AF55&lt;'“主要目标”数据分表'!$C$2,-1)</f>
        <v>-1</v>
      </c>
      <c r="AT55" cm="1">
        <f t="array" ref="AT55">_xlfn.IFS(AG55&gt;'“主要目标”数据分表'!$D$2,1,AG55='“主要目标”数据分表'!$D$2,0,AG55&lt;'“主要目标”数据分表'!$D$2,-1)</f>
        <v>0</v>
      </c>
      <c r="AU55" cm="1">
        <f t="array" ref="AU55">_xlfn.IFS(AH55&gt;'“主要目标”数据分表'!$E$2,1,AH55='“主要目标”数据分表'!$E$2,0,AH55&lt;'“主要目标”数据分表'!$E$2,-1)</f>
        <v>0</v>
      </c>
      <c r="AV55" cm="1">
        <f t="array" ref="AV55">_xlfn.IFS(AI55&gt;'“主要目标”数据分表'!$F$2,1,AI55='“主要目标”数据分表'!$F$2,0,AI55&lt;'“主要目标”数据分表'!$F$2,-1)</f>
        <v>-1</v>
      </c>
      <c r="AW55" cm="1">
        <f t="array" ref="AW55">_xlfn.IFS(AJ55&gt;'“主要目标”数据分表'!$G$2,1,AJ55='“主要目标”数据分表'!$G$2,0,AJ55&lt;'“主要目标”数据分表'!$G$2,-1)</f>
        <v>0</v>
      </c>
    </row>
    <row r="56" spans="1:49" ht="14.4" x14ac:dyDescent="0.25">
      <c r="A56" s="2">
        <v>8</v>
      </c>
      <c r="B56" s="2" t="s">
        <v>17</v>
      </c>
      <c r="C56" s="2">
        <v>2016</v>
      </c>
      <c r="D56" s="2">
        <v>11070</v>
      </c>
      <c r="E56" s="19">
        <v>18016.685460619901</v>
      </c>
      <c r="F56" s="2">
        <v>15386.09</v>
      </c>
      <c r="G56" s="3">
        <v>0.71948103774253236</v>
      </c>
      <c r="H56" s="2"/>
      <c r="I56" s="16">
        <v>0.26402981641303858</v>
      </c>
      <c r="K56">
        <v>1.1709723172436857</v>
      </c>
      <c r="L56"/>
      <c r="M56" s="2">
        <v>0</v>
      </c>
      <c r="N56" s="2">
        <v>0</v>
      </c>
      <c r="O56" s="4">
        <v>0</v>
      </c>
      <c r="P56" s="4">
        <v>0.99999999580495169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0.2</v>
      </c>
      <c r="AG56">
        <v>0.13500000000000001</v>
      </c>
      <c r="AH56">
        <v>0.18</v>
      </c>
      <c r="AI56">
        <v>0.25</v>
      </c>
      <c r="AJ56">
        <v>0.65</v>
      </c>
      <c r="AK56">
        <v>1</v>
      </c>
      <c r="AL56">
        <v>1</v>
      </c>
      <c r="AM56">
        <v>1</v>
      </c>
      <c r="AN56">
        <v>1</v>
      </c>
      <c r="AO56">
        <v>1</v>
      </c>
      <c r="AP56">
        <f t="shared" si="0"/>
        <v>1</v>
      </c>
      <c r="AQ56">
        <f t="shared" si="1"/>
        <v>1</v>
      </c>
      <c r="AR56">
        <f t="shared" si="2"/>
        <v>1</v>
      </c>
      <c r="AS56" cm="1">
        <f t="array" ref="AS56">_xlfn.IFS(AF56&gt;'“主要目标”数据分表'!$C$2,1,AF56='“主要目标”数据分表'!$C$2,0,AF56&lt;'“主要目标”数据分表'!$C$2,-1)</f>
        <v>0</v>
      </c>
      <c r="AT56" cm="1">
        <f t="array" ref="AT56">_xlfn.IFS(AG56&gt;'“主要目标”数据分表'!$D$2,1,AG56='“主要目标”数据分表'!$D$2,0,AG56&lt;'“主要目标”数据分表'!$D$2,-1)</f>
        <v>0</v>
      </c>
      <c r="AU56" cm="1">
        <f t="array" ref="AU56">_xlfn.IFS(AH56&gt;'“主要目标”数据分表'!$E$2,1,AH56='“主要目标”数据分表'!$E$2,0,AH56&lt;'“主要目标”数据分表'!$E$2,-1)</f>
        <v>0</v>
      </c>
      <c r="AV56" cm="1">
        <f t="array" ref="AV56">_xlfn.IFS(AI56&gt;'“主要目标”数据分表'!$F$2,1,AI56='“主要目标”数据分表'!$F$2,0,AI56&lt;'“主要目标”数据分表'!$F$2,-1)</f>
        <v>0</v>
      </c>
      <c r="AW56" cm="1">
        <f t="array" ref="AW56">_xlfn.IFS(AJ56&gt;'“主要目标”数据分表'!$G$2,1,AJ56='“主要目标”数据分表'!$G$2,0,AJ56&lt;'“主要目标”数据分表'!$G$2,-1)</f>
        <v>0</v>
      </c>
    </row>
    <row r="57" spans="1:49" ht="14.4" x14ac:dyDescent="0.25">
      <c r="A57" s="2">
        <v>8</v>
      </c>
      <c r="B57" s="2" t="s">
        <v>17</v>
      </c>
      <c r="C57" s="2">
        <v>2017</v>
      </c>
      <c r="D57" s="2">
        <v>11258</v>
      </c>
      <c r="E57" s="19">
        <v>18799.855201726601</v>
      </c>
      <c r="F57" s="2">
        <v>15902.68</v>
      </c>
      <c r="G57" s="3">
        <v>0.70793099024818462</v>
      </c>
      <c r="H57" s="2">
        <f>(G57-G56)/G56</f>
        <v>-1.605330354582735E-2</v>
      </c>
      <c r="I57" s="16">
        <v>0.29638354255277199</v>
      </c>
      <c r="J57" s="2">
        <f>(I57-I56)/I56</f>
        <v>0.12253815337704298</v>
      </c>
      <c r="K57">
        <v>1.1821815695044231</v>
      </c>
      <c r="L57">
        <f t="shared" si="5"/>
        <v>9.5726022687902101E-3</v>
      </c>
      <c r="M57" s="2">
        <v>0</v>
      </c>
      <c r="N57" s="2">
        <v>0</v>
      </c>
      <c r="O57" s="4">
        <v>0</v>
      </c>
      <c r="P57" s="4">
        <v>0.99999999580495169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0.2</v>
      </c>
      <c r="AG57">
        <v>0.13500000000000001</v>
      </c>
      <c r="AH57">
        <v>0.18</v>
      </c>
      <c r="AI57">
        <v>0.25</v>
      </c>
      <c r="AJ57">
        <v>0.65</v>
      </c>
      <c r="AK57">
        <v>1</v>
      </c>
      <c r="AL57">
        <v>1</v>
      </c>
      <c r="AM57">
        <v>1</v>
      </c>
      <c r="AN57">
        <v>1</v>
      </c>
      <c r="AO57">
        <v>1</v>
      </c>
      <c r="AP57">
        <f t="shared" si="0"/>
        <v>1</v>
      </c>
      <c r="AQ57">
        <f t="shared" si="1"/>
        <v>1</v>
      </c>
      <c r="AR57">
        <f t="shared" si="2"/>
        <v>1</v>
      </c>
      <c r="AS57" cm="1">
        <f t="array" ref="AS57">_xlfn.IFS(AF57&gt;'“主要目标”数据分表'!$C$2,1,AF57='“主要目标”数据分表'!$C$2,0,AF57&lt;'“主要目标”数据分表'!$C$2,-1)</f>
        <v>0</v>
      </c>
      <c r="AT57" cm="1">
        <f t="array" ref="AT57">_xlfn.IFS(AG57&gt;'“主要目标”数据分表'!$D$2,1,AG57='“主要目标”数据分表'!$D$2,0,AG57&lt;'“主要目标”数据分表'!$D$2,-1)</f>
        <v>0</v>
      </c>
      <c r="AU57" cm="1">
        <f t="array" ref="AU57">_xlfn.IFS(AH57&gt;'“主要目标”数据分表'!$E$2,1,AH57='“主要目标”数据分表'!$E$2,0,AH57&lt;'“主要目标”数据分表'!$E$2,-1)</f>
        <v>0</v>
      </c>
      <c r="AV57" cm="1">
        <f t="array" ref="AV57">_xlfn.IFS(AI57&gt;'“主要目标”数据分表'!$F$2,1,AI57='“主要目标”数据分表'!$F$2,0,AI57&lt;'“主要目标”数据分表'!$F$2,-1)</f>
        <v>0</v>
      </c>
      <c r="AW57" cm="1">
        <f t="array" ref="AW57">_xlfn.IFS(AJ57&gt;'“主要目标”数据分表'!$G$2,1,AJ57='“主要目标”数据分表'!$G$2,0,AJ57&lt;'“主要目标”数据分表'!$G$2,-1)</f>
        <v>0</v>
      </c>
    </row>
    <row r="58" spans="1:49" ht="14.4" x14ac:dyDescent="0.25">
      <c r="A58" s="2">
        <v>8</v>
      </c>
      <c r="B58" s="2" t="s">
        <v>17</v>
      </c>
      <c r="C58" s="2">
        <v>2018</v>
      </c>
      <c r="D58" s="2">
        <v>11436</v>
      </c>
      <c r="E58" s="19">
        <v>19237.891368165401</v>
      </c>
      <c r="F58" s="2">
        <v>16361.62</v>
      </c>
      <c r="G58" s="3">
        <v>0.69895279318307113</v>
      </c>
      <c r="H58" s="2">
        <f t="shared" ref="H58:H63" si="20">(G58-G57)/G57</f>
        <v>-1.2682305463087493E-2</v>
      </c>
      <c r="I58" s="16">
        <v>0.35723127383420322</v>
      </c>
      <c r="J58" s="2">
        <f t="shared" ref="J58:J62" si="21">(I58-I57)/I57</f>
        <v>0.2053006410455368</v>
      </c>
      <c r="K58">
        <v>1.1757938008684592</v>
      </c>
      <c r="L58">
        <f t="shared" si="5"/>
        <v>-5.4033735601559879E-3</v>
      </c>
      <c r="M58" s="2">
        <v>0</v>
      </c>
      <c r="N58" s="2">
        <v>0</v>
      </c>
      <c r="O58" s="4">
        <v>0</v>
      </c>
      <c r="P58" s="4">
        <v>0.99999999580495169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0.2</v>
      </c>
      <c r="AG58">
        <v>0.13500000000000001</v>
      </c>
      <c r="AH58">
        <v>0.18</v>
      </c>
      <c r="AI58">
        <v>0.25</v>
      </c>
      <c r="AJ58">
        <v>0.65</v>
      </c>
      <c r="AK58">
        <v>1</v>
      </c>
      <c r="AL58">
        <v>1</v>
      </c>
      <c r="AM58">
        <v>1</v>
      </c>
      <c r="AN58">
        <v>1</v>
      </c>
      <c r="AO58">
        <v>1</v>
      </c>
      <c r="AP58">
        <f t="shared" si="0"/>
        <v>1</v>
      </c>
      <c r="AQ58">
        <f t="shared" si="1"/>
        <v>1</v>
      </c>
      <c r="AR58">
        <f t="shared" si="2"/>
        <v>1</v>
      </c>
      <c r="AS58" cm="1">
        <f t="array" ref="AS58">_xlfn.IFS(AF58&gt;'“主要目标”数据分表'!$C$2,1,AF58='“主要目标”数据分表'!$C$2,0,AF58&lt;'“主要目标”数据分表'!$C$2,-1)</f>
        <v>0</v>
      </c>
      <c r="AT58" cm="1">
        <f t="array" ref="AT58">_xlfn.IFS(AG58&gt;'“主要目标”数据分表'!$D$2,1,AG58='“主要目标”数据分表'!$D$2,0,AG58&lt;'“主要目标”数据分表'!$D$2,-1)</f>
        <v>0</v>
      </c>
      <c r="AU58" cm="1">
        <f t="array" ref="AU58">_xlfn.IFS(AH58&gt;'“主要目标”数据分表'!$E$2,1,AH58='“主要目标”数据分表'!$E$2,0,AH58&lt;'“主要目标”数据分表'!$E$2,-1)</f>
        <v>0</v>
      </c>
      <c r="AV58" cm="1">
        <f t="array" ref="AV58">_xlfn.IFS(AI58&gt;'“主要目标”数据分表'!$F$2,1,AI58='“主要目标”数据分表'!$F$2,0,AI58&lt;'“主要目标”数据分表'!$F$2,-1)</f>
        <v>0</v>
      </c>
      <c r="AW58" cm="1">
        <f t="array" ref="AW58">_xlfn.IFS(AJ58&gt;'“主要目标”数据分表'!$G$2,1,AJ58='“主要目标”数据分表'!$G$2,0,AJ58&lt;'“主要目标”数据分表'!$G$2,-1)</f>
        <v>0</v>
      </c>
    </row>
    <row r="59" spans="1:49" ht="14.4" x14ac:dyDescent="0.25">
      <c r="A59" s="2">
        <v>8</v>
      </c>
      <c r="B59" s="2" t="s">
        <v>17</v>
      </c>
      <c r="C59" s="2">
        <v>2019</v>
      </c>
      <c r="D59" s="2">
        <v>11614</v>
      </c>
      <c r="E59" s="19">
        <v>19265.986174791899</v>
      </c>
      <c r="F59" s="2">
        <v>13612.68</v>
      </c>
      <c r="G59" s="3">
        <v>0.85317512789546213</v>
      </c>
      <c r="H59" s="2">
        <f t="shared" si="20"/>
        <v>0.22064771214383969</v>
      </c>
      <c r="I59" s="16">
        <v>0.34797522150450994</v>
      </c>
      <c r="J59" s="2">
        <f t="shared" si="21"/>
        <v>-2.5910531937327442E-2</v>
      </c>
      <c r="K59">
        <v>1.4152970741097197</v>
      </c>
      <c r="L59">
        <f t="shared" si="5"/>
        <v>0.20369496170532603</v>
      </c>
      <c r="M59" s="2">
        <v>0</v>
      </c>
      <c r="N59" s="2">
        <v>0</v>
      </c>
      <c r="O59" s="4">
        <v>0</v>
      </c>
      <c r="P59" s="4">
        <v>0.99999999580495169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0.2</v>
      </c>
      <c r="AG59">
        <v>0.13500000000000001</v>
      </c>
      <c r="AH59">
        <v>0.18</v>
      </c>
      <c r="AI59">
        <v>0.25</v>
      </c>
      <c r="AJ59">
        <v>0.65</v>
      </c>
      <c r="AK59">
        <v>1</v>
      </c>
      <c r="AL59">
        <v>1</v>
      </c>
      <c r="AM59">
        <v>1</v>
      </c>
      <c r="AN59">
        <v>1</v>
      </c>
      <c r="AO59">
        <v>1</v>
      </c>
      <c r="AP59">
        <f t="shared" si="0"/>
        <v>1</v>
      </c>
      <c r="AQ59">
        <f t="shared" si="1"/>
        <v>1</v>
      </c>
      <c r="AR59">
        <f t="shared" si="2"/>
        <v>1</v>
      </c>
      <c r="AS59" cm="1">
        <f t="array" ref="AS59">_xlfn.IFS(AF59&gt;'“主要目标”数据分表'!$C$2,1,AF59='“主要目标”数据分表'!$C$2,0,AF59&lt;'“主要目标”数据分表'!$C$2,-1)</f>
        <v>0</v>
      </c>
      <c r="AT59" cm="1">
        <f t="array" ref="AT59">_xlfn.IFS(AG59&gt;'“主要目标”数据分表'!$D$2,1,AG59='“主要目标”数据分表'!$D$2,0,AG59&lt;'“主要目标”数据分表'!$D$2,-1)</f>
        <v>0</v>
      </c>
      <c r="AU59" cm="1">
        <f t="array" ref="AU59">_xlfn.IFS(AH59&gt;'“主要目标”数据分表'!$E$2,1,AH59='“主要目标”数据分表'!$E$2,0,AH59&lt;'“主要目标”数据分表'!$E$2,-1)</f>
        <v>0</v>
      </c>
      <c r="AV59" cm="1">
        <f t="array" ref="AV59">_xlfn.IFS(AI59&gt;'“主要目标”数据分表'!$F$2,1,AI59='“主要目标”数据分表'!$F$2,0,AI59&lt;'“主要目标”数据分表'!$F$2,-1)</f>
        <v>0</v>
      </c>
      <c r="AW59" cm="1">
        <f t="array" ref="AW59">_xlfn.IFS(AJ59&gt;'“主要目标”数据分表'!$G$2,1,AJ59='“主要目标”数据分表'!$G$2,0,AJ59&lt;'“主要目标”数据分表'!$G$2,-1)</f>
        <v>0</v>
      </c>
    </row>
    <row r="60" spans="1:49" ht="14.4" x14ac:dyDescent="0.25">
      <c r="A60" s="2">
        <v>8</v>
      </c>
      <c r="B60" s="2" t="s">
        <v>17</v>
      </c>
      <c r="C60" s="2">
        <v>2020</v>
      </c>
      <c r="D60" s="2">
        <v>11525.1</v>
      </c>
      <c r="E60" s="19">
        <v>19547.890760796497</v>
      </c>
      <c r="F60" s="2">
        <v>13698.5</v>
      </c>
      <c r="G60" s="3">
        <v>0.84134029273278099</v>
      </c>
      <c r="H60" s="2">
        <f t="shared" si="20"/>
        <v>-1.387151919427641E-2</v>
      </c>
      <c r="I60" s="16">
        <v>0.40677692790920261</v>
      </c>
      <c r="J60" s="2">
        <f t="shared" si="21"/>
        <v>0.16898245268860496</v>
      </c>
      <c r="K60">
        <v>1.4270095821291746</v>
      </c>
      <c r="L60">
        <f t="shared" si="5"/>
        <v>8.2756533831051284E-3</v>
      </c>
      <c r="M60" s="2">
        <v>0</v>
      </c>
      <c r="N60" s="2">
        <v>0</v>
      </c>
      <c r="O60" s="4">
        <v>0</v>
      </c>
      <c r="P60" s="4">
        <v>0.99999999580495169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0.2</v>
      </c>
      <c r="AG60">
        <v>0.13500000000000001</v>
      </c>
      <c r="AH60">
        <v>0.18</v>
      </c>
      <c r="AI60">
        <v>0.25</v>
      </c>
      <c r="AJ60">
        <v>0.65</v>
      </c>
      <c r="AK60">
        <v>1</v>
      </c>
      <c r="AL60">
        <v>1</v>
      </c>
      <c r="AM60">
        <v>1</v>
      </c>
      <c r="AN60">
        <v>1</v>
      </c>
      <c r="AO60">
        <v>1</v>
      </c>
      <c r="AP60">
        <f t="shared" si="0"/>
        <v>1</v>
      </c>
      <c r="AQ60">
        <f t="shared" si="1"/>
        <v>1</v>
      </c>
      <c r="AR60">
        <f t="shared" si="2"/>
        <v>1</v>
      </c>
      <c r="AS60" cm="1">
        <f t="array" ref="AS60">_xlfn.IFS(AF60&gt;'“主要目标”数据分表'!$C$2,1,AF60='“主要目标”数据分表'!$C$2,0,AF60&lt;'“主要目标”数据分表'!$C$2,-1)</f>
        <v>0</v>
      </c>
      <c r="AT60" cm="1">
        <f t="array" ref="AT60">_xlfn.IFS(AG60&gt;'“主要目标”数据分表'!$D$2,1,AG60='“主要目标”数据分表'!$D$2,0,AG60&lt;'“主要目标”数据分表'!$D$2,-1)</f>
        <v>0</v>
      </c>
      <c r="AU60" cm="1">
        <f t="array" ref="AU60">_xlfn.IFS(AH60&gt;'“主要目标”数据分表'!$E$2,1,AH60='“主要目标”数据分表'!$E$2,0,AH60&lt;'“主要目标”数据分表'!$E$2,-1)</f>
        <v>0</v>
      </c>
      <c r="AV60" cm="1">
        <f t="array" ref="AV60">_xlfn.IFS(AI60&gt;'“主要目标”数据分表'!$F$2,1,AI60='“主要目标”数据分表'!$F$2,0,AI60&lt;'“主要目标”数据分表'!$F$2,-1)</f>
        <v>0</v>
      </c>
      <c r="AW60" cm="1">
        <f t="array" ref="AW60">_xlfn.IFS(AJ60&gt;'“主要目标”数据分表'!$G$2,1,AJ60='“主要目标”数据分表'!$G$2,0,AJ60&lt;'“主要目标”数据分表'!$G$2,-1)</f>
        <v>0</v>
      </c>
    </row>
    <row r="61" spans="1:49" ht="14.4" x14ac:dyDescent="0.25">
      <c r="A61" s="2">
        <v>8</v>
      </c>
      <c r="B61" s="2" t="s">
        <v>17</v>
      </c>
      <c r="C61" s="2">
        <v>2021</v>
      </c>
      <c r="D61" s="2">
        <v>12191.6</v>
      </c>
      <c r="E61" s="19">
        <v>20543.988559671001</v>
      </c>
      <c r="F61" s="2">
        <v>14879.19</v>
      </c>
      <c r="G61" s="3">
        <v>0.81937255993101776</v>
      </c>
      <c r="H61" s="2">
        <f t="shared" si="20"/>
        <v>-2.6110401452911783E-2</v>
      </c>
      <c r="I61" s="16">
        <v>0.41114865903590814</v>
      </c>
      <c r="J61" s="2">
        <f t="shared" si="21"/>
        <v>1.0747244562703779E-2</v>
      </c>
      <c r="K61">
        <v>1.3807195525879432</v>
      </c>
      <c r="L61">
        <f t="shared" si="5"/>
        <v>-3.2438485432006843E-2</v>
      </c>
      <c r="M61" s="2">
        <v>0</v>
      </c>
      <c r="N61" s="2">
        <v>0</v>
      </c>
      <c r="O61" s="4">
        <v>0</v>
      </c>
      <c r="P61" s="4">
        <v>0.99999999580495169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0.2</v>
      </c>
      <c r="AG61">
        <v>0.13500000000000001</v>
      </c>
      <c r="AH61">
        <v>0.18</v>
      </c>
      <c r="AI61">
        <v>0.25</v>
      </c>
      <c r="AJ61">
        <v>0.65</v>
      </c>
      <c r="AK61">
        <v>1</v>
      </c>
      <c r="AL61">
        <v>1</v>
      </c>
      <c r="AM61">
        <v>1</v>
      </c>
      <c r="AN61">
        <v>1</v>
      </c>
      <c r="AO61">
        <v>1</v>
      </c>
      <c r="AP61">
        <f t="shared" si="0"/>
        <v>1</v>
      </c>
      <c r="AQ61">
        <f t="shared" si="1"/>
        <v>1</v>
      </c>
      <c r="AR61">
        <f t="shared" si="2"/>
        <v>1</v>
      </c>
      <c r="AS61" cm="1">
        <f t="array" ref="AS61">_xlfn.IFS(AF61&gt;'“主要目标”数据分表'!$C$2,1,AF61='“主要目标”数据分表'!$C$2,0,AF61&lt;'“主要目标”数据分表'!$C$2,-1)</f>
        <v>0</v>
      </c>
      <c r="AT61" cm="1">
        <f t="array" ref="AT61">_xlfn.IFS(AG61&gt;'“主要目标”数据分表'!$D$2,1,AG61='“主要目标”数据分表'!$D$2,0,AG61&lt;'“主要目标”数据分表'!$D$2,-1)</f>
        <v>0</v>
      </c>
      <c r="AU61" cm="1">
        <f t="array" ref="AU61">_xlfn.IFS(AH61&gt;'“主要目标”数据分表'!$E$2,1,AH61='“主要目标”数据分表'!$E$2,0,AH61&lt;'“主要目标”数据分表'!$E$2,-1)</f>
        <v>0</v>
      </c>
      <c r="AV61" cm="1">
        <f t="array" ref="AV61">_xlfn.IFS(AI61&gt;'“主要目标”数据分表'!$F$2,1,AI61='“主要目标”数据分表'!$F$2,0,AI61&lt;'“主要目标”数据分表'!$F$2,-1)</f>
        <v>0</v>
      </c>
      <c r="AW61" cm="1">
        <f t="array" ref="AW61">_xlfn.IFS(AJ61&gt;'“主要目标”数据分表'!$G$2,1,AJ61='“主要目标”数据分表'!$G$2,0,AJ61&lt;'“主要目标”数据分表'!$G$2,-1)</f>
        <v>0</v>
      </c>
    </row>
    <row r="62" spans="1:49" ht="14.4" x14ac:dyDescent="0.25">
      <c r="A62" s="2">
        <v>8</v>
      </c>
      <c r="B62" s="2" t="s">
        <v>17</v>
      </c>
      <c r="C62" s="2">
        <v>2022</v>
      </c>
      <c r="D62" s="2">
        <v>12035</v>
      </c>
      <c r="E62" s="19">
        <v>20373.4318875522</v>
      </c>
      <c r="F62" s="2">
        <v>15901</v>
      </c>
      <c r="G62" s="3">
        <v>0.75687063706685109</v>
      </c>
      <c r="H62" s="2">
        <f t="shared" si="20"/>
        <v>-7.6280224553075898E-2</v>
      </c>
      <c r="I62" s="16">
        <v>0.42803672999782627</v>
      </c>
      <c r="J62" s="2">
        <f t="shared" si="21"/>
        <v>4.1075340003585405E-2</v>
      </c>
      <c r="K62">
        <v>1.2812673346048802</v>
      </c>
      <c r="L62">
        <f t="shared" si="5"/>
        <v>-7.2029267490748117E-2</v>
      </c>
      <c r="M62" s="2">
        <v>1</v>
      </c>
      <c r="N62" s="2">
        <v>0</v>
      </c>
      <c r="O62" s="4">
        <v>0</v>
      </c>
      <c r="P62" s="4">
        <v>0.99999999580495169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0.2</v>
      </c>
      <c r="AG62">
        <v>0.13500000000000001</v>
      </c>
      <c r="AH62">
        <v>0.18</v>
      </c>
      <c r="AI62">
        <v>0.25</v>
      </c>
      <c r="AJ62">
        <v>0.65</v>
      </c>
      <c r="AK62">
        <v>1</v>
      </c>
      <c r="AL62">
        <v>1</v>
      </c>
      <c r="AM62">
        <v>1</v>
      </c>
      <c r="AN62">
        <v>1</v>
      </c>
      <c r="AO62">
        <v>1</v>
      </c>
      <c r="AP62">
        <f t="shared" si="0"/>
        <v>1</v>
      </c>
      <c r="AQ62">
        <f t="shared" si="1"/>
        <v>1</v>
      </c>
      <c r="AR62">
        <f t="shared" si="2"/>
        <v>1</v>
      </c>
      <c r="AS62" cm="1">
        <f t="array" ref="AS62">_xlfn.IFS(AF62&gt;'“主要目标”数据分表'!$C$2,1,AF62='“主要目标”数据分表'!$C$2,0,AF62&lt;'“主要目标”数据分表'!$C$2,-1)</f>
        <v>0</v>
      </c>
      <c r="AT62" cm="1">
        <f t="array" ref="AT62">_xlfn.IFS(AG62&gt;'“主要目标”数据分表'!$D$2,1,AG62='“主要目标”数据分表'!$D$2,0,AG62&lt;'“主要目标”数据分表'!$D$2,-1)</f>
        <v>0</v>
      </c>
      <c r="AU62" cm="1">
        <f t="array" ref="AU62">_xlfn.IFS(AH62&gt;'“主要目标”数据分表'!$E$2,1,AH62='“主要目标”数据分表'!$E$2,0,AH62&lt;'“主要目标”数据分表'!$E$2,-1)</f>
        <v>0</v>
      </c>
      <c r="AV62" cm="1">
        <f t="array" ref="AV62">_xlfn.IFS(AI62&gt;'“主要目标”数据分表'!$F$2,1,AI62='“主要目标”数据分表'!$F$2,0,AI62&lt;'“主要目标”数据分表'!$F$2,-1)</f>
        <v>0</v>
      </c>
      <c r="AW62" cm="1">
        <f t="array" ref="AW62">_xlfn.IFS(AJ62&gt;'“主要目标”数据分表'!$G$2,1,AJ62='“主要目标”数据分表'!$G$2,0,AJ62&lt;'“主要目标”数据分表'!$G$2,-1)</f>
        <v>0</v>
      </c>
    </row>
    <row r="63" spans="1:49" ht="14.4" x14ac:dyDescent="0.25">
      <c r="A63" s="2">
        <v>8</v>
      </c>
      <c r="B63" s="6" t="s">
        <v>18</v>
      </c>
      <c r="C63" s="2">
        <v>2023</v>
      </c>
      <c r="D63" s="2">
        <v>12067.494500000001</v>
      </c>
      <c r="E63" s="19">
        <v>21479.533720416901</v>
      </c>
      <c r="F63" s="2">
        <v>15883.9</v>
      </c>
      <c r="G63" s="3">
        <v>0.75973120581217468</v>
      </c>
      <c r="H63" s="2">
        <f t="shared" si="20"/>
        <v>3.7794685184370904E-3</v>
      </c>
      <c r="K63">
        <v>1.3522833636837868</v>
      </c>
      <c r="L63">
        <f t="shared" si="5"/>
        <v>5.5426394758441765E-2</v>
      </c>
      <c r="M63" s="2">
        <v>1</v>
      </c>
      <c r="N63" s="2">
        <v>1</v>
      </c>
      <c r="O63" s="4">
        <v>0</v>
      </c>
      <c r="P63" s="4">
        <v>0.99999999580495169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0.2</v>
      </c>
      <c r="AG63">
        <v>0.13500000000000001</v>
      </c>
      <c r="AH63">
        <v>0.18</v>
      </c>
      <c r="AI63">
        <v>0.25</v>
      </c>
      <c r="AJ63">
        <v>0.65</v>
      </c>
      <c r="AK63">
        <v>1</v>
      </c>
      <c r="AL63">
        <v>1</v>
      </c>
      <c r="AM63">
        <v>1</v>
      </c>
      <c r="AN63">
        <v>1</v>
      </c>
      <c r="AO63">
        <v>1</v>
      </c>
      <c r="AP63">
        <f t="shared" si="0"/>
        <v>1</v>
      </c>
      <c r="AQ63">
        <f t="shared" si="1"/>
        <v>1</v>
      </c>
      <c r="AR63">
        <f t="shared" si="2"/>
        <v>1</v>
      </c>
      <c r="AS63" cm="1">
        <f t="array" ref="AS63">_xlfn.IFS(AF63&gt;'“主要目标”数据分表'!$C$2,1,AF63='“主要目标”数据分表'!$C$2,0,AF63&lt;'“主要目标”数据分表'!$C$2,-1)</f>
        <v>0</v>
      </c>
      <c r="AT63" cm="1">
        <f t="array" ref="AT63">_xlfn.IFS(AG63&gt;'“主要目标”数据分表'!$D$2,1,AG63='“主要目标”数据分表'!$D$2,0,AG63&lt;'“主要目标”数据分表'!$D$2,-1)</f>
        <v>0</v>
      </c>
      <c r="AU63" cm="1">
        <f t="array" ref="AU63">_xlfn.IFS(AH63&gt;'“主要目标”数据分表'!$E$2,1,AH63='“主要目标”数据分表'!$E$2,0,AH63&lt;'“主要目标”数据分表'!$E$2,-1)</f>
        <v>0</v>
      </c>
      <c r="AV63" cm="1">
        <f t="array" ref="AV63">_xlfn.IFS(AI63&gt;'“主要目标”数据分表'!$F$2,1,AI63='“主要目标”数据分表'!$F$2,0,AI63&lt;'“主要目标”数据分表'!$F$2,-1)</f>
        <v>0</v>
      </c>
      <c r="AW63" cm="1">
        <f t="array" ref="AW63">_xlfn.IFS(AJ63&gt;'“主要目标”数据分表'!$G$2,1,AJ63='“主要目标”数据分表'!$G$2,0,AJ63&lt;'“主要目标”数据分表'!$G$2,-1)</f>
        <v>0</v>
      </c>
    </row>
    <row r="64" spans="1:49" ht="14.4" x14ac:dyDescent="0.25">
      <c r="A64" s="2">
        <v>9</v>
      </c>
      <c r="B64" s="2" t="s">
        <v>19</v>
      </c>
      <c r="C64" s="2">
        <v>2016</v>
      </c>
      <c r="D64" s="2">
        <v>11242</v>
      </c>
      <c r="E64" s="19">
        <v>18133.361321540298</v>
      </c>
      <c r="F64" s="2">
        <v>28178.65</v>
      </c>
      <c r="G64" s="3">
        <v>0.39895452762996098</v>
      </c>
      <c r="H64" s="2"/>
      <c r="I64" s="16">
        <v>0.24997624247391714</v>
      </c>
      <c r="K64">
        <v>0.64351419679581168</v>
      </c>
      <c r="L64"/>
      <c r="M64" s="2">
        <v>0</v>
      </c>
      <c r="N64" s="2">
        <v>0</v>
      </c>
      <c r="O64" s="4">
        <v>1</v>
      </c>
      <c r="P64">
        <v>0.82522388104119959</v>
      </c>
      <c r="Q64">
        <v>0.48093841642228741</v>
      </c>
      <c r="R64">
        <v>0.60962854349951123</v>
      </c>
      <c r="S64">
        <v>2.7</v>
      </c>
      <c r="T64">
        <v>0.51</v>
      </c>
      <c r="U64">
        <v>0.35084745762711872</v>
      </c>
      <c r="V64">
        <v>0.23809523809523811</v>
      </c>
      <c r="W64">
        <v>0.3641304347826087</v>
      </c>
      <c r="X64">
        <v>0.27900418364102259</v>
      </c>
      <c r="Y64">
        <v>0.34562697576396195</v>
      </c>
      <c r="Z64">
        <v>0.4371774313679101</v>
      </c>
      <c r="AA64">
        <v>0.77142857142857146</v>
      </c>
      <c r="AB64">
        <v>0.29651162790697677</v>
      </c>
      <c r="AC64">
        <v>0.2835815312682643</v>
      </c>
      <c r="AD64">
        <v>0.2545365972475947</v>
      </c>
      <c r="AE64">
        <v>0.4248188405797102</v>
      </c>
      <c r="AF64">
        <v>0.2</v>
      </c>
      <c r="AG64">
        <v>0.14000000000000001</v>
      </c>
      <c r="AH64">
        <v>0.18</v>
      </c>
      <c r="AI64">
        <v>0.25</v>
      </c>
      <c r="AJ64">
        <v>0.7</v>
      </c>
      <c r="AK64">
        <v>1</v>
      </c>
      <c r="AL64">
        <v>1.037037037037037</v>
      </c>
      <c r="AM64">
        <v>1</v>
      </c>
      <c r="AN64">
        <v>1</v>
      </c>
      <c r="AO64">
        <v>1.0769230769230769</v>
      </c>
      <c r="AP64">
        <f t="shared" si="0"/>
        <v>1</v>
      </c>
      <c r="AQ64">
        <f t="shared" si="1"/>
        <v>1.037037037037037</v>
      </c>
      <c r="AR64">
        <f t="shared" si="2"/>
        <v>1.0384615384615383</v>
      </c>
      <c r="AS64" cm="1">
        <f t="array" ref="AS64">_xlfn.IFS(AF64&gt;'“主要目标”数据分表'!$C$2,1,AF64='“主要目标”数据分表'!$C$2,0,AF64&lt;'“主要目标”数据分表'!$C$2,-1)</f>
        <v>0</v>
      </c>
      <c r="AT64" cm="1">
        <f t="array" ref="AT64">_xlfn.IFS(AG64&gt;'“主要目标”数据分表'!$D$2,1,AG64='“主要目标”数据分表'!$D$2,0,AG64&lt;'“主要目标”数据分表'!$D$2,-1)</f>
        <v>1</v>
      </c>
      <c r="AU64" cm="1">
        <f t="array" ref="AU64">_xlfn.IFS(AH64&gt;'“主要目标”数据分表'!$E$2,1,AH64='“主要目标”数据分表'!$E$2,0,AH64&lt;'“主要目标”数据分表'!$E$2,-1)</f>
        <v>0</v>
      </c>
      <c r="AV64" cm="1">
        <f t="array" ref="AV64">_xlfn.IFS(AI64&gt;'“主要目标”数据分表'!$F$2,1,AI64='“主要目标”数据分表'!$F$2,0,AI64&lt;'“主要目标”数据分表'!$F$2,-1)</f>
        <v>0</v>
      </c>
      <c r="AW64" cm="1">
        <f t="array" ref="AW64">_xlfn.IFS(AJ64&gt;'“主要目标”数据分表'!$G$2,1,AJ64='“主要目标”数据分表'!$G$2,0,AJ64&lt;'“主要目标”数据分表'!$G$2,-1)</f>
        <v>1</v>
      </c>
    </row>
    <row r="65" spans="1:49" ht="14.4" x14ac:dyDescent="0.25">
      <c r="A65" s="2">
        <v>9</v>
      </c>
      <c r="B65" s="2" t="s">
        <v>19</v>
      </c>
      <c r="C65" s="2">
        <v>2017</v>
      </c>
      <c r="D65" s="2">
        <v>11382</v>
      </c>
      <c r="E65" s="19">
        <v>18388.3762165437</v>
      </c>
      <c r="F65" s="2">
        <v>30632.99</v>
      </c>
      <c r="G65" s="3">
        <v>0.37156020355832059</v>
      </c>
      <c r="H65" s="2">
        <f>(G65-G64)/G64</f>
        <v>-6.8665279309849614E-2</v>
      </c>
      <c r="I65" s="16">
        <v>0.25182547542480321</v>
      </c>
      <c r="J65" s="2">
        <f>(I65-I64)/I64</f>
        <v>7.3976348015512795E-3</v>
      </c>
      <c r="K65">
        <v>0.6002801625484061</v>
      </c>
      <c r="L65">
        <f t="shared" si="5"/>
        <v>-6.7184274197331834E-2</v>
      </c>
      <c r="M65" s="2">
        <v>0</v>
      </c>
      <c r="N65" s="2">
        <v>0</v>
      </c>
      <c r="O65" s="4">
        <v>1</v>
      </c>
      <c r="P65">
        <v>0.82522388104119959</v>
      </c>
      <c r="Q65">
        <v>0.48093841642228741</v>
      </c>
      <c r="R65">
        <v>0.60962854349951123</v>
      </c>
      <c r="S65">
        <v>2.7</v>
      </c>
      <c r="T65">
        <v>0.51</v>
      </c>
      <c r="U65">
        <v>0.35084745762711872</v>
      </c>
      <c r="V65">
        <v>0.23809523809523811</v>
      </c>
      <c r="W65">
        <v>0.3641304347826087</v>
      </c>
      <c r="X65">
        <v>0.27900418364102259</v>
      </c>
      <c r="Y65">
        <v>0.34562697576396195</v>
      </c>
      <c r="Z65">
        <v>0.4371774313679101</v>
      </c>
      <c r="AA65">
        <v>0.77142857142857146</v>
      </c>
      <c r="AB65">
        <v>0.29651162790697677</v>
      </c>
      <c r="AC65">
        <v>0.2835815312682643</v>
      </c>
      <c r="AD65">
        <v>0.2545365972475947</v>
      </c>
      <c r="AE65">
        <v>0.4248188405797102</v>
      </c>
      <c r="AF65">
        <v>0.2</v>
      </c>
      <c r="AG65">
        <v>0.14000000000000001</v>
      </c>
      <c r="AH65">
        <v>0.18</v>
      </c>
      <c r="AI65">
        <v>0.25</v>
      </c>
      <c r="AJ65">
        <v>0.7</v>
      </c>
      <c r="AK65">
        <v>1</v>
      </c>
      <c r="AL65">
        <v>1.037037037037037</v>
      </c>
      <c r="AM65">
        <v>1</v>
      </c>
      <c r="AN65">
        <v>1</v>
      </c>
      <c r="AO65">
        <v>1.0769230769230769</v>
      </c>
      <c r="AP65">
        <f t="shared" si="0"/>
        <v>1</v>
      </c>
      <c r="AQ65">
        <f t="shared" si="1"/>
        <v>1.037037037037037</v>
      </c>
      <c r="AR65">
        <f t="shared" si="2"/>
        <v>1.0384615384615383</v>
      </c>
      <c r="AS65" cm="1">
        <f t="array" ref="AS65">_xlfn.IFS(AF65&gt;'“主要目标”数据分表'!$C$2,1,AF65='“主要目标”数据分表'!$C$2,0,AF65&lt;'“主要目标”数据分表'!$C$2,-1)</f>
        <v>0</v>
      </c>
      <c r="AT65" cm="1">
        <f t="array" ref="AT65">_xlfn.IFS(AG65&gt;'“主要目标”数据分表'!$D$2,1,AG65='“主要目标”数据分表'!$D$2,0,AG65&lt;'“主要目标”数据分表'!$D$2,-1)</f>
        <v>1</v>
      </c>
      <c r="AU65" cm="1">
        <f t="array" ref="AU65">_xlfn.IFS(AH65&gt;'“主要目标”数据分表'!$E$2,1,AH65='“主要目标”数据分表'!$E$2,0,AH65&lt;'“主要目标”数据分表'!$E$2,-1)</f>
        <v>0</v>
      </c>
      <c r="AV65" cm="1">
        <f t="array" ref="AV65">_xlfn.IFS(AI65&gt;'“主要目标”数据分表'!$F$2,1,AI65='“主要目标”数据分表'!$F$2,0,AI65&lt;'“主要目标”数据分表'!$F$2,-1)</f>
        <v>0</v>
      </c>
      <c r="AW65" cm="1">
        <f t="array" ref="AW65">_xlfn.IFS(AJ65&gt;'“主要目标”数据分表'!$G$2,1,AJ65='“主要目标”数据分表'!$G$2,0,AJ65&lt;'“主要目标”数据分表'!$G$2,-1)</f>
        <v>1</v>
      </c>
    </row>
    <row r="66" spans="1:49" ht="14.4" x14ac:dyDescent="0.25">
      <c r="A66" s="2">
        <v>9</v>
      </c>
      <c r="B66" s="2" t="s">
        <v>19</v>
      </c>
      <c r="C66" s="2">
        <v>2018</v>
      </c>
      <c r="D66" s="2">
        <v>11454</v>
      </c>
      <c r="E66" s="19">
        <v>18892.2189700054</v>
      </c>
      <c r="F66" s="2">
        <v>32679.87</v>
      </c>
      <c r="G66" s="3">
        <v>0.3504909903252369</v>
      </c>
      <c r="H66" s="2">
        <f t="shared" ref="H66:H71" si="22">(G66-G65)/G65</f>
        <v>-5.6704709038562687E-2</v>
      </c>
      <c r="I66" s="16">
        <v>0.26477959163738313</v>
      </c>
      <c r="J66" s="2">
        <f t="shared" ref="J66:J70" si="23">(I66-I65)/I65</f>
        <v>5.1440848828847342E-2</v>
      </c>
      <c r="K66">
        <v>0.57809957536567314</v>
      </c>
      <c r="L66">
        <f t="shared" si="5"/>
        <v>-3.6950391778013063E-2</v>
      </c>
      <c r="M66" s="2">
        <v>0</v>
      </c>
      <c r="N66" s="2">
        <v>0</v>
      </c>
      <c r="O66" s="4">
        <v>1</v>
      </c>
      <c r="P66">
        <v>0.82522388104119959</v>
      </c>
      <c r="Q66">
        <v>0.48093841642228741</v>
      </c>
      <c r="R66">
        <v>0.60962854349951123</v>
      </c>
      <c r="S66">
        <v>2.7</v>
      </c>
      <c r="T66">
        <v>0.51</v>
      </c>
      <c r="U66">
        <v>0.35084745762711872</v>
      </c>
      <c r="V66">
        <v>0.23809523809523811</v>
      </c>
      <c r="W66">
        <v>0.3641304347826087</v>
      </c>
      <c r="X66">
        <v>0.27900418364102259</v>
      </c>
      <c r="Y66">
        <v>0.34562697576396195</v>
      </c>
      <c r="Z66">
        <v>0.4371774313679101</v>
      </c>
      <c r="AA66">
        <v>0.77142857142857146</v>
      </c>
      <c r="AB66">
        <v>0.29651162790697677</v>
      </c>
      <c r="AC66">
        <v>0.2835815312682643</v>
      </c>
      <c r="AD66">
        <v>0.2545365972475947</v>
      </c>
      <c r="AE66">
        <v>0.4248188405797102</v>
      </c>
      <c r="AF66">
        <v>0.2</v>
      </c>
      <c r="AG66">
        <v>0.14000000000000001</v>
      </c>
      <c r="AH66">
        <v>0.18</v>
      </c>
      <c r="AI66">
        <v>0.25</v>
      </c>
      <c r="AJ66">
        <v>0.7</v>
      </c>
      <c r="AK66">
        <v>1</v>
      </c>
      <c r="AL66">
        <v>1.037037037037037</v>
      </c>
      <c r="AM66">
        <v>1</v>
      </c>
      <c r="AN66">
        <v>1</v>
      </c>
      <c r="AO66">
        <v>1.0769230769230769</v>
      </c>
      <c r="AP66">
        <f t="shared" si="0"/>
        <v>1</v>
      </c>
      <c r="AQ66">
        <f t="shared" si="1"/>
        <v>1.037037037037037</v>
      </c>
      <c r="AR66">
        <f t="shared" si="2"/>
        <v>1.0384615384615383</v>
      </c>
      <c r="AS66" cm="1">
        <f t="array" ref="AS66">_xlfn.IFS(AF66&gt;'“主要目标”数据分表'!$C$2,1,AF66='“主要目标”数据分表'!$C$2,0,AF66&lt;'“主要目标”数据分表'!$C$2,-1)</f>
        <v>0</v>
      </c>
      <c r="AT66" cm="1">
        <f t="array" ref="AT66">_xlfn.IFS(AG66&gt;'“主要目标”数据分表'!$D$2,1,AG66='“主要目标”数据分表'!$D$2,0,AG66&lt;'“主要目标”数据分表'!$D$2,-1)</f>
        <v>1</v>
      </c>
      <c r="AU66" cm="1">
        <f t="array" ref="AU66">_xlfn.IFS(AH66&gt;'“主要目标”数据分表'!$E$2,1,AH66='“主要目标”数据分表'!$E$2,0,AH66&lt;'“主要目标”数据分表'!$E$2,-1)</f>
        <v>0</v>
      </c>
      <c r="AV66" cm="1">
        <f t="array" ref="AV66">_xlfn.IFS(AI66&gt;'“主要目标”数据分表'!$F$2,1,AI66='“主要目标”数据分表'!$F$2,0,AI66&lt;'“主要目标”数据分表'!$F$2,-1)</f>
        <v>0</v>
      </c>
      <c r="AW66" cm="1">
        <f t="array" ref="AW66">_xlfn.IFS(AJ66&gt;'“主要目标”数据分表'!$G$2,1,AJ66='“主要目标”数据分表'!$G$2,0,AJ66&lt;'“主要目标”数据分表'!$G$2,-1)</f>
        <v>1</v>
      </c>
    </row>
    <row r="67" spans="1:49" ht="14.4" x14ac:dyDescent="0.25">
      <c r="A67" s="2">
        <v>9</v>
      </c>
      <c r="B67" s="2" t="s">
        <v>19</v>
      </c>
      <c r="C67" s="2">
        <v>2019</v>
      </c>
      <c r="D67" s="2">
        <v>11696</v>
      </c>
      <c r="E67" s="19">
        <v>19667.4965813907</v>
      </c>
      <c r="F67" s="2">
        <v>38155.32</v>
      </c>
      <c r="G67" s="3">
        <v>0.30653654588665485</v>
      </c>
      <c r="H67" s="2">
        <f t="shared" si="22"/>
        <v>-0.12540820064388722</v>
      </c>
      <c r="I67" s="16">
        <v>0.26525745903783232</v>
      </c>
      <c r="J67" s="2">
        <f t="shared" si="23"/>
        <v>1.8047742935703146E-3</v>
      </c>
      <c r="K67">
        <v>0.51545882936876697</v>
      </c>
      <c r="L67">
        <f t="shared" si="5"/>
        <v>-0.10835632591026065</v>
      </c>
      <c r="M67" s="2">
        <v>0</v>
      </c>
      <c r="N67" s="2">
        <v>0</v>
      </c>
      <c r="O67" s="4">
        <v>1</v>
      </c>
      <c r="P67">
        <v>0.82522388104119959</v>
      </c>
      <c r="Q67">
        <v>0.48093841642228741</v>
      </c>
      <c r="R67">
        <v>0.60962854349951123</v>
      </c>
      <c r="S67">
        <v>2.7</v>
      </c>
      <c r="T67">
        <v>0.51</v>
      </c>
      <c r="U67">
        <v>0.35084745762711872</v>
      </c>
      <c r="V67">
        <v>0.23809523809523811</v>
      </c>
      <c r="W67">
        <v>0.3641304347826087</v>
      </c>
      <c r="X67">
        <v>0.27900418364102259</v>
      </c>
      <c r="Y67">
        <v>0.34562697576396195</v>
      </c>
      <c r="Z67">
        <v>0.4371774313679101</v>
      </c>
      <c r="AA67">
        <v>0.77142857142857146</v>
      </c>
      <c r="AB67">
        <v>0.29651162790697677</v>
      </c>
      <c r="AC67">
        <v>0.2835815312682643</v>
      </c>
      <c r="AD67">
        <v>0.2545365972475947</v>
      </c>
      <c r="AE67">
        <v>0.4248188405797102</v>
      </c>
      <c r="AF67">
        <v>0.2</v>
      </c>
      <c r="AG67">
        <v>0.14000000000000001</v>
      </c>
      <c r="AH67">
        <v>0.18</v>
      </c>
      <c r="AI67">
        <v>0.25</v>
      </c>
      <c r="AJ67">
        <v>0.7</v>
      </c>
      <c r="AK67">
        <v>1</v>
      </c>
      <c r="AL67">
        <v>1.037037037037037</v>
      </c>
      <c r="AM67">
        <v>1</v>
      </c>
      <c r="AN67">
        <v>1</v>
      </c>
      <c r="AO67">
        <v>1.0769230769230769</v>
      </c>
      <c r="AP67">
        <f t="shared" ref="AP67:AP130" si="24">AVERAGE(AK67,AN67)</f>
        <v>1</v>
      </c>
      <c r="AQ67">
        <f t="shared" ref="AQ67:AQ130" si="25">AVERAGE(AL67)</f>
        <v>1.037037037037037</v>
      </c>
      <c r="AR67">
        <f t="shared" ref="AR67:AR130" si="26">AVERAGE(AM67,AO67)</f>
        <v>1.0384615384615383</v>
      </c>
      <c r="AS67" cm="1">
        <f t="array" ref="AS67">_xlfn.IFS(AF67&gt;'“主要目标”数据分表'!$C$2,1,AF67='“主要目标”数据分表'!$C$2,0,AF67&lt;'“主要目标”数据分表'!$C$2,-1)</f>
        <v>0</v>
      </c>
      <c r="AT67" cm="1">
        <f t="array" ref="AT67">_xlfn.IFS(AG67&gt;'“主要目标”数据分表'!$D$2,1,AG67='“主要目标”数据分表'!$D$2,0,AG67&lt;'“主要目标”数据分表'!$D$2,-1)</f>
        <v>1</v>
      </c>
      <c r="AU67" cm="1">
        <f t="array" ref="AU67">_xlfn.IFS(AH67&gt;'“主要目标”数据分表'!$E$2,1,AH67='“主要目标”数据分表'!$E$2,0,AH67&lt;'“主要目标”数据分表'!$E$2,-1)</f>
        <v>0</v>
      </c>
      <c r="AV67" cm="1">
        <f t="array" ref="AV67">_xlfn.IFS(AI67&gt;'“主要目标”数据分表'!$F$2,1,AI67='“主要目标”数据分表'!$F$2,0,AI67&lt;'“主要目标”数据分表'!$F$2,-1)</f>
        <v>0</v>
      </c>
      <c r="AW67" cm="1">
        <f t="array" ref="AW67">_xlfn.IFS(AJ67&gt;'“主要目标”数据分表'!$G$2,1,AJ67='“主要目标”数据分表'!$G$2,0,AJ67&lt;'“主要目标”数据分表'!$G$2,-1)</f>
        <v>1</v>
      </c>
    </row>
    <row r="68" spans="1:49" ht="14.4" x14ac:dyDescent="0.25">
      <c r="A68" s="2">
        <v>9</v>
      </c>
      <c r="B68" s="2" t="s">
        <v>19</v>
      </c>
      <c r="C68" s="2">
        <v>2020</v>
      </c>
      <c r="D68" s="2">
        <v>11099.59</v>
      </c>
      <c r="E68" s="19">
        <v>19311.358746293601</v>
      </c>
      <c r="F68" s="2">
        <v>38700.58</v>
      </c>
      <c r="G68" s="3">
        <v>0.28680681271443476</v>
      </c>
      <c r="H68" s="2">
        <f t="shared" si="22"/>
        <v>-6.4363396263737424E-2</v>
      </c>
      <c r="I68" s="16">
        <v>0.29025093688727033</v>
      </c>
      <c r="J68" s="2">
        <f t="shared" si="23"/>
        <v>9.4223468550504785E-2</v>
      </c>
      <c r="K68">
        <v>0.49899403952844118</v>
      </c>
      <c r="L68">
        <f t="shared" ref="L68:L131" si="27">(K68-K67)/K67</f>
        <v>-3.194200759057448E-2</v>
      </c>
      <c r="M68" s="2">
        <v>0</v>
      </c>
      <c r="N68" s="2">
        <v>0</v>
      </c>
      <c r="O68" s="4">
        <v>1</v>
      </c>
      <c r="P68">
        <v>0.82522388104119959</v>
      </c>
      <c r="Q68">
        <v>0.48093841642228741</v>
      </c>
      <c r="R68">
        <v>0.60962854349951123</v>
      </c>
      <c r="S68">
        <v>2.7</v>
      </c>
      <c r="T68">
        <v>0.51</v>
      </c>
      <c r="U68">
        <v>0.35084745762711872</v>
      </c>
      <c r="V68">
        <v>0.23809523809523811</v>
      </c>
      <c r="W68">
        <v>0.3641304347826087</v>
      </c>
      <c r="X68">
        <v>0.27900418364102259</v>
      </c>
      <c r="Y68">
        <v>0.34562697576396195</v>
      </c>
      <c r="Z68">
        <v>0.4371774313679101</v>
      </c>
      <c r="AA68">
        <v>0.77142857142857146</v>
      </c>
      <c r="AB68">
        <v>0.29651162790697677</v>
      </c>
      <c r="AC68">
        <v>0.2835815312682643</v>
      </c>
      <c r="AD68">
        <v>0.2545365972475947</v>
      </c>
      <c r="AE68">
        <v>0.4248188405797102</v>
      </c>
      <c r="AF68">
        <v>0.2</v>
      </c>
      <c r="AG68">
        <v>0.14000000000000001</v>
      </c>
      <c r="AH68">
        <v>0.18</v>
      </c>
      <c r="AI68">
        <v>0.25</v>
      </c>
      <c r="AJ68">
        <v>0.7</v>
      </c>
      <c r="AK68">
        <v>1</v>
      </c>
      <c r="AL68">
        <v>1.037037037037037</v>
      </c>
      <c r="AM68">
        <v>1</v>
      </c>
      <c r="AN68">
        <v>1</v>
      </c>
      <c r="AO68">
        <v>1.0769230769230769</v>
      </c>
      <c r="AP68">
        <f t="shared" si="24"/>
        <v>1</v>
      </c>
      <c r="AQ68">
        <f t="shared" si="25"/>
        <v>1.037037037037037</v>
      </c>
      <c r="AR68">
        <f t="shared" si="26"/>
        <v>1.0384615384615383</v>
      </c>
      <c r="AS68" cm="1">
        <f t="array" ref="AS68">_xlfn.IFS(AF68&gt;'“主要目标”数据分表'!$C$2,1,AF68='“主要目标”数据分表'!$C$2,0,AF68&lt;'“主要目标”数据分表'!$C$2,-1)</f>
        <v>0</v>
      </c>
      <c r="AT68" cm="1">
        <f t="array" ref="AT68">_xlfn.IFS(AG68&gt;'“主要目标”数据分表'!$D$2,1,AG68='“主要目标”数据分表'!$D$2,0,AG68&lt;'“主要目标”数据分表'!$D$2,-1)</f>
        <v>1</v>
      </c>
      <c r="AU68" cm="1">
        <f t="array" ref="AU68">_xlfn.IFS(AH68&gt;'“主要目标”数据分表'!$E$2,1,AH68='“主要目标”数据分表'!$E$2,0,AH68&lt;'“主要目标”数据分表'!$E$2,-1)</f>
        <v>0</v>
      </c>
      <c r="AV68" cm="1">
        <f t="array" ref="AV68">_xlfn.IFS(AI68&gt;'“主要目标”数据分表'!$F$2,1,AI68='“主要目标”数据分表'!$F$2,0,AI68&lt;'“主要目标”数据分表'!$F$2,-1)</f>
        <v>0</v>
      </c>
      <c r="AW68" cm="1">
        <f t="array" ref="AW68">_xlfn.IFS(AJ68&gt;'“主要目标”数据分表'!$G$2,1,AJ68='“主要目标”数据分表'!$G$2,0,AJ68&lt;'“主要目标”数据分表'!$G$2,-1)</f>
        <v>1</v>
      </c>
    </row>
    <row r="69" spans="1:49" ht="14.4" x14ac:dyDescent="0.25">
      <c r="A69" s="2">
        <v>9</v>
      </c>
      <c r="B69" s="2" t="s">
        <v>19</v>
      </c>
      <c r="C69" s="2">
        <v>2021</v>
      </c>
      <c r="D69" s="2">
        <v>11683.02</v>
      </c>
      <c r="E69" s="19">
        <v>20270.966791561299</v>
      </c>
      <c r="F69" s="2">
        <v>43214.85</v>
      </c>
      <c r="G69" s="3">
        <v>0.27034734587763237</v>
      </c>
      <c r="H69" s="2">
        <f t="shared" si="22"/>
        <v>-5.7388688507865389E-2</v>
      </c>
      <c r="I69" s="16">
        <v>0.30770891397055955</v>
      </c>
      <c r="J69" s="2">
        <f t="shared" si="23"/>
        <v>6.014787504396471E-2</v>
      </c>
      <c r="K69">
        <v>0.46907409817600432</v>
      </c>
      <c r="L69">
        <f t="shared" si="27"/>
        <v>-5.9960518527860121E-2</v>
      </c>
      <c r="M69" s="2">
        <v>0</v>
      </c>
      <c r="N69" s="2">
        <v>0</v>
      </c>
      <c r="O69" s="4">
        <v>1</v>
      </c>
      <c r="P69">
        <v>0.82522388104119959</v>
      </c>
      <c r="Q69">
        <v>0.48093841642228741</v>
      </c>
      <c r="R69">
        <v>0.60962854349951123</v>
      </c>
      <c r="S69">
        <v>2.7</v>
      </c>
      <c r="T69">
        <v>0.51</v>
      </c>
      <c r="U69">
        <v>0.35084745762711872</v>
      </c>
      <c r="V69">
        <v>0.23809523809523811</v>
      </c>
      <c r="W69">
        <v>0.3641304347826087</v>
      </c>
      <c r="X69">
        <v>0.27900418364102259</v>
      </c>
      <c r="Y69">
        <v>0.34562697576396195</v>
      </c>
      <c r="Z69">
        <v>0.4371774313679101</v>
      </c>
      <c r="AA69">
        <v>0.77142857142857146</v>
      </c>
      <c r="AB69">
        <v>0.29651162790697677</v>
      </c>
      <c r="AC69">
        <v>0.2835815312682643</v>
      </c>
      <c r="AD69">
        <v>0.2545365972475947</v>
      </c>
      <c r="AE69">
        <v>0.4248188405797102</v>
      </c>
      <c r="AF69">
        <v>0.2</v>
      </c>
      <c r="AG69">
        <v>0.14000000000000001</v>
      </c>
      <c r="AH69">
        <v>0.18</v>
      </c>
      <c r="AI69">
        <v>0.25</v>
      </c>
      <c r="AJ69">
        <v>0.7</v>
      </c>
      <c r="AK69">
        <v>1</v>
      </c>
      <c r="AL69">
        <v>1.037037037037037</v>
      </c>
      <c r="AM69">
        <v>1</v>
      </c>
      <c r="AN69">
        <v>1</v>
      </c>
      <c r="AO69">
        <v>1.0769230769230769</v>
      </c>
      <c r="AP69">
        <f t="shared" si="24"/>
        <v>1</v>
      </c>
      <c r="AQ69">
        <f t="shared" si="25"/>
        <v>1.037037037037037</v>
      </c>
      <c r="AR69">
        <f t="shared" si="26"/>
        <v>1.0384615384615383</v>
      </c>
      <c r="AS69" cm="1">
        <f t="array" ref="AS69">_xlfn.IFS(AF69&gt;'“主要目标”数据分表'!$C$2,1,AF69='“主要目标”数据分表'!$C$2,0,AF69&lt;'“主要目标”数据分表'!$C$2,-1)</f>
        <v>0</v>
      </c>
      <c r="AT69" cm="1">
        <f t="array" ref="AT69">_xlfn.IFS(AG69&gt;'“主要目标”数据分表'!$D$2,1,AG69='“主要目标”数据分表'!$D$2,0,AG69&lt;'“主要目标”数据分表'!$D$2,-1)</f>
        <v>1</v>
      </c>
      <c r="AU69" cm="1">
        <f t="array" ref="AU69">_xlfn.IFS(AH69&gt;'“主要目标”数据分表'!$E$2,1,AH69='“主要目标”数据分表'!$E$2,0,AH69&lt;'“主要目标”数据分表'!$E$2,-1)</f>
        <v>0</v>
      </c>
      <c r="AV69" cm="1">
        <f t="array" ref="AV69">_xlfn.IFS(AI69&gt;'“主要目标”数据分表'!$F$2,1,AI69='“主要目标”数据分表'!$F$2,0,AI69&lt;'“主要目标”数据分表'!$F$2,-1)</f>
        <v>0</v>
      </c>
      <c r="AW69" cm="1">
        <f t="array" ref="AW69">_xlfn.IFS(AJ69&gt;'“主要目标”数据分表'!$G$2,1,AJ69='“主要目标”数据分表'!$G$2,0,AJ69&lt;'“主要目标”数据分表'!$G$2,-1)</f>
        <v>1</v>
      </c>
    </row>
    <row r="70" spans="1:49" ht="14.4" x14ac:dyDescent="0.25">
      <c r="A70" s="2">
        <v>9</v>
      </c>
      <c r="B70" s="2" t="s">
        <v>19</v>
      </c>
      <c r="C70" s="2">
        <v>2022</v>
      </c>
      <c r="D70" s="2">
        <v>10951.01</v>
      </c>
      <c r="E70" s="19">
        <v>19610.1244420972</v>
      </c>
      <c r="F70" s="2">
        <v>44652.800000000003</v>
      </c>
      <c r="G70" s="3">
        <v>0.24524800236491329</v>
      </c>
      <c r="H70" s="2">
        <f t="shared" si="22"/>
        <v>-9.2841094597169938E-2</v>
      </c>
      <c r="I70" s="16">
        <v>0.33139145656681307</v>
      </c>
      <c r="J70" s="2">
        <f t="shared" si="23"/>
        <v>7.696410965370791E-2</v>
      </c>
      <c r="K70">
        <v>0.43916897578868958</v>
      </c>
      <c r="L70">
        <f t="shared" si="27"/>
        <v>-6.3753514644276629E-2</v>
      </c>
      <c r="M70" s="2">
        <v>1</v>
      </c>
      <c r="N70" s="2">
        <v>0</v>
      </c>
      <c r="O70" s="4">
        <v>1</v>
      </c>
      <c r="P70">
        <v>0.82522388104119959</v>
      </c>
      <c r="Q70">
        <v>0.48093841642228741</v>
      </c>
      <c r="R70">
        <v>0.60962854349951123</v>
      </c>
      <c r="S70">
        <v>2.7</v>
      </c>
      <c r="T70">
        <v>0.51</v>
      </c>
      <c r="U70">
        <v>0.35084745762711872</v>
      </c>
      <c r="V70">
        <v>0.23809523809523811</v>
      </c>
      <c r="W70">
        <v>0.3641304347826087</v>
      </c>
      <c r="X70">
        <v>0.27900418364102259</v>
      </c>
      <c r="Y70">
        <v>0.34562697576396195</v>
      </c>
      <c r="Z70">
        <v>0.4371774313679101</v>
      </c>
      <c r="AA70">
        <v>0.77142857142857146</v>
      </c>
      <c r="AB70">
        <v>0.29651162790697677</v>
      </c>
      <c r="AC70">
        <v>0.2835815312682643</v>
      </c>
      <c r="AD70">
        <v>0.2545365972475947</v>
      </c>
      <c r="AE70">
        <v>0.4248188405797102</v>
      </c>
      <c r="AF70">
        <v>0.2</v>
      </c>
      <c r="AG70">
        <v>0.14000000000000001</v>
      </c>
      <c r="AH70">
        <v>0.18</v>
      </c>
      <c r="AI70">
        <v>0.25</v>
      </c>
      <c r="AJ70">
        <v>0.7</v>
      </c>
      <c r="AK70">
        <v>1</v>
      </c>
      <c r="AL70">
        <v>1.037037037037037</v>
      </c>
      <c r="AM70">
        <v>1</v>
      </c>
      <c r="AN70">
        <v>1</v>
      </c>
      <c r="AO70">
        <v>1.0769230769230769</v>
      </c>
      <c r="AP70">
        <f t="shared" si="24"/>
        <v>1</v>
      </c>
      <c r="AQ70">
        <f t="shared" si="25"/>
        <v>1.037037037037037</v>
      </c>
      <c r="AR70">
        <f t="shared" si="26"/>
        <v>1.0384615384615383</v>
      </c>
      <c r="AS70" cm="1">
        <f t="array" ref="AS70">_xlfn.IFS(AF70&gt;'“主要目标”数据分表'!$C$2,1,AF70='“主要目标”数据分表'!$C$2,0,AF70&lt;'“主要目标”数据分表'!$C$2,-1)</f>
        <v>0</v>
      </c>
      <c r="AT70" cm="1">
        <f t="array" ref="AT70">_xlfn.IFS(AG70&gt;'“主要目标”数据分表'!$D$2,1,AG70='“主要目标”数据分表'!$D$2,0,AG70&lt;'“主要目标”数据分表'!$D$2,-1)</f>
        <v>1</v>
      </c>
      <c r="AU70" cm="1">
        <f t="array" ref="AU70">_xlfn.IFS(AH70&gt;'“主要目标”数据分表'!$E$2,1,AH70='“主要目标”数据分表'!$E$2,0,AH70&lt;'“主要目标”数据分表'!$E$2,-1)</f>
        <v>0</v>
      </c>
      <c r="AV70" cm="1">
        <f t="array" ref="AV70">_xlfn.IFS(AI70&gt;'“主要目标”数据分表'!$F$2,1,AI70='“主要目标”数据分表'!$F$2,0,AI70&lt;'“主要目标”数据分表'!$F$2,-1)</f>
        <v>0</v>
      </c>
      <c r="AW70" cm="1">
        <f t="array" ref="AW70">_xlfn.IFS(AJ70&gt;'“主要目标”数据分表'!$G$2,1,AJ70='“主要目标”数据分表'!$G$2,0,AJ70&lt;'“主要目标”数据分表'!$G$2,-1)</f>
        <v>1</v>
      </c>
    </row>
    <row r="71" spans="1:49" ht="14.4" x14ac:dyDescent="0.25">
      <c r="A71" s="2">
        <v>9</v>
      </c>
      <c r="B71" s="11" t="s">
        <v>50</v>
      </c>
      <c r="C71" s="2">
        <v>2023</v>
      </c>
      <c r="D71" s="9">
        <v>11793.23</v>
      </c>
      <c r="E71" s="19">
        <v>20527.074260702801</v>
      </c>
      <c r="F71" s="10">
        <v>47218.66</v>
      </c>
      <c r="G71" s="8">
        <f>D71/F71</f>
        <v>0.2497578287905671</v>
      </c>
      <c r="H71" s="2">
        <f t="shared" si="22"/>
        <v>1.8388840610997027E-2</v>
      </c>
      <c r="K71">
        <v>0.43472377786033739</v>
      </c>
      <c r="L71">
        <f t="shared" si="27"/>
        <v>-1.012183959572553E-2</v>
      </c>
      <c r="M71" s="2">
        <v>1</v>
      </c>
      <c r="N71" s="2">
        <v>1</v>
      </c>
      <c r="O71" s="4">
        <v>1</v>
      </c>
      <c r="P71">
        <v>0.82522388104119959</v>
      </c>
      <c r="Q71">
        <v>0.48093841642228741</v>
      </c>
      <c r="R71">
        <v>0.60962854349951123</v>
      </c>
      <c r="S71">
        <v>2.7</v>
      </c>
      <c r="T71">
        <v>0.51</v>
      </c>
      <c r="U71">
        <v>0.35084745762711872</v>
      </c>
      <c r="V71">
        <v>0.23809523809523811</v>
      </c>
      <c r="W71">
        <v>0.3641304347826087</v>
      </c>
      <c r="X71">
        <v>0.27900418364102259</v>
      </c>
      <c r="Y71">
        <v>0.34562697576396195</v>
      </c>
      <c r="Z71">
        <v>0.4371774313679101</v>
      </c>
      <c r="AA71">
        <v>0.77142857142857146</v>
      </c>
      <c r="AB71">
        <v>0.29651162790697677</v>
      </c>
      <c r="AC71">
        <v>0.2835815312682643</v>
      </c>
      <c r="AD71">
        <v>0.2545365972475947</v>
      </c>
      <c r="AE71">
        <v>0.4248188405797102</v>
      </c>
      <c r="AF71">
        <v>0.2</v>
      </c>
      <c r="AG71">
        <v>0.14000000000000001</v>
      </c>
      <c r="AH71">
        <v>0.18</v>
      </c>
      <c r="AI71">
        <v>0.25</v>
      </c>
      <c r="AJ71">
        <v>0.7</v>
      </c>
      <c r="AK71">
        <v>1</v>
      </c>
      <c r="AL71">
        <v>1.037037037037037</v>
      </c>
      <c r="AM71">
        <v>1</v>
      </c>
      <c r="AN71">
        <v>1</v>
      </c>
      <c r="AO71">
        <v>1.0769230769230769</v>
      </c>
      <c r="AP71">
        <f t="shared" si="24"/>
        <v>1</v>
      </c>
      <c r="AQ71">
        <f t="shared" si="25"/>
        <v>1.037037037037037</v>
      </c>
      <c r="AR71">
        <f t="shared" si="26"/>
        <v>1.0384615384615383</v>
      </c>
      <c r="AS71" cm="1">
        <f t="array" ref="AS71">_xlfn.IFS(AF71&gt;'“主要目标”数据分表'!$C$2,1,AF71='“主要目标”数据分表'!$C$2,0,AF71&lt;'“主要目标”数据分表'!$C$2,-1)</f>
        <v>0</v>
      </c>
      <c r="AT71" cm="1">
        <f t="array" ref="AT71">_xlfn.IFS(AG71&gt;'“主要目标”数据分表'!$D$2,1,AG71='“主要目标”数据分表'!$D$2,0,AG71&lt;'“主要目标”数据分表'!$D$2,-1)</f>
        <v>1</v>
      </c>
      <c r="AU71" cm="1">
        <f t="array" ref="AU71">_xlfn.IFS(AH71&gt;'“主要目标”数据分表'!$E$2,1,AH71='“主要目标”数据分表'!$E$2,0,AH71&lt;'“主要目标”数据分表'!$E$2,-1)</f>
        <v>0</v>
      </c>
      <c r="AV71" cm="1">
        <f t="array" ref="AV71">_xlfn.IFS(AI71&gt;'“主要目标”数据分表'!$F$2,1,AI71='“主要目标”数据分表'!$F$2,0,AI71&lt;'“主要目标”数据分表'!$F$2,-1)</f>
        <v>0</v>
      </c>
      <c r="AW71" cm="1">
        <f t="array" ref="AW71">_xlfn.IFS(AJ71&gt;'“主要目标”数据分表'!$G$2,1,AJ71='“主要目标”数据分表'!$G$2,0,AJ71&lt;'“主要目标”数据分表'!$G$2,-1)</f>
        <v>1</v>
      </c>
    </row>
    <row r="72" spans="1:49" ht="14.4" x14ac:dyDescent="0.25">
      <c r="A72" s="2">
        <v>10</v>
      </c>
      <c r="B72" s="2" t="s">
        <v>20</v>
      </c>
      <c r="C72" s="2">
        <v>2016</v>
      </c>
      <c r="D72" s="2">
        <v>31210</v>
      </c>
      <c r="E72" s="19">
        <v>83068.980014502304</v>
      </c>
      <c r="F72" s="2">
        <v>77388.28</v>
      </c>
      <c r="G72" s="3">
        <v>0.40329104096899426</v>
      </c>
      <c r="H72" s="2"/>
      <c r="I72" s="16">
        <v>0.40424065355251787</v>
      </c>
      <c r="K72">
        <v>1.0734051721333295</v>
      </c>
      <c r="L72"/>
      <c r="M72" s="2">
        <v>0</v>
      </c>
      <c r="N72" s="2">
        <v>0</v>
      </c>
      <c r="O72" s="4">
        <v>1</v>
      </c>
      <c r="P72">
        <v>0.79737595519012716</v>
      </c>
      <c r="Q72">
        <v>0.68768328445747806</v>
      </c>
      <c r="R72">
        <v>0.64655599776567518</v>
      </c>
      <c r="S72">
        <v>0.2</v>
      </c>
      <c r="T72">
        <v>8.0000000000000016E-2</v>
      </c>
      <c r="U72">
        <v>0.48442906574394462</v>
      </c>
      <c r="V72">
        <v>0.34943181818181818</v>
      </c>
      <c r="W72">
        <v>2.222222222222222E-2</v>
      </c>
      <c r="X72">
        <v>0.1641244241267529</v>
      </c>
      <c r="Y72">
        <v>0.49420442571127488</v>
      </c>
      <c r="Z72">
        <v>0.46365888433657426</v>
      </c>
      <c r="AA72">
        <v>5.7142857142857148E-2</v>
      </c>
      <c r="AB72">
        <v>4.651162790697675E-2</v>
      </c>
      <c r="AC72">
        <v>0.39155232072545054</v>
      </c>
      <c r="AD72">
        <v>0.37356138107416875</v>
      </c>
      <c r="AE72">
        <v>2.5925925925925925E-2</v>
      </c>
      <c r="AF72">
        <v>0.18</v>
      </c>
      <c r="AG72">
        <v>0.14000000000000001</v>
      </c>
      <c r="AH72">
        <v>0.18</v>
      </c>
      <c r="AI72">
        <v>0.25</v>
      </c>
      <c r="AJ72">
        <v>0.65</v>
      </c>
      <c r="AK72">
        <v>0.89999999999999991</v>
      </c>
      <c r="AL72">
        <v>1.037037037037037</v>
      </c>
      <c r="AM72">
        <v>1</v>
      </c>
      <c r="AN72">
        <v>1</v>
      </c>
      <c r="AO72">
        <v>1</v>
      </c>
      <c r="AP72">
        <f t="shared" si="24"/>
        <v>0.95</v>
      </c>
      <c r="AQ72">
        <f t="shared" si="25"/>
        <v>1.037037037037037</v>
      </c>
      <c r="AR72">
        <f t="shared" si="26"/>
        <v>1</v>
      </c>
      <c r="AS72" cm="1">
        <f t="array" ref="AS72">_xlfn.IFS(AF72&gt;'“主要目标”数据分表'!$C$2,1,AF72='“主要目标”数据分表'!$C$2,0,AF72&lt;'“主要目标”数据分表'!$C$2,-1)</f>
        <v>-1</v>
      </c>
      <c r="AT72" cm="1">
        <f t="array" ref="AT72">_xlfn.IFS(AG72&gt;'“主要目标”数据分表'!$D$2,1,AG72='“主要目标”数据分表'!$D$2,0,AG72&lt;'“主要目标”数据分表'!$D$2,-1)</f>
        <v>1</v>
      </c>
      <c r="AU72" cm="1">
        <f t="array" ref="AU72">_xlfn.IFS(AH72&gt;'“主要目标”数据分表'!$E$2,1,AH72='“主要目标”数据分表'!$E$2,0,AH72&lt;'“主要目标”数据分表'!$E$2,-1)</f>
        <v>0</v>
      </c>
      <c r="AV72" cm="1">
        <f t="array" ref="AV72">_xlfn.IFS(AI72&gt;'“主要目标”数据分表'!$F$2,1,AI72='“主要目标”数据分表'!$F$2,0,AI72&lt;'“主要目标”数据分表'!$F$2,-1)</f>
        <v>0</v>
      </c>
      <c r="AW72" cm="1">
        <f t="array" ref="AW72">_xlfn.IFS(AJ72&gt;'“主要目标”数据分表'!$G$2,1,AJ72='“主要目标”数据分表'!$G$2,0,AJ72&lt;'“主要目标”数据分表'!$G$2,-1)</f>
        <v>0</v>
      </c>
    </row>
    <row r="73" spans="1:49" ht="14.4" x14ac:dyDescent="0.25">
      <c r="A73" s="2">
        <v>10</v>
      </c>
      <c r="B73" s="2" t="s">
        <v>20</v>
      </c>
      <c r="C73" s="2">
        <v>2017</v>
      </c>
      <c r="D73" s="2">
        <v>31602</v>
      </c>
      <c r="E73" s="19">
        <v>84851.1603703742</v>
      </c>
      <c r="F73" s="2">
        <v>85869.759999999995</v>
      </c>
      <c r="G73" s="3">
        <v>0.36802245633387121</v>
      </c>
      <c r="H73" s="2">
        <f>(G73-G72)/G72</f>
        <v>-8.7451941779769338E-2</v>
      </c>
      <c r="I73" s="16">
        <v>0.4239624657545118</v>
      </c>
      <c r="J73" s="2">
        <f>(I73-I72)/I72</f>
        <v>4.8787305355550342E-2</v>
      </c>
      <c r="K73">
        <v>0.98813785400558019</v>
      </c>
      <c r="L73">
        <f t="shared" si="27"/>
        <v>-7.9436284025244233E-2</v>
      </c>
      <c r="M73" s="2">
        <v>0</v>
      </c>
      <c r="N73" s="2">
        <v>0</v>
      </c>
      <c r="O73" s="4">
        <v>1</v>
      </c>
      <c r="P73">
        <v>0.79737595519012716</v>
      </c>
      <c r="Q73">
        <v>0.68768328445747806</v>
      </c>
      <c r="R73">
        <v>0.64655599776567518</v>
      </c>
      <c r="S73">
        <v>0.2</v>
      </c>
      <c r="T73">
        <v>8.0000000000000016E-2</v>
      </c>
      <c r="U73">
        <v>0.48442906574394462</v>
      </c>
      <c r="V73">
        <v>0.34943181818181818</v>
      </c>
      <c r="W73">
        <v>2.222222222222222E-2</v>
      </c>
      <c r="X73">
        <v>0.1641244241267529</v>
      </c>
      <c r="Y73">
        <v>0.49420442571127488</v>
      </c>
      <c r="Z73">
        <v>0.46365888433657426</v>
      </c>
      <c r="AA73">
        <v>5.7142857142857148E-2</v>
      </c>
      <c r="AB73">
        <v>4.651162790697675E-2</v>
      </c>
      <c r="AC73">
        <v>0.39155232072545054</v>
      </c>
      <c r="AD73">
        <v>0.37356138107416875</v>
      </c>
      <c r="AE73">
        <v>2.5925925925925925E-2</v>
      </c>
      <c r="AF73">
        <v>0.18</v>
      </c>
      <c r="AG73">
        <v>0.14000000000000001</v>
      </c>
      <c r="AH73">
        <v>0.18</v>
      </c>
      <c r="AI73">
        <v>0.25</v>
      </c>
      <c r="AJ73">
        <v>0.65</v>
      </c>
      <c r="AK73">
        <v>0.89999999999999991</v>
      </c>
      <c r="AL73">
        <v>1.037037037037037</v>
      </c>
      <c r="AM73">
        <v>1</v>
      </c>
      <c r="AN73">
        <v>1</v>
      </c>
      <c r="AO73">
        <v>1</v>
      </c>
      <c r="AP73">
        <f t="shared" si="24"/>
        <v>0.95</v>
      </c>
      <c r="AQ73">
        <f t="shared" si="25"/>
        <v>1.037037037037037</v>
      </c>
      <c r="AR73">
        <f t="shared" si="26"/>
        <v>1</v>
      </c>
      <c r="AS73" cm="1">
        <f t="array" ref="AS73">_xlfn.IFS(AF73&gt;'“主要目标”数据分表'!$C$2,1,AF73='“主要目标”数据分表'!$C$2,0,AF73&lt;'“主要目标”数据分表'!$C$2,-1)</f>
        <v>-1</v>
      </c>
      <c r="AT73" cm="1">
        <f t="array" ref="AT73">_xlfn.IFS(AG73&gt;'“主要目标”数据分表'!$D$2,1,AG73='“主要目标”数据分表'!$D$2,0,AG73&lt;'“主要目标”数据分表'!$D$2,-1)</f>
        <v>1</v>
      </c>
      <c r="AU73" cm="1">
        <f t="array" ref="AU73">_xlfn.IFS(AH73&gt;'“主要目标”数据分表'!$E$2,1,AH73='“主要目标”数据分表'!$E$2,0,AH73&lt;'“主要目标”数据分表'!$E$2,-1)</f>
        <v>0</v>
      </c>
      <c r="AV73" cm="1">
        <f t="array" ref="AV73">_xlfn.IFS(AI73&gt;'“主要目标”数据分表'!$F$2,1,AI73='“主要目标”数据分表'!$F$2,0,AI73&lt;'“主要目标”数据分表'!$F$2,-1)</f>
        <v>0</v>
      </c>
      <c r="AW73" cm="1">
        <f t="array" ref="AW73">_xlfn.IFS(AJ73&gt;'“主要目标”数据分表'!$G$2,1,AJ73='“主要目标”数据分表'!$G$2,0,AJ73&lt;'“主要目标”数据分表'!$G$2,-1)</f>
        <v>0</v>
      </c>
    </row>
    <row r="74" spans="1:49" ht="14.4" x14ac:dyDescent="0.25">
      <c r="A74" s="2">
        <v>10</v>
      </c>
      <c r="B74" s="2" t="s">
        <v>20</v>
      </c>
      <c r="C74" s="2">
        <v>2018</v>
      </c>
      <c r="D74" s="2">
        <v>31635</v>
      </c>
      <c r="E74" s="19">
        <v>88421.552426127309</v>
      </c>
      <c r="F74" s="2">
        <v>92595.4</v>
      </c>
      <c r="G74" s="3">
        <v>0.34164764124351754</v>
      </c>
      <c r="H74" s="2">
        <f t="shared" ref="H74:H78" si="28">(G74-G73)/G73</f>
        <v>-7.1666319911810883E-2</v>
      </c>
      <c r="I74" s="16">
        <v>0.43842733970513303</v>
      </c>
      <c r="J74" s="2">
        <f t="shared" ref="J74:J78" si="29">(I74-I73)/I73</f>
        <v>3.4118289044476106E-2</v>
      </c>
      <c r="K74">
        <v>0.95492381291216755</v>
      </c>
      <c r="L74">
        <f t="shared" si="27"/>
        <v>-3.3612760566528274E-2</v>
      </c>
      <c r="M74" s="2">
        <v>0</v>
      </c>
      <c r="N74" s="2">
        <v>0</v>
      </c>
      <c r="O74" s="4">
        <v>1</v>
      </c>
      <c r="P74">
        <v>0.79737595519012716</v>
      </c>
      <c r="Q74">
        <v>0.68768328445747806</v>
      </c>
      <c r="R74">
        <v>0.64655599776567518</v>
      </c>
      <c r="S74">
        <v>0.2</v>
      </c>
      <c r="T74">
        <v>8.0000000000000016E-2</v>
      </c>
      <c r="U74">
        <v>0.48442906574394462</v>
      </c>
      <c r="V74">
        <v>0.34943181818181818</v>
      </c>
      <c r="W74">
        <v>2.222222222222222E-2</v>
      </c>
      <c r="X74">
        <v>0.1641244241267529</v>
      </c>
      <c r="Y74">
        <v>0.49420442571127488</v>
      </c>
      <c r="Z74">
        <v>0.46365888433657426</v>
      </c>
      <c r="AA74">
        <v>5.7142857142857148E-2</v>
      </c>
      <c r="AB74">
        <v>4.651162790697675E-2</v>
      </c>
      <c r="AC74">
        <v>0.39155232072545054</v>
      </c>
      <c r="AD74">
        <v>0.37356138107416875</v>
      </c>
      <c r="AE74">
        <v>2.5925925925925925E-2</v>
      </c>
      <c r="AF74">
        <v>0.18</v>
      </c>
      <c r="AG74">
        <v>0.14000000000000001</v>
      </c>
      <c r="AH74">
        <v>0.18</v>
      </c>
      <c r="AI74">
        <v>0.25</v>
      </c>
      <c r="AJ74">
        <v>0.65</v>
      </c>
      <c r="AK74">
        <v>0.89999999999999991</v>
      </c>
      <c r="AL74">
        <v>1.037037037037037</v>
      </c>
      <c r="AM74">
        <v>1</v>
      </c>
      <c r="AN74">
        <v>1</v>
      </c>
      <c r="AO74">
        <v>1</v>
      </c>
      <c r="AP74">
        <f t="shared" si="24"/>
        <v>0.95</v>
      </c>
      <c r="AQ74">
        <f t="shared" si="25"/>
        <v>1.037037037037037</v>
      </c>
      <c r="AR74">
        <f t="shared" si="26"/>
        <v>1</v>
      </c>
      <c r="AS74" cm="1">
        <f t="array" ref="AS74">_xlfn.IFS(AF74&gt;'“主要目标”数据分表'!$C$2,1,AF74='“主要目标”数据分表'!$C$2,0,AF74&lt;'“主要目标”数据分表'!$C$2,-1)</f>
        <v>-1</v>
      </c>
      <c r="AT74" cm="1">
        <f t="array" ref="AT74">_xlfn.IFS(AG74&gt;'“主要目标”数据分表'!$D$2,1,AG74='“主要目标”数据分表'!$D$2,0,AG74&lt;'“主要目标”数据分表'!$D$2,-1)</f>
        <v>1</v>
      </c>
      <c r="AU74" cm="1">
        <f t="array" ref="AU74">_xlfn.IFS(AH74&gt;'“主要目标”数据分表'!$E$2,1,AH74='“主要目标”数据分表'!$E$2,0,AH74&lt;'“主要目标”数据分表'!$E$2,-1)</f>
        <v>0</v>
      </c>
      <c r="AV74" cm="1">
        <f t="array" ref="AV74">_xlfn.IFS(AI74&gt;'“主要目标”数据分表'!$F$2,1,AI74='“主要目标”数据分表'!$F$2,0,AI74&lt;'“主要目标”数据分表'!$F$2,-1)</f>
        <v>0</v>
      </c>
      <c r="AW74" cm="1">
        <f t="array" ref="AW74">_xlfn.IFS(AJ74&gt;'“主要目标”数据分表'!$G$2,1,AJ74='“主要目标”数据分表'!$G$2,0,AJ74&lt;'“主要目标”数据分表'!$G$2,-1)</f>
        <v>0</v>
      </c>
    </row>
    <row r="75" spans="1:49" ht="14.4" x14ac:dyDescent="0.25">
      <c r="A75" s="2">
        <v>10</v>
      </c>
      <c r="B75" s="2" t="s">
        <v>20</v>
      </c>
      <c r="C75" s="2">
        <v>2019</v>
      </c>
      <c r="D75" s="2">
        <v>32526</v>
      </c>
      <c r="E75" s="19">
        <v>90386.890724120502</v>
      </c>
      <c r="F75" s="2">
        <v>99631.52</v>
      </c>
      <c r="G75" s="3">
        <v>0.32646295068066811</v>
      </c>
      <c r="H75" s="2">
        <f t="shared" si="28"/>
        <v>-4.4445471678307834E-2</v>
      </c>
      <c r="I75" s="16">
        <v>0.42680061788674156</v>
      </c>
      <c r="J75" s="2">
        <f t="shared" si="29"/>
        <v>-2.6519153267702454E-2</v>
      </c>
      <c r="K75">
        <v>0.90721180128658574</v>
      </c>
      <c r="L75">
        <f t="shared" si="27"/>
        <v>-4.9964207594821272E-2</v>
      </c>
      <c r="M75" s="2">
        <v>0</v>
      </c>
      <c r="N75" s="2">
        <v>0</v>
      </c>
      <c r="O75" s="4">
        <v>1</v>
      </c>
      <c r="P75">
        <v>0.79737595519012716</v>
      </c>
      <c r="Q75">
        <v>0.68768328445747806</v>
      </c>
      <c r="R75">
        <v>0.64655599776567518</v>
      </c>
      <c r="S75">
        <v>0.2</v>
      </c>
      <c r="T75">
        <v>8.0000000000000016E-2</v>
      </c>
      <c r="U75">
        <v>0.48442906574394462</v>
      </c>
      <c r="V75">
        <v>0.34943181818181818</v>
      </c>
      <c r="W75">
        <v>2.222222222222222E-2</v>
      </c>
      <c r="X75">
        <v>0.1641244241267529</v>
      </c>
      <c r="Y75">
        <v>0.49420442571127488</v>
      </c>
      <c r="Z75">
        <v>0.46365888433657426</v>
      </c>
      <c r="AA75">
        <v>5.7142857142857148E-2</v>
      </c>
      <c r="AB75">
        <v>4.651162790697675E-2</v>
      </c>
      <c r="AC75">
        <v>0.39155232072545054</v>
      </c>
      <c r="AD75">
        <v>0.37356138107416875</v>
      </c>
      <c r="AE75">
        <v>2.5925925925925925E-2</v>
      </c>
      <c r="AF75">
        <v>0.18</v>
      </c>
      <c r="AG75">
        <v>0.14000000000000001</v>
      </c>
      <c r="AH75">
        <v>0.18</v>
      </c>
      <c r="AI75">
        <v>0.25</v>
      </c>
      <c r="AJ75">
        <v>0.65</v>
      </c>
      <c r="AK75">
        <v>0.89999999999999991</v>
      </c>
      <c r="AL75">
        <v>1.037037037037037</v>
      </c>
      <c r="AM75">
        <v>1</v>
      </c>
      <c r="AN75">
        <v>1</v>
      </c>
      <c r="AO75">
        <v>1</v>
      </c>
      <c r="AP75">
        <f t="shared" si="24"/>
        <v>0.95</v>
      </c>
      <c r="AQ75">
        <f t="shared" si="25"/>
        <v>1.037037037037037</v>
      </c>
      <c r="AR75">
        <f t="shared" si="26"/>
        <v>1</v>
      </c>
      <c r="AS75" cm="1">
        <f t="array" ref="AS75">_xlfn.IFS(AF75&gt;'“主要目标”数据分表'!$C$2,1,AF75='“主要目标”数据分表'!$C$2,0,AF75&lt;'“主要目标”数据分表'!$C$2,-1)</f>
        <v>-1</v>
      </c>
      <c r="AT75" cm="1">
        <f t="array" ref="AT75">_xlfn.IFS(AG75&gt;'“主要目标”数据分表'!$D$2,1,AG75='“主要目标”数据分表'!$D$2,0,AG75&lt;'“主要目标”数据分表'!$D$2,-1)</f>
        <v>1</v>
      </c>
      <c r="AU75" cm="1">
        <f t="array" ref="AU75">_xlfn.IFS(AH75&gt;'“主要目标”数据分表'!$E$2,1,AH75='“主要目标”数据分表'!$E$2,0,AH75&lt;'“主要目标”数据分表'!$E$2,-1)</f>
        <v>0</v>
      </c>
      <c r="AV75" cm="1">
        <f t="array" ref="AV75">_xlfn.IFS(AI75&gt;'“主要目标”数据分表'!$F$2,1,AI75='“主要目标”数据分表'!$F$2,0,AI75&lt;'“主要目标”数据分表'!$F$2,-1)</f>
        <v>0</v>
      </c>
      <c r="AW75" cm="1">
        <f t="array" ref="AW75">_xlfn.IFS(AJ75&gt;'“主要目标”数据分表'!$G$2,1,AJ75='“主要目标”数据分表'!$G$2,0,AJ75&lt;'“主要目标”数据分表'!$G$2,-1)</f>
        <v>0</v>
      </c>
    </row>
    <row r="76" spans="1:49" ht="14.4" x14ac:dyDescent="0.25">
      <c r="A76" s="2">
        <v>10</v>
      </c>
      <c r="B76" s="2" t="s">
        <v>20</v>
      </c>
      <c r="C76" s="2">
        <v>2020</v>
      </c>
      <c r="D76" s="2">
        <v>32672.49</v>
      </c>
      <c r="E76" s="19">
        <v>89496.3263767397</v>
      </c>
      <c r="F76" s="2">
        <v>102718.98</v>
      </c>
      <c r="G76" s="3">
        <v>0.31807646454433253</v>
      </c>
      <c r="H76" s="2">
        <f t="shared" si="28"/>
        <v>-2.5688936888090794E-2</v>
      </c>
      <c r="I76" s="16">
        <v>0.43433056766289396</v>
      </c>
      <c r="J76" s="2">
        <f t="shared" si="29"/>
        <v>1.7642780869053461E-2</v>
      </c>
      <c r="K76">
        <v>0.87127351125117969</v>
      </c>
      <c r="L76">
        <f t="shared" si="27"/>
        <v>-3.9614001917125906E-2</v>
      </c>
      <c r="M76" s="2">
        <v>0</v>
      </c>
      <c r="N76" s="2">
        <v>0</v>
      </c>
      <c r="O76" s="4">
        <v>1</v>
      </c>
      <c r="P76">
        <v>0.79737595519012716</v>
      </c>
      <c r="Q76">
        <v>0.68768328445747806</v>
      </c>
      <c r="R76">
        <v>0.64655599776567518</v>
      </c>
      <c r="S76">
        <v>0.2</v>
      </c>
      <c r="T76">
        <v>8.0000000000000016E-2</v>
      </c>
      <c r="U76">
        <v>0.48442906574394462</v>
      </c>
      <c r="V76">
        <v>0.34943181818181818</v>
      </c>
      <c r="W76">
        <v>2.222222222222222E-2</v>
      </c>
      <c r="X76">
        <v>0.1641244241267529</v>
      </c>
      <c r="Y76">
        <v>0.49420442571127488</v>
      </c>
      <c r="Z76">
        <v>0.46365888433657426</v>
      </c>
      <c r="AA76">
        <v>5.7142857142857148E-2</v>
      </c>
      <c r="AB76">
        <v>4.651162790697675E-2</v>
      </c>
      <c r="AC76">
        <v>0.39155232072545054</v>
      </c>
      <c r="AD76">
        <v>0.37356138107416875</v>
      </c>
      <c r="AE76">
        <v>2.5925925925925925E-2</v>
      </c>
      <c r="AF76">
        <v>0.18</v>
      </c>
      <c r="AG76">
        <v>0.14000000000000001</v>
      </c>
      <c r="AH76">
        <v>0.18</v>
      </c>
      <c r="AI76">
        <v>0.25</v>
      </c>
      <c r="AJ76">
        <v>0.65</v>
      </c>
      <c r="AK76">
        <v>0.89999999999999991</v>
      </c>
      <c r="AL76">
        <v>1.037037037037037</v>
      </c>
      <c r="AM76">
        <v>1</v>
      </c>
      <c r="AN76">
        <v>1</v>
      </c>
      <c r="AO76">
        <v>1</v>
      </c>
      <c r="AP76">
        <f t="shared" si="24"/>
        <v>0.95</v>
      </c>
      <c r="AQ76">
        <f t="shared" si="25"/>
        <v>1.037037037037037</v>
      </c>
      <c r="AR76">
        <f t="shared" si="26"/>
        <v>1</v>
      </c>
      <c r="AS76" cm="1">
        <f t="array" ref="AS76">_xlfn.IFS(AF76&gt;'“主要目标”数据分表'!$C$2,1,AF76='“主要目标”数据分表'!$C$2,0,AF76&lt;'“主要目标”数据分表'!$C$2,-1)</f>
        <v>-1</v>
      </c>
      <c r="AT76" cm="1">
        <f t="array" ref="AT76">_xlfn.IFS(AG76&gt;'“主要目标”数据分表'!$D$2,1,AG76='“主要目标”数据分表'!$D$2,0,AG76&lt;'“主要目标”数据分表'!$D$2,-1)</f>
        <v>1</v>
      </c>
      <c r="AU76" cm="1">
        <f t="array" ref="AU76">_xlfn.IFS(AH76&gt;'“主要目标”数据分表'!$E$2,1,AH76='“主要目标”数据分表'!$E$2,0,AH76&lt;'“主要目标”数据分表'!$E$2,-1)</f>
        <v>0</v>
      </c>
      <c r="AV76" cm="1">
        <f t="array" ref="AV76">_xlfn.IFS(AI76&gt;'“主要目标”数据分表'!$F$2,1,AI76='“主要目标”数据分表'!$F$2,0,AI76&lt;'“主要目标”数据分表'!$F$2,-1)</f>
        <v>0</v>
      </c>
      <c r="AW76" cm="1">
        <f t="array" ref="AW76">_xlfn.IFS(AJ76&gt;'“主要目标”数据分表'!$G$2,1,AJ76='“主要目标”数据分表'!$G$2,0,AJ76&lt;'“主要目标”数据分表'!$G$2,-1)</f>
        <v>0</v>
      </c>
    </row>
    <row r="77" spans="1:49" ht="14.4" x14ac:dyDescent="0.25">
      <c r="A77" s="2">
        <v>10</v>
      </c>
      <c r="B77" s="2" t="s">
        <v>20</v>
      </c>
      <c r="C77" s="2">
        <v>2021</v>
      </c>
      <c r="D77" s="2">
        <v>34679.94</v>
      </c>
      <c r="E77" s="19">
        <v>93636.787898427996</v>
      </c>
      <c r="F77" s="2">
        <v>116364.2</v>
      </c>
      <c r="G77" s="3">
        <v>0.29802929079562274</v>
      </c>
      <c r="H77" s="2">
        <f t="shared" si="28"/>
        <v>-6.3026271929389088E-2</v>
      </c>
      <c r="I77" s="16">
        <v>0.45690353589244209</v>
      </c>
      <c r="J77" s="2">
        <f t="shared" si="29"/>
        <v>5.1971861780329857E-2</v>
      </c>
      <c r="K77">
        <v>0.80468724829825666</v>
      </c>
      <c r="L77">
        <f t="shared" si="27"/>
        <v>-7.64240644218631E-2</v>
      </c>
      <c r="M77" s="2">
        <v>0</v>
      </c>
      <c r="N77" s="2">
        <v>0</v>
      </c>
      <c r="O77" s="4">
        <v>1</v>
      </c>
      <c r="P77">
        <v>0.79737595519012716</v>
      </c>
      <c r="Q77">
        <v>0.68768328445747806</v>
      </c>
      <c r="R77">
        <v>0.64655599776567518</v>
      </c>
      <c r="S77">
        <v>0.2</v>
      </c>
      <c r="T77">
        <v>8.0000000000000016E-2</v>
      </c>
      <c r="U77">
        <v>0.48442906574394462</v>
      </c>
      <c r="V77">
        <v>0.34943181818181818</v>
      </c>
      <c r="W77">
        <v>2.222222222222222E-2</v>
      </c>
      <c r="X77">
        <v>0.1641244241267529</v>
      </c>
      <c r="Y77">
        <v>0.49420442571127488</v>
      </c>
      <c r="Z77">
        <v>0.46365888433657426</v>
      </c>
      <c r="AA77">
        <v>5.7142857142857148E-2</v>
      </c>
      <c r="AB77">
        <v>4.651162790697675E-2</v>
      </c>
      <c r="AC77">
        <v>0.39155232072545054</v>
      </c>
      <c r="AD77">
        <v>0.37356138107416875</v>
      </c>
      <c r="AE77">
        <v>2.5925925925925925E-2</v>
      </c>
      <c r="AF77">
        <v>0.18</v>
      </c>
      <c r="AG77">
        <v>0.14000000000000001</v>
      </c>
      <c r="AH77">
        <v>0.18</v>
      </c>
      <c r="AI77">
        <v>0.25</v>
      </c>
      <c r="AJ77">
        <v>0.65</v>
      </c>
      <c r="AK77">
        <v>0.89999999999999991</v>
      </c>
      <c r="AL77">
        <v>1.037037037037037</v>
      </c>
      <c r="AM77">
        <v>1</v>
      </c>
      <c r="AN77">
        <v>1</v>
      </c>
      <c r="AO77">
        <v>1</v>
      </c>
      <c r="AP77">
        <f t="shared" si="24"/>
        <v>0.95</v>
      </c>
      <c r="AQ77">
        <f t="shared" si="25"/>
        <v>1.037037037037037</v>
      </c>
      <c r="AR77">
        <f t="shared" si="26"/>
        <v>1</v>
      </c>
      <c r="AS77" cm="1">
        <f t="array" ref="AS77">_xlfn.IFS(AF77&gt;'“主要目标”数据分表'!$C$2,1,AF77='“主要目标”数据分表'!$C$2,0,AF77&lt;'“主要目标”数据分表'!$C$2,-1)</f>
        <v>-1</v>
      </c>
      <c r="AT77" cm="1">
        <f t="array" ref="AT77">_xlfn.IFS(AG77&gt;'“主要目标”数据分表'!$D$2,1,AG77='“主要目标”数据分表'!$D$2,0,AG77&lt;'“主要目标”数据分表'!$D$2,-1)</f>
        <v>1</v>
      </c>
      <c r="AU77" cm="1">
        <f t="array" ref="AU77">_xlfn.IFS(AH77&gt;'“主要目标”数据分表'!$E$2,1,AH77='“主要目标”数据分表'!$E$2,0,AH77&lt;'“主要目标”数据分表'!$E$2,-1)</f>
        <v>0</v>
      </c>
      <c r="AV77" cm="1">
        <f t="array" ref="AV77">_xlfn.IFS(AI77&gt;'“主要目标”数据分表'!$F$2,1,AI77='“主要目标”数据分表'!$F$2,0,AI77&lt;'“主要目标”数据分表'!$F$2,-1)</f>
        <v>0</v>
      </c>
      <c r="AW77" cm="1">
        <f t="array" ref="AW77">_xlfn.IFS(AJ77&gt;'“主要目标”数据分表'!$G$2,1,AJ77='“主要目标”数据分表'!$G$2,0,AJ77&lt;'“主要目标”数据分表'!$G$2,-1)</f>
        <v>0</v>
      </c>
    </row>
    <row r="78" spans="1:49" ht="14.4" x14ac:dyDescent="0.25">
      <c r="A78" s="2">
        <v>10</v>
      </c>
      <c r="B78" s="2" t="s">
        <v>20</v>
      </c>
      <c r="C78" s="2">
        <v>2022</v>
      </c>
      <c r="D78" s="2">
        <v>35823.949999999997</v>
      </c>
      <c r="E78" s="19">
        <v>91914.978322971001</v>
      </c>
      <c r="F78" s="2">
        <v>122875.6</v>
      </c>
      <c r="G78" s="3">
        <v>0.29154649092252649</v>
      </c>
      <c r="H78" s="2">
        <f t="shared" si="28"/>
        <v>-2.1752223936746893E-2</v>
      </c>
      <c r="I78" s="16">
        <v>0.46599507198303802</v>
      </c>
      <c r="J78" s="2">
        <f t="shared" si="29"/>
        <v>1.98981521840009E-2</v>
      </c>
      <c r="K78">
        <v>0.74803279351613339</v>
      </c>
      <c r="L78">
        <f t="shared" si="27"/>
        <v>-7.0405558062384438E-2</v>
      </c>
      <c r="M78" s="2">
        <v>1</v>
      </c>
      <c r="N78" s="2">
        <v>0</v>
      </c>
      <c r="O78" s="4">
        <v>1</v>
      </c>
      <c r="P78">
        <v>0.79737595519012716</v>
      </c>
      <c r="Q78">
        <v>0.68768328445747806</v>
      </c>
      <c r="R78">
        <v>0.64655599776567518</v>
      </c>
      <c r="S78">
        <v>0.2</v>
      </c>
      <c r="T78">
        <v>8.0000000000000016E-2</v>
      </c>
      <c r="U78">
        <v>0.48442906574394462</v>
      </c>
      <c r="V78">
        <v>0.34943181818181818</v>
      </c>
      <c r="W78">
        <v>2.222222222222222E-2</v>
      </c>
      <c r="X78">
        <v>0.1641244241267529</v>
      </c>
      <c r="Y78">
        <v>0.49420442571127488</v>
      </c>
      <c r="Z78">
        <v>0.46365888433657426</v>
      </c>
      <c r="AA78">
        <v>5.7142857142857148E-2</v>
      </c>
      <c r="AB78">
        <v>4.651162790697675E-2</v>
      </c>
      <c r="AC78">
        <v>0.39155232072545054</v>
      </c>
      <c r="AD78">
        <v>0.37356138107416875</v>
      </c>
      <c r="AE78">
        <v>2.5925925925925925E-2</v>
      </c>
      <c r="AF78">
        <v>0.18</v>
      </c>
      <c r="AG78">
        <v>0.14000000000000001</v>
      </c>
      <c r="AH78">
        <v>0.18</v>
      </c>
      <c r="AI78">
        <v>0.25</v>
      </c>
      <c r="AJ78">
        <v>0.65</v>
      </c>
      <c r="AK78">
        <v>0.89999999999999991</v>
      </c>
      <c r="AL78">
        <v>1.037037037037037</v>
      </c>
      <c r="AM78">
        <v>1</v>
      </c>
      <c r="AN78">
        <v>1</v>
      </c>
      <c r="AO78">
        <v>1</v>
      </c>
      <c r="AP78">
        <f t="shared" si="24"/>
        <v>0.95</v>
      </c>
      <c r="AQ78">
        <f t="shared" si="25"/>
        <v>1.037037037037037</v>
      </c>
      <c r="AR78">
        <f t="shared" si="26"/>
        <v>1</v>
      </c>
      <c r="AS78" cm="1">
        <f t="array" ref="AS78">_xlfn.IFS(AF78&gt;'“主要目标”数据分表'!$C$2,1,AF78='“主要目标”数据分表'!$C$2,0,AF78&lt;'“主要目标”数据分表'!$C$2,-1)</f>
        <v>-1</v>
      </c>
      <c r="AT78" cm="1">
        <f t="array" ref="AT78">_xlfn.IFS(AG78&gt;'“主要目标”数据分表'!$D$2,1,AG78='“主要目标”数据分表'!$D$2,0,AG78&lt;'“主要目标”数据分表'!$D$2,-1)</f>
        <v>1</v>
      </c>
      <c r="AU78" cm="1">
        <f t="array" ref="AU78">_xlfn.IFS(AH78&gt;'“主要目标”数据分表'!$E$2,1,AH78='“主要目标”数据分表'!$E$2,0,AH78&lt;'“主要目标”数据分表'!$E$2,-1)</f>
        <v>0</v>
      </c>
      <c r="AV78" cm="1">
        <f t="array" ref="AV78">_xlfn.IFS(AI78&gt;'“主要目标”数据分表'!$F$2,1,AI78='“主要目标”数据分表'!$F$2,0,AI78&lt;'“主要目标”数据分表'!$F$2,-1)</f>
        <v>0</v>
      </c>
      <c r="AW78" cm="1">
        <f t="array" ref="AW78">_xlfn.IFS(AJ78&gt;'“主要目标”数据分表'!$G$2,1,AJ78='“主要目标”数据分表'!$G$2,0,AJ78&lt;'“主要目标”数据分表'!$G$2,-1)</f>
        <v>0</v>
      </c>
    </row>
    <row r="79" spans="1:49" ht="14.4" x14ac:dyDescent="0.25">
      <c r="A79" s="2">
        <v>11</v>
      </c>
      <c r="B79" s="2" t="s">
        <v>21</v>
      </c>
      <c r="C79" s="2">
        <v>2016</v>
      </c>
      <c r="D79" s="2">
        <v>20276</v>
      </c>
      <c r="E79" s="19">
        <v>38867.23377626</v>
      </c>
      <c r="F79" s="2">
        <v>47251.360000000001</v>
      </c>
      <c r="G79" s="3">
        <v>0.42910934203798579</v>
      </c>
      <c r="H79" s="2"/>
      <c r="I79" s="16">
        <v>0.46980279869752378</v>
      </c>
      <c r="K79">
        <v>0.82256328233219111</v>
      </c>
      <c r="L79"/>
      <c r="M79" s="2">
        <v>0</v>
      </c>
      <c r="N79" s="2">
        <v>0</v>
      </c>
      <c r="O79" s="4">
        <v>0</v>
      </c>
      <c r="P79" s="4">
        <v>0.99999999580495169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0.2</v>
      </c>
      <c r="AG79">
        <v>0.13500000000000001</v>
      </c>
      <c r="AH79">
        <v>0.18</v>
      </c>
      <c r="AI79">
        <v>0.25</v>
      </c>
      <c r="AJ79">
        <v>0.65</v>
      </c>
      <c r="AK79">
        <v>1</v>
      </c>
      <c r="AL79">
        <v>1</v>
      </c>
      <c r="AM79">
        <v>1</v>
      </c>
      <c r="AN79">
        <v>1</v>
      </c>
      <c r="AO79">
        <v>1</v>
      </c>
      <c r="AP79">
        <f t="shared" si="24"/>
        <v>1</v>
      </c>
      <c r="AQ79">
        <f t="shared" si="25"/>
        <v>1</v>
      </c>
      <c r="AR79">
        <f t="shared" si="26"/>
        <v>1</v>
      </c>
      <c r="AS79" cm="1">
        <f t="array" ref="AS79">_xlfn.IFS(AF79&gt;'“主要目标”数据分表'!$C$2,1,AF79='“主要目标”数据分表'!$C$2,0,AF79&lt;'“主要目标”数据分表'!$C$2,-1)</f>
        <v>0</v>
      </c>
      <c r="AT79" cm="1">
        <f t="array" ref="AT79">_xlfn.IFS(AG79&gt;'“主要目标”数据分表'!$D$2,1,AG79='“主要目标”数据分表'!$D$2,0,AG79&lt;'“主要目标”数据分表'!$D$2,-1)</f>
        <v>0</v>
      </c>
      <c r="AU79" cm="1">
        <f t="array" ref="AU79">_xlfn.IFS(AH79&gt;'“主要目标”数据分表'!$E$2,1,AH79='“主要目标”数据分表'!$E$2,0,AH79&lt;'“主要目标”数据分表'!$E$2,-1)</f>
        <v>0</v>
      </c>
      <c r="AV79" cm="1">
        <f t="array" ref="AV79">_xlfn.IFS(AI79&gt;'“主要目标”数据分表'!$F$2,1,AI79='“主要目标”数据分表'!$F$2,0,AI79&lt;'“主要目标”数据分表'!$F$2,-1)</f>
        <v>0</v>
      </c>
      <c r="AW79" cm="1">
        <f t="array" ref="AW79">_xlfn.IFS(AJ79&gt;'“主要目标”数据分表'!$G$2,1,AJ79='“主要目标”数据分表'!$G$2,0,AJ79&lt;'“主要目标”数据分表'!$G$2,-1)</f>
        <v>0</v>
      </c>
    </row>
    <row r="80" spans="1:49" ht="14.4" x14ac:dyDescent="0.25">
      <c r="A80" s="2">
        <v>11</v>
      </c>
      <c r="B80" s="2" t="s">
        <v>21</v>
      </c>
      <c r="C80" s="2">
        <v>2017</v>
      </c>
      <c r="D80" s="2">
        <v>21030</v>
      </c>
      <c r="E80" s="19">
        <v>39259.970682499603</v>
      </c>
      <c r="F80" s="2">
        <v>51768.26</v>
      </c>
      <c r="G80" s="3">
        <v>0.40623347201547821</v>
      </c>
      <c r="H80" s="2">
        <f>(G80-G79)/G79</f>
        <v>-5.3310118847243702E-2</v>
      </c>
      <c r="I80" s="16">
        <v>0.49649228055409927</v>
      </c>
      <c r="J80" s="2">
        <f>(I80-I79)/I79</f>
        <v>5.6809967779181229E-2</v>
      </c>
      <c r="K80">
        <v>0.75837918219580103</v>
      </c>
      <c r="L80">
        <f t="shared" si="27"/>
        <v>-7.8029376602382086E-2</v>
      </c>
      <c r="M80" s="2">
        <v>0</v>
      </c>
      <c r="N80" s="2">
        <v>0</v>
      </c>
      <c r="O80" s="4">
        <v>0</v>
      </c>
      <c r="P80" s="4">
        <v>0.99999999580495169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0.2</v>
      </c>
      <c r="AG80">
        <v>0.13500000000000001</v>
      </c>
      <c r="AH80">
        <v>0.18</v>
      </c>
      <c r="AI80">
        <v>0.25</v>
      </c>
      <c r="AJ80">
        <v>0.65</v>
      </c>
      <c r="AK80">
        <v>1</v>
      </c>
      <c r="AL80">
        <v>1</v>
      </c>
      <c r="AM80">
        <v>1</v>
      </c>
      <c r="AN80">
        <v>1</v>
      </c>
      <c r="AO80">
        <v>1</v>
      </c>
      <c r="AP80">
        <f t="shared" si="24"/>
        <v>1</v>
      </c>
      <c r="AQ80">
        <f t="shared" si="25"/>
        <v>1</v>
      </c>
      <c r="AR80">
        <f t="shared" si="26"/>
        <v>1</v>
      </c>
      <c r="AS80" cm="1">
        <f t="array" ref="AS80">_xlfn.IFS(AF80&gt;'“主要目标”数据分表'!$C$2,1,AF80='“主要目标”数据分表'!$C$2,0,AF80&lt;'“主要目标”数据分表'!$C$2,-1)</f>
        <v>0</v>
      </c>
      <c r="AT80" cm="1">
        <f t="array" ref="AT80">_xlfn.IFS(AG80&gt;'“主要目标”数据分表'!$D$2,1,AG80='“主要目标”数据分表'!$D$2,0,AG80&lt;'“主要目标”数据分表'!$D$2,-1)</f>
        <v>0</v>
      </c>
      <c r="AU80" cm="1">
        <f t="array" ref="AU80">_xlfn.IFS(AH80&gt;'“主要目标”数据分表'!$E$2,1,AH80='“主要目标”数据分表'!$E$2,0,AH80&lt;'“主要目标”数据分表'!$E$2,-1)</f>
        <v>0</v>
      </c>
      <c r="AV80" cm="1">
        <f t="array" ref="AV80">_xlfn.IFS(AI80&gt;'“主要目标”数据分表'!$F$2,1,AI80='“主要目标”数据分表'!$F$2,0,AI80&lt;'“主要目标”数据分表'!$F$2,-1)</f>
        <v>0</v>
      </c>
      <c r="AW80" cm="1">
        <f t="array" ref="AW80">_xlfn.IFS(AJ80&gt;'“主要目标”数据分表'!$G$2,1,AJ80='“主要目标”数据分表'!$G$2,0,AJ80&lt;'“主要目标”数据分表'!$G$2,-1)</f>
        <v>0</v>
      </c>
    </row>
    <row r="81" spans="1:49" ht="14.4" x14ac:dyDescent="0.25">
      <c r="A81" s="2">
        <v>11</v>
      </c>
      <c r="B81" s="2" t="s">
        <v>21</v>
      </c>
      <c r="C81" s="2">
        <v>2018</v>
      </c>
      <c r="D81" s="2">
        <v>21675</v>
      </c>
      <c r="E81" s="19">
        <v>40391.461879456103</v>
      </c>
      <c r="F81" s="2">
        <v>56197.15</v>
      </c>
      <c r="G81" s="3">
        <v>0.38569571588594792</v>
      </c>
      <c r="H81" s="2">
        <f t="shared" ref="H81:H85" si="30">(G81-G80)/G80</f>
        <v>-5.055653348217394E-2</v>
      </c>
      <c r="I81" s="16">
        <v>0.52633807762963936</v>
      </c>
      <c r="J81" s="2">
        <f t="shared" ref="J81:J85" si="31">(I81-I80)/I80</f>
        <v>6.0113315442148138E-2</v>
      </c>
      <c r="K81">
        <v>0.71874573496086724</v>
      </c>
      <c r="L81">
        <f t="shared" si="27"/>
        <v>-5.226072677810014E-2</v>
      </c>
      <c r="M81" s="2">
        <v>0</v>
      </c>
      <c r="N81" s="2">
        <v>0</v>
      </c>
      <c r="O81" s="4">
        <v>0</v>
      </c>
      <c r="P81" s="4">
        <v>0.99999999580495169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0.2</v>
      </c>
      <c r="AG81">
        <v>0.13500000000000001</v>
      </c>
      <c r="AH81">
        <v>0.18</v>
      </c>
      <c r="AI81">
        <v>0.25</v>
      </c>
      <c r="AJ81">
        <v>0.65</v>
      </c>
      <c r="AK81">
        <v>1</v>
      </c>
      <c r="AL81">
        <v>1</v>
      </c>
      <c r="AM81">
        <v>1</v>
      </c>
      <c r="AN81">
        <v>1</v>
      </c>
      <c r="AO81">
        <v>1</v>
      </c>
      <c r="AP81">
        <f t="shared" si="24"/>
        <v>1</v>
      </c>
      <c r="AQ81">
        <f t="shared" si="25"/>
        <v>1</v>
      </c>
      <c r="AR81">
        <f t="shared" si="26"/>
        <v>1</v>
      </c>
      <c r="AS81" cm="1">
        <f t="array" ref="AS81">_xlfn.IFS(AF81&gt;'“主要目标”数据分表'!$C$2,1,AF81='“主要目标”数据分表'!$C$2,0,AF81&lt;'“主要目标”数据分表'!$C$2,-1)</f>
        <v>0</v>
      </c>
      <c r="AT81" cm="1">
        <f t="array" ref="AT81">_xlfn.IFS(AG81&gt;'“主要目标”数据分表'!$D$2,1,AG81='“主要目标”数据分表'!$D$2,0,AG81&lt;'“主要目标”数据分表'!$D$2,-1)</f>
        <v>0</v>
      </c>
      <c r="AU81" cm="1">
        <f t="array" ref="AU81">_xlfn.IFS(AH81&gt;'“主要目标”数据分表'!$E$2,1,AH81='“主要目标”数据分表'!$E$2,0,AH81&lt;'“主要目标”数据分表'!$E$2,-1)</f>
        <v>0</v>
      </c>
      <c r="AV81" cm="1">
        <f t="array" ref="AV81">_xlfn.IFS(AI81&gt;'“主要目标”数据分表'!$F$2,1,AI81='“主要目标”数据分表'!$F$2,0,AI81&lt;'“主要目标”数据分表'!$F$2,-1)</f>
        <v>0</v>
      </c>
      <c r="AW81" cm="1">
        <f t="array" ref="AW81">_xlfn.IFS(AJ81&gt;'“主要目标”数据分表'!$G$2,1,AJ81='“主要目标”数据分表'!$G$2,0,AJ81&lt;'“主要目标”数据分表'!$G$2,-1)</f>
        <v>0</v>
      </c>
    </row>
    <row r="82" spans="1:49" ht="14.4" x14ac:dyDescent="0.25">
      <c r="A82" s="2">
        <v>11</v>
      </c>
      <c r="B82" s="2" t="s">
        <v>21</v>
      </c>
      <c r="C82" s="2">
        <v>2019</v>
      </c>
      <c r="D82" s="2">
        <v>22393</v>
      </c>
      <c r="E82" s="19">
        <v>40407.9923342861</v>
      </c>
      <c r="F82" s="2">
        <v>62351.74</v>
      </c>
      <c r="G82" s="3">
        <v>0.35913993739388828</v>
      </c>
      <c r="H82" s="2">
        <f t="shared" si="30"/>
        <v>-6.8851629401847747E-2</v>
      </c>
      <c r="I82" s="16">
        <v>0.53464440964159288</v>
      </c>
      <c r="J82" s="2">
        <f t="shared" si="31"/>
        <v>1.5781362521520469E-2</v>
      </c>
      <c r="K82">
        <v>0.64806519167365817</v>
      </c>
      <c r="L82">
        <f t="shared" si="27"/>
        <v>-9.8338730721034939E-2</v>
      </c>
      <c r="M82" s="2">
        <v>0</v>
      </c>
      <c r="N82" s="2">
        <v>0</v>
      </c>
      <c r="O82" s="4">
        <v>0</v>
      </c>
      <c r="P82" s="4">
        <v>0.99999999580495169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0.2</v>
      </c>
      <c r="AG82">
        <v>0.13500000000000001</v>
      </c>
      <c r="AH82">
        <v>0.18</v>
      </c>
      <c r="AI82">
        <v>0.25</v>
      </c>
      <c r="AJ82">
        <v>0.65</v>
      </c>
      <c r="AK82">
        <v>1</v>
      </c>
      <c r="AL82">
        <v>1</v>
      </c>
      <c r="AM82">
        <v>1</v>
      </c>
      <c r="AN82">
        <v>1</v>
      </c>
      <c r="AO82">
        <v>1</v>
      </c>
      <c r="AP82">
        <f t="shared" si="24"/>
        <v>1</v>
      </c>
      <c r="AQ82">
        <f t="shared" si="25"/>
        <v>1</v>
      </c>
      <c r="AR82">
        <f t="shared" si="26"/>
        <v>1</v>
      </c>
      <c r="AS82" cm="1">
        <f t="array" ref="AS82">_xlfn.IFS(AF82&gt;'“主要目标”数据分表'!$C$2,1,AF82='“主要目标”数据分表'!$C$2,0,AF82&lt;'“主要目标”数据分表'!$C$2,-1)</f>
        <v>0</v>
      </c>
      <c r="AT82" cm="1">
        <f t="array" ref="AT82">_xlfn.IFS(AG82&gt;'“主要目标”数据分表'!$D$2,1,AG82='“主要目标”数据分表'!$D$2,0,AG82&lt;'“主要目标”数据分表'!$D$2,-1)</f>
        <v>0</v>
      </c>
      <c r="AU82" cm="1">
        <f t="array" ref="AU82">_xlfn.IFS(AH82&gt;'“主要目标”数据分表'!$E$2,1,AH82='“主要目标”数据分表'!$E$2,0,AH82&lt;'“主要目标”数据分表'!$E$2,-1)</f>
        <v>0</v>
      </c>
      <c r="AV82" cm="1">
        <f t="array" ref="AV82">_xlfn.IFS(AI82&gt;'“主要目标”数据分表'!$F$2,1,AI82='“主要目标”数据分表'!$F$2,0,AI82&lt;'“主要目标”数据分表'!$F$2,-1)</f>
        <v>0</v>
      </c>
      <c r="AW82" cm="1">
        <f t="array" ref="AW82">_xlfn.IFS(AJ82&gt;'“主要目标”数据分表'!$G$2,1,AJ82='“主要目标”数据分表'!$G$2,0,AJ82&lt;'“主要目标”数据分表'!$G$2,-1)</f>
        <v>0</v>
      </c>
    </row>
    <row r="83" spans="1:49" ht="14.4" x14ac:dyDescent="0.25">
      <c r="A83" s="2">
        <v>11</v>
      </c>
      <c r="B83" s="2" t="s">
        <v>21</v>
      </c>
      <c r="C83" s="2">
        <v>2020</v>
      </c>
      <c r="D83" s="2">
        <v>24660</v>
      </c>
      <c r="E83" s="19">
        <v>40702.233611367999</v>
      </c>
      <c r="F83" s="2">
        <v>64613.34</v>
      </c>
      <c r="G83" s="3">
        <v>0.3816549337954051</v>
      </c>
      <c r="H83" s="2">
        <f t="shared" si="30"/>
        <v>6.2691430434882012E-2</v>
      </c>
      <c r="I83" s="16">
        <v>0.48364119927943094</v>
      </c>
      <c r="J83" s="2">
        <f t="shared" si="31"/>
        <v>-9.5396509235648269E-2</v>
      </c>
      <c r="K83">
        <v>0.62993545313348609</v>
      </c>
      <c r="L83">
        <f t="shared" si="27"/>
        <v>-2.7975177147458261E-2</v>
      </c>
      <c r="M83" s="2">
        <v>0</v>
      </c>
      <c r="N83" s="2">
        <v>0</v>
      </c>
      <c r="O83" s="4">
        <v>0</v>
      </c>
      <c r="P83" s="4">
        <v>0.99999999580495169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0.2</v>
      </c>
      <c r="AG83">
        <v>0.13500000000000001</v>
      </c>
      <c r="AH83">
        <v>0.18</v>
      </c>
      <c r="AI83">
        <v>0.25</v>
      </c>
      <c r="AJ83">
        <v>0.65</v>
      </c>
      <c r="AK83">
        <v>1</v>
      </c>
      <c r="AL83">
        <v>1</v>
      </c>
      <c r="AM83">
        <v>1</v>
      </c>
      <c r="AN83">
        <v>1</v>
      </c>
      <c r="AO83">
        <v>1</v>
      </c>
      <c r="AP83">
        <f t="shared" si="24"/>
        <v>1</v>
      </c>
      <c r="AQ83">
        <f t="shared" si="25"/>
        <v>1</v>
      </c>
      <c r="AR83">
        <f t="shared" si="26"/>
        <v>1</v>
      </c>
      <c r="AS83" cm="1">
        <f t="array" ref="AS83">_xlfn.IFS(AF83&gt;'“主要目标”数据分表'!$C$2,1,AF83='“主要目标”数据分表'!$C$2,0,AF83&lt;'“主要目标”数据分表'!$C$2,-1)</f>
        <v>0</v>
      </c>
      <c r="AT83" cm="1">
        <f t="array" ref="AT83">_xlfn.IFS(AG83&gt;'“主要目标”数据分表'!$D$2,1,AG83='“主要目标”数据分表'!$D$2,0,AG83&lt;'“主要目标”数据分表'!$D$2,-1)</f>
        <v>0</v>
      </c>
      <c r="AU83" cm="1">
        <f t="array" ref="AU83">_xlfn.IFS(AH83&gt;'“主要目标”数据分表'!$E$2,1,AH83='“主要目标”数据分表'!$E$2,0,AH83&lt;'“主要目标”数据分表'!$E$2,-1)</f>
        <v>0</v>
      </c>
      <c r="AV83" cm="1">
        <f t="array" ref="AV83">_xlfn.IFS(AI83&gt;'“主要目标”数据分表'!$F$2,1,AI83='“主要目标”数据分表'!$F$2,0,AI83&lt;'“主要目标”数据分表'!$F$2,-1)</f>
        <v>0</v>
      </c>
      <c r="AW83" cm="1">
        <f t="array" ref="AW83">_xlfn.IFS(AJ83&gt;'“主要目标”数据分表'!$G$2,1,AJ83='“主要目标”数据分表'!$G$2,0,AJ83&lt;'“主要目标”数据分表'!$G$2,-1)</f>
        <v>0</v>
      </c>
    </row>
    <row r="84" spans="1:49" ht="14.4" x14ac:dyDescent="0.25">
      <c r="A84" s="2">
        <v>11</v>
      </c>
      <c r="B84" s="2" t="s">
        <v>21</v>
      </c>
      <c r="C84" s="2">
        <v>2021</v>
      </c>
      <c r="D84" s="2">
        <v>26623.7</v>
      </c>
      <c r="E84" s="19">
        <v>42584.715083374802</v>
      </c>
      <c r="F84" s="2">
        <v>73515.757700000002</v>
      </c>
      <c r="G84" s="3">
        <v>0.36214956946570381</v>
      </c>
      <c r="H84" s="2">
        <f t="shared" si="30"/>
        <v>-5.1107329167026018E-2</v>
      </c>
      <c r="I84" s="16">
        <v>0.51196254197261071</v>
      </c>
      <c r="J84" s="2">
        <f t="shared" si="31"/>
        <v>5.8558581724169209E-2</v>
      </c>
      <c r="K84">
        <v>0.57925969092439622</v>
      </c>
      <c r="L84">
        <f t="shared" si="27"/>
        <v>-8.0445959910675879E-2</v>
      </c>
      <c r="M84" s="2">
        <v>0</v>
      </c>
      <c r="N84" s="2">
        <v>0</v>
      </c>
      <c r="O84" s="4">
        <v>0</v>
      </c>
      <c r="P84" s="4">
        <v>0.99999999580495169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0.2</v>
      </c>
      <c r="AG84">
        <v>0.13500000000000001</v>
      </c>
      <c r="AH84">
        <v>0.18</v>
      </c>
      <c r="AI84">
        <v>0.25</v>
      </c>
      <c r="AJ84">
        <v>0.65</v>
      </c>
      <c r="AK84">
        <v>1</v>
      </c>
      <c r="AL84">
        <v>1</v>
      </c>
      <c r="AM84">
        <v>1</v>
      </c>
      <c r="AN84">
        <v>1</v>
      </c>
      <c r="AO84">
        <v>1</v>
      </c>
      <c r="AP84">
        <f t="shared" si="24"/>
        <v>1</v>
      </c>
      <c r="AQ84">
        <f t="shared" si="25"/>
        <v>1</v>
      </c>
      <c r="AR84">
        <f t="shared" si="26"/>
        <v>1</v>
      </c>
      <c r="AS84" cm="1">
        <f t="array" ref="AS84">_xlfn.IFS(AF84&gt;'“主要目标”数据分表'!$C$2,1,AF84='“主要目标”数据分表'!$C$2,0,AF84&lt;'“主要目标”数据分表'!$C$2,-1)</f>
        <v>0</v>
      </c>
      <c r="AT84" cm="1">
        <f t="array" ref="AT84">_xlfn.IFS(AG84&gt;'“主要目标”数据分表'!$D$2,1,AG84='“主要目标”数据分表'!$D$2,0,AG84&lt;'“主要目标”数据分表'!$D$2,-1)</f>
        <v>0</v>
      </c>
      <c r="AU84" cm="1">
        <f t="array" ref="AU84">_xlfn.IFS(AH84&gt;'“主要目标”数据分表'!$E$2,1,AH84='“主要目标”数据分表'!$E$2,0,AH84&lt;'“主要目标”数据分表'!$E$2,-1)</f>
        <v>0</v>
      </c>
      <c r="AV84" cm="1">
        <f t="array" ref="AV84">_xlfn.IFS(AI84&gt;'“主要目标”数据分表'!$F$2,1,AI84='“主要目标”数据分表'!$F$2,0,AI84&lt;'“主要目标”数据分表'!$F$2,-1)</f>
        <v>0</v>
      </c>
      <c r="AW84" cm="1">
        <f t="array" ref="AW84">_xlfn.IFS(AJ84&gt;'“主要目标”数据分表'!$G$2,1,AJ84='“主要目标”数据分表'!$G$2,0,AJ84&lt;'“主要目标”数据分表'!$G$2,-1)</f>
        <v>0</v>
      </c>
    </row>
    <row r="85" spans="1:49" ht="14.4" x14ac:dyDescent="0.25">
      <c r="A85" s="2">
        <v>11</v>
      </c>
      <c r="B85" s="2" t="s">
        <v>21</v>
      </c>
      <c r="C85" s="2">
        <v>2022</v>
      </c>
      <c r="D85" s="2">
        <v>29112.3</v>
      </c>
      <c r="E85" s="19">
        <v>41497.248560751497</v>
      </c>
      <c r="F85" s="2">
        <v>77715.399999999994</v>
      </c>
      <c r="G85" s="3">
        <v>0.37460143034713844</v>
      </c>
      <c r="H85" s="2">
        <f t="shared" si="30"/>
        <v>3.4383199460392679E-2</v>
      </c>
      <c r="I85" s="16">
        <v>0.26993341642056229</v>
      </c>
      <c r="J85" s="2">
        <f t="shared" si="31"/>
        <v>-0.47274772216635458</v>
      </c>
      <c r="K85">
        <v>0.53396429228636155</v>
      </c>
      <c r="L85">
        <f t="shared" si="27"/>
        <v>-7.819532300918644E-2</v>
      </c>
      <c r="M85" s="2">
        <v>1</v>
      </c>
      <c r="N85" s="2">
        <v>0</v>
      </c>
      <c r="O85" s="4">
        <v>0</v>
      </c>
      <c r="P85" s="4">
        <v>0.99999999580495169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0.2</v>
      </c>
      <c r="AG85">
        <v>0.13500000000000001</v>
      </c>
      <c r="AH85">
        <v>0.18</v>
      </c>
      <c r="AI85">
        <v>0.25</v>
      </c>
      <c r="AJ85">
        <v>0.65</v>
      </c>
      <c r="AK85">
        <v>1</v>
      </c>
      <c r="AL85">
        <v>1</v>
      </c>
      <c r="AM85">
        <v>1</v>
      </c>
      <c r="AN85">
        <v>1</v>
      </c>
      <c r="AO85">
        <v>1</v>
      </c>
      <c r="AP85">
        <f t="shared" si="24"/>
        <v>1</v>
      </c>
      <c r="AQ85">
        <f t="shared" si="25"/>
        <v>1</v>
      </c>
      <c r="AR85">
        <f t="shared" si="26"/>
        <v>1</v>
      </c>
      <c r="AS85" cm="1">
        <f t="array" ref="AS85">_xlfn.IFS(AF85&gt;'“主要目标”数据分表'!$C$2,1,AF85='“主要目标”数据分表'!$C$2,0,AF85&lt;'“主要目标”数据分表'!$C$2,-1)</f>
        <v>0</v>
      </c>
      <c r="AT85" cm="1">
        <f t="array" ref="AT85">_xlfn.IFS(AG85&gt;'“主要目标”数据分表'!$D$2,1,AG85='“主要目标”数据分表'!$D$2,0,AG85&lt;'“主要目标”数据分表'!$D$2,-1)</f>
        <v>0</v>
      </c>
      <c r="AU85" cm="1">
        <f t="array" ref="AU85">_xlfn.IFS(AH85&gt;'“主要目标”数据分表'!$E$2,1,AH85='“主要目标”数据分表'!$E$2,0,AH85&lt;'“主要目标”数据分表'!$E$2,-1)</f>
        <v>0</v>
      </c>
      <c r="AV85" cm="1">
        <f t="array" ref="AV85">_xlfn.IFS(AI85&gt;'“主要目标”数据分表'!$F$2,1,AI85='“主要目标”数据分表'!$F$2,0,AI85&lt;'“主要目标”数据分表'!$F$2,-1)</f>
        <v>0</v>
      </c>
      <c r="AW85" cm="1">
        <f t="array" ref="AW85">_xlfn.IFS(AJ85&gt;'“主要目标”数据分表'!$G$2,1,AJ85='“主要目标”数据分表'!$G$2,0,AJ85&lt;'“主要目标”数据分表'!$G$2,-1)</f>
        <v>0</v>
      </c>
    </row>
    <row r="86" spans="1:49" ht="14.4" x14ac:dyDescent="0.25">
      <c r="A86" s="2">
        <v>12</v>
      </c>
      <c r="B86" s="2" t="s">
        <v>22</v>
      </c>
      <c r="C86" s="2">
        <v>2016</v>
      </c>
      <c r="D86" s="2">
        <v>12663</v>
      </c>
      <c r="E86" s="19">
        <v>44756.212596559002</v>
      </c>
      <c r="F86" s="2">
        <v>24407.62</v>
      </c>
      <c r="G86" s="3">
        <v>0.51881338696685708</v>
      </c>
      <c r="H86" s="2"/>
      <c r="I86" s="16">
        <v>0.25142082076700628</v>
      </c>
      <c r="K86">
        <v>1.8336983530782192</v>
      </c>
      <c r="L86"/>
      <c r="M86" s="2">
        <v>0</v>
      </c>
      <c r="N86" s="2">
        <v>0</v>
      </c>
      <c r="O86" s="4">
        <v>1</v>
      </c>
      <c r="P86">
        <v>0.82532823278057965</v>
      </c>
      <c r="Q86">
        <v>-2.1994134897360709E-2</v>
      </c>
      <c r="R86">
        <v>-0.1951188148768794</v>
      </c>
      <c r="S86">
        <v>1.1000000000000001</v>
      </c>
      <c r="T86">
        <v>-0.18999999999999989</v>
      </c>
      <c r="U86">
        <v>-4.2622950819672129E-2</v>
      </c>
      <c r="V86">
        <v>-0.22906403940886699</v>
      </c>
      <c r="W86">
        <v>-0.1136363636363636</v>
      </c>
      <c r="X86">
        <v>0.27943466104134984</v>
      </c>
      <c r="Y86">
        <v>-1.5806111696522653E-2</v>
      </c>
      <c r="Z86">
        <v>-0.13992379984336034</v>
      </c>
      <c r="AA86">
        <v>0.31428571428571433</v>
      </c>
      <c r="AB86">
        <v>-0.1104651162790697</v>
      </c>
      <c r="AC86">
        <v>-3.4451102317693619E-2</v>
      </c>
      <c r="AD86">
        <v>-0.24488176080027213</v>
      </c>
      <c r="AE86">
        <v>-0.13257575757575754</v>
      </c>
      <c r="AF86">
        <v>0.155</v>
      </c>
      <c r="AG86">
        <v>0.14000000000000001</v>
      </c>
      <c r="AH86">
        <v>0.18</v>
      </c>
      <c r="AI86">
        <v>0.22</v>
      </c>
      <c r="AJ86">
        <v>0.65</v>
      </c>
      <c r="AK86">
        <v>0.77499999999999991</v>
      </c>
      <c r="AL86">
        <v>1.037037037037037</v>
      </c>
      <c r="AM86">
        <v>1</v>
      </c>
      <c r="AN86">
        <v>0.88</v>
      </c>
      <c r="AO86">
        <v>1</v>
      </c>
      <c r="AP86">
        <f t="shared" si="24"/>
        <v>0.8274999999999999</v>
      </c>
      <c r="AQ86">
        <f t="shared" si="25"/>
        <v>1.037037037037037</v>
      </c>
      <c r="AR86">
        <f t="shared" si="26"/>
        <v>1</v>
      </c>
      <c r="AS86" cm="1">
        <f t="array" ref="AS86">_xlfn.IFS(AF86&gt;'“主要目标”数据分表'!$C$2,1,AF86='“主要目标”数据分表'!$C$2,0,AF86&lt;'“主要目标”数据分表'!$C$2,-1)</f>
        <v>-1</v>
      </c>
      <c r="AT86" cm="1">
        <f t="array" ref="AT86">_xlfn.IFS(AG86&gt;'“主要目标”数据分表'!$D$2,1,AG86='“主要目标”数据分表'!$D$2,0,AG86&lt;'“主要目标”数据分表'!$D$2,-1)</f>
        <v>1</v>
      </c>
      <c r="AU86" cm="1">
        <f t="array" ref="AU86">_xlfn.IFS(AH86&gt;'“主要目标”数据分表'!$E$2,1,AH86='“主要目标”数据分表'!$E$2,0,AH86&lt;'“主要目标”数据分表'!$E$2,-1)</f>
        <v>0</v>
      </c>
      <c r="AV86" cm="1">
        <f t="array" ref="AV86">_xlfn.IFS(AI86&gt;'“主要目标”数据分表'!$F$2,1,AI86='“主要目标”数据分表'!$F$2,0,AI86&lt;'“主要目标”数据分表'!$F$2,-1)</f>
        <v>-1</v>
      </c>
      <c r="AW86" cm="1">
        <f t="array" ref="AW86">_xlfn.IFS(AJ86&gt;'“主要目标”数据分表'!$G$2,1,AJ86='“主要目标”数据分表'!$G$2,0,AJ86&lt;'“主要目标”数据分表'!$G$2,-1)</f>
        <v>0</v>
      </c>
    </row>
    <row r="87" spans="1:49" ht="14.4" x14ac:dyDescent="0.25">
      <c r="A87" s="2">
        <v>12</v>
      </c>
      <c r="B87" s="2" t="s">
        <v>22</v>
      </c>
      <c r="C87" s="2">
        <v>2017</v>
      </c>
      <c r="D87" s="2">
        <v>13019</v>
      </c>
      <c r="E87" s="19">
        <v>45381.296781903598</v>
      </c>
      <c r="F87" s="2">
        <v>27018</v>
      </c>
      <c r="G87" s="3">
        <v>0.48186394255681397</v>
      </c>
      <c r="H87" s="2">
        <f>(G87-G86)/G86</f>
        <v>-7.1219142254715026E-2</v>
      </c>
      <c r="I87" s="16">
        <v>0.26613754641171927</v>
      </c>
      <c r="J87" s="2">
        <f>(I87-I86)/I86</f>
        <v>5.853423594679575E-2</v>
      </c>
      <c r="K87">
        <v>1.6796689903732178</v>
      </c>
      <c r="L87">
        <f t="shared" si="27"/>
        <v>-8.3999291620910882E-2</v>
      </c>
      <c r="M87" s="2">
        <v>0</v>
      </c>
      <c r="N87" s="2">
        <v>0</v>
      </c>
      <c r="O87" s="4">
        <v>1</v>
      </c>
      <c r="P87">
        <v>0.82532823278057965</v>
      </c>
      <c r="Q87">
        <v>-2.1994134897360709E-2</v>
      </c>
      <c r="R87">
        <v>-0.1951188148768794</v>
      </c>
      <c r="S87">
        <v>1.1000000000000001</v>
      </c>
      <c r="T87">
        <v>-0.18999999999999989</v>
      </c>
      <c r="U87">
        <v>-4.2622950819672129E-2</v>
      </c>
      <c r="V87">
        <v>-0.22906403940886699</v>
      </c>
      <c r="W87">
        <v>-0.1136363636363636</v>
      </c>
      <c r="X87">
        <v>0.27943466104134984</v>
      </c>
      <c r="Y87">
        <v>-1.5806111696522653E-2</v>
      </c>
      <c r="Z87">
        <v>-0.13992379984336034</v>
      </c>
      <c r="AA87">
        <v>0.31428571428571433</v>
      </c>
      <c r="AB87">
        <v>-0.1104651162790697</v>
      </c>
      <c r="AC87">
        <v>-3.4451102317693619E-2</v>
      </c>
      <c r="AD87">
        <v>-0.24488176080027213</v>
      </c>
      <c r="AE87">
        <v>-0.13257575757575754</v>
      </c>
      <c r="AF87">
        <v>0.155</v>
      </c>
      <c r="AG87">
        <v>0.14000000000000001</v>
      </c>
      <c r="AH87">
        <v>0.18</v>
      </c>
      <c r="AI87">
        <v>0.22</v>
      </c>
      <c r="AJ87">
        <v>0.65</v>
      </c>
      <c r="AK87">
        <v>0.77499999999999991</v>
      </c>
      <c r="AL87">
        <v>1.037037037037037</v>
      </c>
      <c r="AM87">
        <v>1</v>
      </c>
      <c r="AN87">
        <v>0.88</v>
      </c>
      <c r="AO87">
        <v>1</v>
      </c>
      <c r="AP87">
        <f t="shared" si="24"/>
        <v>0.8274999999999999</v>
      </c>
      <c r="AQ87">
        <f t="shared" si="25"/>
        <v>1.037037037037037</v>
      </c>
      <c r="AR87">
        <f t="shared" si="26"/>
        <v>1</v>
      </c>
      <c r="AS87" cm="1">
        <f t="array" ref="AS87">_xlfn.IFS(AF87&gt;'“主要目标”数据分表'!$C$2,1,AF87='“主要目标”数据分表'!$C$2,0,AF87&lt;'“主要目标”数据分表'!$C$2,-1)</f>
        <v>-1</v>
      </c>
      <c r="AT87" cm="1">
        <f t="array" ref="AT87">_xlfn.IFS(AG87&gt;'“主要目标”数据分表'!$D$2,1,AG87='“主要目标”数据分表'!$D$2,0,AG87&lt;'“主要目标”数据分表'!$D$2,-1)</f>
        <v>1</v>
      </c>
      <c r="AU87" cm="1">
        <f t="array" ref="AU87">_xlfn.IFS(AH87&gt;'“主要目标”数据分表'!$E$2,1,AH87='“主要目标”数据分表'!$E$2,0,AH87&lt;'“主要目标”数据分表'!$E$2,-1)</f>
        <v>0</v>
      </c>
      <c r="AV87" cm="1">
        <f t="array" ref="AV87">_xlfn.IFS(AI87&gt;'“主要目标”数据分表'!$F$2,1,AI87='“主要目标”数据分表'!$F$2,0,AI87&lt;'“主要目标”数据分表'!$F$2,-1)</f>
        <v>-1</v>
      </c>
      <c r="AW87" cm="1">
        <f t="array" ref="AW87">_xlfn.IFS(AJ87&gt;'“主要目标”数据分表'!$G$2,1,AJ87='“主要目标”数据分表'!$G$2,0,AJ87&lt;'“主要目标”数据分表'!$G$2,-1)</f>
        <v>0</v>
      </c>
    </row>
    <row r="88" spans="1:49" ht="14.4" x14ac:dyDescent="0.25">
      <c r="A88" s="2">
        <v>12</v>
      </c>
      <c r="B88" s="2" t="s">
        <v>22</v>
      </c>
      <c r="C88" s="2">
        <v>2018</v>
      </c>
      <c r="D88" s="2">
        <v>13295</v>
      </c>
      <c r="E88" s="19">
        <v>49219.239781651799</v>
      </c>
      <c r="F88" s="2">
        <v>30006.82</v>
      </c>
      <c r="G88" s="3">
        <v>0.44306594300895596</v>
      </c>
      <c r="H88" s="2">
        <f t="shared" ref="H88:H92" si="32">(G88-G87)/G87</f>
        <v>-8.0516502940627371E-2</v>
      </c>
      <c r="I88" s="16">
        <v>0.29855706434912865</v>
      </c>
      <c r="J88" s="2">
        <f t="shared" ref="J88:J92" si="33">(I88-I87)/I87</f>
        <v>0.12181489750136885</v>
      </c>
      <c r="K88">
        <v>1.6402684383634054</v>
      </c>
      <c r="L88">
        <f t="shared" si="27"/>
        <v>-2.3457331316843393E-2</v>
      </c>
      <c r="M88" s="2">
        <v>0</v>
      </c>
      <c r="N88" s="2">
        <v>0</v>
      </c>
      <c r="O88" s="4">
        <v>1</v>
      </c>
      <c r="P88">
        <v>0.82532823278057965</v>
      </c>
      <c r="Q88">
        <v>-2.1994134897360709E-2</v>
      </c>
      <c r="R88">
        <v>-0.1951188148768794</v>
      </c>
      <c r="S88">
        <v>1.1000000000000001</v>
      </c>
      <c r="T88">
        <v>-0.18999999999999989</v>
      </c>
      <c r="U88">
        <v>-4.2622950819672129E-2</v>
      </c>
      <c r="V88">
        <v>-0.22906403940886699</v>
      </c>
      <c r="W88">
        <v>-0.1136363636363636</v>
      </c>
      <c r="X88">
        <v>0.27943466104134984</v>
      </c>
      <c r="Y88">
        <v>-1.5806111696522653E-2</v>
      </c>
      <c r="Z88">
        <v>-0.13992379984336034</v>
      </c>
      <c r="AA88">
        <v>0.31428571428571433</v>
      </c>
      <c r="AB88">
        <v>-0.1104651162790697</v>
      </c>
      <c r="AC88">
        <v>-3.4451102317693619E-2</v>
      </c>
      <c r="AD88">
        <v>-0.24488176080027213</v>
      </c>
      <c r="AE88">
        <v>-0.13257575757575754</v>
      </c>
      <c r="AF88">
        <v>0.155</v>
      </c>
      <c r="AG88">
        <v>0.14000000000000001</v>
      </c>
      <c r="AH88">
        <v>0.18</v>
      </c>
      <c r="AI88">
        <v>0.22</v>
      </c>
      <c r="AJ88">
        <v>0.65</v>
      </c>
      <c r="AK88">
        <v>0.77499999999999991</v>
      </c>
      <c r="AL88">
        <v>1.037037037037037</v>
      </c>
      <c r="AM88">
        <v>1</v>
      </c>
      <c r="AN88">
        <v>0.88</v>
      </c>
      <c r="AO88">
        <v>1</v>
      </c>
      <c r="AP88">
        <f t="shared" si="24"/>
        <v>0.8274999999999999</v>
      </c>
      <c r="AQ88">
        <f t="shared" si="25"/>
        <v>1.037037037037037</v>
      </c>
      <c r="AR88">
        <f t="shared" si="26"/>
        <v>1</v>
      </c>
      <c r="AS88" cm="1">
        <f t="array" ref="AS88">_xlfn.IFS(AF88&gt;'“主要目标”数据分表'!$C$2,1,AF88='“主要目标”数据分表'!$C$2,0,AF88&lt;'“主要目标”数据分表'!$C$2,-1)</f>
        <v>-1</v>
      </c>
      <c r="AT88" cm="1">
        <f t="array" ref="AT88">_xlfn.IFS(AG88&gt;'“主要目标”数据分表'!$D$2,1,AG88='“主要目标”数据分表'!$D$2,0,AG88&lt;'“主要目标”数据分表'!$D$2,-1)</f>
        <v>1</v>
      </c>
      <c r="AU88" cm="1">
        <f t="array" ref="AU88">_xlfn.IFS(AH88&gt;'“主要目标”数据分表'!$E$2,1,AH88='“主要目标”数据分表'!$E$2,0,AH88&lt;'“主要目标”数据分表'!$E$2,-1)</f>
        <v>0</v>
      </c>
      <c r="AV88" cm="1">
        <f t="array" ref="AV88">_xlfn.IFS(AI88&gt;'“主要目标”数据分表'!$F$2,1,AI88='“主要目标”数据分表'!$F$2,0,AI88&lt;'“主要目标”数据分表'!$F$2,-1)</f>
        <v>-1</v>
      </c>
      <c r="AW88" cm="1">
        <f t="array" ref="AW88">_xlfn.IFS(AJ88&gt;'“主要目标”数据分表'!$G$2,1,AJ88='“主要目标”数据分表'!$G$2,0,AJ88&lt;'“主要目标”数据分表'!$G$2,-1)</f>
        <v>0</v>
      </c>
    </row>
    <row r="89" spans="1:49" ht="14.4" x14ac:dyDescent="0.25">
      <c r="A89" s="2">
        <v>12</v>
      </c>
      <c r="B89" s="2" t="s">
        <v>22</v>
      </c>
      <c r="C89" s="2">
        <v>2019</v>
      </c>
      <c r="D89" s="2">
        <v>13870</v>
      </c>
      <c r="E89" s="19">
        <v>49311.357396076601</v>
      </c>
      <c r="F89" s="2">
        <v>37113.980000000003</v>
      </c>
      <c r="G89" s="3">
        <v>0.37371362489283011</v>
      </c>
      <c r="H89" s="2">
        <f t="shared" si="32"/>
        <v>-0.1565282080702014</v>
      </c>
      <c r="I89" s="16">
        <v>0.30629165087946875</v>
      </c>
      <c r="J89" s="2">
        <f t="shared" si="33"/>
        <v>2.5906560098324687E-2</v>
      </c>
      <c r="K89">
        <v>1.3286464398611142</v>
      </c>
      <c r="L89">
        <f t="shared" si="27"/>
        <v>-0.18998231704879676</v>
      </c>
      <c r="M89" s="2">
        <v>0</v>
      </c>
      <c r="N89" s="2">
        <v>0</v>
      </c>
      <c r="O89" s="4">
        <v>1</v>
      </c>
      <c r="P89">
        <v>0.82532823278057965</v>
      </c>
      <c r="Q89">
        <v>-2.1994134897360709E-2</v>
      </c>
      <c r="R89">
        <v>-0.1951188148768794</v>
      </c>
      <c r="S89">
        <v>1.1000000000000001</v>
      </c>
      <c r="T89">
        <v>-0.18999999999999989</v>
      </c>
      <c r="U89">
        <v>-4.2622950819672129E-2</v>
      </c>
      <c r="V89">
        <v>-0.22906403940886699</v>
      </c>
      <c r="W89">
        <v>-0.1136363636363636</v>
      </c>
      <c r="X89">
        <v>0.27943466104134984</v>
      </c>
      <c r="Y89">
        <v>-1.5806111696522653E-2</v>
      </c>
      <c r="Z89">
        <v>-0.13992379984336034</v>
      </c>
      <c r="AA89">
        <v>0.31428571428571433</v>
      </c>
      <c r="AB89">
        <v>-0.1104651162790697</v>
      </c>
      <c r="AC89">
        <v>-3.4451102317693619E-2</v>
      </c>
      <c r="AD89">
        <v>-0.24488176080027213</v>
      </c>
      <c r="AE89">
        <v>-0.13257575757575754</v>
      </c>
      <c r="AF89">
        <v>0.155</v>
      </c>
      <c r="AG89">
        <v>0.14000000000000001</v>
      </c>
      <c r="AH89">
        <v>0.18</v>
      </c>
      <c r="AI89">
        <v>0.22</v>
      </c>
      <c r="AJ89">
        <v>0.65</v>
      </c>
      <c r="AK89">
        <v>0.77499999999999991</v>
      </c>
      <c r="AL89">
        <v>1.037037037037037</v>
      </c>
      <c r="AM89">
        <v>1</v>
      </c>
      <c r="AN89">
        <v>0.88</v>
      </c>
      <c r="AO89">
        <v>1</v>
      </c>
      <c r="AP89">
        <f t="shared" si="24"/>
        <v>0.8274999999999999</v>
      </c>
      <c r="AQ89">
        <f t="shared" si="25"/>
        <v>1.037037037037037</v>
      </c>
      <c r="AR89">
        <f t="shared" si="26"/>
        <v>1</v>
      </c>
      <c r="AS89" cm="1">
        <f t="array" ref="AS89">_xlfn.IFS(AF89&gt;'“主要目标”数据分表'!$C$2,1,AF89='“主要目标”数据分表'!$C$2,0,AF89&lt;'“主要目标”数据分表'!$C$2,-1)</f>
        <v>-1</v>
      </c>
      <c r="AT89" cm="1">
        <f t="array" ref="AT89">_xlfn.IFS(AG89&gt;'“主要目标”数据分表'!$D$2,1,AG89='“主要目标”数据分表'!$D$2,0,AG89&lt;'“主要目标”数据分表'!$D$2,-1)</f>
        <v>1</v>
      </c>
      <c r="AU89" cm="1">
        <f t="array" ref="AU89">_xlfn.IFS(AH89&gt;'“主要目标”数据分表'!$E$2,1,AH89='“主要目标”数据分表'!$E$2,0,AH89&lt;'“主要目标”数据分表'!$E$2,-1)</f>
        <v>0</v>
      </c>
      <c r="AV89" cm="1">
        <f t="array" ref="AV89">_xlfn.IFS(AI89&gt;'“主要目标”数据分表'!$F$2,1,AI89='“主要目标”数据分表'!$F$2,0,AI89&lt;'“主要目标”数据分表'!$F$2,-1)</f>
        <v>-1</v>
      </c>
      <c r="AW89" cm="1">
        <f t="array" ref="AW89">_xlfn.IFS(AJ89&gt;'“主要目标”数据分表'!$G$2,1,AJ89='“主要目标”数据分表'!$G$2,0,AJ89&lt;'“主要目标”数据分表'!$G$2,-1)</f>
        <v>0</v>
      </c>
    </row>
    <row r="90" spans="1:49" ht="14.4" x14ac:dyDescent="0.25">
      <c r="A90" s="2">
        <v>12</v>
      </c>
      <c r="B90" s="2" t="s">
        <v>22</v>
      </c>
      <c r="C90" s="2">
        <v>2020</v>
      </c>
      <c r="D90" s="2">
        <v>14697.9</v>
      </c>
      <c r="E90" s="19">
        <v>49192.136507387295</v>
      </c>
      <c r="F90" s="2">
        <v>38680.629999999997</v>
      </c>
      <c r="G90" s="3">
        <v>0.37998088448921336</v>
      </c>
      <c r="H90" s="2">
        <f t="shared" si="32"/>
        <v>1.6770219705477714E-2</v>
      </c>
      <c r="I90" s="16">
        <v>0.31147149484683045</v>
      </c>
      <c r="J90" s="2">
        <f t="shared" si="33"/>
        <v>1.6911476210626681E-2</v>
      </c>
      <c r="K90">
        <v>1.2717511712551552</v>
      </c>
      <c r="L90">
        <f t="shared" si="27"/>
        <v>-4.2821977991305431E-2</v>
      </c>
      <c r="M90" s="2">
        <v>0</v>
      </c>
      <c r="N90" s="2">
        <v>0</v>
      </c>
      <c r="O90" s="4">
        <v>1</v>
      </c>
      <c r="P90">
        <v>0.82532823278057965</v>
      </c>
      <c r="Q90">
        <v>-2.1994134897360709E-2</v>
      </c>
      <c r="R90">
        <v>-0.1951188148768794</v>
      </c>
      <c r="S90">
        <v>1.1000000000000001</v>
      </c>
      <c r="T90">
        <v>-0.18999999999999989</v>
      </c>
      <c r="U90">
        <v>-4.2622950819672129E-2</v>
      </c>
      <c r="V90">
        <v>-0.22906403940886699</v>
      </c>
      <c r="W90">
        <v>-0.1136363636363636</v>
      </c>
      <c r="X90">
        <v>0.27943466104134984</v>
      </c>
      <c r="Y90">
        <v>-1.5806111696522653E-2</v>
      </c>
      <c r="Z90">
        <v>-0.13992379984336034</v>
      </c>
      <c r="AA90">
        <v>0.31428571428571433</v>
      </c>
      <c r="AB90">
        <v>-0.1104651162790697</v>
      </c>
      <c r="AC90">
        <v>-3.4451102317693619E-2</v>
      </c>
      <c r="AD90">
        <v>-0.24488176080027213</v>
      </c>
      <c r="AE90">
        <v>-0.13257575757575754</v>
      </c>
      <c r="AF90">
        <v>0.155</v>
      </c>
      <c r="AG90">
        <v>0.14000000000000001</v>
      </c>
      <c r="AH90">
        <v>0.18</v>
      </c>
      <c r="AI90">
        <v>0.22</v>
      </c>
      <c r="AJ90">
        <v>0.65</v>
      </c>
      <c r="AK90">
        <v>0.77499999999999991</v>
      </c>
      <c r="AL90">
        <v>1.037037037037037</v>
      </c>
      <c r="AM90">
        <v>1</v>
      </c>
      <c r="AN90">
        <v>0.88</v>
      </c>
      <c r="AO90">
        <v>1</v>
      </c>
      <c r="AP90">
        <f t="shared" si="24"/>
        <v>0.8274999999999999</v>
      </c>
      <c r="AQ90">
        <f t="shared" si="25"/>
        <v>1.037037037037037</v>
      </c>
      <c r="AR90">
        <f t="shared" si="26"/>
        <v>1</v>
      </c>
      <c r="AS90" cm="1">
        <f t="array" ref="AS90">_xlfn.IFS(AF90&gt;'“主要目标”数据分表'!$C$2,1,AF90='“主要目标”数据分表'!$C$2,0,AF90&lt;'“主要目标”数据分表'!$C$2,-1)</f>
        <v>-1</v>
      </c>
      <c r="AT90" cm="1">
        <f t="array" ref="AT90">_xlfn.IFS(AG90&gt;'“主要目标”数据分表'!$D$2,1,AG90='“主要目标”数据分表'!$D$2,0,AG90&lt;'“主要目标”数据分表'!$D$2,-1)</f>
        <v>1</v>
      </c>
      <c r="AU90" cm="1">
        <f t="array" ref="AU90">_xlfn.IFS(AH90&gt;'“主要目标”数据分表'!$E$2,1,AH90='“主要目标”数据分表'!$E$2,0,AH90&lt;'“主要目标”数据分表'!$E$2,-1)</f>
        <v>0</v>
      </c>
      <c r="AV90" cm="1">
        <f t="array" ref="AV90">_xlfn.IFS(AI90&gt;'“主要目标”数据分表'!$F$2,1,AI90='“主要目标”数据分表'!$F$2,0,AI90&lt;'“主要目标”数据分表'!$F$2,-1)</f>
        <v>-1</v>
      </c>
      <c r="AW90" cm="1">
        <f t="array" ref="AW90">_xlfn.IFS(AJ90&gt;'“主要目标”数据分表'!$G$2,1,AJ90='“主要目标”数据分表'!$G$2,0,AJ90&lt;'“主要目标”数据分表'!$G$2,-1)</f>
        <v>0</v>
      </c>
    </row>
    <row r="91" spans="1:49" ht="14.4" x14ac:dyDescent="0.25">
      <c r="A91" s="2">
        <v>12</v>
      </c>
      <c r="B91" s="2" t="s">
        <v>22</v>
      </c>
      <c r="C91" s="2">
        <v>2021</v>
      </c>
      <c r="D91" s="2">
        <v>15342.63</v>
      </c>
      <c r="E91" s="19">
        <v>51795.175423308101</v>
      </c>
      <c r="F91" s="2">
        <v>42959.175300000003</v>
      </c>
      <c r="G91" s="3">
        <v>0.35714442590800849</v>
      </c>
      <c r="H91" s="2">
        <f t="shared" si="32"/>
        <v>-6.0098966851721017E-2</v>
      </c>
      <c r="I91" s="16">
        <v>0.33921889199157801</v>
      </c>
      <c r="J91" s="2">
        <f t="shared" si="33"/>
        <v>8.9084868451261137E-2</v>
      </c>
      <c r="K91">
        <v>1.2056836534128741</v>
      </c>
      <c r="L91">
        <f t="shared" si="27"/>
        <v>-5.1950034987642904E-2</v>
      </c>
      <c r="M91" s="2">
        <v>0</v>
      </c>
      <c r="N91" s="2">
        <v>0</v>
      </c>
      <c r="O91" s="4">
        <v>1</v>
      </c>
      <c r="P91">
        <v>0.82532823278057965</v>
      </c>
      <c r="Q91">
        <v>-2.1994134897360709E-2</v>
      </c>
      <c r="R91">
        <v>-0.1951188148768794</v>
      </c>
      <c r="S91">
        <v>1.1000000000000001</v>
      </c>
      <c r="T91">
        <v>-0.18999999999999989</v>
      </c>
      <c r="U91">
        <v>-4.2622950819672129E-2</v>
      </c>
      <c r="V91">
        <v>-0.22906403940886699</v>
      </c>
      <c r="W91">
        <v>-0.1136363636363636</v>
      </c>
      <c r="X91">
        <v>0.27943466104134984</v>
      </c>
      <c r="Y91">
        <v>-1.5806111696522653E-2</v>
      </c>
      <c r="Z91">
        <v>-0.13992379984336034</v>
      </c>
      <c r="AA91">
        <v>0.31428571428571433</v>
      </c>
      <c r="AB91">
        <v>-0.1104651162790697</v>
      </c>
      <c r="AC91">
        <v>-3.4451102317693619E-2</v>
      </c>
      <c r="AD91">
        <v>-0.24488176080027213</v>
      </c>
      <c r="AE91">
        <v>-0.13257575757575754</v>
      </c>
      <c r="AF91">
        <v>0.155</v>
      </c>
      <c r="AG91">
        <v>0.14000000000000001</v>
      </c>
      <c r="AH91">
        <v>0.18</v>
      </c>
      <c r="AI91">
        <v>0.22</v>
      </c>
      <c r="AJ91">
        <v>0.65</v>
      </c>
      <c r="AK91">
        <v>0.77499999999999991</v>
      </c>
      <c r="AL91">
        <v>1.037037037037037</v>
      </c>
      <c r="AM91">
        <v>1</v>
      </c>
      <c r="AN91">
        <v>0.88</v>
      </c>
      <c r="AO91">
        <v>1</v>
      </c>
      <c r="AP91">
        <f t="shared" si="24"/>
        <v>0.8274999999999999</v>
      </c>
      <c r="AQ91">
        <f t="shared" si="25"/>
        <v>1.037037037037037</v>
      </c>
      <c r="AR91">
        <f t="shared" si="26"/>
        <v>1</v>
      </c>
      <c r="AS91" cm="1">
        <f t="array" ref="AS91">_xlfn.IFS(AF91&gt;'“主要目标”数据分表'!$C$2,1,AF91='“主要目标”数据分表'!$C$2,0,AF91&lt;'“主要目标”数据分表'!$C$2,-1)</f>
        <v>-1</v>
      </c>
      <c r="AT91" cm="1">
        <f t="array" ref="AT91">_xlfn.IFS(AG91&gt;'“主要目标”数据分表'!$D$2,1,AG91='“主要目标”数据分表'!$D$2,0,AG91&lt;'“主要目标”数据分表'!$D$2,-1)</f>
        <v>1</v>
      </c>
      <c r="AU91" cm="1">
        <f t="array" ref="AU91">_xlfn.IFS(AH91&gt;'“主要目标”数据分表'!$E$2,1,AH91='“主要目标”数据分表'!$E$2,0,AH91&lt;'“主要目标”数据分表'!$E$2,-1)</f>
        <v>0</v>
      </c>
      <c r="AV91" cm="1">
        <f t="array" ref="AV91">_xlfn.IFS(AI91&gt;'“主要目标”数据分表'!$F$2,1,AI91='“主要目标”数据分表'!$F$2,0,AI91&lt;'“主要目标”数据分表'!$F$2,-1)</f>
        <v>-1</v>
      </c>
      <c r="AW91" cm="1">
        <f t="array" ref="AW91">_xlfn.IFS(AJ91&gt;'“主要目标”数据分表'!$G$2,1,AJ91='“主要目标”数据分表'!$G$2,0,AJ91&lt;'“主要目标”数据分表'!$G$2,-1)</f>
        <v>0</v>
      </c>
    </row>
    <row r="92" spans="1:49" ht="14.4" x14ac:dyDescent="0.25">
      <c r="A92" s="2">
        <v>12</v>
      </c>
      <c r="B92" s="2" t="s">
        <v>22</v>
      </c>
      <c r="C92" s="2">
        <v>2022</v>
      </c>
      <c r="D92" s="2">
        <v>15882.66</v>
      </c>
      <c r="E92" s="19">
        <v>52091.233061131599</v>
      </c>
      <c r="F92" s="2">
        <v>45045</v>
      </c>
      <c r="G92" s="3">
        <v>0.35259540459540462</v>
      </c>
      <c r="H92" s="2">
        <f t="shared" si="32"/>
        <v>-1.2737203726583117E-2</v>
      </c>
      <c r="I92" s="16">
        <v>0.36818313803960484</v>
      </c>
      <c r="J92" s="2">
        <f t="shared" si="33"/>
        <v>8.5385120734212949E-2</v>
      </c>
      <c r="K92">
        <v>1.1564265303836518</v>
      </c>
      <c r="L92">
        <f t="shared" si="27"/>
        <v>-4.0854102060513424E-2</v>
      </c>
      <c r="M92" s="2">
        <v>1</v>
      </c>
      <c r="N92" s="2">
        <v>0</v>
      </c>
      <c r="O92" s="4">
        <v>1</v>
      </c>
      <c r="P92">
        <v>0.82532823278057965</v>
      </c>
      <c r="Q92">
        <v>-2.1994134897360709E-2</v>
      </c>
      <c r="R92">
        <v>-0.1951188148768794</v>
      </c>
      <c r="S92">
        <v>1.1000000000000001</v>
      </c>
      <c r="T92">
        <v>-0.18999999999999989</v>
      </c>
      <c r="U92">
        <v>-4.2622950819672129E-2</v>
      </c>
      <c r="V92">
        <v>-0.22906403940886699</v>
      </c>
      <c r="W92">
        <v>-0.1136363636363636</v>
      </c>
      <c r="X92">
        <v>0.27943466104134984</v>
      </c>
      <c r="Y92">
        <v>-1.5806111696522653E-2</v>
      </c>
      <c r="Z92">
        <v>-0.13992379984336034</v>
      </c>
      <c r="AA92">
        <v>0.31428571428571433</v>
      </c>
      <c r="AB92">
        <v>-0.1104651162790697</v>
      </c>
      <c r="AC92">
        <v>-3.4451102317693619E-2</v>
      </c>
      <c r="AD92">
        <v>-0.24488176080027213</v>
      </c>
      <c r="AE92">
        <v>-0.13257575757575754</v>
      </c>
      <c r="AF92">
        <v>0.155</v>
      </c>
      <c r="AG92">
        <v>0.14000000000000001</v>
      </c>
      <c r="AH92">
        <v>0.18</v>
      </c>
      <c r="AI92">
        <v>0.22</v>
      </c>
      <c r="AJ92">
        <v>0.65</v>
      </c>
      <c r="AK92">
        <v>0.77499999999999991</v>
      </c>
      <c r="AL92">
        <v>1.037037037037037</v>
      </c>
      <c r="AM92">
        <v>1</v>
      </c>
      <c r="AN92">
        <v>0.88</v>
      </c>
      <c r="AO92">
        <v>1</v>
      </c>
      <c r="AP92">
        <f t="shared" si="24"/>
        <v>0.8274999999999999</v>
      </c>
      <c r="AQ92">
        <f t="shared" si="25"/>
        <v>1.037037037037037</v>
      </c>
      <c r="AR92">
        <f t="shared" si="26"/>
        <v>1</v>
      </c>
      <c r="AS92" cm="1">
        <f t="array" ref="AS92">_xlfn.IFS(AF92&gt;'“主要目标”数据分表'!$C$2,1,AF92='“主要目标”数据分表'!$C$2,0,AF92&lt;'“主要目标”数据分表'!$C$2,-1)</f>
        <v>-1</v>
      </c>
      <c r="AT92" cm="1">
        <f t="array" ref="AT92">_xlfn.IFS(AG92&gt;'“主要目标”数据分表'!$D$2,1,AG92='“主要目标”数据分表'!$D$2,0,AG92&lt;'“主要目标”数据分表'!$D$2,-1)</f>
        <v>1</v>
      </c>
      <c r="AU92" cm="1">
        <f t="array" ref="AU92">_xlfn.IFS(AH92&gt;'“主要目标”数据分表'!$E$2,1,AH92='“主要目标”数据分表'!$E$2,0,AH92&lt;'“主要目标”数据分表'!$E$2,-1)</f>
        <v>0</v>
      </c>
      <c r="AV92" cm="1">
        <f t="array" ref="AV92">_xlfn.IFS(AI92&gt;'“主要目标”数据分表'!$F$2,1,AI92='“主要目标”数据分表'!$F$2,0,AI92&lt;'“主要目标”数据分表'!$F$2,-1)</f>
        <v>-1</v>
      </c>
      <c r="AW92" cm="1">
        <f t="array" ref="AW92">_xlfn.IFS(AJ92&gt;'“主要目标”数据分表'!$G$2,1,AJ92='“主要目标”数据分表'!$G$2,0,AJ92&lt;'“主要目标”数据分表'!$G$2,-1)</f>
        <v>0</v>
      </c>
    </row>
    <row r="93" spans="1:49" ht="14.4" x14ac:dyDescent="0.25">
      <c r="A93" s="2">
        <v>13</v>
      </c>
      <c r="B93" s="2" t="s">
        <v>23</v>
      </c>
      <c r="C93" s="2">
        <v>2016</v>
      </c>
      <c r="D93" s="2">
        <v>12036</v>
      </c>
      <c r="E93" s="19">
        <v>22842.694582385298</v>
      </c>
      <c r="F93" s="2">
        <v>28810.58</v>
      </c>
      <c r="G93" s="3">
        <v>0.41776319671454026</v>
      </c>
      <c r="H93" s="2"/>
      <c r="I93" s="16">
        <v>0.32953470833772719</v>
      </c>
      <c r="K93">
        <v>0.79285785230235895</v>
      </c>
      <c r="L93"/>
      <c r="M93" s="2">
        <v>0</v>
      </c>
      <c r="N93" s="2">
        <v>0</v>
      </c>
      <c r="O93" s="4">
        <v>0</v>
      </c>
      <c r="P93" s="4">
        <v>0.99999999580495169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0.2</v>
      </c>
      <c r="AG93">
        <v>0.13500000000000001</v>
      </c>
      <c r="AH93">
        <v>0.18</v>
      </c>
      <c r="AI93">
        <v>0.25</v>
      </c>
      <c r="AJ93">
        <v>0.65</v>
      </c>
      <c r="AK93">
        <v>1</v>
      </c>
      <c r="AL93">
        <v>1</v>
      </c>
      <c r="AM93">
        <v>1</v>
      </c>
      <c r="AN93">
        <v>1</v>
      </c>
      <c r="AO93">
        <v>1</v>
      </c>
      <c r="AP93">
        <f t="shared" si="24"/>
        <v>1</v>
      </c>
      <c r="AQ93">
        <f t="shared" si="25"/>
        <v>1</v>
      </c>
      <c r="AR93">
        <f t="shared" si="26"/>
        <v>1</v>
      </c>
      <c r="AS93" cm="1">
        <f t="array" ref="AS93">_xlfn.IFS(AF93&gt;'“主要目标”数据分表'!$C$2,1,AF93='“主要目标”数据分表'!$C$2,0,AF93&lt;'“主要目标”数据分表'!$C$2,-1)</f>
        <v>0</v>
      </c>
      <c r="AT93" cm="1">
        <f t="array" ref="AT93">_xlfn.IFS(AG93&gt;'“主要目标”数据分表'!$D$2,1,AG93='“主要目标”数据分表'!$D$2,0,AG93&lt;'“主要目标”数据分表'!$D$2,-1)</f>
        <v>0</v>
      </c>
      <c r="AU93" cm="1">
        <f t="array" ref="AU93">_xlfn.IFS(AH93&gt;'“主要目标”数据分表'!$E$2,1,AH93='“主要目标”数据分表'!$E$2,0,AH93&lt;'“主要目标”数据分表'!$E$2,-1)</f>
        <v>0</v>
      </c>
      <c r="AV93" cm="1">
        <f t="array" ref="AV93">_xlfn.IFS(AI93&gt;'“主要目标”数据分表'!$F$2,1,AI93='“主要目标”数据分表'!$F$2,0,AI93&lt;'“主要目标”数据分表'!$F$2,-1)</f>
        <v>0</v>
      </c>
      <c r="AW93" cm="1">
        <f t="array" ref="AW93">_xlfn.IFS(AJ93&gt;'“主要目标”数据分表'!$G$2,1,AJ93='“主要目标”数据分表'!$G$2,0,AJ93&lt;'“主要目标”数据分表'!$G$2,-1)</f>
        <v>0</v>
      </c>
    </row>
    <row r="94" spans="1:49" ht="14.4" x14ac:dyDescent="0.25">
      <c r="A94" s="2">
        <v>13</v>
      </c>
      <c r="B94" s="2" t="s">
        <v>23</v>
      </c>
      <c r="C94" s="2">
        <v>2017</v>
      </c>
      <c r="D94" s="2">
        <v>12555</v>
      </c>
      <c r="E94" s="19">
        <v>23628.175545586699</v>
      </c>
      <c r="F94" s="2">
        <v>32182.09</v>
      </c>
      <c r="G94" s="3">
        <v>0.39012382353041708</v>
      </c>
      <c r="H94" s="2">
        <f>(G94-G93)/G93</f>
        <v>-6.6160383206300744E-2</v>
      </c>
      <c r="I94" s="16">
        <v>0.34138177972246897</v>
      </c>
      <c r="J94" s="2">
        <f>(I94-I93)/I93</f>
        <v>3.5950906186792871E-2</v>
      </c>
      <c r="K94">
        <v>0.73420264332076313</v>
      </c>
      <c r="L94">
        <f t="shared" si="27"/>
        <v>-7.3979476663147761E-2</v>
      </c>
      <c r="M94" s="2">
        <v>0</v>
      </c>
      <c r="N94" s="2">
        <v>0</v>
      </c>
      <c r="O94" s="4">
        <v>0</v>
      </c>
      <c r="P94" s="4">
        <v>0.99999999580495169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0.2</v>
      </c>
      <c r="AG94">
        <v>0.13500000000000001</v>
      </c>
      <c r="AH94">
        <v>0.18</v>
      </c>
      <c r="AI94">
        <v>0.25</v>
      </c>
      <c r="AJ94">
        <v>0.65</v>
      </c>
      <c r="AK94">
        <v>1</v>
      </c>
      <c r="AL94">
        <v>1</v>
      </c>
      <c r="AM94">
        <v>1</v>
      </c>
      <c r="AN94">
        <v>1</v>
      </c>
      <c r="AO94">
        <v>1</v>
      </c>
      <c r="AP94">
        <f t="shared" si="24"/>
        <v>1</v>
      </c>
      <c r="AQ94">
        <f t="shared" si="25"/>
        <v>1</v>
      </c>
      <c r="AR94">
        <f t="shared" si="26"/>
        <v>1</v>
      </c>
      <c r="AS94" cm="1">
        <f t="array" ref="AS94">_xlfn.IFS(AF94&gt;'“主要目标”数据分表'!$C$2,1,AF94='“主要目标”数据分表'!$C$2,0,AF94&lt;'“主要目标”数据分表'!$C$2,-1)</f>
        <v>0</v>
      </c>
      <c r="AT94" cm="1">
        <f t="array" ref="AT94">_xlfn.IFS(AG94&gt;'“主要目标”数据分表'!$D$2,1,AG94='“主要目标”数据分表'!$D$2,0,AG94&lt;'“主要目标”数据分表'!$D$2,-1)</f>
        <v>0</v>
      </c>
      <c r="AU94" cm="1">
        <f t="array" ref="AU94">_xlfn.IFS(AH94&gt;'“主要目标”数据分表'!$E$2,1,AH94='“主要目标”数据分表'!$E$2,0,AH94&lt;'“主要目标”数据分表'!$E$2,-1)</f>
        <v>0</v>
      </c>
      <c r="AV94" cm="1">
        <f t="array" ref="AV94">_xlfn.IFS(AI94&gt;'“主要目标”数据分表'!$F$2,1,AI94='“主要目标”数据分表'!$F$2,0,AI94&lt;'“主要目标”数据分表'!$F$2,-1)</f>
        <v>0</v>
      </c>
      <c r="AW94" cm="1">
        <f t="array" ref="AW94">_xlfn.IFS(AJ94&gt;'“主要目标”数据分表'!$G$2,1,AJ94='“主要目标”数据分表'!$G$2,0,AJ94&lt;'“主要目标”数据分表'!$G$2,-1)</f>
        <v>0</v>
      </c>
    </row>
    <row r="95" spans="1:49" ht="14.4" x14ac:dyDescent="0.25">
      <c r="A95" s="2">
        <v>13</v>
      </c>
      <c r="B95" s="2" t="s">
        <v>23</v>
      </c>
      <c r="C95" s="2">
        <v>2018</v>
      </c>
      <c r="D95" s="2">
        <v>13131</v>
      </c>
      <c r="E95" s="19">
        <v>24794.8702538793</v>
      </c>
      <c r="F95" s="2">
        <v>35804.04</v>
      </c>
      <c r="G95" s="3">
        <v>0.36674632248204392</v>
      </c>
      <c r="H95" s="2">
        <f t="shared" ref="H95:H98" si="34">(G95-G94)/G94</f>
        <v>-5.9923284963268771E-2</v>
      </c>
      <c r="I95" s="16">
        <v>0.36580327075670033</v>
      </c>
      <c r="J95" s="2">
        <f t="shared" ref="J95:J98" si="35">(I95-I94)/I94</f>
        <v>7.1537183542968064E-2</v>
      </c>
      <c r="K95">
        <v>0.692515991320513</v>
      </c>
      <c r="L95">
        <f t="shared" si="27"/>
        <v>-5.6778128462876963E-2</v>
      </c>
      <c r="M95" s="2">
        <v>0</v>
      </c>
      <c r="N95" s="2">
        <v>0</v>
      </c>
      <c r="O95" s="4">
        <v>0</v>
      </c>
      <c r="P95" s="4">
        <v>0.99999999580495169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0.2</v>
      </c>
      <c r="AG95">
        <v>0.13500000000000001</v>
      </c>
      <c r="AH95">
        <v>0.18</v>
      </c>
      <c r="AI95">
        <v>0.25</v>
      </c>
      <c r="AJ95">
        <v>0.65</v>
      </c>
      <c r="AK95">
        <v>1</v>
      </c>
      <c r="AL95">
        <v>1</v>
      </c>
      <c r="AM95">
        <v>1</v>
      </c>
      <c r="AN95">
        <v>1</v>
      </c>
      <c r="AO95">
        <v>1</v>
      </c>
      <c r="AP95">
        <f t="shared" si="24"/>
        <v>1</v>
      </c>
      <c r="AQ95">
        <f t="shared" si="25"/>
        <v>1</v>
      </c>
      <c r="AR95">
        <f t="shared" si="26"/>
        <v>1</v>
      </c>
      <c r="AS95" cm="1">
        <f t="array" ref="AS95">_xlfn.IFS(AF95&gt;'“主要目标”数据分表'!$C$2,1,AF95='“主要目标”数据分表'!$C$2,0,AF95&lt;'“主要目标”数据分表'!$C$2,-1)</f>
        <v>0</v>
      </c>
      <c r="AT95" cm="1">
        <f t="array" ref="AT95">_xlfn.IFS(AG95&gt;'“主要目标”数据分表'!$D$2,1,AG95='“主要目标”数据分表'!$D$2,0,AG95&lt;'“主要目标”数据分表'!$D$2,-1)</f>
        <v>0</v>
      </c>
      <c r="AU95" cm="1">
        <f t="array" ref="AU95">_xlfn.IFS(AH95&gt;'“主要目标”数据分表'!$E$2,1,AH95='“主要目标”数据分表'!$E$2,0,AH95&lt;'“主要目标”数据分表'!$E$2,-1)</f>
        <v>0</v>
      </c>
      <c r="AV95" cm="1">
        <f t="array" ref="AV95">_xlfn.IFS(AI95&gt;'“主要目标”数据分表'!$F$2,1,AI95='“主要目标”数据分表'!$F$2,0,AI95&lt;'“主要目标”数据分表'!$F$2,-1)</f>
        <v>0</v>
      </c>
      <c r="AW95" cm="1">
        <f t="array" ref="AW95">_xlfn.IFS(AJ95&gt;'“主要目标”数据分表'!$G$2,1,AJ95='“主要目标”数据分表'!$G$2,0,AJ95&lt;'“主要目标”数据分表'!$G$2,-1)</f>
        <v>0</v>
      </c>
    </row>
    <row r="96" spans="1:49" ht="14.4" x14ac:dyDescent="0.25">
      <c r="A96" s="2">
        <v>13</v>
      </c>
      <c r="B96" s="2" t="s">
        <v>23</v>
      </c>
      <c r="C96" s="2">
        <v>2019</v>
      </c>
      <c r="D96" s="2">
        <v>13718</v>
      </c>
      <c r="E96" s="19">
        <v>25168.3740686282</v>
      </c>
      <c r="F96" s="2">
        <v>42395</v>
      </c>
      <c r="G96" s="3">
        <v>0.32357589338365372</v>
      </c>
      <c r="H96" s="2">
        <f t="shared" si="34"/>
        <v>-0.11771196178934784</v>
      </c>
      <c r="I96" s="16">
        <v>0.36856079587505075</v>
      </c>
      <c r="J96" s="2">
        <f t="shared" si="35"/>
        <v>7.5382735442638595E-3</v>
      </c>
      <c r="K96">
        <v>0.59366373554966856</v>
      </c>
      <c r="L96">
        <f t="shared" si="27"/>
        <v>-0.14274364348229648</v>
      </c>
      <c r="M96" s="2">
        <v>0</v>
      </c>
      <c r="N96" s="2">
        <v>0</v>
      </c>
      <c r="O96" s="4">
        <v>0</v>
      </c>
      <c r="P96" s="4">
        <v>0.99999999580495169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0.2</v>
      </c>
      <c r="AG96">
        <v>0.13500000000000001</v>
      </c>
      <c r="AH96">
        <v>0.18</v>
      </c>
      <c r="AI96">
        <v>0.25</v>
      </c>
      <c r="AJ96">
        <v>0.65</v>
      </c>
      <c r="AK96">
        <v>1</v>
      </c>
      <c r="AL96">
        <v>1</v>
      </c>
      <c r="AM96">
        <v>1</v>
      </c>
      <c r="AN96">
        <v>1</v>
      </c>
      <c r="AO96">
        <v>1</v>
      </c>
      <c r="AP96">
        <f t="shared" si="24"/>
        <v>1</v>
      </c>
      <c r="AQ96">
        <f t="shared" si="25"/>
        <v>1</v>
      </c>
      <c r="AR96">
        <f t="shared" si="26"/>
        <v>1</v>
      </c>
      <c r="AS96" cm="1">
        <f t="array" ref="AS96">_xlfn.IFS(AF96&gt;'“主要目标”数据分表'!$C$2,1,AF96='“主要目标”数据分表'!$C$2,0,AF96&lt;'“主要目标”数据分表'!$C$2,-1)</f>
        <v>0</v>
      </c>
      <c r="AT96" cm="1">
        <f t="array" ref="AT96">_xlfn.IFS(AG96&gt;'“主要目标”数据分表'!$D$2,1,AG96='“主要目标”数据分表'!$D$2,0,AG96&lt;'“主要目标”数据分表'!$D$2,-1)</f>
        <v>0</v>
      </c>
      <c r="AU96" cm="1">
        <f t="array" ref="AU96">_xlfn.IFS(AH96&gt;'“主要目标”数据分表'!$E$2,1,AH96='“主要目标”数据分表'!$E$2,0,AH96&lt;'“主要目标”数据分表'!$E$2,-1)</f>
        <v>0</v>
      </c>
      <c r="AV96" cm="1">
        <f t="array" ref="AV96">_xlfn.IFS(AI96&gt;'“主要目标”数据分表'!$F$2,1,AI96='“主要目标”数据分表'!$F$2,0,AI96&lt;'“主要目标”数据分表'!$F$2,-1)</f>
        <v>0</v>
      </c>
      <c r="AW96" cm="1">
        <f t="array" ref="AW96">_xlfn.IFS(AJ96&gt;'“主要目标”数据分表'!$G$2,1,AJ96='“主要目标”数据分表'!$G$2,0,AJ96&lt;'“主要目标”数据分表'!$G$2,-1)</f>
        <v>0</v>
      </c>
    </row>
    <row r="97" spans="1:49" ht="14.4" x14ac:dyDescent="0.25">
      <c r="A97" s="2">
        <v>13</v>
      </c>
      <c r="B97" s="2" t="s">
        <v>23</v>
      </c>
      <c r="C97" s="2">
        <v>2020</v>
      </c>
      <c r="D97" s="2">
        <v>13905.19</v>
      </c>
      <c r="E97" s="19">
        <v>25159.6524292057</v>
      </c>
      <c r="F97" s="2">
        <v>43903.89</v>
      </c>
      <c r="G97" s="3">
        <v>0.31671886021944756</v>
      </c>
      <c r="H97" s="2">
        <f t="shared" si="34"/>
        <v>-2.1191421562656378E-2</v>
      </c>
      <c r="I97" s="16">
        <v>0.39578517500130039</v>
      </c>
      <c r="J97" s="2">
        <f t="shared" si="35"/>
        <v>7.3866725465502936E-2</v>
      </c>
      <c r="K97">
        <v>0.5730620322984068</v>
      </c>
      <c r="L97">
        <f t="shared" si="27"/>
        <v>-3.4702647336520911E-2</v>
      </c>
      <c r="M97" s="2">
        <v>0</v>
      </c>
      <c r="N97" s="2">
        <v>0</v>
      </c>
      <c r="O97" s="4">
        <v>0</v>
      </c>
      <c r="P97" s="4">
        <v>0.99999999580495169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0.2</v>
      </c>
      <c r="AG97">
        <v>0.13500000000000001</v>
      </c>
      <c r="AH97">
        <v>0.18</v>
      </c>
      <c r="AI97">
        <v>0.25</v>
      </c>
      <c r="AJ97">
        <v>0.65</v>
      </c>
      <c r="AK97">
        <v>1</v>
      </c>
      <c r="AL97">
        <v>1</v>
      </c>
      <c r="AM97">
        <v>1</v>
      </c>
      <c r="AN97">
        <v>1</v>
      </c>
      <c r="AO97">
        <v>1</v>
      </c>
      <c r="AP97">
        <f t="shared" si="24"/>
        <v>1</v>
      </c>
      <c r="AQ97">
        <f t="shared" si="25"/>
        <v>1</v>
      </c>
      <c r="AR97">
        <f t="shared" si="26"/>
        <v>1</v>
      </c>
      <c r="AS97" cm="1">
        <f t="array" ref="AS97">_xlfn.IFS(AF97&gt;'“主要目标”数据分表'!$C$2,1,AF97='“主要目标”数据分表'!$C$2,0,AF97&lt;'“主要目标”数据分表'!$C$2,-1)</f>
        <v>0</v>
      </c>
      <c r="AT97" cm="1">
        <f t="array" ref="AT97">_xlfn.IFS(AG97&gt;'“主要目标”数据分表'!$D$2,1,AG97='“主要目标”数据分表'!$D$2,0,AG97&lt;'“主要目标”数据分表'!$D$2,-1)</f>
        <v>0</v>
      </c>
      <c r="AU97" cm="1">
        <f t="array" ref="AU97">_xlfn.IFS(AH97&gt;'“主要目标”数据分表'!$E$2,1,AH97='“主要目标”数据分表'!$E$2,0,AH97&lt;'“主要目标”数据分表'!$E$2,-1)</f>
        <v>0</v>
      </c>
      <c r="AV97" cm="1">
        <f t="array" ref="AV97">_xlfn.IFS(AI97&gt;'“主要目标”数据分表'!$F$2,1,AI97='“主要目标”数据分表'!$F$2,0,AI97&lt;'“主要目标”数据分表'!$F$2,-1)</f>
        <v>0</v>
      </c>
      <c r="AW97" cm="1">
        <f t="array" ref="AW97">_xlfn.IFS(AJ97&gt;'“主要目标”数据分表'!$G$2,1,AJ97='“主要目标”数据分表'!$G$2,0,AJ97&lt;'“主要目标”数据分表'!$G$2,-1)</f>
        <v>0</v>
      </c>
    </row>
    <row r="98" spans="1:49" ht="14.4" x14ac:dyDescent="0.25">
      <c r="A98" s="2">
        <v>13</v>
      </c>
      <c r="B98" s="2" t="s">
        <v>23</v>
      </c>
      <c r="C98" s="2">
        <v>2021</v>
      </c>
      <c r="D98" s="2">
        <v>15157.51</v>
      </c>
      <c r="E98" s="19">
        <v>26933.203133162599</v>
      </c>
      <c r="F98" s="2">
        <v>48810.355799999998</v>
      </c>
      <c r="G98" s="3">
        <v>0.31053881397848776</v>
      </c>
      <c r="H98" s="2">
        <f t="shared" si="34"/>
        <v>-1.9512719377298163E-2</v>
      </c>
      <c r="I98" s="16">
        <v>0.42719987967043971</v>
      </c>
      <c r="J98" s="2">
        <f t="shared" si="35"/>
        <v>7.9373121211617131E-2</v>
      </c>
      <c r="K98">
        <v>0.55179280486135285</v>
      </c>
      <c r="L98">
        <f t="shared" si="27"/>
        <v>-3.7115052539335856E-2</v>
      </c>
      <c r="M98" s="2">
        <v>0</v>
      </c>
      <c r="N98" s="2">
        <v>0</v>
      </c>
      <c r="O98" s="4">
        <v>0</v>
      </c>
      <c r="P98" s="4">
        <v>0.99999999580495169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0.2</v>
      </c>
      <c r="AG98">
        <v>0.13500000000000001</v>
      </c>
      <c r="AH98">
        <v>0.18</v>
      </c>
      <c r="AI98">
        <v>0.25</v>
      </c>
      <c r="AJ98">
        <v>0.65</v>
      </c>
      <c r="AK98">
        <v>1</v>
      </c>
      <c r="AL98">
        <v>1</v>
      </c>
      <c r="AM98">
        <v>1</v>
      </c>
      <c r="AN98">
        <v>1</v>
      </c>
      <c r="AO98">
        <v>1</v>
      </c>
      <c r="AP98">
        <f t="shared" si="24"/>
        <v>1</v>
      </c>
      <c r="AQ98">
        <f t="shared" si="25"/>
        <v>1</v>
      </c>
      <c r="AR98">
        <f t="shared" si="26"/>
        <v>1</v>
      </c>
      <c r="AS98" cm="1">
        <f t="array" ref="AS98">_xlfn.IFS(AF98&gt;'“主要目标”数据分表'!$C$2,1,AF98='“主要目标”数据分表'!$C$2,0,AF98&lt;'“主要目标”数据分表'!$C$2,-1)</f>
        <v>0</v>
      </c>
      <c r="AT98" cm="1">
        <f t="array" ref="AT98">_xlfn.IFS(AG98&gt;'“主要目标”数据分表'!$D$2,1,AG98='“主要目标”数据分表'!$D$2,0,AG98&lt;'“主要目标”数据分表'!$D$2,-1)</f>
        <v>0</v>
      </c>
      <c r="AU98" cm="1">
        <f t="array" ref="AU98">_xlfn.IFS(AH98&gt;'“主要目标”数据分表'!$E$2,1,AH98='“主要目标”数据分表'!$E$2,0,AH98&lt;'“主要目标”数据分表'!$E$2,-1)</f>
        <v>0</v>
      </c>
      <c r="AV98" cm="1">
        <f t="array" ref="AV98">_xlfn.IFS(AI98&gt;'“主要目标”数据分表'!$F$2,1,AI98='“主要目标”数据分表'!$F$2,0,AI98&lt;'“主要目标”数据分表'!$F$2,-1)</f>
        <v>0</v>
      </c>
      <c r="AW98" cm="1">
        <f t="array" ref="AW98">_xlfn.IFS(AJ98&gt;'“主要目标”数据分表'!$G$2,1,AJ98='“主要目标”数据分表'!$G$2,0,AJ98&lt;'“主要目标”数据分表'!$G$2,-1)</f>
        <v>0</v>
      </c>
    </row>
    <row r="99" spans="1:49" ht="14.4" x14ac:dyDescent="0.25">
      <c r="A99" s="2">
        <v>14</v>
      </c>
      <c r="B99" s="2" t="s">
        <v>24</v>
      </c>
      <c r="C99" s="2">
        <v>2016</v>
      </c>
      <c r="D99" s="2">
        <v>8730</v>
      </c>
      <c r="E99" s="19">
        <v>21492.805880401702</v>
      </c>
      <c r="F99" s="2">
        <v>18499</v>
      </c>
      <c r="G99" s="3">
        <v>0.47191740094059137</v>
      </c>
      <c r="H99" s="2"/>
      <c r="I99" s="16">
        <v>0.23827790012306813</v>
      </c>
      <c r="K99">
        <v>1.1618360927834857</v>
      </c>
      <c r="L99"/>
      <c r="M99" s="2">
        <v>0</v>
      </c>
      <c r="N99" s="2">
        <v>0</v>
      </c>
      <c r="O99" s="4">
        <v>1</v>
      </c>
      <c r="P99">
        <v>0.83712559510186269</v>
      </c>
      <c r="Q99">
        <v>0.36950146627565977</v>
      </c>
      <c r="R99">
        <v>0.3606316622445655</v>
      </c>
      <c r="S99">
        <v>-1.2</v>
      </c>
      <c r="T99">
        <v>-0.40999999999999992</v>
      </c>
      <c r="U99">
        <v>0.28501628664495121</v>
      </c>
      <c r="V99">
        <v>0.1373873873873874</v>
      </c>
      <c r="W99">
        <v>-0.15238095238095239</v>
      </c>
      <c r="X99">
        <v>0.32810177375989041</v>
      </c>
      <c r="Y99">
        <v>0.26554267650158048</v>
      </c>
      <c r="Z99">
        <v>0.25861653863020811</v>
      </c>
      <c r="AA99">
        <v>-0.34285714285714286</v>
      </c>
      <c r="AB99">
        <v>-0.23837209302325577</v>
      </c>
      <c r="AC99">
        <v>0.23037178479164339</v>
      </c>
      <c r="AD99">
        <v>0.14687449597935531</v>
      </c>
      <c r="AE99">
        <v>-0.17777777777777781</v>
      </c>
      <c r="AF99">
        <v>0.183</v>
      </c>
      <c r="AG99">
        <v>0.13500000000000001</v>
      </c>
      <c r="AH99">
        <v>0.18</v>
      </c>
      <c r="AI99">
        <v>0.25</v>
      </c>
      <c r="AJ99">
        <v>0.65</v>
      </c>
      <c r="AK99">
        <v>0.91499999999999992</v>
      </c>
      <c r="AL99">
        <v>1</v>
      </c>
      <c r="AM99">
        <v>1</v>
      </c>
      <c r="AN99">
        <v>1</v>
      </c>
      <c r="AO99">
        <v>1</v>
      </c>
      <c r="AP99">
        <f t="shared" si="24"/>
        <v>0.95750000000000002</v>
      </c>
      <c r="AQ99">
        <f t="shared" si="25"/>
        <v>1</v>
      </c>
      <c r="AR99">
        <f t="shared" si="26"/>
        <v>1</v>
      </c>
      <c r="AS99" cm="1">
        <f t="array" ref="AS99">_xlfn.IFS(AF99&gt;'“主要目标”数据分表'!$C$2,1,AF99='“主要目标”数据分表'!$C$2,0,AF99&lt;'“主要目标”数据分表'!$C$2,-1)</f>
        <v>-1</v>
      </c>
      <c r="AT99" cm="1">
        <f t="array" ref="AT99">_xlfn.IFS(AG99&gt;'“主要目标”数据分表'!$D$2,1,AG99='“主要目标”数据分表'!$D$2,0,AG99&lt;'“主要目标”数据分表'!$D$2,-1)</f>
        <v>0</v>
      </c>
      <c r="AU99" cm="1">
        <f t="array" ref="AU99">_xlfn.IFS(AH99&gt;'“主要目标”数据分表'!$E$2,1,AH99='“主要目标”数据分表'!$E$2,0,AH99&lt;'“主要目标”数据分表'!$E$2,-1)</f>
        <v>0</v>
      </c>
      <c r="AV99" cm="1">
        <f t="array" ref="AV99">_xlfn.IFS(AI99&gt;'“主要目标”数据分表'!$F$2,1,AI99='“主要目标”数据分表'!$F$2,0,AI99&lt;'“主要目标”数据分表'!$F$2,-1)</f>
        <v>0</v>
      </c>
      <c r="AW99" cm="1">
        <f t="array" ref="AW99">_xlfn.IFS(AJ99&gt;'“主要目标”数据分表'!$G$2,1,AJ99='“主要目标”数据分表'!$G$2,0,AJ99&lt;'“主要目标”数据分表'!$G$2,-1)</f>
        <v>0</v>
      </c>
    </row>
    <row r="100" spans="1:49" ht="14.4" x14ac:dyDescent="0.25">
      <c r="A100" s="2">
        <v>14</v>
      </c>
      <c r="B100" s="2" t="s">
        <v>24</v>
      </c>
      <c r="C100" s="2">
        <v>2017</v>
      </c>
      <c r="D100" s="2">
        <v>8972</v>
      </c>
      <c r="E100" s="19">
        <v>21565.692701113199</v>
      </c>
      <c r="F100" s="2">
        <v>20006.310000000001</v>
      </c>
      <c r="G100" s="3">
        <v>0.44845851133967229</v>
      </c>
      <c r="H100" s="2">
        <f>(G100-G99)/G99</f>
        <v>-4.9709736394891409E-2</v>
      </c>
      <c r="I100" s="16">
        <v>0.24881542149351926</v>
      </c>
      <c r="J100" s="2">
        <f>(I100-I99)/I99</f>
        <v>4.4223662223851282E-2</v>
      </c>
      <c r="K100">
        <v>1.0779445435521693</v>
      </c>
      <c r="L100">
        <f t="shared" si="27"/>
        <v>-7.2206010600283532E-2</v>
      </c>
      <c r="M100" s="2">
        <v>0</v>
      </c>
      <c r="N100" s="2">
        <v>0</v>
      </c>
      <c r="O100" s="4">
        <v>1</v>
      </c>
      <c r="P100">
        <v>0.83712559510186269</v>
      </c>
      <c r="Q100">
        <v>0.36950146627565977</v>
      </c>
      <c r="R100">
        <v>0.3606316622445655</v>
      </c>
      <c r="S100">
        <v>-1.2</v>
      </c>
      <c r="T100">
        <v>-0.40999999999999992</v>
      </c>
      <c r="U100">
        <v>0.28501628664495121</v>
      </c>
      <c r="V100">
        <v>0.1373873873873874</v>
      </c>
      <c r="W100">
        <v>-0.15238095238095239</v>
      </c>
      <c r="X100">
        <v>0.32810177375989041</v>
      </c>
      <c r="Y100">
        <v>0.26554267650158048</v>
      </c>
      <c r="Z100">
        <v>0.25861653863020811</v>
      </c>
      <c r="AA100">
        <v>-0.34285714285714286</v>
      </c>
      <c r="AB100">
        <v>-0.23837209302325577</v>
      </c>
      <c r="AC100">
        <v>0.23037178479164339</v>
      </c>
      <c r="AD100">
        <v>0.14687449597935531</v>
      </c>
      <c r="AE100">
        <v>-0.17777777777777781</v>
      </c>
      <c r="AF100">
        <v>0.183</v>
      </c>
      <c r="AG100">
        <v>0.13500000000000001</v>
      </c>
      <c r="AH100">
        <v>0.18</v>
      </c>
      <c r="AI100">
        <v>0.25</v>
      </c>
      <c r="AJ100">
        <v>0.65</v>
      </c>
      <c r="AK100">
        <v>0.91499999999999992</v>
      </c>
      <c r="AL100">
        <v>1</v>
      </c>
      <c r="AM100">
        <v>1</v>
      </c>
      <c r="AN100">
        <v>1</v>
      </c>
      <c r="AO100">
        <v>1</v>
      </c>
      <c r="AP100">
        <f t="shared" si="24"/>
        <v>0.95750000000000002</v>
      </c>
      <c r="AQ100">
        <f t="shared" si="25"/>
        <v>1</v>
      </c>
      <c r="AR100">
        <f t="shared" si="26"/>
        <v>1</v>
      </c>
      <c r="AS100" cm="1">
        <f t="array" ref="AS100">_xlfn.IFS(AF100&gt;'“主要目标”数据分表'!$C$2,1,AF100='“主要目标”数据分表'!$C$2,0,AF100&lt;'“主要目标”数据分表'!$C$2,-1)</f>
        <v>-1</v>
      </c>
      <c r="AT100" cm="1">
        <f t="array" ref="AT100">_xlfn.IFS(AG100&gt;'“主要目标”数据分表'!$D$2,1,AG100='“主要目标”数据分表'!$D$2,0,AG100&lt;'“主要目标”数据分表'!$D$2,-1)</f>
        <v>0</v>
      </c>
      <c r="AU100" cm="1">
        <f t="array" ref="AU100">_xlfn.IFS(AH100&gt;'“主要目标”数据分表'!$E$2,1,AH100='“主要目标”数据分表'!$E$2,0,AH100&lt;'“主要目标”数据分表'!$E$2,-1)</f>
        <v>0</v>
      </c>
      <c r="AV100" cm="1">
        <f t="array" ref="AV100">_xlfn.IFS(AI100&gt;'“主要目标”数据分表'!$F$2,1,AI100='“主要目标”数据分表'!$F$2,0,AI100&lt;'“主要目标”数据分表'!$F$2,-1)</f>
        <v>0</v>
      </c>
      <c r="AW100" cm="1">
        <f t="array" ref="AW100">_xlfn.IFS(AJ100&gt;'“主要目标”数据分表'!$G$2,1,AJ100='“主要目标”数据分表'!$G$2,0,AJ100&lt;'“主要目标”数据分表'!$G$2,-1)</f>
        <v>0</v>
      </c>
    </row>
    <row r="101" spans="1:49" ht="14.4" x14ac:dyDescent="0.25">
      <c r="A101" s="2">
        <v>14</v>
      </c>
      <c r="B101" s="2" t="s">
        <v>24</v>
      </c>
      <c r="C101" s="2">
        <v>2018</v>
      </c>
      <c r="D101" s="2">
        <v>9286</v>
      </c>
      <c r="E101" s="19">
        <v>22550.424560676398</v>
      </c>
      <c r="F101" s="2">
        <v>21984.78</v>
      </c>
      <c r="G101" s="3">
        <v>0.42238312141399642</v>
      </c>
      <c r="H101" s="2">
        <f t="shared" ref="H101:H106" si="36">(G101-G100)/G100</f>
        <v>-5.8144486650016557E-2</v>
      </c>
      <c r="I101" s="16">
        <v>0.26836572080946308</v>
      </c>
      <c r="J101" s="2">
        <f t="shared" ref="J101:J105" si="37">(I101-I100)/I100</f>
        <v>7.8573503196034955E-2</v>
      </c>
      <c r="K101">
        <v>1.0257289161263565</v>
      </c>
      <c r="L101">
        <f t="shared" si="27"/>
        <v>-4.8439994189075533E-2</v>
      </c>
      <c r="M101" s="2">
        <v>0</v>
      </c>
      <c r="N101" s="2">
        <v>0</v>
      </c>
      <c r="O101" s="4">
        <v>1</v>
      </c>
      <c r="P101">
        <v>0.83712559510186269</v>
      </c>
      <c r="Q101">
        <v>0.36950146627565977</v>
      </c>
      <c r="R101">
        <v>0.3606316622445655</v>
      </c>
      <c r="S101">
        <v>-1.2</v>
      </c>
      <c r="T101">
        <v>-0.40999999999999992</v>
      </c>
      <c r="U101">
        <v>0.28501628664495121</v>
      </c>
      <c r="V101">
        <v>0.1373873873873874</v>
      </c>
      <c r="W101">
        <v>-0.15238095238095239</v>
      </c>
      <c r="X101">
        <v>0.32810177375989041</v>
      </c>
      <c r="Y101">
        <v>0.26554267650158048</v>
      </c>
      <c r="Z101">
        <v>0.25861653863020811</v>
      </c>
      <c r="AA101">
        <v>-0.34285714285714286</v>
      </c>
      <c r="AB101">
        <v>-0.23837209302325577</v>
      </c>
      <c r="AC101">
        <v>0.23037178479164339</v>
      </c>
      <c r="AD101">
        <v>0.14687449597935531</v>
      </c>
      <c r="AE101">
        <v>-0.17777777777777781</v>
      </c>
      <c r="AF101">
        <v>0.183</v>
      </c>
      <c r="AG101">
        <v>0.13500000000000001</v>
      </c>
      <c r="AH101">
        <v>0.18</v>
      </c>
      <c r="AI101">
        <v>0.25</v>
      </c>
      <c r="AJ101">
        <v>0.65</v>
      </c>
      <c r="AK101">
        <v>0.91499999999999992</v>
      </c>
      <c r="AL101">
        <v>1</v>
      </c>
      <c r="AM101">
        <v>1</v>
      </c>
      <c r="AN101">
        <v>1</v>
      </c>
      <c r="AO101">
        <v>1</v>
      </c>
      <c r="AP101">
        <f t="shared" si="24"/>
        <v>0.95750000000000002</v>
      </c>
      <c r="AQ101">
        <f t="shared" si="25"/>
        <v>1</v>
      </c>
      <c r="AR101">
        <f t="shared" si="26"/>
        <v>1</v>
      </c>
      <c r="AS101" cm="1">
        <f t="array" ref="AS101">_xlfn.IFS(AF101&gt;'“主要目标”数据分表'!$C$2,1,AF101='“主要目标”数据分表'!$C$2,0,AF101&lt;'“主要目标”数据分表'!$C$2,-1)</f>
        <v>-1</v>
      </c>
      <c r="AT101" cm="1">
        <f t="array" ref="AT101">_xlfn.IFS(AG101&gt;'“主要目标”数据分表'!$D$2,1,AG101='“主要目标”数据分表'!$D$2,0,AG101&lt;'“主要目标”数据分表'!$D$2,-1)</f>
        <v>0</v>
      </c>
      <c r="AU101" cm="1">
        <f t="array" ref="AU101">_xlfn.IFS(AH101&gt;'“主要目标”数据分表'!$E$2,1,AH101='“主要目标”数据分表'!$E$2,0,AH101&lt;'“主要目标”数据分表'!$E$2,-1)</f>
        <v>0</v>
      </c>
      <c r="AV101" cm="1">
        <f t="array" ref="AV101">_xlfn.IFS(AI101&gt;'“主要目标”数据分表'!$F$2,1,AI101='“主要目标”数据分表'!$F$2,0,AI101&lt;'“主要目标”数据分表'!$F$2,-1)</f>
        <v>0</v>
      </c>
      <c r="AW101" cm="1">
        <f t="array" ref="AW101">_xlfn.IFS(AJ101&gt;'“主要目标”数据分表'!$G$2,1,AJ101='“主要目标”数据分表'!$G$2,0,AJ101&lt;'“主要目标”数据分表'!$G$2,-1)</f>
        <v>0</v>
      </c>
    </row>
    <row r="102" spans="1:49" ht="14.4" x14ac:dyDescent="0.25">
      <c r="A102" s="2">
        <v>14</v>
      </c>
      <c r="B102" s="2" t="s">
        <v>24</v>
      </c>
      <c r="C102" s="2">
        <v>2019</v>
      </c>
      <c r="D102" s="2">
        <v>9665</v>
      </c>
      <c r="E102" s="19">
        <v>22660.083117410697</v>
      </c>
      <c r="F102" s="2">
        <v>24757.5</v>
      </c>
      <c r="G102" s="3">
        <v>0.39038675148944763</v>
      </c>
      <c r="H102" s="2">
        <f t="shared" si="36"/>
        <v>-7.5752008786325847E-2</v>
      </c>
      <c r="I102" s="16">
        <v>0.28244092684177041</v>
      </c>
      <c r="J102" s="2">
        <f t="shared" si="37"/>
        <v>5.2447853585222172E-2</v>
      </c>
      <c r="K102">
        <v>0.91528155578756731</v>
      </c>
      <c r="L102">
        <f t="shared" si="27"/>
        <v>-0.10767694914548312</v>
      </c>
      <c r="M102" s="2">
        <v>0</v>
      </c>
      <c r="N102" s="2">
        <v>0</v>
      </c>
      <c r="O102" s="4">
        <v>1</v>
      </c>
      <c r="P102">
        <v>0.83712559510186269</v>
      </c>
      <c r="Q102">
        <v>0.36950146627565977</v>
      </c>
      <c r="R102">
        <v>0.3606316622445655</v>
      </c>
      <c r="S102">
        <v>-1.2</v>
      </c>
      <c r="T102">
        <v>-0.40999999999999992</v>
      </c>
      <c r="U102">
        <v>0.28501628664495121</v>
      </c>
      <c r="V102">
        <v>0.1373873873873874</v>
      </c>
      <c r="W102">
        <v>-0.15238095238095239</v>
      </c>
      <c r="X102">
        <v>0.32810177375989041</v>
      </c>
      <c r="Y102">
        <v>0.26554267650158048</v>
      </c>
      <c r="Z102">
        <v>0.25861653863020811</v>
      </c>
      <c r="AA102">
        <v>-0.34285714285714286</v>
      </c>
      <c r="AB102">
        <v>-0.23837209302325577</v>
      </c>
      <c r="AC102">
        <v>0.23037178479164339</v>
      </c>
      <c r="AD102">
        <v>0.14687449597935531</v>
      </c>
      <c r="AE102">
        <v>-0.17777777777777781</v>
      </c>
      <c r="AF102">
        <v>0.183</v>
      </c>
      <c r="AG102">
        <v>0.13500000000000001</v>
      </c>
      <c r="AH102">
        <v>0.18</v>
      </c>
      <c r="AI102">
        <v>0.25</v>
      </c>
      <c r="AJ102">
        <v>0.65</v>
      </c>
      <c r="AK102">
        <v>0.91499999999999992</v>
      </c>
      <c r="AL102">
        <v>1</v>
      </c>
      <c r="AM102">
        <v>1</v>
      </c>
      <c r="AN102">
        <v>1</v>
      </c>
      <c r="AO102">
        <v>1</v>
      </c>
      <c r="AP102">
        <f t="shared" si="24"/>
        <v>0.95750000000000002</v>
      </c>
      <c r="AQ102">
        <f t="shared" si="25"/>
        <v>1</v>
      </c>
      <c r="AR102">
        <f t="shared" si="26"/>
        <v>1</v>
      </c>
      <c r="AS102" cm="1">
        <f t="array" ref="AS102">_xlfn.IFS(AF102&gt;'“主要目标”数据分表'!$C$2,1,AF102='“主要目标”数据分表'!$C$2,0,AF102&lt;'“主要目标”数据分表'!$C$2,-1)</f>
        <v>-1</v>
      </c>
      <c r="AT102" cm="1">
        <f t="array" ref="AT102">_xlfn.IFS(AG102&gt;'“主要目标”数据分表'!$D$2,1,AG102='“主要目标”数据分表'!$D$2,0,AG102&lt;'“主要目标”数据分表'!$D$2,-1)</f>
        <v>0</v>
      </c>
      <c r="AU102" cm="1">
        <f t="array" ref="AU102">_xlfn.IFS(AH102&gt;'“主要目标”数据分表'!$E$2,1,AH102='“主要目标”数据分表'!$E$2,0,AH102&lt;'“主要目标”数据分表'!$E$2,-1)</f>
        <v>0</v>
      </c>
      <c r="AV102" cm="1">
        <f t="array" ref="AV102">_xlfn.IFS(AI102&gt;'“主要目标”数据分表'!$F$2,1,AI102='“主要目标”数据分表'!$F$2,0,AI102&lt;'“主要目标”数据分表'!$F$2,-1)</f>
        <v>0</v>
      </c>
      <c r="AW102" cm="1">
        <f t="array" ref="AW102">_xlfn.IFS(AJ102&gt;'“主要目标”数据分表'!$G$2,1,AJ102='“主要目标”数据分表'!$G$2,0,AJ102&lt;'“主要目标”数据分表'!$G$2,-1)</f>
        <v>0</v>
      </c>
    </row>
    <row r="103" spans="1:49" ht="14.4" x14ac:dyDescent="0.25">
      <c r="A103" s="2">
        <v>14</v>
      </c>
      <c r="B103" s="2" t="s">
        <v>24</v>
      </c>
      <c r="C103" s="2">
        <v>2020</v>
      </c>
      <c r="D103" s="2">
        <v>9808.6</v>
      </c>
      <c r="E103" s="19">
        <v>23252.399640276501</v>
      </c>
      <c r="F103" s="2">
        <v>25691.5</v>
      </c>
      <c r="G103" s="3">
        <v>0.38178385847459279</v>
      </c>
      <c r="H103" s="2">
        <f t="shared" si="36"/>
        <v>-2.2036846747570484E-2</v>
      </c>
      <c r="I103" s="16">
        <v>0.31501046454334775</v>
      </c>
      <c r="J103" s="2">
        <f t="shared" si="37"/>
        <v>0.11531451219115813</v>
      </c>
      <c r="K103">
        <v>0.90506197147992529</v>
      </c>
      <c r="L103">
        <f t="shared" si="27"/>
        <v>-1.1165508845907461E-2</v>
      </c>
      <c r="M103" s="2">
        <v>0</v>
      </c>
      <c r="N103" s="2">
        <v>0</v>
      </c>
      <c r="O103" s="4">
        <v>1</v>
      </c>
      <c r="P103">
        <v>0.83712559510186269</v>
      </c>
      <c r="Q103">
        <v>0.36950146627565977</v>
      </c>
      <c r="R103">
        <v>0.3606316622445655</v>
      </c>
      <c r="S103">
        <v>-1.2</v>
      </c>
      <c r="T103">
        <v>-0.40999999999999992</v>
      </c>
      <c r="U103">
        <v>0.28501628664495121</v>
      </c>
      <c r="V103">
        <v>0.1373873873873874</v>
      </c>
      <c r="W103">
        <v>-0.15238095238095239</v>
      </c>
      <c r="X103">
        <v>0.32810177375989041</v>
      </c>
      <c r="Y103">
        <v>0.26554267650158048</v>
      </c>
      <c r="Z103">
        <v>0.25861653863020811</v>
      </c>
      <c r="AA103">
        <v>-0.34285714285714286</v>
      </c>
      <c r="AB103">
        <v>-0.23837209302325577</v>
      </c>
      <c r="AC103">
        <v>0.23037178479164339</v>
      </c>
      <c r="AD103">
        <v>0.14687449597935531</v>
      </c>
      <c r="AE103">
        <v>-0.17777777777777781</v>
      </c>
      <c r="AF103">
        <v>0.183</v>
      </c>
      <c r="AG103">
        <v>0.13500000000000001</v>
      </c>
      <c r="AH103">
        <v>0.18</v>
      </c>
      <c r="AI103">
        <v>0.25</v>
      </c>
      <c r="AJ103">
        <v>0.65</v>
      </c>
      <c r="AK103">
        <v>0.91499999999999992</v>
      </c>
      <c r="AL103">
        <v>1</v>
      </c>
      <c r="AM103">
        <v>1</v>
      </c>
      <c r="AN103">
        <v>1</v>
      </c>
      <c r="AO103">
        <v>1</v>
      </c>
      <c r="AP103">
        <f t="shared" si="24"/>
        <v>0.95750000000000002</v>
      </c>
      <c r="AQ103">
        <f t="shared" si="25"/>
        <v>1</v>
      </c>
      <c r="AR103">
        <f t="shared" si="26"/>
        <v>1</v>
      </c>
      <c r="AS103" cm="1">
        <f t="array" ref="AS103">_xlfn.IFS(AF103&gt;'“主要目标”数据分表'!$C$2,1,AF103='“主要目标”数据分表'!$C$2,0,AF103&lt;'“主要目标”数据分表'!$C$2,-1)</f>
        <v>-1</v>
      </c>
      <c r="AT103" cm="1">
        <f t="array" ref="AT103">_xlfn.IFS(AG103&gt;'“主要目标”数据分表'!$D$2,1,AG103='“主要目标”数据分表'!$D$2,0,AG103&lt;'“主要目标”数据分表'!$D$2,-1)</f>
        <v>0</v>
      </c>
      <c r="AU103" cm="1">
        <f t="array" ref="AU103">_xlfn.IFS(AH103&gt;'“主要目标”数据分表'!$E$2,1,AH103='“主要目标”数据分表'!$E$2,0,AH103&lt;'“主要目标”数据分表'!$E$2,-1)</f>
        <v>0</v>
      </c>
      <c r="AV103" cm="1">
        <f t="array" ref="AV103">_xlfn.IFS(AI103&gt;'“主要目标”数据分表'!$F$2,1,AI103='“主要目标”数据分表'!$F$2,0,AI103&lt;'“主要目标”数据分表'!$F$2,-1)</f>
        <v>0</v>
      </c>
      <c r="AW103" cm="1">
        <f t="array" ref="AW103">_xlfn.IFS(AJ103&gt;'“主要目标”数据分表'!$G$2,1,AJ103='“主要目标”数据分表'!$G$2,0,AJ103&lt;'“主要目标”数据分表'!$G$2,-1)</f>
        <v>0</v>
      </c>
    </row>
    <row r="104" spans="1:49" ht="14.4" x14ac:dyDescent="0.25">
      <c r="A104" s="2">
        <v>14</v>
      </c>
      <c r="B104" s="2" t="s">
        <v>24</v>
      </c>
      <c r="C104" s="2">
        <v>2021</v>
      </c>
      <c r="D104" s="2">
        <v>10517.8</v>
      </c>
      <c r="E104" s="19">
        <v>25242.234409876703</v>
      </c>
      <c r="F104" s="2">
        <v>29619.672999999999</v>
      </c>
      <c r="G104" s="3">
        <v>0.3550950748173351</v>
      </c>
      <c r="H104" s="2">
        <f t="shared" si="36"/>
        <v>-6.9905479408930507E-2</v>
      </c>
      <c r="I104" s="16">
        <v>0.35334336657899879</v>
      </c>
      <c r="J104" s="2">
        <f t="shared" si="37"/>
        <v>0.12168770993439855</v>
      </c>
      <c r="K104">
        <v>0.85221178538590558</v>
      </c>
      <c r="L104">
        <f t="shared" si="27"/>
        <v>-5.8393997051495769E-2</v>
      </c>
      <c r="M104" s="2">
        <v>0</v>
      </c>
      <c r="N104" s="2">
        <v>0</v>
      </c>
      <c r="O104" s="4">
        <v>1</v>
      </c>
      <c r="P104">
        <v>0.83712559510186269</v>
      </c>
      <c r="Q104">
        <v>0.36950146627565977</v>
      </c>
      <c r="R104">
        <v>0.3606316622445655</v>
      </c>
      <c r="S104">
        <v>-1.2</v>
      </c>
      <c r="T104">
        <v>-0.40999999999999992</v>
      </c>
      <c r="U104">
        <v>0.28501628664495121</v>
      </c>
      <c r="V104">
        <v>0.1373873873873874</v>
      </c>
      <c r="W104">
        <v>-0.15238095238095239</v>
      </c>
      <c r="X104">
        <v>0.32810177375989041</v>
      </c>
      <c r="Y104">
        <v>0.26554267650158048</v>
      </c>
      <c r="Z104">
        <v>0.25861653863020811</v>
      </c>
      <c r="AA104">
        <v>-0.34285714285714286</v>
      </c>
      <c r="AB104">
        <v>-0.23837209302325577</v>
      </c>
      <c r="AC104">
        <v>0.23037178479164339</v>
      </c>
      <c r="AD104">
        <v>0.14687449597935531</v>
      </c>
      <c r="AE104">
        <v>-0.17777777777777781</v>
      </c>
      <c r="AF104">
        <v>0.183</v>
      </c>
      <c r="AG104">
        <v>0.13500000000000001</v>
      </c>
      <c r="AH104">
        <v>0.18</v>
      </c>
      <c r="AI104">
        <v>0.25</v>
      </c>
      <c r="AJ104">
        <v>0.65</v>
      </c>
      <c r="AK104">
        <v>0.91499999999999992</v>
      </c>
      <c r="AL104">
        <v>1</v>
      </c>
      <c r="AM104">
        <v>1</v>
      </c>
      <c r="AN104">
        <v>1</v>
      </c>
      <c r="AO104">
        <v>1</v>
      </c>
      <c r="AP104">
        <f t="shared" si="24"/>
        <v>0.95750000000000002</v>
      </c>
      <c r="AQ104">
        <f t="shared" si="25"/>
        <v>1</v>
      </c>
      <c r="AR104">
        <f t="shared" si="26"/>
        <v>1</v>
      </c>
      <c r="AS104" cm="1">
        <f t="array" ref="AS104">_xlfn.IFS(AF104&gt;'“主要目标”数据分表'!$C$2,1,AF104='“主要目标”数据分表'!$C$2,0,AF104&lt;'“主要目标”数据分表'!$C$2,-1)</f>
        <v>-1</v>
      </c>
      <c r="AT104" cm="1">
        <f t="array" ref="AT104">_xlfn.IFS(AG104&gt;'“主要目标”数据分表'!$D$2,1,AG104='“主要目标”数据分表'!$D$2,0,AG104&lt;'“主要目标”数据分表'!$D$2,-1)</f>
        <v>0</v>
      </c>
      <c r="AU104" cm="1">
        <f t="array" ref="AU104">_xlfn.IFS(AH104&gt;'“主要目标”数据分表'!$E$2,1,AH104='“主要目标”数据分表'!$E$2,0,AH104&lt;'“主要目标”数据分表'!$E$2,-1)</f>
        <v>0</v>
      </c>
      <c r="AV104" cm="1">
        <f t="array" ref="AV104">_xlfn.IFS(AI104&gt;'“主要目标”数据分表'!$F$2,1,AI104='“主要目标”数据分表'!$F$2,0,AI104&lt;'“主要目标”数据分表'!$F$2,-1)</f>
        <v>0</v>
      </c>
      <c r="AW104" cm="1">
        <f t="array" ref="AW104">_xlfn.IFS(AJ104&gt;'“主要目标”数据分表'!$G$2,1,AJ104='“主要目标”数据分表'!$G$2,0,AJ104&lt;'“主要目标”数据分表'!$G$2,-1)</f>
        <v>0</v>
      </c>
    </row>
    <row r="105" spans="1:49" ht="14.4" x14ac:dyDescent="0.25">
      <c r="A105" s="2">
        <v>14</v>
      </c>
      <c r="B105" s="2" t="s">
        <v>24</v>
      </c>
      <c r="C105" s="2">
        <v>2022</v>
      </c>
      <c r="D105" s="2">
        <v>10785.7</v>
      </c>
      <c r="E105" s="19">
        <v>26228.791718736698</v>
      </c>
      <c r="F105" s="2">
        <v>32074.7</v>
      </c>
      <c r="G105" s="3">
        <v>0.33626814903958574</v>
      </c>
      <c r="H105" s="2">
        <f t="shared" si="36"/>
        <v>-5.3019394277530156E-2</v>
      </c>
      <c r="I105" s="16">
        <v>0.371389426444101</v>
      </c>
      <c r="J105" s="2">
        <f t="shared" si="37"/>
        <v>5.1072304087156441E-2</v>
      </c>
      <c r="K105">
        <v>0.81774082746640486</v>
      </c>
      <c r="L105">
        <f t="shared" si="27"/>
        <v>-4.0448816257441567E-2</v>
      </c>
      <c r="M105" s="2">
        <v>1</v>
      </c>
      <c r="N105" s="2">
        <v>0</v>
      </c>
      <c r="O105" s="4">
        <v>1</v>
      </c>
      <c r="P105">
        <v>0.83712559510186269</v>
      </c>
      <c r="Q105">
        <v>0.36950146627565977</v>
      </c>
      <c r="R105">
        <v>0.3606316622445655</v>
      </c>
      <c r="S105">
        <v>-1.2</v>
      </c>
      <c r="T105">
        <v>-0.40999999999999992</v>
      </c>
      <c r="U105">
        <v>0.28501628664495121</v>
      </c>
      <c r="V105">
        <v>0.1373873873873874</v>
      </c>
      <c r="W105">
        <v>-0.15238095238095239</v>
      </c>
      <c r="X105">
        <v>0.32810177375989041</v>
      </c>
      <c r="Y105">
        <v>0.26554267650158048</v>
      </c>
      <c r="Z105">
        <v>0.25861653863020811</v>
      </c>
      <c r="AA105">
        <v>-0.34285714285714286</v>
      </c>
      <c r="AB105">
        <v>-0.23837209302325577</v>
      </c>
      <c r="AC105">
        <v>0.23037178479164339</v>
      </c>
      <c r="AD105">
        <v>0.14687449597935531</v>
      </c>
      <c r="AE105">
        <v>-0.17777777777777781</v>
      </c>
      <c r="AF105">
        <v>0.183</v>
      </c>
      <c r="AG105">
        <v>0.13500000000000001</v>
      </c>
      <c r="AH105">
        <v>0.18</v>
      </c>
      <c r="AI105">
        <v>0.25</v>
      </c>
      <c r="AJ105">
        <v>0.65</v>
      </c>
      <c r="AK105">
        <v>0.91499999999999992</v>
      </c>
      <c r="AL105">
        <v>1</v>
      </c>
      <c r="AM105">
        <v>1</v>
      </c>
      <c r="AN105">
        <v>1</v>
      </c>
      <c r="AO105">
        <v>1</v>
      </c>
      <c r="AP105">
        <f t="shared" si="24"/>
        <v>0.95750000000000002</v>
      </c>
      <c r="AQ105">
        <f t="shared" si="25"/>
        <v>1</v>
      </c>
      <c r="AR105">
        <f t="shared" si="26"/>
        <v>1</v>
      </c>
      <c r="AS105" cm="1">
        <f t="array" ref="AS105">_xlfn.IFS(AF105&gt;'“主要目标”数据分表'!$C$2,1,AF105='“主要目标”数据分表'!$C$2,0,AF105&lt;'“主要目标”数据分表'!$C$2,-1)</f>
        <v>-1</v>
      </c>
      <c r="AT105" cm="1">
        <f t="array" ref="AT105">_xlfn.IFS(AG105&gt;'“主要目标”数据分表'!$D$2,1,AG105='“主要目标”数据分表'!$D$2,0,AG105&lt;'“主要目标”数据分表'!$D$2,-1)</f>
        <v>0</v>
      </c>
      <c r="AU105" cm="1">
        <f t="array" ref="AU105">_xlfn.IFS(AH105&gt;'“主要目标”数据分表'!$E$2,1,AH105='“主要目标”数据分表'!$E$2,0,AH105&lt;'“主要目标”数据分表'!$E$2,-1)</f>
        <v>0</v>
      </c>
      <c r="AV105" cm="1">
        <f t="array" ref="AV105">_xlfn.IFS(AI105&gt;'“主要目标”数据分表'!$F$2,1,AI105='“主要目标”数据分表'!$F$2,0,AI105&lt;'“主要目标”数据分表'!$F$2,-1)</f>
        <v>0</v>
      </c>
      <c r="AW105" cm="1">
        <f t="array" ref="AW105">_xlfn.IFS(AJ105&gt;'“主要目标”数据分表'!$G$2,1,AJ105='“主要目标”数据分表'!$G$2,0,AJ105&lt;'“主要目标”数据分表'!$G$2,-1)</f>
        <v>0</v>
      </c>
    </row>
    <row r="106" spans="1:49" ht="14.4" x14ac:dyDescent="0.25">
      <c r="A106" s="2">
        <v>14</v>
      </c>
      <c r="B106" s="6" t="s">
        <v>25</v>
      </c>
      <c r="C106" s="2">
        <v>2023</v>
      </c>
      <c r="D106" s="2">
        <v>11533.9</v>
      </c>
      <c r="E106" s="19">
        <v>27311.6317628465</v>
      </c>
      <c r="F106" s="2">
        <v>32200.1</v>
      </c>
      <c r="G106" s="3">
        <v>0.35819453976851007</v>
      </c>
      <c r="H106" s="2">
        <f t="shared" si="36"/>
        <v>6.5205077529787506E-2</v>
      </c>
      <c r="K106">
        <v>0.84818468771359412</v>
      </c>
      <c r="L106">
        <f t="shared" si="27"/>
        <v>3.7229228656117185E-2</v>
      </c>
      <c r="M106" s="2">
        <v>1</v>
      </c>
      <c r="N106" s="2">
        <v>1</v>
      </c>
      <c r="O106" s="4">
        <v>1</v>
      </c>
      <c r="P106">
        <v>0.83712559510186269</v>
      </c>
      <c r="Q106">
        <v>0.36950146627565977</v>
      </c>
      <c r="R106">
        <v>0.3606316622445655</v>
      </c>
      <c r="S106">
        <v>-1.2</v>
      </c>
      <c r="T106">
        <v>-0.40999999999999992</v>
      </c>
      <c r="U106">
        <v>0.28501628664495121</v>
      </c>
      <c r="V106">
        <v>0.1373873873873874</v>
      </c>
      <c r="W106">
        <v>-0.15238095238095239</v>
      </c>
      <c r="X106">
        <v>0.32810177375989041</v>
      </c>
      <c r="Y106">
        <v>0.26554267650158048</v>
      </c>
      <c r="Z106">
        <v>0.25861653863020811</v>
      </c>
      <c r="AA106">
        <v>-0.34285714285714286</v>
      </c>
      <c r="AB106">
        <v>-0.23837209302325577</v>
      </c>
      <c r="AC106">
        <v>0.23037178479164339</v>
      </c>
      <c r="AD106">
        <v>0.14687449597935531</v>
      </c>
      <c r="AE106">
        <v>-0.17777777777777781</v>
      </c>
      <c r="AF106">
        <v>0.183</v>
      </c>
      <c r="AG106">
        <v>0.13500000000000001</v>
      </c>
      <c r="AH106">
        <v>0.18</v>
      </c>
      <c r="AI106">
        <v>0.25</v>
      </c>
      <c r="AJ106">
        <v>0.65</v>
      </c>
      <c r="AK106">
        <v>0.91499999999999992</v>
      </c>
      <c r="AL106">
        <v>1</v>
      </c>
      <c r="AM106">
        <v>1</v>
      </c>
      <c r="AN106">
        <v>1</v>
      </c>
      <c r="AO106">
        <v>1</v>
      </c>
      <c r="AP106">
        <f t="shared" si="24"/>
        <v>0.95750000000000002</v>
      </c>
      <c r="AQ106">
        <f t="shared" si="25"/>
        <v>1</v>
      </c>
      <c r="AR106">
        <f t="shared" si="26"/>
        <v>1</v>
      </c>
      <c r="AS106" cm="1">
        <f t="array" ref="AS106">_xlfn.IFS(AF106&gt;'“主要目标”数据分表'!$C$2,1,AF106='“主要目标”数据分表'!$C$2,0,AF106&lt;'“主要目标”数据分表'!$C$2,-1)</f>
        <v>-1</v>
      </c>
      <c r="AT106" cm="1">
        <f t="array" ref="AT106">_xlfn.IFS(AG106&gt;'“主要目标”数据分表'!$D$2,1,AG106='“主要目标”数据分表'!$D$2,0,AG106&lt;'“主要目标”数据分表'!$D$2,-1)</f>
        <v>0</v>
      </c>
      <c r="AU106" cm="1">
        <f t="array" ref="AU106">_xlfn.IFS(AH106&gt;'“主要目标”数据分表'!$E$2,1,AH106='“主要目标”数据分表'!$E$2,0,AH106&lt;'“主要目标”数据分表'!$E$2,-1)</f>
        <v>0</v>
      </c>
      <c r="AV106" cm="1">
        <f t="array" ref="AV106">_xlfn.IFS(AI106&gt;'“主要目标”数据分表'!$F$2,1,AI106='“主要目标”数据分表'!$F$2,0,AI106&lt;'“主要目标”数据分表'!$F$2,-1)</f>
        <v>0</v>
      </c>
      <c r="AW106" cm="1">
        <f t="array" ref="AW106">_xlfn.IFS(AJ106&gt;'“主要目标”数据分表'!$G$2,1,AJ106='“主要目标”数据分表'!$G$2,0,AJ106&lt;'“主要目标”数据分表'!$G$2,-1)</f>
        <v>0</v>
      </c>
    </row>
    <row r="107" spans="1:49" ht="14.4" x14ac:dyDescent="0.25">
      <c r="A107" s="2">
        <v>15</v>
      </c>
      <c r="B107" s="2" t="s">
        <v>26</v>
      </c>
      <c r="C107" s="2">
        <v>2016</v>
      </c>
      <c r="D107" s="2">
        <v>40138</v>
      </c>
      <c r="E107" s="19">
        <v>106219.06619434101</v>
      </c>
      <c r="F107" s="2">
        <v>68024.490000000005</v>
      </c>
      <c r="G107" s="3">
        <v>0.5900522003178561</v>
      </c>
      <c r="H107" s="2"/>
      <c r="I107" s="16">
        <v>0.40289378584684948</v>
      </c>
      <c r="K107">
        <v>1.5614827276814718</v>
      </c>
      <c r="L107"/>
      <c r="M107" s="2">
        <v>0</v>
      </c>
      <c r="N107" s="2">
        <v>0</v>
      </c>
      <c r="O107" s="4">
        <v>1</v>
      </c>
      <c r="P107">
        <v>0.8368478959256952</v>
      </c>
      <c r="Q107">
        <v>-2.932551319648094E-2</v>
      </c>
      <c r="R107">
        <v>-0.2156169994879672</v>
      </c>
      <c r="S107">
        <v>1.9</v>
      </c>
      <c r="T107">
        <v>-0.49999999999999989</v>
      </c>
      <c r="U107">
        <v>-0.14638157894736839</v>
      </c>
      <c r="V107">
        <v>-0.26444444444444443</v>
      </c>
      <c r="W107">
        <v>-0.11926605504587159</v>
      </c>
      <c r="X107">
        <v>0.32695619420233052</v>
      </c>
      <c r="Y107">
        <v>-2.1074815595363533E-2</v>
      </c>
      <c r="Z107">
        <v>-0.15462347851086317</v>
      </c>
      <c r="AA107">
        <v>0.54285714285714282</v>
      </c>
      <c r="AB107">
        <v>-0.29069767441860461</v>
      </c>
      <c r="AC107">
        <v>-0.11831669691470055</v>
      </c>
      <c r="AD107">
        <v>-0.28270531400966181</v>
      </c>
      <c r="AE107">
        <v>-0.1391437308868502</v>
      </c>
      <c r="AF107">
        <v>0.13</v>
      </c>
      <c r="AG107">
        <v>0.14499999999999999</v>
      </c>
      <c r="AH107">
        <v>0.20499999999999999</v>
      </c>
      <c r="AI107">
        <v>0.2</v>
      </c>
      <c r="AJ107">
        <v>0.68</v>
      </c>
      <c r="AK107">
        <v>0.65</v>
      </c>
      <c r="AL107">
        <v>1.074074074074074</v>
      </c>
      <c r="AM107">
        <v>1.1388888888888888</v>
      </c>
      <c r="AN107">
        <v>0.8</v>
      </c>
      <c r="AO107">
        <v>1.0461538461538462</v>
      </c>
      <c r="AP107">
        <f t="shared" si="24"/>
        <v>0.72500000000000009</v>
      </c>
      <c r="AQ107">
        <f t="shared" si="25"/>
        <v>1.074074074074074</v>
      </c>
      <c r="AR107">
        <f t="shared" si="26"/>
        <v>1.0925213675213676</v>
      </c>
      <c r="AS107" cm="1">
        <f t="array" ref="AS107">_xlfn.IFS(AF107&gt;'“主要目标”数据分表'!$C$2,1,AF107='“主要目标”数据分表'!$C$2,0,AF107&lt;'“主要目标”数据分表'!$C$2,-1)</f>
        <v>-1</v>
      </c>
      <c r="AT107" cm="1">
        <f t="array" ref="AT107">_xlfn.IFS(AG107&gt;'“主要目标”数据分表'!$D$2,1,AG107='“主要目标”数据分表'!$D$2,0,AG107&lt;'“主要目标”数据分表'!$D$2,-1)</f>
        <v>1</v>
      </c>
      <c r="AU107" cm="1">
        <f t="array" ref="AU107">_xlfn.IFS(AH107&gt;'“主要目标”数据分表'!$E$2,1,AH107='“主要目标”数据分表'!$E$2,0,AH107&lt;'“主要目标”数据分表'!$E$2,-1)</f>
        <v>1</v>
      </c>
      <c r="AV107" cm="1">
        <f t="array" ref="AV107">_xlfn.IFS(AI107&gt;'“主要目标”数据分表'!$F$2,1,AI107='“主要目标”数据分表'!$F$2,0,AI107&lt;'“主要目标”数据分表'!$F$2,-1)</f>
        <v>-1</v>
      </c>
      <c r="AW107" cm="1">
        <f t="array" ref="AW107">_xlfn.IFS(AJ107&gt;'“主要目标”数据分表'!$G$2,1,AJ107='“主要目标”数据分表'!$G$2,0,AJ107&lt;'“主要目标”数据分表'!$G$2,-1)</f>
        <v>1</v>
      </c>
    </row>
    <row r="108" spans="1:49" ht="14.4" x14ac:dyDescent="0.25">
      <c r="A108" s="2">
        <v>15</v>
      </c>
      <c r="B108" s="2" t="s">
        <v>26</v>
      </c>
      <c r="C108" s="2">
        <v>2017</v>
      </c>
      <c r="D108" s="2">
        <v>40098</v>
      </c>
      <c r="E108" s="19">
        <v>107495.08756655399</v>
      </c>
      <c r="F108" s="2">
        <v>72634.149999999994</v>
      </c>
      <c r="G108" s="3">
        <v>0.5520543711188195</v>
      </c>
      <c r="H108" s="2">
        <f>(G108-G107)/G107</f>
        <v>-6.4397402769733755E-2</v>
      </c>
      <c r="I108" s="16">
        <v>0.40697965046573431</v>
      </c>
      <c r="J108" s="2">
        <f>(I108-I107)/I107</f>
        <v>1.0141294709464621E-2</v>
      </c>
      <c r="K108">
        <v>1.4799524406433338</v>
      </c>
      <c r="L108">
        <f t="shared" si="27"/>
        <v>-5.2213377447470212E-2</v>
      </c>
      <c r="M108" s="2">
        <v>0</v>
      </c>
      <c r="N108" s="2">
        <v>0</v>
      </c>
      <c r="O108" s="4">
        <v>1</v>
      </c>
      <c r="P108">
        <v>0.8368478959256952</v>
      </c>
      <c r="Q108">
        <v>-2.932551319648094E-2</v>
      </c>
      <c r="R108">
        <v>-0.2156169994879672</v>
      </c>
      <c r="S108">
        <v>1.9</v>
      </c>
      <c r="T108">
        <v>-0.49999999999999989</v>
      </c>
      <c r="U108">
        <v>-0.14638157894736839</v>
      </c>
      <c r="V108">
        <v>-0.26444444444444443</v>
      </c>
      <c r="W108">
        <v>-0.11926605504587159</v>
      </c>
      <c r="X108">
        <v>0.32695619420233052</v>
      </c>
      <c r="Y108">
        <v>-2.1074815595363533E-2</v>
      </c>
      <c r="Z108">
        <v>-0.15462347851086317</v>
      </c>
      <c r="AA108">
        <v>0.54285714285714282</v>
      </c>
      <c r="AB108">
        <v>-0.29069767441860461</v>
      </c>
      <c r="AC108">
        <v>-0.11831669691470055</v>
      </c>
      <c r="AD108">
        <v>-0.28270531400966181</v>
      </c>
      <c r="AE108">
        <v>-0.1391437308868502</v>
      </c>
      <c r="AF108">
        <v>0.13</v>
      </c>
      <c r="AG108">
        <v>0.14499999999999999</v>
      </c>
      <c r="AH108">
        <v>0.20499999999999999</v>
      </c>
      <c r="AI108">
        <v>0.2</v>
      </c>
      <c r="AJ108">
        <v>0.68</v>
      </c>
      <c r="AK108">
        <v>0.65</v>
      </c>
      <c r="AL108">
        <v>1.074074074074074</v>
      </c>
      <c r="AM108">
        <v>1.1388888888888888</v>
      </c>
      <c r="AN108">
        <v>0.8</v>
      </c>
      <c r="AO108">
        <v>1.0461538461538462</v>
      </c>
      <c r="AP108">
        <f t="shared" si="24"/>
        <v>0.72500000000000009</v>
      </c>
      <c r="AQ108">
        <f t="shared" si="25"/>
        <v>1.074074074074074</v>
      </c>
      <c r="AR108">
        <f t="shared" si="26"/>
        <v>1.0925213675213676</v>
      </c>
      <c r="AS108" cm="1">
        <f t="array" ref="AS108">_xlfn.IFS(AF108&gt;'“主要目标”数据分表'!$C$2,1,AF108='“主要目标”数据分表'!$C$2,0,AF108&lt;'“主要目标”数据分表'!$C$2,-1)</f>
        <v>-1</v>
      </c>
      <c r="AT108" cm="1">
        <f t="array" ref="AT108">_xlfn.IFS(AG108&gt;'“主要目标”数据分表'!$D$2,1,AG108='“主要目标”数据分表'!$D$2,0,AG108&lt;'“主要目标”数据分表'!$D$2,-1)</f>
        <v>1</v>
      </c>
      <c r="AU108" cm="1">
        <f t="array" ref="AU108">_xlfn.IFS(AH108&gt;'“主要目标”数据分表'!$E$2,1,AH108='“主要目标”数据分表'!$E$2,0,AH108&lt;'“主要目标”数据分表'!$E$2,-1)</f>
        <v>1</v>
      </c>
      <c r="AV108" cm="1">
        <f t="array" ref="AV108">_xlfn.IFS(AI108&gt;'“主要目标”数据分表'!$F$2,1,AI108='“主要目标”数据分表'!$F$2,0,AI108&lt;'“主要目标”数据分表'!$F$2,-1)</f>
        <v>-1</v>
      </c>
      <c r="AW108" cm="1">
        <f t="array" ref="AW108">_xlfn.IFS(AJ108&gt;'“主要目标”数据分表'!$G$2,1,AJ108='“主要目标”数据分表'!$G$2,0,AJ108&lt;'“主要目标”数据分表'!$G$2,-1)</f>
        <v>1</v>
      </c>
    </row>
    <row r="109" spans="1:49" ht="14.4" x14ac:dyDescent="0.25">
      <c r="A109" s="2">
        <v>15</v>
      </c>
      <c r="B109" s="2" t="s">
        <v>26</v>
      </c>
      <c r="C109" s="2">
        <v>2018</v>
      </c>
      <c r="D109" s="2">
        <v>40581</v>
      </c>
      <c r="E109" s="19">
        <v>111023.67677438099</v>
      </c>
      <c r="F109" s="2">
        <v>76469.67</v>
      </c>
      <c r="G109" s="3">
        <v>0.53068098763862848</v>
      </c>
      <c r="H109" s="2">
        <f t="shared" ref="H109:H114" si="38">(G109-G108)/G108</f>
        <v>-3.8716084136558346E-2</v>
      </c>
      <c r="I109" s="16">
        <v>0.4692858336951754</v>
      </c>
      <c r="J109" s="2">
        <f t="shared" ref="J109:J113" si="39">(I109-I108)/I108</f>
        <v>0.15309409981098543</v>
      </c>
      <c r="K109">
        <v>1.4518655144501211</v>
      </c>
      <c r="L109">
        <f t="shared" si="27"/>
        <v>-1.897826269403851E-2</v>
      </c>
      <c r="M109" s="2">
        <v>0</v>
      </c>
      <c r="N109" s="2">
        <v>0</v>
      </c>
      <c r="O109" s="4">
        <v>1</v>
      </c>
      <c r="P109">
        <v>0.8368478959256952</v>
      </c>
      <c r="Q109">
        <v>-2.932551319648094E-2</v>
      </c>
      <c r="R109">
        <v>-0.2156169994879672</v>
      </c>
      <c r="S109">
        <v>1.9</v>
      </c>
      <c r="T109">
        <v>-0.49999999999999989</v>
      </c>
      <c r="U109">
        <v>-0.14638157894736839</v>
      </c>
      <c r="V109">
        <v>-0.26444444444444443</v>
      </c>
      <c r="W109">
        <v>-0.11926605504587159</v>
      </c>
      <c r="X109">
        <v>0.32695619420233052</v>
      </c>
      <c r="Y109">
        <v>-2.1074815595363533E-2</v>
      </c>
      <c r="Z109">
        <v>-0.15462347851086317</v>
      </c>
      <c r="AA109">
        <v>0.54285714285714282</v>
      </c>
      <c r="AB109">
        <v>-0.29069767441860461</v>
      </c>
      <c r="AC109">
        <v>-0.11831669691470055</v>
      </c>
      <c r="AD109">
        <v>-0.28270531400966181</v>
      </c>
      <c r="AE109">
        <v>-0.1391437308868502</v>
      </c>
      <c r="AF109">
        <v>0.13</v>
      </c>
      <c r="AG109">
        <v>0.14499999999999999</v>
      </c>
      <c r="AH109">
        <v>0.20499999999999999</v>
      </c>
      <c r="AI109">
        <v>0.2</v>
      </c>
      <c r="AJ109">
        <v>0.68</v>
      </c>
      <c r="AK109">
        <v>0.65</v>
      </c>
      <c r="AL109">
        <v>1.074074074074074</v>
      </c>
      <c r="AM109">
        <v>1.1388888888888888</v>
      </c>
      <c r="AN109">
        <v>0.8</v>
      </c>
      <c r="AO109">
        <v>1.0461538461538462</v>
      </c>
      <c r="AP109">
        <f t="shared" si="24"/>
        <v>0.72500000000000009</v>
      </c>
      <c r="AQ109">
        <f t="shared" si="25"/>
        <v>1.074074074074074</v>
      </c>
      <c r="AR109">
        <f t="shared" si="26"/>
        <v>1.0925213675213676</v>
      </c>
      <c r="AS109" cm="1">
        <f t="array" ref="AS109">_xlfn.IFS(AF109&gt;'“主要目标”数据分表'!$C$2,1,AF109='“主要目标”数据分表'!$C$2,0,AF109&lt;'“主要目标”数据分表'!$C$2,-1)</f>
        <v>-1</v>
      </c>
      <c r="AT109" cm="1">
        <f t="array" ref="AT109">_xlfn.IFS(AG109&gt;'“主要目标”数据分表'!$D$2,1,AG109='“主要目标”数据分表'!$D$2,0,AG109&lt;'“主要目标”数据分表'!$D$2,-1)</f>
        <v>1</v>
      </c>
      <c r="AU109" cm="1">
        <f t="array" ref="AU109">_xlfn.IFS(AH109&gt;'“主要目标”数据分表'!$E$2,1,AH109='“主要目标”数据分表'!$E$2,0,AH109&lt;'“主要目标”数据分表'!$E$2,-1)</f>
        <v>1</v>
      </c>
      <c r="AV109" cm="1">
        <f t="array" ref="AV109">_xlfn.IFS(AI109&gt;'“主要目标”数据分表'!$F$2,1,AI109='“主要目标”数据分表'!$F$2,0,AI109&lt;'“主要目标”数据分表'!$F$2,-1)</f>
        <v>-1</v>
      </c>
      <c r="AW109" cm="1">
        <f t="array" ref="AW109">_xlfn.IFS(AJ109&gt;'“主要目标”数据分表'!$G$2,1,AJ109='“主要目标”数据分表'!$G$2,0,AJ109&lt;'“主要目标”数据分表'!$G$2,-1)</f>
        <v>1</v>
      </c>
    </row>
    <row r="110" spans="1:49" ht="14.4" x14ac:dyDescent="0.25">
      <c r="A110" s="2">
        <v>15</v>
      </c>
      <c r="B110" s="2" t="s">
        <v>26</v>
      </c>
      <c r="C110" s="2">
        <v>2019</v>
      </c>
      <c r="D110" s="2">
        <v>41390</v>
      </c>
      <c r="E110" s="19">
        <v>113795.40773582699</v>
      </c>
      <c r="F110" s="2">
        <v>71067.53</v>
      </c>
      <c r="G110" s="3">
        <v>0.58240380663293068</v>
      </c>
      <c r="H110" s="2">
        <f t="shared" si="38"/>
        <v>9.7464993468963826E-2</v>
      </c>
      <c r="I110" s="16">
        <v>0.46958980470376394</v>
      </c>
      <c r="J110" s="2">
        <f t="shared" si="39"/>
        <v>6.477310559218311E-4</v>
      </c>
      <c r="K110">
        <v>1.6012292496422345</v>
      </c>
      <c r="L110">
        <f t="shared" si="27"/>
        <v>0.10287711479164327</v>
      </c>
      <c r="M110" s="2">
        <v>0</v>
      </c>
      <c r="N110" s="2">
        <v>0</v>
      </c>
      <c r="O110" s="4">
        <v>1</v>
      </c>
      <c r="P110">
        <v>0.8368478959256952</v>
      </c>
      <c r="Q110">
        <v>-2.932551319648094E-2</v>
      </c>
      <c r="R110">
        <v>-0.2156169994879672</v>
      </c>
      <c r="S110">
        <v>1.9</v>
      </c>
      <c r="T110">
        <v>-0.49999999999999989</v>
      </c>
      <c r="U110">
        <v>-0.14638157894736839</v>
      </c>
      <c r="V110">
        <v>-0.26444444444444443</v>
      </c>
      <c r="W110">
        <v>-0.11926605504587159</v>
      </c>
      <c r="X110">
        <v>0.32695619420233052</v>
      </c>
      <c r="Y110">
        <v>-2.1074815595363533E-2</v>
      </c>
      <c r="Z110">
        <v>-0.15462347851086317</v>
      </c>
      <c r="AA110">
        <v>0.54285714285714282</v>
      </c>
      <c r="AB110">
        <v>-0.29069767441860461</v>
      </c>
      <c r="AC110">
        <v>-0.11831669691470055</v>
      </c>
      <c r="AD110">
        <v>-0.28270531400966181</v>
      </c>
      <c r="AE110">
        <v>-0.1391437308868502</v>
      </c>
      <c r="AF110">
        <v>0.13</v>
      </c>
      <c r="AG110">
        <v>0.14499999999999999</v>
      </c>
      <c r="AH110">
        <v>0.20499999999999999</v>
      </c>
      <c r="AI110">
        <v>0.2</v>
      </c>
      <c r="AJ110">
        <v>0.68</v>
      </c>
      <c r="AK110">
        <v>0.65</v>
      </c>
      <c r="AL110">
        <v>1.074074074074074</v>
      </c>
      <c r="AM110">
        <v>1.1388888888888888</v>
      </c>
      <c r="AN110">
        <v>0.8</v>
      </c>
      <c r="AO110">
        <v>1.0461538461538462</v>
      </c>
      <c r="AP110">
        <f t="shared" si="24"/>
        <v>0.72500000000000009</v>
      </c>
      <c r="AQ110">
        <f t="shared" si="25"/>
        <v>1.074074074074074</v>
      </c>
      <c r="AR110">
        <f t="shared" si="26"/>
        <v>1.0925213675213676</v>
      </c>
      <c r="AS110" cm="1">
        <f t="array" ref="AS110">_xlfn.IFS(AF110&gt;'“主要目标”数据分表'!$C$2,1,AF110='“主要目标”数据分表'!$C$2,0,AF110&lt;'“主要目标”数据分表'!$C$2,-1)</f>
        <v>-1</v>
      </c>
      <c r="AT110" cm="1">
        <f t="array" ref="AT110">_xlfn.IFS(AG110&gt;'“主要目标”数据分表'!$D$2,1,AG110='“主要目标”数据分表'!$D$2,0,AG110&lt;'“主要目标”数据分表'!$D$2,-1)</f>
        <v>1</v>
      </c>
      <c r="AU110" cm="1">
        <f t="array" ref="AU110">_xlfn.IFS(AH110&gt;'“主要目标”数据分表'!$E$2,1,AH110='“主要目标”数据分表'!$E$2,0,AH110&lt;'“主要目标”数据分表'!$E$2,-1)</f>
        <v>1</v>
      </c>
      <c r="AV110" cm="1">
        <f t="array" ref="AV110">_xlfn.IFS(AI110&gt;'“主要目标”数据分表'!$F$2,1,AI110='“主要目标”数据分表'!$F$2,0,AI110&lt;'“主要目标”数据分表'!$F$2,-1)</f>
        <v>-1</v>
      </c>
      <c r="AW110" cm="1">
        <f t="array" ref="AW110">_xlfn.IFS(AJ110&gt;'“主要目标”数据分表'!$G$2,1,AJ110='“主要目标”数据分表'!$G$2,0,AJ110&lt;'“主要目标”数据分表'!$G$2,-1)</f>
        <v>1</v>
      </c>
    </row>
    <row r="111" spans="1:49" ht="14.4" x14ac:dyDescent="0.25">
      <c r="A111" s="2">
        <v>15</v>
      </c>
      <c r="B111" s="2" t="s">
        <v>26</v>
      </c>
      <c r="C111" s="2">
        <v>2020</v>
      </c>
      <c r="D111" s="2">
        <v>43649</v>
      </c>
      <c r="E111" s="19">
        <v>114872.666915478</v>
      </c>
      <c r="F111" s="2">
        <v>73129</v>
      </c>
      <c r="G111" s="3">
        <v>0.59687675204091395</v>
      </c>
      <c r="H111" s="2">
        <f t="shared" si="38"/>
        <v>2.4850361970771045E-2</v>
      </c>
      <c r="I111" s="16">
        <v>0.4714896596961532</v>
      </c>
      <c r="J111" s="2">
        <f t="shared" si="39"/>
        <v>4.0457756394173955E-3</v>
      </c>
      <c r="K111">
        <v>1.5708223401862189</v>
      </c>
      <c r="L111">
        <f t="shared" si="27"/>
        <v>-1.8989728961552141E-2</v>
      </c>
      <c r="M111" s="2">
        <v>0</v>
      </c>
      <c r="N111" s="2">
        <v>0</v>
      </c>
      <c r="O111" s="4">
        <v>1</v>
      </c>
      <c r="P111">
        <v>0.8368478959256952</v>
      </c>
      <c r="Q111">
        <v>-2.932551319648094E-2</v>
      </c>
      <c r="R111">
        <v>-0.2156169994879672</v>
      </c>
      <c r="S111">
        <v>1.9</v>
      </c>
      <c r="T111">
        <v>-0.49999999999999989</v>
      </c>
      <c r="U111">
        <v>-0.14638157894736839</v>
      </c>
      <c r="V111">
        <v>-0.26444444444444443</v>
      </c>
      <c r="W111">
        <v>-0.11926605504587159</v>
      </c>
      <c r="X111">
        <v>0.32695619420233052</v>
      </c>
      <c r="Y111">
        <v>-2.1074815595363533E-2</v>
      </c>
      <c r="Z111">
        <v>-0.15462347851086317</v>
      </c>
      <c r="AA111">
        <v>0.54285714285714282</v>
      </c>
      <c r="AB111">
        <v>-0.29069767441860461</v>
      </c>
      <c r="AC111">
        <v>-0.11831669691470055</v>
      </c>
      <c r="AD111">
        <v>-0.28270531400966181</v>
      </c>
      <c r="AE111">
        <v>-0.1391437308868502</v>
      </c>
      <c r="AF111">
        <v>0.13</v>
      </c>
      <c r="AG111">
        <v>0.14499999999999999</v>
      </c>
      <c r="AH111">
        <v>0.20499999999999999</v>
      </c>
      <c r="AI111">
        <v>0.2</v>
      </c>
      <c r="AJ111">
        <v>0.68</v>
      </c>
      <c r="AK111">
        <v>0.65</v>
      </c>
      <c r="AL111">
        <v>1.074074074074074</v>
      </c>
      <c r="AM111">
        <v>1.1388888888888888</v>
      </c>
      <c r="AN111">
        <v>0.8</v>
      </c>
      <c r="AO111">
        <v>1.0461538461538462</v>
      </c>
      <c r="AP111">
        <f t="shared" si="24"/>
        <v>0.72500000000000009</v>
      </c>
      <c r="AQ111">
        <f t="shared" si="25"/>
        <v>1.074074074074074</v>
      </c>
      <c r="AR111">
        <f t="shared" si="26"/>
        <v>1.0925213675213676</v>
      </c>
      <c r="AS111" cm="1">
        <f t="array" ref="AS111">_xlfn.IFS(AF111&gt;'“主要目标”数据分表'!$C$2,1,AF111='“主要目标”数据分表'!$C$2,0,AF111&lt;'“主要目标”数据分表'!$C$2,-1)</f>
        <v>-1</v>
      </c>
      <c r="AT111" cm="1">
        <f t="array" ref="AT111">_xlfn.IFS(AG111&gt;'“主要目标”数据分表'!$D$2,1,AG111='“主要目标”数据分表'!$D$2,0,AG111&lt;'“主要目标”数据分表'!$D$2,-1)</f>
        <v>1</v>
      </c>
      <c r="AU111" cm="1">
        <f t="array" ref="AU111">_xlfn.IFS(AH111&gt;'“主要目标”数据分表'!$E$2,1,AH111='“主要目标”数据分表'!$E$2,0,AH111&lt;'“主要目标”数据分表'!$E$2,-1)</f>
        <v>1</v>
      </c>
      <c r="AV111" cm="1">
        <f t="array" ref="AV111">_xlfn.IFS(AI111&gt;'“主要目标”数据分表'!$F$2,1,AI111='“主要目标”数据分表'!$F$2,0,AI111&lt;'“主要目标”数据分表'!$F$2,-1)</f>
        <v>-1</v>
      </c>
      <c r="AW111" cm="1">
        <f t="array" ref="AW111">_xlfn.IFS(AJ111&gt;'“主要目标”数据分表'!$G$2,1,AJ111='“主要目标”数据分表'!$G$2,0,AJ111&lt;'“主要目标”数据分表'!$G$2,-1)</f>
        <v>1</v>
      </c>
    </row>
    <row r="112" spans="1:49" ht="14.4" x14ac:dyDescent="0.25">
      <c r="A112" s="2">
        <v>15</v>
      </c>
      <c r="B112" s="2" t="s">
        <v>26</v>
      </c>
      <c r="C112" s="2">
        <v>2021</v>
      </c>
      <c r="D112" s="2">
        <v>45935.1</v>
      </c>
      <c r="E112" s="19">
        <v>117808.77367192801</v>
      </c>
      <c r="F112" s="2">
        <v>83095.899999999994</v>
      </c>
      <c r="G112" s="3">
        <v>0.55279622700999687</v>
      </c>
      <c r="H112" s="2">
        <f t="shared" si="38"/>
        <v>-7.3851971751607959E-2</v>
      </c>
      <c r="I112" s="16">
        <v>0.48482680754005048</v>
      </c>
      <c r="J112" s="2">
        <f t="shared" si="39"/>
        <v>2.8287254173277671E-2</v>
      </c>
      <c r="K112">
        <v>1.4177447223259874</v>
      </c>
      <c r="L112">
        <f t="shared" si="27"/>
        <v>-9.7450624392115784E-2</v>
      </c>
      <c r="M112" s="2">
        <v>0</v>
      </c>
      <c r="N112" s="2">
        <v>0</v>
      </c>
      <c r="O112" s="4">
        <v>1</v>
      </c>
      <c r="P112">
        <v>0.8368478959256952</v>
      </c>
      <c r="Q112">
        <v>-2.932551319648094E-2</v>
      </c>
      <c r="R112">
        <v>-0.2156169994879672</v>
      </c>
      <c r="S112">
        <v>1.9</v>
      </c>
      <c r="T112">
        <v>-0.49999999999999989</v>
      </c>
      <c r="U112">
        <v>-0.14638157894736839</v>
      </c>
      <c r="V112">
        <v>-0.26444444444444443</v>
      </c>
      <c r="W112">
        <v>-0.11926605504587159</v>
      </c>
      <c r="X112">
        <v>0.32695619420233052</v>
      </c>
      <c r="Y112">
        <v>-2.1074815595363533E-2</v>
      </c>
      <c r="Z112">
        <v>-0.15462347851086317</v>
      </c>
      <c r="AA112">
        <v>0.54285714285714282</v>
      </c>
      <c r="AB112">
        <v>-0.29069767441860461</v>
      </c>
      <c r="AC112">
        <v>-0.11831669691470055</v>
      </c>
      <c r="AD112">
        <v>-0.28270531400966181</v>
      </c>
      <c r="AE112">
        <v>-0.1391437308868502</v>
      </c>
      <c r="AF112">
        <v>0.13</v>
      </c>
      <c r="AG112">
        <v>0.14499999999999999</v>
      </c>
      <c r="AH112">
        <v>0.20499999999999999</v>
      </c>
      <c r="AI112">
        <v>0.2</v>
      </c>
      <c r="AJ112">
        <v>0.68</v>
      </c>
      <c r="AK112">
        <v>0.65</v>
      </c>
      <c r="AL112">
        <v>1.074074074074074</v>
      </c>
      <c r="AM112">
        <v>1.1388888888888888</v>
      </c>
      <c r="AN112">
        <v>0.8</v>
      </c>
      <c r="AO112">
        <v>1.0461538461538462</v>
      </c>
      <c r="AP112">
        <f t="shared" si="24"/>
        <v>0.72500000000000009</v>
      </c>
      <c r="AQ112">
        <f t="shared" si="25"/>
        <v>1.074074074074074</v>
      </c>
      <c r="AR112">
        <f t="shared" si="26"/>
        <v>1.0925213675213676</v>
      </c>
      <c r="AS112" cm="1">
        <f t="array" ref="AS112">_xlfn.IFS(AF112&gt;'“主要目标”数据分表'!$C$2,1,AF112='“主要目标”数据分表'!$C$2,0,AF112&lt;'“主要目标”数据分表'!$C$2,-1)</f>
        <v>-1</v>
      </c>
      <c r="AT112" cm="1">
        <f t="array" ref="AT112">_xlfn.IFS(AG112&gt;'“主要目标”数据分表'!$D$2,1,AG112='“主要目标”数据分表'!$D$2,0,AG112&lt;'“主要目标”数据分表'!$D$2,-1)</f>
        <v>1</v>
      </c>
      <c r="AU112" cm="1">
        <f t="array" ref="AU112">_xlfn.IFS(AH112&gt;'“主要目标”数据分表'!$E$2,1,AH112='“主要目标”数据分表'!$E$2,0,AH112&lt;'“主要目标”数据分表'!$E$2,-1)</f>
        <v>1</v>
      </c>
      <c r="AV112" cm="1">
        <f t="array" ref="AV112">_xlfn.IFS(AI112&gt;'“主要目标”数据分表'!$F$2,1,AI112='“主要目标”数据分表'!$F$2,0,AI112&lt;'“主要目标”数据分表'!$F$2,-1)</f>
        <v>-1</v>
      </c>
      <c r="AW112" cm="1">
        <f t="array" ref="AW112">_xlfn.IFS(AJ112&gt;'“主要目标”数据分表'!$G$2,1,AJ112='“主要目标”数据分表'!$G$2,0,AJ112&lt;'“主要目标”数据分表'!$G$2,-1)</f>
        <v>1</v>
      </c>
    </row>
    <row r="113" spans="1:49" ht="14.4" x14ac:dyDescent="0.25">
      <c r="A113" s="2">
        <v>15</v>
      </c>
      <c r="B113" s="2" t="s">
        <v>26</v>
      </c>
      <c r="C113" s="2">
        <v>2022</v>
      </c>
      <c r="D113" s="2">
        <v>48166.9</v>
      </c>
      <c r="E113" s="19">
        <v>114665.205661181</v>
      </c>
      <c r="F113" s="2">
        <v>87435.1</v>
      </c>
      <c r="G113" s="3">
        <v>0.55088745824045493</v>
      </c>
      <c r="H113" s="2">
        <f t="shared" si="38"/>
        <v>-3.4529337869511488E-3</v>
      </c>
      <c r="I113" s="16">
        <v>0.47837062941443642</v>
      </c>
      <c r="J113" s="2">
        <f t="shared" si="39"/>
        <v>-1.331646275578671E-2</v>
      </c>
      <c r="K113">
        <v>1.3114322012690669</v>
      </c>
      <c r="L113">
        <f t="shared" si="27"/>
        <v>-7.4987068816240413E-2</v>
      </c>
      <c r="M113" s="2">
        <v>1</v>
      </c>
      <c r="N113" s="2">
        <v>0</v>
      </c>
      <c r="O113" s="4">
        <v>1</v>
      </c>
      <c r="P113">
        <v>0.8368478959256952</v>
      </c>
      <c r="Q113">
        <v>-2.932551319648094E-2</v>
      </c>
      <c r="R113">
        <v>-0.2156169994879672</v>
      </c>
      <c r="S113">
        <v>1.9</v>
      </c>
      <c r="T113">
        <v>-0.49999999999999989</v>
      </c>
      <c r="U113">
        <v>-0.14638157894736839</v>
      </c>
      <c r="V113">
        <v>-0.26444444444444443</v>
      </c>
      <c r="W113">
        <v>-0.11926605504587159</v>
      </c>
      <c r="X113">
        <v>0.32695619420233052</v>
      </c>
      <c r="Y113">
        <v>-2.1074815595363533E-2</v>
      </c>
      <c r="Z113">
        <v>-0.15462347851086317</v>
      </c>
      <c r="AA113">
        <v>0.54285714285714282</v>
      </c>
      <c r="AB113">
        <v>-0.29069767441860461</v>
      </c>
      <c r="AC113">
        <v>-0.11831669691470055</v>
      </c>
      <c r="AD113">
        <v>-0.28270531400966181</v>
      </c>
      <c r="AE113">
        <v>-0.1391437308868502</v>
      </c>
      <c r="AF113">
        <v>0.13</v>
      </c>
      <c r="AG113">
        <v>0.14499999999999999</v>
      </c>
      <c r="AH113">
        <v>0.20499999999999999</v>
      </c>
      <c r="AI113">
        <v>0.2</v>
      </c>
      <c r="AJ113">
        <v>0.68</v>
      </c>
      <c r="AK113">
        <v>0.65</v>
      </c>
      <c r="AL113">
        <v>1.074074074074074</v>
      </c>
      <c r="AM113">
        <v>1.1388888888888888</v>
      </c>
      <c r="AN113">
        <v>0.8</v>
      </c>
      <c r="AO113">
        <v>1.0461538461538462</v>
      </c>
      <c r="AP113">
        <f t="shared" si="24"/>
        <v>0.72500000000000009</v>
      </c>
      <c r="AQ113">
        <f t="shared" si="25"/>
        <v>1.074074074074074</v>
      </c>
      <c r="AR113">
        <f t="shared" si="26"/>
        <v>1.0925213675213676</v>
      </c>
      <c r="AS113" cm="1">
        <f t="array" ref="AS113">_xlfn.IFS(AF113&gt;'“主要目标”数据分表'!$C$2,1,AF113='“主要目标”数据分表'!$C$2,0,AF113&lt;'“主要目标”数据分表'!$C$2,-1)</f>
        <v>-1</v>
      </c>
      <c r="AT113" cm="1">
        <f t="array" ref="AT113">_xlfn.IFS(AG113&gt;'“主要目标”数据分表'!$D$2,1,AG113='“主要目标”数据分表'!$D$2,0,AG113&lt;'“主要目标”数据分表'!$D$2,-1)</f>
        <v>1</v>
      </c>
      <c r="AU113" cm="1">
        <f t="array" ref="AU113">_xlfn.IFS(AH113&gt;'“主要目标”数据分表'!$E$2,1,AH113='“主要目标”数据分表'!$E$2,0,AH113&lt;'“主要目标”数据分表'!$E$2,-1)</f>
        <v>1</v>
      </c>
      <c r="AV113" cm="1">
        <f t="array" ref="AV113">_xlfn.IFS(AI113&gt;'“主要目标”数据分表'!$F$2,1,AI113='“主要目标”数据分表'!$F$2,0,AI113&lt;'“主要目标”数据分表'!$F$2,-1)</f>
        <v>-1</v>
      </c>
      <c r="AW113" cm="1">
        <f t="array" ref="AW113">_xlfn.IFS(AJ113&gt;'“主要目标”数据分表'!$G$2,1,AJ113='“主要目标”数据分表'!$G$2,0,AJ113&lt;'“主要目标”数据分表'!$G$2,-1)</f>
        <v>1</v>
      </c>
    </row>
    <row r="114" spans="1:49" ht="14.4" x14ac:dyDescent="0.25">
      <c r="A114" s="2">
        <v>15</v>
      </c>
      <c r="B114" s="6" t="s">
        <v>27</v>
      </c>
      <c r="C114" s="2">
        <v>2023</v>
      </c>
      <c r="D114" s="2">
        <v>52589.3</v>
      </c>
      <c r="E114" s="19">
        <v>117767.340247945</v>
      </c>
      <c r="F114" s="2">
        <v>92068.7</v>
      </c>
      <c r="G114" s="3">
        <v>0.57119629146496043</v>
      </c>
      <c r="H114" s="2">
        <f t="shared" si="38"/>
        <v>3.6865666336591323E-2</v>
      </c>
      <c r="K114">
        <v>1.2791246129025935</v>
      </c>
      <c r="L114">
        <f t="shared" si="27"/>
        <v>-2.4635347778718182E-2</v>
      </c>
      <c r="M114" s="2">
        <v>1</v>
      </c>
      <c r="N114" s="2">
        <v>1</v>
      </c>
      <c r="O114" s="4">
        <v>1</v>
      </c>
      <c r="P114">
        <v>0.8368478959256952</v>
      </c>
      <c r="Q114">
        <v>-2.932551319648094E-2</v>
      </c>
      <c r="R114">
        <v>-0.2156169994879672</v>
      </c>
      <c r="S114">
        <v>1.9</v>
      </c>
      <c r="T114">
        <v>-0.49999999999999989</v>
      </c>
      <c r="U114">
        <v>-0.14638157894736839</v>
      </c>
      <c r="V114">
        <v>-0.26444444444444443</v>
      </c>
      <c r="W114">
        <v>-0.11926605504587159</v>
      </c>
      <c r="X114">
        <v>0.32695619420233052</v>
      </c>
      <c r="Y114">
        <v>-2.1074815595363533E-2</v>
      </c>
      <c r="Z114">
        <v>-0.15462347851086317</v>
      </c>
      <c r="AA114">
        <v>0.54285714285714282</v>
      </c>
      <c r="AB114">
        <v>-0.29069767441860461</v>
      </c>
      <c r="AC114">
        <v>-0.11831669691470055</v>
      </c>
      <c r="AD114">
        <v>-0.28270531400966181</v>
      </c>
      <c r="AE114">
        <v>-0.1391437308868502</v>
      </c>
      <c r="AF114">
        <v>0.13</v>
      </c>
      <c r="AG114">
        <v>0.14499999999999999</v>
      </c>
      <c r="AH114">
        <v>0.20499999999999999</v>
      </c>
      <c r="AI114">
        <v>0.2</v>
      </c>
      <c r="AJ114">
        <v>0.68</v>
      </c>
      <c r="AK114">
        <v>0.65</v>
      </c>
      <c r="AL114">
        <v>1.074074074074074</v>
      </c>
      <c r="AM114">
        <v>1.1388888888888888</v>
      </c>
      <c r="AN114">
        <v>0.8</v>
      </c>
      <c r="AO114">
        <v>1.0461538461538462</v>
      </c>
      <c r="AP114">
        <f t="shared" si="24"/>
        <v>0.72500000000000009</v>
      </c>
      <c r="AQ114">
        <f t="shared" si="25"/>
        <v>1.074074074074074</v>
      </c>
      <c r="AR114">
        <f t="shared" si="26"/>
        <v>1.0925213675213676</v>
      </c>
      <c r="AS114" cm="1">
        <f t="array" ref="AS114">_xlfn.IFS(AF114&gt;'“主要目标”数据分表'!$C$2,1,AF114='“主要目标”数据分表'!$C$2,0,AF114&lt;'“主要目标”数据分表'!$C$2,-1)</f>
        <v>-1</v>
      </c>
      <c r="AT114" cm="1">
        <f t="array" ref="AT114">_xlfn.IFS(AG114&gt;'“主要目标”数据分表'!$D$2,1,AG114='“主要目标”数据分表'!$D$2,0,AG114&lt;'“主要目标”数据分表'!$D$2,-1)</f>
        <v>1</v>
      </c>
      <c r="AU114" cm="1">
        <f t="array" ref="AU114">_xlfn.IFS(AH114&gt;'“主要目标”数据分表'!$E$2,1,AH114='“主要目标”数据分表'!$E$2,0,AH114&lt;'“主要目标”数据分表'!$E$2,-1)</f>
        <v>1</v>
      </c>
      <c r="AV114" cm="1">
        <f t="array" ref="AV114">_xlfn.IFS(AI114&gt;'“主要目标”数据分表'!$F$2,1,AI114='“主要目标”数据分表'!$F$2,0,AI114&lt;'“主要目标”数据分表'!$F$2,-1)</f>
        <v>-1</v>
      </c>
      <c r="AW114" cm="1">
        <f t="array" ref="AW114">_xlfn.IFS(AJ114&gt;'“主要目标”数据分表'!$G$2,1,AJ114='“主要目标”数据分表'!$G$2,0,AJ114&lt;'“主要目标”数据分表'!$G$2,-1)</f>
        <v>1</v>
      </c>
    </row>
    <row r="115" spans="1:49" ht="14.4" x14ac:dyDescent="0.25">
      <c r="A115" s="2">
        <v>16</v>
      </c>
      <c r="B115" s="2" t="s">
        <v>28</v>
      </c>
      <c r="C115" s="2">
        <v>2016</v>
      </c>
      <c r="D115" s="2">
        <v>22323</v>
      </c>
      <c r="E115" s="19">
        <v>64756.925737038197</v>
      </c>
      <c r="F115" s="2">
        <v>40471.79</v>
      </c>
      <c r="G115" s="3">
        <v>0.55156937708957277</v>
      </c>
      <c r="H115" s="2"/>
      <c r="I115" s="16">
        <v>0.33138682562449251</v>
      </c>
      <c r="K115">
        <v>1.6000509425710647</v>
      </c>
      <c r="L115"/>
      <c r="M115" s="2">
        <v>0</v>
      </c>
      <c r="N115" s="2">
        <v>0</v>
      </c>
      <c r="O115" s="4">
        <v>1</v>
      </c>
      <c r="P115">
        <v>0.8532602306335203</v>
      </c>
      <c r="Q115">
        <v>0.9296187683284457</v>
      </c>
      <c r="R115">
        <v>0.48746334310850442</v>
      </c>
      <c r="S115">
        <v>1.1000000000000001</v>
      </c>
      <c r="T115">
        <v>-1.0000000000000101E-2</v>
      </c>
      <c r="U115">
        <v>0.90445859872611467</v>
      </c>
      <c r="V115">
        <v>0.71311475409836067</v>
      </c>
      <c r="W115">
        <v>0.17037037037037039</v>
      </c>
      <c r="X115">
        <v>0.39466123889347904</v>
      </c>
      <c r="Y115">
        <v>0.66807165437302396</v>
      </c>
      <c r="Z115">
        <v>0.34957020057306598</v>
      </c>
      <c r="AA115">
        <v>0.31428571428571433</v>
      </c>
      <c r="AB115">
        <v>-5.8139534883721519E-3</v>
      </c>
      <c r="AC115">
        <v>0.73105205359103909</v>
      </c>
      <c r="AD115">
        <v>0.76235797241205816</v>
      </c>
      <c r="AE115">
        <v>0.19876543209876546</v>
      </c>
      <c r="AF115">
        <v>0.2</v>
      </c>
      <c r="AG115">
        <v>0.13500000000000001</v>
      </c>
      <c r="AH115">
        <v>0.18</v>
      </c>
      <c r="AI115">
        <v>0.25</v>
      </c>
      <c r="AJ115">
        <v>0.65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f t="shared" si="24"/>
        <v>1</v>
      </c>
      <c r="AQ115">
        <f t="shared" si="25"/>
        <v>1</v>
      </c>
      <c r="AR115">
        <f t="shared" si="26"/>
        <v>1</v>
      </c>
      <c r="AS115" cm="1">
        <f t="array" ref="AS115">_xlfn.IFS(AF115&gt;'“主要目标”数据分表'!$C$2,1,AF115='“主要目标”数据分表'!$C$2,0,AF115&lt;'“主要目标”数据分表'!$C$2,-1)</f>
        <v>0</v>
      </c>
      <c r="AT115" cm="1">
        <f t="array" ref="AT115">_xlfn.IFS(AG115&gt;'“主要目标”数据分表'!$D$2,1,AG115='“主要目标”数据分表'!$D$2,0,AG115&lt;'“主要目标”数据分表'!$D$2,-1)</f>
        <v>0</v>
      </c>
      <c r="AU115" cm="1">
        <f t="array" ref="AU115">_xlfn.IFS(AH115&gt;'“主要目标”数据分表'!$E$2,1,AH115='“主要目标”数据分表'!$E$2,0,AH115&lt;'“主要目标”数据分表'!$E$2,-1)</f>
        <v>0</v>
      </c>
      <c r="AV115" cm="1">
        <f t="array" ref="AV115">_xlfn.IFS(AI115&gt;'“主要目标”数据分表'!$F$2,1,AI115='“主要目标”数据分表'!$F$2,0,AI115&lt;'“主要目标”数据分表'!$F$2,-1)</f>
        <v>0</v>
      </c>
      <c r="AW115" cm="1">
        <f t="array" ref="AW115">_xlfn.IFS(AJ115&gt;'“主要目标”数据分表'!$G$2,1,AJ115='“主要目标”数据分表'!$G$2,0,AJ115&lt;'“主要目标”数据分表'!$G$2,-1)</f>
        <v>0</v>
      </c>
    </row>
    <row r="116" spans="1:49" ht="14.4" x14ac:dyDescent="0.25">
      <c r="A116" s="2">
        <v>16</v>
      </c>
      <c r="B116" s="2" t="s">
        <v>28</v>
      </c>
      <c r="C116" s="2">
        <v>2017</v>
      </c>
      <c r="D116" s="2">
        <v>22162</v>
      </c>
      <c r="E116" s="19">
        <v>65098.146435995695</v>
      </c>
      <c r="F116" s="2">
        <v>44552.83</v>
      </c>
      <c r="G116" s="3">
        <v>0.49743192519981333</v>
      </c>
      <c r="H116" s="2">
        <f>(G116-G115)/G115</f>
        <v>-9.8151663486872154E-2</v>
      </c>
      <c r="I116" s="16">
        <v>0.34893143827054285</v>
      </c>
      <c r="J116" s="2">
        <f>(I116-I115)/I115</f>
        <v>5.2942999809928573E-2</v>
      </c>
      <c r="K116">
        <v>1.461145036936951</v>
      </c>
      <c r="L116">
        <f t="shared" si="27"/>
        <v>-8.6813426959338441E-2</v>
      </c>
      <c r="M116" s="2">
        <v>0</v>
      </c>
      <c r="N116" s="2">
        <v>0</v>
      </c>
      <c r="O116" s="4">
        <v>1</v>
      </c>
      <c r="P116">
        <v>0.8532602306335203</v>
      </c>
      <c r="Q116">
        <v>0.9296187683284457</v>
      </c>
      <c r="R116">
        <v>0.48746334310850442</v>
      </c>
      <c r="S116">
        <v>1.1000000000000001</v>
      </c>
      <c r="T116">
        <v>-1.0000000000000101E-2</v>
      </c>
      <c r="U116">
        <v>0.90445859872611467</v>
      </c>
      <c r="V116">
        <v>0.71311475409836067</v>
      </c>
      <c r="W116">
        <v>0.17037037037037039</v>
      </c>
      <c r="X116">
        <v>0.39466123889347904</v>
      </c>
      <c r="Y116">
        <v>0.66807165437302396</v>
      </c>
      <c r="Z116">
        <v>0.34957020057306598</v>
      </c>
      <c r="AA116">
        <v>0.31428571428571433</v>
      </c>
      <c r="AB116">
        <v>-5.8139534883721519E-3</v>
      </c>
      <c r="AC116">
        <v>0.73105205359103909</v>
      </c>
      <c r="AD116">
        <v>0.76235797241205816</v>
      </c>
      <c r="AE116">
        <v>0.19876543209876546</v>
      </c>
      <c r="AF116">
        <v>0.2</v>
      </c>
      <c r="AG116">
        <v>0.13500000000000001</v>
      </c>
      <c r="AH116">
        <v>0.18</v>
      </c>
      <c r="AI116">
        <v>0.25</v>
      </c>
      <c r="AJ116">
        <v>0.65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f t="shared" si="24"/>
        <v>1</v>
      </c>
      <c r="AQ116">
        <f t="shared" si="25"/>
        <v>1</v>
      </c>
      <c r="AR116">
        <f t="shared" si="26"/>
        <v>1</v>
      </c>
      <c r="AS116" cm="1">
        <f t="array" ref="AS116">_xlfn.IFS(AF116&gt;'“主要目标”数据分表'!$C$2,1,AF116='“主要目标”数据分表'!$C$2,0,AF116&lt;'“主要目标”数据分表'!$C$2,-1)</f>
        <v>0</v>
      </c>
      <c r="AT116" cm="1">
        <f t="array" ref="AT116">_xlfn.IFS(AG116&gt;'“主要目标”数据分表'!$D$2,1,AG116='“主要目标”数据分表'!$D$2,0,AG116&lt;'“主要目标”数据分表'!$D$2,-1)</f>
        <v>0</v>
      </c>
      <c r="AU116" cm="1">
        <f t="array" ref="AU116">_xlfn.IFS(AH116&gt;'“主要目标”数据分表'!$E$2,1,AH116='“主要目标”数据分表'!$E$2,0,AH116&lt;'“主要目标”数据分表'!$E$2,-1)</f>
        <v>0</v>
      </c>
      <c r="AV116" cm="1">
        <f t="array" ref="AV116">_xlfn.IFS(AI116&gt;'“主要目标”数据分表'!$F$2,1,AI116='“主要目标”数据分表'!$F$2,0,AI116&lt;'“主要目标”数据分表'!$F$2,-1)</f>
        <v>0</v>
      </c>
      <c r="AW116" cm="1">
        <f t="array" ref="AW116">_xlfn.IFS(AJ116&gt;'“主要目标”数据分表'!$G$2,1,AJ116='“主要目标”数据分表'!$G$2,0,AJ116&lt;'“主要目标”数据分表'!$G$2,-1)</f>
        <v>0</v>
      </c>
    </row>
    <row r="117" spans="1:49" ht="14.4" x14ac:dyDescent="0.25">
      <c r="A117" s="2">
        <v>16</v>
      </c>
      <c r="B117" s="2" t="s">
        <v>28</v>
      </c>
      <c r="C117" s="2">
        <v>2018</v>
      </c>
      <c r="D117" s="2">
        <v>22659</v>
      </c>
      <c r="E117" s="19">
        <v>67480.478466501503</v>
      </c>
      <c r="F117" s="2">
        <v>48055.86</v>
      </c>
      <c r="G117" s="3">
        <v>0.47151377584336229</v>
      </c>
      <c r="H117" s="2">
        <f t="shared" ref="H117:H121" si="40">(G117-G116)/G116</f>
        <v>-5.2103912200729741E-2</v>
      </c>
      <c r="I117" s="16">
        <v>0.35423819769012882</v>
      </c>
      <c r="J117" s="2">
        <f t="shared" ref="J117:J121" si="41">(I117-I116)/I116</f>
        <v>1.5208602142267824E-2</v>
      </c>
      <c r="K117">
        <v>1.4042091529836633</v>
      </c>
      <c r="L117">
        <f t="shared" si="27"/>
        <v>-3.8966620365521211E-2</v>
      </c>
      <c r="M117" s="2">
        <v>0</v>
      </c>
      <c r="N117" s="2">
        <v>0</v>
      </c>
      <c r="O117" s="4">
        <v>1</v>
      </c>
      <c r="P117">
        <v>0.8532602306335203</v>
      </c>
      <c r="Q117">
        <v>0.9296187683284457</v>
      </c>
      <c r="R117">
        <v>0.48746334310850442</v>
      </c>
      <c r="S117">
        <v>1.1000000000000001</v>
      </c>
      <c r="T117">
        <v>-1.0000000000000101E-2</v>
      </c>
      <c r="U117">
        <v>0.90445859872611467</v>
      </c>
      <c r="V117">
        <v>0.71311475409836067</v>
      </c>
      <c r="W117">
        <v>0.17037037037037039</v>
      </c>
      <c r="X117">
        <v>0.39466123889347904</v>
      </c>
      <c r="Y117">
        <v>0.66807165437302396</v>
      </c>
      <c r="Z117">
        <v>0.34957020057306598</v>
      </c>
      <c r="AA117">
        <v>0.31428571428571433</v>
      </c>
      <c r="AB117">
        <v>-5.8139534883721519E-3</v>
      </c>
      <c r="AC117">
        <v>0.73105205359103909</v>
      </c>
      <c r="AD117">
        <v>0.76235797241205816</v>
      </c>
      <c r="AE117">
        <v>0.19876543209876546</v>
      </c>
      <c r="AF117">
        <v>0.2</v>
      </c>
      <c r="AG117">
        <v>0.13500000000000001</v>
      </c>
      <c r="AH117">
        <v>0.18</v>
      </c>
      <c r="AI117">
        <v>0.25</v>
      </c>
      <c r="AJ117">
        <v>0.65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f t="shared" si="24"/>
        <v>1</v>
      </c>
      <c r="AQ117">
        <f t="shared" si="25"/>
        <v>1</v>
      </c>
      <c r="AR117">
        <f t="shared" si="26"/>
        <v>1</v>
      </c>
      <c r="AS117" cm="1">
        <f t="array" ref="AS117">_xlfn.IFS(AF117&gt;'“主要目标”数据分表'!$C$2,1,AF117='“主要目标”数据分表'!$C$2,0,AF117&lt;'“主要目标”数据分表'!$C$2,-1)</f>
        <v>0</v>
      </c>
      <c r="AT117" cm="1">
        <f t="array" ref="AT117">_xlfn.IFS(AG117&gt;'“主要目标”数据分表'!$D$2,1,AG117='“主要目标”数据分表'!$D$2,0,AG117&lt;'“主要目标”数据分表'!$D$2,-1)</f>
        <v>0</v>
      </c>
      <c r="AU117" cm="1">
        <f t="array" ref="AU117">_xlfn.IFS(AH117&gt;'“主要目标”数据分表'!$E$2,1,AH117='“主要目标”数据分表'!$E$2,0,AH117&lt;'“主要目标”数据分表'!$E$2,-1)</f>
        <v>0</v>
      </c>
      <c r="AV117" cm="1">
        <f t="array" ref="AV117">_xlfn.IFS(AI117&gt;'“主要目标”数据分表'!$F$2,1,AI117='“主要目标”数据分表'!$F$2,0,AI117&lt;'“主要目标”数据分表'!$F$2,-1)</f>
        <v>0</v>
      </c>
      <c r="AW117" cm="1">
        <f t="array" ref="AW117">_xlfn.IFS(AJ117&gt;'“主要目标”数据分表'!$G$2,1,AJ117='“主要目标”数据分表'!$G$2,0,AJ117&lt;'“主要目标”数据分表'!$G$2,-1)</f>
        <v>0</v>
      </c>
    </row>
    <row r="118" spans="1:49" ht="14.4" x14ac:dyDescent="0.25">
      <c r="A118" s="2">
        <v>16</v>
      </c>
      <c r="B118" s="2" t="s">
        <v>28</v>
      </c>
      <c r="C118" s="2">
        <v>2019</v>
      </c>
      <c r="D118" s="2">
        <v>22300</v>
      </c>
      <c r="E118" s="19">
        <v>69104.367446563192</v>
      </c>
      <c r="F118" s="2">
        <v>54259.199999999997</v>
      </c>
      <c r="G118" s="3">
        <v>0.41099020995517815</v>
      </c>
      <c r="H118" s="2">
        <f t="shared" si="40"/>
        <v>-0.12836012220412871</v>
      </c>
      <c r="I118" s="16">
        <v>0.36673932848030816</v>
      </c>
      <c r="J118" s="2">
        <f t="shared" si="41"/>
        <v>3.5290182909960346E-2</v>
      </c>
      <c r="K118">
        <v>1.2735972415104386</v>
      </c>
      <c r="L118">
        <f t="shared" si="27"/>
        <v>-9.3014570654022979E-2</v>
      </c>
      <c r="M118" s="2">
        <v>0</v>
      </c>
      <c r="N118" s="2">
        <v>0</v>
      </c>
      <c r="O118" s="4">
        <v>1</v>
      </c>
      <c r="P118">
        <v>0.8532602306335203</v>
      </c>
      <c r="Q118">
        <v>0.9296187683284457</v>
      </c>
      <c r="R118">
        <v>0.48746334310850442</v>
      </c>
      <c r="S118">
        <v>1.1000000000000001</v>
      </c>
      <c r="T118">
        <v>-1.0000000000000101E-2</v>
      </c>
      <c r="U118">
        <v>0.90445859872611467</v>
      </c>
      <c r="V118">
        <v>0.71311475409836067</v>
      </c>
      <c r="W118">
        <v>0.17037037037037039</v>
      </c>
      <c r="X118">
        <v>0.39466123889347904</v>
      </c>
      <c r="Y118">
        <v>0.66807165437302396</v>
      </c>
      <c r="Z118">
        <v>0.34957020057306598</v>
      </c>
      <c r="AA118">
        <v>0.31428571428571433</v>
      </c>
      <c r="AB118">
        <v>-5.8139534883721519E-3</v>
      </c>
      <c r="AC118">
        <v>0.73105205359103909</v>
      </c>
      <c r="AD118">
        <v>0.76235797241205816</v>
      </c>
      <c r="AE118">
        <v>0.19876543209876546</v>
      </c>
      <c r="AF118">
        <v>0.2</v>
      </c>
      <c r="AG118">
        <v>0.13500000000000001</v>
      </c>
      <c r="AH118">
        <v>0.18</v>
      </c>
      <c r="AI118">
        <v>0.25</v>
      </c>
      <c r="AJ118">
        <v>0.65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f t="shared" si="24"/>
        <v>1</v>
      </c>
      <c r="AQ118">
        <f t="shared" si="25"/>
        <v>1</v>
      </c>
      <c r="AR118">
        <f t="shared" si="26"/>
        <v>1</v>
      </c>
      <c r="AS118" cm="1">
        <f t="array" ref="AS118">_xlfn.IFS(AF118&gt;'“主要目标”数据分表'!$C$2,1,AF118='“主要目标”数据分表'!$C$2,0,AF118&lt;'“主要目标”数据分表'!$C$2,-1)</f>
        <v>0</v>
      </c>
      <c r="AT118" cm="1">
        <f t="array" ref="AT118">_xlfn.IFS(AG118&gt;'“主要目标”数据分表'!$D$2,1,AG118='“主要目标”数据分表'!$D$2,0,AG118&lt;'“主要目标”数据分表'!$D$2,-1)</f>
        <v>0</v>
      </c>
      <c r="AU118" cm="1">
        <f t="array" ref="AU118">_xlfn.IFS(AH118&gt;'“主要目标”数据分表'!$E$2,1,AH118='“主要目标”数据分表'!$E$2,0,AH118&lt;'“主要目标”数据分表'!$E$2,-1)</f>
        <v>0</v>
      </c>
      <c r="AV118" cm="1">
        <f t="array" ref="AV118">_xlfn.IFS(AI118&gt;'“主要目标”数据分表'!$F$2,1,AI118='“主要目标”数据分表'!$F$2,0,AI118&lt;'“主要目标”数据分表'!$F$2,-1)</f>
        <v>0</v>
      </c>
      <c r="AW118" cm="1">
        <f t="array" ref="AW118">_xlfn.IFS(AJ118&gt;'“主要目标”数据分表'!$G$2,1,AJ118='“主要目标”数据分表'!$G$2,0,AJ118&lt;'“主要目标”数据分表'!$G$2,-1)</f>
        <v>0</v>
      </c>
    </row>
    <row r="119" spans="1:49" ht="14.4" x14ac:dyDescent="0.25">
      <c r="A119" s="2">
        <v>16</v>
      </c>
      <c r="B119" s="2" t="s">
        <v>28</v>
      </c>
      <c r="C119" s="2">
        <v>2020</v>
      </c>
      <c r="D119" s="2">
        <v>22752</v>
      </c>
      <c r="E119" s="19">
        <v>69713.559505696496</v>
      </c>
      <c r="F119" s="2">
        <v>54997.07</v>
      </c>
      <c r="G119" s="3">
        <v>0.41369476592116633</v>
      </c>
      <c r="H119" s="2">
        <f t="shared" si="40"/>
        <v>6.5805848910199822E-3</v>
      </c>
      <c r="I119" s="16">
        <v>0.37158107038406368</v>
      </c>
      <c r="J119" s="2">
        <f t="shared" si="41"/>
        <v>1.320213439834419E-2</v>
      </c>
      <c r="K119">
        <v>1.2675867915453769</v>
      </c>
      <c r="L119">
        <f t="shared" si="27"/>
        <v>-4.7192705583545061E-3</v>
      </c>
      <c r="M119" s="2">
        <v>0</v>
      </c>
      <c r="N119" s="2">
        <v>0</v>
      </c>
      <c r="O119" s="4">
        <v>1</v>
      </c>
      <c r="P119">
        <v>0.8532602306335203</v>
      </c>
      <c r="Q119">
        <v>0.9296187683284457</v>
      </c>
      <c r="R119">
        <v>0.48746334310850442</v>
      </c>
      <c r="S119">
        <v>1.1000000000000001</v>
      </c>
      <c r="T119">
        <v>-1.0000000000000101E-2</v>
      </c>
      <c r="U119">
        <v>0.90445859872611467</v>
      </c>
      <c r="V119">
        <v>0.71311475409836067</v>
      </c>
      <c r="W119">
        <v>0.17037037037037039</v>
      </c>
      <c r="X119">
        <v>0.39466123889347904</v>
      </c>
      <c r="Y119">
        <v>0.66807165437302396</v>
      </c>
      <c r="Z119">
        <v>0.34957020057306598</v>
      </c>
      <c r="AA119">
        <v>0.31428571428571433</v>
      </c>
      <c r="AB119">
        <v>-5.8139534883721519E-3</v>
      </c>
      <c r="AC119">
        <v>0.73105205359103909</v>
      </c>
      <c r="AD119">
        <v>0.76235797241205816</v>
      </c>
      <c r="AE119">
        <v>0.19876543209876546</v>
      </c>
      <c r="AF119">
        <v>0.2</v>
      </c>
      <c r="AG119">
        <v>0.13500000000000001</v>
      </c>
      <c r="AH119">
        <v>0.18</v>
      </c>
      <c r="AI119">
        <v>0.25</v>
      </c>
      <c r="AJ119">
        <v>0.65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f t="shared" si="24"/>
        <v>1</v>
      </c>
      <c r="AQ119">
        <f t="shared" si="25"/>
        <v>1</v>
      </c>
      <c r="AR119">
        <f t="shared" si="26"/>
        <v>1</v>
      </c>
      <c r="AS119" cm="1">
        <f t="array" ref="AS119">_xlfn.IFS(AF119&gt;'“主要目标”数据分表'!$C$2,1,AF119='“主要目标”数据分表'!$C$2,0,AF119&lt;'“主要目标”数据分表'!$C$2,-1)</f>
        <v>0</v>
      </c>
      <c r="AT119" cm="1">
        <f t="array" ref="AT119">_xlfn.IFS(AG119&gt;'“主要目标”数据分表'!$D$2,1,AG119='“主要目标”数据分表'!$D$2,0,AG119&lt;'“主要目标”数据分表'!$D$2,-1)</f>
        <v>0</v>
      </c>
      <c r="AU119" cm="1">
        <f t="array" ref="AU119">_xlfn.IFS(AH119&gt;'“主要目标”数据分表'!$E$2,1,AH119='“主要目标”数据分表'!$E$2,0,AH119&lt;'“主要目标”数据分表'!$E$2,-1)</f>
        <v>0</v>
      </c>
      <c r="AV119" cm="1">
        <f t="array" ref="AV119">_xlfn.IFS(AI119&gt;'“主要目标”数据分表'!$F$2,1,AI119='“主要目标”数据分表'!$F$2,0,AI119&lt;'“主要目标”数据分表'!$F$2,-1)</f>
        <v>0</v>
      </c>
      <c r="AW119" cm="1">
        <f t="array" ref="AW119">_xlfn.IFS(AJ119&gt;'“主要目标”数据分表'!$G$2,1,AJ119='“主要目标”数据分表'!$G$2,0,AJ119&lt;'“主要目标”数据分表'!$G$2,-1)</f>
        <v>0</v>
      </c>
    </row>
    <row r="120" spans="1:49" ht="14.4" x14ac:dyDescent="0.25">
      <c r="A120" s="2">
        <v>16</v>
      </c>
      <c r="B120" s="2" t="s">
        <v>28</v>
      </c>
      <c r="C120" s="2">
        <v>2021</v>
      </c>
      <c r="D120" s="2">
        <v>23501</v>
      </c>
      <c r="E120" s="19">
        <v>72996.998770702296</v>
      </c>
      <c r="F120" s="2">
        <v>58887.405299999999</v>
      </c>
      <c r="G120" s="3">
        <v>0.39908363902730826</v>
      </c>
      <c r="H120" s="2">
        <f t="shared" si="40"/>
        <v>-3.5318616761620736E-2</v>
      </c>
      <c r="I120" s="16">
        <v>0.39479043449244261</v>
      </c>
      <c r="J120" s="2">
        <f t="shared" si="41"/>
        <v>6.2461104610065002E-2</v>
      </c>
      <c r="K120">
        <v>1.239602906577755</v>
      </c>
      <c r="L120">
        <f t="shared" si="27"/>
        <v>-2.2076504073938338E-2</v>
      </c>
      <c r="M120" s="2">
        <v>0</v>
      </c>
      <c r="N120" s="2">
        <v>0</v>
      </c>
      <c r="O120" s="4">
        <v>1</v>
      </c>
      <c r="P120">
        <v>0.8532602306335203</v>
      </c>
      <c r="Q120">
        <v>0.9296187683284457</v>
      </c>
      <c r="R120">
        <v>0.48746334310850442</v>
      </c>
      <c r="S120">
        <v>1.1000000000000001</v>
      </c>
      <c r="T120">
        <v>-1.0000000000000101E-2</v>
      </c>
      <c r="U120">
        <v>0.90445859872611467</v>
      </c>
      <c r="V120">
        <v>0.71311475409836067</v>
      </c>
      <c r="W120">
        <v>0.17037037037037039</v>
      </c>
      <c r="X120">
        <v>0.39466123889347904</v>
      </c>
      <c r="Y120">
        <v>0.66807165437302396</v>
      </c>
      <c r="Z120">
        <v>0.34957020057306598</v>
      </c>
      <c r="AA120">
        <v>0.31428571428571433</v>
      </c>
      <c r="AB120">
        <v>-5.8139534883721519E-3</v>
      </c>
      <c r="AC120">
        <v>0.73105205359103909</v>
      </c>
      <c r="AD120">
        <v>0.76235797241205816</v>
      </c>
      <c r="AE120">
        <v>0.19876543209876546</v>
      </c>
      <c r="AF120">
        <v>0.2</v>
      </c>
      <c r="AG120">
        <v>0.13500000000000001</v>
      </c>
      <c r="AH120">
        <v>0.18</v>
      </c>
      <c r="AI120">
        <v>0.25</v>
      </c>
      <c r="AJ120">
        <v>0.65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f t="shared" si="24"/>
        <v>1</v>
      </c>
      <c r="AQ120">
        <f t="shared" si="25"/>
        <v>1</v>
      </c>
      <c r="AR120">
        <f t="shared" si="26"/>
        <v>1</v>
      </c>
      <c r="AS120" cm="1">
        <f t="array" ref="AS120">_xlfn.IFS(AF120&gt;'“主要目标”数据分表'!$C$2,1,AF120='“主要目标”数据分表'!$C$2,0,AF120&lt;'“主要目标”数据分表'!$C$2,-1)</f>
        <v>0</v>
      </c>
      <c r="AT120" cm="1">
        <f t="array" ref="AT120">_xlfn.IFS(AG120&gt;'“主要目标”数据分表'!$D$2,1,AG120='“主要目标”数据分表'!$D$2,0,AG120&lt;'“主要目标”数据分表'!$D$2,-1)</f>
        <v>0</v>
      </c>
      <c r="AU120" cm="1">
        <f t="array" ref="AU120">_xlfn.IFS(AH120&gt;'“主要目标”数据分表'!$E$2,1,AH120='“主要目标”数据分表'!$E$2,0,AH120&lt;'“主要目标”数据分表'!$E$2,-1)</f>
        <v>0</v>
      </c>
      <c r="AV120" cm="1">
        <f t="array" ref="AV120">_xlfn.IFS(AI120&gt;'“主要目标”数据分表'!$F$2,1,AI120='“主要目标”数据分表'!$F$2,0,AI120&lt;'“主要目标”数据分表'!$F$2,-1)</f>
        <v>0</v>
      </c>
      <c r="AW120" cm="1">
        <f t="array" ref="AW120">_xlfn.IFS(AJ120&gt;'“主要目标”数据分表'!$G$2,1,AJ120='“主要目标”数据分表'!$G$2,0,AJ120&lt;'“主要目标”数据分表'!$G$2,-1)</f>
        <v>0</v>
      </c>
    </row>
    <row r="121" spans="1:49" ht="14.4" x14ac:dyDescent="0.25">
      <c r="A121" s="2">
        <v>16</v>
      </c>
      <c r="B121" s="2" t="s">
        <v>28</v>
      </c>
      <c r="C121" s="2">
        <v>2022</v>
      </c>
      <c r="D121" s="2">
        <v>24371</v>
      </c>
      <c r="E121" s="19">
        <v>71319.135017385604</v>
      </c>
      <c r="F121" s="2">
        <v>61345.1</v>
      </c>
      <c r="G121" s="3">
        <v>0.3972770441322942</v>
      </c>
      <c r="H121" s="2">
        <f t="shared" si="40"/>
        <v>-4.5268578271394303E-3</v>
      </c>
      <c r="I121" s="16">
        <v>0.40651461239536896</v>
      </c>
      <c r="J121" s="2">
        <f t="shared" si="41"/>
        <v>2.9697218773801826E-2</v>
      </c>
      <c r="K121">
        <v>1.1625889438176089</v>
      </c>
      <c r="L121">
        <f t="shared" si="27"/>
        <v>-6.2127930123012577E-2</v>
      </c>
      <c r="M121" s="2">
        <v>1</v>
      </c>
      <c r="N121" s="2">
        <v>0</v>
      </c>
      <c r="O121" s="4">
        <v>1</v>
      </c>
      <c r="P121">
        <v>0.8532602306335203</v>
      </c>
      <c r="Q121">
        <v>0.9296187683284457</v>
      </c>
      <c r="R121">
        <v>0.48746334310850442</v>
      </c>
      <c r="S121">
        <v>1.1000000000000001</v>
      </c>
      <c r="T121">
        <v>-1.0000000000000101E-2</v>
      </c>
      <c r="U121">
        <v>0.90445859872611467</v>
      </c>
      <c r="V121">
        <v>0.71311475409836067</v>
      </c>
      <c r="W121">
        <v>0.17037037037037039</v>
      </c>
      <c r="X121">
        <v>0.39466123889347904</v>
      </c>
      <c r="Y121">
        <v>0.66807165437302396</v>
      </c>
      <c r="Z121">
        <v>0.34957020057306598</v>
      </c>
      <c r="AA121">
        <v>0.31428571428571433</v>
      </c>
      <c r="AB121">
        <v>-5.8139534883721519E-3</v>
      </c>
      <c r="AC121">
        <v>0.73105205359103909</v>
      </c>
      <c r="AD121">
        <v>0.76235797241205816</v>
      </c>
      <c r="AE121">
        <v>0.19876543209876546</v>
      </c>
      <c r="AF121">
        <v>0.2</v>
      </c>
      <c r="AG121">
        <v>0.13500000000000001</v>
      </c>
      <c r="AH121">
        <v>0.18</v>
      </c>
      <c r="AI121">
        <v>0.25</v>
      </c>
      <c r="AJ121">
        <v>0.65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f t="shared" si="24"/>
        <v>1</v>
      </c>
      <c r="AQ121">
        <f t="shared" si="25"/>
        <v>1</v>
      </c>
      <c r="AR121">
        <f t="shared" si="26"/>
        <v>1</v>
      </c>
      <c r="AS121" cm="1">
        <f t="array" ref="AS121">_xlfn.IFS(AF121&gt;'“主要目标”数据分表'!$C$2,1,AF121='“主要目标”数据分表'!$C$2,0,AF121&lt;'“主要目标”数据分表'!$C$2,-1)</f>
        <v>0</v>
      </c>
      <c r="AT121" cm="1">
        <f t="array" ref="AT121">_xlfn.IFS(AG121&gt;'“主要目标”数据分表'!$D$2,1,AG121='“主要目标”数据分表'!$D$2,0,AG121&lt;'“主要目标”数据分表'!$D$2,-1)</f>
        <v>0</v>
      </c>
      <c r="AU121" cm="1">
        <f t="array" ref="AU121">_xlfn.IFS(AH121&gt;'“主要目标”数据分表'!$E$2,1,AH121='“主要目标”数据分表'!$E$2,0,AH121&lt;'“主要目标”数据分表'!$E$2,-1)</f>
        <v>0</v>
      </c>
      <c r="AV121" cm="1">
        <f t="array" ref="AV121">_xlfn.IFS(AI121&gt;'“主要目标”数据分表'!$F$2,1,AI121='“主要目标”数据分表'!$F$2,0,AI121&lt;'“主要目标”数据分表'!$F$2,-1)</f>
        <v>0</v>
      </c>
      <c r="AW121" cm="1">
        <f t="array" ref="AW121">_xlfn.IFS(AJ121&gt;'“主要目标”数据分表'!$G$2,1,AJ121='“主要目标”数据分表'!$G$2,0,AJ121&lt;'“主要目标”数据分表'!$G$2,-1)</f>
        <v>0</v>
      </c>
    </row>
    <row r="122" spans="1:49" ht="14.4" x14ac:dyDescent="0.25">
      <c r="A122" s="2">
        <v>17</v>
      </c>
      <c r="B122" s="2" t="s">
        <v>29</v>
      </c>
      <c r="C122" s="2">
        <v>2016</v>
      </c>
      <c r="D122" s="2">
        <v>15897</v>
      </c>
      <c r="E122" s="19">
        <v>44946.427783924402</v>
      </c>
      <c r="F122" s="2">
        <v>32665.38</v>
      </c>
      <c r="G122" s="3">
        <v>0.48666202566754158</v>
      </c>
      <c r="H122" s="2"/>
      <c r="I122" s="16">
        <v>0.22241516690060478</v>
      </c>
      <c r="K122">
        <v>1.3759652507922577</v>
      </c>
      <c r="L122"/>
      <c r="M122" s="2">
        <v>0</v>
      </c>
      <c r="N122" s="2">
        <v>0</v>
      </c>
      <c r="O122" s="4">
        <v>0</v>
      </c>
      <c r="P122" s="4">
        <v>0.99999999580495169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0.2</v>
      </c>
      <c r="AG122">
        <v>0.13500000000000001</v>
      </c>
      <c r="AH122">
        <v>0.18</v>
      </c>
      <c r="AI122">
        <v>0.25</v>
      </c>
      <c r="AJ122">
        <v>0.65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f t="shared" si="24"/>
        <v>1</v>
      </c>
      <c r="AQ122">
        <f t="shared" si="25"/>
        <v>1</v>
      </c>
      <c r="AR122">
        <f t="shared" si="26"/>
        <v>1</v>
      </c>
      <c r="AS122" cm="1">
        <f t="array" ref="AS122">_xlfn.IFS(AF122&gt;'“主要目标”数据分表'!$C$2,1,AF122='“主要目标”数据分表'!$C$2,0,AF122&lt;'“主要目标”数据分表'!$C$2,-1)</f>
        <v>0</v>
      </c>
      <c r="AT122" cm="1">
        <f t="array" ref="AT122">_xlfn.IFS(AG122&gt;'“主要目标”数据分表'!$D$2,1,AG122='“主要目标”数据分表'!$D$2,0,AG122&lt;'“主要目标”数据分表'!$D$2,-1)</f>
        <v>0</v>
      </c>
      <c r="AU122" cm="1">
        <f t="array" ref="AU122">_xlfn.IFS(AH122&gt;'“主要目标”数据分表'!$E$2,1,AH122='“主要目标”数据分表'!$E$2,0,AH122&lt;'“主要目标”数据分表'!$E$2,-1)</f>
        <v>0</v>
      </c>
      <c r="AV122" cm="1">
        <f t="array" ref="AV122">_xlfn.IFS(AI122&gt;'“主要目标”数据分表'!$F$2,1,AI122='“主要目标”数据分表'!$F$2,0,AI122&lt;'“主要目标”数据分表'!$F$2,-1)</f>
        <v>0</v>
      </c>
      <c r="AW122" cm="1">
        <f t="array" ref="AW122">_xlfn.IFS(AJ122&gt;'“主要目标”数据分表'!$G$2,1,AJ122='“主要目标”数据分表'!$G$2,0,AJ122&lt;'“主要目标”数据分表'!$G$2,-1)</f>
        <v>0</v>
      </c>
    </row>
    <row r="123" spans="1:49" ht="14.4" x14ac:dyDescent="0.25">
      <c r="A123" s="2">
        <v>17</v>
      </c>
      <c r="B123" s="2" t="s">
        <v>29</v>
      </c>
      <c r="C123" s="2">
        <v>2017</v>
      </c>
      <c r="D123" s="2">
        <v>16180</v>
      </c>
      <c r="E123" s="19">
        <v>45329.459439180602</v>
      </c>
      <c r="F123" s="2">
        <v>35478.089999999997</v>
      </c>
      <c r="G123" s="3">
        <v>0.45605611801537232</v>
      </c>
      <c r="H123" s="2">
        <f>(G123-G122)/G122</f>
        <v>-6.2889451072719163E-2</v>
      </c>
      <c r="I123" s="16">
        <v>0.23094083775105359</v>
      </c>
      <c r="J123" s="2">
        <f>(I123-I122)/I122</f>
        <v>3.8332236822045722E-2</v>
      </c>
      <c r="K123">
        <v>1.27767474064079</v>
      </c>
      <c r="L123">
        <f t="shared" si="27"/>
        <v>-7.1433860771464755E-2</v>
      </c>
      <c r="M123" s="2">
        <v>0</v>
      </c>
      <c r="N123" s="2">
        <v>0</v>
      </c>
      <c r="O123" s="4">
        <v>0</v>
      </c>
      <c r="P123" s="4">
        <v>0.99999999580495169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0.2</v>
      </c>
      <c r="AG123">
        <v>0.13500000000000001</v>
      </c>
      <c r="AH123">
        <v>0.18</v>
      </c>
      <c r="AI123">
        <v>0.25</v>
      </c>
      <c r="AJ123">
        <v>0.65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f t="shared" si="24"/>
        <v>1</v>
      </c>
      <c r="AQ123">
        <f t="shared" si="25"/>
        <v>1</v>
      </c>
      <c r="AR123">
        <f t="shared" si="26"/>
        <v>1</v>
      </c>
      <c r="AS123" cm="1">
        <f t="array" ref="AS123">_xlfn.IFS(AF123&gt;'“主要目标”数据分表'!$C$2,1,AF123='“主要目标”数据分表'!$C$2,0,AF123&lt;'“主要目标”数据分表'!$C$2,-1)</f>
        <v>0</v>
      </c>
      <c r="AT123" cm="1">
        <f t="array" ref="AT123">_xlfn.IFS(AG123&gt;'“主要目标”数据分表'!$D$2,1,AG123='“主要目标”数据分表'!$D$2,0,AG123&lt;'“主要目标”数据分表'!$D$2,-1)</f>
        <v>0</v>
      </c>
      <c r="AU123" cm="1">
        <f t="array" ref="AU123">_xlfn.IFS(AH123&gt;'“主要目标”数据分表'!$E$2,1,AH123='“主要目标”数据分表'!$E$2,0,AH123&lt;'“主要目标”数据分表'!$E$2,-1)</f>
        <v>0</v>
      </c>
      <c r="AV123" cm="1">
        <f t="array" ref="AV123">_xlfn.IFS(AI123&gt;'“主要目标”数据分表'!$F$2,1,AI123='“主要目标”数据分表'!$F$2,0,AI123&lt;'“主要目标”数据分表'!$F$2,-1)</f>
        <v>0</v>
      </c>
      <c r="AW123" cm="1">
        <f t="array" ref="AW123">_xlfn.IFS(AJ123&gt;'“主要目标”数据分表'!$G$2,1,AJ123='“主要目标”数据分表'!$G$2,0,AJ123&lt;'“主要目标”数据分表'!$G$2,-1)</f>
        <v>0</v>
      </c>
    </row>
    <row r="124" spans="1:49" ht="14.4" x14ac:dyDescent="0.25">
      <c r="A124" s="2">
        <v>17</v>
      </c>
      <c r="B124" s="2" t="s">
        <v>29</v>
      </c>
      <c r="C124" s="2">
        <v>2018</v>
      </c>
      <c r="D124" s="2">
        <v>16682</v>
      </c>
      <c r="E124" s="19">
        <v>47042.851246141603</v>
      </c>
      <c r="F124" s="2">
        <v>39366.550000000003</v>
      </c>
      <c r="G124" s="3">
        <v>0.42376078167886183</v>
      </c>
      <c r="H124" s="2">
        <f t="shared" ref="H124:H128" si="42">(G124-G123)/G123</f>
        <v>-7.081439116977685E-2</v>
      </c>
      <c r="I124" s="16">
        <v>0.2567813538160692</v>
      </c>
      <c r="J124" s="2">
        <f t="shared" ref="J124:J128" si="43">(I124-I123)/I123</f>
        <v>0.11189236306863498</v>
      </c>
      <c r="K124">
        <v>1.1949955291012699</v>
      </c>
      <c r="L124">
        <f t="shared" si="27"/>
        <v>-6.4710688025384391E-2</v>
      </c>
      <c r="M124" s="2">
        <v>0</v>
      </c>
      <c r="N124" s="2">
        <v>0</v>
      </c>
      <c r="O124" s="4">
        <v>0</v>
      </c>
      <c r="P124" s="4">
        <v>0.99999999580495169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0.2</v>
      </c>
      <c r="AG124">
        <v>0.13500000000000001</v>
      </c>
      <c r="AH124">
        <v>0.18</v>
      </c>
      <c r="AI124">
        <v>0.25</v>
      </c>
      <c r="AJ124">
        <v>0.65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f t="shared" si="24"/>
        <v>1</v>
      </c>
      <c r="AQ124">
        <f t="shared" si="25"/>
        <v>1</v>
      </c>
      <c r="AR124">
        <f t="shared" si="26"/>
        <v>1</v>
      </c>
      <c r="AS124" cm="1">
        <f t="array" ref="AS124">_xlfn.IFS(AF124&gt;'“主要目标”数据分表'!$C$2,1,AF124='“主要目标”数据分表'!$C$2,0,AF124&lt;'“主要目标”数据分表'!$C$2,-1)</f>
        <v>0</v>
      </c>
      <c r="AT124" cm="1">
        <f t="array" ref="AT124">_xlfn.IFS(AG124&gt;'“主要目标”数据分表'!$D$2,1,AG124='“主要目标”数据分表'!$D$2,0,AG124&lt;'“主要目标”数据分表'!$D$2,-1)</f>
        <v>0</v>
      </c>
      <c r="AU124" cm="1">
        <f t="array" ref="AU124">_xlfn.IFS(AH124&gt;'“主要目标”数据分表'!$E$2,1,AH124='“主要目标”数据分表'!$E$2,0,AH124&lt;'“主要目标”数据分表'!$E$2,-1)</f>
        <v>0</v>
      </c>
      <c r="AV124" cm="1">
        <f t="array" ref="AV124">_xlfn.IFS(AI124&gt;'“主要目标”数据分表'!$F$2,1,AI124='“主要目标”数据分表'!$F$2,0,AI124&lt;'“主要目标”数据分表'!$F$2,-1)</f>
        <v>0</v>
      </c>
      <c r="AW124" cm="1">
        <f t="array" ref="AW124">_xlfn.IFS(AJ124&gt;'“主要目标”数据分表'!$G$2,1,AJ124='“主要目标”数据分表'!$G$2,0,AJ124&lt;'“主要目标”数据分表'!$G$2,-1)</f>
        <v>0</v>
      </c>
    </row>
    <row r="125" spans="1:49" ht="14.4" x14ac:dyDescent="0.25">
      <c r="A125" s="2">
        <v>17</v>
      </c>
      <c r="B125" s="2" t="s">
        <v>29</v>
      </c>
      <c r="C125" s="2">
        <v>2019</v>
      </c>
      <c r="D125" s="2">
        <v>17316</v>
      </c>
      <c r="E125" s="19">
        <v>49041.717940936702</v>
      </c>
      <c r="F125" s="2">
        <v>45828.31</v>
      </c>
      <c r="G125" s="3">
        <v>0.37784504818091702</v>
      </c>
      <c r="H125" s="2">
        <f t="shared" si="42"/>
        <v>-0.10835295639213041</v>
      </c>
      <c r="I125" s="16">
        <v>0.26637264964072332</v>
      </c>
      <c r="J125" s="2">
        <f t="shared" si="43"/>
        <v>3.7351994925318079E-2</v>
      </c>
      <c r="K125">
        <v>1.0701184036883906</v>
      </c>
      <c r="L125">
        <f t="shared" si="27"/>
        <v>-0.10450007750806957</v>
      </c>
      <c r="M125" s="2">
        <v>0</v>
      </c>
      <c r="N125" s="2">
        <v>0</v>
      </c>
      <c r="O125" s="4">
        <v>0</v>
      </c>
      <c r="P125" s="4">
        <v>0.99999999580495169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0.2</v>
      </c>
      <c r="AG125">
        <v>0.13500000000000001</v>
      </c>
      <c r="AH125">
        <v>0.18</v>
      </c>
      <c r="AI125">
        <v>0.25</v>
      </c>
      <c r="AJ125">
        <v>0.65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f t="shared" si="24"/>
        <v>1</v>
      </c>
      <c r="AQ125">
        <f t="shared" si="25"/>
        <v>1</v>
      </c>
      <c r="AR125">
        <f t="shared" si="26"/>
        <v>1</v>
      </c>
      <c r="AS125" cm="1">
        <f t="array" ref="AS125">_xlfn.IFS(AF125&gt;'“主要目标”数据分表'!$C$2,1,AF125='“主要目标”数据分表'!$C$2,0,AF125&lt;'“主要目标”数据分表'!$C$2,-1)</f>
        <v>0</v>
      </c>
      <c r="AT125" cm="1">
        <f t="array" ref="AT125">_xlfn.IFS(AG125&gt;'“主要目标”数据分表'!$D$2,1,AG125='“主要目标”数据分表'!$D$2,0,AG125&lt;'“主要目标”数据分表'!$D$2,-1)</f>
        <v>0</v>
      </c>
      <c r="AU125" cm="1">
        <f t="array" ref="AU125">_xlfn.IFS(AH125&gt;'“主要目标”数据分表'!$E$2,1,AH125='“主要目标”数据分表'!$E$2,0,AH125&lt;'“主要目标”数据分表'!$E$2,-1)</f>
        <v>0</v>
      </c>
      <c r="AV125" cm="1">
        <f t="array" ref="AV125">_xlfn.IFS(AI125&gt;'“主要目标”数据分表'!$F$2,1,AI125='“主要目标”数据分表'!$F$2,0,AI125&lt;'“主要目标”数据分表'!$F$2,-1)</f>
        <v>0</v>
      </c>
      <c r="AW125" cm="1">
        <f t="array" ref="AW125">_xlfn.IFS(AJ125&gt;'“主要目标”数据分表'!$G$2,1,AJ125='“主要目标”数据分表'!$G$2,0,AJ125&lt;'“主要目标”数据分表'!$G$2,-1)</f>
        <v>0</v>
      </c>
    </row>
    <row r="126" spans="1:49" ht="14.4" x14ac:dyDescent="0.25">
      <c r="A126" s="2">
        <v>17</v>
      </c>
      <c r="B126" s="2" t="s">
        <v>29</v>
      </c>
      <c r="C126" s="2">
        <v>2020</v>
      </c>
      <c r="D126" s="2">
        <v>16251.46</v>
      </c>
      <c r="E126" s="19">
        <v>49493.283946046904</v>
      </c>
      <c r="F126" s="2">
        <v>43443.46</v>
      </c>
      <c r="G126" s="3">
        <v>0.37408300351767559</v>
      </c>
      <c r="H126" s="2">
        <f t="shared" si="42"/>
        <v>-9.9565805648460185E-3</v>
      </c>
      <c r="I126" s="16">
        <v>0.27076394847982033</v>
      </c>
      <c r="J126" s="2">
        <f t="shared" si="43"/>
        <v>1.6485547014754985E-2</v>
      </c>
      <c r="K126">
        <v>1.1392574151793367</v>
      </c>
      <c r="L126">
        <f t="shared" si="27"/>
        <v>6.4608749137145691E-2</v>
      </c>
      <c r="M126" s="2">
        <v>0</v>
      </c>
      <c r="N126" s="2">
        <v>0</v>
      </c>
      <c r="O126" s="4">
        <v>0</v>
      </c>
      <c r="P126" s="4">
        <v>0.99999999580495169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0.2</v>
      </c>
      <c r="AG126">
        <v>0.13500000000000001</v>
      </c>
      <c r="AH126">
        <v>0.18</v>
      </c>
      <c r="AI126">
        <v>0.25</v>
      </c>
      <c r="AJ126">
        <v>0.65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f t="shared" si="24"/>
        <v>1</v>
      </c>
      <c r="AQ126">
        <f t="shared" si="25"/>
        <v>1</v>
      </c>
      <c r="AR126">
        <f t="shared" si="26"/>
        <v>1</v>
      </c>
      <c r="AS126" cm="1">
        <f t="array" ref="AS126">_xlfn.IFS(AF126&gt;'“主要目标”数据分表'!$C$2,1,AF126='“主要目标”数据分表'!$C$2,0,AF126&lt;'“主要目标”数据分表'!$C$2,-1)</f>
        <v>0</v>
      </c>
      <c r="AT126" cm="1">
        <f t="array" ref="AT126">_xlfn.IFS(AG126&gt;'“主要目标”数据分表'!$D$2,1,AG126='“主要目标”数据分表'!$D$2,0,AG126&lt;'“主要目标”数据分表'!$D$2,-1)</f>
        <v>0</v>
      </c>
      <c r="AU126" cm="1">
        <f t="array" ref="AU126">_xlfn.IFS(AH126&gt;'“主要目标”数据分表'!$E$2,1,AH126='“主要目标”数据分表'!$E$2,0,AH126&lt;'“主要目标”数据分表'!$E$2,-1)</f>
        <v>0</v>
      </c>
      <c r="AV126" cm="1">
        <f t="array" ref="AV126">_xlfn.IFS(AI126&gt;'“主要目标”数据分表'!$F$2,1,AI126='“主要目标”数据分表'!$F$2,0,AI126&lt;'“主要目标”数据分表'!$F$2,-1)</f>
        <v>0</v>
      </c>
      <c r="AW126" cm="1">
        <f t="array" ref="AW126">_xlfn.IFS(AJ126&gt;'“主要目标”数据分表'!$G$2,1,AJ126='“主要目标”数据分表'!$G$2,0,AJ126&lt;'“主要目标”数据分表'!$G$2,-1)</f>
        <v>0</v>
      </c>
    </row>
    <row r="127" spans="1:49" ht="14.4" x14ac:dyDescent="0.25">
      <c r="A127" s="2">
        <v>17</v>
      </c>
      <c r="B127" s="2" t="s">
        <v>29</v>
      </c>
      <c r="C127" s="2">
        <v>2021</v>
      </c>
      <c r="D127" s="2">
        <v>18191.596313034799</v>
      </c>
      <c r="E127" s="19">
        <v>51579.920364199701</v>
      </c>
      <c r="F127" s="2">
        <v>50012.936900000001</v>
      </c>
      <c r="G127" s="3">
        <v>0.36373781346631534</v>
      </c>
      <c r="H127" s="2">
        <f t="shared" si="42"/>
        <v>-2.7654798411260721E-2</v>
      </c>
      <c r="I127" s="16">
        <v>0.27757423954398414</v>
      </c>
      <c r="J127" s="2">
        <f t="shared" si="43"/>
        <v>2.5152133813971807E-2</v>
      </c>
      <c r="K127">
        <v>1.0313315626181454</v>
      </c>
      <c r="L127">
        <f t="shared" si="27"/>
        <v>-9.473350897101869E-2</v>
      </c>
      <c r="M127" s="2">
        <v>0</v>
      </c>
      <c r="N127" s="2">
        <v>0</v>
      </c>
      <c r="O127" s="4">
        <v>0</v>
      </c>
      <c r="P127" s="4">
        <v>0.99999999580495169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0.2</v>
      </c>
      <c r="AG127">
        <v>0.13500000000000001</v>
      </c>
      <c r="AH127">
        <v>0.18</v>
      </c>
      <c r="AI127">
        <v>0.25</v>
      </c>
      <c r="AJ127">
        <v>0.65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f t="shared" si="24"/>
        <v>1</v>
      </c>
      <c r="AQ127">
        <f t="shared" si="25"/>
        <v>1</v>
      </c>
      <c r="AR127">
        <f t="shared" si="26"/>
        <v>1</v>
      </c>
      <c r="AS127" cm="1">
        <f t="array" ref="AS127">_xlfn.IFS(AF127&gt;'“主要目标”数据分表'!$C$2,1,AF127='“主要目标”数据分表'!$C$2,0,AF127&lt;'“主要目标”数据分表'!$C$2,-1)</f>
        <v>0</v>
      </c>
      <c r="AT127" cm="1">
        <f t="array" ref="AT127">_xlfn.IFS(AG127&gt;'“主要目标”数据分表'!$D$2,1,AG127='“主要目标”数据分表'!$D$2,0,AG127&lt;'“主要目标”数据分表'!$D$2,-1)</f>
        <v>0</v>
      </c>
      <c r="AU127" cm="1">
        <f t="array" ref="AU127">_xlfn.IFS(AH127&gt;'“主要目标”数据分表'!$E$2,1,AH127='“主要目标”数据分表'!$E$2,0,AH127&lt;'“主要目标”数据分表'!$E$2,-1)</f>
        <v>0</v>
      </c>
      <c r="AV127" cm="1">
        <f t="array" ref="AV127">_xlfn.IFS(AI127&gt;'“主要目标”数据分表'!$F$2,1,AI127='“主要目标”数据分表'!$F$2,0,AI127&lt;'“主要目标”数据分表'!$F$2,-1)</f>
        <v>0</v>
      </c>
      <c r="AW127" cm="1">
        <f t="array" ref="AW127">_xlfn.IFS(AJ127&gt;'“主要目标”数据分表'!$G$2,1,AJ127='“主要目标”数据分表'!$G$2,0,AJ127&lt;'“主要目标”数据分表'!$G$2,-1)</f>
        <v>0</v>
      </c>
    </row>
    <row r="128" spans="1:49" ht="14.4" x14ac:dyDescent="0.25">
      <c r="A128" s="2">
        <v>17</v>
      </c>
      <c r="B128" s="2" t="s">
        <v>29</v>
      </c>
      <c r="C128" s="2">
        <v>2022</v>
      </c>
      <c r="D128" s="2">
        <v>18627</v>
      </c>
      <c r="E128" s="19">
        <v>50302.038437968498</v>
      </c>
      <c r="F128" s="2">
        <v>53734.9</v>
      </c>
      <c r="G128" s="3">
        <v>0.34664622061267442</v>
      </c>
      <c r="H128" s="2">
        <f t="shared" si="42"/>
        <v>-4.698877108971164E-2</v>
      </c>
      <c r="I128" s="16">
        <v>0.2930218361679805</v>
      </c>
      <c r="J128" s="2">
        <f t="shared" si="43"/>
        <v>5.5652126254131559E-2</v>
      </c>
      <c r="K128">
        <v>0.9361148608812615</v>
      </c>
      <c r="L128">
        <f t="shared" si="27"/>
        <v>-9.2324045135558669E-2</v>
      </c>
      <c r="M128" s="2">
        <v>1</v>
      </c>
      <c r="N128" s="2">
        <v>0</v>
      </c>
      <c r="O128" s="4">
        <v>0</v>
      </c>
      <c r="P128" s="4">
        <v>0.99999999580495169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0.2</v>
      </c>
      <c r="AG128">
        <v>0.13500000000000001</v>
      </c>
      <c r="AH128">
        <v>0.18</v>
      </c>
      <c r="AI128">
        <v>0.25</v>
      </c>
      <c r="AJ128">
        <v>0.65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f t="shared" si="24"/>
        <v>1</v>
      </c>
      <c r="AQ128">
        <f t="shared" si="25"/>
        <v>1</v>
      </c>
      <c r="AR128">
        <f t="shared" si="26"/>
        <v>1</v>
      </c>
      <c r="AS128" cm="1">
        <f t="array" ref="AS128">_xlfn.IFS(AF128&gt;'“主要目标”数据分表'!$C$2,1,AF128='“主要目标”数据分表'!$C$2,0,AF128&lt;'“主要目标”数据分表'!$C$2,-1)</f>
        <v>0</v>
      </c>
      <c r="AT128" cm="1">
        <f t="array" ref="AT128">_xlfn.IFS(AG128&gt;'“主要目标”数据分表'!$D$2,1,AG128='“主要目标”数据分表'!$D$2,0,AG128&lt;'“主要目标”数据分表'!$D$2,-1)</f>
        <v>0</v>
      </c>
      <c r="AU128" cm="1">
        <f t="array" ref="AU128">_xlfn.IFS(AH128&gt;'“主要目标”数据分表'!$E$2,1,AH128='“主要目标”数据分表'!$E$2,0,AH128&lt;'“主要目标”数据分表'!$E$2,-1)</f>
        <v>0</v>
      </c>
      <c r="AV128" cm="1">
        <f t="array" ref="AV128">_xlfn.IFS(AI128&gt;'“主要目标”数据分表'!$F$2,1,AI128='“主要目标”数据分表'!$F$2,0,AI128&lt;'“主要目标”数据分表'!$F$2,-1)</f>
        <v>0</v>
      </c>
      <c r="AW128" cm="1">
        <f t="array" ref="AW128">_xlfn.IFS(AJ128&gt;'“主要目标”数据分表'!$G$2,1,AJ128='“主要目标”数据分表'!$G$2,0,AJ128&lt;'“主要目标”数据分表'!$G$2,-1)</f>
        <v>0</v>
      </c>
    </row>
    <row r="129" spans="1:49" ht="14.4" x14ac:dyDescent="0.25">
      <c r="A129" s="2">
        <v>18</v>
      </c>
      <c r="B129" s="2" t="s">
        <v>30</v>
      </c>
      <c r="C129" s="2">
        <v>2016</v>
      </c>
      <c r="D129" s="2">
        <v>14845</v>
      </c>
      <c r="E129" s="19">
        <v>25507.857491740899</v>
      </c>
      <c r="F129" s="2">
        <v>31551.37</v>
      </c>
      <c r="G129" s="3">
        <v>0.47050254870073788</v>
      </c>
      <c r="H129" s="2"/>
      <c r="I129" s="16">
        <v>0.23809593664866158</v>
      </c>
      <c r="K129">
        <v>0.80845483070119928</v>
      </c>
      <c r="L129"/>
      <c r="M129" s="2">
        <v>0</v>
      </c>
      <c r="N129" s="2">
        <v>0</v>
      </c>
      <c r="O129" s="4">
        <v>1</v>
      </c>
      <c r="P129">
        <v>0.83605737927372503</v>
      </c>
      <c r="Q129">
        <v>-0.23460410557184749</v>
      </c>
      <c r="R129">
        <v>-0.39348961969929708</v>
      </c>
      <c r="S129">
        <v>2.2000000000000002</v>
      </c>
      <c r="T129">
        <v>-0.21999999999999989</v>
      </c>
      <c r="U129">
        <v>-0.3</v>
      </c>
      <c r="V129">
        <v>-0.29504504504504497</v>
      </c>
      <c r="W129">
        <v>-0.21649484536082481</v>
      </c>
      <c r="X129">
        <v>0.32369511244866517</v>
      </c>
      <c r="Y129">
        <v>-0.16859852476290824</v>
      </c>
      <c r="Z129">
        <v>-0.282179669971789</v>
      </c>
      <c r="AA129">
        <v>0.62857142857142867</v>
      </c>
      <c r="AB129">
        <v>-0.127906976744186</v>
      </c>
      <c r="AC129">
        <v>-0.24248275862068971</v>
      </c>
      <c r="AD129">
        <v>-0.31541899956222197</v>
      </c>
      <c r="AE129">
        <v>-0.25257731958762897</v>
      </c>
      <c r="AF129">
        <v>0.22</v>
      </c>
      <c r="AG129">
        <v>0.13500000000000001</v>
      </c>
      <c r="AH129">
        <v>0.18</v>
      </c>
      <c r="AI129">
        <v>0.25</v>
      </c>
      <c r="AJ129">
        <v>0.65</v>
      </c>
      <c r="AK129">
        <v>1.0999999999999999</v>
      </c>
      <c r="AL129">
        <v>1</v>
      </c>
      <c r="AM129">
        <v>1</v>
      </c>
      <c r="AN129">
        <v>1</v>
      </c>
      <c r="AO129">
        <v>1</v>
      </c>
      <c r="AP129">
        <f t="shared" si="24"/>
        <v>1.0499999999999998</v>
      </c>
      <c r="AQ129">
        <f t="shared" si="25"/>
        <v>1</v>
      </c>
      <c r="AR129">
        <f t="shared" si="26"/>
        <v>1</v>
      </c>
      <c r="AS129" cm="1">
        <f t="array" ref="AS129">_xlfn.IFS(AF129&gt;'“主要目标”数据分表'!$C$2,1,AF129='“主要目标”数据分表'!$C$2,0,AF129&lt;'“主要目标”数据分表'!$C$2,-1)</f>
        <v>1</v>
      </c>
      <c r="AT129" cm="1">
        <f t="array" ref="AT129">_xlfn.IFS(AG129&gt;'“主要目标”数据分表'!$D$2,1,AG129='“主要目标”数据分表'!$D$2,0,AG129&lt;'“主要目标”数据分表'!$D$2,-1)</f>
        <v>0</v>
      </c>
      <c r="AU129" cm="1">
        <f t="array" ref="AU129">_xlfn.IFS(AH129&gt;'“主要目标”数据分表'!$E$2,1,AH129='“主要目标”数据分表'!$E$2,0,AH129&lt;'“主要目标”数据分表'!$E$2,-1)</f>
        <v>0</v>
      </c>
      <c r="AV129" cm="1">
        <f t="array" ref="AV129">_xlfn.IFS(AI129&gt;'“主要目标”数据分表'!$F$2,1,AI129='“主要目标”数据分表'!$F$2,0,AI129&lt;'“主要目标”数据分表'!$F$2,-1)</f>
        <v>0</v>
      </c>
      <c r="AW129" cm="1">
        <f t="array" ref="AW129">_xlfn.IFS(AJ129&gt;'“主要目标”数据分表'!$G$2,1,AJ129='“主要目标”数据分表'!$G$2,0,AJ129&lt;'“主要目标”数据分表'!$G$2,-1)</f>
        <v>0</v>
      </c>
    </row>
    <row r="130" spans="1:49" ht="14.4" x14ac:dyDescent="0.25">
      <c r="A130" s="2">
        <v>18</v>
      </c>
      <c r="B130" s="2" t="s">
        <v>30</v>
      </c>
      <c r="C130" s="2">
        <v>2017</v>
      </c>
      <c r="D130" s="2">
        <v>15200</v>
      </c>
      <c r="E130" s="19">
        <v>25463.4463915425</v>
      </c>
      <c r="F130" s="2">
        <v>33902.959999999999</v>
      </c>
      <c r="G130" s="3">
        <v>0.44833843416622032</v>
      </c>
      <c r="H130" s="2">
        <f>(G130-G129)/G129</f>
        <v>-4.7107320875779124E-2</v>
      </c>
      <c r="I130" s="16">
        <v>0.21590027024159655</v>
      </c>
      <c r="J130" s="2">
        <f>(I130-I129)/I129</f>
        <v>-9.3221525404767094E-2</v>
      </c>
      <c r="K130">
        <v>0.75106853181971434</v>
      </c>
      <c r="L130">
        <f t="shared" si="27"/>
        <v>-7.0982690315192914E-2</v>
      </c>
      <c r="M130" s="2">
        <v>0</v>
      </c>
      <c r="N130" s="2">
        <v>0</v>
      </c>
      <c r="O130" s="4">
        <v>1</v>
      </c>
      <c r="P130">
        <v>0.83605737927372503</v>
      </c>
      <c r="Q130">
        <v>-0.23460410557184749</v>
      </c>
      <c r="R130">
        <v>-0.39348961969929708</v>
      </c>
      <c r="S130">
        <v>2.2000000000000002</v>
      </c>
      <c r="T130">
        <v>-0.21999999999999989</v>
      </c>
      <c r="U130">
        <v>-0.3</v>
      </c>
      <c r="V130">
        <v>-0.29504504504504497</v>
      </c>
      <c r="W130">
        <v>-0.21649484536082481</v>
      </c>
      <c r="X130">
        <v>0.32369511244866517</v>
      </c>
      <c r="Y130">
        <v>-0.16859852476290824</v>
      </c>
      <c r="Z130">
        <v>-0.282179669971789</v>
      </c>
      <c r="AA130">
        <v>0.62857142857142867</v>
      </c>
      <c r="AB130">
        <v>-0.127906976744186</v>
      </c>
      <c r="AC130">
        <v>-0.24248275862068971</v>
      </c>
      <c r="AD130">
        <v>-0.31541899956222197</v>
      </c>
      <c r="AE130">
        <v>-0.25257731958762897</v>
      </c>
      <c r="AF130">
        <v>0.22</v>
      </c>
      <c r="AG130">
        <v>0.13500000000000001</v>
      </c>
      <c r="AH130">
        <v>0.18</v>
      </c>
      <c r="AI130">
        <v>0.25</v>
      </c>
      <c r="AJ130">
        <v>0.65</v>
      </c>
      <c r="AK130">
        <v>1.0999999999999999</v>
      </c>
      <c r="AL130">
        <v>1</v>
      </c>
      <c r="AM130">
        <v>1</v>
      </c>
      <c r="AN130">
        <v>1</v>
      </c>
      <c r="AO130">
        <v>1</v>
      </c>
      <c r="AP130">
        <f t="shared" si="24"/>
        <v>1.0499999999999998</v>
      </c>
      <c r="AQ130">
        <f t="shared" si="25"/>
        <v>1</v>
      </c>
      <c r="AR130">
        <f t="shared" si="26"/>
        <v>1</v>
      </c>
      <c r="AS130" cm="1">
        <f t="array" ref="AS130">_xlfn.IFS(AF130&gt;'“主要目标”数据分表'!$C$2,1,AF130='“主要目标”数据分表'!$C$2,0,AF130&lt;'“主要目标”数据分表'!$C$2,-1)</f>
        <v>1</v>
      </c>
      <c r="AT130" cm="1">
        <f t="array" ref="AT130">_xlfn.IFS(AG130&gt;'“主要目标”数据分表'!$D$2,1,AG130='“主要目标”数据分表'!$D$2,0,AG130&lt;'“主要目标”数据分表'!$D$2,-1)</f>
        <v>0</v>
      </c>
      <c r="AU130" cm="1">
        <f t="array" ref="AU130">_xlfn.IFS(AH130&gt;'“主要目标”数据分表'!$E$2,1,AH130='“主要目标”数据分表'!$E$2,0,AH130&lt;'“主要目标”数据分表'!$E$2,-1)</f>
        <v>0</v>
      </c>
      <c r="AV130" cm="1">
        <f t="array" ref="AV130">_xlfn.IFS(AI130&gt;'“主要目标”数据分表'!$F$2,1,AI130='“主要目标”数据分表'!$F$2,0,AI130&lt;'“主要目标”数据分表'!$F$2,-1)</f>
        <v>0</v>
      </c>
      <c r="AW130" cm="1">
        <f t="array" ref="AW130">_xlfn.IFS(AJ130&gt;'“主要目标”数据分表'!$G$2,1,AJ130='“主要目标”数据分表'!$G$2,0,AJ130&lt;'“主要目标”数据分表'!$G$2,-1)</f>
        <v>0</v>
      </c>
    </row>
    <row r="131" spans="1:49" ht="14.4" x14ac:dyDescent="0.25">
      <c r="A131" s="2">
        <v>18</v>
      </c>
      <c r="B131" s="2" t="s">
        <v>30</v>
      </c>
      <c r="C131" s="2">
        <v>2018</v>
      </c>
      <c r="D131" s="2">
        <v>15544</v>
      </c>
      <c r="E131" s="19">
        <v>25947.5240586451</v>
      </c>
      <c r="F131" s="2">
        <v>36425.78</v>
      </c>
      <c r="G131" s="3">
        <v>0.42673073850443288</v>
      </c>
      <c r="H131" s="2">
        <f t="shared" ref="H131:H135" si="44">(G131-G130)/G130</f>
        <v>-4.8195055375904808E-2</v>
      </c>
      <c r="I131" s="16">
        <v>0.25256512334268472</v>
      </c>
      <c r="J131" s="2">
        <f t="shared" ref="J131:J135" si="45">(I131-I130)/I130</f>
        <v>0.16982309961937281</v>
      </c>
      <c r="K131">
        <v>0.71233955892351797</v>
      </c>
      <c r="L131">
        <f t="shared" si="27"/>
        <v>-5.1565165168566574E-2</v>
      </c>
      <c r="M131" s="2">
        <v>0</v>
      </c>
      <c r="N131" s="2">
        <v>0</v>
      </c>
      <c r="O131" s="4">
        <v>1</v>
      </c>
      <c r="P131">
        <v>0.83605737927372503</v>
      </c>
      <c r="Q131">
        <v>-0.23460410557184749</v>
      </c>
      <c r="R131">
        <v>-0.39348961969929708</v>
      </c>
      <c r="S131">
        <v>2.2000000000000002</v>
      </c>
      <c r="T131">
        <v>-0.21999999999999989</v>
      </c>
      <c r="U131">
        <v>-0.3</v>
      </c>
      <c r="V131">
        <v>-0.29504504504504497</v>
      </c>
      <c r="W131">
        <v>-0.21649484536082481</v>
      </c>
      <c r="X131">
        <v>0.32369511244866517</v>
      </c>
      <c r="Y131">
        <v>-0.16859852476290824</v>
      </c>
      <c r="Z131">
        <v>-0.282179669971789</v>
      </c>
      <c r="AA131">
        <v>0.62857142857142867</v>
      </c>
      <c r="AB131">
        <v>-0.127906976744186</v>
      </c>
      <c r="AC131">
        <v>-0.24248275862068971</v>
      </c>
      <c r="AD131">
        <v>-0.31541899956222197</v>
      </c>
      <c r="AE131">
        <v>-0.25257731958762897</v>
      </c>
      <c r="AF131">
        <v>0.22</v>
      </c>
      <c r="AG131">
        <v>0.13500000000000001</v>
      </c>
      <c r="AH131">
        <v>0.18</v>
      </c>
      <c r="AI131">
        <v>0.25</v>
      </c>
      <c r="AJ131">
        <v>0.65</v>
      </c>
      <c r="AK131">
        <v>1.0999999999999999</v>
      </c>
      <c r="AL131">
        <v>1</v>
      </c>
      <c r="AM131">
        <v>1</v>
      </c>
      <c r="AN131">
        <v>1</v>
      </c>
      <c r="AO131">
        <v>1</v>
      </c>
      <c r="AP131">
        <f t="shared" ref="AP131:AP194" si="46">AVERAGE(AK131,AN131)</f>
        <v>1.0499999999999998</v>
      </c>
      <c r="AQ131">
        <f t="shared" ref="AQ131:AQ194" si="47">AVERAGE(AL131)</f>
        <v>1</v>
      </c>
      <c r="AR131">
        <f t="shared" ref="AR131:AR194" si="48">AVERAGE(AM131,AO131)</f>
        <v>1</v>
      </c>
      <c r="AS131" cm="1">
        <f t="array" ref="AS131">_xlfn.IFS(AF131&gt;'“主要目标”数据分表'!$C$2,1,AF131='“主要目标”数据分表'!$C$2,0,AF131&lt;'“主要目标”数据分表'!$C$2,-1)</f>
        <v>1</v>
      </c>
      <c r="AT131" cm="1">
        <f t="array" ref="AT131">_xlfn.IFS(AG131&gt;'“主要目标”数据分表'!$D$2,1,AG131='“主要目标”数据分表'!$D$2,0,AG131&lt;'“主要目标”数据分表'!$D$2,-1)</f>
        <v>0</v>
      </c>
      <c r="AU131" cm="1">
        <f t="array" ref="AU131">_xlfn.IFS(AH131&gt;'“主要目标”数据分表'!$E$2,1,AH131='“主要目标”数据分表'!$E$2,0,AH131&lt;'“主要目标”数据分表'!$E$2,-1)</f>
        <v>0</v>
      </c>
      <c r="AV131" cm="1">
        <f t="array" ref="AV131">_xlfn.IFS(AI131&gt;'“主要目标”数据分表'!$F$2,1,AI131='“主要目标”数据分表'!$F$2,0,AI131&lt;'“主要目标”数据分表'!$F$2,-1)</f>
        <v>0</v>
      </c>
      <c r="AW131" cm="1">
        <f t="array" ref="AW131">_xlfn.IFS(AJ131&gt;'“主要目标”数据分表'!$G$2,1,AJ131='“主要目标”数据分表'!$G$2,0,AJ131&lt;'“主要目标”数据分表'!$G$2,-1)</f>
        <v>0</v>
      </c>
    </row>
    <row r="132" spans="1:49" ht="14.4" x14ac:dyDescent="0.25">
      <c r="A132" s="2">
        <v>18</v>
      </c>
      <c r="B132" s="2" t="s">
        <v>30</v>
      </c>
      <c r="C132" s="2">
        <v>2019</v>
      </c>
      <c r="D132" s="2">
        <v>16001</v>
      </c>
      <c r="E132" s="19">
        <v>25986.861755983002</v>
      </c>
      <c r="F132" s="2">
        <v>39752.120000000003</v>
      </c>
      <c r="G132" s="3">
        <v>0.40251941280112857</v>
      </c>
      <c r="H132" s="2">
        <f t="shared" si="44"/>
        <v>-5.6736774548179873E-2</v>
      </c>
      <c r="I132" s="16">
        <v>0.26164590790714165</v>
      </c>
      <c r="J132" s="2">
        <f t="shared" si="45"/>
        <v>3.5954230118051447E-2</v>
      </c>
      <c r="K132">
        <v>0.65372266324369621</v>
      </c>
      <c r="L132">
        <f t="shared" ref="L132:L195" si="49">(K132-K131)/K131</f>
        <v>-8.2287856887245117E-2</v>
      </c>
      <c r="M132" s="2">
        <v>0</v>
      </c>
      <c r="N132" s="2">
        <v>0</v>
      </c>
      <c r="O132" s="4">
        <v>1</v>
      </c>
      <c r="P132">
        <v>0.83605737927372503</v>
      </c>
      <c r="Q132">
        <v>-0.23460410557184749</v>
      </c>
      <c r="R132">
        <v>-0.39348961969929708</v>
      </c>
      <c r="S132">
        <v>2.2000000000000002</v>
      </c>
      <c r="T132">
        <v>-0.21999999999999989</v>
      </c>
      <c r="U132">
        <v>-0.3</v>
      </c>
      <c r="V132">
        <v>-0.29504504504504497</v>
      </c>
      <c r="W132">
        <v>-0.21649484536082481</v>
      </c>
      <c r="X132">
        <v>0.32369511244866517</v>
      </c>
      <c r="Y132">
        <v>-0.16859852476290824</v>
      </c>
      <c r="Z132">
        <v>-0.282179669971789</v>
      </c>
      <c r="AA132">
        <v>0.62857142857142867</v>
      </c>
      <c r="AB132">
        <v>-0.127906976744186</v>
      </c>
      <c r="AC132">
        <v>-0.24248275862068971</v>
      </c>
      <c r="AD132">
        <v>-0.31541899956222197</v>
      </c>
      <c r="AE132">
        <v>-0.25257731958762897</v>
      </c>
      <c r="AF132">
        <v>0.22</v>
      </c>
      <c r="AG132">
        <v>0.13500000000000001</v>
      </c>
      <c r="AH132">
        <v>0.18</v>
      </c>
      <c r="AI132">
        <v>0.25</v>
      </c>
      <c r="AJ132">
        <v>0.65</v>
      </c>
      <c r="AK132">
        <v>1.0999999999999999</v>
      </c>
      <c r="AL132">
        <v>1</v>
      </c>
      <c r="AM132">
        <v>1</v>
      </c>
      <c r="AN132">
        <v>1</v>
      </c>
      <c r="AO132">
        <v>1</v>
      </c>
      <c r="AP132">
        <f t="shared" si="46"/>
        <v>1.0499999999999998</v>
      </c>
      <c r="AQ132">
        <f t="shared" si="47"/>
        <v>1</v>
      </c>
      <c r="AR132">
        <f t="shared" si="48"/>
        <v>1</v>
      </c>
      <c r="AS132" cm="1">
        <f t="array" ref="AS132">_xlfn.IFS(AF132&gt;'“主要目标”数据分表'!$C$2,1,AF132='“主要目标”数据分表'!$C$2,0,AF132&lt;'“主要目标”数据分表'!$C$2,-1)</f>
        <v>1</v>
      </c>
      <c r="AT132" cm="1">
        <f t="array" ref="AT132">_xlfn.IFS(AG132&gt;'“主要目标”数据分表'!$D$2,1,AG132='“主要目标”数据分表'!$D$2,0,AG132&lt;'“主要目标”数据分表'!$D$2,-1)</f>
        <v>0</v>
      </c>
      <c r="AU132" cm="1">
        <f t="array" ref="AU132">_xlfn.IFS(AH132&gt;'“主要目标”数据分表'!$E$2,1,AH132='“主要目标”数据分表'!$E$2,0,AH132&lt;'“主要目标”数据分表'!$E$2,-1)</f>
        <v>0</v>
      </c>
      <c r="AV132" cm="1">
        <f t="array" ref="AV132">_xlfn.IFS(AI132&gt;'“主要目标”数据分表'!$F$2,1,AI132='“主要目标”数据分表'!$F$2,0,AI132&lt;'“主要目标”数据分表'!$F$2,-1)</f>
        <v>0</v>
      </c>
      <c r="AW132" cm="1">
        <f t="array" ref="AW132">_xlfn.IFS(AJ132&gt;'“主要目标”数据分表'!$G$2,1,AJ132='“主要目标”数据分表'!$G$2,0,AJ132&lt;'“主要目标”数据分表'!$G$2,-1)</f>
        <v>0</v>
      </c>
    </row>
    <row r="133" spans="1:49" ht="14.4" x14ac:dyDescent="0.25">
      <c r="A133" s="2">
        <v>18</v>
      </c>
      <c r="B133" s="2" t="s">
        <v>30</v>
      </c>
      <c r="C133" s="2">
        <v>2020</v>
      </c>
      <c r="D133" s="2">
        <v>16274.617099999999</v>
      </c>
      <c r="E133" s="19">
        <v>25640.5104560654</v>
      </c>
      <c r="F133" s="2">
        <v>41781.49</v>
      </c>
      <c r="G133" s="3">
        <v>0.38951739394645812</v>
      </c>
      <c r="H133" s="2">
        <f t="shared" si="44"/>
        <v>-3.2301594509913274E-2</v>
      </c>
      <c r="I133" s="16">
        <v>0.27512911909879789</v>
      </c>
      <c r="J133" s="2">
        <f t="shared" si="45"/>
        <v>5.1532283839277333E-2</v>
      </c>
      <c r="K133">
        <v>0.61368109313634822</v>
      </c>
      <c r="L133">
        <f t="shared" si="49"/>
        <v>-6.1251616868637157E-2</v>
      </c>
      <c r="M133" s="2">
        <v>0</v>
      </c>
      <c r="N133" s="2">
        <v>0</v>
      </c>
      <c r="O133" s="4">
        <v>1</v>
      </c>
      <c r="P133">
        <v>0.83605737927372503</v>
      </c>
      <c r="Q133">
        <v>-0.23460410557184749</v>
      </c>
      <c r="R133">
        <v>-0.39348961969929708</v>
      </c>
      <c r="S133">
        <v>2.2000000000000002</v>
      </c>
      <c r="T133">
        <v>-0.21999999999999989</v>
      </c>
      <c r="U133">
        <v>-0.3</v>
      </c>
      <c r="V133">
        <v>-0.29504504504504497</v>
      </c>
      <c r="W133">
        <v>-0.21649484536082481</v>
      </c>
      <c r="X133">
        <v>0.32369511244866517</v>
      </c>
      <c r="Y133">
        <v>-0.16859852476290824</v>
      </c>
      <c r="Z133">
        <v>-0.282179669971789</v>
      </c>
      <c r="AA133">
        <v>0.62857142857142867</v>
      </c>
      <c r="AB133">
        <v>-0.127906976744186</v>
      </c>
      <c r="AC133">
        <v>-0.24248275862068971</v>
      </c>
      <c r="AD133">
        <v>-0.31541899956222197</v>
      </c>
      <c r="AE133">
        <v>-0.25257731958762897</v>
      </c>
      <c r="AF133">
        <v>0.22</v>
      </c>
      <c r="AG133">
        <v>0.13500000000000001</v>
      </c>
      <c r="AH133">
        <v>0.18</v>
      </c>
      <c r="AI133">
        <v>0.25</v>
      </c>
      <c r="AJ133">
        <v>0.65</v>
      </c>
      <c r="AK133">
        <v>1.0999999999999999</v>
      </c>
      <c r="AL133">
        <v>1</v>
      </c>
      <c r="AM133">
        <v>1</v>
      </c>
      <c r="AN133">
        <v>1</v>
      </c>
      <c r="AO133">
        <v>1</v>
      </c>
      <c r="AP133">
        <f t="shared" si="46"/>
        <v>1.0499999999999998</v>
      </c>
      <c r="AQ133">
        <f t="shared" si="47"/>
        <v>1</v>
      </c>
      <c r="AR133">
        <f t="shared" si="48"/>
        <v>1</v>
      </c>
      <c r="AS133" cm="1">
        <f t="array" ref="AS133">_xlfn.IFS(AF133&gt;'“主要目标”数据分表'!$C$2,1,AF133='“主要目标”数据分表'!$C$2,0,AF133&lt;'“主要目标”数据分表'!$C$2,-1)</f>
        <v>1</v>
      </c>
      <c r="AT133" cm="1">
        <f t="array" ref="AT133">_xlfn.IFS(AG133&gt;'“主要目标”数据分表'!$D$2,1,AG133='“主要目标”数据分表'!$D$2,0,AG133&lt;'“主要目标”数据分表'!$D$2,-1)</f>
        <v>0</v>
      </c>
      <c r="AU133" cm="1">
        <f t="array" ref="AU133">_xlfn.IFS(AH133&gt;'“主要目标”数据分表'!$E$2,1,AH133='“主要目标”数据分表'!$E$2,0,AH133&lt;'“主要目标”数据分表'!$E$2,-1)</f>
        <v>0</v>
      </c>
      <c r="AV133" cm="1">
        <f t="array" ref="AV133">_xlfn.IFS(AI133&gt;'“主要目标”数据分表'!$F$2,1,AI133='“主要目标”数据分表'!$F$2,0,AI133&lt;'“主要目标”数据分表'!$F$2,-1)</f>
        <v>0</v>
      </c>
      <c r="AW133" cm="1">
        <f t="array" ref="AW133">_xlfn.IFS(AJ133&gt;'“主要目标”数据分表'!$G$2,1,AJ133='“主要目标”数据分表'!$G$2,0,AJ133&lt;'“主要目标”数据分表'!$G$2,-1)</f>
        <v>0</v>
      </c>
    </row>
    <row r="134" spans="1:49" ht="14.4" x14ac:dyDescent="0.25">
      <c r="A134" s="2">
        <v>18</v>
      </c>
      <c r="B134" s="2" t="s">
        <v>30</v>
      </c>
      <c r="C134" s="2">
        <v>2021</v>
      </c>
      <c r="D134" s="2">
        <v>16909.327166899999</v>
      </c>
      <c r="E134" s="19">
        <v>27591.651668230301</v>
      </c>
      <c r="F134" s="2">
        <v>46063.086300000003</v>
      </c>
      <c r="G134" s="3">
        <v>0.36709062559926642</v>
      </c>
      <c r="H134" s="2">
        <f t="shared" si="44"/>
        <v>-5.7575781456050766E-2</v>
      </c>
      <c r="I134" s="16">
        <v>0.28325302512719408</v>
      </c>
      <c r="J134" s="2">
        <f t="shared" si="45"/>
        <v>2.9527612544272067E-2</v>
      </c>
      <c r="K134">
        <v>0.59899702526511556</v>
      </c>
      <c r="L134">
        <f t="shared" si="49"/>
        <v>-2.3927847925355825E-2</v>
      </c>
      <c r="M134" s="2">
        <v>0</v>
      </c>
      <c r="N134" s="2">
        <v>0</v>
      </c>
      <c r="O134" s="4">
        <v>1</v>
      </c>
      <c r="P134">
        <v>0.83605737927372503</v>
      </c>
      <c r="Q134">
        <v>-0.23460410557184749</v>
      </c>
      <c r="R134">
        <v>-0.39348961969929708</v>
      </c>
      <c r="S134">
        <v>2.2000000000000002</v>
      </c>
      <c r="T134">
        <v>-0.21999999999999989</v>
      </c>
      <c r="U134">
        <v>-0.3</v>
      </c>
      <c r="V134">
        <v>-0.29504504504504497</v>
      </c>
      <c r="W134">
        <v>-0.21649484536082481</v>
      </c>
      <c r="X134">
        <v>0.32369511244866517</v>
      </c>
      <c r="Y134">
        <v>-0.16859852476290824</v>
      </c>
      <c r="Z134">
        <v>-0.282179669971789</v>
      </c>
      <c r="AA134">
        <v>0.62857142857142867</v>
      </c>
      <c r="AB134">
        <v>-0.127906976744186</v>
      </c>
      <c r="AC134">
        <v>-0.24248275862068971</v>
      </c>
      <c r="AD134">
        <v>-0.31541899956222197</v>
      </c>
      <c r="AE134">
        <v>-0.25257731958762897</v>
      </c>
      <c r="AF134">
        <v>0.22</v>
      </c>
      <c r="AG134">
        <v>0.13500000000000001</v>
      </c>
      <c r="AH134">
        <v>0.18</v>
      </c>
      <c r="AI134">
        <v>0.25</v>
      </c>
      <c r="AJ134">
        <v>0.65</v>
      </c>
      <c r="AK134">
        <v>1.0999999999999999</v>
      </c>
      <c r="AL134">
        <v>1</v>
      </c>
      <c r="AM134">
        <v>1</v>
      </c>
      <c r="AN134">
        <v>1</v>
      </c>
      <c r="AO134">
        <v>1</v>
      </c>
      <c r="AP134">
        <f t="shared" si="46"/>
        <v>1.0499999999999998</v>
      </c>
      <c r="AQ134">
        <f t="shared" si="47"/>
        <v>1</v>
      </c>
      <c r="AR134">
        <f t="shared" si="48"/>
        <v>1</v>
      </c>
      <c r="AS134" cm="1">
        <f t="array" ref="AS134">_xlfn.IFS(AF134&gt;'“主要目标”数据分表'!$C$2,1,AF134='“主要目标”数据分表'!$C$2,0,AF134&lt;'“主要目标”数据分表'!$C$2,-1)</f>
        <v>1</v>
      </c>
      <c r="AT134" cm="1">
        <f t="array" ref="AT134">_xlfn.IFS(AG134&gt;'“主要目标”数据分表'!$D$2,1,AG134='“主要目标”数据分表'!$D$2,0,AG134&lt;'“主要目标”数据分表'!$D$2,-1)</f>
        <v>0</v>
      </c>
      <c r="AU134" cm="1">
        <f t="array" ref="AU134">_xlfn.IFS(AH134&gt;'“主要目标”数据分表'!$E$2,1,AH134='“主要目标”数据分表'!$E$2,0,AH134&lt;'“主要目标”数据分表'!$E$2,-1)</f>
        <v>0</v>
      </c>
      <c r="AV134" cm="1">
        <f t="array" ref="AV134">_xlfn.IFS(AI134&gt;'“主要目标”数据分表'!$F$2,1,AI134='“主要目标”数据分表'!$F$2,0,AI134&lt;'“主要目标”数据分表'!$F$2,-1)</f>
        <v>0</v>
      </c>
      <c r="AW134" cm="1">
        <f t="array" ref="AW134">_xlfn.IFS(AJ134&gt;'“主要目标”数据分表'!$G$2,1,AJ134='“主要目标”数据分表'!$G$2,0,AJ134&lt;'“主要目标”数据分表'!$G$2,-1)</f>
        <v>0</v>
      </c>
    </row>
    <row r="135" spans="1:49" ht="14.4" x14ac:dyDescent="0.25">
      <c r="A135" s="2">
        <v>18</v>
      </c>
      <c r="B135" s="6" t="s">
        <v>31</v>
      </c>
      <c r="C135" s="2">
        <v>2022</v>
      </c>
      <c r="D135" s="2">
        <v>17027.6924570683</v>
      </c>
      <c r="E135" s="19">
        <v>27469.172930814399</v>
      </c>
      <c r="F135" s="2">
        <v>48670.400000000001</v>
      </c>
      <c r="G135" s="3">
        <v>0.34985725321896471</v>
      </c>
      <c r="H135" s="2">
        <f t="shared" si="44"/>
        <v>-4.6945825304497077E-2</v>
      </c>
      <c r="I135" s="16">
        <v>0.28604079587366266</v>
      </c>
      <c r="J135" s="2">
        <f t="shared" si="45"/>
        <v>9.8419804879991482E-3</v>
      </c>
      <c r="K135">
        <v>0.56439176441562833</v>
      </c>
      <c r="L135">
        <f t="shared" si="49"/>
        <v>-5.7772007856250994E-2</v>
      </c>
      <c r="M135" s="2">
        <v>1</v>
      </c>
      <c r="N135" s="2">
        <v>0</v>
      </c>
      <c r="O135" s="4">
        <v>1</v>
      </c>
      <c r="P135">
        <v>0.83605737927372503</v>
      </c>
      <c r="Q135">
        <v>-0.23460410557184749</v>
      </c>
      <c r="R135">
        <v>-0.39348961969929708</v>
      </c>
      <c r="S135">
        <v>2.2000000000000002</v>
      </c>
      <c r="T135">
        <v>-0.21999999999999989</v>
      </c>
      <c r="U135">
        <v>-0.3</v>
      </c>
      <c r="V135">
        <v>-0.29504504504504497</v>
      </c>
      <c r="W135">
        <v>-0.21649484536082481</v>
      </c>
      <c r="X135">
        <v>0.32369511244866517</v>
      </c>
      <c r="Y135">
        <v>-0.16859852476290824</v>
      </c>
      <c r="Z135">
        <v>-0.282179669971789</v>
      </c>
      <c r="AA135">
        <v>0.62857142857142867</v>
      </c>
      <c r="AB135">
        <v>-0.127906976744186</v>
      </c>
      <c r="AC135">
        <v>-0.24248275862068971</v>
      </c>
      <c r="AD135">
        <v>-0.31541899956222197</v>
      </c>
      <c r="AE135">
        <v>-0.25257731958762897</v>
      </c>
      <c r="AF135">
        <v>0.22</v>
      </c>
      <c r="AG135">
        <v>0.13500000000000001</v>
      </c>
      <c r="AH135">
        <v>0.18</v>
      </c>
      <c r="AI135">
        <v>0.25</v>
      </c>
      <c r="AJ135">
        <v>0.65</v>
      </c>
      <c r="AK135">
        <v>1.0999999999999999</v>
      </c>
      <c r="AL135">
        <v>1</v>
      </c>
      <c r="AM135">
        <v>1</v>
      </c>
      <c r="AN135">
        <v>1</v>
      </c>
      <c r="AO135">
        <v>1</v>
      </c>
      <c r="AP135">
        <f t="shared" si="46"/>
        <v>1.0499999999999998</v>
      </c>
      <c r="AQ135">
        <f t="shared" si="47"/>
        <v>1</v>
      </c>
      <c r="AR135">
        <f t="shared" si="48"/>
        <v>1</v>
      </c>
      <c r="AS135" cm="1">
        <f t="array" ref="AS135">_xlfn.IFS(AF135&gt;'“主要目标”数据分表'!$C$2,1,AF135='“主要目标”数据分表'!$C$2,0,AF135&lt;'“主要目标”数据分表'!$C$2,-1)</f>
        <v>1</v>
      </c>
      <c r="AT135" cm="1">
        <f t="array" ref="AT135">_xlfn.IFS(AG135&gt;'“主要目标”数据分表'!$D$2,1,AG135='“主要目标”数据分表'!$D$2,0,AG135&lt;'“主要目标”数据分表'!$D$2,-1)</f>
        <v>0</v>
      </c>
      <c r="AU135" cm="1">
        <f t="array" ref="AU135">_xlfn.IFS(AH135&gt;'“主要目标”数据分表'!$E$2,1,AH135='“主要目标”数据分表'!$E$2,0,AH135&lt;'“主要目标”数据分表'!$E$2,-1)</f>
        <v>0</v>
      </c>
      <c r="AV135" cm="1">
        <f t="array" ref="AV135">_xlfn.IFS(AI135&gt;'“主要目标”数据分表'!$F$2,1,AI135='“主要目标”数据分表'!$F$2,0,AI135&lt;'“主要目标”数据分表'!$F$2,-1)</f>
        <v>0</v>
      </c>
      <c r="AW135" cm="1">
        <f t="array" ref="AW135">_xlfn.IFS(AJ135&gt;'“主要目标”数据分表'!$G$2,1,AJ135='“主要目标”数据分表'!$G$2,0,AJ135&lt;'“主要目标”数据分表'!$G$2,-1)</f>
        <v>0</v>
      </c>
    </row>
    <row r="136" spans="1:49" ht="14.4" x14ac:dyDescent="0.25">
      <c r="A136" s="2">
        <v>19</v>
      </c>
      <c r="B136" s="2" t="s">
        <v>32</v>
      </c>
      <c r="C136" s="2">
        <v>2016</v>
      </c>
      <c r="D136" s="2">
        <v>31211</v>
      </c>
      <c r="E136" s="19">
        <v>54885.088330800703</v>
      </c>
      <c r="F136" s="2">
        <v>80854.91</v>
      </c>
      <c r="G136" s="3">
        <v>0.3860124264562288</v>
      </c>
      <c r="H136" s="2"/>
      <c r="I136" s="16">
        <v>0.14426044188759338</v>
      </c>
      <c r="K136">
        <v>0.67880959029947219</v>
      </c>
      <c r="L136"/>
      <c r="M136" s="2">
        <v>0</v>
      </c>
      <c r="N136" s="2">
        <v>0</v>
      </c>
      <c r="O136" s="4">
        <v>1</v>
      </c>
      <c r="P136">
        <v>0.84380792330437038</v>
      </c>
      <c r="Q136">
        <v>7.6246334310850442E-2</v>
      </c>
      <c r="R136">
        <v>-0.10699099287808959</v>
      </c>
      <c r="S136">
        <v>-2.6</v>
      </c>
      <c r="T136">
        <v>-0.6100000000000001</v>
      </c>
      <c r="U136">
        <v>1.954397394136808E-2</v>
      </c>
      <c r="V136">
        <v>-0.17234042553191489</v>
      </c>
      <c r="W136">
        <v>-7.9207920792079209E-2</v>
      </c>
      <c r="X136">
        <v>0.35566807298823827</v>
      </c>
      <c r="Y136">
        <v>5.4794520547945189E-2</v>
      </c>
      <c r="Z136">
        <v>-7.6725487913416698E-2</v>
      </c>
      <c r="AA136">
        <v>-0.74285714285714288</v>
      </c>
      <c r="AB136">
        <v>-0.35465116279069775</v>
      </c>
      <c r="AC136">
        <v>1.5796922385712685E-2</v>
      </c>
      <c r="AD136">
        <v>-0.18424117102900364</v>
      </c>
      <c r="AE136">
        <v>-9.2409240924092417E-2</v>
      </c>
      <c r="AF136">
        <v>0.32</v>
      </c>
      <c r="AG136">
        <v>0.13500000000000001</v>
      </c>
      <c r="AH136">
        <v>0.18</v>
      </c>
      <c r="AI136">
        <v>0.35</v>
      </c>
      <c r="AJ136">
        <v>0.65</v>
      </c>
      <c r="AK136">
        <v>1.5999999999999999</v>
      </c>
      <c r="AL136">
        <v>1</v>
      </c>
      <c r="AM136">
        <v>1</v>
      </c>
      <c r="AN136">
        <v>1.4</v>
      </c>
      <c r="AO136">
        <v>1</v>
      </c>
      <c r="AP136">
        <f t="shared" si="46"/>
        <v>1.5</v>
      </c>
      <c r="AQ136">
        <f t="shared" si="47"/>
        <v>1</v>
      </c>
      <c r="AR136">
        <f t="shared" si="48"/>
        <v>1</v>
      </c>
      <c r="AS136" cm="1">
        <f t="array" ref="AS136">_xlfn.IFS(AF136&gt;'“主要目标”数据分表'!$C$2,1,AF136='“主要目标”数据分表'!$C$2,0,AF136&lt;'“主要目标”数据分表'!$C$2,-1)</f>
        <v>1</v>
      </c>
      <c r="AT136" cm="1">
        <f t="array" ref="AT136">_xlfn.IFS(AG136&gt;'“主要目标”数据分表'!$D$2,1,AG136='“主要目标”数据分表'!$D$2,0,AG136&lt;'“主要目标”数据分表'!$D$2,-1)</f>
        <v>0</v>
      </c>
      <c r="AU136" cm="1">
        <f t="array" ref="AU136">_xlfn.IFS(AH136&gt;'“主要目标”数据分表'!$E$2,1,AH136='“主要目标”数据分表'!$E$2,0,AH136&lt;'“主要目标”数据分表'!$E$2,-1)</f>
        <v>0</v>
      </c>
      <c r="AV136" cm="1">
        <f t="array" ref="AV136">_xlfn.IFS(AI136&gt;'“主要目标”数据分表'!$F$2,1,AI136='“主要目标”数据分表'!$F$2,0,AI136&lt;'“主要目标”数据分表'!$F$2,-1)</f>
        <v>1</v>
      </c>
      <c r="AW136" cm="1">
        <f t="array" ref="AW136">_xlfn.IFS(AJ136&gt;'“主要目标”数据分表'!$G$2,1,AJ136='“主要目标”数据分表'!$G$2,0,AJ136&lt;'“主要目标”数据分表'!$G$2,-1)</f>
        <v>0</v>
      </c>
    </row>
    <row r="137" spans="1:49" ht="14.4" x14ac:dyDescent="0.25">
      <c r="A137" s="2">
        <v>19</v>
      </c>
      <c r="B137" s="2" t="s">
        <v>32</v>
      </c>
      <c r="C137" s="2">
        <v>2017</v>
      </c>
      <c r="D137" s="2">
        <v>32309</v>
      </c>
      <c r="E137" s="19">
        <v>55038.518513972398</v>
      </c>
      <c r="F137" s="2">
        <v>89705.23</v>
      </c>
      <c r="G137" s="3">
        <v>0.36016852083206297</v>
      </c>
      <c r="H137" s="2">
        <f>(G137-G136)/G136</f>
        <v>-6.6950968033399186E-2</v>
      </c>
      <c r="I137" s="16">
        <v>0.39875837870081915</v>
      </c>
      <c r="J137" s="2">
        <f>(I137-I136)/I136</f>
        <v>1.764156087997627</v>
      </c>
      <c r="K137">
        <v>0.61354860261739919</v>
      </c>
      <c r="L137">
        <f t="shared" si="49"/>
        <v>-9.6140344235975866E-2</v>
      </c>
      <c r="M137" s="2">
        <v>0</v>
      </c>
      <c r="N137" s="2">
        <v>0</v>
      </c>
      <c r="O137" s="4">
        <v>1</v>
      </c>
      <c r="P137">
        <v>0.84380792330437038</v>
      </c>
      <c r="Q137">
        <v>7.6246334310850442E-2</v>
      </c>
      <c r="R137">
        <v>-0.10699099287808959</v>
      </c>
      <c r="S137">
        <v>-2.6</v>
      </c>
      <c r="T137">
        <v>-0.6100000000000001</v>
      </c>
      <c r="U137">
        <v>1.954397394136808E-2</v>
      </c>
      <c r="V137">
        <v>-0.17234042553191489</v>
      </c>
      <c r="W137">
        <v>-7.9207920792079209E-2</v>
      </c>
      <c r="X137">
        <v>0.35566807298823827</v>
      </c>
      <c r="Y137">
        <v>5.4794520547945189E-2</v>
      </c>
      <c r="Z137">
        <v>-7.6725487913416698E-2</v>
      </c>
      <c r="AA137">
        <v>-0.74285714285714288</v>
      </c>
      <c r="AB137">
        <v>-0.35465116279069775</v>
      </c>
      <c r="AC137">
        <v>1.5796922385712685E-2</v>
      </c>
      <c r="AD137">
        <v>-0.18424117102900364</v>
      </c>
      <c r="AE137">
        <v>-9.2409240924092417E-2</v>
      </c>
      <c r="AF137">
        <v>0.32</v>
      </c>
      <c r="AG137">
        <v>0.13500000000000001</v>
      </c>
      <c r="AH137">
        <v>0.18</v>
      </c>
      <c r="AI137">
        <v>0.35</v>
      </c>
      <c r="AJ137">
        <v>0.65</v>
      </c>
      <c r="AK137">
        <v>1.5999999999999999</v>
      </c>
      <c r="AL137">
        <v>1</v>
      </c>
      <c r="AM137">
        <v>1</v>
      </c>
      <c r="AN137">
        <v>1.4</v>
      </c>
      <c r="AO137">
        <v>1</v>
      </c>
      <c r="AP137">
        <f t="shared" si="46"/>
        <v>1.5</v>
      </c>
      <c r="AQ137">
        <f t="shared" si="47"/>
        <v>1</v>
      </c>
      <c r="AR137">
        <f t="shared" si="48"/>
        <v>1</v>
      </c>
      <c r="AS137" cm="1">
        <f t="array" ref="AS137">_xlfn.IFS(AF137&gt;'“主要目标”数据分表'!$C$2,1,AF137='“主要目标”数据分表'!$C$2,0,AF137&lt;'“主要目标”数据分表'!$C$2,-1)</f>
        <v>1</v>
      </c>
      <c r="AT137" cm="1">
        <f t="array" ref="AT137">_xlfn.IFS(AG137&gt;'“主要目标”数据分表'!$D$2,1,AG137='“主要目标”数据分表'!$D$2,0,AG137&lt;'“主要目标”数据分表'!$D$2,-1)</f>
        <v>0</v>
      </c>
      <c r="AU137" cm="1">
        <f t="array" ref="AU137">_xlfn.IFS(AH137&gt;'“主要目标”数据分表'!$E$2,1,AH137='“主要目标”数据分表'!$E$2,0,AH137&lt;'“主要目标”数据分表'!$E$2,-1)</f>
        <v>0</v>
      </c>
      <c r="AV137" cm="1">
        <f t="array" ref="AV137">_xlfn.IFS(AI137&gt;'“主要目标”数据分表'!$F$2,1,AI137='“主要目标”数据分表'!$F$2,0,AI137&lt;'“主要目标”数据分表'!$F$2,-1)</f>
        <v>1</v>
      </c>
      <c r="AW137" cm="1">
        <f t="array" ref="AW137">_xlfn.IFS(AJ137&gt;'“主要目标”数据分表'!$G$2,1,AJ137='“主要目标”数据分表'!$G$2,0,AJ137&lt;'“主要目标”数据分表'!$G$2,-1)</f>
        <v>0</v>
      </c>
    </row>
    <row r="138" spans="1:49" ht="14.4" x14ac:dyDescent="0.25">
      <c r="A138" s="2">
        <v>19</v>
      </c>
      <c r="B138" s="2" t="s">
        <v>32</v>
      </c>
      <c r="C138" s="2">
        <v>2018</v>
      </c>
      <c r="D138" s="2">
        <v>33330</v>
      </c>
      <c r="E138" s="19">
        <v>57161.077175009501</v>
      </c>
      <c r="F138" s="2">
        <v>97277.77</v>
      </c>
      <c r="G138" s="3">
        <v>0.34262709764008775</v>
      </c>
      <c r="H138" s="2">
        <f t="shared" ref="H138:H142" si="50">(G138-G137)/G137</f>
        <v>-4.8703376828854832E-2</v>
      </c>
      <c r="I138" s="16">
        <v>0.40996497563597606</v>
      </c>
      <c r="J138" s="2">
        <f t="shared" ref="J138:J142" si="51">(I138-I137)/I137</f>
        <v>2.8103727805466393E-2</v>
      </c>
      <c r="K138">
        <v>0.58760677979161635</v>
      </c>
      <c r="L138">
        <f t="shared" si="49"/>
        <v>-4.228161015299356E-2</v>
      </c>
      <c r="M138" s="2">
        <v>0</v>
      </c>
      <c r="N138" s="2">
        <v>0</v>
      </c>
      <c r="O138" s="4">
        <v>1</v>
      </c>
      <c r="P138">
        <v>0.84380792330437038</v>
      </c>
      <c r="Q138">
        <v>7.6246334310850442E-2</v>
      </c>
      <c r="R138">
        <v>-0.10699099287808959</v>
      </c>
      <c r="S138">
        <v>-2.6</v>
      </c>
      <c r="T138">
        <v>-0.6100000000000001</v>
      </c>
      <c r="U138">
        <v>1.954397394136808E-2</v>
      </c>
      <c r="V138">
        <v>-0.17234042553191489</v>
      </c>
      <c r="W138">
        <v>-7.9207920792079209E-2</v>
      </c>
      <c r="X138">
        <v>0.35566807298823827</v>
      </c>
      <c r="Y138">
        <v>5.4794520547945189E-2</v>
      </c>
      <c r="Z138">
        <v>-7.6725487913416698E-2</v>
      </c>
      <c r="AA138">
        <v>-0.74285714285714288</v>
      </c>
      <c r="AB138">
        <v>-0.35465116279069775</v>
      </c>
      <c r="AC138">
        <v>1.5796922385712685E-2</v>
      </c>
      <c r="AD138">
        <v>-0.18424117102900364</v>
      </c>
      <c r="AE138">
        <v>-9.2409240924092417E-2</v>
      </c>
      <c r="AF138">
        <v>0.32</v>
      </c>
      <c r="AG138">
        <v>0.13500000000000001</v>
      </c>
      <c r="AH138">
        <v>0.18</v>
      </c>
      <c r="AI138">
        <v>0.35</v>
      </c>
      <c r="AJ138">
        <v>0.65</v>
      </c>
      <c r="AK138">
        <v>1.5999999999999999</v>
      </c>
      <c r="AL138">
        <v>1</v>
      </c>
      <c r="AM138">
        <v>1</v>
      </c>
      <c r="AN138">
        <v>1.4</v>
      </c>
      <c r="AO138">
        <v>1</v>
      </c>
      <c r="AP138">
        <f t="shared" si="46"/>
        <v>1.5</v>
      </c>
      <c r="AQ138">
        <f t="shared" si="47"/>
        <v>1</v>
      </c>
      <c r="AR138">
        <f t="shared" si="48"/>
        <v>1</v>
      </c>
      <c r="AS138" cm="1">
        <f t="array" ref="AS138">_xlfn.IFS(AF138&gt;'“主要目标”数据分表'!$C$2,1,AF138='“主要目标”数据分表'!$C$2,0,AF138&lt;'“主要目标”数据分表'!$C$2,-1)</f>
        <v>1</v>
      </c>
      <c r="AT138" cm="1">
        <f t="array" ref="AT138">_xlfn.IFS(AG138&gt;'“主要目标”数据分表'!$D$2,1,AG138='“主要目标”数据分表'!$D$2,0,AG138&lt;'“主要目标”数据分表'!$D$2,-1)</f>
        <v>0</v>
      </c>
      <c r="AU138" cm="1">
        <f t="array" ref="AU138">_xlfn.IFS(AH138&gt;'“主要目标”数据分表'!$E$2,1,AH138='“主要目标”数据分表'!$E$2,0,AH138&lt;'“主要目标”数据分表'!$E$2,-1)</f>
        <v>0</v>
      </c>
      <c r="AV138" cm="1">
        <f t="array" ref="AV138">_xlfn.IFS(AI138&gt;'“主要目标”数据分表'!$F$2,1,AI138='“主要目标”数据分表'!$F$2,0,AI138&lt;'“主要目标”数据分表'!$F$2,-1)</f>
        <v>1</v>
      </c>
      <c r="AW138" cm="1">
        <f t="array" ref="AW138">_xlfn.IFS(AJ138&gt;'“主要目标”数据分表'!$G$2,1,AJ138='“主要目标”数据分表'!$G$2,0,AJ138&lt;'“主要目标”数据分表'!$G$2,-1)</f>
        <v>0</v>
      </c>
    </row>
    <row r="139" spans="1:49" ht="14.4" x14ac:dyDescent="0.25">
      <c r="A139" s="2">
        <v>19</v>
      </c>
      <c r="B139" s="2" t="s">
        <v>32</v>
      </c>
      <c r="C139" s="2">
        <v>2019</v>
      </c>
      <c r="D139" s="2">
        <v>34142</v>
      </c>
      <c r="E139" s="19">
        <v>57872.811467760206</v>
      </c>
      <c r="F139" s="2">
        <v>107671.07</v>
      </c>
      <c r="G139" s="3">
        <v>0.31709539061885422</v>
      </c>
      <c r="H139" s="2">
        <f t="shared" si="50"/>
        <v>-7.4517477447312949E-2</v>
      </c>
      <c r="I139" s="16">
        <v>0.4258596038764737</v>
      </c>
      <c r="J139" s="2">
        <f t="shared" si="51"/>
        <v>3.8770697950088071E-2</v>
      </c>
      <c r="K139">
        <v>0.53749639032806307</v>
      </c>
      <c r="L139">
        <f t="shared" si="49"/>
        <v>-8.5278780277729241E-2</v>
      </c>
      <c r="M139" s="2">
        <v>0</v>
      </c>
      <c r="N139" s="2">
        <v>0</v>
      </c>
      <c r="O139" s="4">
        <v>1</v>
      </c>
      <c r="P139">
        <v>0.84380792330437038</v>
      </c>
      <c r="Q139">
        <v>7.6246334310850442E-2</v>
      </c>
      <c r="R139">
        <v>-0.10699099287808959</v>
      </c>
      <c r="S139">
        <v>-2.6</v>
      </c>
      <c r="T139">
        <v>-0.6100000000000001</v>
      </c>
      <c r="U139">
        <v>1.954397394136808E-2</v>
      </c>
      <c r="V139">
        <v>-0.17234042553191489</v>
      </c>
      <c r="W139">
        <v>-7.9207920792079209E-2</v>
      </c>
      <c r="X139">
        <v>0.35566807298823827</v>
      </c>
      <c r="Y139">
        <v>5.4794520547945189E-2</v>
      </c>
      <c r="Z139">
        <v>-7.6725487913416698E-2</v>
      </c>
      <c r="AA139">
        <v>-0.74285714285714288</v>
      </c>
      <c r="AB139">
        <v>-0.35465116279069775</v>
      </c>
      <c r="AC139">
        <v>1.5796922385712685E-2</v>
      </c>
      <c r="AD139">
        <v>-0.18424117102900364</v>
      </c>
      <c r="AE139">
        <v>-9.2409240924092417E-2</v>
      </c>
      <c r="AF139">
        <v>0.32</v>
      </c>
      <c r="AG139">
        <v>0.13500000000000001</v>
      </c>
      <c r="AH139">
        <v>0.18</v>
      </c>
      <c r="AI139">
        <v>0.35</v>
      </c>
      <c r="AJ139">
        <v>0.65</v>
      </c>
      <c r="AK139">
        <v>1.5999999999999999</v>
      </c>
      <c r="AL139">
        <v>1</v>
      </c>
      <c r="AM139">
        <v>1</v>
      </c>
      <c r="AN139">
        <v>1.4</v>
      </c>
      <c r="AO139">
        <v>1</v>
      </c>
      <c r="AP139">
        <f t="shared" si="46"/>
        <v>1.5</v>
      </c>
      <c r="AQ139">
        <f t="shared" si="47"/>
        <v>1</v>
      </c>
      <c r="AR139">
        <f t="shared" si="48"/>
        <v>1</v>
      </c>
      <c r="AS139" cm="1">
        <f t="array" ref="AS139">_xlfn.IFS(AF139&gt;'“主要目标”数据分表'!$C$2,1,AF139='“主要目标”数据分表'!$C$2,0,AF139&lt;'“主要目标”数据分表'!$C$2,-1)</f>
        <v>1</v>
      </c>
      <c r="AT139" cm="1">
        <f t="array" ref="AT139">_xlfn.IFS(AG139&gt;'“主要目标”数据分表'!$D$2,1,AG139='“主要目标”数据分表'!$D$2,0,AG139&lt;'“主要目标”数据分表'!$D$2,-1)</f>
        <v>0</v>
      </c>
      <c r="AU139" cm="1">
        <f t="array" ref="AU139">_xlfn.IFS(AH139&gt;'“主要目标”数据分表'!$E$2,1,AH139='“主要目标”数据分表'!$E$2,0,AH139&lt;'“主要目标”数据分表'!$E$2,-1)</f>
        <v>0</v>
      </c>
      <c r="AV139" cm="1">
        <f t="array" ref="AV139">_xlfn.IFS(AI139&gt;'“主要目标”数据分表'!$F$2,1,AI139='“主要目标”数据分表'!$F$2,0,AI139&lt;'“主要目标”数据分表'!$F$2,-1)</f>
        <v>1</v>
      </c>
      <c r="AW139" cm="1">
        <f t="array" ref="AW139">_xlfn.IFS(AJ139&gt;'“主要目标”数据分表'!$G$2,1,AJ139='“主要目标”数据分表'!$G$2,0,AJ139&lt;'“主要目标”数据分表'!$G$2,-1)</f>
        <v>0</v>
      </c>
    </row>
    <row r="140" spans="1:49" ht="14.4" x14ac:dyDescent="0.25">
      <c r="A140" s="2">
        <v>19</v>
      </c>
      <c r="B140" s="2" t="s">
        <v>32</v>
      </c>
      <c r="C140" s="2">
        <v>2020</v>
      </c>
      <c r="D140" s="2">
        <v>34502.9190924184</v>
      </c>
      <c r="E140" s="19">
        <v>60045.599740644298</v>
      </c>
      <c r="F140" s="2">
        <v>110760.94</v>
      </c>
      <c r="G140" s="3">
        <v>0.31150800175963117</v>
      </c>
      <c r="H140" s="2">
        <f t="shared" si="50"/>
        <v>-1.7620530050337577E-2</v>
      </c>
      <c r="I140" s="16">
        <v>0.44027967295935772</v>
      </c>
      <c r="J140" s="2">
        <f t="shared" si="51"/>
        <v>3.3861086967682308E-2</v>
      </c>
      <c r="K140">
        <v>0.54211890708623722</v>
      </c>
      <c r="L140">
        <f t="shared" si="49"/>
        <v>8.6000889333466661E-3</v>
      </c>
      <c r="M140" s="2">
        <v>0</v>
      </c>
      <c r="N140" s="2">
        <v>0</v>
      </c>
      <c r="O140" s="4">
        <v>1</v>
      </c>
      <c r="P140">
        <v>0.84380792330437038</v>
      </c>
      <c r="Q140">
        <v>7.6246334310850442E-2</v>
      </c>
      <c r="R140">
        <v>-0.10699099287808959</v>
      </c>
      <c r="S140">
        <v>-2.6</v>
      </c>
      <c r="T140">
        <v>-0.6100000000000001</v>
      </c>
      <c r="U140">
        <v>1.954397394136808E-2</v>
      </c>
      <c r="V140">
        <v>-0.17234042553191489</v>
      </c>
      <c r="W140">
        <v>-7.9207920792079209E-2</v>
      </c>
      <c r="X140">
        <v>0.35566807298823827</v>
      </c>
      <c r="Y140">
        <v>5.4794520547945189E-2</v>
      </c>
      <c r="Z140">
        <v>-7.6725487913416698E-2</v>
      </c>
      <c r="AA140">
        <v>-0.74285714285714288</v>
      </c>
      <c r="AB140">
        <v>-0.35465116279069775</v>
      </c>
      <c r="AC140">
        <v>1.5796922385712685E-2</v>
      </c>
      <c r="AD140">
        <v>-0.18424117102900364</v>
      </c>
      <c r="AE140">
        <v>-9.2409240924092417E-2</v>
      </c>
      <c r="AF140">
        <v>0.32</v>
      </c>
      <c r="AG140">
        <v>0.13500000000000001</v>
      </c>
      <c r="AH140">
        <v>0.18</v>
      </c>
      <c r="AI140">
        <v>0.35</v>
      </c>
      <c r="AJ140">
        <v>0.65</v>
      </c>
      <c r="AK140">
        <v>1.5999999999999999</v>
      </c>
      <c r="AL140">
        <v>1</v>
      </c>
      <c r="AM140">
        <v>1</v>
      </c>
      <c r="AN140">
        <v>1.4</v>
      </c>
      <c r="AO140">
        <v>1</v>
      </c>
      <c r="AP140">
        <f t="shared" si="46"/>
        <v>1.5</v>
      </c>
      <c r="AQ140">
        <f t="shared" si="47"/>
        <v>1</v>
      </c>
      <c r="AR140">
        <f t="shared" si="48"/>
        <v>1</v>
      </c>
      <c r="AS140" cm="1">
        <f t="array" ref="AS140">_xlfn.IFS(AF140&gt;'“主要目标”数据分表'!$C$2,1,AF140='“主要目标”数据分表'!$C$2,0,AF140&lt;'“主要目标”数据分表'!$C$2,-1)</f>
        <v>1</v>
      </c>
      <c r="AT140" cm="1">
        <f t="array" ref="AT140">_xlfn.IFS(AG140&gt;'“主要目标”数据分表'!$D$2,1,AG140='“主要目标”数据分表'!$D$2,0,AG140&lt;'“主要目标”数据分表'!$D$2,-1)</f>
        <v>0</v>
      </c>
      <c r="AU140" cm="1">
        <f t="array" ref="AU140">_xlfn.IFS(AH140&gt;'“主要目标”数据分表'!$E$2,1,AH140='“主要目标”数据分表'!$E$2,0,AH140&lt;'“主要目标”数据分表'!$E$2,-1)</f>
        <v>0</v>
      </c>
      <c r="AV140" cm="1">
        <f t="array" ref="AV140">_xlfn.IFS(AI140&gt;'“主要目标”数据分表'!$F$2,1,AI140='“主要目标”数据分表'!$F$2,0,AI140&lt;'“主要目标”数据分表'!$F$2,-1)</f>
        <v>1</v>
      </c>
      <c r="AW140" cm="1">
        <f t="array" ref="AW140">_xlfn.IFS(AJ140&gt;'“主要目标”数据分表'!$G$2,1,AJ140='“主要目标”数据分表'!$G$2,0,AJ140&lt;'“主要目标”数据分表'!$G$2,-1)</f>
        <v>0</v>
      </c>
    </row>
    <row r="141" spans="1:49" ht="14.4" x14ac:dyDescent="0.25">
      <c r="A141" s="2">
        <v>19</v>
      </c>
      <c r="B141" s="2" t="s">
        <v>32</v>
      </c>
      <c r="C141" s="2">
        <v>2021</v>
      </c>
      <c r="D141" s="2">
        <v>36821.421263704702</v>
      </c>
      <c r="E141" s="19">
        <v>64068.859570601293</v>
      </c>
      <c r="F141" s="2">
        <v>124369.6716</v>
      </c>
      <c r="G141" s="3">
        <v>0.29606431206259376</v>
      </c>
      <c r="H141" s="2">
        <f t="shared" si="50"/>
        <v>-4.9577184566045977E-2</v>
      </c>
      <c r="I141" s="16">
        <v>0.65990884751568935</v>
      </c>
      <c r="J141" s="2">
        <f t="shared" si="51"/>
        <v>0.49884014194905979</v>
      </c>
      <c r="K141">
        <v>0.51514857880031018</v>
      </c>
      <c r="L141">
        <f t="shared" si="49"/>
        <v>-4.9749838888457659E-2</v>
      </c>
      <c r="M141" s="2">
        <v>0</v>
      </c>
      <c r="N141" s="2">
        <v>0</v>
      </c>
      <c r="O141" s="4">
        <v>1</v>
      </c>
      <c r="P141">
        <v>0.84380792330437038</v>
      </c>
      <c r="Q141">
        <v>7.6246334310850442E-2</v>
      </c>
      <c r="R141">
        <v>-0.10699099287808959</v>
      </c>
      <c r="S141">
        <v>-2.6</v>
      </c>
      <c r="T141">
        <v>-0.6100000000000001</v>
      </c>
      <c r="U141">
        <v>1.954397394136808E-2</v>
      </c>
      <c r="V141">
        <v>-0.17234042553191489</v>
      </c>
      <c r="W141">
        <v>-7.9207920792079209E-2</v>
      </c>
      <c r="X141">
        <v>0.35566807298823827</v>
      </c>
      <c r="Y141">
        <v>5.4794520547945189E-2</v>
      </c>
      <c r="Z141">
        <v>-7.6725487913416698E-2</v>
      </c>
      <c r="AA141">
        <v>-0.74285714285714288</v>
      </c>
      <c r="AB141">
        <v>-0.35465116279069775</v>
      </c>
      <c r="AC141">
        <v>1.5796922385712685E-2</v>
      </c>
      <c r="AD141">
        <v>-0.18424117102900364</v>
      </c>
      <c r="AE141">
        <v>-9.2409240924092417E-2</v>
      </c>
      <c r="AF141">
        <v>0.32</v>
      </c>
      <c r="AG141">
        <v>0.13500000000000001</v>
      </c>
      <c r="AH141">
        <v>0.18</v>
      </c>
      <c r="AI141">
        <v>0.35</v>
      </c>
      <c r="AJ141">
        <v>0.65</v>
      </c>
      <c r="AK141">
        <v>1.5999999999999999</v>
      </c>
      <c r="AL141">
        <v>1</v>
      </c>
      <c r="AM141">
        <v>1</v>
      </c>
      <c r="AN141">
        <v>1.4</v>
      </c>
      <c r="AO141">
        <v>1</v>
      </c>
      <c r="AP141">
        <f t="shared" si="46"/>
        <v>1.5</v>
      </c>
      <c r="AQ141">
        <f t="shared" si="47"/>
        <v>1</v>
      </c>
      <c r="AR141">
        <f t="shared" si="48"/>
        <v>1</v>
      </c>
      <c r="AS141" cm="1">
        <f t="array" ref="AS141">_xlfn.IFS(AF141&gt;'“主要目标”数据分表'!$C$2,1,AF141='“主要目标”数据分表'!$C$2,0,AF141&lt;'“主要目标”数据分表'!$C$2,-1)</f>
        <v>1</v>
      </c>
      <c r="AT141" cm="1">
        <f t="array" ref="AT141">_xlfn.IFS(AG141&gt;'“主要目标”数据分表'!$D$2,1,AG141='“主要目标”数据分表'!$D$2,0,AG141&lt;'“主要目标”数据分表'!$D$2,-1)</f>
        <v>0</v>
      </c>
      <c r="AU141" cm="1">
        <f t="array" ref="AU141">_xlfn.IFS(AH141&gt;'“主要目标”数据分表'!$E$2,1,AH141='“主要目标”数据分表'!$E$2,0,AH141&lt;'“主要目标”数据分表'!$E$2,-1)</f>
        <v>0</v>
      </c>
      <c r="AV141" cm="1">
        <f t="array" ref="AV141">_xlfn.IFS(AI141&gt;'“主要目标”数据分表'!$F$2,1,AI141='“主要目标”数据分表'!$F$2,0,AI141&lt;'“主要目标”数据分表'!$F$2,-1)</f>
        <v>1</v>
      </c>
      <c r="AW141" cm="1">
        <f t="array" ref="AW141">_xlfn.IFS(AJ141&gt;'“主要目标”数据分表'!$G$2,1,AJ141='“主要目标”数据分表'!$G$2,0,AJ141&lt;'“主要目标”数据分表'!$G$2,-1)</f>
        <v>0</v>
      </c>
    </row>
    <row r="142" spans="1:49" ht="14.4" x14ac:dyDescent="0.25">
      <c r="A142" s="2">
        <v>19</v>
      </c>
      <c r="B142" s="2" t="s">
        <v>32</v>
      </c>
      <c r="C142" s="2">
        <v>2022</v>
      </c>
      <c r="D142" s="2">
        <v>36519.053693906098</v>
      </c>
      <c r="E142" s="19">
        <v>63419.757784741603</v>
      </c>
      <c r="F142" s="2">
        <v>129118.6</v>
      </c>
      <c r="G142" s="3">
        <v>0.28283340815270686</v>
      </c>
      <c r="H142" s="2">
        <f t="shared" si="50"/>
        <v>-4.4689290031990188E-2</v>
      </c>
      <c r="I142" s="16">
        <v>0.49528332887997656</v>
      </c>
      <c r="J142" s="2">
        <f t="shared" si="51"/>
        <v>-0.2494670578451349</v>
      </c>
      <c r="K142">
        <v>0.49117445344622385</v>
      </c>
      <c r="L142">
        <f t="shared" si="49"/>
        <v>-4.6538273307320036E-2</v>
      </c>
      <c r="M142" s="2">
        <v>1</v>
      </c>
      <c r="N142" s="2">
        <v>0</v>
      </c>
      <c r="O142" s="4">
        <v>1</v>
      </c>
      <c r="P142">
        <v>0.84380792330437038</v>
      </c>
      <c r="Q142">
        <v>7.6246334310850442E-2</v>
      </c>
      <c r="R142">
        <v>-0.10699099287808959</v>
      </c>
      <c r="S142">
        <v>-2.6</v>
      </c>
      <c r="T142">
        <v>-0.6100000000000001</v>
      </c>
      <c r="U142">
        <v>1.954397394136808E-2</v>
      </c>
      <c r="V142">
        <v>-0.17234042553191489</v>
      </c>
      <c r="W142">
        <v>-7.9207920792079209E-2</v>
      </c>
      <c r="X142">
        <v>0.35566807298823827</v>
      </c>
      <c r="Y142">
        <v>5.4794520547945189E-2</v>
      </c>
      <c r="Z142">
        <v>-7.6725487913416698E-2</v>
      </c>
      <c r="AA142">
        <v>-0.74285714285714288</v>
      </c>
      <c r="AB142">
        <v>-0.35465116279069775</v>
      </c>
      <c r="AC142">
        <v>1.5796922385712685E-2</v>
      </c>
      <c r="AD142">
        <v>-0.18424117102900364</v>
      </c>
      <c r="AE142">
        <v>-9.2409240924092417E-2</v>
      </c>
      <c r="AF142">
        <v>0.32</v>
      </c>
      <c r="AG142">
        <v>0.13500000000000001</v>
      </c>
      <c r="AH142">
        <v>0.18</v>
      </c>
      <c r="AI142">
        <v>0.35</v>
      </c>
      <c r="AJ142">
        <v>0.65</v>
      </c>
      <c r="AK142">
        <v>1.5999999999999999</v>
      </c>
      <c r="AL142">
        <v>1</v>
      </c>
      <c r="AM142">
        <v>1</v>
      </c>
      <c r="AN142">
        <v>1.4</v>
      </c>
      <c r="AO142">
        <v>1</v>
      </c>
      <c r="AP142">
        <f t="shared" si="46"/>
        <v>1.5</v>
      </c>
      <c r="AQ142">
        <f t="shared" si="47"/>
        <v>1</v>
      </c>
      <c r="AR142">
        <f t="shared" si="48"/>
        <v>1</v>
      </c>
      <c r="AS142" cm="1">
        <f t="array" ref="AS142">_xlfn.IFS(AF142&gt;'“主要目标”数据分表'!$C$2,1,AF142='“主要目标”数据分表'!$C$2,0,AF142&lt;'“主要目标”数据分表'!$C$2,-1)</f>
        <v>1</v>
      </c>
      <c r="AT142" cm="1">
        <f t="array" ref="AT142">_xlfn.IFS(AG142&gt;'“主要目标”数据分表'!$D$2,1,AG142='“主要目标”数据分表'!$D$2,0,AG142&lt;'“主要目标”数据分表'!$D$2,-1)</f>
        <v>0</v>
      </c>
      <c r="AU142" cm="1">
        <f t="array" ref="AU142">_xlfn.IFS(AH142&gt;'“主要目标”数据分表'!$E$2,1,AH142='“主要目标”数据分表'!$E$2,0,AH142&lt;'“主要目标”数据分表'!$E$2,-1)</f>
        <v>0</v>
      </c>
      <c r="AV142" cm="1">
        <f t="array" ref="AV142">_xlfn.IFS(AI142&gt;'“主要目标”数据分表'!$F$2,1,AI142='“主要目标”数据分表'!$F$2,0,AI142&lt;'“主要目标”数据分表'!$F$2,-1)</f>
        <v>1</v>
      </c>
      <c r="AW142" cm="1">
        <f t="array" ref="AW142">_xlfn.IFS(AJ142&gt;'“主要目标”数据分表'!$G$2,1,AJ142='“主要目标”数据分表'!$G$2,0,AJ142&lt;'“主要目标”数据分表'!$G$2,-1)</f>
        <v>0</v>
      </c>
    </row>
    <row r="143" spans="1:49" ht="14.4" x14ac:dyDescent="0.25">
      <c r="A143" s="2">
        <v>20</v>
      </c>
      <c r="B143" s="2" t="s">
        <v>33</v>
      </c>
      <c r="C143" s="2">
        <v>2016</v>
      </c>
      <c r="D143" s="2">
        <v>10110</v>
      </c>
      <c r="E143" s="19">
        <v>30944.612563307797</v>
      </c>
      <c r="F143" s="2">
        <v>18317.64</v>
      </c>
      <c r="G143" s="3">
        <v>0.55192699496223319</v>
      </c>
      <c r="H143" s="2"/>
      <c r="I143" s="16">
        <v>0.29430757633090859</v>
      </c>
      <c r="K143">
        <v>1.6893340279265123</v>
      </c>
      <c r="L143"/>
      <c r="M143" s="2">
        <v>0</v>
      </c>
      <c r="N143" s="2">
        <v>0</v>
      </c>
      <c r="O143" s="4">
        <v>1</v>
      </c>
      <c r="P143">
        <v>0.9097529483680501</v>
      </c>
      <c r="Q143">
        <v>0.64662756598240467</v>
      </c>
      <c r="R143">
        <v>0.31496532141693429</v>
      </c>
      <c r="S143">
        <v>3.3</v>
      </c>
      <c r="T143">
        <v>1.06</v>
      </c>
      <c r="U143">
        <v>0.6238670694864048</v>
      </c>
      <c r="V143">
        <v>0.41891891891891891</v>
      </c>
      <c r="W143">
        <v>0.2560386473429952</v>
      </c>
      <c r="X143">
        <v>0.62770803248081453</v>
      </c>
      <c r="Y143">
        <v>0.46469968387776589</v>
      </c>
      <c r="Z143">
        <v>0.22586824658273885</v>
      </c>
      <c r="AA143">
        <v>0.94285714285714284</v>
      </c>
      <c r="AB143">
        <v>0.61627906976744196</v>
      </c>
      <c r="AC143">
        <v>0.50425669340556323</v>
      </c>
      <c r="AD143">
        <v>0.44784682380590307</v>
      </c>
      <c r="AE143">
        <v>0.29871175523349441</v>
      </c>
      <c r="AF143">
        <v>0.3</v>
      </c>
      <c r="AG143">
        <v>0.13500000000000001</v>
      </c>
      <c r="AH143">
        <v>0.18</v>
      </c>
      <c r="AI143">
        <v>0.35</v>
      </c>
      <c r="AJ143">
        <v>0.65</v>
      </c>
      <c r="AK143">
        <v>1.4999999999999998</v>
      </c>
      <c r="AL143">
        <v>1</v>
      </c>
      <c r="AM143">
        <v>1</v>
      </c>
      <c r="AN143">
        <v>1.4</v>
      </c>
      <c r="AO143">
        <v>1</v>
      </c>
      <c r="AP143">
        <f t="shared" si="46"/>
        <v>1.4499999999999997</v>
      </c>
      <c r="AQ143">
        <f t="shared" si="47"/>
        <v>1</v>
      </c>
      <c r="AR143">
        <f t="shared" si="48"/>
        <v>1</v>
      </c>
      <c r="AS143" cm="1">
        <f t="array" ref="AS143">_xlfn.IFS(AF143&gt;'“主要目标”数据分表'!$C$2,1,AF143='“主要目标”数据分表'!$C$2,0,AF143&lt;'“主要目标”数据分表'!$C$2,-1)</f>
        <v>1</v>
      </c>
      <c r="AT143" cm="1">
        <f t="array" ref="AT143">_xlfn.IFS(AG143&gt;'“主要目标”数据分表'!$D$2,1,AG143='“主要目标”数据分表'!$D$2,0,AG143&lt;'“主要目标”数据分表'!$D$2,-1)</f>
        <v>0</v>
      </c>
      <c r="AU143" cm="1">
        <f t="array" ref="AU143">_xlfn.IFS(AH143&gt;'“主要目标”数据分表'!$E$2,1,AH143='“主要目标”数据分表'!$E$2,0,AH143&lt;'“主要目标”数据分表'!$E$2,-1)</f>
        <v>0</v>
      </c>
      <c r="AV143" cm="1">
        <f t="array" ref="AV143">_xlfn.IFS(AI143&gt;'“主要目标”数据分表'!$F$2,1,AI143='“主要目标”数据分表'!$F$2,0,AI143&lt;'“主要目标”数据分表'!$F$2,-1)</f>
        <v>1</v>
      </c>
      <c r="AW143" cm="1">
        <f t="array" ref="AW143">_xlfn.IFS(AJ143&gt;'“主要目标”数据分表'!$G$2,1,AJ143='“主要目标”数据分表'!$G$2,0,AJ143&lt;'“主要目标”数据分表'!$G$2,-1)</f>
        <v>0</v>
      </c>
    </row>
    <row r="144" spans="1:49" ht="14.4" x14ac:dyDescent="0.25">
      <c r="A144" s="2">
        <v>20</v>
      </c>
      <c r="B144" s="2" t="s">
        <v>33</v>
      </c>
      <c r="C144" s="2">
        <v>2017</v>
      </c>
      <c r="D144" s="2">
        <v>10456</v>
      </c>
      <c r="E144" s="19">
        <v>31265.272292841702</v>
      </c>
      <c r="F144" s="2">
        <v>18523.259999999998</v>
      </c>
      <c r="G144" s="3">
        <v>0.56447947067632809</v>
      </c>
      <c r="H144" s="2">
        <f>(G144-G143)/G143</f>
        <v>2.2743000122604679E-2</v>
      </c>
      <c r="I144" s="16">
        <v>0.31843667504174833</v>
      </c>
      <c r="J144" s="2">
        <f>(I144-I143)/I143</f>
        <v>8.1985992381350958E-2</v>
      </c>
      <c r="K144">
        <v>1.6878925358085837</v>
      </c>
      <c r="L144">
        <f t="shared" si="49"/>
        <v>-8.5329016884715342E-4</v>
      </c>
      <c r="M144" s="2">
        <v>0</v>
      </c>
      <c r="N144" s="2">
        <v>0</v>
      </c>
      <c r="O144" s="4">
        <v>1</v>
      </c>
      <c r="P144">
        <v>0.9097529483680501</v>
      </c>
      <c r="Q144">
        <v>0.64662756598240467</v>
      </c>
      <c r="R144">
        <v>0.31496532141693429</v>
      </c>
      <c r="S144">
        <v>3.3</v>
      </c>
      <c r="T144">
        <v>1.06</v>
      </c>
      <c r="U144">
        <v>0.6238670694864048</v>
      </c>
      <c r="V144">
        <v>0.41891891891891891</v>
      </c>
      <c r="W144">
        <v>0.2560386473429952</v>
      </c>
      <c r="X144">
        <v>0.62770803248081453</v>
      </c>
      <c r="Y144">
        <v>0.46469968387776589</v>
      </c>
      <c r="Z144">
        <v>0.22586824658273885</v>
      </c>
      <c r="AA144">
        <v>0.94285714285714284</v>
      </c>
      <c r="AB144">
        <v>0.61627906976744196</v>
      </c>
      <c r="AC144">
        <v>0.50425669340556323</v>
      </c>
      <c r="AD144">
        <v>0.44784682380590307</v>
      </c>
      <c r="AE144">
        <v>0.29871175523349441</v>
      </c>
      <c r="AF144">
        <v>0.3</v>
      </c>
      <c r="AG144">
        <v>0.13500000000000001</v>
      </c>
      <c r="AH144">
        <v>0.18</v>
      </c>
      <c r="AI144">
        <v>0.35</v>
      </c>
      <c r="AJ144">
        <v>0.65</v>
      </c>
      <c r="AK144">
        <v>1.4999999999999998</v>
      </c>
      <c r="AL144">
        <v>1</v>
      </c>
      <c r="AM144">
        <v>1</v>
      </c>
      <c r="AN144">
        <v>1.4</v>
      </c>
      <c r="AO144">
        <v>1</v>
      </c>
      <c r="AP144">
        <f t="shared" si="46"/>
        <v>1.4499999999999997</v>
      </c>
      <c r="AQ144">
        <f t="shared" si="47"/>
        <v>1</v>
      </c>
      <c r="AR144">
        <f t="shared" si="48"/>
        <v>1</v>
      </c>
      <c r="AS144" cm="1">
        <f t="array" ref="AS144">_xlfn.IFS(AF144&gt;'“主要目标”数据分表'!$C$2,1,AF144='“主要目标”数据分表'!$C$2,0,AF144&lt;'“主要目标”数据分表'!$C$2,-1)</f>
        <v>1</v>
      </c>
      <c r="AT144" cm="1">
        <f t="array" ref="AT144">_xlfn.IFS(AG144&gt;'“主要目标”数据分表'!$D$2,1,AG144='“主要目标”数据分表'!$D$2,0,AG144&lt;'“主要目标”数据分表'!$D$2,-1)</f>
        <v>0</v>
      </c>
      <c r="AU144" cm="1">
        <f t="array" ref="AU144">_xlfn.IFS(AH144&gt;'“主要目标”数据分表'!$E$2,1,AH144='“主要目标”数据分表'!$E$2,0,AH144&lt;'“主要目标”数据分表'!$E$2,-1)</f>
        <v>0</v>
      </c>
      <c r="AV144" cm="1">
        <f t="array" ref="AV144">_xlfn.IFS(AI144&gt;'“主要目标”数据分表'!$F$2,1,AI144='“主要目标”数据分表'!$F$2,0,AI144&lt;'“主要目标”数据分表'!$F$2,-1)</f>
        <v>1</v>
      </c>
      <c r="AW144" cm="1">
        <f t="array" ref="AW144">_xlfn.IFS(AJ144&gt;'“主要目标”数据分表'!$G$2,1,AJ144='“主要目标”数据分表'!$G$2,0,AJ144&lt;'“主要目标”数据分表'!$G$2,-1)</f>
        <v>0</v>
      </c>
    </row>
    <row r="145" spans="1:49" ht="14.4" x14ac:dyDescent="0.25">
      <c r="A145" s="2">
        <v>20</v>
      </c>
      <c r="B145" s="2" t="s">
        <v>33</v>
      </c>
      <c r="C145" s="2">
        <v>2018</v>
      </c>
      <c r="D145" s="2">
        <v>10823</v>
      </c>
      <c r="E145" s="19">
        <v>32248.7515484955</v>
      </c>
      <c r="F145" s="2">
        <v>20352.509999999998</v>
      </c>
      <c r="G145" s="3">
        <v>0.53177716163755728</v>
      </c>
      <c r="H145" s="2">
        <f t="shared" ref="H145:H149" si="52">(G145-G144)/G144</f>
        <v>-5.7933566653165805E-2</v>
      </c>
      <c r="I145" s="16">
        <v>0.35418468175939705</v>
      </c>
      <c r="J145" s="2">
        <f t="shared" ref="J145:J149" si="53">(I145-I144)/I144</f>
        <v>0.11226095961767597</v>
      </c>
      <c r="K145">
        <v>1.58450979994583</v>
      </c>
      <c r="L145">
        <f t="shared" si="49"/>
        <v>-6.1249595972191609E-2</v>
      </c>
      <c r="M145" s="2">
        <v>0</v>
      </c>
      <c r="N145" s="2">
        <v>0</v>
      </c>
      <c r="O145" s="4">
        <v>1</v>
      </c>
      <c r="P145">
        <v>0.9097529483680501</v>
      </c>
      <c r="Q145">
        <v>0.64662756598240467</v>
      </c>
      <c r="R145">
        <v>0.31496532141693429</v>
      </c>
      <c r="S145">
        <v>3.3</v>
      </c>
      <c r="T145">
        <v>1.06</v>
      </c>
      <c r="U145">
        <v>0.6238670694864048</v>
      </c>
      <c r="V145">
        <v>0.41891891891891891</v>
      </c>
      <c r="W145">
        <v>0.2560386473429952</v>
      </c>
      <c r="X145">
        <v>0.62770803248081453</v>
      </c>
      <c r="Y145">
        <v>0.46469968387776589</v>
      </c>
      <c r="Z145">
        <v>0.22586824658273885</v>
      </c>
      <c r="AA145">
        <v>0.94285714285714284</v>
      </c>
      <c r="AB145">
        <v>0.61627906976744196</v>
      </c>
      <c r="AC145">
        <v>0.50425669340556323</v>
      </c>
      <c r="AD145">
        <v>0.44784682380590307</v>
      </c>
      <c r="AE145">
        <v>0.29871175523349441</v>
      </c>
      <c r="AF145">
        <v>0.3</v>
      </c>
      <c r="AG145">
        <v>0.13500000000000001</v>
      </c>
      <c r="AH145">
        <v>0.18</v>
      </c>
      <c r="AI145">
        <v>0.35</v>
      </c>
      <c r="AJ145">
        <v>0.65</v>
      </c>
      <c r="AK145">
        <v>1.4999999999999998</v>
      </c>
      <c r="AL145">
        <v>1</v>
      </c>
      <c r="AM145">
        <v>1</v>
      </c>
      <c r="AN145">
        <v>1.4</v>
      </c>
      <c r="AO145">
        <v>1</v>
      </c>
      <c r="AP145">
        <f t="shared" si="46"/>
        <v>1.4499999999999997</v>
      </c>
      <c r="AQ145">
        <f t="shared" si="47"/>
        <v>1</v>
      </c>
      <c r="AR145">
        <f t="shared" si="48"/>
        <v>1</v>
      </c>
      <c r="AS145" cm="1">
        <f t="array" ref="AS145">_xlfn.IFS(AF145&gt;'“主要目标”数据分表'!$C$2,1,AF145='“主要目标”数据分表'!$C$2,0,AF145&lt;'“主要目标”数据分表'!$C$2,-1)</f>
        <v>1</v>
      </c>
      <c r="AT145" cm="1">
        <f t="array" ref="AT145">_xlfn.IFS(AG145&gt;'“主要目标”数据分表'!$D$2,1,AG145='“主要目标”数据分表'!$D$2,0,AG145&lt;'“主要目标”数据分表'!$D$2,-1)</f>
        <v>0</v>
      </c>
      <c r="AU145" cm="1">
        <f t="array" ref="AU145">_xlfn.IFS(AH145&gt;'“主要目标”数据分表'!$E$2,1,AH145='“主要目标”数据分表'!$E$2,0,AH145&lt;'“主要目标”数据分表'!$E$2,-1)</f>
        <v>0</v>
      </c>
      <c r="AV145" cm="1">
        <f t="array" ref="AV145">_xlfn.IFS(AI145&gt;'“主要目标”数据分表'!$F$2,1,AI145='“主要目标”数据分表'!$F$2,0,AI145&lt;'“主要目标”数据分表'!$F$2,-1)</f>
        <v>1</v>
      </c>
      <c r="AW145" cm="1">
        <f t="array" ref="AW145">_xlfn.IFS(AJ145&gt;'“主要目标”数据分表'!$G$2,1,AJ145='“主要目标”数据分表'!$G$2,0,AJ145&lt;'“主要目标”数据分表'!$G$2,-1)</f>
        <v>0</v>
      </c>
    </row>
    <row r="146" spans="1:49" ht="14.4" x14ac:dyDescent="0.25">
      <c r="A146" s="2">
        <v>20</v>
      </c>
      <c r="B146" s="2" t="s">
        <v>33</v>
      </c>
      <c r="C146" s="2">
        <v>2019</v>
      </c>
      <c r="D146" s="2">
        <v>11270</v>
      </c>
      <c r="E146" s="19">
        <v>32205.542151505299</v>
      </c>
      <c r="F146" s="2">
        <v>21237.14</v>
      </c>
      <c r="G146" s="3">
        <v>0.53067409265089371</v>
      </c>
      <c r="H146" s="2">
        <f t="shared" si="52"/>
        <v>-2.0743068078869216E-3</v>
      </c>
      <c r="I146" s="16">
        <v>0.39477329949336493</v>
      </c>
      <c r="J146" s="2">
        <f t="shared" si="53"/>
        <v>0.11459732683058364</v>
      </c>
      <c r="K146">
        <v>1.5164726583478425</v>
      </c>
      <c r="L146">
        <f t="shared" si="49"/>
        <v>-4.2938921299390802E-2</v>
      </c>
      <c r="M146" s="2">
        <v>0</v>
      </c>
      <c r="N146" s="2">
        <v>0</v>
      </c>
      <c r="O146" s="4">
        <v>1</v>
      </c>
      <c r="P146">
        <v>0.9097529483680501</v>
      </c>
      <c r="Q146">
        <v>0.64662756598240467</v>
      </c>
      <c r="R146">
        <v>0.31496532141693429</v>
      </c>
      <c r="S146">
        <v>3.3</v>
      </c>
      <c r="T146">
        <v>1.06</v>
      </c>
      <c r="U146">
        <v>0.6238670694864048</v>
      </c>
      <c r="V146">
        <v>0.41891891891891891</v>
      </c>
      <c r="W146">
        <v>0.2560386473429952</v>
      </c>
      <c r="X146">
        <v>0.62770803248081453</v>
      </c>
      <c r="Y146">
        <v>0.46469968387776589</v>
      </c>
      <c r="Z146">
        <v>0.22586824658273885</v>
      </c>
      <c r="AA146">
        <v>0.94285714285714284</v>
      </c>
      <c r="AB146">
        <v>0.61627906976744196</v>
      </c>
      <c r="AC146">
        <v>0.50425669340556323</v>
      </c>
      <c r="AD146">
        <v>0.44784682380590307</v>
      </c>
      <c r="AE146">
        <v>0.29871175523349441</v>
      </c>
      <c r="AF146">
        <v>0.3</v>
      </c>
      <c r="AG146">
        <v>0.13500000000000001</v>
      </c>
      <c r="AH146">
        <v>0.18</v>
      </c>
      <c r="AI146">
        <v>0.35</v>
      </c>
      <c r="AJ146">
        <v>0.65</v>
      </c>
      <c r="AK146">
        <v>1.4999999999999998</v>
      </c>
      <c r="AL146">
        <v>1</v>
      </c>
      <c r="AM146">
        <v>1</v>
      </c>
      <c r="AN146">
        <v>1.4</v>
      </c>
      <c r="AO146">
        <v>1</v>
      </c>
      <c r="AP146">
        <f t="shared" si="46"/>
        <v>1.4499999999999997</v>
      </c>
      <c r="AQ146">
        <f t="shared" si="47"/>
        <v>1</v>
      </c>
      <c r="AR146">
        <f t="shared" si="48"/>
        <v>1</v>
      </c>
      <c r="AS146" cm="1">
        <f t="array" ref="AS146">_xlfn.IFS(AF146&gt;'“主要目标”数据分表'!$C$2,1,AF146='“主要目标”数据分表'!$C$2,0,AF146&lt;'“主要目标”数据分表'!$C$2,-1)</f>
        <v>1</v>
      </c>
      <c r="AT146" cm="1">
        <f t="array" ref="AT146">_xlfn.IFS(AG146&gt;'“主要目标”数据分表'!$D$2,1,AG146='“主要目标”数据分表'!$D$2,0,AG146&lt;'“主要目标”数据分表'!$D$2,-1)</f>
        <v>0</v>
      </c>
      <c r="AU146" cm="1">
        <f t="array" ref="AU146">_xlfn.IFS(AH146&gt;'“主要目标”数据分表'!$E$2,1,AH146='“主要目标”数据分表'!$E$2,0,AH146&lt;'“主要目标”数据分表'!$E$2,-1)</f>
        <v>0</v>
      </c>
      <c r="AV146" cm="1">
        <f t="array" ref="AV146">_xlfn.IFS(AI146&gt;'“主要目标”数据分表'!$F$2,1,AI146='“主要目标”数据分表'!$F$2,0,AI146&lt;'“主要目标”数据分表'!$F$2,-1)</f>
        <v>1</v>
      </c>
      <c r="AW146" cm="1">
        <f t="array" ref="AW146">_xlfn.IFS(AJ146&gt;'“主要目标”数据分表'!$G$2,1,AJ146='“主要目标”数据分表'!$G$2,0,AJ146&lt;'“主要目标”数据分表'!$G$2,-1)</f>
        <v>0</v>
      </c>
    </row>
    <row r="147" spans="1:49" ht="14.4" x14ac:dyDescent="0.25">
      <c r="A147" s="2">
        <v>20</v>
      </c>
      <c r="B147" s="2" t="s">
        <v>33</v>
      </c>
      <c r="C147" s="2">
        <v>2020</v>
      </c>
      <c r="D147" s="2">
        <v>12081</v>
      </c>
      <c r="E147" s="19">
        <v>33351.793500812397</v>
      </c>
      <c r="F147" s="2">
        <v>22156.69</v>
      </c>
      <c r="G147" s="3">
        <v>0.54525292360907707</v>
      </c>
      <c r="H147" s="2">
        <f t="shared" si="52"/>
        <v>2.7472286964975508E-2</v>
      </c>
      <c r="I147" s="16">
        <v>0.37275022716759326</v>
      </c>
      <c r="J147" s="2">
        <f t="shared" si="53"/>
        <v>-5.5786630843664267E-2</v>
      </c>
      <c r="K147">
        <v>1.5052696725373871</v>
      </c>
      <c r="L147">
        <f t="shared" si="49"/>
        <v>-7.3875290456346145E-3</v>
      </c>
      <c r="M147" s="2">
        <v>0</v>
      </c>
      <c r="N147" s="2">
        <v>0</v>
      </c>
      <c r="O147" s="4">
        <v>1</v>
      </c>
      <c r="P147">
        <v>0.9097529483680501</v>
      </c>
      <c r="Q147">
        <v>0.64662756598240467</v>
      </c>
      <c r="R147">
        <v>0.31496532141693429</v>
      </c>
      <c r="S147">
        <v>3.3</v>
      </c>
      <c r="T147">
        <v>1.06</v>
      </c>
      <c r="U147">
        <v>0.6238670694864048</v>
      </c>
      <c r="V147">
        <v>0.41891891891891891</v>
      </c>
      <c r="W147">
        <v>0.2560386473429952</v>
      </c>
      <c r="X147">
        <v>0.62770803248081453</v>
      </c>
      <c r="Y147">
        <v>0.46469968387776589</v>
      </c>
      <c r="Z147">
        <v>0.22586824658273885</v>
      </c>
      <c r="AA147">
        <v>0.94285714285714284</v>
      </c>
      <c r="AB147">
        <v>0.61627906976744196</v>
      </c>
      <c r="AC147">
        <v>0.50425669340556323</v>
      </c>
      <c r="AD147">
        <v>0.44784682380590307</v>
      </c>
      <c r="AE147">
        <v>0.29871175523349441</v>
      </c>
      <c r="AF147">
        <v>0.3</v>
      </c>
      <c r="AG147">
        <v>0.13500000000000001</v>
      </c>
      <c r="AH147">
        <v>0.18</v>
      </c>
      <c r="AI147">
        <v>0.35</v>
      </c>
      <c r="AJ147">
        <v>0.65</v>
      </c>
      <c r="AK147">
        <v>1.4999999999999998</v>
      </c>
      <c r="AL147">
        <v>1</v>
      </c>
      <c r="AM147">
        <v>1</v>
      </c>
      <c r="AN147">
        <v>1.4</v>
      </c>
      <c r="AO147">
        <v>1</v>
      </c>
      <c r="AP147">
        <f t="shared" si="46"/>
        <v>1.4499999999999997</v>
      </c>
      <c r="AQ147">
        <f t="shared" si="47"/>
        <v>1</v>
      </c>
      <c r="AR147">
        <f t="shared" si="48"/>
        <v>1</v>
      </c>
      <c r="AS147" cm="1">
        <f t="array" ref="AS147">_xlfn.IFS(AF147&gt;'“主要目标”数据分表'!$C$2,1,AF147='“主要目标”数据分表'!$C$2,0,AF147&lt;'“主要目标”数据分表'!$C$2,-1)</f>
        <v>1</v>
      </c>
      <c r="AT147" cm="1">
        <f t="array" ref="AT147">_xlfn.IFS(AG147&gt;'“主要目标”数据分表'!$D$2,1,AG147='“主要目标”数据分表'!$D$2,0,AG147&lt;'“主要目标”数据分表'!$D$2,-1)</f>
        <v>0</v>
      </c>
      <c r="AU147" cm="1">
        <f t="array" ref="AU147">_xlfn.IFS(AH147&gt;'“主要目标”数据分表'!$E$2,1,AH147='“主要目标”数据分表'!$E$2,0,AH147&lt;'“主要目标”数据分表'!$E$2,-1)</f>
        <v>0</v>
      </c>
      <c r="AV147" cm="1">
        <f t="array" ref="AV147">_xlfn.IFS(AI147&gt;'“主要目标”数据分表'!$F$2,1,AI147='“主要目标”数据分表'!$F$2,0,AI147&lt;'“主要目标”数据分表'!$F$2,-1)</f>
        <v>1</v>
      </c>
      <c r="AW147" cm="1">
        <f t="array" ref="AW147">_xlfn.IFS(AJ147&gt;'“主要目标”数据分表'!$G$2,1,AJ147='“主要目标”数据分表'!$G$2,0,AJ147&lt;'“主要目标”数据分表'!$G$2,-1)</f>
        <v>0</v>
      </c>
    </row>
    <row r="148" spans="1:49" ht="14.4" x14ac:dyDescent="0.25">
      <c r="A148" s="2">
        <v>20</v>
      </c>
      <c r="B148" s="2" t="s">
        <v>33</v>
      </c>
      <c r="C148" s="2">
        <v>2021</v>
      </c>
      <c r="D148" s="2">
        <v>13189.02</v>
      </c>
      <c r="E148" s="19">
        <v>35022.925379334301</v>
      </c>
      <c r="F148" s="2">
        <v>24740.86</v>
      </c>
      <c r="G148" s="3">
        <v>0.53308656206776972</v>
      </c>
      <c r="H148" s="2">
        <f t="shared" si="52"/>
        <v>-2.2313244027702097E-2</v>
      </c>
      <c r="I148" s="16">
        <v>0.37277275761751111</v>
      </c>
      <c r="J148" s="2">
        <f t="shared" si="53"/>
        <v>6.0443826121977999E-5</v>
      </c>
      <c r="K148">
        <v>1.4155904596418354</v>
      </c>
      <c r="L148">
        <f t="shared" si="49"/>
        <v>-5.9576841632889732E-2</v>
      </c>
      <c r="M148" s="2">
        <v>0</v>
      </c>
      <c r="N148" s="2">
        <v>0</v>
      </c>
      <c r="O148" s="4">
        <v>1</v>
      </c>
      <c r="P148">
        <v>0.9097529483680501</v>
      </c>
      <c r="Q148">
        <v>0.64662756598240467</v>
      </c>
      <c r="R148">
        <v>0.31496532141693429</v>
      </c>
      <c r="S148">
        <v>3.3</v>
      </c>
      <c r="T148">
        <v>1.06</v>
      </c>
      <c r="U148">
        <v>0.6238670694864048</v>
      </c>
      <c r="V148">
        <v>0.41891891891891891</v>
      </c>
      <c r="W148">
        <v>0.2560386473429952</v>
      </c>
      <c r="X148">
        <v>0.62770803248081453</v>
      </c>
      <c r="Y148">
        <v>0.46469968387776589</v>
      </c>
      <c r="Z148">
        <v>0.22586824658273885</v>
      </c>
      <c r="AA148">
        <v>0.94285714285714284</v>
      </c>
      <c r="AB148">
        <v>0.61627906976744196</v>
      </c>
      <c r="AC148">
        <v>0.50425669340556323</v>
      </c>
      <c r="AD148">
        <v>0.44784682380590307</v>
      </c>
      <c r="AE148">
        <v>0.29871175523349441</v>
      </c>
      <c r="AF148">
        <v>0.3</v>
      </c>
      <c r="AG148">
        <v>0.13500000000000001</v>
      </c>
      <c r="AH148">
        <v>0.18</v>
      </c>
      <c r="AI148">
        <v>0.35</v>
      </c>
      <c r="AJ148">
        <v>0.65</v>
      </c>
      <c r="AK148">
        <v>1.4999999999999998</v>
      </c>
      <c r="AL148">
        <v>1</v>
      </c>
      <c r="AM148">
        <v>1</v>
      </c>
      <c r="AN148">
        <v>1.4</v>
      </c>
      <c r="AO148">
        <v>1</v>
      </c>
      <c r="AP148">
        <f t="shared" si="46"/>
        <v>1.4499999999999997</v>
      </c>
      <c r="AQ148">
        <f t="shared" si="47"/>
        <v>1</v>
      </c>
      <c r="AR148">
        <f t="shared" si="48"/>
        <v>1</v>
      </c>
      <c r="AS148" cm="1">
        <f t="array" ref="AS148">_xlfn.IFS(AF148&gt;'“主要目标”数据分表'!$C$2,1,AF148='“主要目标”数据分表'!$C$2,0,AF148&lt;'“主要目标”数据分表'!$C$2,-1)</f>
        <v>1</v>
      </c>
      <c r="AT148" cm="1">
        <f t="array" ref="AT148">_xlfn.IFS(AG148&gt;'“主要目标”数据分表'!$D$2,1,AG148='“主要目标”数据分表'!$D$2,0,AG148&lt;'“主要目标”数据分表'!$D$2,-1)</f>
        <v>0</v>
      </c>
      <c r="AU148" cm="1">
        <f t="array" ref="AU148">_xlfn.IFS(AH148&gt;'“主要目标”数据分表'!$E$2,1,AH148='“主要目标”数据分表'!$E$2,0,AH148&lt;'“主要目标”数据分表'!$E$2,-1)</f>
        <v>0</v>
      </c>
      <c r="AV148" cm="1">
        <f t="array" ref="AV148">_xlfn.IFS(AI148&gt;'“主要目标”数据分表'!$F$2,1,AI148='“主要目标”数据分表'!$F$2,0,AI148&lt;'“主要目标”数据分表'!$F$2,-1)</f>
        <v>1</v>
      </c>
      <c r="AW148" cm="1">
        <f t="array" ref="AW148">_xlfn.IFS(AJ148&gt;'“主要目标”数据分表'!$G$2,1,AJ148='“主要目标”数据分表'!$G$2,0,AJ148&lt;'“主要目标”数据分表'!$G$2,-1)</f>
        <v>0</v>
      </c>
    </row>
    <row r="149" spans="1:49" ht="14.4" x14ac:dyDescent="0.25">
      <c r="A149" s="2">
        <v>20</v>
      </c>
      <c r="B149" s="2" t="s">
        <v>33</v>
      </c>
      <c r="C149" s="2">
        <v>2022</v>
      </c>
      <c r="D149" s="2">
        <v>13207</v>
      </c>
      <c r="E149" s="19">
        <v>35170.695324000299</v>
      </c>
      <c r="F149" s="2">
        <v>26300.9</v>
      </c>
      <c r="G149" s="3">
        <v>0.502150116535936</v>
      </c>
      <c r="H149" s="2">
        <f t="shared" si="52"/>
        <v>-5.8032686871406947E-2</v>
      </c>
      <c r="I149" s="16">
        <v>0.3709898955356713</v>
      </c>
      <c r="J149" s="2">
        <f t="shared" si="53"/>
        <v>-4.7827048661885866E-3</v>
      </c>
      <c r="K149">
        <v>1.3372430344208865</v>
      </c>
      <c r="L149">
        <f t="shared" si="49"/>
        <v>-5.534610994819212E-2</v>
      </c>
      <c r="M149" s="2">
        <v>1</v>
      </c>
      <c r="N149" s="2">
        <v>0</v>
      </c>
      <c r="O149" s="4">
        <v>1</v>
      </c>
      <c r="P149">
        <v>0.9097529483680501</v>
      </c>
      <c r="Q149">
        <v>0.64662756598240467</v>
      </c>
      <c r="R149">
        <v>0.31496532141693429</v>
      </c>
      <c r="S149">
        <v>3.3</v>
      </c>
      <c r="T149">
        <v>1.06</v>
      </c>
      <c r="U149">
        <v>0.6238670694864048</v>
      </c>
      <c r="V149">
        <v>0.41891891891891891</v>
      </c>
      <c r="W149">
        <v>0.2560386473429952</v>
      </c>
      <c r="X149">
        <v>0.62770803248081453</v>
      </c>
      <c r="Y149">
        <v>0.46469968387776589</v>
      </c>
      <c r="Z149">
        <v>0.22586824658273885</v>
      </c>
      <c r="AA149">
        <v>0.94285714285714284</v>
      </c>
      <c r="AB149">
        <v>0.61627906976744196</v>
      </c>
      <c r="AC149">
        <v>0.50425669340556323</v>
      </c>
      <c r="AD149">
        <v>0.44784682380590307</v>
      </c>
      <c r="AE149">
        <v>0.29871175523349441</v>
      </c>
      <c r="AF149">
        <v>0.3</v>
      </c>
      <c r="AG149">
        <v>0.13500000000000001</v>
      </c>
      <c r="AH149">
        <v>0.18</v>
      </c>
      <c r="AI149">
        <v>0.35</v>
      </c>
      <c r="AJ149">
        <v>0.65</v>
      </c>
      <c r="AK149">
        <v>1.4999999999999998</v>
      </c>
      <c r="AL149">
        <v>1</v>
      </c>
      <c r="AM149">
        <v>1</v>
      </c>
      <c r="AN149">
        <v>1.4</v>
      </c>
      <c r="AO149">
        <v>1</v>
      </c>
      <c r="AP149">
        <f t="shared" si="46"/>
        <v>1.4499999999999997</v>
      </c>
      <c r="AQ149">
        <f t="shared" si="47"/>
        <v>1</v>
      </c>
      <c r="AR149">
        <f t="shared" si="48"/>
        <v>1</v>
      </c>
      <c r="AS149" cm="1">
        <f t="array" ref="AS149">_xlfn.IFS(AF149&gt;'“主要目标”数据分表'!$C$2,1,AF149='“主要目标”数据分表'!$C$2,0,AF149&lt;'“主要目标”数据分表'!$C$2,-1)</f>
        <v>1</v>
      </c>
      <c r="AT149" cm="1">
        <f t="array" ref="AT149">_xlfn.IFS(AG149&gt;'“主要目标”数据分表'!$D$2,1,AG149='“主要目标”数据分表'!$D$2,0,AG149&lt;'“主要目标”数据分表'!$D$2,-1)</f>
        <v>0</v>
      </c>
      <c r="AU149" cm="1">
        <f t="array" ref="AU149">_xlfn.IFS(AH149&gt;'“主要目标”数据分表'!$E$2,1,AH149='“主要目标”数据分表'!$E$2,0,AH149&lt;'“主要目标”数据分表'!$E$2,-1)</f>
        <v>0</v>
      </c>
      <c r="AV149" cm="1">
        <f t="array" ref="AV149">_xlfn.IFS(AI149&gt;'“主要目标”数据分表'!$F$2,1,AI149='“主要目标”数据分表'!$F$2,0,AI149&lt;'“主要目标”数据分表'!$F$2,-1)</f>
        <v>1</v>
      </c>
      <c r="AW149" cm="1">
        <f t="array" ref="AW149">_xlfn.IFS(AJ149&gt;'“主要目标”数据分表'!$G$2,1,AJ149='“主要目标”数据分表'!$G$2,0,AJ149&lt;'“主要目标”数据分表'!$G$2,-1)</f>
        <v>0</v>
      </c>
    </row>
    <row r="150" spans="1:49" ht="14.4" x14ac:dyDescent="0.25">
      <c r="A150" s="2">
        <v>21</v>
      </c>
      <c r="B150" s="2" t="s">
        <v>34</v>
      </c>
      <c r="C150" s="2">
        <v>2016</v>
      </c>
      <c r="D150" s="2">
        <v>1984</v>
      </c>
      <c r="E150" s="19">
        <v>4830.8301980129099</v>
      </c>
      <c r="F150" s="2">
        <v>4053.2</v>
      </c>
      <c r="G150" s="3">
        <v>0.48948978584821873</v>
      </c>
      <c r="H150" s="2"/>
      <c r="I150" s="16">
        <v>0.22205809502305135</v>
      </c>
      <c r="K150">
        <v>1.1918558664790562</v>
      </c>
      <c r="L150"/>
      <c r="M150" s="2">
        <v>0</v>
      </c>
      <c r="N150" s="2">
        <v>0</v>
      </c>
      <c r="O150" s="4">
        <v>1</v>
      </c>
      <c r="P150">
        <v>0.7793680866442817</v>
      </c>
      <c r="Q150">
        <v>0.63489736070381231</v>
      </c>
      <c r="R150">
        <v>0.34899455383326361</v>
      </c>
      <c r="S150">
        <v>0.1</v>
      </c>
      <c r="T150">
        <v>0.38</v>
      </c>
      <c r="U150">
        <v>0.46715328467153278</v>
      </c>
      <c r="V150">
        <v>0.36792452830188682</v>
      </c>
      <c r="W150">
        <v>-0.23809523809523811</v>
      </c>
      <c r="X150">
        <v>8.9837397546220679E-2</v>
      </c>
      <c r="Y150">
        <v>0.45626975763962047</v>
      </c>
      <c r="Z150">
        <v>0.25027132379725642</v>
      </c>
      <c r="AA150">
        <v>2.8571428571428574E-2</v>
      </c>
      <c r="AB150">
        <v>0.22093023255813954</v>
      </c>
      <c r="AC150">
        <v>0.3775887238862321</v>
      </c>
      <c r="AD150">
        <v>0.39333108140713219</v>
      </c>
      <c r="AE150">
        <v>-0.27777777777777779</v>
      </c>
      <c r="AF150">
        <v>0.22</v>
      </c>
      <c r="AG150">
        <v>0.13500000000000001</v>
      </c>
      <c r="AH150">
        <v>0.18</v>
      </c>
      <c r="AI150">
        <v>0.54</v>
      </c>
      <c r="AJ150">
        <v>0.65</v>
      </c>
      <c r="AK150">
        <v>1.0999999999999999</v>
      </c>
      <c r="AL150">
        <v>1</v>
      </c>
      <c r="AM150">
        <v>1</v>
      </c>
      <c r="AN150">
        <v>2.16</v>
      </c>
      <c r="AO150">
        <v>1</v>
      </c>
      <c r="AP150">
        <f t="shared" si="46"/>
        <v>1.63</v>
      </c>
      <c r="AQ150">
        <f t="shared" si="47"/>
        <v>1</v>
      </c>
      <c r="AR150">
        <f t="shared" si="48"/>
        <v>1</v>
      </c>
      <c r="AS150" cm="1">
        <f t="array" ref="AS150">_xlfn.IFS(AF150&gt;'“主要目标”数据分表'!$C$2,1,AF150='“主要目标”数据分表'!$C$2,0,AF150&lt;'“主要目标”数据分表'!$C$2,-1)</f>
        <v>1</v>
      </c>
      <c r="AT150" cm="1">
        <f t="array" ref="AT150">_xlfn.IFS(AG150&gt;'“主要目标”数据分表'!$D$2,1,AG150='“主要目标”数据分表'!$D$2,0,AG150&lt;'“主要目标”数据分表'!$D$2,-1)</f>
        <v>0</v>
      </c>
      <c r="AU150" cm="1">
        <f t="array" ref="AU150">_xlfn.IFS(AH150&gt;'“主要目标”数据分表'!$E$2,1,AH150='“主要目标”数据分表'!$E$2,0,AH150&lt;'“主要目标”数据分表'!$E$2,-1)</f>
        <v>0</v>
      </c>
      <c r="AV150" cm="1">
        <f t="array" ref="AV150">_xlfn.IFS(AI150&gt;'“主要目标”数据分表'!$F$2,1,AI150='“主要目标”数据分表'!$F$2,0,AI150&lt;'“主要目标”数据分表'!$F$2,-1)</f>
        <v>1</v>
      </c>
      <c r="AW150" cm="1">
        <f t="array" ref="AW150">_xlfn.IFS(AJ150&gt;'“主要目标”数据分表'!$G$2,1,AJ150='“主要目标”数据分表'!$G$2,0,AJ150&lt;'“主要目标”数据分表'!$G$2,-1)</f>
        <v>0</v>
      </c>
    </row>
    <row r="151" spans="1:49" ht="14.4" x14ac:dyDescent="0.25">
      <c r="A151" s="2">
        <v>21</v>
      </c>
      <c r="B151" s="2" t="s">
        <v>34</v>
      </c>
      <c r="C151" s="2">
        <v>2017</v>
      </c>
      <c r="D151" s="2">
        <v>2080</v>
      </c>
      <c r="E151" s="19">
        <v>4795.8497043730904</v>
      </c>
      <c r="F151" s="2">
        <v>4462.54</v>
      </c>
      <c r="G151" s="3">
        <v>0.46610226462956073</v>
      </c>
      <c r="H151" s="2">
        <f>(G151-G150)/G150</f>
        <v>-4.7779385586423695E-2</v>
      </c>
      <c r="I151" s="16">
        <v>0.23054176886017796</v>
      </c>
      <c r="J151" s="2">
        <f>(I151-I150)/I150</f>
        <v>3.8204749240265005E-2</v>
      </c>
      <c r="K151">
        <v>1.0746905807842821</v>
      </c>
      <c r="L151">
        <f t="shared" si="49"/>
        <v>-9.8304911684413729E-2</v>
      </c>
      <c r="M151" s="2">
        <v>0</v>
      </c>
      <c r="N151" s="2">
        <v>0</v>
      </c>
      <c r="O151" s="4">
        <v>1</v>
      </c>
      <c r="P151">
        <v>0.7793680866442817</v>
      </c>
      <c r="Q151">
        <v>0.63489736070381231</v>
      </c>
      <c r="R151">
        <v>0.34899455383326361</v>
      </c>
      <c r="S151">
        <v>0.1</v>
      </c>
      <c r="T151">
        <v>0.38</v>
      </c>
      <c r="U151">
        <v>0.46715328467153278</v>
      </c>
      <c r="V151">
        <v>0.36792452830188682</v>
      </c>
      <c r="W151">
        <v>-0.23809523809523811</v>
      </c>
      <c r="X151">
        <v>8.9837397546220679E-2</v>
      </c>
      <c r="Y151">
        <v>0.45626975763962047</v>
      </c>
      <c r="Z151">
        <v>0.25027132379725642</v>
      </c>
      <c r="AA151">
        <v>2.8571428571428574E-2</v>
      </c>
      <c r="AB151">
        <v>0.22093023255813954</v>
      </c>
      <c r="AC151">
        <v>0.3775887238862321</v>
      </c>
      <c r="AD151">
        <v>0.39333108140713219</v>
      </c>
      <c r="AE151">
        <v>-0.27777777777777779</v>
      </c>
      <c r="AF151">
        <v>0.22</v>
      </c>
      <c r="AG151">
        <v>0.13500000000000001</v>
      </c>
      <c r="AH151">
        <v>0.18</v>
      </c>
      <c r="AI151">
        <v>0.54</v>
      </c>
      <c r="AJ151">
        <v>0.65</v>
      </c>
      <c r="AK151">
        <v>1.0999999999999999</v>
      </c>
      <c r="AL151">
        <v>1</v>
      </c>
      <c r="AM151">
        <v>1</v>
      </c>
      <c r="AN151">
        <v>2.16</v>
      </c>
      <c r="AO151">
        <v>1</v>
      </c>
      <c r="AP151">
        <f t="shared" si="46"/>
        <v>1.63</v>
      </c>
      <c r="AQ151">
        <f t="shared" si="47"/>
        <v>1</v>
      </c>
      <c r="AR151">
        <f t="shared" si="48"/>
        <v>1</v>
      </c>
      <c r="AS151" cm="1">
        <f t="array" ref="AS151">_xlfn.IFS(AF151&gt;'“主要目标”数据分表'!$C$2,1,AF151='“主要目标”数据分表'!$C$2,0,AF151&lt;'“主要目标”数据分表'!$C$2,-1)</f>
        <v>1</v>
      </c>
      <c r="AT151" cm="1">
        <f t="array" ref="AT151">_xlfn.IFS(AG151&gt;'“主要目标”数据分表'!$D$2,1,AG151='“主要目标”数据分表'!$D$2,0,AG151&lt;'“主要目标”数据分表'!$D$2,-1)</f>
        <v>0</v>
      </c>
      <c r="AU151" cm="1">
        <f t="array" ref="AU151">_xlfn.IFS(AH151&gt;'“主要目标”数据分表'!$E$2,1,AH151='“主要目标”数据分表'!$E$2,0,AH151&lt;'“主要目标”数据分表'!$E$2,-1)</f>
        <v>0</v>
      </c>
      <c r="AV151" cm="1">
        <f t="array" ref="AV151">_xlfn.IFS(AI151&gt;'“主要目标”数据分表'!$F$2,1,AI151='“主要目标”数据分表'!$F$2,0,AI151&lt;'“主要目标”数据分表'!$F$2,-1)</f>
        <v>1</v>
      </c>
      <c r="AW151" cm="1">
        <f t="array" ref="AW151">_xlfn.IFS(AJ151&gt;'“主要目标”数据分表'!$G$2,1,AJ151='“主要目标”数据分表'!$G$2,0,AJ151&lt;'“主要目标”数据分表'!$G$2,-1)</f>
        <v>0</v>
      </c>
    </row>
    <row r="152" spans="1:49" ht="14.4" x14ac:dyDescent="0.25">
      <c r="A152" s="2">
        <v>21</v>
      </c>
      <c r="B152" s="2" t="s">
        <v>34</v>
      </c>
      <c r="C152" s="2">
        <v>2018</v>
      </c>
      <c r="D152" s="2">
        <v>2170</v>
      </c>
      <c r="E152" s="19">
        <v>4857.63701113774</v>
      </c>
      <c r="F152" s="2">
        <v>4832.05</v>
      </c>
      <c r="G152" s="3">
        <v>0.44908475698720002</v>
      </c>
      <c r="H152" s="2">
        <f t="shared" ref="H152:H157" si="54">(G152-G151)/G151</f>
        <v>-3.6510244497279014E-2</v>
      </c>
      <c r="I152" s="16">
        <v>0.23695449351841516</v>
      </c>
      <c r="J152" s="2">
        <f t="shared" ref="J152:J156" si="55">(I152-I151)/I151</f>
        <v>2.7815890760023058E-2</v>
      </c>
      <c r="K152">
        <v>1.0052952703589035</v>
      </c>
      <c r="L152">
        <f t="shared" si="49"/>
        <v>-6.4572363121239651E-2</v>
      </c>
      <c r="M152" s="2">
        <v>0</v>
      </c>
      <c r="N152" s="2">
        <v>0</v>
      </c>
      <c r="O152" s="4">
        <v>1</v>
      </c>
      <c r="P152">
        <v>0.7793680866442817</v>
      </c>
      <c r="Q152">
        <v>0.63489736070381231</v>
      </c>
      <c r="R152">
        <v>0.34899455383326361</v>
      </c>
      <c r="S152">
        <v>0.1</v>
      </c>
      <c r="T152">
        <v>0.38</v>
      </c>
      <c r="U152">
        <v>0.46715328467153278</v>
      </c>
      <c r="V152">
        <v>0.36792452830188682</v>
      </c>
      <c r="W152">
        <v>-0.23809523809523811</v>
      </c>
      <c r="X152">
        <v>8.9837397546220679E-2</v>
      </c>
      <c r="Y152">
        <v>0.45626975763962047</v>
      </c>
      <c r="Z152">
        <v>0.25027132379725642</v>
      </c>
      <c r="AA152">
        <v>2.8571428571428574E-2</v>
      </c>
      <c r="AB152">
        <v>0.22093023255813954</v>
      </c>
      <c r="AC152">
        <v>0.3775887238862321</v>
      </c>
      <c r="AD152">
        <v>0.39333108140713219</v>
      </c>
      <c r="AE152">
        <v>-0.27777777777777779</v>
      </c>
      <c r="AF152">
        <v>0.22</v>
      </c>
      <c r="AG152">
        <v>0.13500000000000001</v>
      </c>
      <c r="AH152">
        <v>0.18</v>
      </c>
      <c r="AI152">
        <v>0.54</v>
      </c>
      <c r="AJ152">
        <v>0.65</v>
      </c>
      <c r="AK152">
        <v>1.0999999999999999</v>
      </c>
      <c r="AL152">
        <v>1</v>
      </c>
      <c r="AM152">
        <v>1</v>
      </c>
      <c r="AN152">
        <v>2.16</v>
      </c>
      <c r="AO152">
        <v>1</v>
      </c>
      <c r="AP152">
        <f t="shared" si="46"/>
        <v>1.63</v>
      </c>
      <c r="AQ152">
        <f t="shared" si="47"/>
        <v>1</v>
      </c>
      <c r="AR152">
        <f t="shared" si="48"/>
        <v>1</v>
      </c>
      <c r="AS152" cm="1">
        <f t="array" ref="AS152">_xlfn.IFS(AF152&gt;'“主要目标”数据分表'!$C$2,1,AF152='“主要目标”数据分表'!$C$2,0,AF152&lt;'“主要目标”数据分表'!$C$2,-1)</f>
        <v>1</v>
      </c>
      <c r="AT152" cm="1">
        <f t="array" ref="AT152">_xlfn.IFS(AG152&gt;'“主要目标”数据分表'!$D$2,1,AG152='“主要目标”数据分表'!$D$2,0,AG152&lt;'“主要目标”数据分表'!$D$2,-1)</f>
        <v>0</v>
      </c>
      <c r="AU152" cm="1">
        <f t="array" ref="AU152">_xlfn.IFS(AH152&gt;'“主要目标”数据分表'!$E$2,1,AH152='“主要目标”数据分表'!$E$2,0,AH152&lt;'“主要目标”数据分表'!$E$2,-1)</f>
        <v>0</v>
      </c>
      <c r="AV152" cm="1">
        <f t="array" ref="AV152">_xlfn.IFS(AI152&gt;'“主要目标”数据分表'!$F$2,1,AI152='“主要目标”数据分表'!$F$2,0,AI152&lt;'“主要目标”数据分表'!$F$2,-1)</f>
        <v>1</v>
      </c>
      <c r="AW152" cm="1">
        <f t="array" ref="AW152">_xlfn.IFS(AJ152&gt;'“主要目标”数据分表'!$G$2,1,AJ152='“主要目标”数据分表'!$G$2,0,AJ152&lt;'“主要目标”数据分表'!$G$2,-1)</f>
        <v>0</v>
      </c>
    </row>
    <row r="153" spans="1:49" ht="14.4" x14ac:dyDescent="0.25">
      <c r="A153" s="2">
        <v>21</v>
      </c>
      <c r="B153" s="2" t="s">
        <v>34</v>
      </c>
      <c r="C153" s="2">
        <v>2019</v>
      </c>
      <c r="D153" s="2">
        <v>2264</v>
      </c>
      <c r="E153" s="19">
        <v>4849.2713216307793</v>
      </c>
      <c r="F153" s="2">
        <v>5308.93</v>
      </c>
      <c r="G153" s="3">
        <v>0.42645128114328118</v>
      </c>
      <c r="H153" s="2">
        <f t="shared" si="54"/>
        <v>-5.0399118410879275E-2</v>
      </c>
      <c r="I153" s="16">
        <v>0.25992271958920593</v>
      </c>
      <c r="J153" s="2">
        <f t="shared" si="55"/>
        <v>9.6930958049148669E-2</v>
      </c>
      <c r="K153">
        <v>0.91341783026537915</v>
      </c>
      <c r="L153">
        <f t="shared" si="49"/>
        <v>-9.1393486871496912E-2</v>
      </c>
      <c r="M153" s="2">
        <v>0</v>
      </c>
      <c r="N153" s="2">
        <v>0</v>
      </c>
      <c r="O153" s="4">
        <v>1</v>
      </c>
      <c r="P153">
        <v>0.7793680866442817</v>
      </c>
      <c r="Q153">
        <v>0.63489736070381231</v>
      </c>
      <c r="R153">
        <v>0.34899455383326361</v>
      </c>
      <c r="S153">
        <v>0.1</v>
      </c>
      <c r="T153">
        <v>0.38</v>
      </c>
      <c r="U153">
        <v>0.46715328467153278</v>
      </c>
      <c r="V153">
        <v>0.36792452830188682</v>
      </c>
      <c r="W153">
        <v>-0.23809523809523811</v>
      </c>
      <c r="X153">
        <v>8.9837397546220679E-2</v>
      </c>
      <c r="Y153">
        <v>0.45626975763962047</v>
      </c>
      <c r="Z153">
        <v>0.25027132379725642</v>
      </c>
      <c r="AA153">
        <v>2.8571428571428574E-2</v>
      </c>
      <c r="AB153">
        <v>0.22093023255813954</v>
      </c>
      <c r="AC153">
        <v>0.3775887238862321</v>
      </c>
      <c r="AD153">
        <v>0.39333108140713219</v>
      </c>
      <c r="AE153">
        <v>-0.27777777777777779</v>
      </c>
      <c r="AF153">
        <v>0.22</v>
      </c>
      <c r="AG153">
        <v>0.13500000000000001</v>
      </c>
      <c r="AH153">
        <v>0.18</v>
      </c>
      <c r="AI153">
        <v>0.54</v>
      </c>
      <c r="AJ153">
        <v>0.65</v>
      </c>
      <c r="AK153">
        <v>1.0999999999999999</v>
      </c>
      <c r="AL153">
        <v>1</v>
      </c>
      <c r="AM153">
        <v>1</v>
      </c>
      <c r="AN153">
        <v>2.16</v>
      </c>
      <c r="AO153">
        <v>1</v>
      </c>
      <c r="AP153">
        <f t="shared" si="46"/>
        <v>1.63</v>
      </c>
      <c r="AQ153">
        <f t="shared" si="47"/>
        <v>1</v>
      </c>
      <c r="AR153">
        <f t="shared" si="48"/>
        <v>1</v>
      </c>
      <c r="AS153" cm="1">
        <f t="array" ref="AS153">_xlfn.IFS(AF153&gt;'“主要目标”数据分表'!$C$2,1,AF153='“主要目标”数据分表'!$C$2,0,AF153&lt;'“主要目标”数据分表'!$C$2,-1)</f>
        <v>1</v>
      </c>
      <c r="AT153" cm="1">
        <f t="array" ref="AT153">_xlfn.IFS(AG153&gt;'“主要目标”数据分表'!$D$2,1,AG153='“主要目标”数据分表'!$D$2,0,AG153&lt;'“主要目标”数据分表'!$D$2,-1)</f>
        <v>0</v>
      </c>
      <c r="AU153" cm="1">
        <f t="array" ref="AU153">_xlfn.IFS(AH153&gt;'“主要目标”数据分表'!$E$2,1,AH153='“主要目标”数据分表'!$E$2,0,AH153&lt;'“主要目标”数据分表'!$E$2,-1)</f>
        <v>0</v>
      </c>
      <c r="AV153" cm="1">
        <f t="array" ref="AV153">_xlfn.IFS(AI153&gt;'“主要目标”数据分表'!$F$2,1,AI153='“主要目标”数据分表'!$F$2,0,AI153&lt;'“主要目标”数据分表'!$F$2,-1)</f>
        <v>1</v>
      </c>
      <c r="AW153" cm="1">
        <f t="array" ref="AW153">_xlfn.IFS(AJ153&gt;'“主要目标”数据分表'!$G$2,1,AJ153='“主要目标”数据分表'!$G$2,0,AJ153&lt;'“主要目标”数据分表'!$G$2,-1)</f>
        <v>0</v>
      </c>
    </row>
    <row r="154" spans="1:49" ht="14.4" x14ac:dyDescent="0.25">
      <c r="A154" s="2">
        <v>21</v>
      </c>
      <c r="B154" s="2" t="s">
        <v>34</v>
      </c>
      <c r="C154" s="2">
        <v>2020</v>
      </c>
      <c r="D154" s="2">
        <v>2270.64</v>
      </c>
      <c r="E154" s="19">
        <v>5018.0102115917798</v>
      </c>
      <c r="F154" s="2">
        <v>5532.39</v>
      </c>
      <c r="G154" s="3">
        <v>0.4104265968234343</v>
      </c>
      <c r="H154" s="2">
        <f t="shared" si="54"/>
        <v>-3.7576823023924344E-2</v>
      </c>
      <c r="I154" s="16">
        <v>0.29661110659145667</v>
      </c>
      <c r="J154" s="2">
        <f t="shared" si="55"/>
        <v>0.14115113546147406</v>
      </c>
      <c r="K154">
        <v>0.90702394653879781</v>
      </c>
      <c r="L154">
        <f t="shared" si="49"/>
        <v>-6.9999550202821175E-3</v>
      </c>
      <c r="M154" s="2">
        <v>0</v>
      </c>
      <c r="N154" s="2">
        <v>0</v>
      </c>
      <c r="O154" s="4">
        <v>1</v>
      </c>
      <c r="P154">
        <v>0.7793680866442817</v>
      </c>
      <c r="Q154">
        <v>0.63489736070381231</v>
      </c>
      <c r="R154">
        <v>0.34899455383326361</v>
      </c>
      <c r="S154">
        <v>0.1</v>
      </c>
      <c r="T154">
        <v>0.38</v>
      </c>
      <c r="U154">
        <v>0.46715328467153278</v>
      </c>
      <c r="V154">
        <v>0.36792452830188682</v>
      </c>
      <c r="W154">
        <v>-0.23809523809523811</v>
      </c>
      <c r="X154">
        <v>8.9837397546220679E-2</v>
      </c>
      <c r="Y154">
        <v>0.45626975763962047</v>
      </c>
      <c r="Z154">
        <v>0.25027132379725642</v>
      </c>
      <c r="AA154">
        <v>2.8571428571428574E-2</v>
      </c>
      <c r="AB154">
        <v>0.22093023255813954</v>
      </c>
      <c r="AC154">
        <v>0.3775887238862321</v>
      </c>
      <c r="AD154">
        <v>0.39333108140713219</v>
      </c>
      <c r="AE154">
        <v>-0.27777777777777779</v>
      </c>
      <c r="AF154">
        <v>0.22</v>
      </c>
      <c r="AG154">
        <v>0.13500000000000001</v>
      </c>
      <c r="AH154">
        <v>0.18</v>
      </c>
      <c r="AI154">
        <v>0.54</v>
      </c>
      <c r="AJ154">
        <v>0.65</v>
      </c>
      <c r="AK154">
        <v>1.0999999999999999</v>
      </c>
      <c r="AL154">
        <v>1</v>
      </c>
      <c r="AM154">
        <v>1</v>
      </c>
      <c r="AN154">
        <v>2.16</v>
      </c>
      <c r="AO154">
        <v>1</v>
      </c>
      <c r="AP154">
        <f t="shared" si="46"/>
        <v>1.63</v>
      </c>
      <c r="AQ154">
        <f t="shared" si="47"/>
        <v>1</v>
      </c>
      <c r="AR154">
        <f t="shared" si="48"/>
        <v>1</v>
      </c>
      <c r="AS154" cm="1">
        <f t="array" ref="AS154">_xlfn.IFS(AF154&gt;'“主要目标”数据分表'!$C$2,1,AF154='“主要目标”数据分表'!$C$2,0,AF154&lt;'“主要目标”数据分表'!$C$2,-1)</f>
        <v>1</v>
      </c>
      <c r="AT154" cm="1">
        <f t="array" ref="AT154">_xlfn.IFS(AG154&gt;'“主要目标”数据分表'!$D$2,1,AG154='“主要目标”数据分表'!$D$2,0,AG154&lt;'“主要目标”数据分表'!$D$2,-1)</f>
        <v>0</v>
      </c>
      <c r="AU154" cm="1">
        <f t="array" ref="AU154">_xlfn.IFS(AH154&gt;'“主要目标”数据分表'!$E$2,1,AH154='“主要目标”数据分表'!$E$2,0,AH154&lt;'“主要目标”数据分表'!$E$2,-1)</f>
        <v>0</v>
      </c>
      <c r="AV154" cm="1">
        <f t="array" ref="AV154">_xlfn.IFS(AI154&gt;'“主要目标”数据分表'!$F$2,1,AI154='“主要目标”数据分表'!$F$2,0,AI154&lt;'“主要目标”数据分表'!$F$2,-1)</f>
        <v>1</v>
      </c>
      <c r="AW154" cm="1">
        <f t="array" ref="AW154">_xlfn.IFS(AJ154&gt;'“主要目标”数据分表'!$G$2,1,AJ154='“主要目标”数据分表'!$G$2,0,AJ154&lt;'“主要目标”数据分表'!$G$2,-1)</f>
        <v>0</v>
      </c>
    </row>
    <row r="155" spans="1:49" ht="14.4" x14ac:dyDescent="0.25">
      <c r="A155" s="2">
        <v>21</v>
      </c>
      <c r="B155" s="2" t="s">
        <v>34</v>
      </c>
      <c r="C155" s="2">
        <v>2021</v>
      </c>
      <c r="D155" s="2">
        <v>2446.19</v>
      </c>
      <c r="E155" s="19">
        <v>5100.4498185501598</v>
      </c>
      <c r="F155" s="2">
        <v>6475.2</v>
      </c>
      <c r="G155" s="3">
        <v>0.37777829256239193</v>
      </c>
      <c r="H155" s="2">
        <f t="shared" si="54"/>
        <v>-7.9547243072767254E-2</v>
      </c>
      <c r="I155" s="16">
        <v>0.30773816825349215</v>
      </c>
      <c r="J155" s="2">
        <f t="shared" si="55"/>
        <v>3.7513975083075898E-2</v>
      </c>
      <c r="K155">
        <v>0.78768992750033362</v>
      </c>
      <c r="L155">
        <f t="shared" si="49"/>
        <v>-0.13156655840658082</v>
      </c>
      <c r="M155" s="2">
        <v>0</v>
      </c>
      <c r="N155" s="2">
        <v>0</v>
      </c>
      <c r="O155" s="4">
        <v>1</v>
      </c>
      <c r="P155">
        <v>0.7793680866442817</v>
      </c>
      <c r="Q155">
        <v>0.63489736070381231</v>
      </c>
      <c r="R155">
        <v>0.34899455383326361</v>
      </c>
      <c r="S155">
        <v>0.1</v>
      </c>
      <c r="T155">
        <v>0.38</v>
      </c>
      <c r="U155">
        <v>0.46715328467153278</v>
      </c>
      <c r="V155">
        <v>0.36792452830188682</v>
      </c>
      <c r="W155">
        <v>-0.23809523809523811</v>
      </c>
      <c r="X155">
        <v>8.9837397546220679E-2</v>
      </c>
      <c r="Y155">
        <v>0.45626975763962047</v>
      </c>
      <c r="Z155">
        <v>0.25027132379725642</v>
      </c>
      <c r="AA155">
        <v>2.8571428571428574E-2</v>
      </c>
      <c r="AB155">
        <v>0.22093023255813954</v>
      </c>
      <c r="AC155">
        <v>0.3775887238862321</v>
      </c>
      <c r="AD155">
        <v>0.39333108140713219</v>
      </c>
      <c r="AE155">
        <v>-0.27777777777777779</v>
      </c>
      <c r="AF155">
        <v>0.22</v>
      </c>
      <c r="AG155">
        <v>0.13500000000000001</v>
      </c>
      <c r="AH155">
        <v>0.18</v>
      </c>
      <c r="AI155">
        <v>0.54</v>
      </c>
      <c r="AJ155">
        <v>0.65</v>
      </c>
      <c r="AK155">
        <v>1.0999999999999999</v>
      </c>
      <c r="AL155">
        <v>1</v>
      </c>
      <c r="AM155">
        <v>1</v>
      </c>
      <c r="AN155">
        <v>2.16</v>
      </c>
      <c r="AO155">
        <v>1</v>
      </c>
      <c r="AP155">
        <f t="shared" si="46"/>
        <v>1.63</v>
      </c>
      <c r="AQ155">
        <f t="shared" si="47"/>
        <v>1</v>
      </c>
      <c r="AR155">
        <f t="shared" si="48"/>
        <v>1</v>
      </c>
      <c r="AS155" cm="1">
        <f t="array" ref="AS155">_xlfn.IFS(AF155&gt;'“主要目标”数据分表'!$C$2,1,AF155='“主要目标”数据分表'!$C$2,0,AF155&lt;'“主要目标”数据分表'!$C$2,-1)</f>
        <v>1</v>
      </c>
      <c r="AT155" cm="1">
        <f t="array" ref="AT155">_xlfn.IFS(AG155&gt;'“主要目标”数据分表'!$D$2,1,AG155='“主要目标”数据分表'!$D$2,0,AG155&lt;'“主要目标”数据分表'!$D$2,-1)</f>
        <v>0</v>
      </c>
      <c r="AU155" cm="1">
        <f t="array" ref="AU155">_xlfn.IFS(AH155&gt;'“主要目标”数据分表'!$E$2,1,AH155='“主要目标”数据分表'!$E$2,0,AH155&lt;'“主要目标”数据分表'!$E$2,-1)</f>
        <v>0</v>
      </c>
      <c r="AV155" cm="1">
        <f t="array" ref="AV155">_xlfn.IFS(AI155&gt;'“主要目标”数据分表'!$F$2,1,AI155='“主要目标”数据分表'!$F$2,0,AI155&lt;'“主要目标”数据分表'!$F$2,-1)</f>
        <v>1</v>
      </c>
      <c r="AW155" cm="1">
        <f t="array" ref="AW155">_xlfn.IFS(AJ155&gt;'“主要目标”数据分表'!$G$2,1,AJ155='“主要目标”数据分表'!$G$2,0,AJ155&lt;'“主要目标”数据分表'!$G$2,-1)</f>
        <v>0</v>
      </c>
    </row>
    <row r="156" spans="1:49" ht="14.4" x14ac:dyDescent="0.25">
      <c r="A156" s="2">
        <v>21</v>
      </c>
      <c r="B156" s="2" t="s">
        <v>34</v>
      </c>
      <c r="C156" s="2">
        <v>2022</v>
      </c>
      <c r="D156" s="2">
        <v>2424</v>
      </c>
      <c r="E156" s="19">
        <v>5076.9413957350098</v>
      </c>
      <c r="F156" s="2">
        <v>6818.2</v>
      </c>
      <c r="G156" s="3">
        <v>0.35551905194919481</v>
      </c>
      <c r="H156" s="2">
        <f t="shared" si="54"/>
        <v>-5.8921438980035878E-2</v>
      </c>
      <c r="I156" s="16">
        <v>0.32340621910563694</v>
      </c>
      <c r="J156" s="2">
        <f t="shared" si="55"/>
        <v>5.0913576762563285E-2</v>
      </c>
      <c r="K156">
        <v>0.74461608573157279</v>
      </c>
      <c r="L156">
        <f t="shared" si="49"/>
        <v>-5.468375342243105E-2</v>
      </c>
      <c r="M156" s="2">
        <v>1</v>
      </c>
      <c r="N156" s="2">
        <v>0</v>
      </c>
      <c r="O156" s="4">
        <v>1</v>
      </c>
      <c r="P156">
        <v>0.7793680866442817</v>
      </c>
      <c r="Q156">
        <v>0.63489736070381231</v>
      </c>
      <c r="R156">
        <v>0.34899455383326361</v>
      </c>
      <c r="S156">
        <v>0.1</v>
      </c>
      <c r="T156">
        <v>0.38</v>
      </c>
      <c r="U156">
        <v>0.46715328467153278</v>
      </c>
      <c r="V156">
        <v>0.36792452830188682</v>
      </c>
      <c r="W156">
        <v>-0.23809523809523811</v>
      </c>
      <c r="X156">
        <v>8.9837397546220679E-2</v>
      </c>
      <c r="Y156">
        <v>0.45626975763962047</v>
      </c>
      <c r="Z156">
        <v>0.25027132379725642</v>
      </c>
      <c r="AA156">
        <v>2.8571428571428574E-2</v>
      </c>
      <c r="AB156">
        <v>0.22093023255813954</v>
      </c>
      <c r="AC156">
        <v>0.3775887238862321</v>
      </c>
      <c r="AD156">
        <v>0.39333108140713219</v>
      </c>
      <c r="AE156">
        <v>-0.27777777777777779</v>
      </c>
      <c r="AF156">
        <v>0.22</v>
      </c>
      <c r="AG156">
        <v>0.13500000000000001</v>
      </c>
      <c r="AH156">
        <v>0.18</v>
      </c>
      <c r="AI156">
        <v>0.54</v>
      </c>
      <c r="AJ156">
        <v>0.65</v>
      </c>
      <c r="AK156">
        <v>1.0999999999999999</v>
      </c>
      <c r="AL156">
        <v>1</v>
      </c>
      <c r="AM156">
        <v>1</v>
      </c>
      <c r="AN156">
        <v>2.16</v>
      </c>
      <c r="AO156">
        <v>1</v>
      </c>
      <c r="AP156">
        <f t="shared" si="46"/>
        <v>1.63</v>
      </c>
      <c r="AQ156">
        <f t="shared" si="47"/>
        <v>1</v>
      </c>
      <c r="AR156">
        <f t="shared" si="48"/>
        <v>1</v>
      </c>
      <c r="AS156" cm="1">
        <f t="array" ref="AS156">_xlfn.IFS(AF156&gt;'“主要目标”数据分表'!$C$2,1,AF156='“主要目标”数据分表'!$C$2,0,AF156&lt;'“主要目标”数据分表'!$C$2,-1)</f>
        <v>1</v>
      </c>
      <c r="AT156" cm="1">
        <f t="array" ref="AT156">_xlfn.IFS(AG156&gt;'“主要目标”数据分表'!$D$2,1,AG156='“主要目标”数据分表'!$D$2,0,AG156&lt;'“主要目标”数据分表'!$D$2,-1)</f>
        <v>0</v>
      </c>
      <c r="AU156" cm="1">
        <f t="array" ref="AU156">_xlfn.IFS(AH156&gt;'“主要目标”数据分表'!$E$2,1,AH156='“主要目标”数据分表'!$E$2,0,AH156&lt;'“主要目标”数据分表'!$E$2,-1)</f>
        <v>0</v>
      </c>
      <c r="AV156" cm="1">
        <f t="array" ref="AV156">_xlfn.IFS(AI156&gt;'“主要目标”数据分表'!$F$2,1,AI156='“主要目标”数据分表'!$F$2,0,AI156&lt;'“主要目标”数据分表'!$F$2,-1)</f>
        <v>1</v>
      </c>
      <c r="AW156" cm="1">
        <f t="array" ref="AW156">_xlfn.IFS(AJ156&gt;'“主要目标”数据分表'!$G$2,1,AJ156='“主要目标”数据分表'!$G$2,0,AJ156&lt;'“主要目标”数据分表'!$G$2,-1)</f>
        <v>0</v>
      </c>
    </row>
    <row r="157" spans="1:49" ht="14.4" x14ac:dyDescent="0.25">
      <c r="A157" s="2">
        <v>21</v>
      </c>
      <c r="B157" s="6" t="s">
        <v>35</v>
      </c>
      <c r="C157" s="2">
        <v>2023</v>
      </c>
      <c r="D157" s="2">
        <v>3027.77</v>
      </c>
      <c r="E157" s="19">
        <v>5293.0816966091797</v>
      </c>
      <c r="F157" s="2">
        <v>7551.2</v>
      </c>
      <c r="G157" s="3">
        <v>0.40096540947134229</v>
      </c>
      <c r="H157" s="2">
        <f t="shared" si="54"/>
        <v>0.12783100447916912</v>
      </c>
      <c r="K157">
        <v>0.70095901268794092</v>
      </c>
      <c r="L157">
        <f t="shared" si="49"/>
        <v>-5.8630311485602042E-2</v>
      </c>
      <c r="M157" s="2">
        <v>1</v>
      </c>
      <c r="N157" s="2">
        <v>1</v>
      </c>
      <c r="O157" s="4">
        <v>1</v>
      </c>
      <c r="P157">
        <v>0.7793680866442817</v>
      </c>
      <c r="Q157">
        <v>0.63489736070381231</v>
      </c>
      <c r="R157">
        <v>0.34899455383326361</v>
      </c>
      <c r="S157">
        <v>0.1</v>
      </c>
      <c r="T157">
        <v>0.38</v>
      </c>
      <c r="U157">
        <v>0.46715328467153278</v>
      </c>
      <c r="V157">
        <v>0.36792452830188682</v>
      </c>
      <c r="W157">
        <v>-0.23809523809523811</v>
      </c>
      <c r="X157">
        <v>8.9837397546220679E-2</v>
      </c>
      <c r="Y157">
        <v>0.45626975763962047</v>
      </c>
      <c r="Z157">
        <v>0.25027132379725642</v>
      </c>
      <c r="AA157">
        <v>2.8571428571428574E-2</v>
      </c>
      <c r="AB157">
        <v>0.22093023255813954</v>
      </c>
      <c r="AC157">
        <v>0.3775887238862321</v>
      </c>
      <c r="AD157">
        <v>0.39333108140713219</v>
      </c>
      <c r="AE157">
        <v>-0.27777777777777779</v>
      </c>
      <c r="AF157">
        <v>0.22</v>
      </c>
      <c r="AG157">
        <v>0.13500000000000001</v>
      </c>
      <c r="AH157">
        <v>0.18</v>
      </c>
      <c r="AI157">
        <v>0.54</v>
      </c>
      <c r="AJ157">
        <v>0.65</v>
      </c>
      <c r="AK157">
        <v>1.0999999999999999</v>
      </c>
      <c r="AL157">
        <v>1</v>
      </c>
      <c r="AM157">
        <v>1</v>
      </c>
      <c r="AN157">
        <v>2.16</v>
      </c>
      <c r="AO157">
        <v>1</v>
      </c>
      <c r="AP157">
        <f t="shared" si="46"/>
        <v>1.63</v>
      </c>
      <c r="AQ157">
        <f t="shared" si="47"/>
        <v>1</v>
      </c>
      <c r="AR157">
        <f t="shared" si="48"/>
        <v>1</v>
      </c>
      <c r="AS157" cm="1">
        <f t="array" ref="AS157">_xlfn.IFS(AF157&gt;'“主要目标”数据分表'!$C$2,1,AF157='“主要目标”数据分表'!$C$2,0,AF157&lt;'“主要目标”数据分表'!$C$2,-1)</f>
        <v>1</v>
      </c>
      <c r="AT157" cm="1">
        <f t="array" ref="AT157">_xlfn.IFS(AG157&gt;'“主要目标”数据分表'!$D$2,1,AG157='“主要目标”数据分表'!$D$2,0,AG157&lt;'“主要目标”数据分表'!$D$2,-1)</f>
        <v>0</v>
      </c>
      <c r="AU157" cm="1">
        <f t="array" ref="AU157">_xlfn.IFS(AH157&gt;'“主要目标”数据分表'!$E$2,1,AH157='“主要目标”数据分表'!$E$2,0,AH157&lt;'“主要目标”数据分表'!$E$2,-1)</f>
        <v>0</v>
      </c>
      <c r="AV157" cm="1">
        <f t="array" ref="AV157">_xlfn.IFS(AI157&gt;'“主要目标”数据分表'!$F$2,1,AI157='“主要目标”数据分表'!$F$2,0,AI157&lt;'“主要目标”数据分表'!$F$2,-1)</f>
        <v>1</v>
      </c>
      <c r="AW157" cm="1">
        <f t="array" ref="AW157">_xlfn.IFS(AJ157&gt;'“主要目标”数据分表'!$G$2,1,AJ157='“主要目标”数据分表'!$G$2,0,AJ157&lt;'“主要目标”数据分表'!$G$2,-1)</f>
        <v>0</v>
      </c>
    </row>
    <row r="158" spans="1:49" ht="14.4" x14ac:dyDescent="0.25">
      <c r="A158" s="2">
        <v>22</v>
      </c>
      <c r="B158" s="2" t="s">
        <v>36</v>
      </c>
      <c r="C158" s="2">
        <v>2016</v>
      </c>
      <c r="D158" s="2">
        <v>7982</v>
      </c>
      <c r="E158" s="19">
        <v>15609.039516538</v>
      </c>
      <c r="F158" s="2">
        <v>17740.59</v>
      </c>
      <c r="G158" s="3">
        <v>0.44992866640850165</v>
      </c>
      <c r="H158" s="2"/>
      <c r="I158" s="16">
        <v>0.28599613518047928</v>
      </c>
      <c r="K158">
        <v>0.879848951840835</v>
      </c>
      <c r="L158"/>
      <c r="M158" s="2">
        <v>0</v>
      </c>
      <c r="N158" s="2">
        <v>0</v>
      </c>
      <c r="O158" s="4">
        <v>0</v>
      </c>
      <c r="P158" s="4">
        <v>0.99999999580495169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0.2</v>
      </c>
      <c r="AG158">
        <v>0.13500000000000001</v>
      </c>
      <c r="AH158">
        <v>0.18</v>
      </c>
      <c r="AI158">
        <v>0.25</v>
      </c>
      <c r="AJ158">
        <v>0.65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f t="shared" si="46"/>
        <v>1</v>
      </c>
      <c r="AQ158">
        <f t="shared" si="47"/>
        <v>1</v>
      </c>
      <c r="AR158">
        <f t="shared" si="48"/>
        <v>1</v>
      </c>
      <c r="AS158" cm="1">
        <f t="array" ref="AS158">_xlfn.IFS(AF158&gt;'“主要目标”数据分表'!$C$2,1,AF158='“主要目标”数据分表'!$C$2,0,AF158&lt;'“主要目标”数据分表'!$C$2,-1)</f>
        <v>0</v>
      </c>
      <c r="AT158" cm="1">
        <f t="array" ref="AT158">_xlfn.IFS(AG158&gt;'“主要目标”数据分表'!$D$2,1,AG158='“主要目标”数据分表'!$D$2,0,AG158&lt;'“主要目标”数据分表'!$D$2,-1)</f>
        <v>0</v>
      </c>
      <c r="AU158" cm="1">
        <f t="array" ref="AU158">_xlfn.IFS(AH158&gt;'“主要目标”数据分表'!$E$2,1,AH158='“主要目标”数据分表'!$E$2,0,AH158&lt;'“主要目标”数据分表'!$E$2,-1)</f>
        <v>0</v>
      </c>
      <c r="AV158" cm="1">
        <f t="array" ref="AV158">_xlfn.IFS(AI158&gt;'“主要目标”数据分表'!$F$2,1,AI158='“主要目标”数据分表'!$F$2,0,AI158&lt;'“主要目标”数据分表'!$F$2,-1)</f>
        <v>0</v>
      </c>
      <c r="AW158" cm="1">
        <f t="array" ref="AW158">_xlfn.IFS(AJ158&gt;'“主要目标”数据分表'!$G$2,1,AJ158='“主要目标”数据分表'!$G$2,0,AJ158&lt;'“主要目标”数据分表'!$G$2,-1)</f>
        <v>0</v>
      </c>
    </row>
    <row r="159" spans="1:49" ht="14.4" x14ac:dyDescent="0.25">
      <c r="A159" s="2">
        <v>22</v>
      </c>
      <c r="B159" s="2" t="s">
        <v>36</v>
      </c>
      <c r="C159" s="2">
        <v>2017</v>
      </c>
      <c r="D159" s="2">
        <v>8279</v>
      </c>
      <c r="E159" s="19">
        <v>15898.494629194302</v>
      </c>
      <c r="F159" s="2">
        <v>19424.73</v>
      </c>
      <c r="G159" s="3">
        <v>0.4262092703476445</v>
      </c>
      <c r="H159" s="2">
        <f>(G159-G158)/G158</f>
        <v>-5.2718125853580787E-2</v>
      </c>
      <c r="I159" s="16">
        <v>0.27242817553368753</v>
      </c>
      <c r="J159" s="2">
        <f>(I159-I158)/I158</f>
        <v>-4.7441059433301853E-2</v>
      </c>
      <c r="K159">
        <v>0.8184666983373412</v>
      </c>
      <c r="L159">
        <f t="shared" si="49"/>
        <v>-6.9764535577463385E-2</v>
      </c>
      <c r="M159" s="2">
        <v>0</v>
      </c>
      <c r="N159" s="2">
        <v>0</v>
      </c>
      <c r="O159" s="4">
        <v>0</v>
      </c>
      <c r="P159" s="4">
        <v>0.99999999580495169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0.2</v>
      </c>
      <c r="AG159">
        <v>0.13500000000000001</v>
      </c>
      <c r="AH159">
        <v>0.18</v>
      </c>
      <c r="AI159">
        <v>0.25</v>
      </c>
      <c r="AJ159">
        <v>0.65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f t="shared" si="46"/>
        <v>1</v>
      </c>
      <c r="AQ159">
        <f t="shared" si="47"/>
        <v>1</v>
      </c>
      <c r="AR159">
        <f t="shared" si="48"/>
        <v>1</v>
      </c>
      <c r="AS159" cm="1">
        <f t="array" ref="AS159">_xlfn.IFS(AF159&gt;'“主要目标”数据分表'!$C$2,1,AF159='“主要目标”数据分表'!$C$2,0,AF159&lt;'“主要目标”数据分表'!$C$2,-1)</f>
        <v>0</v>
      </c>
      <c r="AT159" cm="1">
        <f t="array" ref="AT159">_xlfn.IFS(AG159&gt;'“主要目标”数据分表'!$D$2,1,AG159='“主要目标”数据分表'!$D$2,0,AG159&lt;'“主要目标”数据分表'!$D$2,-1)</f>
        <v>0</v>
      </c>
      <c r="AU159" cm="1">
        <f t="array" ref="AU159">_xlfn.IFS(AH159&gt;'“主要目标”数据分表'!$E$2,1,AH159='“主要目标”数据分表'!$E$2,0,AH159&lt;'“主要目标”数据分表'!$E$2,-1)</f>
        <v>0</v>
      </c>
      <c r="AV159" cm="1">
        <f t="array" ref="AV159">_xlfn.IFS(AI159&gt;'“主要目标”数据分表'!$F$2,1,AI159='“主要目标”数据分表'!$F$2,0,AI159&lt;'“主要目标”数据分表'!$F$2,-1)</f>
        <v>0</v>
      </c>
      <c r="AW159" cm="1">
        <f t="array" ref="AW159">_xlfn.IFS(AJ159&gt;'“主要目标”数据分表'!$G$2,1,AJ159='“主要目标”数据分表'!$G$2,0,AJ159&lt;'“主要目标”数据分表'!$G$2,-1)</f>
        <v>0</v>
      </c>
    </row>
    <row r="160" spans="1:49" ht="14.4" x14ac:dyDescent="0.25">
      <c r="A160" s="2">
        <v>22</v>
      </c>
      <c r="B160" s="2" t="s">
        <v>36</v>
      </c>
      <c r="C160" s="2">
        <v>2018</v>
      </c>
      <c r="D160" s="2">
        <v>8557</v>
      </c>
      <c r="E160" s="19">
        <v>16365.151936398699</v>
      </c>
      <c r="F160" s="2">
        <v>20363.189999999999</v>
      </c>
      <c r="G160" s="3">
        <v>0.42021903247968517</v>
      </c>
      <c r="H160" s="2">
        <f t="shared" ref="H160:H164" si="56">(G160-G159)/G159</f>
        <v>-1.4054686945390207E-2</v>
      </c>
      <c r="I160" s="16">
        <v>0.24931975876353871</v>
      </c>
      <c r="J160" s="2">
        <f t="shared" ref="J160:J164" si="57">(I160-I159)/I159</f>
        <v>-8.4823886974536966E-2</v>
      </c>
      <c r="K160">
        <v>0.8036634700358195</v>
      </c>
      <c r="L160">
        <f t="shared" si="49"/>
        <v>-1.8086537096247701E-2</v>
      </c>
      <c r="M160" s="2">
        <v>0</v>
      </c>
      <c r="N160" s="2">
        <v>0</v>
      </c>
      <c r="O160" s="4">
        <v>0</v>
      </c>
      <c r="P160" s="4">
        <v>0.99999999580495169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0.2</v>
      </c>
      <c r="AG160">
        <v>0.13500000000000001</v>
      </c>
      <c r="AH160">
        <v>0.18</v>
      </c>
      <c r="AI160">
        <v>0.25</v>
      </c>
      <c r="AJ160">
        <v>0.65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f t="shared" si="46"/>
        <v>1</v>
      </c>
      <c r="AQ160">
        <f t="shared" si="47"/>
        <v>1</v>
      </c>
      <c r="AR160">
        <f t="shared" si="48"/>
        <v>1</v>
      </c>
      <c r="AS160" cm="1">
        <f t="array" ref="AS160">_xlfn.IFS(AF160&gt;'“主要目标”数据分表'!$C$2,1,AF160='“主要目标”数据分表'!$C$2,0,AF160&lt;'“主要目标”数据分表'!$C$2,-1)</f>
        <v>0</v>
      </c>
      <c r="AT160" cm="1">
        <f t="array" ref="AT160">_xlfn.IFS(AG160&gt;'“主要目标”数据分表'!$D$2,1,AG160='“主要目标”数据分表'!$D$2,0,AG160&lt;'“主要目标”数据分表'!$D$2,-1)</f>
        <v>0</v>
      </c>
      <c r="AU160" cm="1">
        <f t="array" ref="AU160">_xlfn.IFS(AH160&gt;'“主要目标”数据分表'!$E$2,1,AH160='“主要目标”数据分表'!$E$2,0,AH160&lt;'“主要目标”数据分表'!$E$2,-1)</f>
        <v>0</v>
      </c>
      <c r="AV160" cm="1">
        <f t="array" ref="AV160">_xlfn.IFS(AI160&gt;'“主要目标”数据分表'!$F$2,1,AI160='“主要目标”数据分表'!$F$2,0,AI160&lt;'“主要目标”数据分表'!$F$2,-1)</f>
        <v>0</v>
      </c>
      <c r="AW160" cm="1">
        <f t="array" ref="AW160">_xlfn.IFS(AJ160&gt;'“主要目标”数据分表'!$G$2,1,AJ160='“主要目标”数据分表'!$G$2,0,AJ160&lt;'“主要目标”数据分表'!$G$2,-1)</f>
        <v>0</v>
      </c>
    </row>
    <row r="161" spans="1:49" ht="14.4" x14ac:dyDescent="0.25">
      <c r="A161" s="2">
        <v>22</v>
      </c>
      <c r="B161" s="2" t="s">
        <v>36</v>
      </c>
      <c r="C161" s="2">
        <v>2019</v>
      </c>
      <c r="D161" s="2">
        <v>8889</v>
      </c>
      <c r="E161" s="19">
        <v>16507.5533406213</v>
      </c>
      <c r="F161" s="2">
        <v>23605.77</v>
      </c>
      <c r="G161" s="3">
        <v>0.37656047652756086</v>
      </c>
      <c r="H161" s="2">
        <f t="shared" si="56"/>
        <v>-0.10389476101188948</v>
      </c>
      <c r="I161" s="16">
        <v>0.26189568507776467</v>
      </c>
      <c r="J161" s="2">
        <f t="shared" si="57"/>
        <v>5.0440953322730027E-2</v>
      </c>
      <c r="K161">
        <v>0.69930162585763145</v>
      </c>
      <c r="L161">
        <f t="shared" si="49"/>
        <v>-0.12985764324156307</v>
      </c>
      <c r="M161" s="2">
        <v>0</v>
      </c>
      <c r="N161" s="2">
        <v>0</v>
      </c>
      <c r="O161" s="4">
        <v>0</v>
      </c>
      <c r="P161" s="4">
        <v>0.99999999580495169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0.2</v>
      </c>
      <c r="AG161">
        <v>0.13500000000000001</v>
      </c>
      <c r="AH161">
        <v>0.18</v>
      </c>
      <c r="AI161">
        <v>0.25</v>
      </c>
      <c r="AJ161">
        <v>0.65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f t="shared" si="46"/>
        <v>1</v>
      </c>
      <c r="AQ161">
        <f t="shared" si="47"/>
        <v>1</v>
      </c>
      <c r="AR161">
        <f t="shared" si="48"/>
        <v>1</v>
      </c>
      <c r="AS161" cm="1">
        <f t="array" ref="AS161">_xlfn.IFS(AF161&gt;'“主要目标”数据分表'!$C$2,1,AF161='“主要目标”数据分表'!$C$2,0,AF161&lt;'“主要目标”数据分表'!$C$2,-1)</f>
        <v>0</v>
      </c>
      <c r="AT161" cm="1">
        <f t="array" ref="AT161">_xlfn.IFS(AG161&gt;'“主要目标”数据分表'!$D$2,1,AG161='“主要目标”数据分表'!$D$2,0,AG161&lt;'“主要目标”数据分表'!$D$2,-1)</f>
        <v>0</v>
      </c>
      <c r="AU161" cm="1">
        <f t="array" ref="AU161">_xlfn.IFS(AH161&gt;'“主要目标”数据分表'!$E$2,1,AH161='“主要目标”数据分表'!$E$2,0,AH161&lt;'“主要目标”数据分表'!$E$2,-1)</f>
        <v>0</v>
      </c>
      <c r="AV161" cm="1">
        <f t="array" ref="AV161">_xlfn.IFS(AI161&gt;'“主要目标”数据分表'!$F$2,1,AI161='“主要目标”数据分表'!$F$2,0,AI161&lt;'“主要目标”数据分表'!$F$2,-1)</f>
        <v>0</v>
      </c>
      <c r="AW161" cm="1">
        <f t="array" ref="AW161">_xlfn.IFS(AJ161&gt;'“主要目标”数据分表'!$G$2,1,AJ161='“主要目标”数据分表'!$G$2,0,AJ161&lt;'“主要目标”数据分表'!$G$2,-1)</f>
        <v>0</v>
      </c>
    </row>
    <row r="162" spans="1:49" ht="14.4" x14ac:dyDescent="0.25">
      <c r="A162" s="2">
        <v>22</v>
      </c>
      <c r="B162" s="2" t="s">
        <v>36</v>
      </c>
      <c r="C162" s="2">
        <v>2020</v>
      </c>
      <c r="D162" s="2">
        <v>7621.87</v>
      </c>
      <c r="E162" s="19">
        <v>16542.358534825999</v>
      </c>
      <c r="F162" s="2">
        <v>25002.79</v>
      </c>
      <c r="G162" s="3">
        <v>0.30484077976897778</v>
      </c>
      <c r="H162" s="2">
        <f t="shared" si="56"/>
        <v>-0.1904599691925816</v>
      </c>
      <c r="I162" s="16">
        <v>0.26104775912144002</v>
      </c>
      <c r="J162" s="2">
        <f t="shared" si="57"/>
        <v>-3.2376476766804428E-3</v>
      </c>
      <c r="K162">
        <v>0.66162050454473276</v>
      </c>
      <c r="L162">
        <f t="shared" si="49"/>
        <v>-5.3883932082506081E-2</v>
      </c>
      <c r="M162" s="2">
        <v>0</v>
      </c>
      <c r="N162" s="2">
        <v>0</v>
      </c>
      <c r="O162" s="4">
        <v>0</v>
      </c>
      <c r="P162" s="4">
        <v>0.99999999580495169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0.2</v>
      </c>
      <c r="AG162">
        <v>0.13500000000000001</v>
      </c>
      <c r="AH162">
        <v>0.18</v>
      </c>
      <c r="AI162">
        <v>0.25</v>
      </c>
      <c r="AJ162">
        <v>0.65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f t="shared" si="46"/>
        <v>1</v>
      </c>
      <c r="AQ162">
        <f t="shared" si="47"/>
        <v>1</v>
      </c>
      <c r="AR162">
        <f t="shared" si="48"/>
        <v>1</v>
      </c>
      <c r="AS162" cm="1">
        <f t="array" ref="AS162">_xlfn.IFS(AF162&gt;'“主要目标”数据分表'!$C$2,1,AF162='“主要目标”数据分表'!$C$2,0,AF162&lt;'“主要目标”数据分表'!$C$2,-1)</f>
        <v>0</v>
      </c>
      <c r="AT162" cm="1">
        <f t="array" ref="AT162">_xlfn.IFS(AG162&gt;'“主要目标”数据分表'!$D$2,1,AG162='“主要目标”数据分表'!$D$2,0,AG162&lt;'“主要目标”数据分表'!$D$2,-1)</f>
        <v>0</v>
      </c>
      <c r="AU162" cm="1">
        <f t="array" ref="AU162">_xlfn.IFS(AH162&gt;'“主要目标”数据分表'!$E$2,1,AH162='“主要目标”数据分表'!$E$2,0,AH162&lt;'“主要目标”数据分表'!$E$2,-1)</f>
        <v>0</v>
      </c>
      <c r="AV162" cm="1">
        <f t="array" ref="AV162">_xlfn.IFS(AI162&gt;'“主要目标”数据分表'!$F$2,1,AI162='“主要目标”数据分表'!$F$2,0,AI162&lt;'“主要目标”数据分表'!$F$2,-1)</f>
        <v>0</v>
      </c>
      <c r="AW162" cm="1">
        <f t="array" ref="AW162">_xlfn.IFS(AJ162&gt;'“主要目标”数据分表'!$G$2,1,AJ162='“主要目标”数据分表'!$G$2,0,AJ162&lt;'“主要目标”数据分表'!$G$2,-1)</f>
        <v>0</v>
      </c>
    </row>
    <row r="163" spans="1:49" ht="14.4" x14ac:dyDescent="0.25">
      <c r="A163" s="2">
        <v>22</v>
      </c>
      <c r="B163" s="2" t="s">
        <v>36</v>
      </c>
      <c r="C163" s="2">
        <v>2021</v>
      </c>
      <c r="D163" s="2">
        <v>8046.31</v>
      </c>
      <c r="E163" s="19">
        <v>17022.8892466375</v>
      </c>
      <c r="F163" s="2">
        <v>27894.02</v>
      </c>
      <c r="G163" s="3">
        <v>0.28846003552015809</v>
      </c>
      <c r="H163" s="2">
        <f t="shared" si="56"/>
        <v>-5.3735409879327047E-2</v>
      </c>
      <c r="I163" s="16">
        <v>0.28727369346296389</v>
      </c>
      <c r="J163" s="2">
        <f t="shared" si="57"/>
        <v>0.10046412361396102</v>
      </c>
      <c r="K163">
        <v>0.61027020295523915</v>
      </c>
      <c r="L163">
        <f t="shared" si="49"/>
        <v>-7.7612923476167398E-2</v>
      </c>
      <c r="M163" s="2">
        <v>0</v>
      </c>
      <c r="N163" s="2">
        <v>0</v>
      </c>
      <c r="O163" s="4">
        <v>0</v>
      </c>
      <c r="P163" s="4">
        <v>0.99999999580495169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0.2</v>
      </c>
      <c r="AG163">
        <v>0.13500000000000001</v>
      </c>
      <c r="AH163">
        <v>0.18</v>
      </c>
      <c r="AI163">
        <v>0.25</v>
      </c>
      <c r="AJ163">
        <v>0.65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f t="shared" si="46"/>
        <v>1</v>
      </c>
      <c r="AQ163">
        <f t="shared" si="47"/>
        <v>1</v>
      </c>
      <c r="AR163">
        <f t="shared" si="48"/>
        <v>1</v>
      </c>
      <c r="AS163" cm="1">
        <f t="array" ref="AS163">_xlfn.IFS(AF163&gt;'“主要目标”数据分表'!$C$2,1,AF163='“主要目标”数据分表'!$C$2,0,AF163&lt;'“主要目标”数据分表'!$C$2,-1)</f>
        <v>0</v>
      </c>
      <c r="AT163" cm="1">
        <f t="array" ref="AT163">_xlfn.IFS(AG163&gt;'“主要目标”数据分表'!$D$2,1,AG163='“主要目标”数据分表'!$D$2,0,AG163&lt;'“主要目标”数据分表'!$D$2,-1)</f>
        <v>0</v>
      </c>
      <c r="AU163" cm="1">
        <f t="array" ref="AU163">_xlfn.IFS(AH163&gt;'“主要目标”数据分表'!$E$2,1,AH163='“主要目标”数据分表'!$E$2,0,AH163&lt;'“主要目标”数据分表'!$E$2,-1)</f>
        <v>0</v>
      </c>
      <c r="AV163" cm="1">
        <f t="array" ref="AV163">_xlfn.IFS(AI163&gt;'“主要目标”数据分表'!$F$2,1,AI163='“主要目标”数据分表'!$F$2,0,AI163&lt;'“主要目标”数据分表'!$F$2,-1)</f>
        <v>0</v>
      </c>
      <c r="AW163" cm="1">
        <f t="array" ref="AW163">_xlfn.IFS(AJ163&gt;'“主要目标”数据分表'!$G$2,1,AJ163='“主要目标”数据分表'!$G$2,0,AJ163&lt;'“主要目标”数据分表'!$G$2,-1)</f>
        <v>0</v>
      </c>
    </row>
    <row r="164" spans="1:49" ht="14.4" x14ac:dyDescent="0.25">
      <c r="A164" s="2">
        <v>22</v>
      </c>
      <c r="B164" s="2" t="s">
        <v>36</v>
      </c>
      <c r="C164" s="2">
        <v>2022</v>
      </c>
      <c r="D164" s="2">
        <v>8022.76</v>
      </c>
      <c r="E164" s="19">
        <v>16904.968318593001</v>
      </c>
      <c r="F164" s="2">
        <v>29129</v>
      </c>
      <c r="G164" s="3">
        <v>0.27542174465309488</v>
      </c>
      <c r="H164" s="2">
        <f t="shared" si="56"/>
        <v>-4.5199643838191472E-2</v>
      </c>
      <c r="I164" s="16">
        <v>0.31617234985686388</v>
      </c>
      <c r="J164" s="2">
        <f t="shared" si="57"/>
        <v>0.10059625037551753</v>
      </c>
      <c r="K164">
        <v>0.58034839227549861</v>
      </c>
      <c r="L164">
        <f t="shared" si="49"/>
        <v>-4.9030430348465132E-2</v>
      </c>
      <c r="M164" s="2">
        <v>1</v>
      </c>
      <c r="N164" s="2">
        <v>0</v>
      </c>
      <c r="O164" s="4">
        <v>0</v>
      </c>
      <c r="P164" s="4">
        <v>0.99999999580495169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0.2</v>
      </c>
      <c r="AG164">
        <v>0.13500000000000001</v>
      </c>
      <c r="AH164">
        <v>0.18</v>
      </c>
      <c r="AI164">
        <v>0.25</v>
      </c>
      <c r="AJ164">
        <v>0.65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f t="shared" si="46"/>
        <v>1</v>
      </c>
      <c r="AQ164">
        <f t="shared" si="47"/>
        <v>1</v>
      </c>
      <c r="AR164">
        <f t="shared" si="48"/>
        <v>1</v>
      </c>
      <c r="AS164" cm="1">
        <f t="array" ref="AS164">_xlfn.IFS(AF164&gt;'“主要目标”数据分表'!$C$2,1,AF164='“主要目标”数据分表'!$C$2,0,AF164&lt;'“主要目标”数据分表'!$C$2,-1)</f>
        <v>0</v>
      </c>
      <c r="AT164" cm="1">
        <f t="array" ref="AT164">_xlfn.IFS(AG164&gt;'“主要目标”数据分表'!$D$2,1,AG164='“主要目标”数据分表'!$D$2,0,AG164&lt;'“主要目标”数据分表'!$D$2,-1)</f>
        <v>0</v>
      </c>
      <c r="AU164" cm="1">
        <f t="array" ref="AU164">_xlfn.IFS(AH164&gt;'“主要目标”数据分表'!$E$2,1,AH164='“主要目标”数据分表'!$E$2,0,AH164&lt;'“主要目标”数据分表'!$E$2,-1)</f>
        <v>0</v>
      </c>
      <c r="AV164" cm="1">
        <f t="array" ref="AV164">_xlfn.IFS(AI164&gt;'“主要目标”数据分表'!$F$2,1,AI164='“主要目标”数据分表'!$F$2,0,AI164&lt;'“主要目标”数据分表'!$F$2,-1)</f>
        <v>0</v>
      </c>
      <c r="AW164" cm="1">
        <f t="array" ref="AW164">_xlfn.IFS(AJ164&gt;'“主要目标”数据分表'!$G$2,1,AJ164='“主要目标”数据分表'!$G$2,0,AJ164&lt;'“主要目标”数据分表'!$G$2,-1)</f>
        <v>0</v>
      </c>
    </row>
    <row r="165" spans="1:49" ht="14.4" x14ac:dyDescent="0.25">
      <c r="A165" s="2">
        <v>23</v>
      </c>
      <c r="B165" s="2" t="s">
        <v>37</v>
      </c>
      <c r="C165" s="2">
        <v>2016</v>
      </c>
      <c r="D165" s="2">
        <v>18756</v>
      </c>
      <c r="E165" s="19">
        <v>25366.273292748498</v>
      </c>
      <c r="F165" s="2">
        <v>32934.54</v>
      </c>
      <c r="G165" s="3">
        <v>0.56949330399027887</v>
      </c>
      <c r="H165" s="2"/>
      <c r="I165" s="16">
        <v>0.2339518841730355</v>
      </c>
      <c r="K165">
        <v>0.77020275044826791</v>
      </c>
      <c r="L165"/>
      <c r="M165" s="2">
        <v>0</v>
      </c>
      <c r="N165" s="2">
        <v>0</v>
      </c>
      <c r="O165" s="4">
        <v>1</v>
      </c>
      <c r="P165">
        <v>0.87548603567559702</v>
      </c>
      <c r="Q165">
        <v>0.43841642228738997</v>
      </c>
      <c r="R165">
        <v>0.17036784899688129</v>
      </c>
      <c r="S165">
        <v>0.1</v>
      </c>
      <c r="T165">
        <v>-0.13000000000000009</v>
      </c>
      <c r="U165">
        <v>0.40644171779141097</v>
      </c>
      <c r="V165">
        <v>0.2767527675276753</v>
      </c>
      <c r="W165">
        <v>7.5657894736842105E-2</v>
      </c>
      <c r="X165">
        <v>0.48634832366595188</v>
      </c>
      <c r="Y165">
        <v>0.31506849315068475</v>
      </c>
      <c r="Z165">
        <v>0.12217436241515528</v>
      </c>
      <c r="AA165">
        <v>2.8571428571428574E-2</v>
      </c>
      <c r="AB165">
        <v>-7.558139534883726E-2</v>
      </c>
      <c r="AC165">
        <v>0.328517029828644</v>
      </c>
      <c r="AD165">
        <v>0.29586357244646616</v>
      </c>
      <c r="AE165">
        <v>8.8267543859649134E-2</v>
      </c>
      <c r="AF165">
        <v>0.41499999999999998</v>
      </c>
      <c r="AG165">
        <v>0.14000000000000001</v>
      </c>
      <c r="AH165">
        <v>0.18</v>
      </c>
      <c r="AI165">
        <v>0.435</v>
      </c>
      <c r="AJ165">
        <v>0.65</v>
      </c>
      <c r="AK165">
        <v>2.0749999999999997</v>
      </c>
      <c r="AL165">
        <v>1.037037037037037</v>
      </c>
      <c r="AM165">
        <v>1</v>
      </c>
      <c r="AN165">
        <v>1.74</v>
      </c>
      <c r="AO165">
        <v>1</v>
      </c>
      <c r="AP165">
        <f t="shared" si="46"/>
        <v>1.9074999999999998</v>
      </c>
      <c r="AQ165">
        <f t="shared" si="47"/>
        <v>1.037037037037037</v>
      </c>
      <c r="AR165">
        <f t="shared" si="48"/>
        <v>1</v>
      </c>
      <c r="AS165" cm="1">
        <f t="array" ref="AS165">_xlfn.IFS(AF165&gt;'“主要目标”数据分表'!$C$2,1,AF165='“主要目标”数据分表'!$C$2,0,AF165&lt;'“主要目标”数据分表'!$C$2,-1)</f>
        <v>1</v>
      </c>
      <c r="AT165" cm="1">
        <f t="array" ref="AT165">_xlfn.IFS(AG165&gt;'“主要目标”数据分表'!$D$2,1,AG165='“主要目标”数据分表'!$D$2,0,AG165&lt;'“主要目标”数据分表'!$D$2,-1)</f>
        <v>1</v>
      </c>
      <c r="AU165" cm="1">
        <f t="array" ref="AU165">_xlfn.IFS(AH165&gt;'“主要目标”数据分表'!$E$2,1,AH165='“主要目标”数据分表'!$E$2,0,AH165&lt;'“主要目标”数据分表'!$E$2,-1)</f>
        <v>0</v>
      </c>
      <c r="AV165" cm="1">
        <f t="array" ref="AV165">_xlfn.IFS(AI165&gt;'“主要目标”数据分表'!$F$2,1,AI165='“主要目标”数据分表'!$F$2,0,AI165&lt;'“主要目标”数据分表'!$F$2,-1)</f>
        <v>1</v>
      </c>
      <c r="AW165" cm="1">
        <f t="array" ref="AW165">_xlfn.IFS(AJ165&gt;'“主要目标”数据分表'!$G$2,1,AJ165='“主要目标”数据分表'!$G$2,0,AJ165&lt;'“主要目标”数据分表'!$G$2,-1)</f>
        <v>0</v>
      </c>
    </row>
    <row r="166" spans="1:49" ht="14.4" x14ac:dyDescent="0.25">
      <c r="A166" s="2">
        <v>23</v>
      </c>
      <c r="B166" s="2" t="s">
        <v>37</v>
      </c>
      <c r="C166" s="2">
        <v>2017</v>
      </c>
      <c r="D166" s="2">
        <v>19229</v>
      </c>
      <c r="E166" s="19">
        <v>25344.1542533994</v>
      </c>
      <c r="F166" s="2">
        <v>36980.22</v>
      </c>
      <c r="G166" s="3">
        <v>0.51998068156436061</v>
      </c>
      <c r="H166" s="2">
        <f>(G166-G165)/G165</f>
        <v>-8.6941535710775314E-2</v>
      </c>
      <c r="I166" s="16">
        <v>0.2439437696314827</v>
      </c>
      <c r="J166" s="2">
        <f>(I166-I165)/I165</f>
        <v>4.2709147198220485E-2</v>
      </c>
      <c r="K166">
        <v>0.68534352292656453</v>
      </c>
      <c r="L166">
        <f t="shared" si="49"/>
        <v>-0.11017777782838899</v>
      </c>
      <c r="M166" s="2">
        <v>0</v>
      </c>
      <c r="N166" s="2">
        <v>0</v>
      </c>
      <c r="O166" s="4">
        <v>1</v>
      </c>
      <c r="P166">
        <v>0.87548603567559702</v>
      </c>
      <c r="Q166">
        <v>0.43841642228738997</v>
      </c>
      <c r="R166">
        <v>0.17036784899688129</v>
      </c>
      <c r="S166">
        <v>0.1</v>
      </c>
      <c r="T166">
        <v>-0.13000000000000009</v>
      </c>
      <c r="U166">
        <v>0.40644171779141097</v>
      </c>
      <c r="V166">
        <v>0.2767527675276753</v>
      </c>
      <c r="W166">
        <v>7.5657894736842105E-2</v>
      </c>
      <c r="X166">
        <v>0.48634832366595188</v>
      </c>
      <c r="Y166">
        <v>0.31506849315068475</v>
      </c>
      <c r="Z166">
        <v>0.12217436241515528</v>
      </c>
      <c r="AA166">
        <v>2.8571428571428574E-2</v>
      </c>
      <c r="AB166">
        <v>-7.558139534883726E-2</v>
      </c>
      <c r="AC166">
        <v>0.328517029828644</v>
      </c>
      <c r="AD166">
        <v>0.29586357244646616</v>
      </c>
      <c r="AE166">
        <v>8.8267543859649134E-2</v>
      </c>
      <c r="AF166">
        <v>0.41499999999999998</v>
      </c>
      <c r="AG166">
        <v>0.14000000000000001</v>
      </c>
      <c r="AH166">
        <v>0.18</v>
      </c>
      <c r="AI166">
        <v>0.435</v>
      </c>
      <c r="AJ166">
        <v>0.65</v>
      </c>
      <c r="AK166">
        <v>2.0749999999999997</v>
      </c>
      <c r="AL166">
        <v>1.037037037037037</v>
      </c>
      <c r="AM166">
        <v>1</v>
      </c>
      <c r="AN166">
        <v>1.74</v>
      </c>
      <c r="AO166">
        <v>1</v>
      </c>
      <c r="AP166">
        <f t="shared" si="46"/>
        <v>1.9074999999999998</v>
      </c>
      <c r="AQ166">
        <f t="shared" si="47"/>
        <v>1.037037037037037</v>
      </c>
      <c r="AR166">
        <f t="shared" si="48"/>
        <v>1</v>
      </c>
      <c r="AS166" cm="1">
        <f t="array" ref="AS166">_xlfn.IFS(AF166&gt;'“主要目标”数据分表'!$C$2,1,AF166='“主要目标”数据分表'!$C$2,0,AF166&lt;'“主要目标”数据分表'!$C$2,-1)</f>
        <v>1</v>
      </c>
      <c r="AT166" cm="1">
        <f t="array" ref="AT166">_xlfn.IFS(AG166&gt;'“主要目标”数据分表'!$D$2,1,AG166='“主要目标”数据分表'!$D$2,0,AG166&lt;'“主要目标”数据分表'!$D$2,-1)</f>
        <v>1</v>
      </c>
      <c r="AU166" cm="1">
        <f t="array" ref="AU166">_xlfn.IFS(AH166&gt;'“主要目标”数据分表'!$E$2,1,AH166='“主要目标”数据分表'!$E$2,0,AH166&lt;'“主要目标”数据分表'!$E$2,-1)</f>
        <v>0</v>
      </c>
      <c r="AV166" cm="1">
        <f t="array" ref="AV166">_xlfn.IFS(AI166&gt;'“主要目标”数据分表'!$F$2,1,AI166='“主要目标”数据分表'!$F$2,0,AI166&lt;'“主要目标”数据分表'!$F$2,-1)</f>
        <v>1</v>
      </c>
      <c r="AW166" cm="1">
        <f t="array" ref="AW166">_xlfn.IFS(AJ166&gt;'“主要目标”数据分表'!$G$2,1,AJ166='“主要目标”数据分表'!$G$2,0,AJ166&lt;'“主要目标”数据分表'!$G$2,-1)</f>
        <v>0</v>
      </c>
    </row>
    <row r="167" spans="1:49" ht="14.4" x14ac:dyDescent="0.25">
      <c r="A167" s="2">
        <v>23</v>
      </c>
      <c r="B167" s="2" t="s">
        <v>37</v>
      </c>
      <c r="C167" s="2">
        <v>2018</v>
      </c>
      <c r="D167" s="2">
        <v>19916</v>
      </c>
      <c r="E167" s="19">
        <v>25775.907493937902</v>
      </c>
      <c r="F167" s="2">
        <v>40678.129999999997</v>
      </c>
      <c r="G167" s="3">
        <v>0.48959969398789965</v>
      </c>
      <c r="H167" s="2">
        <f t="shared" ref="H167:H171" si="58">(G167-G166)/G166</f>
        <v>-5.8427146726028036E-2</v>
      </c>
      <c r="I167" s="16">
        <v>0.25856704445443585</v>
      </c>
      <c r="J167" s="2">
        <f t="shared" ref="J167:J171" si="59">(I167-I166)/I166</f>
        <v>5.9945268719279077E-2</v>
      </c>
      <c r="K167">
        <v>0.63365517279033978</v>
      </c>
      <c r="L167">
        <f t="shared" si="49"/>
        <v>-7.5419623016942439E-2</v>
      </c>
      <c r="M167" s="2">
        <v>0</v>
      </c>
      <c r="N167" s="2">
        <v>0</v>
      </c>
      <c r="O167" s="4">
        <v>1</v>
      </c>
      <c r="P167">
        <v>0.87548603567559702</v>
      </c>
      <c r="Q167">
        <v>0.43841642228738997</v>
      </c>
      <c r="R167">
        <v>0.17036784899688129</v>
      </c>
      <c r="S167">
        <v>0.1</v>
      </c>
      <c r="T167">
        <v>-0.13000000000000009</v>
      </c>
      <c r="U167">
        <v>0.40644171779141097</v>
      </c>
      <c r="V167">
        <v>0.2767527675276753</v>
      </c>
      <c r="W167">
        <v>7.5657894736842105E-2</v>
      </c>
      <c r="X167">
        <v>0.48634832366595188</v>
      </c>
      <c r="Y167">
        <v>0.31506849315068475</v>
      </c>
      <c r="Z167">
        <v>0.12217436241515528</v>
      </c>
      <c r="AA167">
        <v>2.8571428571428574E-2</v>
      </c>
      <c r="AB167">
        <v>-7.558139534883726E-2</v>
      </c>
      <c r="AC167">
        <v>0.328517029828644</v>
      </c>
      <c r="AD167">
        <v>0.29586357244646616</v>
      </c>
      <c r="AE167">
        <v>8.8267543859649134E-2</v>
      </c>
      <c r="AF167">
        <v>0.41499999999999998</v>
      </c>
      <c r="AG167">
        <v>0.14000000000000001</v>
      </c>
      <c r="AH167">
        <v>0.18</v>
      </c>
      <c r="AI167">
        <v>0.435</v>
      </c>
      <c r="AJ167">
        <v>0.65</v>
      </c>
      <c r="AK167">
        <v>2.0749999999999997</v>
      </c>
      <c r="AL167">
        <v>1.037037037037037</v>
      </c>
      <c r="AM167">
        <v>1</v>
      </c>
      <c r="AN167">
        <v>1.74</v>
      </c>
      <c r="AO167">
        <v>1</v>
      </c>
      <c r="AP167">
        <f t="shared" si="46"/>
        <v>1.9074999999999998</v>
      </c>
      <c r="AQ167">
        <f t="shared" si="47"/>
        <v>1.037037037037037</v>
      </c>
      <c r="AR167">
        <f t="shared" si="48"/>
        <v>1</v>
      </c>
      <c r="AS167" cm="1">
        <f t="array" ref="AS167">_xlfn.IFS(AF167&gt;'“主要目标”数据分表'!$C$2,1,AF167='“主要目标”数据分表'!$C$2,0,AF167&lt;'“主要目标”数据分表'!$C$2,-1)</f>
        <v>1</v>
      </c>
      <c r="AT167" cm="1">
        <f t="array" ref="AT167">_xlfn.IFS(AG167&gt;'“主要目标”数据分表'!$D$2,1,AG167='“主要目标”数据分表'!$D$2,0,AG167&lt;'“主要目标”数据分表'!$D$2,-1)</f>
        <v>1</v>
      </c>
      <c r="AU167" cm="1">
        <f t="array" ref="AU167">_xlfn.IFS(AH167&gt;'“主要目标”数据分表'!$E$2,1,AH167='“主要目标”数据分表'!$E$2,0,AH167&lt;'“主要目标”数据分表'!$E$2,-1)</f>
        <v>0</v>
      </c>
      <c r="AV167" cm="1">
        <f t="array" ref="AV167">_xlfn.IFS(AI167&gt;'“主要目标”数据分表'!$F$2,1,AI167='“主要目标”数据分表'!$F$2,0,AI167&lt;'“主要目标”数据分表'!$F$2,-1)</f>
        <v>1</v>
      </c>
      <c r="AW167" cm="1">
        <f t="array" ref="AW167">_xlfn.IFS(AJ167&gt;'“主要目标”数据分表'!$G$2,1,AJ167='“主要目标”数据分表'!$G$2,0,AJ167&lt;'“主要目标”数据分表'!$G$2,-1)</f>
        <v>0</v>
      </c>
    </row>
    <row r="168" spans="1:49" ht="14.4" x14ac:dyDescent="0.25">
      <c r="A168" s="2">
        <v>23</v>
      </c>
      <c r="B168" s="2" t="s">
        <v>37</v>
      </c>
      <c r="C168" s="2">
        <v>2019</v>
      </c>
      <c r="D168" s="2">
        <v>20791</v>
      </c>
      <c r="E168" s="19">
        <v>25348.6126245089</v>
      </c>
      <c r="F168" s="2">
        <v>46615.82</v>
      </c>
      <c r="G168" s="3">
        <v>0.44600738547557461</v>
      </c>
      <c r="H168" s="2">
        <f t="shared" si="58"/>
        <v>-8.9036633493897593E-2</v>
      </c>
      <c r="I168" s="16">
        <v>0.26794546049903106</v>
      </c>
      <c r="J168" s="2">
        <f t="shared" si="59"/>
        <v>3.6270732275194728E-2</v>
      </c>
      <c r="K168">
        <v>0.54377704016595441</v>
      </c>
      <c r="L168">
        <f t="shared" si="49"/>
        <v>-0.14184076211135696</v>
      </c>
      <c r="M168" s="2">
        <v>0</v>
      </c>
      <c r="N168" s="2">
        <v>0</v>
      </c>
      <c r="O168" s="4">
        <v>1</v>
      </c>
      <c r="P168">
        <v>0.87548603567559702</v>
      </c>
      <c r="Q168">
        <v>0.43841642228738997</v>
      </c>
      <c r="R168">
        <v>0.17036784899688129</v>
      </c>
      <c r="S168">
        <v>0.1</v>
      </c>
      <c r="T168">
        <v>-0.13000000000000009</v>
      </c>
      <c r="U168">
        <v>0.40644171779141097</v>
      </c>
      <c r="V168">
        <v>0.2767527675276753</v>
      </c>
      <c r="W168">
        <v>7.5657894736842105E-2</v>
      </c>
      <c r="X168">
        <v>0.48634832366595188</v>
      </c>
      <c r="Y168">
        <v>0.31506849315068475</v>
      </c>
      <c r="Z168">
        <v>0.12217436241515528</v>
      </c>
      <c r="AA168">
        <v>2.8571428571428574E-2</v>
      </c>
      <c r="AB168">
        <v>-7.558139534883726E-2</v>
      </c>
      <c r="AC168">
        <v>0.328517029828644</v>
      </c>
      <c r="AD168">
        <v>0.29586357244646616</v>
      </c>
      <c r="AE168">
        <v>8.8267543859649134E-2</v>
      </c>
      <c r="AF168">
        <v>0.41499999999999998</v>
      </c>
      <c r="AG168">
        <v>0.14000000000000001</v>
      </c>
      <c r="AH168">
        <v>0.18</v>
      </c>
      <c r="AI168">
        <v>0.435</v>
      </c>
      <c r="AJ168">
        <v>0.65</v>
      </c>
      <c r="AK168">
        <v>2.0749999999999997</v>
      </c>
      <c r="AL168">
        <v>1.037037037037037</v>
      </c>
      <c r="AM168">
        <v>1</v>
      </c>
      <c r="AN168">
        <v>1.74</v>
      </c>
      <c r="AO168">
        <v>1</v>
      </c>
      <c r="AP168">
        <f t="shared" si="46"/>
        <v>1.9074999999999998</v>
      </c>
      <c r="AQ168">
        <f t="shared" si="47"/>
        <v>1.037037037037037</v>
      </c>
      <c r="AR168">
        <f t="shared" si="48"/>
        <v>1</v>
      </c>
      <c r="AS168" cm="1">
        <f t="array" ref="AS168">_xlfn.IFS(AF168&gt;'“主要目标”数据分表'!$C$2,1,AF168='“主要目标”数据分表'!$C$2,0,AF168&lt;'“主要目标”数据分表'!$C$2,-1)</f>
        <v>1</v>
      </c>
      <c r="AT168" cm="1">
        <f t="array" ref="AT168">_xlfn.IFS(AG168&gt;'“主要目标”数据分表'!$D$2,1,AG168='“主要目标”数据分表'!$D$2,0,AG168&lt;'“主要目标”数据分表'!$D$2,-1)</f>
        <v>1</v>
      </c>
      <c r="AU168" cm="1">
        <f t="array" ref="AU168">_xlfn.IFS(AH168&gt;'“主要目标”数据分表'!$E$2,1,AH168='“主要目标”数据分表'!$E$2,0,AH168&lt;'“主要目标”数据分表'!$E$2,-1)</f>
        <v>0</v>
      </c>
      <c r="AV168" cm="1">
        <f t="array" ref="AV168">_xlfn.IFS(AI168&gt;'“主要目标”数据分表'!$F$2,1,AI168='“主要目标”数据分表'!$F$2,0,AI168&lt;'“主要目标”数据分表'!$F$2,-1)</f>
        <v>1</v>
      </c>
      <c r="AW168" cm="1">
        <f t="array" ref="AW168">_xlfn.IFS(AJ168&gt;'“主要目标”数据分表'!$G$2,1,AJ168='“主要目标”数据分表'!$G$2,0,AJ168&lt;'“主要目标”数据分表'!$G$2,-1)</f>
        <v>0</v>
      </c>
    </row>
    <row r="169" spans="1:49" ht="14.4" x14ac:dyDescent="0.25">
      <c r="A169" s="2">
        <v>23</v>
      </c>
      <c r="B169" s="2" t="s">
        <v>37</v>
      </c>
      <c r="C169" s="2">
        <v>2020</v>
      </c>
      <c r="D169" s="2">
        <v>16355</v>
      </c>
      <c r="E169" s="19">
        <v>24925.377456145099</v>
      </c>
      <c r="F169" s="2">
        <v>48598.76</v>
      </c>
      <c r="G169" s="3">
        <v>0.33653122013812697</v>
      </c>
      <c r="H169" s="2">
        <f t="shared" si="58"/>
        <v>-0.24545818948875467</v>
      </c>
      <c r="I169" s="16">
        <v>0.28735795021641081</v>
      </c>
      <c r="J169" s="2">
        <f t="shared" si="59"/>
        <v>7.2449406984635006E-2</v>
      </c>
      <c r="K169">
        <v>0.51288093474288432</v>
      </c>
      <c r="L169">
        <f t="shared" si="49"/>
        <v>-5.6817598281900528E-2</v>
      </c>
      <c r="M169" s="2">
        <v>0</v>
      </c>
      <c r="N169" s="2">
        <v>0</v>
      </c>
      <c r="O169" s="4">
        <v>1</v>
      </c>
      <c r="P169">
        <v>0.87548603567559702</v>
      </c>
      <c r="Q169">
        <v>0.43841642228738997</v>
      </c>
      <c r="R169">
        <v>0.17036784899688129</v>
      </c>
      <c r="S169">
        <v>0.1</v>
      </c>
      <c r="T169">
        <v>-0.13000000000000009</v>
      </c>
      <c r="U169">
        <v>0.40644171779141097</v>
      </c>
      <c r="V169">
        <v>0.2767527675276753</v>
      </c>
      <c r="W169">
        <v>7.5657894736842105E-2</v>
      </c>
      <c r="X169">
        <v>0.48634832366595188</v>
      </c>
      <c r="Y169">
        <v>0.31506849315068475</v>
      </c>
      <c r="Z169">
        <v>0.12217436241515528</v>
      </c>
      <c r="AA169">
        <v>2.8571428571428574E-2</v>
      </c>
      <c r="AB169">
        <v>-7.558139534883726E-2</v>
      </c>
      <c r="AC169">
        <v>0.328517029828644</v>
      </c>
      <c r="AD169">
        <v>0.29586357244646616</v>
      </c>
      <c r="AE169">
        <v>8.8267543859649134E-2</v>
      </c>
      <c r="AF169">
        <v>0.41499999999999998</v>
      </c>
      <c r="AG169">
        <v>0.14000000000000001</v>
      </c>
      <c r="AH169">
        <v>0.18</v>
      </c>
      <c r="AI169">
        <v>0.435</v>
      </c>
      <c r="AJ169">
        <v>0.65</v>
      </c>
      <c r="AK169">
        <v>2.0749999999999997</v>
      </c>
      <c r="AL169">
        <v>1.037037037037037</v>
      </c>
      <c r="AM169">
        <v>1</v>
      </c>
      <c r="AN169">
        <v>1.74</v>
      </c>
      <c r="AO169">
        <v>1</v>
      </c>
      <c r="AP169">
        <f t="shared" si="46"/>
        <v>1.9074999999999998</v>
      </c>
      <c r="AQ169">
        <f t="shared" si="47"/>
        <v>1.037037037037037</v>
      </c>
      <c r="AR169">
        <f t="shared" si="48"/>
        <v>1</v>
      </c>
      <c r="AS169" cm="1">
        <f t="array" ref="AS169">_xlfn.IFS(AF169&gt;'“主要目标”数据分表'!$C$2,1,AF169='“主要目标”数据分表'!$C$2,0,AF169&lt;'“主要目标”数据分表'!$C$2,-1)</f>
        <v>1</v>
      </c>
      <c r="AT169" cm="1">
        <f t="array" ref="AT169">_xlfn.IFS(AG169&gt;'“主要目标”数据分表'!$D$2,1,AG169='“主要目标”数据分表'!$D$2,0,AG169&lt;'“主要目标”数据分表'!$D$2,-1)</f>
        <v>1</v>
      </c>
      <c r="AU169" cm="1">
        <f t="array" ref="AU169">_xlfn.IFS(AH169&gt;'“主要目标”数据分表'!$E$2,1,AH169='“主要目标”数据分表'!$E$2,0,AH169&lt;'“主要目标”数据分表'!$E$2,-1)</f>
        <v>0</v>
      </c>
      <c r="AV169" cm="1">
        <f t="array" ref="AV169">_xlfn.IFS(AI169&gt;'“主要目标”数据分表'!$F$2,1,AI169='“主要目标”数据分表'!$F$2,0,AI169&lt;'“主要目标”数据分表'!$F$2,-1)</f>
        <v>1</v>
      </c>
      <c r="AW169" cm="1">
        <f t="array" ref="AW169">_xlfn.IFS(AJ169&gt;'“主要目标”数据分表'!$G$2,1,AJ169='“主要目标”数据分表'!$G$2,0,AJ169&lt;'“主要目标”数据分表'!$G$2,-1)</f>
        <v>0</v>
      </c>
    </row>
    <row r="170" spans="1:49" ht="14.4" x14ac:dyDescent="0.25">
      <c r="A170" s="2">
        <v>23</v>
      </c>
      <c r="B170" s="2" t="s">
        <v>37</v>
      </c>
      <c r="C170" s="2">
        <v>2021</v>
      </c>
      <c r="D170" s="2">
        <v>17241.3</v>
      </c>
      <c r="E170" s="19">
        <v>26838.593714948998</v>
      </c>
      <c r="F170" s="2">
        <v>53850.79</v>
      </c>
      <c r="G170" s="3">
        <v>0.32016800496334408</v>
      </c>
      <c r="H170" s="2">
        <f t="shared" si="58"/>
        <v>-4.862317133033519E-2</v>
      </c>
      <c r="I170" s="16">
        <v>0.30438942936967972</v>
      </c>
      <c r="J170" s="2">
        <f t="shared" si="59"/>
        <v>5.9269211589386743E-2</v>
      </c>
      <c r="K170">
        <v>0.49838811491807267</v>
      </c>
      <c r="L170">
        <f t="shared" si="49"/>
        <v>-2.8257669262120543E-2</v>
      </c>
      <c r="M170" s="2">
        <v>0</v>
      </c>
      <c r="N170" s="2">
        <v>0</v>
      </c>
      <c r="O170" s="4">
        <v>1</v>
      </c>
      <c r="P170">
        <v>0.87548603567559702</v>
      </c>
      <c r="Q170">
        <v>0.43841642228738997</v>
      </c>
      <c r="R170">
        <v>0.17036784899688129</v>
      </c>
      <c r="S170">
        <v>0.1</v>
      </c>
      <c r="T170">
        <v>-0.13000000000000009</v>
      </c>
      <c r="U170">
        <v>0.40644171779141097</v>
      </c>
      <c r="V170">
        <v>0.2767527675276753</v>
      </c>
      <c r="W170">
        <v>7.5657894736842105E-2</v>
      </c>
      <c r="X170">
        <v>0.48634832366595188</v>
      </c>
      <c r="Y170">
        <v>0.31506849315068475</v>
      </c>
      <c r="Z170">
        <v>0.12217436241515528</v>
      </c>
      <c r="AA170">
        <v>2.8571428571428574E-2</v>
      </c>
      <c r="AB170">
        <v>-7.558139534883726E-2</v>
      </c>
      <c r="AC170">
        <v>0.328517029828644</v>
      </c>
      <c r="AD170">
        <v>0.29586357244646616</v>
      </c>
      <c r="AE170">
        <v>8.8267543859649134E-2</v>
      </c>
      <c r="AF170">
        <v>0.41499999999999998</v>
      </c>
      <c r="AG170">
        <v>0.14000000000000001</v>
      </c>
      <c r="AH170">
        <v>0.18</v>
      </c>
      <c r="AI170">
        <v>0.435</v>
      </c>
      <c r="AJ170">
        <v>0.65</v>
      </c>
      <c r="AK170">
        <v>2.0749999999999997</v>
      </c>
      <c r="AL170">
        <v>1.037037037037037</v>
      </c>
      <c r="AM170">
        <v>1</v>
      </c>
      <c r="AN170">
        <v>1.74</v>
      </c>
      <c r="AO170">
        <v>1</v>
      </c>
      <c r="AP170">
        <f t="shared" si="46"/>
        <v>1.9074999999999998</v>
      </c>
      <c r="AQ170">
        <f t="shared" si="47"/>
        <v>1.037037037037037</v>
      </c>
      <c r="AR170">
        <f t="shared" si="48"/>
        <v>1</v>
      </c>
      <c r="AS170" cm="1">
        <f t="array" ref="AS170">_xlfn.IFS(AF170&gt;'“主要目标”数据分表'!$C$2,1,AF170='“主要目标”数据分表'!$C$2,0,AF170&lt;'“主要目标”数据分表'!$C$2,-1)</f>
        <v>1</v>
      </c>
      <c r="AT170" cm="1">
        <f t="array" ref="AT170">_xlfn.IFS(AG170&gt;'“主要目标”数据分表'!$D$2,1,AG170='“主要目标”数据分表'!$D$2,0,AG170&lt;'“主要目标”数据分表'!$D$2,-1)</f>
        <v>1</v>
      </c>
      <c r="AU170" cm="1">
        <f t="array" ref="AU170">_xlfn.IFS(AH170&gt;'“主要目标”数据分表'!$E$2,1,AH170='“主要目标”数据分表'!$E$2,0,AH170&lt;'“主要目标”数据分表'!$E$2,-1)</f>
        <v>0</v>
      </c>
      <c r="AV170" cm="1">
        <f t="array" ref="AV170">_xlfn.IFS(AI170&gt;'“主要目标”数据分表'!$F$2,1,AI170='“主要目标”数据分表'!$F$2,0,AI170&lt;'“主要目标”数据分表'!$F$2,-1)</f>
        <v>1</v>
      </c>
      <c r="AW170" cm="1">
        <f t="array" ref="AW170">_xlfn.IFS(AJ170&gt;'“主要目标”数据分表'!$G$2,1,AJ170='“主要目标”数据分表'!$G$2,0,AJ170&lt;'“主要目标”数据分表'!$G$2,-1)</f>
        <v>0</v>
      </c>
    </row>
    <row r="171" spans="1:49" ht="14.4" x14ac:dyDescent="0.25">
      <c r="A171" s="2">
        <v>23</v>
      </c>
      <c r="B171" s="2" t="s">
        <v>37</v>
      </c>
      <c r="C171" s="2">
        <v>2022</v>
      </c>
      <c r="D171" s="2">
        <v>17196.117213000001</v>
      </c>
      <c r="E171" s="19">
        <v>26336.319143188201</v>
      </c>
      <c r="F171" s="2">
        <v>56749.8</v>
      </c>
      <c r="G171" s="3">
        <v>0.30301634918537157</v>
      </c>
      <c r="H171" s="2">
        <f t="shared" si="58"/>
        <v>-5.3570798805883786E-2</v>
      </c>
      <c r="I171" s="16">
        <v>0.32120963659883772</v>
      </c>
      <c r="J171" s="2">
        <f t="shared" si="59"/>
        <v>5.5258841491272449E-2</v>
      </c>
      <c r="K171">
        <v>0.46407774376628991</v>
      </c>
      <c r="L171">
        <f t="shared" si="49"/>
        <v>-6.8842675266088268E-2</v>
      </c>
      <c r="M171" s="2">
        <v>1</v>
      </c>
      <c r="N171" s="2">
        <v>0</v>
      </c>
      <c r="O171" s="4">
        <v>1</v>
      </c>
      <c r="P171">
        <v>0.87548603567559702</v>
      </c>
      <c r="Q171">
        <v>0.43841642228738997</v>
      </c>
      <c r="R171">
        <v>0.17036784899688129</v>
      </c>
      <c r="S171">
        <v>0.1</v>
      </c>
      <c r="T171">
        <v>-0.13000000000000009</v>
      </c>
      <c r="U171">
        <v>0.40644171779141097</v>
      </c>
      <c r="V171">
        <v>0.2767527675276753</v>
      </c>
      <c r="W171">
        <v>7.5657894736842105E-2</v>
      </c>
      <c r="X171">
        <v>0.48634832366595188</v>
      </c>
      <c r="Y171">
        <v>0.31506849315068475</v>
      </c>
      <c r="Z171">
        <v>0.12217436241515528</v>
      </c>
      <c r="AA171">
        <v>2.8571428571428574E-2</v>
      </c>
      <c r="AB171">
        <v>-7.558139534883726E-2</v>
      </c>
      <c r="AC171">
        <v>0.328517029828644</v>
      </c>
      <c r="AD171">
        <v>0.29586357244646616</v>
      </c>
      <c r="AE171">
        <v>8.8267543859649134E-2</v>
      </c>
      <c r="AF171">
        <v>0.41499999999999998</v>
      </c>
      <c r="AG171">
        <v>0.14000000000000001</v>
      </c>
      <c r="AH171">
        <v>0.18</v>
      </c>
      <c r="AI171">
        <v>0.435</v>
      </c>
      <c r="AJ171">
        <v>0.65</v>
      </c>
      <c r="AK171">
        <v>2.0749999999999997</v>
      </c>
      <c r="AL171">
        <v>1.037037037037037</v>
      </c>
      <c r="AM171">
        <v>1</v>
      </c>
      <c r="AN171">
        <v>1.74</v>
      </c>
      <c r="AO171">
        <v>1</v>
      </c>
      <c r="AP171">
        <f t="shared" si="46"/>
        <v>1.9074999999999998</v>
      </c>
      <c r="AQ171">
        <f t="shared" si="47"/>
        <v>1.037037037037037</v>
      </c>
      <c r="AR171">
        <f t="shared" si="48"/>
        <v>1</v>
      </c>
      <c r="AS171" cm="1">
        <f t="array" ref="AS171">_xlfn.IFS(AF171&gt;'“主要目标”数据分表'!$C$2,1,AF171='“主要目标”数据分表'!$C$2,0,AF171&lt;'“主要目标”数据分表'!$C$2,-1)</f>
        <v>1</v>
      </c>
      <c r="AT171" cm="1">
        <f t="array" ref="AT171">_xlfn.IFS(AG171&gt;'“主要目标”数据分表'!$D$2,1,AG171='“主要目标”数据分表'!$D$2,0,AG171&lt;'“主要目标”数据分表'!$D$2,-1)</f>
        <v>1</v>
      </c>
      <c r="AU171" cm="1">
        <f t="array" ref="AU171">_xlfn.IFS(AH171&gt;'“主要目标”数据分表'!$E$2,1,AH171='“主要目标”数据分表'!$E$2,0,AH171&lt;'“主要目标”数据分表'!$E$2,-1)</f>
        <v>0</v>
      </c>
      <c r="AV171" cm="1">
        <f t="array" ref="AV171">_xlfn.IFS(AI171&gt;'“主要目标”数据分表'!$F$2,1,AI171='“主要目标”数据分表'!$F$2,0,AI171&lt;'“主要目标”数据分表'!$F$2,-1)</f>
        <v>1</v>
      </c>
      <c r="AW171" cm="1">
        <f t="array" ref="AW171">_xlfn.IFS(AJ171&gt;'“主要目标”数据分表'!$G$2,1,AJ171='“主要目标”数据分表'!$G$2,0,AJ171&lt;'“主要目标”数据分表'!$G$2,-1)</f>
        <v>0</v>
      </c>
    </row>
    <row r="172" spans="1:49" ht="14.4" x14ac:dyDescent="0.25">
      <c r="A172" s="2">
        <v>24</v>
      </c>
      <c r="B172" s="2" t="s">
        <v>38</v>
      </c>
      <c r="C172" s="2">
        <v>2016</v>
      </c>
      <c r="D172" s="2">
        <v>9606</v>
      </c>
      <c r="E172" s="19">
        <v>19257.302297231599</v>
      </c>
      <c r="F172" s="2">
        <v>11776.73</v>
      </c>
      <c r="G172" s="3">
        <v>0.81567633799874839</v>
      </c>
      <c r="H172" s="2"/>
      <c r="I172" s="16">
        <v>0.20289548920682518</v>
      </c>
      <c r="K172">
        <v>1.6351994396773637</v>
      </c>
      <c r="L172"/>
      <c r="M172" s="2">
        <v>0</v>
      </c>
      <c r="N172" s="2">
        <v>0</v>
      </c>
      <c r="O172" s="4">
        <v>1</v>
      </c>
      <c r="P172">
        <v>0.86926660439835268</v>
      </c>
      <c r="Q172">
        <v>0.64662756598240467</v>
      </c>
      <c r="R172">
        <v>0.65102173811851227</v>
      </c>
      <c r="S172">
        <v>1.3</v>
      </c>
      <c r="T172">
        <v>0.43999999999999989</v>
      </c>
      <c r="U172">
        <v>0.51869158878504673</v>
      </c>
      <c r="V172">
        <v>0.52272727272727271</v>
      </c>
      <c r="W172">
        <v>0.36267605633802819</v>
      </c>
      <c r="X172">
        <v>0.46069159169724616</v>
      </c>
      <c r="Y172">
        <v>0.46469968387776589</v>
      </c>
      <c r="Z172">
        <v>0.46686136052871946</v>
      </c>
      <c r="AA172">
        <v>0.37142857142857144</v>
      </c>
      <c r="AB172">
        <v>0.25581395348837205</v>
      </c>
      <c r="AC172">
        <v>0.41924589107315513</v>
      </c>
      <c r="AD172">
        <v>0.55882352941176461</v>
      </c>
      <c r="AE172">
        <v>0.42312206572769956</v>
      </c>
      <c r="AF172">
        <v>0.21600000000000003</v>
      </c>
      <c r="AG172">
        <v>0.13500000000000001</v>
      </c>
      <c r="AH172">
        <v>0.18</v>
      </c>
      <c r="AI172">
        <v>0.25</v>
      </c>
      <c r="AJ172">
        <v>0.65</v>
      </c>
      <c r="AK172">
        <v>1.08</v>
      </c>
      <c r="AL172">
        <v>1</v>
      </c>
      <c r="AM172">
        <v>1</v>
      </c>
      <c r="AN172">
        <v>1</v>
      </c>
      <c r="AO172">
        <v>1</v>
      </c>
      <c r="AP172">
        <f t="shared" si="46"/>
        <v>1.04</v>
      </c>
      <c r="AQ172">
        <f t="shared" si="47"/>
        <v>1</v>
      </c>
      <c r="AR172">
        <f t="shared" si="48"/>
        <v>1</v>
      </c>
      <c r="AS172" cm="1">
        <f t="array" ref="AS172">_xlfn.IFS(AF172&gt;'“主要目标”数据分表'!$C$2,1,AF172='“主要目标”数据分表'!$C$2,0,AF172&lt;'“主要目标”数据分表'!$C$2,-1)</f>
        <v>1</v>
      </c>
      <c r="AT172" cm="1">
        <f t="array" ref="AT172">_xlfn.IFS(AG172&gt;'“主要目标”数据分表'!$D$2,1,AG172='“主要目标”数据分表'!$D$2,0,AG172&lt;'“主要目标”数据分表'!$D$2,-1)</f>
        <v>0</v>
      </c>
      <c r="AU172" cm="1">
        <f t="array" ref="AU172">_xlfn.IFS(AH172&gt;'“主要目标”数据分表'!$E$2,1,AH172='“主要目标”数据分表'!$E$2,0,AH172&lt;'“主要目标”数据分表'!$E$2,-1)</f>
        <v>0</v>
      </c>
      <c r="AV172" cm="1">
        <f t="array" ref="AV172">_xlfn.IFS(AI172&gt;'“主要目标”数据分表'!$F$2,1,AI172='“主要目标”数据分表'!$F$2,0,AI172&lt;'“主要目标”数据分表'!$F$2,-1)</f>
        <v>0</v>
      </c>
      <c r="AW172" cm="1">
        <f t="array" ref="AW172">_xlfn.IFS(AJ172&gt;'“主要目标”数据分表'!$G$2,1,AJ172='“主要目标”数据分表'!$G$2,0,AJ172&lt;'“主要目标”数据分表'!$G$2,-1)</f>
        <v>0</v>
      </c>
    </row>
    <row r="173" spans="1:49" ht="14.4" x14ac:dyDescent="0.25">
      <c r="A173" s="2">
        <v>24</v>
      </c>
      <c r="B173" s="2" t="s">
        <v>38</v>
      </c>
      <c r="C173" s="2">
        <v>2017</v>
      </c>
      <c r="D173" s="2">
        <v>9846</v>
      </c>
      <c r="E173" s="19">
        <v>19967.977921575202</v>
      </c>
      <c r="F173" s="2">
        <v>13540.83</v>
      </c>
      <c r="G173" s="3">
        <v>0.7271341564734215</v>
      </c>
      <c r="H173" s="2">
        <f>(G173-G172)/G172</f>
        <v>-0.10855063142148272</v>
      </c>
      <c r="I173" s="16">
        <v>0.2258386784564996</v>
      </c>
      <c r="J173" s="2">
        <f>(I173-I172)/I172</f>
        <v>0.1130788532528038</v>
      </c>
      <c r="K173">
        <v>1.4746494802442098</v>
      </c>
      <c r="L173">
        <f t="shared" si="49"/>
        <v>-9.8183717250313815E-2</v>
      </c>
      <c r="M173" s="2">
        <v>0</v>
      </c>
      <c r="N173" s="2">
        <v>0</v>
      </c>
      <c r="O173" s="4">
        <v>1</v>
      </c>
      <c r="P173">
        <v>0.86926660439835268</v>
      </c>
      <c r="Q173">
        <v>0.64662756598240467</v>
      </c>
      <c r="R173">
        <v>0.65102173811851227</v>
      </c>
      <c r="S173">
        <v>1.3</v>
      </c>
      <c r="T173">
        <v>0.43999999999999989</v>
      </c>
      <c r="U173">
        <v>0.51869158878504673</v>
      </c>
      <c r="V173">
        <v>0.52272727272727271</v>
      </c>
      <c r="W173">
        <v>0.36267605633802819</v>
      </c>
      <c r="X173">
        <v>0.46069159169724616</v>
      </c>
      <c r="Y173">
        <v>0.46469968387776589</v>
      </c>
      <c r="Z173">
        <v>0.46686136052871946</v>
      </c>
      <c r="AA173">
        <v>0.37142857142857144</v>
      </c>
      <c r="AB173">
        <v>0.25581395348837205</v>
      </c>
      <c r="AC173">
        <v>0.41924589107315513</v>
      </c>
      <c r="AD173">
        <v>0.55882352941176461</v>
      </c>
      <c r="AE173">
        <v>0.42312206572769956</v>
      </c>
      <c r="AF173">
        <v>0.21600000000000003</v>
      </c>
      <c r="AG173">
        <v>0.13500000000000001</v>
      </c>
      <c r="AH173">
        <v>0.18</v>
      </c>
      <c r="AI173">
        <v>0.25</v>
      </c>
      <c r="AJ173">
        <v>0.65</v>
      </c>
      <c r="AK173">
        <v>1.08</v>
      </c>
      <c r="AL173">
        <v>1</v>
      </c>
      <c r="AM173">
        <v>1</v>
      </c>
      <c r="AN173">
        <v>1</v>
      </c>
      <c r="AO173">
        <v>1</v>
      </c>
      <c r="AP173">
        <f t="shared" si="46"/>
        <v>1.04</v>
      </c>
      <c r="AQ173">
        <f t="shared" si="47"/>
        <v>1</v>
      </c>
      <c r="AR173">
        <f t="shared" si="48"/>
        <v>1</v>
      </c>
      <c r="AS173" cm="1">
        <f t="array" ref="AS173">_xlfn.IFS(AF173&gt;'“主要目标”数据分表'!$C$2,1,AF173='“主要目标”数据分表'!$C$2,0,AF173&lt;'“主要目标”数据分表'!$C$2,-1)</f>
        <v>1</v>
      </c>
      <c r="AT173" cm="1">
        <f t="array" ref="AT173">_xlfn.IFS(AG173&gt;'“主要目标”数据分表'!$D$2,1,AG173='“主要目标”数据分表'!$D$2,0,AG173&lt;'“主要目标”数据分表'!$D$2,-1)</f>
        <v>0</v>
      </c>
      <c r="AU173" cm="1">
        <f t="array" ref="AU173">_xlfn.IFS(AH173&gt;'“主要目标”数据分表'!$E$2,1,AH173='“主要目标”数据分表'!$E$2,0,AH173&lt;'“主要目标”数据分表'!$E$2,-1)</f>
        <v>0</v>
      </c>
      <c r="AV173" cm="1">
        <f t="array" ref="AV173">_xlfn.IFS(AI173&gt;'“主要目标”数据分表'!$F$2,1,AI173='“主要目标”数据分表'!$F$2,0,AI173&lt;'“主要目标”数据分表'!$F$2,-1)</f>
        <v>0</v>
      </c>
      <c r="AW173" cm="1">
        <f t="array" ref="AW173">_xlfn.IFS(AJ173&gt;'“主要目标”数据分表'!$G$2,1,AJ173='“主要目标”数据分表'!$G$2,0,AJ173&lt;'“主要目标”数据分表'!$G$2,-1)</f>
        <v>0</v>
      </c>
    </row>
    <row r="174" spans="1:49" ht="14.4" x14ac:dyDescent="0.25">
      <c r="A174" s="2">
        <v>24</v>
      </c>
      <c r="B174" s="2" t="s">
        <v>38</v>
      </c>
      <c r="C174" s="2">
        <v>2018</v>
      </c>
      <c r="D174" s="2">
        <v>10036</v>
      </c>
      <c r="E174" s="19">
        <v>20930.161737975799</v>
      </c>
      <c r="F174" s="2">
        <v>14806.45</v>
      </c>
      <c r="G174" s="3">
        <v>0.67781271000138454</v>
      </c>
      <c r="H174" s="2">
        <f t="shared" ref="H174:H178" si="60">(G174-G173)/G173</f>
        <v>-6.7829912861258598E-2</v>
      </c>
      <c r="I174" s="16">
        <v>0.24444318176343194</v>
      </c>
      <c r="J174" s="2">
        <f t="shared" ref="J174:J178" si="61">(I174-I173)/I173</f>
        <v>8.2379614661604039E-2</v>
      </c>
      <c r="K174">
        <v>1.4135840622144942</v>
      </c>
      <c r="L174">
        <f t="shared" si="49"/>
        <v>-4.1410124133094257E-2</v>
      </c>
      <c r="M174" s="2">
        <v>0</v>
      </c>
      <c r="N174" s="2">
        <v>0</v>
      </c>
      <c r="O174" s="4">
        <v>1</v>
      </c>
      <c r="P174">
        <v>0.86926660439835268</v>
      </c>
      <c r="Q174">
        <v>0.64662756598240467</v>
      </c>
      <c r="R174">
        <v>0.65102173811851227</v>
      </c>
      <c r="S174">
        <v>1.3</v>
      </c>
      <c r="T174">
        <v>0.43999999999999989</v>
      </c>
      <c r="U174">
        <v>0.51869158878504673</v>
      </c>
      <c r="V174">
        <v>0.52272727272727271</v>
      </c>
      <c r="W174">
        <v>0.36267605633802819</v>
      </c>
      <c r="X174">
        <v>0.46069159169724616</v>
      </c>
      <c r="Y174">
        <v>0.46469968387776589</v>
      </c>
      <c r="Z174">
        <v>0.46686136052871946</v>
      </c>
      <c r="AA174">
        <v>0.37142857142857144</v>
      </c>
      <c r="AB174">
        <v>0.25581395348837205</v>
      </c>
      <c r="AC174">
        <v>0.41924589107315513</v>
      </c>
      <c r="AD174">
        <v>0.55882352941176461</v>
      </c>
      <c r="AE174">
        <v>0.42312206572769956</v>
      </c>
      <c r="AF174">
        <v>0.21600000000000003</v>
      </c>
      <c r="AG174">
        <v>0.13500000000000001</v>
      </c>
      <c r="AH174">
        <v>0.18</v>
      </c>
      <c r="AI174">
        <v>0.25</v>
      </c>
      <c r="AJ174">
        <v>0.65</v>
      </c>
      <c r="AK174">
        <v>1.08</v>
      </c>
      <c r="AL174">
        <v>1</v>
      </c>
      <c r="AM174">
        <v>1</v>
      </c>
      <c r="AN174">
        <v>1</v>
      </c>
      <c r="AO174">
        <v>1</v>
      </c>
      <c r="AP174">
        <f t="shared" si="46"/>
        <v>1.04</v>
      </c>
      <c r="AQ174">
        <f t="shared" si="47"/>
        <v>1</v>
      </c>
      <c r="AR174">
        <f t="shared" si="48"/>
        <v>1</v>
      </c>
      <c r="AS174" cm="1">
        <f t="array" ref="AS174">_xlfn.IFS(AF174&gt;'“主要目标”数据分表'!$C$2,1,AF174='“主要目标”数据分表'!$C$2,0,AF174&lt;'“主要目标”数据分表'!$C$2,-1)</f>
        <v>1</v>
      </c>
      <c r="AT174" cm="1">
        <f t="array" ref="AT174">_xlfn.IFS(AG174&gt;'“主要目标”数据分表'!$D$2,1,AG174='“主要目标”数据分表'!$D$2,0,AG174&lt;'“主要目标”数据分表'!$D$2,-1)</f>
        <v>0</v>
      </c>
      <c r="AU174" cm="1">
        <f t="array" ref="AU174">_xlfn.IFS(AH174&gt;'“主要目标”数据分表'!$E$2,1,AH174='“主要目标”数据分表'!$E$2,0,AH174&lt;'“主要目标”数据分表'!$E$2,-1)</f>
        <v>0</v>
      </c>
      <c r="AV174" cm="1">
        <f t="array" ref="AV174">_xlfn.IFS(AI174&gt;'“主要目标”数据分表'!$F$2,1,AI174='“主要目标”数据分表'!$F$2,0,AI174&lt;'“主要目标”数据分表'!$F$2,-1)</f>
        <v>0</v>
      </c>
      <c r="AW174" cm="1">
        <f t="array" ref="AW174">_xlfn.IFS(AJ174&gt;'“主要目标”数据分表'!$G$2,1,AJ174='“主要目标”数据分表'!$G$2,0,AJ174&lt;'“主要目标”数据分表'!$G$2,-1)</f>
        <v>0</v>
      </c>
    </row>
    <row r="175" spans="1:49" ht="14.4" x14ac:dyDescent="0.25">
      <c r="A175" s="2">
        <v>24</v>
      </c>
      <c r="B175" s="2" t="s">
        <v>38</v>
      </c>
      <c r="C175" s="2">
        <v>2019</v>
      </c>
      <c r="D175" s="2">
        <v>10423</v>
      </c>
      <c r="E175" s="19">
        <v>21441.749464828899</v>
      </c>
      <c r="F175" s="2">
        <v>16769.34</v>
      </c>
      <c r="G175" s="3">
        <v>0.62155099723662355</v>
      </c>
      <c r="H175" s="2">
        <f t="shared" si="60"/>
        <v>-8.3004806393562724E-2</v>
      </c>
      <c r="I175" s="16">
        <v>0.2532258094864816</v>
      </c>
      <c r="J175" s="2">
        <f t="shared" si="61"/>
        <v>3.5929117186624351E-2</v>
      </c>
      <c r="K175">
        <v>1.2786281072975383</v>
      </c>
      <c r="L175">
        <f t="shared" si="49"/>
        <v>-9.5470767196919604E-2</v>
      </c>
      <c r="M175" s="2">
        <v>0</v>
      </c>
      <c r="N175" s="2">
        <v>0</v>
      </c>
      <c r="O175" s="4">
        <v>1</v>
      </c>
      <c r="P175">
        <v>0.86926660439835268</v>
      </c>
      <c r="Q175">
        <v>0.64662756598240467</v>
      </c>
      <c r="R175">
        <v>0.65102173811851227</v>
      </c>
      <c r="S175">
        <v>1.3</v>
      </c>
      <c r="T175">
        <v>0.43999999999999989</v>
      </c>
      <c r="U175">
        <v>0.51869158878504673</v>
      </c>
      <c r="V175">
        <v>0.52272727272727271</v>
      </c>
      <c r="W175">
        <v>0.36267605633802819</v>
      </c>
      <c r="X175">
        <v>0.46069159169724616</v>
      </c>
      <c r="Y175">
        <v>0.46469968387776589</v>
      </c>
      <c r="Z175">
        <v>0.46686136052871946</v>
      </c>
      <c r="AA175">
        <v>0.37142857142857144</v>
      </c>
      <c r="AB175">
        <v>0.25581395348837205</v>
      </c>
      <c r="AC175">
        <v>0.41924589107315513</v>
      </c>
      <c r="AD175">
        <v>0.55882352941176461</v>
      </c>
      <c r="AE175">
        <v>0.42312206572769956</v>
      </c>
      <c r="AF175">
        <v>0.21600000000000003</v>
      </c>
      <c r="AG175">
        <v>0.13500000000000001</v>
      </c>
      <c r="AH175">
        <v>0.18</v>
      </c>
      <c r="AI175">
        <v>0.25</v>
      </c>
      <c r="AJ175">
        <v>0.65</v>
      </c>
      <c r="AK175">
        <v>1.08</v>
      </c>
      <c r="AL175">
        <v>1</v>
      </c>
      <c r="AM175">
        <v>1</v>
      </c>
      <c r="AN175">
        <v>1</v>
      </c>
      <c r="AO175">
        <v>1</v>
      </c>
      <c r="AP175">
        <f t="shared" si="46"/>
        <v>1.04</v>
      </c>
      <c r="AQ175">
        <f t="shared" si="47"/>
        <v>1</v>
      </c>
      <c r="AR175">
        <f t="shared" si="48"/>
        <v>1</v>
      </c>
      <c r="AS175" cm="1">
        <f t="array" ref="AS175">_xlfn.IFS(AF175&gt;'“主要目标”数据分表'!$C$2,1,AF175='“主要目标”数据分表'!$C$2,0,AF175&lt;'“主要目标”数据分表'!$C$2,-1)</f>
        <v>1</v>
      </c>
      <c r="AT175" cm="1">
        <f t="array" ref="AT175">_xlfn.IFS(AG175&gt;'“主要目标”数据分表'!$D$2,1,AG175='“主要目标”数据分表'!$D$2,0,AG175&lt;'“主要目标”数据分表'!$D$2,-1)</f>
        <v>0</v>
      </c>
      <c r="AU175" cm="1">
        <f t="array" ref="AU175">_xlfn.IFS(AH175&gt;'“主要目标”数据分表'!$E$2,1,AH175='“主要目标”数据分表'!$E$2,0,AH175&lt;'“主要目标”数据分表'!$E$2,-1)</f>
        <v>0</v>
      </c>
      <c r="AV175" cm="1">
        <f t="array" ref="AV175">_xlfn.IFS(AI175&gt;'“主要目标”数据分表'!$F$2,1,AI175='“主要目标”数据分表'!$F$2,0,AI175&lt;'“主要目标”数据分表'!$F$2,-1)</f>
        <v>0</v>
      </c>
      <c r="AW175" cm="1">
        <f t="array" ref="AW175">_xlfn.IFS(AJ175&gt;'“主要目标”数据分表'!$G$2,1,AJ175='“主要目标”数据分表'!$G$2,0,AJ175&lt;'“主要目标”数据分表'!$G$2,-1)</f>
        <v>0</v>
      </c>
    </row>
    <row r="176" spans="1:49" ht="14.4" x14ac:dyDescent="0.25">
      <c r="A176" s="2">
        <v>24</v>
      </c>
      <c r="B176" s="2" t="s">
        <v>38</v>
      </c>
      <c r="C176" s="2">
        <v>2020</v>
      </c>
      <c r="D176" s="2">
        <v>10621.44</v>
      </c>
      <c r="E176" s="19">
        <v>22089.715061995499</v>
      </c>
      <c r="F176" s="2">
        <v>17826.560000000001</v>
      </c>
      <c r="G176" s="3">
        <v>0.59582106699217341</v>
      </c>
      <c r="H176" s="2">
        <f t="shared" si="60"/>
        <v>-4.1396330082074974E-2</v>
      </c>
      <c r="I176" s="16">
        <v>0.25851904074859594</v>
      </c>
      <c r="J176" s="2">
        <f t="shared" si="61"/>
        <v>2.0903206007509743E-2</v>
      </c>
      <c r="K176">
        <v>1.2391462549137633</v>
      </c>
      <c r="L176">
        <f t="shared" si="49"/>
        <v>-3.0878292255926077E-2</v>
      </c>
      <c r="M176" s="2">
        <v>0</v>
      </c>
      <c r="N176" s="2">
        <v>0</v>
      </c>
      <c r="O176" s="4">
        <v>1</v>
      </c>
      <c r="P176">
        <v>0.86926660439835268</v>
      </c>
      <c r="Q176">
        <v>0.64662756598240467</v>
      </c>
      <c r="R176">
        <v>0.65102173811851227</v>
      </c>
      <c r="S176">
        <v>1.3</v>
      </c>
      <c r="T176">
        <v>0.43999999999999989</v>
      </c>
      <c r="U176">
        <v>0.51869158878504673</v>
      </c>
      <c r="V176">
        <v>0.52272727272727271</v>
      </c>
      <c r="W176">
        <v>0.36267605633802819</v>
      </c>
      <c r="X176">
        <v>0.46069159169724616</v>
      </c>
      <c r="Y176">
        <v>0.46469968387776589</v>
      </c>
      <c r="Z176">
        <v>0.46686136052871946</v>
      </c>
      <c r="AA176">
        <v>0.37142857142857144</v>
      </c>
      <c r="AB176">
        <v>0.25581395348837205</v>
      </c>
      <c r="AC176">
        <v>0.41924589107315513</v>
      </c>
      <c r="AD176">
        <v>0.55882352941176461</v>
      </c>
      <c r="AE176">
        <v>0.42312206572769956</v>
      </c>
      <c r="AF176">
        <v>0.21600000000000003</v>
      </c>
      <c r="AG176">
        <v>0.13500000000000001</v>
      </c>
      <c r="AH176">
        <v>0.18</v>
      </c>
      <c r="AI176">
        <v>0.25</v>
      </c>
      <c r="AJ176">
        <v>0.65</v>
      </c>
      <c r="AK176">
        <v>1.08</v>
      </c>
      <c r="AL176">
        <v>1</v>
      </c>
      <c r="AM176">
        <v>1</v>
      </c>
      <c r="AN176">
        <v>1</v>
      </c>
      <c r="AO176">
        <v>1</v>
      </c>
      <c r="AP176">
        <f t="shared" si="46"/>
        <v>1.04</v>
      </c>
      <c r="AQ176">
        <f t="shared" si="47"/>
        <v>1</v>
      </c>
      <c r="AR176">
        <f t="shared" si="48"/>
        <v>1</v>
      </c>
      <c r="AS176" cm="1">
        <f t="array" ref="AS176">_xlfn.IFS(AF176&gt;'“主要目标”数据分表'!$C$2,1,AF176='“主要目标”数据分表'!$C$2,0,AF176&lt;'“主要目标”数据分表'!$C$2,-1)</f>
        <v>1</v>
      </c>
      <c r="AT176" cm="1">
        <f t="array" ref="AT176">_xlfn.IFS(AG176&gt;'“主要目标”数据分表'!$D$2,1,AG176='“主要目标”数据分表'!$D$2,0,AG176&lt;'“主要目标”数据分表'!$D$2,-1)</f>
        <v>0</v>
      </c>
      <c r="AU176" cm="1">
        <f t="array" ref="AU176">_xlfn.IFS(AH176&gt;'“主要目标”数据分表'!$E$2,1,AH176='“主要目标”数据分表'!$E$2,0,AH176&lt;'“主要目标”数据分表'!$E$2,-1)</f>
        <v>0</v>
      </c>
      <c r="AV176" cm="1">
        <f t="array" ref="AV176">_xlfn.IFS(AI176&gt;'“主要目标”数据分表'!$F$2,1,AI176='“主要目标”数据分表'!$F$2,0,AI176&lt;'“主要目标”数据分表'!$F$2,-1)</f>
        <v>0</v>
      </c>
      <c r="AW176" cm="1">
        <f t="array" ref="AW176">_xlfn.IFS(AJ176&gt;'“主要目标”数据分表'!$G$2,1,AJ176='“主要目标”数据分表'!$G$2,0,AJ176&lt;'“主要目标”数据分表'!$G$2,-1)</f>
        <v>0</v>
      </c>
    </row>
    <row r="177" spans="1:49" ht="14.4" x14ac:dyDescent="0.25">
      <c r="A177" s="2">
        <v>24</v>
      </c>
      <c r="B177" s="2" t="s">
        <v>38</v>
      </c>
      <c r="C177" s="2">
        <v>2021</v>
      </c>
      <c r="D177" s="2">
        <v>11263.82</v>
      </c>
      <c r="E177" s="19">
        <v>22678.489170089502</v>
      </c>
      <c r="F177" s="2">
        <v>19586.422399999999</v>
      </c>
      <c r="G177" s="3">
        <v>0.57508307387468571</v>
      </c>
      <c r="H177" s="2">
        <f t="shared" si="60"/>
        <v>-3.4805739955079677E-2</v>
      </c>
      <c r="I177" s="16">
        <v>0.27889246121149786</v>
      </c>
      <c r="J177" s="2">
        <f t="shared" si="61"/>
        <v>7.8808200757307531E-2</v>
      </c>
      <c r="K177">
        <v>1.1578678692280986</v>
      </c>
      <c r="L177">
        <f t="shared" si="49"/>
        <v>-6.5592245760627471E-2</v>
      </c>
      <c r="M177" s="2">
        <v>0</v>
      </c>
      <c r="N177" s="2">
        <v>0</v>
      </c>
      <c r="O177" s="4">
        <v>1</v>
      </c>
      <c r="P177">
        <v>0.86926660439835268</v>
      </c>
      <c r="Q177">
        <v>0.64662756598240467</v>
      </c>
      <c r="R177">
        <v>0.65102173811851227</v>
      </c>
      <c r="S177">
        <v>1.3</v>
      </c>
      <c r="T177">
        <v>0.43999999999999989</v>
      </c>
      <c r="U177">
        <v>0.51869158878504673</v>
      </c>
      <c r="V177">
        <v>0.52272727272727271</v>
      </c>
      <c r="W177">
        <v>0.36267605633802819</v>
      </c>
      <c r="X177">
        <v>0.46069159169724616</v>
      </c>
      <c r="Y177">
        <v>0.46469968387776589</v>
      </c>
      <c r="Z177">
        <v>0.46686136052871946</v>
      </c>
      <c r="AA177">
        <v>0.37142857142857144</v>
      </c>
      <c r="AB177">
        <v>0.25581395348837205</v>
      </c>
      <c r="AC177">
        <v>0.41924589107315513</v>
      </c>
      <c r="AD177">
        <v>0.55882352941176461</v>
      </c>
      <c r="AE177">
        <v>0.42312206572769956</v>
      </c>
      <c r="AF177">
        <v>0.21600000000000003</v>
      </c>
      <c r="AG177">
        <v>0.13500000000000001</v>
      </c>
      <c r="AH177">
        <v>0.18</v>
      </c>
      <c r="AI177">
        <v>0.25</v>
      </c>
      <c r="AJ177">
        <v>0.65</v>
      </c>
      <c r="AK177">
        <v>1.08</v>
      </c>
      <c r="AL177">
        <v>1</v>
      </c>
      <c r="AM177">
        <v>1</v>
      </c>
      <c r="AN177">
        <v>1</v>
      </c>
      <c r="AO177">
        <v>1</v>
      </c>
      <c r="AP177">
        <f t="shared" si="46"/>
        <v>1.04</v>
      </c>
      <c r="AQ177">
        <f t="shared" si="47"/>
        <v>1</v>
      </c>
      <c r="AR177">
        <f t="shared" si="48"/>
        <v>1</v>
      </c>
      <c r="AS177" cm="1">
        <f t="array" ref="AS177">_xlfn.IFS(AF177&gt;'“主要目标”数据分表'!$C$2,1,AF177='“主要目标”数据分表'!$C$2,0,AF177&lt;'“主要目标”数据分表'!$C$2,-1)</f>
        <v>1</v>
      </c>
      <c r="AT177" cm="1">
        <f t="array" ref="AT177">_xlfn.IFS(AG177&gt;'“主要目标”数据分表'!$D$2,1,AG177='“主要目标”数据分表'!$D$2,0,AG177&lt;'“主要目标”数据分表'!$D$2,-1)</f>
        <v>0</v>
      </c>
      <c r="AU177" cm="1">
        <f t="array" ref="AU177">_xlfn.IFS(AH177&gt;'“主要目标”数据分表'!$E$2,1,AH177='“主要目标”数据分表'!$E$2,0,AH177&lt;'“主要目标”数据分表'!$E$2,-1)</f>
        <v>0</v>
      </c>
      <c r="AV177" cm="1">
        <f t="array" ref="AV177">_xlfn.IFS(AI177&gt;'“主要目标”数据分表'!$F$2,1,AI177='“主要目标”数据分表'!$F$2,0,AI177&lt;'“主要目标”数据分表'!$F$2,-1)</f>
        <v>0</v>
      </c>
      <c r="AW177" cm="1">
        <f t="array" ref="AW177">_xlfn.IFS(AJ177&gt;'“主要目标”数据分表'!$G$2,1,AJ177='“主要目标”数据分表'!$G$2,0,AJ177&lt;'“主要目标”数据分表'!$G$2,-1)</f>
        <v>0</v>
      </c>
    </row>
    <row r="178" spans="1:49" ht="14.4" x14ac:dyDescent="0.25">
      <c r="A178" s="2">
        <v>24</v>
      </c>
      <c r="B178" s="2" t="s">
        <v>38</v>
      </c>
      <c r="C178" s="2">
        <v>2022</v>
      </c>
      <c r="D178" s="2">
        <v>10980.64</v>
      </c>
      <c r="E178" s="19">
        <v>22558.808731232999</v>
      </c>
      <c r="F178" s="2">
        <v>20164.599999999999</v>
      </c>
      <c r="G178" s="3">
        <v>0.54455035061444312</v>
      </c>
      <c r="H178" s="2">
        <f t="shared" si="60"/>
        <v>-5.3092717639079509E-2</v>
      </c>
      <c r="I178" s="16">
        <v>0.29392817999617427</v>
      </c>
      <c r="J178" s="2">
        <f t="shared" si="61"/>
        <v>5.3912245312626381E-2</v>
      </c>
      <c r="K178">
        <v>1.118733261816897</v>
      </c>
      <c r="L178">
        <f t="shared" si="49"/>
        <v>-3.379885430044012E-2</v>
      </c>
      <c r="M178" s="2">
        <v>1</v>
      </c>
      <c r="N178" s="2">
        <v>0</v>
      </c>
      <c r="O178" s="4">
        <v>1</v>
      </c>
      <c r="P178">
        <v>0.86926660439835268</v>
      </c>
      <c r="Q178">
        <v>0.64662756598240467</v>
      </c>
      <c r="R178">
        <v>0.65102173811851227</v>
      </c>
      <c r="S178">
        <v>1.3</v>
      </c>
      <c r="T178">
        <v>0.43999999999999989</v>
      </c>
      <c r="U178">
        <v>0.51869158878504673</v>
      </c>
      <c r="V178">
        <v>0.52272727272727271</v>
      </c>
      <c r="W178">
        <v>0.36267605633802819</v>
      </c>
      <c r="X178">
        <v>0.46069159169724616</v>
      </c>
      <c r="Y178">
        <v>0.46469968387776589</v>
      </c>
      <c r="Z178">
        <v>0.46686136052871946</v>
      </c>
      <c r="AA178">
        <v>0.37142857142857144</v>
      </c>
      <c r="AB178">
        <v>0.25581395348837205</v>
      </c>
      <c r="AC178">
        <v>0.41924589107315513</v>
      </c>
      <c r="AD178">
        <v>0.55882352941176461</v>
      </c>
      <c r="AE178">
        <v>0.42312206572769956</v>
      </c>
      <c r="AF178">
        <v>0.21600000000000003</v>
      </c>
      <c r="AG178">
        <v>0.13500000000000001</v>
      </c>
      <c r="AH178">
        <v>0.18</v>
      </c>
      <c r="AI178">
        <v>0.25</v>
      </c>
      <c r="AJ178">
        <v>0.65</v>
      </c>
      <c r="AK178">
        <v>1.08</v>
      </c>
      <c r="AL178">
        <v>1</v>
      </c>
      <c r="AM178">
        <v>1</v>
      </c>
      <c r="AN178">
        <v>1</v>
      </c>
      <c r="AO178">
        <v>1</v>
      </c>
      <c r="AP178">
        <f t="shared" si="46"/>
        <v>1.04</v>
      </c>
      <c r="AQ178">
        <f t="shared" si="47"/>
        <v>1</v>
      </c>
      <c r="AR178">
        <f t="shared" si="48"/>
        <v>1</v>
      </c>
      <c r="AS178" cm="1">
        <f t="array" ref="AS178">_xlfn.IFS(AF178&gt;'“主要目标”数据分表'!$C$2,1,AF178='“主要目标”数据分表'!$C$2,0,AF178&lt;'“主要目标”数据分表'!$C$2,-1)</f>
        <v>1</v>
      </c>
      <c r="AT178" cm="1">
        <f t="array" ref="AT178">_xlfn.IFS(AG178&gt;'“主要目标”数据分表'!$D$2,1,AG178='“主要目标”数据分表'!$D$2,0,AG178&lt;'“主要目标”数据分表'!$D$2,-1)</f>
        <v>0</v>
      </c>
      <c r="AU178" cm="1">
        <f t="array" ref="AU178">_xlfn.IFS(AH178&gt;'“主要目标”数据分表'!$E$2,1,AH178='“主要目标”数据分表'!$E$2,0,AH178&lt;'“主要目标”数据分表'!$E$2,-1)</f>
        <v>0</v>
      </c>
      <c r="AV178" cm="1">
        <f t="array" ref="AV178">_xlfn.IFS(AI178&gt;'“主要目标”数据分表'!$F$2,1,AI178='“主要目标”数据分表'!$F$2,0,AI178&lt;'“主要目标”数据分表'!$F$2,-1)</f>
        <v>0</v>
      </c>
      <c r="AW178" cm="1">
        <f t="array" ref="AW178">_xlfn.IFS(AJ178&gt;'“主要目标”数据分表'!$G$2,1,AJ178='“主要目标”数据分表'!$G$2,0,AJ178&lt;'“主要目标”数据分表'!$G$2,-1)</f>
        <v>0</v>
      </c>
    </row>
    <row r="179" spans="1:49" ht="14.4" x14ac:dyDescent="0.25">
      <c r="A179" s="2">
        <v>25</v>
      </c>
      <c r="B179" s="2" t="s">
        <v>39</v>
      </c>
      <c r="C179" s="2">
        <v>2016</v>
      </c>
      <c r="D179" s="2">
        <v>10726</v>
      </c>
      <c r="E179" s="19">
        <v>21064.24176189</v>
      </c>
      <c r="F179" s="2">
        <v>14788.42</v>
      </c>
      <c r="G179" s="3">
        <v>0.72529722580235079</v>
      </c>
      <c r="H179" s="2"/>
      <c r="I179" s="16">
        <v>0.23463349641010409</v>
      </c>
      <c r="K179">
        <v>1.4243740549625992</v>
      </c>
      <c r="L179"/>
      <c r="M179" s="2">
        <v>0</v>
      </c>
      <c r="N179" s="2">
        <v>0</v>
      </c>
      <c r="O179" s="4">
        <v>1</v>
      </c>
      <c r="P179">
        <v>0.79679411361294405</v>
      </c>
      <c r="Q179">
        <v>0.91055718475073311</v>
      </c>
      <c r="R179">
        <v>0.65092631382953958</v>
      </c>
      <c r="S179">
        <v>1.2</v>
      </c>
      <c r="T179">
        <v>1.253333333333333</v>
      </c>
      <c r="U179">
        <v>0.65241635687732347</v>
      </c>
      <c r="V179">
        <v>0.48314606741573041</v>
      </c>
      <c r="W179">
        <v>-0.1818181818181818</v>
      </c>
      <c r="X179">
        <v>0.16172418000014679</v>
      </c>
      <c r="Y179">
        <v>0.6543730242360376</v>
      </c>
      <c r="Z179">
        <v>0.46679292976708925</v>
      </c>
      <c r="AA179">
        <v>0.34285714285714286</v>
      </c>
      <c r="AB179">
        <v>0.72868217054263551</v>
      </c>
      <c r="AC179">
        <v>0.52733239328291259</v>
      </c>
      <c r="AD179">
        <v>0.51650909508893939</v>
      </c>
      <c r="AE179">
        <v>-0.2121212121212121</v>
      </c>
      <c r="AF179">
        <v>0.2</v>
      </c>
      <c r="AG179">
        <v>0.13500000000000001</v>
      </c>
      <c r="AH179">
        <v>0.18</v>
      </c>
      <c r="AI179">
        <v>0.25</v>
      </c>
      <c r="AJ179">
        <v>0.65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f t="shared" si="46"/>
        <v>1</v>
      </c>
      <c r="AQ179">
        <f t="shared" si="47"/>
        <v>1</v>
      </c>
      <c r="AR179">
        <f t="shared" si="48"/>
        <v>1</v>
      </c>
      <c r="AS179" cm="1">
        <f t="array" ref="AS179">_xlfn.IFS(AF179&gt;'“主要目标”数据分表'!$C$2,1,AF179='“主要目标”数据分表'!$C$2,0,AF179&lt;'“主要目标”数据分表'!$C$2,-1)</f>
        <v>0</v>
      </c>
      <c r="AT179" cm="1">
        <f t="array" ref="AT179">_xlfn.IFS(AG179&gt;'“主要目标”数据分表'!$D$2,1,AG179='“主要目标”数据分表'!$D$2,0,AG179&lt;'“主要目标”数据分表'!$D$2,-1)</f>
        <v>0</v>
      </c>
      <c r="AU179" cm="1">
        <f t="array" ref="AU179">_xlfn.IFS(AH179&gt;'“主要目标”数据分表'!$E$2,1,AH179='“主要目标”数据分表'!$E$2,0,AH179&lt;'“主要目标”数据分表'!$E$2,-1)</f>
        <v>0</v>
      </c>
      <c r="AV179" cm="1">
        <f t="array" ref="AV179">_xlfn.IFS(AI179&gt;'“主要目标”数据分表'!$F$2,1,AI179='“主要目标”数据分表'!$F$2,0,AI179&lt;'“主要目标”数据分表'!$F$2,-1)</f>
        <v>0</v>
      </c>
      <c r="AW179" cm="1">
        <f t="array" ref="AW179">_xlfn.IFS(AJ179&gt;'“主要目标”数据分表'!$G$2,1,AJ179='“主要目标”数据分表'!$G$2,0,AJ179&lt;'“主要目标”数据分表'!$G$2,-1)</f>
        <v>0</v>
      </c>
    </row>
    <row r="180" spans="1:49" ht="14.4" x14ac:dyDescent="0.25">
      <c r="A180" s="2">
        <v>25</v>
      </c>
      <c r="B180" s="2" t="s">
        <v>39</v>
      </c>
      <c r="C180" s="2">
        <v>2017</v>
      </c>
      <c r="D180" s="2">
        <v>11164</v>
      </c>
      <c r="E180" s="19">
        <v>21254.229907716799</v>
      </c>
      <c r="F180" s="2">
        <v>16376.34</v>
      </c>
      <c r="G180" s="3">
        <v>0.68171520620602655</v>
      </c>
      <c r="H180" s="2">
        <f>(G180-G179)/G179</f>
        <v>-6.0088496199764432E-2</v>
      </c>
      <c r="I180" s="16">
        <v>0.25204692800866818</v>
      </c>
      <c r="J180" s="2">
        <f>(I180-I179)/I179</f>
        <v>7.4215454591905469E-2</v>
      </c>
      <c r="K180">
        <v>1.2978620319141394</v>
      </c>
      <c r="L180">
        <f t="shared" si="49"/>
        <v>-8.8819381824377361E-2</v>
      </c>
      <c r="M180" s="2">
        <v>0</v>
      </c>
      <c r="N180" s="2">
        <v>0</v>
      </c>
      <c r="O180" s="4">
        <v>1</v>
      </c>
      <c r="P180">
        <v>0.79679411361294405</v>
      </c>
      <c r="Q180">
        <v>0.91055718475073311</v>
      </c>
      <c r="R180">
        <v>0.65092631382953958</v>
      </c>
      <c r="S180">
        <v>1.2</v>
      </c>
      <c r="T180">
        <v>1.253333333333333</v>
      </c>
      <c r="U180">
        <v>0.65241635687732347</v>
      </c>
      <c r="V180">
        <v>0.48314606741573041</v>
      </c>
      <c r="W180">
        <v>-0.1818181818181818</v>
      </c>
      <c r="X180">
        <v>0.16172418000014679</v>
      </c>
      <c r="Y180">
        <v>0.6543730242360376</v>
      </c>
      <c r="Z180">
        <v>0.46679292976708925</v>
      </c>
      <c r="AA180">
        <v>0.34285714285714286</v>
      </c>
      <c r="AB180">
        <v>0.72868217054263551</v>
      </c>
      <c r="AC180">
        <v>0.52733239328291259</v>
      </c>
      <c r="AD180">
        <v>0.51650909508893939</v>
      </c>
      <c r="AE180">
        <v>-0.2121212121212121</v>
      </c>
      <c r="AF180">
        <v>0.2</v>
      </c>
      <c r="AG180">
        <v>0.13500000000000001</v>
      </c>
      <c r="AH180">
        <v>0.18</v>
      </c>
      <c r="AI180">
        <v>0.25</v>
      </c>
      <c r="AJ180">
        <v>0.65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f t="shared" si="46"/>
        <v>1</v>
      </c>
      <c r="AQ180">
        <f t="shared" si="47"/>
        <v>1</v>
      </c>
      <c r="AR180">
        <f t="shared" si="48"/>
        <v>1</v>
      </c>
      <c r="AS180" cm="1">
        <f t="array" ref="AS180">_xlfn.IFS(AF180&gt;'“主要目标”数据分表'!$C$2,1,AF180='“主要目标”数据分表'!$C$2,0,AF180&lt;'“主要目标”数据分表'!$C$2,-1)</f>
        <v>0</v>
      </c>
      <c r="AT180" cm="1">
        <f t="array" ref="AT180">_xlfn.IFS(AG180&gt;'“主要目标”数据分表'!$D$2,1,AG180='“主要目标”数据分表'!$D$2,0,AG180&lt;'“主要目标”数据分表'!$D$2,-1)</f>
        <v>0</v>
      </c>
      <c r="AU180" cm="1">
        <f t="array" ref="AU180">_xlfn.IFS(AH180&gt;'“主要目标”数据分表'!$E$2,1,AH180='“主要目标”数据分表'!$E$2,0,AH180&lt;'“主要目标”数据分表'!$E$2,-1)</f>
        <v>0</v>
      </c>
      <c r="AV180" cm="1">
        <f t="array" ref="AV180">_xlfn.IFS(AI180&gt;'“主要目标”数据分表'!$F$2,1,AI180='“主要目标”数据分表'!$F$2,0,AI180&lt;'“主要目标”数据分表'!$F$2,-1)</f>
        <v>0</v>
      </c>
      <c r="AW180" cm="1">
        <f t="array" ref="AW180">_xlfn.IFS(AJ180&gt;'“主要目标”数据分表'!$G$2,1,AJ180='“主要目标”数据分表'!$G$2,0,AJ180&lt;'“主要目标”数据分表'!$G$2,-1)</f>
        <v>0</v>
      </c>
    </row>
    <row r="181" spans="1:49" ht="14.4" x14ac:dyDescent="0.25">
      <c r="A181" s="2">
        <v>25</v>
      </c>
      <c r="B181" s="2" t="s">
        <v>39</v>
      </c>
      <c r="C181" s="2">
        <v>2018</v>
      </c>
      <c r="D181" s="2">
        <v>11590</v>
      </c>
      <c r="E181" s="19">
        <v>21735.823252208902</v>
      </c>
      <c r="F181" s="2">
        <v>17881.12</v>
      </c>
      <c r="G181" s="3">
        <v>0.64816968959438781</v>
      </c>
      <c r="H181" s="2">
        <f t="shared" ref="H181:H185" si="62">(G181-G180)/G180</f>
        <v>-4.920752288676495E-2</v>
      </c>
      <c r="I181" s="16">
        <v>0.25729242118056034</v>
      </c>
      <c r="J181" s="2">
        <f t="shared" ref="J181:J185" si="63">(I181-I180)/I180</f>
        <v>2.0811573516626072E-2</v>
      </c>
      <c r="K181">
        <v>1.2155739267008387</v>
      </c>
      <c r="L181">
        <f t="shared" si="49"/>
        <v>-6.34028141588662E-2</v>
      </c>
      <c r="M181" s="2">
        <v>0</v>
      </c>
      <c r="N181" s="2">
        <v>0</v>
      </c>
      <c r="O181" s="4">
        <v>1</v>
      </c>
      <c r="P181">
        <v>0.79679411361294405</v>
      </c>
      <c r="Q181">
        <v>0.91055718475073311</v>
      </c>
      <c r="R181">
        <v>0.65092631382953958</v>
      </c>
      <c r="S181">
        <v>1.2</v>
      </c>
      <c r="T181">
        <v>1.253333333333333</v>
      </c>
      <c r="U181">
        <v>0.65241635687732347</v>
      </c>
      <c r="V181">
        <v>0.48314606741573041</v>
      </c>
      <c r="W181">
        <v>-0.1818181818181818</v>
      </c>
      <c r="X181">
        <v>0.16172418000014679</v>
      </c>
      <c r="Y181">
        <v>0.6543730242360376</v>
      </c>
      <c r="Z181">
        <v>0.46679292976708925</v>
      </c>
      <c r="AA181">
        <v>0.34285714285714286</v>
      </c>
      <c r="AB181">
        <v>0.72868217054263551</v>
      </c>
      <c r="AC181">
        <v>0.52733239328291259</v>
      </c>
      <c r="AD181">
        <v>0.51650909508893939</v>
      </c>
      <c r="AE181">
        <v>-0.2121212121212121</v>
      </c>
      <c r="AF181">
        <v>0.2</v>
      </c>
      <c r="AG181">
        <v>0.13500000000000001</v>
      </c>
      <c r="AH181">
        <v>0.18</v>
      </c>
      <c r="AI181">
        <v>0.25</v>
      </c>
      <c r="AJ181">
        <v>0.65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f t="shared" si="46"/>
        <v>1</v>
      </c>
      <c r="AQ181">
        <f t="shared" si="47"/>
        <v>1</v>
      </c>
      <c r="AR181">
        <f t="shared" si="48"/>
        <v>1</v>
      </c>
      <c r="AS181" cm="1">
        <f t="array" ref="AS181">_xlfn.IFS(AF181&gt;'“主要目标”数据分表'!$C$2,1,AF181='“主要目标”数据分表'!$C$2,0,AF181&lt;'“主要目标”数据分表'!$C$2,-1)</f>
        <v>0</v>
      </c>
      <c r="AT181" cm="1">
        <f t="array" ref="AT181">_xlfn.IFS(AG181&gt;'“主要目标”数据分表'!$D$2,1,AG181='“主要目标”数据分表'!$D$2,0,AG181&lt;'“主要目标”数据分表'!$D$2,-1)</f>
        <v>0</v>
      </c>
      <c r="AU181" cm="1">
        <f t="array" ref="AU181">_xlfn.IFS(AH181&gt;'“主要目标”数据分表'!$E$2,1,AH181='“主要目标”数据分表'!$E$2,0,AH181&lt;'“主要目标”数据分表'!$E$2,-1)</f>
        <v>0</v>
      </c>
      <c r="AV181" cm="1">
        <f t="array" ref="AV181">_xlfn.IFS(AI181&gt;'“主要目标”数据分表'!$F$2,1,AI181='“主要目标”数据分表'!$F$2,0,AI181&lt;'“主要目标”数据分表'!$F$2,-1)</f>
        <v>0</v>
      </c>
      <c r="AW181" cm="1">
        <f t="array" ref="AW181">_xlfn.IFS(AJ181&gt;'“主要目标”数据分表'!$G$2,1,AJ181='“主要目标”数据分表'!$G$2,0,AJ181&lt;'“主要目标”数据分表'!$G$2,-1)</f>
        <v>0</v>
      </c>
    </row>
    <row r="182" spans="1:49" ht="14.4" x14ac:dyDescent="0.25">
      <c r="A182" s="2">
        <v>25</v>
      </c>
      <c r="B182" s="2" t="s">
        <v>39</v>
      </c>
      <c r="C182" s="2">
        <v>2019</v>
      </c>
      <c r="D182" s="2">
        <v>12158</v>
      </c>
      <c r="E182" s="19">
        <v>21682.987867349202</v>
      </c>
      <c r="F182" s="2">
        <v>23223.75</v>
      </c>
      <c r="G182" s="3">
        <v>0.52351579740567311</v>
      </c>
      <c r="H182" s="2">
        <f t="shared" si="62"/>
        <v>-0.19231675622894481</v>
      </c>
      <c r="I182" s="16">
        <v>0.2628292038525521</v>
      </c>
      <c r="J182" s="2">
        <f t="shared" si="63"/>
        <v>2.1519416104783765E-2</v>
      </c>
      <c r="K182">
        <v>0.93365575616983487</v>
      </c>
      <c r="L182">
        <f t="shared" si="49"/>
        <v>-0.23192186368800416</v>
      </c>
      <c r="M182" s="2">
        <v>0</v>
      </c>
      <c r="N182" s="2">
        <v>0</v>
      </c>
      <c r="O182" s="4">
        <v>1</v>
      </c>
      <c r="P182">
        <v>0.79679411361294405</v>
      </c>
      <c r="Q182">
        <v>0.91055718475073311</v>
      </c>
      <c r="R182">
        <v>0.65092631382953958</v>
      </c>
      <c r="S182">
        <v>1.2</v>
      </c>
      <c r="T182">
        <v>1.253333333333333</v>
      </c>
      <c r="U182">
        <v>0.65241635687732347</v>
      </c>
      <c r="V182">
        <v>0.48314606741573041</v>
      </c>
      <c r="W182">
        <v>-0.1818181818181818</v>
      </c>
      <c r="X182">
        <v>0.16172418000014679</v>
      </c>
      <c r="Y182">
        <v>0.6543730242360376</v>
      </c>
      <c r="Z182">
        <v>0.46679292976708925</v>
      </c>
      <c r="AA182">
        <v>0.34285714285714286</v>
      </c>
      <c r="AB182">
        <v>0.72868217054263551</v>
      </c>
      <c r="AC182">
        <v>0.52733239328291259</v>
      </c>
      <c r="AD182">
        <v>0.51650909508893939</v>
      </c>
      <c r="AE182">
        <v>-0.2121212121212121</v>
      </c>
      <c r="AF182">
        <v>0.2</v>
      </c>
      <c r="AG182">
        <v>0.13500000000000001</v>
      </c>
      <c r="AH182">
        <v>0.18</v>
      </c>
      <c r="AI182">
        <v>0.25</v>
      </c>
      <c r="AJ182">
        <v>0.65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f t="shared" si="46"/>
        <v>1</v>
      </c>
      <c r="AQ182">
        <f t="shared" si="47"/>
        <v>1</v>
      </c>
      <c r="AR182">
        <f t="shared" si="48"/>
        <v>1</v>
      </c>
      <c r="AS182" cm="1">
        <f t="array" ref="AS182">_xlfn.IFS(AF182&gt;'“主要目标”数据分表'!$C$2,1,AF182='“主要目标”数据分表'!$C$2,0,AF182&lt;'“主要目标”数据分表'!$C$2,-1)</f>
        <v>0</v>
      </c>
      <c r="AT182" cm="1">
        <f t="array" ref="AT182">_xlfn.IFS(AG182&gt;'“主要目标”数据分表'!$D$2,1,AG182='“主要目标”数据分表'!$D$2,0,AG182&lt;'“主要目标”数据分表'!$D$2,-1)</f>
        <v>0</v>
      </c>
      <c r="AU182" cm="1">
        <f t="array" ref="AU182">_xlfn.IFS(AH182&gt;'“主要目标”数据分表'!$E$2,1,AH182='“主要目标”数据分表'!$E$2,0,AH182&lt;'“主要目标”数据分表'!$E$2,-1)</f>
        <v>0</v>
      </c>
      <c r="AV182" cm="1">
        <f t="array" ref="AV182">_xlfn.IFS(AI182&gt;'“主要目标”数据分表'!$F$2,1,AI182='“主要目标”数据分表'!$F$2,0,AI182&lt;'“主要目标”数据分表'!$F$2,-1)</f>
        <v>0</v>
      </c>
      <c r="AW182" cm="1">
        <f t="array" ref="AW182">_xlfn.IFS(AJ182&gt;'“主要目标”数据分表'!$G$2,1,AJ182='“主要目标”数据分表'!$G$2,0,AJ182&lt;'“主要目标”数据分表'!$G$2,-1)</f>
        <v>0</v>
      </c>
    </row>
    <row r="183" spans="1:49" ht="14.4" x14ac:dyDescent="0.25">
      <c r="A183" s="2">
        <v>25</v>
      </c>
      <c r="B183" s="2" t="s">
        <v>39</v>
      </c>
      <c r="C183" s="2">
        <v>2020</v>
      </c>
      <c r="D183" s="2">
        <v>12981.94</v>
      </c>
      <c r="E183" s="19">
        <v>21573.5429403614</v>
      </c>
      <c r="F183" s="2">
        <v>24521.9</v>
      </c>
      <c r="G183" s="3">
        <v>0.52940188158340096</v>
      </c>
      <c r="H183" s="2">
        <f t="shared" si="62"/>
        <v>1.1243374520686548E-2</v>
      </c>
      <c r="I183" s="16">
        <v>0.28573227949482205</v>
      </c>
      <c r="J183" s="2">
        <f t="shared" si="63"/>
        <v>8.7140528170220541E-2</v>
      </c>
      <c r="K183">
        <v>0.87976636966798649</v>
      </c>
      <c r="L183">
        <f t="shared" si="49"/>
        <v>-5.7718689298206109E-2</v>
      </c>
      <c r="M183" s="2">
        <v>0</v>
      </c>
      <c r="N183" s="2">
        <v>0</v>
      </c>
      <c r="O183" s="4">
        <v>1</v>
      </c>
      <c r="P183">
        <v>0.79679411361294405</v>
      </c>
      <c r="Q183">
        <v>0.91055718475073311</v>
      </c>
      <c r="R183">
        <v>0.65092631382953958</v>
      </c>
      <c r="S183">
        <v>1.2</v>
      </c>
      <c r="T183">
        <v>1.253333333333333</v>
      </c>
      <c r="U183">
        <v>0.65241635687732347</v>
      </c>
      <c r="V183">
        <v>0.48314606741573041</v>
      </c>
      <c r="W183">
        <v>-0.1818181818181818</v>
      </c>
      <c r="X183">
        <v>0.16172418000014679</v>
      </c>
      <c r="Y183">
        <v>0.6543730242360376</v>
      </c>
      <c r="Z183">
        <v>0.46679292976708925</v>
      </c>
      <c r="AA183">
        <v>0.34285714285714286</v>
      </c>
      <c r="AB183">
        <v>0.72868217054263551</v>
      </c>
      <c r="AC183">
        <v>0.52733239328291259</v>
      </c>
      <c r="AD183">
        <v>0.51650909508893939</v>
      </c>
      <c r="AE183">
        <v>-0.2121212121212121</v>
      </c>
      <c r="AF183">
        <v>0.2</v>
      </c>
      <c r="AG183">
        <v>0.13500000000000001</v>
      </c>
      <c r="AH183">
        <v>0.18</v>
      </c>
      <c r="AI183">
        <v>0.25</v>
      </c>
      <c r="AJ183">
        <v>0.65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f t="shared" si="46"/>
        <v>1</v>
      </c>
      <c r="AQ183">
        <f t="shared" si="47"/>
        <v>1</v>
      </c>
      <c r="AR183">
        <f t="shared" si="48"/>
        <v>1</v>
      </c>
      <c r="AS183" cm="1">
        <f t="array" ref="AS183">_xlfn.IFS(AF183&gt;'“主要目标”数据分表'!$C$2,1,AF183='“主要目标”数据分表'!$C$2,0,AF183&lt;'“主要目标”数据分表'!$C$2,-1)</f>
        <v>0</v>
      </c>
      <c r="AT183" cm="1">
        <f t="array" ref="AT183">_xlfn.IFS(AG183&gt;'“主要目标”数据分表'!$D$2,1,AG183='“主要目标”数据分表'!$D$2,0,AG183&lt;'“主要目标”数据分表'!$D$2,-1)</f>
        <v>0</v>
      </c>
      <c r="AU183" cm="1">
        <f t="array" ref="AU183">_xlfn.IFS(AH183&gt;'“主要目标”数据分表'!$E$2,1,AH183='“主要目标”数据分表'!$E$2,0,AH183&lt;'“主要目标”数据分表'!$E$2,-1)</f>
        <v>0</v>
      </c>
      <c r="AV183" cm="1">
        <f t="array" ref="AV183">_xlfn.IFS(AI183&gt;'“主要目标”数据分表'!$F$2,1,AI183='“主要目标”数据分表'!$F$2,0,AI183&lt;'“主要目标”数据分表'!$F$2,-1)</f>
        <v>0</v>
      </c>
      <c r="AW183" cm="1">
        <f t="array" ref="AW183">_xlfn.IFS(AJ183&gt;'“主要目标”数据分表'!$G$2,1,AJ183='“主要目标”数据分表'!$G$2,0,AJ183&lt;'“主要目标”数据分表'!$G$2,-1)</f>
        <v>0</v>
      </c>
    </row>
    <row r="184" spans="1:49" ht="14.4" x14ac:dyDescent="0.25">
      <c r="A184" s="2">
        <v>25</v>
      </c>
      <c r="B184" s="2" t="s">
        <v>39</v>
      </c>
      <c r="C184" s="2">
        <v>2021</v>
      </c>
      <c r="D184" s="2">
        <v>13426.35</v>
      </c>
      <c r="E184" s="19">
        <v>21919.074580466</v>
      </c>
      <c r="F184" s="2">
        <v>27146.7644</v>
      </c>
      <c r="G184" s="3">
        <v>0.4945838038805096</v>
      </c>
      <c r="H184" s="2">
        <f t="shared" si="62"/>
        <v>-6.5768707883608432E-2</v>
      </c>
      <c r="I184" s="16">
        <v>0.30791658159433372</v>
      </c>
      <c r="J184" s="2">
        <f t="shared" si="63"/>
        <v>7.7640167707805949E-2</v>
      </c>
      <c r="K184">
        <v>0.80742862233946378</v>
      </c>
      <c r="L184">
        <f t="shared" si="49"/>
        <v>-8.2223815120168936E-2</v>
      </c>
      <c r="M184" s="2">
        <v>0</v>
      </c>
      <c r="N184" s="2">
        <v>0</v>
      </c>
      <c r="O184" s="4">
        <v>1</v>
      </c>
      <c r="P184">
        <v>0.79679411361294405</v>
      </c>
      <c r="Q184">
        <v>0.91055718475073311</v>
      </c>
      <c r="R184">
        <v>0.65092631382953958</v>
      </c>
      <c r="S184">
        <v>1.2</v>
      </c>
      <c r="T184">
        <v>1.253333333333333</v>
      </c>
      <c r="U184">
        <v>0.65241635687732347</v>
      </c>
      <c r="V184">
        <v>0.48314606741573041</v>
      </c>
      <c r="W184">
        <v>-0.1818181818181818</v>
      </c>
      <c r="X184">
        <v>0.16172418000014679</v>
      </c>
      <c r="Y184">
        <v>0.6543730242360376</v>
      </c>
      <c r="Z184">
        <v>0.46679292976708925</v>
      </c>
      <c r="AA184">
        <v>0.34285714285714286</v>
      </c>
      <c r="AB184">
        <v>0.72868217054263551</v>
      </c>
      <c r="AC184">
        <v>0.52733239328291259</v>
      </c>
      <c r="AD184">
        <v>0.51650909508893939</v>
      </c>
      <c r="AE184">
        <v>-0.2121212121212121</v>
      </c>
      <c r="AF184">
        <v>0.2</v>
      </c>
      <c r="AG184">
        <v>0.13500000000000001</v>
      </c>
      <c r="AH184">
        <v>0.18</v>
      </c>
      <c r="AI184">
        <v>0.25</v>
      </c>
      <c r="AJ184">
        <v>0.65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f t="shared" si="46"/>
        <v>1</v>
      </c>
      <c r="AQ184">
        <f t="shared" si="47"/>
        <v>1</v>
      </c>
      <c r="AR184">
        <f t="shared" si="48"/>
        <v>1</v>
      </c>
      <c r="AS184" cm="1">
        <f t="array" ref="AS184">_xlfn.IFS(AF184&gt;'“主要目标”数据分表'!$C$2,1,AF184='“主要目标”数据分表'!$C$2,0,AF184&lt;'“主要目标”数据分表'!$C$2,-1)</f>
        <v>0</v>
      </c>
      <c r="AT184" cm="1">
        <f t="array" ref="AT184">_xlfn.IFS(AG184&gt;'“主要目标”数据分表'!$D$2,1,AG184='“主要目标”数据分表'!$D$2,0,AG184&lt;'“主要目标”数据分表'!$D$2,-1)</f>
        <v>0</v>
      </c>
      <c r="AU184" cm="1">
        <f t="array" ref="AU184">_xlfn.IFS(AH184&gt;'“主要目标”数据分表'!$E$2,1,AH184='“主要目标”数据分表'!$E$2,0,AH184&lt;'“主要目标”数据分表'!$E$2,-1)</f>
        <v>0</v>
      </c>
      <c r="AV184" cm="1">
        <f t="array" ref="AV184">_xlfn.IFS(AI184&gt;'“主要目标”数据分表'!$F$2,1,AI184='“主要目标”数据分表'!$F$2,0,AI184&lt;'“主要目标”数据分表'!$F$2,-1)</f>
        <v>0</v>
      </c>
      <c r="AW184" cm="1">
        <f t="array" ref="AW184">_xlfn.IFS(AJ184&gt;'“主要目标”数据分表'!$G$2,1,AJ184='“主要目标”数据分表'!$G$2,0,AJ184&lt;'“主要目标”数据分表'!$G$2,-1)</f>
        <v>0</v>
      </c>
    </row>
    <row r="185" spans="1:49" ht="14.4" x14ac:dyDescent="0.25">
      <c r="A185" s="2">
        <v>25</v>
      </c>
      <c r="B185" s="2" t="s">
        <v>39</v>
      </c>
      <c r="C185" s="2">
        <v>2022</v>
      </c>
      <c r="D185" s="2">
        <v>14158.53</v>
      </c>
      <c r="E185" s="19">
        <v>21259.157694756101</v>
      </c>
      <c r="F185" s="2">
        <v>28954.2</v>
      </c>
      <c r="G185" s="3">
        <v>0.48899745114698384</v>
      </c>
      <c r="H185" s="2">
        <f t="shared" si="62"/>
        <v>-1.1295057965293597E-2</v>
      </c>
      <c r="I185" s="16">
        <v>0.35117894170911651</v>
      </c>
      <c r="J185" s="2">
        <f t="shared" si="63"/>
        <v>0.14050026111220931</v>
      </c>
      <c r="K185">
        <v>0.73423398659800998</v>
      </c>
      <c r="L185">
        <f t="shared" si="49"/>
        <v>-9.0651524749491591E-2</v>
      </c>
      <c r="M185" s="2">
        <v>1</v>
      </c>
      <c r="N185" s="2">
        <v>0</v>
      </c>
      <c r="O185" s="4">
        <v>1</v>
      </c>
      <c r="P185">
        <v>0.79679411361294405</v>
      </c>
      <c r="Q185">
        <v>0.91055718475073311</v>
      </c>
      <c r="R185">
        <v>0.65092631382953958</v>
      </c>
      <c r="S185">
        <v>1.2</v>
      </c>
      <c r="T185">
        <v>1.253333333333333</v>
      </c>
      <c r="U185">
        <v>0.65241635687732347</v>
      </c>
      <c r="V185">
        <v>0.48314606741573041</v>
      </c>
      <c r="W185">
        <v>-0.1818181818181818</v>
      </c>
      <c r="X185">
        <v>0.16172418000014679</v>
      </c>
      <c r="Y185">
        <v>0.6543730242360376</v>
      </c>
      <c r="Z185">
        <v>0.46679292976708925</v>
      </c>
      <c r="AA185">
        <v>0.34285714285714286</v>
      </c>
      <c r="AB185">
        <v>0.72868217054263551</v>
      </c>
      <c r="AC185">
        <v>0.52733239328291259</v>
      </c>
      <c r="AD185">
        <v>0.51650909508893939</v>
      </c>
      <c r="AE185">
        <v>-0.2121212121212121</v>
      </c>
      <c r="AF185">
        <v>0.2</v>
      </c>
      <c r="AG185">
        <v>0.13500000000000001</v>
      </c>
      <c r="AH185">
        <v>0.18</v>
      </c>
      <c r="AI185">
        <v>0.25</v>
      </c>
      <c r="AJ185">
        <v>0.65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f t="shared" si="46"/>
        <v>1</v>
      </c>
      <c r="AQ185">
        <f t="shared" si="47"/>
        <v>1</v>
      </c>
      <c r="AR185">
        <f t="shared" si="48"/>
        <v>1</v>
      </c>
      <c r="AS185" cm="1">
        <f t="array" ref="AS185">_xlfn.IFS(AF185&gt;'“主要目标”数据分表'!$C$2,1,AF185='“主要目标”数据分表'!$C$2,0,AF185&lt;'“主要目标”数据分表'!$C$2,-1)</f>
        <v>0</v>
      </c>
      <c r="AT185" cm="1">
        <f t="array" ref="AT185">_xlfn.IFS(AG185&gt;'“主要目标”数据分表'!$D$2,1,AG185='“主要目标”数据分表'!$D$2,0,AG185&lt;'“主要目标”数据分表'!$D$2,-1)</f>
        <v>0</v>
      </c>
      <c r="AU185" cm="1">
        <f t="array" ref="AU185">_xlfn.IFS(AH185&gt;'“主要目标”数据分表'!$E$2,1,AH185='“主要目标”数据分表'!$E$2,0,AH185&lt;'“主要目标”数据分表'!$E$2,-1)</f>
        <v>0</v>
      </c>
      <c r="AV185" cm="1">
        <f t="array" ref="AV185">_xlfn.IFS(AI185&gt;'“主要目标”数据分表'!$F$2,1,AI185='“主要目标”数据分表'!$F$2,0,AI185&lt;'“主要目标”数据分表'!$F$2,-1)</f>
        <v>0</v>
      </c>
      <c r="AW185" cm="1">
        <f t="array" ref="AW185">_xlfn.IFS(AJ185&gt;'“主要目标”数据分表'!$G$2,1,AJ185='“主要目标”数据分表'!$G$2,0,AJ185&lt;'“主要目标”数据分表'!$G$2,-1)</f>
        <v>0</v>
      </c>
    </row>
    <row r="186" spans="1:49" ht="14.4" x14ac:dyDescent="0.25">
      <c r="A186" s="2">
        <v>26</v>
      </c>
      <c r="B186" s="2" t="s">
        <v>40</v>
      </c>
      <c r="C186" s="2">
        <v>2016</v>
      </c>
      <c r="D186" s="2">
        <v>12146</v>
      </c>
      <c r="E186" s="19">
        <v>29528.044994074102</v>
      </c>
      <c r="F186" s="2">
        <v>19399.59</v>
      </c>
      <c r="G186" s="3">
        <v>0.626095706146367</v>
      </c>
      <c r="H186" s="2"/>
      <c r="I186" s="16">
        <v>0.27769652397110073</v>
      </c>
      <c r="K186">
        <v>1.522096342967769</v>
      </c>
      <c r="L186"/>
      <c r="M186" s="2">
        <v>0</v>
      </c>
      <c r="N186" s="2">
        <v>0</v>
      </c>
      <c r="O186" s="4">
        <v>1</v>
      </c>
      <c r="P186">
        <v>0.82696144182311471</v>
      </c>
      <c r="Q186">
        <v>0.49706744868035191</v>
      </c>
      <c r="R186">
        <v>0.19442640692640689</v>
      </c>
      <c r="S186">
        <v>0.8</v>
      </c>
      <c r="T186">
        <v>0.46555555555555561</v>
      </c>
      <c r="U186">
        <v>0.38118811881188119</v>
      </c>
      <c r="V186">
        <v>-0.12561576354679799</v>
      </c>
      <c r="W186">
        <v>-0.21022727272727271</v>
      </c>
      <c r="X186">
        <v>0.28617206270804285</v>
      </c>
      <c r="Y186">
        <v>0.35721812434141187</v>
      </c>
      <c r="Z186">
        <v>0.13942725956079968</v>
      </c>
      <c r="AA186">
        <v>0.22857142857142859</v>
      </c>
      <c r="AB186">
        <v>0.27067183462532302</v>
      </c>
      <c r="AC186">
        <v>0.30810515534312061</v>
      </c>
      <c r="AD186">
        <v>-0.13428999785821369</v>
      </c>
      <c r="AE186">
        <v>-0.24526515151515149</v>
      </c>
      <c r="AF186">
        <v>0.16</v>
      </c>
      <c r="AG186">
        <v>0.13500000000000001</v>
      </c>
      <c r="AH186">
        <v>0.18</v>
      </c>
      <c r="AI186">
        <v>0.2</v>
      </c>
      <c r="AJ186">
        <v>0.65</v>
      </c>
      <c r="AK186">
        <v>0.79999999999999993</v>
      </c>
      <c r="AL186">
        <v>1</v>
      </c>
      <c r="AM186">
        <v>1</v>
      </c>
      <c r="AN186">
        <v>0.8</v>
      </c>
      <c r="AO186">
        <v>1</v>
      </c>
      <c r="AP186">
        <f t="shared" si="46"/>
        <v>0.8</v>
      </c>
      <c r="AQ186">
        <f t="shared" si="47"/>
        <v>1</v>
      </c>
      <c r="AR186">
        <f t="shared" si="48"/>
        <v>1</v>
      </c>
      <c r="AS186" cm="1">
        <f t="array" ref="AS186">_xlfn.IFS(AF186&gt;'“主要目标”数据分表'!$C$2,1,AF186='“主要目标”数据分表'!$C$2,0,AF186&lt;'“主要目标”数据分表'!$C$2,-1)</f>
        <v>-1</v>
      </c>
      <c r="AT186" cm="1">
        <f t="array" ref="AT186">_xlfn.IFS(AG186&gt;'“主要目标”数据分表'!$D$2,1,AG186='“主要目标”数据分表'!$D$2,0,AG186&lt;'“主要目标”数据分表'!$D$2,-1)</f>
        <v>0</v>
      </c>
      <c r="AU186" cm="1">
        <f t="array" ref="AU186">_xlfn.IFS(AH186&gt;'“主要目标”数据分表'!$E$2,1,AH186='“主要目标”数据分表'!$E$2,0,AH186&lt;'“主要目标”数据分表'!$E$2,-1)</f>
        <v>0</v>
      </c>
      <c r="AV186" cm="1">
        <f t="array" ref="AV186">_xlfn.IFS(AI186&gt;'“主要目标”数据分表'!$F$2,1,AI186='“主要目标”数据分表'!$F$2,0,AI186&lt;'“主要目标”数据分表'!$F$2,-1)</f>
        <v>-1</v>
      </c>
      <c r="AW186" cm="1">
        <f t="array" ref="AW186">_xlfn.IFS(AJ186&gt;'“主要目标”数据分表'!$G$2,1,AJ186='“主要目标”数据分表'!$G$2,0,AJ186&lt;'“主要目标”数据分表'!$G$2,-1)</f>
        <v>0</v>
      </c>
    </row>
    <row r="187" spans="1:49" ht="14.4" x14ac:dyDescent="0.25">
      <c r="A187" s="2">
        <v>26</v>
      </c>
      <c r="B187" s="2" t="s">
        <v>40</v>
      </c>
      <c r="C187" s="2">
        <v>2017</v>
      </c>
      <c r="D187" s="2">
        <v>12549</v>
      </c>
      <c r="E187" s="19">
        <v>29811.344652998196</v>
      </c>
      <c r="F187" s="2">
        <v>21898.81</v>
      </c>
      <c r="G187" s="3">
        <v>0.57304483668290651</v>
      </c>
      <c r="H187" s="2">
        <f>(G187-G186)/G186</f>
        <v>-8.4732843465721519E-2</v>
      </c>
      <c r="I187" s="16">
        <v>0.32347962209988768</v>
      </c>
      <c r="J187" s="2">
        <f>(I187-I186)/I186</f>
        <v>0.16486737923140693</v>
      </c>
      <c r="K187">
        <v>1.361322585702063</v>
      </c>
      <c r="L187">
        <f t="shared" si="49"/>
        <v>-0.10562653146661585</v>
      </c>
      <c r="M187" s="2">
        <v>0</v>
      </c>
      <c r="N187" s="2">
        <v>0</v>
      </c>
      <c r="O187" s="4">
        <v>1</v>
      </c>
      <c r="P187">
        <v>0.82696144182311471</v>
      </c>
      <c r="Q187">
        <v>0.49706744868035191</v>
      </c>
      <c r="R187">
        <v>0.19442640692640689</v>
      </c>
      <c r="S187">
        <v>0.8</v>
      </c>
      <c r="T187">
        <v>0.46555555555555561</v>
      </c>
      <c r="U187">
        <v>0.38118811881188119</v>
      </c>
      <c r="V187">
        <v>-0.12561576354679799</v>
      </c>
      <c r="W187">
        <v>-0.21022727272727271</v>
      </c>
      <c r="X187">
        <v>0.28617206270804285</v>
      </c>
      <c r="Y187">
        <v>0.35721812434141187</v>
      </c>
      <c r="Z187">
        <v>0.13942725956079968</v>
      </c>
      <c r="AA187">
        <v>0.22857142857142859</v>
      </c>
      <c r="AB187">
        <v>0.27067183462532302</v>
      </c>
      <c r="AC187">
        <v>0.30810515534312061</v>
      </c>
      <c r="AD187">
        <v>-0.13428999785821369</v>
      </c>
      <c r="AE187">
        <v>-0.24526515151515149</v>
      </c>
      <c r="AF187">
        <v>0.16</v>
      </c>
      <c r="AG187">
        <v>0.13500000000000001</v>
      </c>
      <c r="AH187">
        <v>0.18</v>
      </c>
      <c r="AI187">
        <v>0.2</v>
      </c>
      <c r="AJ187">
        <v>0.65</v>
      </c>
      <c r="AK187">
        <v>0.79999999999999993</v>
      </c>
      <c r="AL187">
        <v>1</v>
      </c>
      <c r="AM187">
        <v>1</v>
      </c>
      <c r="AN187">
        <v>0.8</v>
      </c>
      <c r="AO187">
        <v>1</v>
      </c>
      <c r="AP187">
        <f t="shared" si="46"/>
        <v>0.8</v>
      </c>
      <c r="AQ187">
        <f t="shared" si="47"/>
        <v>1</v>
      </c>
      <c r="AR187">
        <f t="shared" si="48"/>
        <v>1</v>
      </c>
      <c r="AS187" cm="1">
        <f t="array" ref="AS187">_xlfn.IFS(AF187&gt;'“主要目标”数据分表'!$C$2,1,AF187='“主要目标”数据分表'!$C$2,0,AF187&lt;'“主要目标”数据分表'!$C$2,-1)</f>
        <v>-1</v>
      </c>
      <c r="AT187" cm="1">
        <f t="array" ref="AT187">_xlfn.IFS(AG187&gt;'“主要目标”数据分表'!$D$2,1,AG187='“主要目标”数据分表'!$D$2,0,AG187&lt;'“主要目标”数据分表'!$D$2,-1)</f>
        <v>0</v>
      </c>
      <c r="AU187" cm="1">
        <f t="array" ref="AU187">_xlfn.IFS(AH187&gt;'“主要目标”数据分表'!$E$2,1,AH187='“主要目标”数据分表'!$E$2,0,AH187&lt;'“主要目标”数据分表'!$E$2,-1)</f>
        <v>0</v>
      </c>
      <c r="AV187" cm="1">
        <f t="array" ref="AV187">_xlfn.IFS(AI187&gt;'“主要目标”数据分表'!$F$2,1,AI187='“主要目标”数据分表'!$F$2,0,AI187&lt;'“主要目标”数据分表'!$F$2,-1)</f>
        <v>-1</v>
      </c>
      <c r="AW187" cm="1">
        <f t="array" ref="AW187">_xlfn.IFS(AJ187&gt;'“主要目标”数据分表'!$G$2,1,AJ187='“主要目标”数据分表'!$G$2,0,AJ187&lt;'“主要目标”数据分表'!$G$2,-1)</f>
        <v>0</v>
      </c>
    </row>
    <row r="188" spans="1:49" ht="14.4" x14ac:dyDescent="0.25">
      <c r="A188" s="2">
        <v>26</v>
      </c>
      <c r="B188" s="2" t="s">
        <v>40</v>
      </c>
      <c r="C188" s="2">
        <v>2018</v>
      </c>
      <c r="D188" s="2">
        <v>12900</v>
      </c>
      <c r="E188" s="19">
        <v>32779.451079801496</v>
      </c>
      <c r="F188" s="2">
        <v>24438.32</v>
      </c>
      <c r="G188" s="3">
        <v>0.5278595255320333</v>
      </c>
      <c r="H188" s="2">
        <f t="shared" ref="H188:H193" si="64">(G188-G187)/G187</f>
        <v>-7.8851266529911049E-2</v>
      </c>
      <c r="I188" s="16">
        <v>0.33505535192869573</v>
      </c>
      <c r="J188" s="2">
        <f t="shared" ref="J188:J191" si="65">(I188-I187)/I187</f>
        <v>3.5785035711565077E-2</v>
      </c>
      <c r="K188">
        <v>1.34131360420035</v>
      </c>
      <c r="L188">
        <f t="shared" si="49"/>
        <v>-1.4698192560578126E-2</v>
      </c>
      <c r="M188" s="2">
        <v>0</v>
      </c>
      <c r="N188" s="2">
        <v>0</v>
      </c>
      <c r="O188" s="4">
        <v>1</v>
      </c>
      <c r="P188">
        <v>0.82696144182311471</v>
      </c>
      <c r="Q188">
        <v>0.49706744868035191</v>
      </c>
      <c r="R188">
        <v>0.19442640692640689</v>
      </c>
      <c r="S188">
        <v>0.8</v>
      </c>
      <c r="T188">
        <v>0.46555555555555561</v>
      </c>
      <c r="U188">
        <v>0.38118811881188119</v>
      </c>
      <c r="V188">
        <v>-0.12561576354679799</v>
      </c>
      <c r="W188">
        <v>-0.21022727272727271</v>
      </c>
      <c r="X188">
        <v>0.28617206270804285</v>
      </c>
      <c r="Y188">
        <v>0.35721812434141187</v>
      </c>
      <c r="Z188">
        <v>0.13942725956079968</v>
      </c>
      <c r="AA188">
        <v>0.22857142857142859</v>
      </c>
      <c r="AB188">
        <v>0.27067183462532302</v>
      </c>
      <c r="AC188">
        <v>0.30810515534312061</v>
      </c>
      <c r="AD188">
        <v>-0.13428999785821369</v>
      </c>
      <c r="AE188">
        <v>-0.24526515151515149</v>
      </c>
      <c r="AF188">
        <v>0.16</v>
      </c>
      <c r="AG188">
        <v>0.13500000000000001</v>
      </c>
      <c r="AH188">
        <v>0.18</v>
      </c>
      <c r="AI188">
        <v>0.2</v>
      </c>
      <c r="AJ188">
        <v>0.65</v>
      </c>
      <c r="AK188">
        <v>0.79999999999999993</v>
      </c>
      <c r="AL188">
        <v>1</v>
      </c>
      <c r="AM188">
        <v>1</v>
      </c>
      <c r="AN188">
        <v>0.8</v>
      </c>
      <c r="AO188">
        <v>1</v>
      </c>
      <c r="AP188">
        <f t="shared" si="46"/>
        <v>0.8</v>
      </c>
      <c r="AQ188">
        <f t="shared" si="47"/>
        <v>1</v>
      </c>
      <c r="AR188">
        <f t="shared" si="48"/>
        <v>1</v>
      </c>
      <c r="AS188" cm="1">
        <f t="array" ref="AS188">_xlfn.IFS(AF188&gt;'“主要目标”数据分表'!$C$2,1,AF188='“主要目标”数据分表'!$C$2,0,AF188&lt;'“主要目标”数据分表'!$C$2,-1)</f>
        <v>-1</v>
      </c>
      <c r="AT188" cm="1">
        <f t="array" ref="AT188">_xlfn.IFS(AG188&gt;'“主要目标”数据分表'!$D$2,1,AG188='“主要目标”数据分表'!$D$2,0,AG188&lt;'“主要目标”数据分表'!$D$2,-1)</f>
        <v>0</v>
      </c>
      <c r="AU188" cm="1">
        <f t="array" ref="AU188">_xlfn.IFS(AH188&gt;'“主要目标”数据分表'!$E$2,1,AH188='“主要目标”数据分表'!$E$2,0,AH188&lt;'“主要目标”数据分表'!$E$2,-1)</f>
        <v>0</v>
      </c>
      <c r="AV188" cm="1">
        <f t="array" ref="AV188">_xlfn.IFS(AI188&gt;'“主要目标”数据分表'!$F$2,1,AI188='“主要目标”数据分表'!$F$2,0,AI188&lt;'“主要目标”数据分表'!$F$2,-1)</f>
        <v>-1</v>
      </c>
      <c r="AW188" cm="1">
        <f t="array" ref="AW188">_xlfn.IFS(AJ188&gt;'“主要目标”数据分表'!$G$2,1,AJ188='“主要目标”数据分表'!$G$2,0,AJ188&lt;'“主要目标”数据分表'!$G$2,-1)</f>
        <v>0</v>
      </c>
    </row>
    <row r="189" spans="1:49" ht="14.4" x14ac:dyDescent="0.25">
      <c r="A189" s="2">
        <v>26</v>
      </c>
      <c r="B189" s="2" t="s">
        <v>40</v>
      </c>
      <c r="C189" s="2">
        <v>2019</v>
      </c>
      <c r="D189" s="2">
        <v>13478</v>
      </c>
      <c r="E189" s="19">
        <v>34784.294957501101</v>
      </c>
      <c r="F189" s="2">
        <v>25793.17</v>
      </c>
      <c r="G189" s="3">
        <v>0.52254143247999374</v>
      </c>
      <c r="H189" s="2">
        <f t="shared" si="64"/>
        <v>-1.0074826340737945E-2</v>
      </c>
      <c r="I189" s="16">
        <v>0.34628220727820058</v>
      </c>
      <c r="J189" s="2">
        <f t="shared" si="65"/>
        <v>3.3507464617052514E-2</v>
      </c>
      <c r="K189">
        <v>1.3485854959859955</v>
      </c>
      <c r="L189">
        <f t="shared" si="49"/>
        <v>5.4214702384837573E-3</v>
      </c>
      <c r="M189" s="2">
        <v>0</v>
      </c>
      <c r="N189" s="2">
        <v>0</v>
      </c>
      <c r="O189" s="4">
        <v>1</v>
      </c>
      <c r="P189">
        <v>0.82696144182311471</v>
      </c>
      <c r="Q189">
        <v>0.49706744868035191</v>
      </c>
      <c r="R189">
        <v>0.19442640692640689</v>
      </c>
      <c r="S189">
        <v>0.8</v>
      </c>
      <c r="T189">
        <v>0.46555555555555561</v>
      </c>
      <c r="U189">
        <v>0.38118811881188119</v>
      </c>
      <c r="V189">
        <v>-0.12561576354679799</v>
      </c>
      <c r="W189">
        <v>-0.21022727272727271</v>
      </c>
      <c r="X189">
        <v>0.28617206270804285</v>
      </c>
      <c r="Y189">
        <v>0.35721812434141187</v>
      </c>
      <c r="Z189">
        <v>0.13942725956079968</v>
      </c>
      <c r="AA189">
        <v>0.22857142857142859</v>
      </c>
      <c r="AB189">
        <v>0.27067183462532302</v>
      </c>
      <c r="AC189">
        <v>0.30810515534312061</v>
      </c>
      <c r="AD189">
        <v>-0.13428999785821369</v>
      </c>
      <c r="AE189">
        <v>-0.24526515151515149</v>
      </c>
      <c r="AF189">
        <v>0.16</v>
      </c>
      <c r="AG189">
        <v>0.13500000000000001</v>
      </c>
      <c r="AH189">
        <v>0.18</v>
      </c>
      <c r="AI189">
        <v>0.2</v>
      </c>
      <c r="AJ189">
        <v>0.65</v>
      </c>
      <c r="AK189">
        <v>0.79999999999999993</v>
      </c>
      <c r="AL189">
        <v>1</v>
      </c>
      <c r="AM189">
        <v>1</v>
      </c>
      <c r="AN189">
        <v>0.8</v>
      </c>
      <c r="AO189">
        <v>1</v>
      </c>
      <c r="AP189">
        <f t="shared" si="46"/>
        <v>0.8</v>
      </c>
      <c r="AQ189">
        <f t="shared" si="47"/>
        <v>1</v>
      </c>
      <c r="AR189">
        <f t="shared" si="48"/>
        <v>1</v>
      </c>
      <c r="AS189" cm="1">
        <f t="array" ref="AS189">_xlfn.IFS(AF189&gt;'“主要目标”数据分表'!$C$2,1,AF189='“主要目标”数据分表'!$C$2,0,AF189&lt;'“主要目标”数据分表'!$C$2,-1)</f>
        <v>-1</v>
      </c>
      <c r="AT189" cm="1">
        <f t="array" ref="AT189">_xlfn.IFS(AG189&gt;'“主要目标”数据分表'!$D$2,1,AG189='“主要目标”数据分表'!$D$2,0,AG189&lt;'“主要目标”数据分表'!$D$2,-1)</f>
        <v>0</v>
      </c>
      <c r="AU189" cm="1">
        <f t="array" ref="AU189">_xlfn.IFS(AH189&gt;'“主要目标”数据分表'!$E$2,1,AH189='“主要目标”数据分表'!$E$2,0,AH189&lt;'“主要目标”数据分表'!$E$2,-1)</f>
        <v>0</v>
      </c>
      <c r="AV189" cm="1">
        <f t="array" ref="AV189">_xlfn.IFS(AI189&gt;'“主要目标”数据分表'!$F$2,1,AI189='“主要目标”数据分表'!$F$2,0,AI189&lt;'“主要目标”数据分表'!$F$2,-1)</f>
        <v>-1</v>
      </c>
      <c r="AW189" cm="1">
        <f t="array" ref="AW189">_xlfn.IFS(AJ189&gt;'“主要目标”数据分表'!$G$2,1,AJ189='“主要目标”数据分表'!$G$2,0,AJ189&lt;'“主要目标”数据分表'!$G$2,-1)</f>
        <v>0</v>
      </c>
    </row>
    <row r="190" spans="1:49" ht="14.4" x14ac:dyDescent="0.25">
      <c r="A190" s="2">
        <v>26</v>
      </c>
      <c r="B190" s="2" t="s">
        <v>40</v>
      </c>
      <c r="C190" s="2">
        <v>2020</v>
      </c>
      <c r="D190" s="2">
        <v>13512.26</v>
      </c>
      <c r="E190" s="19">
        <v>36044.341115414798</v>
      </c>
      <c r="F190" s="2">
        <v>26181.86</v>
      </c>
      <c r="G190" s="3">
        <v>0.51609243957457562</v>
      </c>
      <c r="H190" s="2">
        <f t="shared" si="64"/>
        <v>-1.2341591507511752E-2</v>
      </c>
      <c r="I190" s="16">
        <v>0.36227319641791245</v>
      </c>
      <c r="J190" s="2">
        <f t="shared" si="65"/>
        <v>4.6179066679174832E-2</v>
      </c>
      <c r="K190">
        <v>1.3766913853872413</v>
      </c>
      <c r="L190">
        <f t="shared" si="49"/>
        <v>2.0841014147713832E-2</v>
      </c>
      <c r="M190" s="2">
        <v>0</v>
      </c>
      <c r="N190" s="2">
        <v>0</v>
      </c>
      <c r="O190" s="4">
        <v>1</v>
      </c>
      <c r="P190">
        <v>0.82696144182311471</v>
      </c>
      <c r="Q190">
        <v>0.49706744868035191</v>
      </c>
      <c r="R190">
        <v>0.19442640692640689</v>
      </c>
      <c r="S190">
        <v>0.8</v>
      </c>
      <c r="T190">
        <v>0.46555555555555561</v>
      </c>
      <c r="U190">
        <v>0.38118811881188119</v>
      </c>
      <c r="V190">
        <v>-0.12561576354679799</v>
      </c>
      <c r="W190">
        <v>-0.21022727272727271</v>
      </c>
      <c r="X190">
        <v>0.28617206270804285</v>
      </c>
      <c r="Y190">
        <v>0.35721812434141187</v>
      </c>
      <c r="Z190">
        <v>0.13942725956079968</v>
      </c>
      <c r="AA190">
        <v>0.22857142857142859</v>
      </c>
      <c r="AB190">
        <v>0.27067183462532302</v>
      </c>
      <c r="AC190">
        <v>0.30810515534312061</v>
      </c>
      <c r="AD190">
        <v>-0.13428999785821369</v>
      </c>
      <c r="AE190">
        <v>-0.24526515151515149</v>
      </c>
      <c r="AF190">
        <v>0.16</v>
      </c>
      <c r="AG190">
        <v>0.13500000000000001</v>
      </c>
      <c r="AH190">
        <v>0.18</v>
      </c>
      <c r="AI190">
        <v>0.2</v>
      </c>
      <c r="AJ190">
        <v>0.65</v>
      </c>
      <c r="AK190">
        <v>0.79999999999999993</v>
      </c>
      <c r="AL190">
        <v>1</v>
      </c>
      <c r="AM190">
        <v>1</v>
      </c>
      <c r="AN190">
        <v>0.8</v>
      </c>
      <c r="AO190">
        <v>1</v>
      </c>
      <c r="AP190">
        <f t="shared" si="46"/>
        <v>0.8</v>
      </c>
      <c r="AQ190">
        <f t="shared" si="47"/>
        <v>1</v>
      </c>
      <c r="AR190">
        <f t="shared" si="48"/>
        <v>1</v>
      </c>
      <c r="AS190" cm="1">
        <f t="array" ref="AS190">_xlfn.IFS(AF190&gt;'“主要目标”数据分表'!$C$2,1,AF190='“主要目标”数据分表'!$C$2,0,AF190&lt;'“主要目标”数据分表'!$C$2,-1)</f>
        <v>-1</v>
      </c>
      <c r="AT190" cm="1">
        <f t="array" ref="AT190">_xlfn.IFS(AG190&gt;'“主要目标”数据分表'!$D$2,1,AG190='“主要目标”数据分表'!$D$2,0,AG190&lt;'“主要目标”数据分表'!$D$2,-1)</f>
        <v>0</v>
      </c>
      <c r="AU190" cm="1">
        <f t="array" ref="AU190">_xlfn.IFS(AH190&gt;'“主要目标”数据分表'!$E$2,1,AH190='“主要目标”数据分表'!$E$2,0,AH190&lt;'“主要目标”数据分表'!$E$2,-1)</f>
        <v>0</v>
      </c>
      <c r="AV190" cm="1">
        <f t="array" ref="AV190">_xlfn.IFS(AI190&gt;'“主要目标”数据分表'!$F$2,1,AI190='“主要目标”数据分表'!$F$2,0,AI190&lt;'“主要目标”数据分表'!$F$2,-1)</f>
        <v>-1</v>
      </c>
      <c r="AW190" cm="1">
        <f t="array" ref="AW190">_xlfn.IFS(AJ190&gt;'“主要目标”数据分表'!$G$2,1,AJ190='“主要目标”数据分表'!$G$2,0,AJ190&lt;'“主要目标”数据分表'!$G$2,-1)</f>
        <v>0</v>
      </c>
    </row>
    <row r="191" spans="1:49" ht="14.4" x14ac:dyDescent="0.25">
      <c r="A191" s="2">
        <v>26</v>
      </c>
      <c r="B191" s="2" t="s">
        <v>40</v>
      </c>
      <c r="C191" s="2">
        <v>2021</v>
      </c>
      <c r="D191" s="2">
        <v>14515.23</v>
      </c>
      <c r="E191" s="19">
        <v>38460.680534486404</v>
      </c>
      <c r="F191" s="2">
        <v>29800.979289843701</v>
      </c>
      <c r="G191" s="3">
        <v>0.48707224882864342</v>
      </c>
      <c r="H191" s="2">
        <f t="shared" si="64"/>
        <v>-5.6230606225997182E-2</v>
      </c>
      <c r="I191" s="16">
        <v>0.36835206690086458</v>
      </c>
      <c r="J191" s="2">
        <f t="shared" si="65"/>
        <v>1.677979641623735E-2</v>
      </c>
      <c r="K191">
        <v>1.2905844522899275</v>
      </c>
      <c r="L191">
        <f t="shared" si="49"/>
        <v>-6.254628598049472E-2</v>
      </c>
      <c r="M191" s="2">
        <v>0</v>
      </c>
      <c r="N191" s="2">
        <v>0</v>
      </c>
      <c r="O191" s="4">
        <v>1</v>
      </c>
      <c r="P191">
        <v>0.82696144182311471</v>
      </c>
      <c r="Q191">
        <v>0.49706744868035191</v>
      </c>
      <c r="R191">
        <v>0.19442640692640689</v>
      </c>
      <c r="S191">
        <v>0.8</v>
      </c>
      <c r="T191">
        <v>0.46555555555555561</v>
      </c>
      <c r="U191">
        <v>0.38118811881188119</v>
      </c>
      <c r="V191">
        <v>-0.12561576354679799</v>
      </c>
      <c r="W191">
        <v>-0.21022727272727271</v>
      </c>
      <c r="X191">
        <v>0.28617206270804285</v>
      </c>
      <c r="Y191">
        <v>0.35721812434141187</v>
      </c>
      <c r="Z191">
        <v>0.13942725956079968</v>
      </c>
      <c r="AA191">
        <v>0.22857142857142859</v>
      </c>
      <c r="AB191">
        <v>0.27067183462532302</v>
      </c>
      <c r="AC191">
        <v>0.30810515534312061</v>
      </c>
      <c r="AD191">
        <v>-0.13428999785821369</v>
      </c>
      <c r="AE191">
        <v>-0.24526515151515149</v>
      </c>
      <c r="AF191">
        <v>0.16</v>
      </c>
      <c r="AG191">
        <v>0.13500000000000001</v>
      </c>
      <c r="AH191">
        <v>0.18</v>
      </c>
      <c r="AI191">
        <v>0.2</v>
      </c>
      <c r="AJ191">
        <v>0.65</v>
      </c>
      <c r="AK191">
        <v>0.79999999999999993</v>
      </c>
      <c r="AL191">
        <v>1</v>
      </c>
      <c r="AM191">
        <v>1</v>
      </c>
      <c r="AN191">
        <v>0.8</v>
      </c>
      <c r="AO191">
        <v>1</v>
      </c>
      <c r="AP191">
        <f t="shared" si="46"/>
        <v>0.8</v>
      </c>
      <c r="AQ191">
        <f t="shared" si="47"/>
        <v>1</v>
      </c>
      <c r="AR191">
        <f t="shared" si="48"/>
        <v>1</v>
      </c>
      <c r="AS191" cm="1">
        <f t="array" ref="AS191">_xlfn.IFS(AF191&gt;'“主要目标”数据分表'!$C$2,1,AF191='“主要目标”数据分表'!$C$2,0,AF191&lt;'“主要目标”数据分表'!$C$2,-1)</f>
        <v>-1</v>
      </c>
      <c r="AT191" cm="1">
        <f t="array" ref="AT191">_xlfn.IFS(AG191&gt;'“主要目标”数据分表'!$D$2,1,AG191='“主要目标”数据分表'!$D$2,0,AG191&lt;'“主要目标”数据分表'!$D$2,-1)</f>
        <v>0</v>
      </c>
      <c r="AU191" cm="1">
        <f t="array" ref="AU191">_xlfn.IFS(AH191&gt;'“主要目标”数据分表'!$E$2,1,AH191='“主要目标”数据分表'!$E$2,0,AH191&lt;'“主要目标”数据分表'!$E$2,-1)</f>
        <v>0</v>
      </c>
      <c r="AV191" cm="1">
        <f t="array" ref="AV191">_xlfn.IFS(AI191&gt;'“主要目标”数据分表'!$F$2,1,AI191='“主要目标”数据分表'!$F$2,0,AI191&lt;'“主要目标”数据分表'!$F$2,-1)</f>
        <v>-1</v>
      </c>
      <c r="AW191" cm="1">
        <f t="array" ref="AW191">_xlfn.IFS(AJ191&gt;'“主要目标”数据分表'!$G$2,1,AJ191='“主要目标”数据分表'!$G$2,0,AJ191&lt;'“主要目标”数据分表'!$G$2,-1)</f>
        <v>0</v>
      </c>
    </row>
    <row r="192" spans="1:49" ht="14.4" x14ac:dyDescent="0.25">
      <c r="A192" s="2">
        <v>26</v>
      </c>
      <c r="B192" s="2" t="s">
        <v>40</v>
      </c>
      <c r="C192" s="2">
        <v>2022</v>
      </c>
      <c r="D192" s="2">
        <v>16099.28</v>
      </c>
      <c r="E192" s="19">
        <v>38579.915458739502</v>
      </c>
      <c r="F192" s="2">
        <v>32772.699999999997</v>
      </c>
      <c r="G192" s="3">
        <v>0.49124057523487541</v>
      </c>
      <c r="H192" s="2">
        <f t="shared" si="64"/>
        <v>8.557922189688226E-3</v>
      </c>
      <c r="K192">
        <v>1.1771967356592379</v>
      </c>
      <c r="L192">
        <f t="shared" si="49"/>
        <v>-8.7857649632693116E-2</v>
      </c>
      <c r="M192" s="2">
        <v>1</v>
      </c>
      <c r="N192" s="2">
        <v>0</v>
      </c>
      <c r="O192" s="4">
        <v>1</v>
      </c>
      <c r="P192">
        <v>0.82696144182311471</v>
      </c>
      <c r="Q192">
        <v>0.49706744868035191</v>
      </c>
      <c r="R192">
        <v>0.19442640692640689</v>
      </c>
      <c r="S192">
        <v>0.8</v>
      </c>
      <c r="T192">
        <v>0.46555555555555561</v>
      </c>
      <c r="U192">
        <v>0.38118811881188119</v>
      </c>
      <c r="V192">
        <v>-0.12561576354679799</v>
      </c>
      <c r="W192">
        <v>-0.21022727272727271</v>
      </c>
      <c r="X192">
        <v>0.28617206270804285</v>
      </c>
      <c r="Y192">
        <v>0.35721812434141187</v>
      </c>
      <c r="Z192">
        <v>0.13942725956079968</v>
      </c>
      <c r="AA192">
        <v>0.22857142857142859</v>
      </c>
      <c r="AB192">
        <v>0.27067183462532302</v>
      </c>
      <c r="AC192">
        <v>0.30810515534312061</v>
      </c>
      <c r="AD192">
        <v>-0.13428999785821369</v>
      </c>
      <c r="AE192">
        <v>-0.24526515151515149</v>
      </c>
      <c r="AF192">
        <v>0.16</v>
      </c>
      <c r="AG192">
        <v>0.13500000000000001</v>
      </c>
      <c r="AH192">
        <v>0.18</v>
      </c>
      <c r="AI192">
        <v>0.2</v>
      </c>
      <c r="AJ192">
        <v>0.65</v>
      </c>
      <c r="AK192">
        <v>0.79999999999999993</v>
      </c>
      <c r="AL192">
        <v>1</v>
      </c>
      <c r="AM192">
        <v>1</v>
      </c>
      <c r="AN192">
        <v>0.8</v>
      </c>
      <c r="AO192">
        <v>1</v>
      </c>
      <c r="AP192">
        <f t="shared" si="46"/>
        <v>0.8</v>
      </c>
      <c r="AQ192">
        <f t="shared" si="47"/>
        <v>1</v>
      </c>
      <c r="AR192">
        <f t="shared" si="48"/>
        <v>1</v>
      </c>
      <c r="AS192" cm="1">
        <f t="array" ref="AS192">_xlfn.IFS(AF192&gt;'“主要目标”数据分表'!$C$2,1,AF192='“主要目标”数据分表'!$C$2,0,AF192&lt;'“主要目标”数据分表'!$C$2,-1)</f>
        <v>-1</v>
      </c>
      <c r="AT192" cm="1">
        <f t="array" ref="AT192">_xlfn.IFS(AG192&gt;'“主要目标”数据分表'!$D$2,1,AG192='“主要目标”数据分表'!$D$2,0,AG192&lt;'“主要目标”数据分表'!$D$2,-1)</f>
        <v>0</v>
      </c>
      <c r="AU192" cm="1">
        <f t="array" ref="AU192">_xlfn.IFS(AH192&gt;'“主要目标”数据分表'!$E$2,1,AH192='“主要目标”数据分表'!$E$2,0,AH192&lt;'“主要目标”数据分表'!$E$2,-1)</f>
        <v>0</v>
      </c>
      <c r="AV192" cm="1">
        <f t="array" ref="AV192">_xlfn.IFS(AI192&gt;'“主要目标”数据分表'!$F$2,1,AI192='“主要目标”数据分表'!$F$2,0,AI192&lt;'“主要目标”数据分表'!$F$2,-1)</f>
        <v>-1</v>
      </c>
      <c r="AW192" cm="1">
        <f t="array" ref="AW192">_xlfn.IFS(AJ192&gt;'“主要目标”数据分表'!$G$2,1,AJ192='“主要目标”数据分表'!$G$2,0,AJ192&lt;'“主要目标”数据分表'!$G$2,-1)</f>
        <v>0</v>
      </c>
    </row>
    <row r="193" spans="1:49" ht="14.4" x14ac:dyDescent="0.25">
      <c r="A193" s="2">
        <v>26</v>
      </c>
      <c r="B193" s="6" t="s">
        <v>41</v>
      </c>
      <c r="C193" s="2">
        <v>2023</v>
      </c>
      <c r="D193" s="2">
        <v>17169.59</v>
      </c>
      <c r="E193" s="19">
        <v>42761.3190897694</v>
      </c>
      <c r="F193" s="2">
        <v>33786.1</v>
      </c>
      <c r="G193" s="3">
        <v>0.50818502283483447</v>
      </c>
      <c r="H193" s="2">
        <f t="shared" si="64"/>
        <v>3.4493175959370737E-2</v>
      </c>
      <c r="I193" s="16">
        <v>0.35947080755878325</v>
      </c>
      <c r="K193">
        <v>1.2656482722116316</v>
      </c>
      <c r="L193">
        <f t="shared" si="49"/>
        <v>7.5137429346387244E-2</v>
      </c>
      <c r="M193" s="2">
        <v>1</v>
      </c>
      <c r="N193" s="2">
        <v>1</v>
      </c>
      <c r="O193" s="4">
        <v>1</v>
      </c>
      <c r="P193">
        <v>0.82696144182311471</v>
      </c>
      <c r="Q193">
        <v>0.49706744868035191</v>
      </c>
      <c r="R193">
        <v>0.19442640692640689</v>
      </c>
      <c r="S193">
        <v>0.8</v>
      </c>
      <c r="T193">
        <v>0.46555555555555561</v>
      </c>
      <c r="U193">
        <v>0.38118811881188119</v>
      </c>
      <c r="V193">
        <v>-0.12561576354679799</v>
      </c>
      <c r="W193">
        <v>-0.21022727272727271</v>
      </c>
      <c r="X193">
        <v>0.28617206270804285</v>
      </c>
      <c r="Y193">
        <v>0.35721812434141187</v>
      </c>
      <c r="Z193">
        <v>0.13942725956079968</v>
      </c>
      <c r="AA193">
        <v>0.22857142857142859</v>
      </c>
      <c r="AB193">
        <v>0.27067183462532302</v>
      </c>
      <c r="AC193">
        <v>0.30810515534312061</v>
      </c>
      <c r="AD193">
        <v>-0.13428999785821369</v>
      </c>
      <c r="AE193">
        <v>-0.24526515151515149</v>
      </c>
      <c r="AF193">
        <v>0.16</v>
      </c>
      <c r="AG193">
        <v>0.13500000000000001</v>
      </c>
      <c r="AH193">
        <v>0.18</v>
      </c>
      <c r="AI193">
        <v>0.2</v>
      </c>
      <c r="AJ193">
        <v>0.65</v>
      </c>
      <c r="AK193">
        <v>0.79999999999999993</v>
      </c>
      <c r="AL193">
        <v>1</v>
      </c>
      <c r="AM193">
        <v>1</v>
      </c>
      <c r="AN193">
        <v>0.8</v>
      </c>
      <c r="AO193">
        <v>1</v>
      </c>
      <c r="AP193">
        <f t="shared" si="46"/>
        <v>0.8</v>
      </c>
      <c r="AQ193">
        <f t="shared" si="47"/>
        <v>1</v>
      </c>
      <c r="AR193">
        <f t="shared" si="48"/>
        <v>1</v>
      </c>
      <c r="AS193" cm="1">
        <f t="array" ref="AS193">_xlfn.IFS(AF193&gt;'“主要目标”数据分表'!$C$2,1,AF193='“主要目标”数据分表'!$C$2,0,AF193&lt;'“主要目标”数据分表'!$C$2,-1)</f>
        <v>-1</v>
      </c>
      <c r="AT193" cm="1">
        <f t="array" ref="AT193">_xlfn.IFS(AG193&gt;'“主要目标”数据分表'!$D$2,1,AG193='“主要目标”数据分表'!$D$2,0,AG193&lt;'“主要目标”数据分表'!$D$2,-1)</f>
        <v>0</v>
      </c>
      <c r="AU193" cm="1">
        <f t="array" ref="AU193">_xlfn.IFS(AH193&gt;'“主要目标”数据分表'!$E$2,1,AH193='“主要目标”数据分表'!$E$2,0,AH193&lt;'“主要目标”数据分表'!$E$2,-1)</f>
        <v>0</v>
      </c>
      <c r="AV193" cm="1">
        <f t="array" ref="AV193">_xlfn.IFS(AI193&gt;'“主要目标”数据分表'!$F$2,1,AI193='“主要目标”数据分表'!$F$2,0,AI193&lt;'“主要目标”数据分表'!$F$2,-1)</f>
        <v>-1</v>
      </c>
      <c r="AW193" cm="1">
        <f t="array" ref="AW193">_xlfn.IFS(AJ193&gt;'“主要目标”数据分表'!$G$2,1,AJ193='“主要目标”数据分表'!$G$2,0,AJ193&lt;'“主要目标”数据分表'!$G$2,-1)</f>
        <v>0</v>
      </c>
    </row>
    <row r="194" spans="1:49" ht="14.4" x14ac:dyDescent="0.25">
      <c r="A194" s="2">
        <v>27</v>
      </c>
      <c r="B194" s="2" t="s">
        <v>42</v>
      </c>
      <c r="C194" s="2">
        <v>2016</v>
      </c>
      <c r="D194" s="2">
        <v>7300</v>
      </c>
      <c r="E194" s="19">
        <v>19181.833854291701</v>
      </c>
      <c r="F194" s="2">
        <v>7200.37</v>
      </c>
      <c r="G194" s="3">
        <v>1.0138367889427904</v>
      </c>
      <c r="H194" s="2"/>
      <c r="I194" s="16">
        <v>0.33078390940691293</v>
      </c>
      <c r="K194">
        <v>2.6640066905300284</v>
      </c>
      <c r="L194"/>
      <c r="M194" s="2">
        <v>0</v>
      </c>
      <c r="N194" s="2">
        <v>0</v>
      </c>
      <c r="O194" s="4">
        <v>1</v>
      </c>
      <c r="P194">
        <v>0.88683592469111916</v>
      </c>
      <c r="Q194">
        <v>0.70967741935483875</v>
      </c>
      <c r="R194">
        <v>0.66182155657962116</v>
      </c>
      <c r="S194">
        <v>1.2</v>
      </c>
      <c r="T194">
        <v>0.40000000000000019</v>
      </c>
      <c r="U194">
        <v>0.661993769470405</v>
      </c>
      <c r="V194">
        <v>0.5529197080291971</v>
      </c>
      <c r="W194">
        <v>0.44324324324324332</v>
      </c>
      <c r="X194">
        <v>0.53316949546846959</v>
      </c>
      <c r="Y194">
        <v>0.51001053740779756</v>
      </c>
      <c r="Z194">
        <v>0.47460613715444039</v>
      </c>
      <c r="AA194">
        <v>0.34285714285714286</v>
      </c>
      <c r="AB194">
        <v>0.23255813953488383</v>
      </c>
      <c r="AC194">
        <v>0.53507358470297584</v>
      </c>
      <c r="AD194">
        <v>0.59110086433811859</v>
      </c>
      <c r="AE194">
        <v>0.51711711711711728</v>
      </c>
      <c r="AF194">
        <v>0.3</v>
      </c>
      <c r="AG194">
        <v>0.125</v>
      </c>
      <c r="AH194">
        <v>0.18</v>
      </c>
      <c r="AI194">
        <v>0.35</v>
      </c>
      <c r="AJ194">
        <v>0.65</v>
      </c>
      <c r="AK194">
        <v>1.4999999999999998</v>
      </c>
      <c r="AL194">
        <v>0.92592592592592582</v>
      </c>
      <c r="AM194">
        <v>1</v>
      </c>
      <c r="AN194">
        <v>1.4</v>
      </c>
      <c r="AO194">
        <v>1</v>
      </c>
      <c r="AP194">
        <f t="shared" si="46"/>
        <v>1.4499999999999997</v>
      </c>
      <c r="AQ194">
        <f t="shared" si="47"/>
        <v>0.92592592592592582</v>
      </c>
      <c r="AR194">
        <f t="shared" si="48"/>
        <v>1</v>
      </c>
      <c r="AS194" cm="1">
        <f t="array" ref="AS194">_xlfn.IFS(AF194&gt;'“主要目标”数据分表'!$C$2,1,AF194='“主要目标”数据分表'!$C$2,0,AF194&lt;'“主要目标”数据分表'!$C$2,-1)</f>
        <v>1</v>
      </c>
      <c r="AT194" cm="1">
        <f t="array" ref="AT194">_xlfn.IFS(AG194&gt;'“主要目标”数据分表'!$D$2,1,AG194='“主要目标”数据分表'!$D$2,0,AG194&lt;'“主要目标”数据分表'!$D$2,-1)</f>
        <v>-1</v>
      </c>
      <c r="AU194" cm="1">
        <f t="array" ref="AU194">_xlfn.IFS(AH194&gt;'“主要目标”数据分表'!$E$2,1,AH194='“主要目标”数据分表'!$E$2,0,AH194&lt;'“主要目标”数据分表'!$E$2,-1)</f>
        <v>0</v>
      </c>
      <c r="AV194" cm="1">
        <f t="array" ref="AV194">_xlfn.IFS(AI194&gt;'“主要目标”数据分表'!$F$2,1,AI194='“主要目标”数据分表'!$F$2,0,AI194&lt;'“主要目标”数据分表'!$F$2,-1)</f>
        <v>1</v>
      </c>
      <c r="AW194" cm="1">
        <f t="array" ref="AW194">_xlfn.IFS(AJ194&gt;'“主要目标”数据分表'!$G$2,1,AJ194='“主要目标”数据分表'!$G$2,0,AJ194&lt;'“主要目标”数据分表'!$G$2,-1)</f>
        <v>0</v>
      </c>
    </row>
    <row r="195" spans="1:49" ht="14.4" x14ac:dyDescent="0.25">
      <c r="A195" s="2">
        <v>27</v>
      </c>
      <c r="B195" s="2" t="s">
        <v>42</v>
      </c>
      <c r="C195" s="2">
        <v>2017</v>
      </c>
      <c r="D195" s="2">
        <v>7504</v>
      </c>
      <c r="E195" s="19">
        <v>19944.243856408797</v>
      </c>
      <c r="F195" s="2">
        <v>7459.9</v>
      </c>
      <c r="G195" s="3">
        <v>1.0059116073942009</v>
      </c>
      <c r="H195" s="2">
        <f>(G195-G194)/G194</f>
        <v>-7.8170191050708302E-3</v>
      </c>
      <c r="I195" s="16">
        <v>0.40296175310354743</v>
      </c>
      <c r="J195" s="2">
        <f>(I195-I194)/I194</f>
        <v>0.21820240236608701</v>
      </c>
      <c r="K195">
        <v>2.673526971730023</v>
      </c>
      <c r="L195">
        <f t="shared" si="49"/>
        <v>3.5736701539966663E-3</v>
      </c>
      <c r="M195" s="2">
        <v>0</v>
      </c>
      <c r="N195" s="2">
        <v>0</v>
      </c>
      <c r="O195" s="4">
        <v>1</v>
      </c>
      <c r="P195">
        <v>0.88683592469111916</v>
      </c>
      <c r="Q195">
        <v>0.70967741935483875</v>
      </c>
      <c r="R195">
        <v>0.66182155657962116</v>
      </c>
      <c r="S195">
        <v>1.2</v>
      </c>
      <c r="T195">
        <v>0.40000000000000019</v>
      </c>
      <c r="U195">
        <v>0.661993769470405</v>
      </c>
      <c r="V195">
        <v>0.5529197080291971</v>
      </c>
      <c r="W195">
        <v>0.44324324324324332</v>
      </c>
      <c r="X195">
        <v>0.53316949546846959</v>
      </c>
      <c r="Y195">
        <v>0.51001053740779756</v>
      </c>
      <c r="Z195">
        <v>0.47460613715444039</v>
      </c>
      <c r="AA195">
        <v>0.34285714285714286</v>
      </c>
      <c r="AB195">
        <v>0.23255813953488383</v>
      </c>
      <c r="AC195">
        <v>0.53507358470297584</v>
      </c>
      <c r="AD195">
        <v>0.59110086433811859</v>
      </c>
      <c r="AE195">
        <v>0.51711711711711728</v>
      </c>
      <c r="AF195">
        <v>0.3</v>
      </c>
      <c r="AG195">
        <v>0.125</v>
      </c>
      <c r="AH195">
        <v>0.18</v>
      </c>
      <c r="AI195">
        <v>0.35</v>
      </c>
      <c r="AJ195">
        <v>0.65</v>
      </c>
      <c r="AK195">
        <v>1.4999999999999998</v>
      </c>
      <c r="AL195">
        <v>0.92592592592592582</v>
      </c>
      <c r="AM195">
        <v>1</v>
      </c>
      <c r="AN195">
        <v>1.4</v>
      </c>
      <c r="AO195">
        <v>1</v>
      </c>
      <c r="AP195">
        <f t="shared" ref="AP195:AP222" si="66">AVERAGE(AK195,AN195)</f>
        <v>1.4499999999999997</v>
      </c>
      <c r="AQ195">
        <f t="shared" ref="AQ195:AQ222" si="67">AVERAGE(AL195)</f>
        <v>0.92592592592592582</v>
      </c>
      <c r="AR195">
        <f t="shared" ref="AR195:AR222" si="68">AVERAGE(AM195,AO195)</f>
        <v>1</v>
      </c>
      <c r="AS195" cm="1">
        <f t="array" ref="AS195">_xlfn.IFS(AF195&gt;'“主要目标”数据分表'!$C$2,1,AF195='“主要目标”数据分表'!$C$2,0,AF195&lt;'“主要目标”数据分表'!$C$2,-1)</f>
        <v>1</v>
      </c>
      <c r="AT195" cm="1">
        <f t="array" ref="AT195">_xlfn.IFS(AG195&gt;'“主要目标”数据分表'!$D$2,1,AG195='“主要目标”数据分表'!$D$2,0,AG195&lt;'“主要目标”数据分表'!$D$2,-1)</f>
        <v>-1</v>
      </c>
      <c r="AU195" cm="1">
        <f t="array" ref="AU195">_xlfn.IFS(AH195&gt;'“主要目标”数据分表'!$E$2,1,AH195='“主要目标”数据分表'!$E$2,0,AH195&lt;'“主要目标”数据分表'!$E$2,-1)</f>
        <v>0</v>
      </c>
      <c r="AV195" cm="1">
        <f t="array" ref="AV195">_xlfn.IFS(AI195&gt;'“主要目标”数据分表'!$F$2,1,AI195='“主要目标”数据分表'!$F$2,0,AI195&lt;'“主要目标”数据分表'!$F$2,-1)</f>
        <v>1</v>
      </c>
      <c r="AW195" cm="1">
        <f t="array" ref="AW195">_xlfn.IFS(AJ195&gt;'“主要目标”数据分表'!$G$2,1,AJ195='“主要目标”数据分表'!$G$2,0,AJ195&lt;'“主要目标”数据分表'!$G$2,-1)</f>
        <v>0</v>
      </c>
    </row>
    <row r="196" spans="1:49" ht="14.4" x14ac:dyDescent="0.25">
      <c r="A196" s="2">
        <v>27</v>
      </c>
      <c r="B196" s="2" t="s">
        <v>42</v>
      </c>
      <c r="C196" s="2">
        <v>2018</v>
      </c>
      <c r="D196" s="2">
        <v>7823</v>
      </c>
      <c r="E196" s="19">
        <v>20546.416680684302</v>
      </c>
      <c r="F196" s="2">
        <v>8246.07</v>
      </c>
      <c r="G196" s="3">
        <v>0.94869434773170735</v>
      </c>
      <c r="H196" s="2">
        <f t="shared" ref="H196:H201" si="69">(G196-G195)/G195</f>
        <v>-5.6881001513357662E-2</v>
      </c>
      <c r="I196" s="16">
        <v>0.40494791589549584</v>
      </c>
      <c r="J196" s="2">
        <f t="shared" ref="J196:J199" si="70">(I196-I195)/I195</f>
        <v>4.928911433036259E-3</v>
      </c>
      <c r="K196">
        <v>2.4916616861952789</v>
      </c>
      <c r="L196">
        <f t="shared" ref="L196:L222" si="71">(K196-K195)/K195</f>
        <v>-6.8024481315428847E-2</v>
      </c>
      <c r="M196" s="2">
        <v>0</v>
      </c>
      <c r="N196" s="2">
        <v>0</v>
      </c>
      <c r="O196" s="4">
        <v>1</v>
      </c>
      <c r="P196">
        <v>0.88683592469111916</v>
      </c>
      <c r="Q196">
        <v>0.70967741935483875</v>
      </c>
      <c r="R196">
        <v>0.66182155657962116</v>
      </c>
      <c r="S196">
        <v>1.2</v>
      </c>
      <c r="T196">
        <v>0.40000000000000019</v>
      </c>
      <c r="U196">
        <v>0.661993769470405</v>
      </c>
      <c r="V196">
        <v>0.5529197080291971</v>
      </c>
      <c r="W196">
        <v>0.44324324324324332</v>
      </c>
      <c r="X196">
        <v>0.53316949546846959</v>
      </c>
      <c r="Y196">
        <v>0.51001053740779756</v>
      </c>
      <c r="Z196">
        <v>0.47460613715444039</v>
      </c>
      <c r="AA196">
        <v>0.34285714285714286</v>
      </c>
      <c r="AB196">
        <v>0.23255813953488383</v>
      </c>
      <c r="AC196">
        <v>0.53507358470297584</v>
      </c>
      <c r="AD196">
        <v>0.59110086433811859</v>
      </c>
      <c r="AE196">
        <v>0.51711711711711728</v>
      </c>
      <c r="AF196">
        <v>0.3</v>
      </c>
      <c r="AG196">
        <v>0.125</v>
      </c>
      <c r="AH196">
        <v>0.18</v>
      </c>
      <c r="AI196">
        <v>0.35</v>
      </c>
      <c r="AJ196">
        <v>0.65</v>
      </c>
      <c r="AK196">
        <v>1.4999999999999998</v>
      </c>
      <c r="AL196">
        <v>0.92592592592592582</v>
      </c>
      <c r="AM196">
        <v>1</v>
      </c>
      <c r="AN196">
        <v>1.4</v>
      </c>
      <c r="AO196">
        <v>1</v>
      </c>
      <c r="AP196">
        <f t="shared" si="66"/>
        <v>1.4499999999999997</v>
      </c>
      <c r="AQ196">
        <f t="shared" si="67"/>
        <v>0.92592592592592582</v>
      </c>
      <c r="AR196">
        <f t="shared" si="68"/>
        <v>1</v>
      </c>
      <c r="AS196" cm="1">
        <f t="array" ref="AS196">_xlfn.IFS(AF196&gt;'“主要目标”数据分表'!$C$2,1,AF196='“主要目标”数据分表'!$C$2,0,AF196&lt;'“主要目标”数据分表'!$C$2,-1)</f>
        <v>1</v>
      </c>
      <c r="AT196" cm="1">
        <f t="array" ref="AT196">_xlfn.IFS(AG196&gt;'“主要目标”数据分表'!$D$2,1,AG196='“主要目标”数据分表'!$D$2,0,AG196&lt;'“主要目标”数据分表'!$D$2,-1)</f>
        <v>-1</v>
      </c>
      <c r="AU196" cm="1">
        <f t="array" ref="AU196">_xlfn.IFS(AH196&gt;'“主要目标”数据分表'!$E$2,1,AH196='“主要目标”数据分表'!$E$2,0,AH196&lt;'“主要目标”数据分表'!$E$2,-1)</f>
        <v>0</v>
      </c>
      <c r="AV196" cm="1">
        <f t="array" ref="AV196">_xlfn.IFS(AI196&gt;'“主要目标”数据分表'!$F$2,1,AI196='“主要目标”数据分表'!$F$2,0,AI196&lt;'“主要目标”数据分表'!$F$2,-1)</f>
        <v>1</v>
      </c>
      <c r="AW196" cm="1">
        <f t="array" ref="AW196">_xlfn.IFS(AJ196&gt;'“主要目标”数据分表'!$G$2,1,AJ196='“主要目标”数据分表'!$G$2,0,AJ196&lt;'“主要目标”数据分表'!$G$2,-1)</f>
        <v>0</v>
      </c>
    </row>
    <row r="197" spans="1:49" ht="14.4" x14ac:dyDescent="0.25">
      <c r="A197" s="2">
        <v>27</v>
      </c>
      <c r="B197" s="2" t="s">
        <v>42</v>
      </c>
      <c r="C197" s="2">
        <v>2019</v>
      </c>
      <c r="D197" s="2">
        <v>7818</v>
      </c>
      <c r="E197" s="19">
        <v>20869.8425777056</v>
      </c>
      <c r="F197" s="2">
        <v>8718.2999999999993</v>
      </c>
      <c r="G197" s="3">
        <v>0.89673445511166172</v>
      </c>
      <c r="H197" s="2">
        <f t="shared" si="69"/>
        <v>-5.4769897959526997E-2</v>
      </c>
      <c r="I197" s="16">
        <v>0.41570728979798016</v>
      </c>
      <c r="J197" s="2">
        <f t="shared" si="70"/>
        <v>2.656977225994905E-2</v>
      </c>
      <c r="K197">
        <v>2.3937972514946266</v>
      </c>
      <c r="L197">
        <f t="shared" si="71"/>
        <v>-3.9276774709366538E-2</v>
      </c>
      <c r="M197" s="2">
        <v>0</v>
      </c>
      <c r="N197" s="2">
        <v>0</v>
      </c>
      <c r="O197" s="4">
        <v>1</v>
      </c>
      <c r="P197">
        <v>0.88683592469111916</v>
      </c>
      <c r="Q197">
        <v>0.70967741935483875</v>
      </c>
      <c r="R197">
        <v>0.66182155657962116</v>
      </c>
      <c r="S197">
        <v>1.2</v>
      </c>
      <c r="T197">
        <v>0.40000000000000019</v>
      </c>
      <c r="U197">
        <v>0.661993769470405</v>
      </c>
      <c r="V197">
        <v>0.5529197080291971</v>
      </c>
      <c r="W197">
        <v>0.44324324324324332</v>
      </c>
      <c r="X197">
        <v>0.53316949546846959</v>
      </c>
      <c r="Y197">
        <v>0.51001053740779756</v>
      </c>
      <c r="Z197">
        <v>0.47460613715444039</v>
      </c>
      <c r="AA197">
        <v>0.34285714285714286</v>
      </c>
      <c r="AB197">
        <v>0.23255813953488383</v>
      </c>
      <c r="AC197">
        <v>0.53507358470297584</v>
      </c>
      <c r="AD197">
        <v>0.59110086433811859</v>
      </c>
      <c r="AE197">
        <v>0.51711711711711728</v>
      </c>
      <c r="AF197">
        <v>0.3</v>
      </c>
      <c r="AG197">
        <v>0.125</v>
      </c>
      <c r="AH197">
        <v>0.18</v>
      </c>
      <c r="AI197">
        <v>0.35</v>
      </c>
      <c r="AJ197">
        <v>0.65</v>
      </c>
      <c r="AK197">
        <v>1.4999999999999998</v>
      </c>
      <c r="AL197">
        <v>0.92592592592592582</v>
      </c>
      <c r="AM197">
        <v>1</v>
      </c>
      <c r="AN197">
        <v>1.4</v>
      </c>
      <c r="AO197">
        <v>1</v>
      </c>
      <c r="AP197">
        <f t="shared" si="66"/>
        <v>1.4499999999999997</v>
      </c>
      <c r="AQ197">
        <f t="shared" si="67"/>
        <v>0.92592592592592582</v>
      </c>
      <c r="AR197">
        <f t="shared" si="68"/>
        <v>1</v>
      </c>
      <c r="AS197" cm="1">
        <f t="array" ref="AS197">_xlfn.IFS(AF197&gt;'“主要目标”数据分表'!$C$2,1,AF197='“主要目标”数据分表'!$C$2,0,AF197&lt;'“主要目标”数据分表'!$C$2,-1)</f>
        <v>1</v>
      </c>
      <c r="AT197" cm="1">
        <f t="array" ref="AT197">_xlfn.IFS(AG197&gt;'“主要目标”数据分表'!$D$2,1,AG197='“主要目标”数据分表'!$D$2,0,AG197&lt;'“主要目标”数据分表'!$D$2,-1)</f>
        <v>-1</v>
      </c>
      <c r="AU197" cm="1">
        <f t="array" ref="AU197">_xlfn.IFS(AH197&gt;'“主要目标”数据分表'!$E$2,1,AH197='“主要目标”数据分表'!$E$2,0,AH197&lt;'“主要目标”数据分表'!$E$2,-1)</f>
        <v>0</v>
      </c>
      <c r="AV197" cm="1">
        <f t="array" ref="AV197">_xlfn.IFS(AI197&gt;'“主要目标”数据分表'!$F$2,1,AI197='“主要目标”数据分表'!$F$2,0,AI197&lt;'“主要目标”数据分表'!$F$2,-1)</f>
        <v>1</v>
      </c>
      <c r="AW197" cm="1">
        <f t="array" ref="AW197">_xlfn.IFS(AJ197&gt;'“主要目标”数据分表'!$G$2,1,AJ197='“主要目标”数据分表'!$G$2,0,AJ197&lt;'“主要目标”数据分表'!$G$2,-1)</f>
        <v>0</v>
      </c>
    </row>
    <row r="198" spans="1:49" ht="14.4" x14ac:dyDescent="0.25">
      <c r="A198" s="2">
        <v>27</v>
      </c>
      <c r="B198" s="2" t="s">
        <v>42</v>
      </c>
      <c r="C198" s="2">
        <v>2020</v>
      </c>
      <c r="D198" s="2">
        <v>8104.71</v>
      </c>
      <c r="E198" s="19">
        <v>21370.050814898801</v>
      </c>
      <c r="F198" s="2">
        <v>9016.7000000000007</v>
      </c>
      <c r="G198" s="3">
        <v>0.89885545709627679</v>
      </c>
      <c r="H198" s="2">
        <f t="shared" si="69"/>
        <v>2.3652509084765337E-3</v>
      </c>
      <c r="I198" s="16">
        <v>0.43627577504040621</v>
      </c>
      <c r="J198" s="2">
        <f t="shared" si="70"/>
        <v>4.9478288563141737E-2</v>
      </c>
      <c r="K198">
        <v>2.3700523267823925</v>
      </c>
      <c r="L198">
        <f t="shared" si="71"/>
        <v>-9.9193549902391997E-3</v>
      </c>
      <c r="M198" s="2">
        <v>0</v>
      </c>
      <c r="N198" s="2">
        <v>0</v>
      </c>
      <c r="O198" s="4">
        <v>1</v>
      </c>
      <c r="P198">
        <v>0.88683592469111916</v>
      </c>
      <c r="Q198">
        <v>0.70967741935483875</v>
      </c>
      <c r="R198">
        <v>0.66182155657962116</v>
      </c>
      <c r="S198">
        <v>1.2</v>
      </c>
      <c r="T198">
        <v>0.40000000000000019</v>
      </c>
      <c r="U198">
        <v>0.661993769470405</v>
      </c>
      <c r="V198">
        <v>0.5529197080291971</v>
      </c>
      <c r="W198">
        <v>0.44324324324324332</v>
      </c>
      <c r="X198">
        <v>0.53316949546846959</v>
      </c>
      <c r="Y198">
        <v>0.51001053740779756</v>
      </c>
      <c r="Z198">
        <v>0.47460613715444039</v>
      </c>
      <c r="AA198">
        <v>0.34285714285714286</v>
      </c>
      <c r="AB198">
        <v>0.23255813953488383</v>
      </c>
      <c r="AC198">
        <v>0.53507358470297584</v>
      </c>
      <c r="AD198">
        <v>0.59110086433811859</v>
      </c>
      <c r="AE198">
        <v>0.51711711711711728</v>
      </c>
      <c r="AF198">
        <v>0.3</v>
      </c>
      <c r="AG198">
        <v>0.125</v>
      </c>
      <c r="AH198">
        <v>0.18</v>
      </c>
      <c r="AI198">
        <v>0.35</v>
      </c>
      <c r="AJ198">
        <v>0.65</v>
      </c>
      <c r="AK198">
        <v>1.4999999999999998</v>
      </c>
      <c r="AL198">
        <v>0.92592592592592582</v>
      </c>
      <c r="AM198">
        <v>1</v>
      </c>
      <c r="AN198">
        <v>1.4</v>
      </c>
      <c r="AO198">
        <v>1</v>
      </c>
      <c r="AP198">
        <f t="shared" si="66"/>
        <v>1.4499999999999997</v>
      </c>
      <c r="AQ198">
        <f t="shared" si="67"/>
        <v>0.92592592592592582</v>
      </c>
      <c r="AR198">
        <f t="shared" si="68"/>
        <v>1</v>
      </c>
      <c r="AS198" cm="1">
        <f t="array" ref="AS198">_xlfn.IFS(AF198&gt;'“主要目标”数据分表'!$C$2,1,AF198='“主要目标”数据分表'!$C$2,0,AF198&lt;'“主要目标”数据分表'!$C$2,-1)</f>
        <v>1</v>
      </c>
      <c r="AT198" cm="1">
        <f t="array" ref="AT198">_xlfn.IFS(AG198&gt;'“主要目标”数据分表'!$D$2,1,AG198='“主要目标”数据分表'!$D$2,0,AG198&lt;'“主要目标”数据分表'!$D$2,-1)</f>
        <v>-1</v>
      </c>
      <c r="AU198" cm="1">
        <f t="array" ref="AU198">_xlfn.IFS(AH198&gt;'“主要目标”数据分表'!$E$2,1,AH198='“主要目标”数据分表'!$E$2,0,AH198&lt;'“主要目标”数据分表'!$E$2,-1)</f>
        <v>0</v>
      </c>
      <c r="AV198" cm="1">
        <f t="array" ref="AV198">_xlfn.IFS(AI198&gt;'“主要目标”数据分表'!$F$2,1,AI198='“主要目标”数据分表'!$F$2,0,AI198&lt;'“主要目标”数据分表'!$F$2,-1)</f>
        <v>1</v>
      </c>
      <c r="AW198" cm="1">
        <f t="array" ref="AW198">_xlfn.IFS(AJ198&gt;'“主要目标”数据分表'!$G$2,1,AJ198='“主要目标”数据分表'!$G$2,0,AJ198&lt;'“主要目标”数据分表'!$G$2,-1)</f>
        <v>0</v>
      </c>
    </row>
    <row r="199" spans="1:49" ht="14.4" x14ac:dyDescent="0.25">
      <c r="A199" s="2">
        <v>27</v>
      </c>
      <c r="B199" s="2" t="s">
        <v>42</v>
      </c>
      <c r="C199" s="2">
        <v>2021</v>
      </c>
      <c r="D199" s="2">
        <v>8434.23</v>
      </c>
      <c r="E199" s="19">
        <v>22608.0748696179</v>
      </c>
      <c r="F199" s="2">
        <v>10243.3051</v>
      </c>
      <c r="G199" s="3">
        <v>0.82338951321483145</v>
      </c>
      <c r="H199" s="2">
        <f t="shared" si="69"/>
        <v>-8.3957819119478458E-2</v>
      </c>
      <c r="I199" s="16">
        <v>0.4432037740501743</v>
      </c>
      <c r="J199" s="2">
        <f t="shared" si="70"/>
        <v>1.5879861789544578E-2</v>
      </c>
      <c r="K199">
        <v>2.2071074373854098</v>
      </c>
      <c r="L199">
        <f t="shared" si="71"/>
        <v>-6.8751599935431965E-2</v>
      </c>
      <c r="M199" s="2">
        <v>0</v>
      </c>
      <c r="N199" s="2">
        <v>0</v>
      </c>
      <c r="O199" s="4">
        <v>1</v>
      </c>
      <c r="P199">
        <v>0.88683592469111916</v>
      </c>
      <c r="Q199">
        <v>0.70967741935483875</v>
      </c>
      <c r="R199">
        <v>0.66182155657962116</v>
      </c>
      <c r="S199">
        <v>1.2</v>
      </c>
      <c r="T199">
        <v>0.40000000000000019</v>
      </c>
      <c r="U199">
        <v>0.661993769470405</v>
      </c>
      <c r="V199">
        <v>0.5529197080291971</v>
      </c>
      <c r="W199">
        <v>0.44324324324324332</v>
      </c>
      <c r="X199">
        <v>0.53316949546846959</v>
      </c>
      <c r="Y199">
        <v>0.51001053740779756</v>
      </c>
      <c r="Z199">
        <v>0.47460613715444039</v>
      </c>
      <c r="AA199">
        <v>0.34285714285714286</v>
      </c>
      <c r="AB199">
        <v>0.23255813953488383</v>
      </c>
      <c r="AC199">
        <v>0.53507358470297584</v>
      </c>
      <c r="AD199">
        <v>0.59110086433811859</v>
      </c>
      <c r="AE199">
        <v>0.51711711711711728</v>
      </c>
      <c r="AF199">
        <v>0.3</v>
      </c>
      <c r="AG199">
        <v>0.125</v>
      </c>
      <c r="AH199">
        <v>0.18</v>
      </c>
      <c r="AI199">
        <v>0.35</v>
      </c>
      <c r="AJ199">
        <v>0.65</v>
      </c>
      <c r="AK199">
        <v>1.4999999999999998</v>
      </c>
      <c r="AL199">
        <v>0.92592592592592582</v>
      </c>
      <c r="AM199">
        <v>1</v>
      </c>
      <c r="AN199">
        <v>1.4</v>
      </c>
      <c r="AO199">
        <v>1</v>
      </c>
      <c r="AP199">
        <f t="shared" si="66"/>
        <v>1.4499999999999997</v>
      </c>
      <c r="AQ199">
        <f t="shared" si="67"/>
        <v>0.92592592592592582</v>
      </c>
      <c r="AR199">
        <f t="shared" si="68"/>
        <v>1</v>
      </c>
      <c r="AS199" cm="1">
        <f t="array" ref="AS199">_xlfn.IFS(AF199&gt;'“主要目标”数据分表'!$C$2,1,AF199='“主要目标”数据分表'!$C$2,0,AF199&lt;'“主要目标”数据分表'!$C$2,-1)</f>
        <v>1</v>
      </c>
      <c r="AT199" cm="1">
        <f t="array" ref="AT199">_xlfn.IFS(AG199&gt;'“主要目标”数据分表'!$D$2,1,AG199='“主要目标”数据分表'!$D$2,0,AG199&lt;'“主要目标”数据分表'!$D$2,-1)</f>
        <v>-1</v>
      </c>
      <c r="AU199" cm="1">
        <f t="array" ref="AU199">_xlfn.IFS(AH199&gt;'“主要目标”数据分表'!$E$2,1,AH199='“主要目标”数据分表'!$E$2,0,AH199&lt;'“主要目标”数据分表'!$E$2,-1)</f>
        <v>0</v>
      </c>
      <c r="AV199" cm="1">
        <f t="array" ref="AV199">_xlfn.IFS(AI199&gt;'“主要目标”数据分表'!$F$2,1,AI199='“主要目标”数据分表'!$F$2,0,AI199&lt;'“主要目标”数据分表'!$F$2,-1)</f>
        <v>1</v>
      </c>
      <c r="AW199" cm="1">
        <f t="array" ref="AW199">_xlfn.IFS(AJ199&gt;'“主要目标”数据分表'!$G$2,1,AJ199='“主要目标”数据分表'!$G$2,0,AJ199&lt;'“主要目标”数据分表'!$G$2,-1)</f>
        <v>0</v>
      </c>
    </row>
    <row r="200" spans="1:49" ht="14.4" x14ac:dyDescent="0.25">
      <c r="A200" s="2">
        <v>27</v>
      </c>
      <c r="B200" s="2" t="s">
        <v>42</v>
      </c>
      <c r="C200" s="2">
        <v>2022</v>
      </c>
      <c r="D200" s="2">
        <v>8667.8942305642304</v>
      </c>
      <c r="E200" s="19">
        <v>22500.0927581738</v>
      </c>
      <c r="F200" s="2">
        <v>11201.6</v>
      </c>
      <c r="G200" s="3">
        <v>0.77380858364557115</v>
      </c>
      <c r="H200" s="2">
        <f t="shared" si="69"/>
        <v>-6.0215643718459756E-2</v>
      </c>
      <c r="K200">
        <v>2.0086499034221719</v>
      </c>
      <c r="L200">
        <f t="shared" si="71"/>
        <v>-8.9917477781840699E-2</v>
      </c>
      <c r="M200" s="2">
        <v>1</v>
      </c>
      <c r="N200" s="2">
        <v>0</v>
      </c>
      <c r="O200" s="4">
        <v>1</v>
      </c>
      <c r="P200">
        <v>0.88683592469111916</v>
      </c>
      <c r="Q200">
        <v>0.70967741935483875</v>
      </c>
      <c r="R200">
        <v>0.66182155657962116</v>
      </c>
      <c r="S200">
        <v>1.2</v>
      </c>
      <c r="T200">
        <v>0.40000000000000019</v>
      </c>
      <c r="U200">
        <v>0.661993769470405</v>
      </c>
      <c r="V200">
        <v>0.5529197080291971</v>
      </c>
      <c r="W200">
        <v>0.44324324324324332</v>
      </c>
      <c r="X200">
        <v>0.53316949546846959</v>
      </c>
      <c r="Y200">
        <v>0.51001053740779756</v>
      </c>
      <c r="Z200">
        <v>0.47460613715444039</v>
      </c>
      <c r="AA200">
        <v>0.34285714285714286</v>
      </c>
      <c r="AB200">
        <v>0.23255813953488383</v>
      </c>
      <c r="AC200">
        <v>0.53507358470297584</v>
      </c>
      <c r="AD200">
        <v>0.59110086433811859</v>
      </c>
      <c r="AE200">
        <v>0.51711711711711728</v>
      </c>
      <c r="AF200">
        <v>0.3</v>
      </c>
      <c r="AG200">
        <v>0.125</v>
      </c>
      <c r="AH200">
        <v>0.18</v>
      </c>
      <c r="AI200">
        <v>0.35</v>
      </c>
      <c r="AJ200">
        <v>0.65</v>
      </c>
      <c r="AK200">
        <v>1.4999999999999998</v>
      </c>
      <c r="AL200">
        <v>0.92592592592592582</v>
      </c>
      <c r="AM200">
        <v>1</v>
      </c>
      <c r="AN200">
        <v>1.4</v>
      </c>
      <c r="AO200">
        <v>1</v>
      </c>
      <c r="AP200">
        <f t="shared" si="66"/>
        <v>1.4499999999999997</v>
      </c>
      <c r="AQ200">
        <f t="shared" si="67"/>
        <v>0.92592592592592582</v>
      </c>
      <c r="AR200">
        <f t="shared" si="68"/>
        <v>1</v>
      </c>
      <c r="AS200" cm="1">
        <f t="array" ref="AS200">_xlfn.IFS(AF200&gt;'“主要目标”数据分表'!$C$2,1,AF200='“主要目标”数据分表'!$C$2,0,AF200&lt;'“主要目标”数据分表'!$C$2,-1)</f>
        <v>1</v>
      </c>
      <c r="AT200" cm="1">
        <f t="array" ref="AT200">_xlfn.IFS(AG200&gt;'“主要目标”数据分表'!$D$2,1,AG200='“主要目标”数据分表'!$D$2,0,AG200&lt;'“主要目标”数据分表'!$D$2,-1)</f>
        <v>-1</v>
      </c>
      <c r="AU200" cm="1">
        <f t="array" ref="AU200">_xlfn.IFS(AH200&gt;'“主要目标”数据分表'!$E$2,1,AH200='“主要目标”数据分表'!$E$2,0,AH200&lt;'“主要目标”数据分表'!$E$2,-1)</f>
        <v>0</v>
      </c>
      <c r="AV200" cm="1">
        <f t="array" ref="AV200">_xlfn.IFS(AI200&gt;'“主要目标”数据分表'!$F$2,1,AI200='“主要目标”数据分表'!$F$2,0,AI200&lt;'“主要目标”数据分表'!$F$2,-1)</f>
        <v>1</v>
      </c>
      <c r="AW200" cm="1">
        <f t="array" ref="AW200">_xlfn.IFS(AJ200&gt;'“主要目标”数据分表'!$G$2,1,AJ200='“主要目标”数据分表'!$G$2,0,AJ200&lt;'“主要目标”数据分表'!$G$2,-1)</f>
        <v>0</v>
      </c>
    </row>
    <row r="201" spans="1:49" ht="14.4" x14ac:dyDescent="0.25">
      <c r="A201" s="2">
        <v>27</v>
      </c>
      <c r="B201" s="6" t="s">
        <v>43</v>
      </c>
      <c r="C201" s="2">
        <v>2023</v>
      </c>
      <c r="D201" s="2">
        <v>9088.69</v>
      </c>
      <c r="E201" s="19">
        <v>24608.367287428202</v>
      </c>
      <c r="F201" s="2">
        <v>11863.8</v>
      </c>
      <c r="G201" s="3">
        <v>0.7660859083936008</v>
      </c>
      <c r="H201" s="2">
        <f t="shared" si="69"/>
        <v>-9.9800847589299625E-3</v>
      </c>
      <c r="I201" s="16">
        <v>0.36886990577557244</v>
      </c>
      <c r="K201">
        <v>2.0742398967808127</v>
      </c>
      <c r="L201">
        <f t="shared" si="71"/>
        <v>3.2653770697867249E-2</v>
      </c>
      <c r="M201" s="2">
        <v>1</v>
      </c>
      <c r="N201" s="2">
        <v>1</v>
      </c>
      <c r="O201" s="4">
        <v>1</v>
      </c>
      <c r="P201">
        <v>0.88683592469111916</v>
      </c>
      <c r="Q201">
        <v>0.70967741935483875</v>
      </c>
      <c r="R201">
        <v>0.66182155657962116</v>
      </c>
      <c r="S201">
        <v>1.2</v>
      </c>
      <c r="T201">
        <v>0.40000000000000019</v>
      </c>
      <c r="U201">
        <v>0.661993769470405</v>
      </c>
      <c r="V201">
        <v>0.5529197080291971</v>
      </c>
      <c r="W201">
        <v>0.44324324324324332</v>
      </c>
      <c r="X201">
        <v>0.53316949546846959</v>
      </c>
      <c r="Y201">
        <v>0.51001053740779756</v>
      </c>
      <c r="Z201">
        <v>0.47460613715444039</v>
      </c>
      <c r="AA201">
        <v>0.34285714285714286</v>
      </c>
      <c r="AB201">
        <v>0.23255813953488383</v>
      </c>
      <c r="AC201">
        <v>0.53507358470297584</v>
      </c>
      <c r="AD201">
        <v>0.59110086433811859</v>
      </c>
      <c r="AE201">
        <v>0.51711711711711728</v>
      </c>
      <c r="AF201">
        <v>0.3</v>
      </c>
      <c r="AG201">
        <v>0.125</v>
      </c>
      <c r="AH201">
        <v>0.18</v>
      </c>
      <c r="AI201">
        <v>0.35</v>
      </c>
      <c r="AJ201">
        <v>0.65</v>
      </c>
      <c r="AK201">
        <v>1.4999999999999998</v>
      </c>
      <c r="AL201">
        <v>0.92592592592592582</v>
      </c>
      <c r="AM201">
        <v>1</v>
      </c>
      <c r="AN201">
        <v>1.4</v>
      </c>
      <c r="AO201">
        <v>1</v>
      </c>
      <c r="AP201">
        <f t="shared" si="66"/>
        <v>1.4499999999999997</v>
      </c>
      <c r="AQ201">
        <f t="shared" si="67"/>
        <v>0.92592592592592582</v>
      </c>
      <c r="AR201">
        <f t="shared" si="68"/>
        <v>1</v>
      </c>
      <c r="AS201" cm="1">
        <f t="array" ref="AS201">_xlfn.IFS(AF201&gt;'“主要目标”数据分表'!$C$2,1,AF201='“主要目标”数据分表'!$C$2,0,AF201&lt;'“主要目标”数据分表'!$C$2,-1)</f>
        <v>1</v>
      </c>
      <c r="AT201" cm="1">
        <f t="array" ref="AT201">_xlfn.IFS(AG201&gt;'“主要目标”数据分表'!$D$2,1,AG201='“主要目标”数据分表'!$D$2,0,AG201&lt;'“主要目标”数据分表'!$D$2,-1)</f>
        <v>-1</v>
      </c>
      <c r="AU201" cm="1">
        <f t="array" ref="AU201">_xlfn.IFS(AH201&gt;'“主要目标”数据分表'!$E$2,1,AH201='“主要目标”数据分表'!$E$2,0,AH201&lt;'“主要目标”数据分表'!$E$2,-1)</f>
        <v>0</v>
      </c>
      <c r="AV201" cm="1">
        <f t="array" ref="AV201">_xlfn.IFS(AI201&gt;'“主要目标”数据分表'!$F$2,1,AI201='“主要目标”数据分表'!$F$2,0,AI201&lt;'“主要目标”数据分表'!$F$2,-1)</f>
        <v>1</v>
      </c>
      <c r="AW201" cm="1">
        <f t="array" ref="AW201">_xlfn.IFS(AJ201&gt;'“主要目标”数据分表'!$G$2,1,AJ201='“主要目标”数据分表'!$G$2,0,AJ201&lt;'“主要目标”数据分表'!$G$2,-1)</f>
        <v>0</v>
      </c>
    </row>
    <row r="202" spans="1:49" ht="14.4" x14ac:dyDescent="0.25">
      <c r="A202" s="2">
        <v>28</v>
      </c>
      <c r="B202" s="2" t="s">
        <v>44</v>
      </c>
      <c r="C202" s="2">
        <v>2016</v>
      </c>
      <c r="D202" s="2">
        <v>4101</v>
      </c>
      <c r="E202" s="19">
        <v>7859.1389316997602</v>
      </c>
      <c r="F202" s="2">
        <v>2572.4899999999998</v>
      </c>
      <c r="G202" s="3">
        <v>1.5941752931984188</v>
      </c>
      <c r="H202" s="2"/>
      <c r="I202" s="16">
        <v>0.34000430707597318</v>
      </c>
      <c r="K202">
        <v>3.0550707414605154</v>
      </c>
      <c r="L202"/>
      <c r="M202" s="2">
        <v>0</v>
      </c>
      <c r="N202" s="2">
        <v>0</v>
      </c>
      <c r="O202" s="4">
        <v>1</v>
      </c>
      <c r="P202">
        <v>0.79741336951507502</v>
      </c>
      <c r="Q202">
        <v>0.99853372434017595</v>
      </c>
      <c r="R202">
        <v>0.61287180561374111</v>
      </c>
      <c r="S202">
        <v>0.6</v>
      </c>
      <c r="T202">
        <v>0.62999999999999989</v>
      </c>
      <c r="U202">
        <v>0.83910034602076122</v>
      </c>
      <c r="V202">
        <v>0.42134831460674149</v>
      </c>
      <c r="W202">
        <v>0.2608695652173913</v>
      </c>
      <c r="X202">
        <v>0.16427876770966046</v>
      </c>
      <c r="Y202">
        <v>0.71759747102212823</v>
      </c>
      <c r="Z202">
        <v>0.43950324274185376</v>
      </c>
      <c r="AA202">
        <v>0.17142857142857143</v>
      </c>
      <c r="AB202">
        <v>0.36627906976744179</v>
      </c>
      <c r="AC202">
        <v>0.67822455554229821</v>
      </c>
      <c r="AD202">
        <v>0.45044397827523769</v>
      </c>
      <c r="AE202">
        <v>0.30434782608695654</v>
      </c>
      <c r="AF202">
        <v>0.52200000000000002</v>
      </c>
      <c r="AG202">
        <v>0.13500000000000001</v>
      </c>
      <c r="AH202">
        <v>0.18</v>
      </c>
      <c r="AI202">
        <v>0.55000000000000004</v>
      </c>
      <c r="AJ202">
        <v>0.65</v>
      </c>
      <c r="AK202">
        <v>2.61</v>
      </c>
      <c r="AL202">
        <v>1</v>
      </c>
      <c r="AM202">
        <v>1</v>
      </c>
      <c r="AN202">
        <v>2.2000000000000002</v>
      </c>
      <c r="AO202">
        <v>1</v>
      </c>
      <c r="AP202">
        <f t="shared" si="66"/>
        <v>2.4050000000000002</v>
      </c>
      <c r="AQ202">
        <f t="shared" si="67"/>
        <v>1</v>
      </c>
      <c r="AR202">
        <f t="shared" si="68"/>
        <v>1</v>
      </c>
      <c r="AS202" cm="1">
        <f t="array" ref="AS202">_xlfn.IFS(AF202&gt;'“主要目标”数据分表'!$C$2,1,AF202='“主要目标”数据分表'!$C$2,0,AF202&lt;'“主要目标”数据分表'!$C$2,-1)</f>
        <v>1</v>
      </c>
      <c r="AT202" cm="1">
        <f t="array" ref="AT202">_xlfn.IFS(AG202&gt;'“主要目标”数据分表'!$D$2,1,AG202='“主要目标”数据分表'!$D$2,0,AG202&lt;'“主要目标”数据分表'!$D$2,-1)</f>
        <v>0</v>
      </c>
      <c r="AU202" cm="1">
        <f t="array" ref="AU202">_xlfn.IFS(AH202&gt;'“主要目标”数据分表'!$E$2,1,AH202='“主要目标”数据分表'!$E$2,0,AH202&lt;'“主要目标”数据分表'!$E$2,-1)</f>
        <v>0</v>
      </c>
      <c r="AV202" cm="1">
        <f t="array" ref="AV202">_xlfn.IFS(AI202&gt;'“主要目标”数据分表'!$F$2,1,AI202='“主要目标”数据分表'!$F$2,0,AI202&lt;'“主要目标”数据分表'!$F$2,-1)</f>
        <v>1</v>
      </c>
      <c r="AW202" cm="1">
        <f t="array" ref="AW202">_xlfn.IFS(AJ202&gt;'“主要目标”数据分表'!$G$2,1,AJ202='“主要目标”数据分表'!$G$2,0,AJ202&lt;'“主要目标”数据分表'!$G$2,-1)</f>
        <v>0</v>
      </c>
    </row>
    <row r="203" spans="1:49" ht="14.4" x14ac:dyDescent="0.25">
      <c r="A203" s="2">
        <v>28</v>
      </c>
      <c r="B203" s="2" t="s">
        <v>44</v>
      </c>
      <c r="C203" s="2">
        <v>2017</v>
      </c>
      <c r="D203" s="2">
        <v>4193</v>
      </c>
      <c r="E203" s="19">
        <v>7988.1559485873595</v>
      </c>
      <c r="F203" s="2">
        <v>2624.83</v>
      </c>
      <c r="G203" s="3">
        <v>1.5974367863823562</v>
      </c>
      <c r="H203" s="2">
        <f>(G203-G202)/G202</f>
        <v>2.0458811511209914E-3</v>
      </c>
      <c r="I203" s="16">
        <v>0.38291037445180581</v>
      </c>
      <c r="J203" s="2">
        <f>(I203-I202)/I202</f>
        <v>0.12619271721827152</v>
      </c>
      <c r="K203">
        <v>3.0433041182047447</v>
      </c>
      <c r="L203">
        <f t="shared" si="71"/>
        <v>-3.8515059884163369E-3</v>
      </c>
      <c r="M203" s="2">
        <v>0</v>
      </c>
      <c r="N203" s="2">
        <v>0</v>
      </c>
      <c r="O203" s="4">
        <v>1</v>
      </c>
      <c r="P203">
        <v>0.79741336951507502</v>
      </c>
      <c r="Q203">
        <v>0.99853372434017595</v>
      </c>
      <c r="R203">
        <v>0.61287180561374111</v>
      </c>
      <c r="S203">
        <v>0.6</v>
      </c>
      <c r="T203">
        <v>0.62999999999999989</v>
      </c>
      <c r="U203">
        <v>0.83910034602076122</v>
      </c>
      <c r="V203">
        <v>0.42134831460674149</v>
      </c>
      <c r="W203">
        <v>0.2608695652173913</v>
      </c>
      <c r="X203">
        <v>0.16427876770966046</v>
      </c>
      <c r="Y203">
        <v>0.71759747102212823</v>
      </c>
      <c r="Z203">
        <v>0.43950324274185376</v>
      </c>
      <c r="AA203">
        <v>0.17142857142857143</v>
      </c>
      <c r="AB203">
        <v>0.36627906976744179</v>
      </c>
      <c r="AC203">
        <v>0.67822455554229821</v>
      </c>
      <c r="AD203">
        <v>0.45044397827523769</v>
      </c>
      <c r="AE203">
        <v>0.30434782608695654</v>
      </c>
      <c r="AF203">
        <v>0.52200000000000002</v>
      </c>
      <c r="AG203">
        <v>0.13500000000000001</v>
      </c>
      <c r="AH203">
        <v>0.18</v>
      </c>
      <c r="AI203">
        <v>0.55000000000000004</v>
      </c>
      <c r="AJ203">
        <v>0.65</v>
      </c>
      <c r="AK203">
        <v>2.61</v>
      </c>
      <c r="AL203">
        <v>1</v>
      </c>
      <c r="AM203">
        <v>1</v>
      </c>
      <c r="AN203">
        <v>2.2000000000000002</v>
      </c>
      <c r="AO203">
        <v>1</v>
      </c>
      <c r="AP203">
        <f t="shared" si="66"/>
        <v>2.4050000000000002</v>
      </c>
      <c r="AQ203">
        <f t="shared" si="67"/>
        <v>1</v>
      </c>
      <c r="AR203">
        <f t="shared" si="68"/>
        <v>1</v>
      </c>
      <c r="AS203" cm="1">
        <f t="array" ref="AS203">_xlfn.IFS(AF203&gt;'“主要目标”数据分表'!$C$2,1,AF203='“主要目标”数据分表'!$C$2,0,AF203&lt;'“主要目标”数据分表'!$C$2,-1)</f>
        <v>1</v>
      </c>
      <c r="AT203" cm="1">
        <f t="array" ref="AT203">_xlfn.IFS(AG203&gt;'“主要目标”数据分表'!$D$2,1,AG203='“主要目标”数据分表'!$D$2,0,AG203&lt;'“主要目标”数据分表'!$D$2,-1)</f>
        <v>0</v>
      </c>
      <c r="AU203" cm="1">
        <f t="array" ref="AU203">_xlfn.IFS(AH203&gt;'“主要目标”数据分表'!$E$2,1,AH203='“主要目标”数据分表'!$E$2,0,AH203&lt;'“主要目标”数据分表'!$E$2,-1)</f>
        <v>0</v>
      </c>
      <c r="AV203" cm="1">
        <f t="array" ref="AV203">_xlfn.IFS(AI203&gt;'“主要目标”数据分表'!$F$2,1,AI203='“主要目标”数据分表'!$F$2,0,AI203&lt;'“主要目标”数据分表'!$F$2,-1)</f>
        <v>1</v>
      </c>
      <c r="AW203" cm="1">
        <f t="array" ref="AW203">_xlfn.IFS(AJ203&gt;'“主要目标”数据分表'!$G$2,1,AJ203='“主要目标”数据分表'!$G$2,0,AJ203&lt;'“主要目标”数据分表'!$G$2,-1)</f>
        <v>0</v>
      </c>
    </row>
    <row r="204" spans="1:49" ht="14.4" x14ac:dyDescent="0.25">
      <c r="A204" s="2">
        <v>28</v>
      </c>
      <c r="B204" s="2" t="s">
        <v>44</v>
      </c>
      <c r="C204" s="2">
        <v>2018</v>
      </c>
      <c r="D204" s="2">
        <v>4364</v>
      </c>
      <c r="E204" s="19">
        <v>8272.1746555665195</v>
      </c>
      <c r="F204" s="2">
        <v>2865.23</v>
      </c>
      <c r="G204" s="3">
        <v>1.5230888968773886</v>
      </c>
      <c r="H204" s="2">
        <f t="shared" ref="H204:H209" si="72">(G204-G203)/G203</f>
        <v>-4.6541991607279794E-2</v>
      </c>
      <c r="I204" s="16">
        <v>0.36762513999575863</v>
      </c>
      <c r="J204" s="2">
        <f t="shared" ref="J204:J207" si="73">(I204-I203)/I203</f>
        <v>-3.9918569659885314E-2</v>
      </c>
      <c r="K204">
        <v>2.887089223401444</v>
      </c>
      <c r="L204">
        <f t="shared" si="71"/>
        <v>-5.1330688204586118E-2</v>
      </c>
      <c r="M204" s="2">
        <v>0</v>
      </c>
      <c r="N204" s="2">
        <v>0</v>
      </c>
      <c r="O204" s="4">
        <v>1</v>
      </c>
      <c r="P204">
        <v>0.79741336951507502</v>
      </c>
      <c r="Q204">
        <v>0.99853372434017595</v>
      </c>
      <c r="R204">
        <v>0.61287180561374111</v>
      </c>
      <c r="S204">
        <v>0.6</v>
      </c>
      <c r="T204">
        <v>0.62999999999999989</v>
      </c>
      <c r="U204">
        <v>0.83910034602076122</v>
      </c>
      <c r="V204">
        <v>0.42134831460674149</v>
      </c>
      <c r="W204">
        <v>0.2608695652173913</v>
      </c>
      <c r="X204">
        <v>0.16427876770966046</v>
      </c>
      <c r="Y204">
        <v>0.71759747102212823</v>
      </c>
      <c r="Z204">
        <v>0.43950324274185376</v>
      </c>
      <c r="AA204">
        <v>0.17142857142857143</v>
      </c>
      <c r="AB204">
        <v>0.36627906976744179</v>
      </c>
      <c r="AC204">
        <v>0.67822455554229821</v>
      </c>
      <c r="AD204">
        <v>0.45044397827523769</v>
      </c>
      <c r="AE204">
        <v>0.30434782608695654</v>
      </c>
      <c r="AF204">
        <v>0.52200000000000002</v>
      </c>
      <c r="AG204">
        <v>0.13500000000000001</v>
      </c>
      <c r="AH204">
        <v>0.18</v>
      </c>
      <c r="AI204">
        <v>0.55000000000000004</v>
      </c>
      <c r="AJ204">
        <v>0.65</v>
      </c>
      <c r="AK204">
        <v>2.61</v>
      </c>
      <c r="AL204">
        <v>1</v>
      </c>
      <c r="AM204">
        <v>1</v>
      </c>
      <c r="AN204">
        <v>2.2000000000000002</v>
      </c>
      <c r="AO204">
        <v>1</v>
      </c>
      <c r="AP204">
        <f t="shared" si="66"/>
        <v>2.4050000000000002</v>
      </c>
      <c r="AQ204">
        <f t="shared" si="67"/>
        <v>1</v>
      </c>
      <c r="AR204">
        <f t="shared" si="68"/>
        <v>1</v>
      </c>
      <c r="AS204" cm="1">
        <f t="array" ref="AS204">_xlfn.IFS(AF204&gt;'“主要目标”数据分表'!$C$2,1,AF204='“主要目标”数据分表'!$C$2,0,AF204&lt;'“主要目标”数据分表'!$C$2,-1)</f>
        <v>1</v>
      </c>
      <c r="AT204" cm="1">
        <f t="array" ref="AT204">_xlfn.IFS(AG204&gt;'“主要目标”数据分表'!$D$2,1,AG204='“主要目标”数据分表'!$D$2,0,AG204&lt;'“主要目标”数据分表'!$D$2,-1)</f>
        <v>0</v>
      </c>
      <c r="AU204" cm="1">
        <f t="array" ref="AU204">_xlfn.IFS(AH204&gt;'“主要目标”数据分表'!$E$2,1,AH204='“主要目标”数据分表'!$E$2,0,AH204&lt;'“主要目标”数据分表'!$E$2,-1)</f>
        <v>0</v>
      </c>
      <c r="AV204" cm="1">
        <f t="array" ref="AV204">_xlfn.IFS(AI204&gt;'“主要目标”数据分表'!$F$2,1,AI204='“主要目标”数据分表'!$F$2,0,AI204&lt;'“主要目标”数据分表'!$F$2,-1)</f>
        <v>1</v>
      </c>
      <c r="AW204" cm="1">
        <f t="array" ref="AW204">_xlfn.IFS(AJ204&gt;'“主要目标”数据分表'!$G$2,1,AJ204='“主要目标”数据分表'!$G$2,0,AJ204&lt;'“主要目标”数据分表'!$G$2,-1)</f>
        <v>0</v>
      </c>
    </row>
    <row r="205" spans="1:49" ht="14.4" x14ac:dyDescent="0.25">
      <c r="A205" s="2">
        <v>28</v>
      </c>
      <c r="B205" s="2" t="s">
        <v>44</v>
      </c>
      <c r="C205" s="2">
        <v>2019</v>
      </c>
      <c r="D205" s="2">
        <v>4235</v>
      </c>
      <c r="E205" s="19">
        <v>8158.8623144820194</v>
      </c>
      <c r="F205" s="2">
        <v>2965.95</v>
      </c>
      <c r="G205" s="3">
        <v>1.4278730255061618</v>
      </c>
      <c r="H205" s="2">
        <f t="shared" si="72"/>
        <v>-6.2514979635421658E-2</v>
      </c>
      <c r="I205" s="16">
        <v>0.38969812773162082</v>
      </c>
      <c r="J205" s="2">
        <f t="shared" si="73"/>
        <v>6.0042106304582038E-2</v>
      </c>
      <c r="K205">
        <v>2.7508428377019234</v>
      </c>
      <c r="L205">
        <f t="shared" si="71"/>
        <v>-4.7191608972514197E-2</v>
      </c>
      <c r="M205" s="2">
        <v>0</v>
      </c>
      <c r="N205" s="2">
        <v>0</v>
      </c>
      <c r="O205" s="4">
        <v>1</v>
      </c>
      <c r="P205">
        <v>0.79741336951507502</v>
      </c>
      <c r="Q205">
        <v>0.99853372434017595</v>
      </c>
      <c r="R205">
        <v>0.61287180561374111</v>
      </c>
      <c r="S205">
        <v>0.6</v>
      </c>
      <c r="T205">
        <v>0.62999999999999989</v>
      </c>
      <c r="U205">
        <v>0.83910034602076122</v>
      </c>
      <c r="V205">
        <v>0.42134831460674149</v>
      </c>
      <c r="W205">
        <v>0.2608695652173913</v>
      </c>
      <c r="X205">
        <v>0.16427876770966046</v>
      </c>
      <c r="Y205">
        <v>0.71759747102212823</v>
      </c>
      <c r="Z205">
        <v>0.43950324274185376</v>
      </c>
      <c r="AA205">
        <v>0.17142857142857143</v>
      </c>
      <c r="AB205">
        <v>0.36627906976744179</v>
      </c>
      <c r="AC205">
        <v>0.67822455554229821</v>
      </c>
      <c r="AD205">
        <v>0.45044397827523769</v>
      </c>
      <c r="AE205">
        <v>0.30434782608695654</v>
      </c>
      <c r="AF205">
        <v>0.52200000000000002</v>
      </c>
      <c r="AG205">
        <v>0.13500000000000001</v>
      </c>
      <c r="AH205">
        <v>0.18</v>
      </c>
      <c r="AI205">
        <v>0.55000000000000004</v>
      </c>
      <c r="AJ205">
        <v>0.65</v>
      </c>
      <c r="AK205">
        <v>2.61</v>
      </c>
      <c r="AL205">
        <v>1</v>
      </c>
      <c r="AM205">
        <v>1</v>
      </c>
      <c r="AN205">
        <v>2.2000000000000002</v>
      </c>
      <c r="AO205">
        <v>1</v>
      </c>
      <c r="AP205">
        <f t="shared" si="66"/>
        <v>2.4050000000000002</v>
      </c>
      <c r="AQ205">
        <f t="shared" si="67"/>
        <v>1</v>
      </c>
      <c r="AR205">
        <f t="shared" si="68"/>
        <v>1</v>
      </c>
      <c r="AS205" cm="1">
        <f t="array" ref="AS205">_xlfn.IFS(AF205&gt;'“主要目标”数据分表'!$C$2,1,AF205='“主要目标”数据分表'!$C$2,0,AF205&lt;'“主要目标”数据分表'!$C$2,-1)</f>
        <v>1</v>
      </c>
      <c r="AT205" cm="1">
        <f t="array" ref="AT205">_xlfn.IFS(AG205&gt;'“主要目标”数据分表'!$D$2,1,AG205='“主要目标”数据分表'!$D$2,0,AG205&lt;'“主要目标”数据分表'!$D$2,-1)</f>
        <v>0</v>
      </c>
      <c r="AU205" cm="1">
        <f t="array" ref="AU205">_xlfn.IFS(AH205&gt;'“主要目标”数据分表'!$E$2,1,AH205='“主要目标”数据分表'!$E$2,0,AH205&lt;'“主要目标”数据分表'!$E$2,-1)</f>
        <v>0</v>
      </c>
      <c r="AV205" cm="1">
        <f t="array" ref="AV205">_xlfn.IFS(AI205&gt;'“主要目标”数据分表'!$F$2,1,AI205='“主要目标”数据分表'!$F$2,0,AI205&lt;'“主要目标”数据分表'!$F$2,-1)</f>
        <v>1</v>
      </c>
      <c r="AW205" cm="1">
        <f t="array" ref="AW205">_xlfn.IFS(AJ205&gt;'“主要目标”数据分表'!$G$2,1,AJ205='“主要目标”数据分表'!$G$2,0,AJ205&lt;'“主要目标”数据分表'!$G$2,-1)</f>
        <v>0</v>
      </c>
    </row>
    <row r="206" spans="1:49" ht="14.4" x14ac:dyDescent="0.25">
      <c r="A206" s="2">
        <v>28</v>
      </c>
      <c r="B206" s="2" t="s">
        <v>44</v>
      </c>
      <c r="C206" s="2">
        <v>2020</v>
      </c>
      <c r="D206" s="2">
        <v>4150.3599999999997</v>
      </c>
      <c r="E206" s="19">
        <v>8061.7612296520992</v>
      </c>
      <c r="F206" s="2">
        <v>3005.92</v>
      </c>
      <c r="G206" s="3">
        <v>1.3807286953744609</v>
      </c>
      <c r="H206" s="2">
        <f t="shared" si="72"/>
        <v>-3.3017172598375062E-2</v>
      </c>
      <c r="I206" s="16">
        <v>0.39547149234219164</v>
      </c>
      <c r="J206" s="2">
        <f t="shared" si="73"/>
        <v>1.481496625138227E-2</v>
      </c>
      <c r="K206">
        <v>2.6819613395074051</v>
      </c>
      <c r="L206">
        <f t="shared" si="71"/>
        <v>-2.5040143061049042E-2</v>
      </c>
      <c r="M206" s="2">
        <v>0</v>
      </c>
      <c r="N206" s="2">
        <v>0</v>
      </c>
      <c r="O206" s="4">
        <v>1</v>
      </c>
      <c r="P206">
        <v>0.79741336951507502</v>
      </c>
      <c r="Q206">
        <v>0.99853372434017595</v>
      </c>
      <c r="R206">
        <v>0.61287180561374111</v>
      </c>
      <c r="S206">
        <v>0.6</v>
      </c>
      <c r="T206">
        <v>0.62999999999999989</v>
      </c>
      <c r="U206">
        <v>0.83910034602076122</v>
      </c>
      <c r="V206">
        <v>0.42134831460674149</v>
      </c>
      <c r="W206">
        <v>0.2608695652173913</v>
      </c>
      <c r="X206">
        <v>0.16427876770966046</v>
      </c>
      <c r="Y206">
        <v>0.71759747102212823</v>
      </c>
      <c r="Z206">
        <v>0.43950324274185376</v>
      </c>
      <c r="AA206">
        <v>0.17142857142857143</v>
      </c>
      <c r="AB206">
        <v>0.36627906976744179</v>
      </c>
      <c r="AC206">
        <v>0.67822455554229821</v>
      </c>
      <c r="AD206">
        <v>0.45044397827523769</v>
      </c>
      <c r="AE206">
        <v>0.30434782608695654</v>
      </c>
      <c r="AF206">
        <v>0.52200000000000002</v>
      </c>
      <c r="AG206">
        <v>0.13500000000000001</v>
      </c>
      <c r="AH206">
        <v>0.18</v>
      </c>
      <c r="AI206">
        <v>0.55000000000000004</v>
      </c>
      <c r="AJ206">
        <v>0.65</v>
      </c>
      <c r="AK206">
        <v>2.61</v>
      </c>
      <c r="AL206">
        <v>1</v>
      </c>
      <c r="AM206">
        <v>1</v>
      </c>
      <c r="AN206">
        <v>2.2000000000000002</v>
      </c>
      <c r="AO206">
        <v>1</v>
      </c>
      <c r="AP206">
        <f t="shared" si="66"/>
        <v>2.4050000000000002</v>
      </c>
      <c r="AQ206">
        <f t="shared" si="67"/>
        <v>1</v>
      </c>
      <c r="AR206">
        <f t="shared" si="68"/>
        <v>1</v>
      </c>
      <c r="AS206" cm="1">
        <f t="array" ref="AS206">_xlfn.IFS(AF206&gt;'“主要目标”数据分表'!$C$2,1,AF206='“主要目标”数据分表'!$C$2,0,AF206&lt;'“主要目标”数据分表'!$C$2,-1)</f>
        <v>1</v>
      </c>
      <c r="AT206" cm="1">
        <f t="array" ref="AT206">_xlfn.IFS(AG206&gt;'“主要目标”数据分表'!$D$2,1,AG206='“主要目标”数据分表'!$D$2,0,AG206&lt;'“主要目标”数据分表'!$D$2,-1)</f>
        <v>0</v>
      </c>
      <c r="AU206" cm="1">
        <f t="array" ref="AU206">_xlfn.IFS(AH206&gt;'“主要目标”数据分表'!$E$2,1,AH206='“主要目标”数据分表'!$E$2,0,AH206&lt;'“主要目标”数据分表'!$E$2,-1)</f>
        <v>0</v>
      </c>
      <c r="AV206" cm="1">
        <f t="array" ref="AV206">_xlfn.IFS(AI206&gt;'“主要目标”数据分表'!$F$2,1,AI206='“主要目标”数据分表'!$F$2,0,AI206&lt;'“主要目标”数据分表'!$F$2,-1)</f>
        <v>1</v>
      </c>
      <c r="AW206" cm="1">
        <f t="array" ref="AW206">_xlfn.IFS(AJ206&gt;'“主要目标”数据分表'!$G$2,1,AJ206='“主要目标”数据分表'!$G$2,0,AJ206&lt;'“主要目标”数据分表'!$G$2,-1)</f>
        <v>0</v>
      </c>
    </row>
    <row r="207" spans="1:49" ht="14.4" x14ac:dyDescent="0.25">
      <c r="A207" s="2">
        <v>28</v>
      </c>
      <c r="B207" s="2" t="s">
        <v>44</v>
      </c>
      <c r="C207" s="2">
        <v>2021</v>
      </c>
      <c r="D207" s="2">
        <v>4694.47</v>
      </c>
      <c r="E207" s="19">
        <v>8455.0523400267302</v>
      </c>
      <c r="F207" s="2">
        <v>3346.6341000000002</v>
      </c>
      <c r="G207" s="3">
        <v>1.4027437298866943</v>
      </c>
      <c r="H207" s="2">
        <f t="shared" si="72"/>
        <v>1.5944504221564553E-2</v>
      </c>
      <c r="I207" s="16">
        <v>0.42087962143312468</v>
      </c>
      <c r="J207" s="2">
        <f t="shared" si="73"/>
        <v>6.4247688096182712E-2</v>
      </c>
      <c r="K207">
        <v>2.5264346466877661</v>
      </c>
      <c r="L207">
        <f t="shared" si="71"/>
        <v>-5.7989908552598515E-2</v>
      </c>
      <c r="M207" s="2">
        <v>0</v>
      </c>
      <c r="N207" s="2">
        <v>0</v>
      </c>
      <c r="O207" s="4">
        <v>1</v>
      </c>
      <c r="P207">
        <v>0.79741336951507502</v>
      </c>
      <c r="Q207">
        <v>0.99853372434017595</v>
      </c>
      <c r="R207">
        <v>0.61287180561374111</v>
      </c>
      <c r="S207">
        <v>0.6</v>
      </c>
      <c r="T207">
        <v>0.62999999999999989</v>
      </c>
      <c r="U207">
        <v>0.83910034602076122</v>
      </c>
      <c r="V207">
        <v>0.42134831460674149</v>
      </c>
      <c r="W207">
        <v>0.2608695652173913</v>
      </c>
      <c r="X207">
        <v>0.16427876770966046</v>
      </c>
      <c r="Y207">
        <v>0.71759747102212823</v>
      </c>
      <c r="Z207">
        <v>0.43950324274185376</v>
      </c>
      <c r="AA207">
        <v>0.17142857142857143</v>
      </c>
      <c r="AB207">
        <v>0.36627906976744179</v>
      </c>
      <c r="AC207">
        <v>0.67822455554229821</v>
      </c>
      <c r="AD207">
        <v>0.45044397827523769</v>
      </c>
      <c r="AE207">
        <v>0.30434782608695654</v>
      </c>
      <c r="AF207">
        <v>0.52200000000000002</v>
      </c>
      <c r="AG207">
        <v>0.13500000000000001</v>
      </c>
      <c r="AH207">
        <v>0.18</v>
      </c>
      <c r="AI207">
        <v>0.55000000000000004</v>
      </c>
      <c r="AJ207">
        <v>0.65</v>
      </c>
      <c r="AK207">
        <v>2.61</v>
      </c>
      <c r="AL207">
        <v>1</v>
      </c>
      <c r="AM207">
        <v>1</v>
      </c>
      <c r="AN207">
        <v>2.2000000000000002</v>
      </c>
      <c r="AO207">
        <v>1</v>
      </c>
      <c r="AP207">
        <f t="shared" si="66"/>
        <v>2.4050000000000002</v>
      </c>
      <c r="AQ207">
        <f t="shared" si="67"/>
        <v>1</v>
      </c>
      <c r="AR207">
        <f t="shared" si="68"/>
        <v>1</v>
      </c>
      <c r="AS207" cm="1">
        <f t="array" ref="AS207">_xlfn.IFS(AF207&gt;'“主要目标”数据分表'!$C$2,1,AF207='“主要目标”数据分表'!$C$2,0,AF207&lt;'“主要目标”数据分表'!$C$2,-1)</f>
        <v>1</v>
      </c>
      <c r="AT207" cm="1">
        <f t="array" ref="AT207">_xlfn.IFS(AG207&gt;'“主要目标”数据分表'!$D$2,1,AG207='“主要目标”数据分表'!$D$2,0,AG207&lt;'“主要目标”数据分表'!$D$2,-1)</f>
        <v>0</v>
      </c>
      <c r="AU207" cm="1">
        <f t="array" ref="AU207">_xlfn.IFS(AH207&gt;'“主要目标”数据分表'!$E$2,1,AH207='“主要目标”数据分表'!$E$2,0,AH207&lt;'“主要目标”数据分表'!$E$2,-1)</f>
        <v>0</v>
      </c>
      <c r="AV207" cm="1">
        <f t="array" ref="AV207">_xlfn.IFS(AI207&gt;'“主要目标”数据分表'!$F$2,1,AI207='“主要目标”数据分表'!$F$2,0,AI207&lt;'“主要目标”数据分表'!$F$2,-1)</f>
        <v>1</v>
      </c>
      <c r="AW207" cm="1">
        <f t="array" ref="AW207">_xlfn.IFS(AJ207&gt;'“主要目标”数据分表'!$G$2,1,AJ207='“主要目标”数据分表'!$G$2,0,AJ207&lt;'“主要目标”数据分表'!$G$2,-1)</f>
        <v>0</v>
      </c>
    </row>
    <row r="208" spans="1:49" ht="14.4" x14ac:dyDescent="0.25">
      <c r="A208" s="2">
        <v>28</v>
      </c>
      <c r="B208" s="2" t="s">
        <v>44</v>
      </c>
      <c r="C208" s="2">
        <v>2022</v>
      </c>
      <c r="D208" s="2">
        <v>4798.04</v>
      </c>
      <c r="E208" s="19">
        <v>8511.88199821337</v>
      </c>
      <c r="F208" s="2">
        <v>3610.1</v>
      </c>
      <c r="G208" s="3">
        <v>1.3290601368383148</v>
      </c>
      <c r="H208" s="2">
        <f t="shared" si="72"/>
        <v>-5.2528192768561653E-2</v>
      </c>
      <c r="K208">
        <v>2.3577967364375976</v>
      </c>
      <c r="L208">
        <f t="shared" si="71"/>
        <v>-6.6749365740078809E-2</v>
      </c>
      <c r="M208" s="2">
        <v>1</v>
      </c>
      <c r="N208" s="2">
        <v>0</v>
      </c>
      <c r="O208" s="4">
        <v>1</v>
      </c>
      <c r="P208">
        <v>0.79741336951507502</v>
      </c>
      <c r="Q208">
        <v>0.99853372434017595</v>
      </c>
      <c r="R208">
        <v>0.61287180561374111</v>
      </c>
      <c r="S208">
        <v>0.6</v>
      </c>
      <c r="T208">
        <v>0.62999999999999989</v>
      </c>
      <c r="U208">
        <v>0.83910034602076122</v>
      </c>
      <c r="V208">
        <v>0.42134831460674149</v>
      </c>
      <c r="W208">
        <v>0.2608695652173913</v>
      </c>
      <c r="X208">
        <v>0.16427876770966046</v>
      </c>
      <c r="Y208">
        <v>0.71759747102212823</v>
      </c>
      <c r="Z208">
        <v>0.43950324274185376</v>
      </c>
      <c r="AA208">
        <v>0.17142857142857143</v>
      </c>
      <c r="AB208">
        <v>0.36627906976744179</v>
      </c>
      <c r="AC208">
        <v>0.67822455554229821</v>
      </c>
      <c r="AD208">
        <v>0.45044397827523769</v>
      </c>
      <c r="AE208">
        <v>0.30434782608695654</v>
      </c>
      <c r="AF208">
        <v>0.52200000000000002</v>
      </c>
      <c r="AG208">
        <v>0.13500000000000001</v>
      </c>
      <c r="AH208">
        <v>0.18</v>
      </c>
      <c r="AI208">
        <v>0.55000000000000004</v>
      </c>
      <c r="AJ208">
        <v>0.65</v>
      </c>
      <c r="AK208">
        <v>2.61</v>
      </c>
      <c r="AL208">
        <v>1</v>
      </c>
      <c r="AM208">
        <v>1</v>
      </c>
      <c r="AN208">
        <v>2.2000000000000002</v>
      </c>
      <c r="AO208">
        <v>1</v>
      </c>
      <c r="AP208">
        <f t="shared" si="66"/>
        <v>2.4050000000000002</v>
      </c>
      <c r="AQ208">
        <f t="shared" si="67"/>
        <v>1</v>
      </c>
      <c r="AR208">
        <f t="shared" si="68"/>
        <v>1</v>
      </c>
      <c r="AS208" cm="1">
        <f t="array" ref="AS208">_xlfn.IFS(AF208&gt;'“主要目标”数据分表'!$C$2,1,AF208='“主要目标”数据分表'!$C$2,0,AF208&lt;'“主要目标”数据分表'!$C$2,-1)</f>
        <v>1</v>
      </c>
      <c r="AT208" cm="1">
        <f t="array" ref="AT208">_xlfn.IFS(AG208&gt;'“主要目标”数据分表'!$D$2,1,AG208='“主要目标”数据分表'!$D$2,0,AG208&lt;'“主要目标”数据分表'!$D$2,-1)</f>
        <v>0</v>
      </c>
      <c r="AU208" cm="1">
        <f t="array" ref="AU208">_xlfn.IFS(AH208&gt;'“主要目标”数据分表'!$E$2,1,AH208='“主要目标”数据分表'!$E$2,0,AH208&lt;'“主要目标”数据分表'!$E$2,-1)</f>
        <v>0</v>
      </c>
      <c r="AV208" cm="1">
        <f t="array" ref="AV208">_xlfn.IFS(AI208&gt;'“主要目标”数据分表'!$F$2,1,AI208='“主要目标”数据分表'!$F$2,0,AI208&lt;'“主要目标”数据分表'!$F$2,-1)</f>
        <v>1</v>
      </c>
      <c r="AW208" cm="1">
        <f t="array" ref="AW208">_xlfn.IFS(AJ208&gt;'“主要目标”数据分表'!$G$2,1,AJ208='“主要目标”数据分表'!$G$2,0,AJ208&lt;'“主要目标”数据分表'!$G$2,-1)</f>
        <v>0</v>
      </c>
    </row>
    <row r="209" spans="1:49" ht="14.4" x14ac:dyDescent="0.25">
      <c r="A209" s="2">
        <v>28</v>
      </c>
      <c r="B209" s="6" t="s">
        <v>45</v>
      </c>
      <c r="C209" s="2">
        <v>2023</v>
      </c>
      <c r="D209" s="2">
        <v>5035.1000000000004</v>
      </c>
      <c r="E209" s="19">
        <v>9276.2593033281501</v>
      </c>
      <c r="F209" s="2">
        <v>3799.1</v>
      </c>
      <c r="G209" s="3">
        <v>1.3253402121555107</v>
      </c>
      <c r="H209" s="2">
        <f t="shared" si="72"/>
        <v>-2.7989137434017218E-3</v>
      </c>
      <c r="I209" s="16">
        <v>0.34215391173497323</v>
      </c>
      <c r="K209">
        <v>2.4416991664678873</v>
      </c>
      <c r="L209">
        <f t="shared" si="71"/>
        <v>3.5585098890694958E-2</v>
      </c>
      <c r="M209" s="2">
        <v>1</v>
      </c>
      <c r="N209" s="2">
        <v>1</v>
      </c>
      <c r="O209" s="4">
        <v>1</v>
      </c>
      <c r="P209">
        <v>0.79741336951507502</v>
      </c>
      <c r="Q209">
        <v>0.99853372434017595</v>
      </c>
      <c r="R209">
        <v>0.61287180561374111</v>
      </c>
      <c r="S209">
        <v>0.6</v>
      </c>
      <c r="T209">
        <v>0.62999999999999989</v>
      </c>
      <c r="U209">
        <v>0.83910034602076122</v>
      </c>
      <c r="V209">
        <v>0.42134831460674149</v>
      </c>
      <c r="W209">
        <v>0.2608695652173913</v>
      </c>
      <c r="X209">
        <v>0.16427876770966046</v>
      </c>
      <c r="Y209">
        <v>0.71759747102212823</v>
      </c>
      <c r="Z209">
        <v>0.43950324274185376</v>
      </c>
      <c r="AA209">
        <v>0.17142857142857143</v>
      </c>
      <c r="AB209">
        <v>0.36627906976744179</v>
      </c>
      <c r="AC209">
        <v>0.67822455554229821</v>
      </c>
      <c r="AD209">
        <v>0.45044397827523769</v>
      </c>
      <c r="AE209">
        <v>0.30434782608695654</v>
      </c>
      <c r="AF209">
        <v>0.52200000000000002</v>
      </c>
      <c r="AG209">
        <v>0.13500000000000001</v>
      </c>
      <c r="AH209">
        <v>0.18</v>
      </c>
      <c r="AI209">
        <v>0.55000000000000004</v>
      </c>
      <c r="AJ209">
        <v>0.65</v>
      </c>
      <c r="AK209">
        <v>2.61</v>
      </c>
      <c r="AL209">
        <v>1</v>
      </c>
      <c r="AM209">
        <v>1</v>
      </c>
      <c r="AN209">
        <v>2.2000000000000002</v>
      </c>
      <c r="AO209">
        <v>1</v>
      </c>
      <c r="AP209">
        <f t="shared" si="66"/>
        <v>2.4050000000000002</v>
      </c>
      <c r="AQ209">
        <f t="shared" si="67"/>
        <v>1</v>
      </c>
      <c r="AR209">
        <f t="shared" si="68"/>
        <v>1</v>
      </c>
      <c r="AS209" cm="1">
        <f t="array" ref="AS209">_xlfn.IFS(AF209&gt;'“主要目标”数据分表'!$C$2,1,AF209='“主要目标”数据分表'!$C$2,0,AF209&lt;'“主要目标”数据分表'!$C$2,-1)</f>
        <v>1</v>
      </c>
      <c r="AT209" cm="1">
        <f t="array" ref="AT209">_xlfn.IFS(AG209&gt;'“主要目标”数据分表'!$D$2,1,AG209='“主要目标”数据分表'!$D$2,0,AG209&lt;'“主要目标”数据分表'!$D$2,-1)</f>
        <v>0</v>
      </c>
      <c r="AU209" cm="1">
        <f t="array" ref="AU209">_xlfn.IFS(AH209&gt;'“主要目标”数据分表'!$E$2,1,AH209='“主要目标”数据分表'!$E$2,0,AH209&lt;'“主要目标”数据分表'!$E$2,-1)</f>
        <v>0</v>
      </c>
      <c r="AV209" cm="1">
        <f t="array" ref="AV209">_xlfn.IFS(AI209&gt;'“主要目标”数据分表'!$F$2,1,AI209='“主要目标”数据分表'!$F$2,0,AI209&lt;'“主要目标”数据分表'!$F$2,-1)</f>
        <v>1</v>
      </c>
      <c r="AW209" cm="1">
        <f t="array" ref="AW209">_xlfn.IFS(AJ209&gt;'“主要目标”数据分表'!$G$2,1,AJ209='“主要目标”数据分表'!$G$2,0,AJ209&lt;'“主要目标”数据分表'!$G$2,-1)</f>
        <v>0</v>
      </c>
    </row>
    <row r="210" spans="1:49" ht="14.4" x14ac:dyDescent="0.25">
      <c r="A210" s="2">
        <v>29</v>
      </c>
      <c r="B210" s="2" t="s">
        <v>46</v>
      </c>
      <c r="C210" s="2">
        <v>2016</v>
      </c>
      <c r="D210" s="2">
        <v>5591</v>
      </c>
      <c r="E210" s="19">
        <v>12232.223719247701</v>
      </c>
      <c r="F210" s="2">
        <v>3168.59</v>
      </c>
      <c r="G210" s="3">
        <v>1.7645072413912812</v>
      </c>
      <c r="H210" s="2"/>
      <c r="I210" s="16">
        <v>0.36182529315831341</v>
      </c>
      <c r="K210">
        <v>3.8604627671133533</v>
      </c>
      <c r="L210"/>
      <c r="M210" s="2">
        <v>0</v>
      </c>
      <c r="N210" s="2">
        <v>0</v>
      </c>
      <c r="O210" s="4">
        <v>1</v>
      </c>
      <c r="P210">
        <v>0.84429188251844944</v>
      </c>
      <c r="Q210">
        <v>0.54985337243401755</v>
      </c>
      <c r="R210">
        <v>0.35931957827119121</v>
      </c>
      <c r="S210">
        <v>0.4</v>
      </c>
      <c r="T210">
        <v>0.98000000000000009</v>
      </c>
      <c r="U210">
        <v>0.34294871794871801</v>
      </c>
      <c r="V210">
        <v>0.23605150214592269</v>
      </c>
      <c r="W210">
        <v>8.0357142857142863E-2</v>
      </c>
      <c r="X210">
        <v>0.35766452753301997</v>
      </c>
      <c r="Y210">
        <v>0.39515279241306622</v>
      </c>
      <c r="Z210">
        <v>0.25767561565779284</v>
      </c>
      <c r="AA210">
        <v>0.1142857142857143</v>
      </c>
      <c r="AB210">
        <v>0.56976744186046513</v>
      </c>
      <c r="AC210">
        <v>0.27719717064544663</v>
      </c>
      <c r="AD210">
        <v>0.25235173375190711</v>
      </c>
      <c r="AE210">
        <v>9.3750000000000014E-2</v>
      </c>
      <c r="AF210">
        <v>0.2</v>
      </c>
      <c r="AG210">
        <v>0.13500000000000001</v>
      </c>
      <c r="AH210">
        <v>0.18</v>
      </c>
      <c r="AI210">
        <v>0.3</v>
      </c>
      <c r="AJ210">
        <v>0.65</v>
      </c>
      <c r="AK210">
        <v>1</v>
      </c>
      <c r="AL210">
        <v>1</v>
      </c>
      <c r="AM210">
        <v>1</v>
      </c>
      <c r="AN210">
        <v>1.2</v>
      </c>
      <c r="AO210">
        <v>1</v>
      </c>
      <c r="AP210">
        <f t="shared" si="66"/>
        <v>1.1000000000000001</v>
      </c>
      <c r="AQ210">
        <f t="shared" si="67"/>
        <v>1</v>
      </c>
      <c r="AR210">
        <f t="shared" si="68"/>
        <v>1</v>
      </c>
      <c r="AS210" cm="1">
        <f t="array" ref="AS210">_xlfn.IFS(AF210&gt;'“主要目标”数据分表'!$C$2,1,AF210='“主要目标”数据分表'!$C$2,0,AF210&lt;'“主要目标”数据分表'!$C$2,-1)</f>
        <v>0</v>
      </c>
      <c r="AT210" cm="1">
        <f t="array" ref="AT210">_xlfn.IFS(AG210&gt;'“主要目标”数据分表'!$D$2,1,AG210='“主要目标”数据分表'!$D$2,0,AG210&lt;'“主要目标”数据分表'!$D$2,-1)</f>
        <v>0</v>
      </c>
      <c r="AU210" cm="1">
        <f t="array" ref="AU210">_xlfn.IFS(AH210&gt;'“主要目标”数据分表'!$E$2,1,AH210='“主要目标”数据分表'!$E$2,0,AH210&lt;'“主要目标”数据分表'!$E$2,-1)</f>
        <v>0</v>
      </c>
      <c r="AV210" cm="1">
        <f t="array" ref="AV210">_xlfn.IFS(AI210&gt;'“主要目标”数据分表'!$F$2,1,AI210='“主要目标”数据分表'!$F$2,0,AI210&lt;'“主要目标”数据分表'!$F$2,-1)</f>
        <v>1</v>
      </c>
      <c r="AW210" cm="1">
        <f t="array" ref="AW210">_xlfn.IFS(AJ210&gt;'“主要目标”数据分表'!$G$2,1,AJ210='“主要目标”数据分表'!$G$2,0,AJ210&lt;'“主要目标”数据分表'!$G$2,-1)</f>
        <v>0</v>
      </c>
    </row>
    <row r="211" spans="1:49" ht="14.4" x14ac:dyDescent="0.25">
      <c r="A211" s="2">
        <v>29</v>
      </c>
      <c r="B211" s="2" t="s">
        <v>46</v>
      </c>
      <c r="C211" s="2">
        <v>2017</v>
      </c>
      <c r="D211" s="2">
        <v>6461</v>
      </c>
      <c r="E211" s="19">
        <v>14242.714808106199</v>
      </c>
      <c r="F211" s="2">
        <v>3443.56</v>
      </c>
      <c r="G211" s="3">
        <v>1.8762559676613737</v>
      </c>
      <c r="H211" s="2">
        <f>(G211-G210)/G210</f>
        <v>6.3331407006287296E-2</v>
      </c>
      <c r="I211" s="16">
        <v>0.35143440521582681</v>
      </c>
      <c r="J211" s="2">
        <f>(I211-I210)/I210</f>
        <v>-2.8717970078283511E-2</v>
      </c>
      <c r="K211">
        <v>4.1360437477802616</v>
      </c>
      <c r="L211">
        <f t="shared" si="71"/>
        <v>7.1385478190474277E-2</v>
      </c>
      <c r="M211" s="2">
        <v>0</v>
      </c>
      <c r="N211" s="2">
        <v>0</v>
      </c>
      <c r="O211" s="4">
        <v>1</v>
      </c>
      <c r="P211">
        <v>0.84429188251844944</v>
      </c>
      <c r="Q211">
        <v>0.54985337243401755</v>
      </c>
      <c r="R211">
        <v>0.35931957827119121</v>
      </c>
      <c r="S211">
        <v>0.4</v>
      </c>
      <c r="T211">
        <v>0.98000000000000009</v>
      </c>
      <c r="U211">
        <v>0.34294871794871801</v>
      </c>
      <c r="V211">
        <v>0.23605150214592269</v>
      </c>
      <c r="W211">
        <v>8.0357142857142863E-2</v>
      </c>
      <c r="X211">
        <v>0.35766452753301997</v>
      </c>
      <c r="Y211">
        <v>0.39515279241306622</v>
      </c>
      <c r="Z211">
        <v>0.25767561565779284</v>
      </c>
      <c r="AA211">
        <v>0.1142857142857143</v>
      </c>
      <c r="AB211">
        <v>0.56976744186046513</v>
      </c>
      <c r="AC211">
        <v>0.27719717064544663</v>
      </c>
      <c r="AD211">
        <v>0.25235173375190711</v>
      </c>
      <c r="AE211">
        <v>9.3750000000000014E-2</v>
      </c>
      <c r="AF211">
        <v>0.2</v>
      </c>
      <c r="AG211">
        <v>0.13500000000000001</v>
      </c>
      <c r="AH211">
        <v>0.18</v>
      </c>
      <c r="AI211">
        <v>0.3</v>
      </c>
      <c r="AJ211">
        <v>0.65</v>
      </c>
      <c r="AK211">
        <v>1</v>
      </c>
      <c r="AL211">
        <v>1</v>
      </c>
      <c r="AM211">
        <v>1</v>
      </c>
      <c r="AN211">
        <v>1.2</v>
      </c>
      <c r="AO211">
        <v>1</v>
      </c>
      <c r="AP211">
        <f t="shared" si="66"/>
        <v>1.1000000000000001</v>
      </c>
      <c r="AQ211">
        <f t="shared" si="67"/>
        <v>1</v>
      </c>
      <c r="AR211">
        <f t="shared" si="68"/>
        <v>1</v>
      </c>
      <c r="AS211" cm="1">
        <f t="array" ref="AS211">_xlfn.IFS(AF211&gt;'“主要目标”数据分表'!$C$2,1,AF211='“主要目标”数据分表'!$C$2,0,AF211&lt;'“主要目标”数据分表'!$C$2,-1)</f>
        <v>0</v>
      </c>
      <c r="AT211" cm="1">
        <f t="array" ref="AT211">_xlfn.IFS(AG211&gt;'“主要目标”数据分表'!$D$2,1,AG211='“主要目标”数据分表'!$D$2,0,AG211&lt;'“主要目标”数据分表'!$D$2,-1)</f>
        <v>0</v>
      </c>
      <c r="AU211" cm="1">
        <f t="array" ref="AU211">_xlfn.IFS(AH211&gt;'“主要目标”数据分表'!$E$2,1,AH211='“主要目标”数据分表'!$E$2,0,AH211&lt;'“主要目标”数据分表'!$E$2,-1)</f>
        <v>0</v>
      </c>
      <c r="AV211" cm="1">
        <f t="array" ref="AV211">_xlfn.IFS(AI211&gt;'“主要目标”数据分表'!$F$2,1,AI211='“主要目标”数据分表'!$F$2,0,AI211&lt;'“主要目标”数据分表'!$F$2,-1)</f>
        <v>1</v>
      </c>
      <c r="AW211" cm="1">
        <f t="array" ref="AW211">_xlfn.IFS(AJ211&gt;'“主要目标”数据分表'!$G$2,1,AJ211='“主要目标”数据分表'!$G$2,0,AJ211&lt;'“主要目标”数据分表'!$G$2,-1)</f>
        <v>0</v>
      </c>
    </row>
    <row r="212" spans="1:49" ht="14.4" x14ac:dyDescent="0.25">
      <c r="A212" s="2">
        <v>29</v>
      </c>
      <c r="B212" s="2" t="s">
        <v>46</v>
      </c>
      <c r="C212" s="2">
        <v>2018</v>
      </c>
      <c r="D212" s="2">
        <v>7100</v>
      </c>
      <c r="E212" s="19">
        <v>15491.2319731444</v>
      </c>
      <c r="F212" s="2">
        <v>3705.18</v>
      </c>
      <c r="G212" s="3">
        <v>1.9162361882553616</v>
      </c>
      <c r="H212" s="2">
        <f t="shared" ref="H212:H216" si="74">(G212-G211)/G211</f>
        <v>2.1308510823190352E-2</v>
      </c>
      <c r="I212" s="16">
        <v>0.34591233878018951</v>
      </c>
      <c r="J212" s="2">
        <f t="shared" ref="J212:J216" si="75">(I212-I211)/I211</f>
        <v>-1.5712936336571896E-2</v>
      </c>
      <c r="K212">
        <v>4.1809660996616635</v>
      </c>
      <c r="L212">
        <f t="shared" si="71"/>
        <v>1.0861188764144703E-2</v>
      </c>
      <c r="M212" s="2">
        <v>0</v>
      </c>
      <c r="N212" s="2">
        <v>0</v>
      </c>
      <c r="O212" s="4">
        <v>1</v>
      </c>
      <c r="P212">
        <v>0.84429188251844944</v>
      </c>
      <c r="Q212">
        <v>0.54985337243401755</v>
      </c>
      <c r="R212">
        <v>0.35931957827119121</v>
      </c>
      <c r="S212">
        <v>0.4</v>
      </c>
      <c r="T212">
        <v>0.98000000000000009</v>
      </c>
      <c r="U212">
        <v>0.34294871794871801</v>
      </c>
      <c r="V212">
        <v>0.23605150214592269</v>
      </c>
      <c r="W212">
        <v>8.0357142857142863E-2</v>
      </c>
      <c r="X212">
        <v>0.35766452753301997</v>
      </c>
      <c r="Y212">
        <v>0.39515279241306622</v>
      </c>
      <c r="Z212">
        <v>0.25767561565779284</v>
      </c>
      <c r="AA212">
        <v>0.1142857142857143</v>
      </c>
      <c r="AB212">
        <v>0.56976744186046513</v>
      </c>
      <c r="AC212">
        <v>0.27719717064544663</v>
      </c>
      <c r="AD212">
        <v>0.25235173375190711</v>
      </c>
      <c r="AE212">
        <v>9.3750000000000014E-2</v>
      </c>
      <c r="AF212">
        <v>0.2</v>
      </c>
      <c r="AG212">
        <v>0.13500000000000001</v>
      </c>
      <c r="AH212">
        <v>0.18</v>
      </c>
      <c r="AI212">
        <v>0.3</v>
      </c>
      <c r="AJ212">
        <v>0.65</v>
      </c>
      <c r="AK212">
        <v>1</v>
      </c>
      <c r="AL212">
        <v>1</v>
      </c>
      <c r="AM212">
        <v>1</v>
      </c>
      <c r="AN212">
        <v>1.2</v>
      </c>
      <c r="AO212">
        <v>1</v>
      </c>
      <c r="AP212">
        <f t="shared" si="66"/>
        <v>1.1000000000000001</v>
      </c>
      <c r="AQ212">
        <f t="shared" si="67"/>
        <v>1</v>
      </c>
      <c r="AR212">
        <f t="shared" si="68"/>
        <v>1</v>
      </c>
      <c r="AS212" cm="1">
        <f t="array" ref="AS212">_xlfn.IFS(AF212&gt;'“主要目标”数据分表'!$C$2,1,AF212='“主要目标”数据分表'!$C$2,0,AF212&lt;'“主要目标”数据分表'!$C$2,-1)</f>
        <v>0</v>
      </c>
      <c r="AT212" cm="1">
        <f t="array" ref="AT212">_xlfn.IFS(AG212&gt;'“主要目标”数据分表'!$D$2,1,AG212='“主要目标”数据分表'!$D$2,0,AG212&lt;'“主要目标”数据分表'!$D$2,-1)</f>
        <v>0</v>
      </c>
      <c r="AU212" cm="1">
        <f t="array" ref="AU212">_xlfn.IFS(AH212&gt;'“主要目标”数据分表'!$E$2,1,AH212='“主要目标”数据分表'!$E$2,0,AH212&lt;'“主要目标”数据分表'!$E$2,-1)</f>
        <v>0</v>
      </c>
      <c r="AV212" cm="1">
        <f t="array" ref="AV212">_xlfn.IFS(AI212&gt;'“主要目标”数据分表'!$F$2,1,AI212='“主要目标”数据分表'!$F$2,0,AI212&lt;'“主要目标”数据分表'!$F$2,-1)</f>
        <v>1</v>
      </c>
      <c r="AW212" cm="1">
        <f t="array" ref="AW212">_xlfn.IFS(AJ212&gt;'“主要目标”数据分表'!$G$2,1,AJ212='“主要目标”数据分表'!$G$2,0,AJ212&lt;'“主要目标”数据分表'!$G$2,-1)</f>
        <v>0</v>
      </c>
    </row>
    <row r="213" spans="1:49" ht="14.4" x14ac:dyDescent="0.25">
      <c r="A213" s="2">
        <v>29</v>
      </c>
      <c r="B213" s="2" t="s">
        <v>46</v>
      </c>
      <c r="C213" s="2">
        <v>2019</v>
      </c>
      <c r="D213" s="2">
        <v>7648</v>
      </c>
      <c r="E213" s="19">
        <v>17400.3965418345</v>
      </c>
      <c r="F213" s="2">
        <v>3748.48</v>
      </c>
      <c r="G213" s="3">
        <v>2.0402936656991635</v>
      </c>
      <c r="H213" s="2">
        <f t="shared" si="74"/>
        <v>6.4740180883834639E-2</v>
      </c>
      <c r="I213" s="16">
        <v>0.36460155819230494</v>
      </c>
      <c r="J213" s="2">
        <f t="shared" si="75"/>
        <v>5.4028773526900768E-2</v>
      </c>
      <c r="K213">
        <v>4.6419872966734514</v>
      </c>
      <c r="L213">
        <f t="shared" si="71"/>
        <v>0.11026666708660832</v>
      </c>
      <c r="M213" s="2">
        <v>0</v>
      </c>
      <c r="N213" s="2">
        <v>0</v>
      </c>
      <c r="O213" s="4">
        <v>1</v>
      </c>
      <c r="P213">
        <v>0.84429188251844944</v>
      </c>
      <c r="Q213">
        <v>0.54985337243401755</v>
      </c>
      <c r="R213">
        <v>0.35931957827119121</v>
      </c>
      <c r="S213">
        <v>0.4</v>
      </c>
      <c r="T213">
        <v>0.98000000000000009</v>
      </c>
      <c r="U213">
        <v>0.34294871794871801</v>
      </c>
      <c r="V213">
        <v>0.23605150214592269</v>
      </c>
      <c r="W213">
        <v>8.0357142857142863E-2</v>
      </c>
      <c r="X213">
        <v>0.35766452753301997</v>
      </c>
      <c r="Y213">
        <v>0.39515279241306622</v>
      </c>
      <c r="Z213">
        <v>0.25767561565779284</v>
      </c>
      <c r="AA213">
        <v>0.1142857142857143</v>
      </c>
      <c r="AB213">
        <v>0.56976744186046513</v>
      </c>
      <c r="AC213">
        <v>0.27719717064544663</v>
      </c>
      <c r="AD213">
        <v>0.25235173375190711</v>
      </c>
      <c r="AE213">
        <v>9.3750000000000014E-2</v>
      </c>
      <c r="AF213">
        <v>0.2</v>
      </c>
      <c r="AG213">
        <v>0.13500000000000001</v>
      </c>
      <c r="AH213">
        <v>0.18</v>
      </c>
      <c r="AI213">
        <v>0.3</v>
      </c>
      <c r="AJ213">
        <v>0.65</v>
      </c>
      <c r="AK213">
        <v>1</v>
      </c>
      <c r="AL213">
        <v>1</v>
      </c>
      <c r="AM213">
        <v>1</v>
      </c>
      <c r="AN213">
        <v>1.2</v>
      </c>
      <c r="AO213">
        <v>1</v>
      </c>
      <c r="AP213">
        <f t="shared" si="66"/>
        <v>1.1000000000000001</v>
      </c>
      <c r="AQ213">
        <f t="shared" si="67"/>
        <v>1</v>
      </c>
      <c r="AR213">
        <f t="shared" si="68"/>
        <v>1</v>
      </c>
      <c r="AS213" cm="1">
        <f t="array" ref="AS213">_xlfn.IFS(AF213&gt;'“主要目标”数据分表'!$C$2,1,AF213='“主要目标”数据分表'!$C$2,0,AF213&lt;'“主要目标”数据分表'!$C$2,-1)</f>
        <v>0</v>
      </c>
      <c r="AT213" cm="1">
        <f t="array" ref="AT213">_xlfn.IFS(AG213&gt;'“主要目标”数据分表'!$D$2,1,AG213='“主要目标”数据分表'!$D$2,0,AG213&lt;'“主要目标”数据分表'!$D$2,-1)</f>
        <v>0</v>
      </c>
      <c r="AU213" cm="1">
        <f t="array" ref="AU213">_xlfn.IFS(AH213&gt;'“主要目标”数据分表'!$E$2,1,AH213='“主要目标”数据分表'!$E$2,0,AH213&lt;'“主要目标”数据分表'!$E$2,-1)</f>
        <v>0</v>
      </c>
      <c r="AV213" cm="1">
        <f t="array" ref="AV213">_xlfn.IFS(AI213&gt;'“主要目标”数据分表'!$F$2,1,AI213='“主要目标”数据分表'!$F$2,0,AI213&lt;'“主要目标”数据分表'!$F$2,-1)</f>
        <v>1</v>
      </c>
      <c r="AW213" cm="1">
        <f t="array" ref="AW213">_xlfn.IFS(AJ213&gt;'“主要目标”数据分表'!$G$2,1,AJ213='“主要目标”数据分表'!$G$2,0,AJ213&lt;'“主要目标”数据分表'!$G$2,-1)</f>
        <v>0</v>
      </c>
    </row>
    <row r="214" spans="1:49" ht="14.4" x14ac:dyDescent="0.25">
      <c r="A214" s="2">
        <v>29</v>
      </c>
      <c r="B214" s="2" t="s">
        <v>46</v>
      </c>
      <c r="C214" s="2">
        <v>2020</v>
      </c>
      <c r="D214" s="2">
        <v>8581.7999999999993</v>
      </c>
      <c r="E214" s="19">
        <v>17430.5461292359</v>
      </c>
      <c r="F214" s="2">
        <v>3920.55</v>
      </c>
      <c r="G214" s="3">
        <v>2.1889275739373297</v>
      </c>
      <c r="H214" s="2">
        <f t="shared" si="74"/>
        <v>7.2849272012630931E-2</v>
      </c>
      <c r="I214" s="16">
        <v>0.37457244810835921</v>
      </c>
      <c r="J214" s="2">
        <f t="shared" si="75"/>
        <v>2.7347359582032389E-2</v>
      </c>
      <c r="K214">
        <v>4.4459440969343325</v>
      </c>
      <c r="L214">
        <f t="shared" si="71"/>
        <v>-4.2232601515219091E-2</v>
      </c>
      <c r="M214" s="2">
        <v>0</v>
      </c>
      <c r="N214" s="2">
        <v>0</v>
      </c>
      <c r="O214" s="4">
        <v>1</v>
      </c>
      <c r="P214">
        <v>0.84429188251844944</v>
      </c>
      <c r="Q214">
        <v>0.54985337243401755</v>
      </c>
      <c r="R214">
        <v>0.35931957827119121</v>
      </c>
      <c r="S214">
        <v>0.4</v>
      </c>
      <c r="T214">
        <v>0.98000000000000009</v>
      </c>
      <c r="U214">
        <v>0.34294871794871801</v>
      </c>
      <c r="V214">
        <v>0.23605150214592269</v>
      </c>
      <c r="W214">
        <v>8.0357142857142863E-2</v>
      </c>
      <c r="X214">
        <v>0.35766452753301997</v>
      </c>
      <c r="Y214">
        <v>0.39515279241306622</v>
      </c>
      <c r="Z214">
        <v>0.25767561565779284</v>
      </c>
      <c r="AA214">
        <v>0.1142857142857143</v>
      </c>
      <c r="AB214">
        <v>0.56976744186046513</v>
      </c>
      <c r="AC214">
        <v>0.27719717064544663</v>
      </c>
      <c r="AD214">
        <v>0.25235173375190711</v>
      </c>
      <c r="AE214">
        <v>9.3750000000000014E-2</v>
      </c>
      <c r="AF214">
        <v>0.2</v>
      </c>
      <c r="AG214">
        <v>0.13500000000000001</v>
      </c>
      <c r="AH214">
        <v>0.18</v>
      </c>
      <c r="AI214">
        <v>0.3</v>
      </c>
      <c r="AJ214">
        <v>0.65</v>
      </c>
      <c r="AK214">
        <v>1</v>
      </c>
      <c r="AL214">
        <v>1</v>
      </c>
      <c r="AM214">
        <v>1</v>
      </c>
      <c r="AN214">
        <v>1.2</v>
      </c>
      <c r="AO214">
        <v>1</v>
      </c>
      <c r="AP214">
        <f t="shared" si="66"/>
        <v>1.1000000000000001</v>
      </c>
      <c r="AQ214">
        <f t="shared" si="67"/>
        <v>1</v>
      </c>
      <c r="AR214">
        <f t="shared" si="68"/>
        <v>1</v>
      </c>
      <c r="AS214" cm="1">
        <f t="array" ref="AS214">_xlfn.IFS(AF214&gt;'“主要目标”数据分表'!$C$2,1,AF214='“主要目标”数据分表'!$C$2,0,AF214&lt;'“主要目标”数据分表'!$C$2,-1)</f>
        <v>0</v>
      </c>
      <c r="AT214" cm="1">
        <f t="array" ref="AT214">_xlfn.IFS(AG214&gt;'“主要目标”数据分表'!$D$2,1,AG214='“主要目标”数据分表'!$D$2,0,AG214&lt;'“主要目标”数据分表'!$D$2,-1)</f>
        <v>0</v>
      </c>
      <c r="AU214" cm="1">
        <f t="array" ref="AU214">_xlfn.IFS(AH214&gt;'“主要目标”数据分表'!$E$2,1,AH214='“主要目标”数据分表'!$E$2,0,AH214&lt;'“主要目标”数据分表'!$E$2,-1)</f>
        <v>0</v>
      </c>
      <c r="AV214" cm="1">
        <f t="array" ref="AV214">_xlfn.IFS(AI214&gt;'“主要目标”数据分表'!$F$2,1,AI214='“主要目标”数据分表'!$F$2,0,AI214&lt;'“主要目标”数据分表'!$F$2,-1)</f>
        <v>1</v>
      </c>
      <c r="AW214" cm="1">
        <f t="array" ref="AW214">_xlfn.IFS(AJ214&gt;'“主要目标”数据分表'!$G$2,1,AJ214='“主要目标”数据分表'!$G$2,0,AJ214&lt;'“主要目标”数据分表'!$G$2,-1)</f>
        <v>0</v>
      </c>
    </row>
    <row r="215" spans="1:49" ht="14.4" x14ac:dyDescent="0.25">
      <c r="A215" s="2">
        <v>29</v>
      </c>
      <c r="B215" s="2" t="s">
        <v>46</v>
      </c>
      <c r="C215" s="2">
        <v>2021</v>
      </c>
      <c r="D215" s="2">
        <v>8636.7999999999993</v>
      </c>
      <c r="E215" s="19">
        <v>18887.986836325501</v>
      </c>
      <c r="F215" s="2">
        <v>4522.3087999999998</v>
      </c>
      <c r="G215" s="3">
        <v>1.9098209304061677</v>
      </c>
      <c r="H215" s="2">
        <f t="shared" si="74"/>
        <v>-0.12750839582559573</v>
      </c>
      <c r="I215" s="16">
        <v>0.38356216382689717</v>
      </c>
      <c r="J215" s="2">
        <f t="shared" si="75"/>
        <v>2.3999938500381495E-2</v>
      </c>
      <c r="K215">
        <v>4.1766247444945606</v>
      </c>
      <c r="L215">
        <f t="shared" si="71"/>
        <v>-6.0576414495512675E-2</v>
      </c>
      <c r="M215" s="2">
        <v>0</v>
      </c>
      <c r="N215" s="2">
        <v>0</v>
      </c>
      <c r="O215" s="4">
        <v>1</v>
      </c>
      <c r="P215">
        <v>0.84429188251844944</v>
      </c>
      <c r="Q215">
        <v>0.54985337243401755</v>
      </c>
      <c r="R215">
        <v>0.35931957827119121</v>
      </c>
      <c r="S215">
        <v>0.4</v>
      </c>
      <c r="T215">
        <v>0.98000000000000009</v>
      </c>
      <c r="U215">
        <v>0.34294871794871801</v>
      </c>
      <c r="V215">
        <v>0.23605150214592269</v>
      </c>
      <c r="W215">
        <v>8.0357142857142863E-2</v>
      </c>
      <c r="X215">
        <v>0.35766452753301997</v>
      </c>
      <c r="Y215">
        <v>0.39515279241306622</v>
      </c>
      <c r="Z215">
        <v>0.25767561565779284</v>
      </c>
      <c r="AA215">
        <v>0.1142857142857143</v>
      </c>
      <c r="AB215">
        <v>0.56976744186046513</v>
      </c>
      <c r="AC215">
        <v>0.27719717064544663</v>
      </c>
      <c r="AD215">
        <v>0.25235173375190711</v>
      </c>
      <c r="AE215">
        <v>9.3750000000000014E-2</v>
      </c>
      <c r="AF215">
        <v>0.2</v>
      </c>
      <c r="AG215">
        <v>0.13500000000000001</v>
      </c>
      <c r="AH215">
        <v>0.18</v>
      </c>
      <c r="AI215">
        <v>0.3</v>
      </c>
      <c r="AJ215">
        <v>0.65</v>
      </c>
      <c r="AK215">
        <v>1</v>
      </c>
      <c r="AL215">
        <v>1</v>
      </c>
      <c r="AM215">
        <v>1</v>
      </c>
      <c r="AN215">
        <v>1.2</v>
      </c>
      <c r="AO215">
        <v>1</v>
      </c>
      <c r="AP215">
        <f t="shared" si="66"/>
        <v>1.1000000000000001</v>
      </c>
      <c r="AQ215">
        <f t="shared" si="67"/>
        <v>1</v>
      </c>
      <c r="AR215">
        <f t="shared" si="68"/>
        <v>1</v>
      </c>
      <c r="AS215" cm="1">
        <f t="array" ref="AS215">_xlfn.IFS(AF215&gt;'“主要目标”数据分表'!$C$2,1,AF215='“主要目标”数据分表'!$C$2,0,AF215&lt;'“主要目标”数据分表'!$C$2,-1)</f>
        <v>0</v>
      </c>
      <c r="AT215" cm="1">
        <f t="array" ref="AT215">_xlfn.IFS(AG215&gt;'“主要目标”数据分表'!$D$2,1,AG215='“主要目标”数据分表'!$D$2,0,AG215&lt;'“主要目标”数据分表'!$D$2,-1)</f>
        <v>0</v>
      </c>
      <c r="AU215" cm="1">
        <f t="array" ref="AU215">_xlfn.IFS(AH215&gt;'“主要目标”数据分表'!$E$2,1,AH215='“主要目标”数据分表'!$E$2,0,AH215&lt;'“主要目标”数据分表'!$E$2,-1)</f>
        <v>0</v>
      </c>
      <c r="AV215" cm="1">
        <f t="array" ref="AV215">_xlfn.IFS(AI215&gt;'“主要目标”数据分表'!$F$2,1,AI215='“主要目标”数据分表'!$F$2,0,AI215&lt;'“主要目标”数据分表'!$F$2,-1)</f>
        <v>1</v>
      </c>
      <c r="AW215" cm="1">
        <f t="array" ref="AW215">_xlfn.IFS(AJ215&gt;'“主要目标”数据分表'!$G$2,1,AJ215='“主要目标”数据分表'!$G$2,0,AJ215&lt;'“主要目标”数据分表'!$G$2,-1)</f>
        <v>0</v>
      </c>
    </row>
    <row r="216" spans="1:49" ht="14.4" x14ac:dyDescent="0.25">
      <c r="A216" s="2">
        <v>29</v>
      </c>
      <c r="B216" s="6" t="s">
        <v>47</v>
      </c>
      <c r="C216" s="2">
        <v>2022</v>
      </c>
      <c r="D216" s="2">
        <v>9283.7000000000007</v>
      </c>
      <c r="E216" s="19">
        <v>19161.715957394703</v>
      </c>
      <c r="F216" s="2">
        <v>5069.6000000000004</v>
      </c>
      <c r="G216" s="3">
        <v>1.8312490137288937</v>
      </c>
      <c r="H216" s="2">
        <f t="shared" si="74"/>
        <v>-4.1140986270667736E-2</v>
      </c>
      <c r="I216" s="16">
        <v>0.39158882885523077</v>
      </c>
      <c r="J216" s="2">
        <f t="shared" si="75"/>
        <v>2.0926634025237329E-2</v>
      </c>
      <c r="K216">
        <v>3.7797293588043832</v>
      </c>
      <c r="L216">
        <f t="shared" si="71"/>
        <v>-9.5027781993904784E-2</v>
      </c>
      <c r="M216" s="2">
        <v>1</v>
      </c>
      <c r="N216" s="2">
        <v>0</v>
      </c>
      <c r="O216" s="4">
        <v>1</v>
      </c>
      <c r="P216">
        <v>0.84429188251844944</v>
      </c>
      <c r="Q216">
        <v>0.54985337243401755</v>
      </c>
      <c r="R216">
        <v>0.35931957827119121</v>
      </c>
      <c r="S216">
        <v>0.4</v>
      </c>
      <c r="T216">
        <v>0.98000000000000009</v>
      </c>
      <c r="U216">
        <v>0.34294871794871801</v>
      </c>
      <c r="V216">
        <v>0.23605150214592269</v>
      </c>
      <c r="W216">
        <v>8.0357142857142863E-2</v>
      </c>
      <c r="X216">
        <v>0.35766452753301997</v>
      </c>
      <c r="Y216">
        <v>0.39515279241306622</v>
      </c>
      <c r="Z216">
        <v>0.25767561565779284</v>
      </c>
      <c r="AA216">
        <v>0.1142857142857143</v>
      </c>
      <c r="AB216">
        <v>0.56976744186046513</v>
      </c>
      <c r="AC216">
        <v>0.27719717064544663</v>
      </c>
      <c r="AD216">
        <v>0.25235173375190711</v>
      </c>
      <c r="AE216">
        <v>9.3750000000000014E-2</v>
      </c>
      <c r="AF216">
        <v>0.2</v>
      </c>
      <c r="AG216">
        <v>0.13500000000000001</v>
      </c>
      <c r="AH216">
        <v>0.18</v>
      </c>
      <c r="AI216">
        <v>0.3</v>
      </c>
      <c r="AJ216">
        <v>0.65</v>
      </c>
      <c r="AK216">
        <v>1</v>
      </c>
      <c r="AL216">
        <v>1</v>
      </c>
      <c r="AM216">
        <v>1</v>
      </c>
      <c r="AN216">
        <v>1.2</v>
      </c>
      <c r="AO216">
        <v>1</v>
      </c>
      <c r="AP216">
        <f t="shared" si="66"/>
        <v>1.1000000000000001</v>
      </c>
      <c r="AQ216">
        <f t="shared" si="67"/>
        <v>1</v>
      </c>
      <c r="AR216">
        <f t="shared" si="68"/>
        <v>1</v>
      </c>
      <c r="AS216" cm="1">
        <f t="array" ref="AS216">_xlfn.IFS(AF216&gt;'“主要目标”数据分表'!$C$2,1,AF216='“主要目标”数据分表'!$C$2,0,AF216&lt;'“主要目标”数据分表'!$C$2,-1)</f>
        <v>0</v>
      </c>
      <c r="AT216" cm="1">
        <f t="array" ref="AT216">_xlfn.IFS(AG216&gt;'“主要目标”数据分表'!$D$2,1,AG216='“主要目标”数据分表'!$D$2,0,AG216&lt;'“主要目标”数据分表'!$D$2,-1)</f>
        <v>0</v>
      </c>
      <c r="AU216" cm="1">
        <f t="array" ref="AU216">_xlfn.IFS(AH216&gt;'“主要目标”数据分表'!$E$2,1,AH216='“主要目标”数据分表'!$E$2,0,AH216&lt;'“主要目标”数据分表'!$E$2,-1)</f>
        <v>0</v>
      </c>
      <c r="AV216" cm="1">
        <f t="array" ref="AV216">_xlfn.IFS(AI216&gt;'“主要目标”数据分表'!$F$2,1,AI216='“主要目标”数据分表'!$F$2,0,AI216&lt;'“主要目标”数据分表'!$F$2,-1)</f>
        <v>1</v>
      </c>
      <c r="AW216" cm="1">
        <f t="array" ref="AW216">_xlfn.IFS(AJ216&gt;'“主要目标”数据分表'!$G$2,1,AJ216='“主要目标”数据分表'!$G$2,0,AJ216&lt;'“主要目标”数据分表'!$G$2,-1)</f>
        <v>0</v>
      </c>
    </row>
    <row r="217" spans="1:49" ht="14.4" x14ac:dyDescent="0.25">
      <c r="A217" s="2">
        <v>30</v>
      </c>
      <c r="B217" s="2" t="s">
        <v>48</v>
      </c>
      <c r="C217" s="2">
        <v>2016</v>
      </c>
      <c r="D217" s="2">
        <v>16302</v>
      </c>
      <c r="E217" s="19">
        <v>36088.113222593805</v>
      </c>
      <c r="F217" s="2">
        <v>9649.7000000000007</v>
      </c>
      <c r="G217" s="3">
        <v>1.6893789444231426</v>
      </c>
      <c r="H217" s="2"/>
      <c r="I217" s="16">
        <v>0.38303371932945279</v>
      </c>
      <c r="K217">
        <v>3.739817115826793</v>
      </c>
      <c r="L217"/>
      <c r="M217" s="2">
        <v>0</v>
      </c>
      <c r="N217" s="2">
        <v>0</v>
      </c>
      <c r="O217" s="4">
        <v>1</v>
      </c>
      <c r="P217" s="4">
        <v>0.99999999580495169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0.2</v>
      </c>
      <c r="AG217">
        <v>0.13500000000000001</v>
      </c>
      <c r="AH217">
        <v>0.18</v>
      </c>
      <c r="AI217">
        <v>0.25</v>
      </c>
      <c r="AJ217">
        <v>0.65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f t="shared" si="66"/>
        <v>1</v>
      </c>
      <c r="AQ217">
        <f t="shared" si="67"/>
        <v>1</v>
      </c>
      <c r="AR217">
        <f t="shared" si="68"/>
        <v>1</v>
      </c>
      <c r="AS217" cm="1">
        <f t="array" ref="AS217">_xlfn.IFS(AF217&gt;'“主要目标”数据分表'!$C$2,1,AF217='“主要目标”数据分表'!$C$2,0,AF217&lt;'“主要目标”数据分表'!$C$2,-1)</f>
        <v>0</v>
      </c>
      <c r="AT217" cm="1">
        <f t="array" ref="AT217">_xlfn.IFS(AG217&gt;'“主要目标”数据分表'!$D$2,1,AG217='“主要目标”数据分表'!$D$2,0,AG217&lt;'“主要目标”数据分表'!$D$2,-1)</f>
        <v>0</v>
      </c>
      <c r="AU217" cm="1">
        <f t="array" ref="AU217">_xlfn.IFS(AH217&gt;'“主要目标”数据分表'!$E$2,1,AH217='“主要目标”数据分表'!$E$2,0,AH217&lt;'“主要目标”数据分表'!$E$2,-1)</f>
        <v>0</v>
      </c>
      <c r="AV217" cm="1">
        <f t="array" ref="AV217">_xlfn.IFS(AI217&gt;'“主要目标”数据分表'!$F$2,1,AI217='“主要目标”数据分表'!$F$2,0,AI217&lt;'“主要目标”数据分表'!$F$2,-1)</f>
        <v>0</v>
      </c>
      <c r="AW217" cm="1">
        <f t="array" ref="AW217">_xlfn.IFS(AJ217&gt;'“主要目标”数据分表'!$G$2,1,AJ217='“主要目标”数据分表'!$G$2,0,AJ217&lt;'“主要目标”数据分表'!$G$2,-1)</f>
        <v>0</v>
      </c>
    </row>
    <row r="218" spans="1:49" ht="14.4" x14ac:dyDescent="0.25">
      <c r="A218" s="2">
        <v>30</v>
      </c>
      <c r="B218" s="2" t="s">
        <v>48</v>
      </c>
      <c r="C218" s="2">
        <v>2017</v>
      </c>
      <c r="D218" s="2">
        <v>17386</v>
      </c>
      <c r="E218" s="19">
        <v>39190.713249534099</v>
      </c>
      <c r="F218" s="2">
        <v>10881.96</v>
      </c>
      <c r="G218" s="3">
        <v>1.597690122000081</v>
      </c>
      <c r="H218" s="2">
        <f>(G218-G217)/G217</f>
        <v>-5.4273686034585815E-2</v>
      </c>
      <c r="I218" s="16">
        <v>0.43729288425958823</v>
      </c>
      <c r="J218" s="2">
        <f>(I218-I217)/I217</f>
        <v>0.1416563665076869</v>
      </c>
      <c r="K218">
        <v>3.6014388262348054</v>
      </c>
      <c r="L218">
        <f t="shared" si="71"/>
        <v>-3.7001352019694997E-2</v>
      </c>
      <c r="M218" s="2">
        <v>0</v>
      </c>
      <c r="N218" s="2">
        <v>0</v>
      </c>
      <c r="O218" s="4">
        <v>1</v>
      </c>
      <c r="P218" s="4">
        <v>0.99999999580495169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0.2</v>
      </c>
      <c r="AG218">
        <v>0.13500000000000001</v>
      </c>
      <c r="AH218">
        <v>0.18</v>
      </c>
      <c r="AI218">
        <v>0.25</v>
      </c>
      <c r="AJ218">
        <v>0.65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f t="shared" si="66"/>
        <v>1</v>
      </c>
      <c r="AQ218">
        <f t="shared" si="67"/>
        <v>1</v>
      </c>
      <c r="AR218">
        <f t="shared" si="68"/>
        <v>1</v>
      </c>
      <c r="AS218" cm="1">
        <f t="array" ref="AS218">_xlfn.IFS(AF218&gt;'“主要目标”数据分表'!$C$2,1,AF218='“主要目标”数据分表'!$C$2,0,AF218&lt;'“主要目标”数据分表'!$C$2,-1)</f>
        <v>0</v>
      </c>
      <c r="AT218" cm="1">
        <f t="array" ref="AT218">_xlfn.IFS(AG218&gt;'“主要目标”数据分表'!$D$2,1,AG218='“主要目标”数据分表'!$D$2,0,AG218&lt;'“主要目标”数据分表'!$D$2,-1)</f>
        <v>0</v>
      </c>
      <c r="AU218" cm="1">
        <f t="array" ref="AU218">_xlfn.IFS(AH218&gt;'“主要目标”数据分表'!$E$2,1,AH218='“主要目标”数据分表'!$E$2,0,AH218&lt;'“主要目标”数据分表'!$E$2,-1)</f>
        <v>0</v>
      </c>
      <c r="AV218" cm="1">
        <f t="array" ref="AV218">_xlfn.IFS(AI218&gt;'“主要目标”数据分表'!$F$2,1,AI218='“主要目标”数据分表'!$F$2,0,AI218&lt;'“主要目标”数据分表'!$F$2,-1)</f>
        <v>0</v>
      </c>
      <c r="AW218" cm="1">
        <f t="array" ref="AW218">_xlfn.IFS(AJ218&gt;'“主要目标”数据分表'!$G$2,1,AJ218='“主要目标”数据分表'!$G$2,0,AJ218&lt;'“主要目标”数据分表'!$G$2,-1)</f>
        <v>0</v>
      </c>
    </row>
    <row r="219" spans="1:49" ht="14.4" x14ac:dyDescent="0.25">
      <c r="A219" s="2">
        <v>30</v>
      </c>
      <c r="B219" s="2" t="s">
        <v>48</v>
      </c>
      <c r="C219" s="2">
        <v>2018</v>
      </c>
      <c r="D219" s="2">
        <v>17694</v>
      </c>
      <c r="E219" s="19">
        <v>41949.754206344303</v>
      </c>
      <c r="F219" s="2">
        <v>12199.08</v>
      </c>
      <c r="G219" s="3">
        <v>1.45043724608741</v>
      </c>
      <c r="H219" s="2">
        <f t="shared" ref="H219:H222" si="76">(G219-G218)/G218</f>
        <v>-9.216610523217815E-2</v>
      </c>
      <c r="I219" s="16">
        <v>0.44615306925465142</v>
      </c>
      <c r="J219" s="2">
        <f t="shared" ref="J219:J221" si="77">(I219-I218)/I218</f>
        <v>2.0261443334631441E-2</v>
      </c>
      <c r="K219">
        <v>3.4387637597543672</v>
      </c>
      <c r="L219">
        <f t="shared" si="71"/>
        <v>-4.5169465407943636E-2</v>
      </c>
      <c r="M219" s="2">
        <v>0</v>
      </c>
      <c r="N219" s="2">
        <v>0</v>
      </c>
      <c r="O219" s="4">
        <v>1</v>
      </c>
      <c r="P219" s="4">
        <v>0.99999999580495169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0.2</v>
      </c>
      <c r="AG219">
        <v>0.13500000000000001</v>
      </c>
      <c r="AH219">
        <v>0.18</v>
      </c>
      <c r="AI219">
        <v>0.25</v>
      </c>
      <c r="AJ219">
        <v>0.65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f t="shared" si="66"/>
        <v>1</v>
      </c>
      <c r="AQ219">
        <f t="shared" si="67"/>
        <v>1</v>
      </c>
      <c r="AR219">
        <f t="shared" si="68"/>
        <v>1</v>
      </c>
      <c r="AS219" cm="1">
        <f t="array" ref="AS219">_xlfn.IFS(AF219&gt;'“主要目标”数据分表'!$C$2,1,AF219='“主要目标”数据分表'!$C$2,0,AF219&lt;'“主要目标”数据分表'!$C$2,-1)</f>
        <v>0</v>
      </c>
      <c r="AT219" cm="1">
        <f t="array" ref="AT219">_xlfn.IFS(AG219&gt;'“主要目标”数据分表'!$D$2,1,AG219='“主要目标”数据分表'!$D$2,0,AG219&lt;'“主要目标”数据分表'!$D$2,-1)</f>
        <v>0</v>
      </c>
      <c r="AU219" cm="1">
        <f t="array" ref="AU219">_xlfn.IFS(AH219&gt;'“主要目标”数据分表'!$E$2,1,AH219='“主要目标”数据分表'!$E$2,0,AH219&lt;'“主要目标”数据分表'!$E$2,-1)</f>
        <v>0</v>
      </c>
      <c r="AV219" cm="1">
        <f t="array" ref="AV219">_xlfn.IFS(AI219&gt;'“主要目标”数据分表'!$F$2,1,AI219='“主要目标”数据分表'!$F$2,0,AI219&lt;'“主要目标”数据分表'!$F$2,-1)</f>
        <v>0</v>
      </c>
      <c r="AW219" cm="1">
        <f t="array" ref="AW219">_xlfn.IFS(AJ219&gt;'“主要目标”数据分表'!$G$2,1,AJ219='“主要目标”数据分表'!$G$2,0,AJ219&lt;'“主要目标”数据分表'!$G$2,-1)</f>
        <v>0</v>
      </c>
    </row>
    <row r="220" spans="1:49" ht="14.4" x14ac:dyDescent="0.25">
      <c r="A220" s="2">
        <v>30</v>
      </c>
      <c r="B220" s="2" t="s">
        <v>48</v>
      </c>
      <c r="C220" s="2">
        <v>2019</v>
      </c>
      <c r="D220" s="2">
        <v>18490</v>
      </c>
      <c r="E220" s="19">
        <v>43281.478038947804</v>
      </c>
      <c r="F220" s="2">
        <v>13597.11</v>
      </c>
      <c r="G220" s="3">
        <v>1.3598477911850386</v>
      </c>
      <c r="H220" s="2">
        <f t="shared" si="76"/>
        <v>-6.2456652396881446E-2</v>
      </c>
      <c r="I220" s="16">
        <v>0.47256880589831957</v>
      </c>
      <c r="J220" s="2">
        <f t="shared" si="77"/>
        <v>5.9207788680684374E-2</v>
      </c>
      <c r="K220">
        <v>3.1831380373438032</v>
      </c>
      <c r="L220">
        <f t="shared" si="71"/>
        <v>-7.4336517501517319E-2</v>
      </c>
      <c r="M220" s="2">
        <v>0</v>
      </c>
      <c r="N220" s="2">
        <v>0</v>
      </c>
      <c r="O220" s="4">
        <v>1</v>
      </c>
      <c r="P220" s="4">
        <v>0.99999999580495169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0.2</v>
      </c>
      <c r="AG220">
        <v>0.13500000000000001</v>
      </c>
      <c r="AH220">
        <v>0.18</v>
      </c>
      <c r="AI220">
        <v>0.25</v>
      </c>
      <c r="AJ220">
        <v>0.65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f t="shared" si="66"/>
        <v>1</v>
      </c>
      <c r="AQ220">
        <f t="shared" si="67"/>
        <v>1</v>
      </c>
      <c r="AR220">
        <f t="shared" si="68"/>
        <v>1</v>
      </c>
      <c r="AS220" cm="1">
        <f t="array" ref="AS220">_xlfn.IFS(AF220&gt;'“主要目标”数据分表'!$C$2,1,AF220='“主要目标”数据分表'!$C$2,0,AF220&lt;'“主要目标”数据分表'!$C$2,-1)</f>
        <v>0</v>
      </c>
      <c r="AT220" cm="1">
        <f t="array" ref="AT220">_xlfn.IFS(AG220&gt;'“主要目标”数据分表'!$D$2,1,AG220='“主要目标”数据分表'!$D$2,0,AG220&lt;'“主要目标”数据分表'!$D$2,-1)</f>
        <v>0</v>
      </c>
      <c r="AU220" cm="1">
        <f t="array" ref="AU220">_xlfn.IFS(AH220&gt;'“主要目标”数据分表'!$E$2,1,AH220='“主要目标”数据分表'!$E$2,0,AH220&lt;'“主要目标”数据分表'!$E$2,-1)</f>
        <v>0</v>
      </c>
      <c r="AV220" cm="1">
        <f t="array" ref="AV220">_xlfn.IFS(AI220&gt;'“主要目标”数据分表'!$F$2,1,AI220='“主要目标”数据分表'!$F$2,0,AI220&lt;'“主要目标”数据分表'!$F$2,-1)</f>
        <v>0</v>
      </c>
      <c r="AW220" cm="1">
        <f t="array" ref="AW220">_xlfn.IFS(AJ220&gt;'“主要目标”数据分表'!$G$2,1,AJ220='“主要目标”数据分表'!$G$2,0,AJ220&lt;'“主要目标”数据分表'!$G$2,-1)</f>
        <v>0</v>
      </c>
    </row>
    <row r="221" spans="1:49" ht="14.4" x14ac:dyDescent="0.25">
      <c r="A221" s="2">
        <v>30</v>
      </c>
      <c r="B221" s="2" t="s">
        <v>48</v>
      </c>
      <c r="C221" s="2">
        <v>2020</v>
      </c>
      <c r="D221" s="2">
        <v>18981.810000000001</v>
      </c>
      <c r="E221" s="19">
        <v>44571.102778560606</v>
      </c>
      <c r="F221" s="2">
        <v>13797.58</v>
      </c>
      <c r="G221" s="3">
        <v>1.3757347302932834</v>
      </c>
      <c r="H221" s="2">
        <f t="shared" si="76"/>
        <v>1.1682880401195583E-2</v>
      </c>
      <c r="I221" s="16">
        <v>0.48654233419702941</v>
      </c>
      <c r="J221" s="2">
        <f t="shared" si="77"/>
        <v>2.9569298955624393E-2</v>
      </c>
      <c r="K221">
        <v>3.2303565392308364</v>
      </c>
      <c r="L221">
        <f t="shared" si="71"/>
        <v>1.4833947297628077E-2</v>
      </c>
      <c r="M221" s="2">
        <v>0</v>
      </c>
      <c r="N221" s="2">
        <v>0</v>
      </c>
      <c r="O221" s="4">
        <v>1</v>
      </c>
      <c r="P221" s="4">
        <v>0.99999999580495169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0.2</v>
      </c>
      <c r="AG221">
        <v>0.13500000000000001</v>
      </c>
      <c r="AH221">
        <v>0.18</v>
      </c>
      <c r="AI221">
        <v>0.25</v>
      </c>
      <c r="AJ221">
        <v>0.65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f t="shared" si="66"/>
        <v>1</v>
      </c>
      <c r="AQ221">
        <f t="shared" si="67"/>
        <v>1</v>
      </c>
      <c r="AR221">
        <f t="shared" si="68"/>
        <v>1</v>
      </c>
      <c r="AS221" cm="1">
        <f t="array" ref="AS221">_xlfn.IFS(AF221&gt;'“主要目标”数据分表'!$C$2,1,AF221='“主要目标”数据分表'!$C$2,0,AF221&lt;'“主要目标”数据分表'!$C$2,-1)</f>
        <v>0</v>
      </c>
      <c r="AT221" cm="1">
        <f t="array" ref="AT221">_xlfn.IFS(AG221&gt;'“主要目标”数据分表'!$D$2,1,AG221='“主要目标”数据分表'!$D$2,0,AG221&lt;'“主要目标”数据分表'!$D$2,-1)</f>
        <v>0</v>
      </c>
      <c r="AU221" cm="1">
        <f t="array" ref="AU221">_xlfn.IFS(AH221&gt;'“主要目标”数据分表'!$E$2,1,AH221='“主要目标”数据分表'!$E$2,0,AH221&lt;'“主要目标”数据分表'!$E$2,-1)</f>
        <v>0</v>
      </c>
      <c r="AV221" cm="1">
        <f t="array" ref="AV221">_xlfn.IFS(AI221&gt;'“主要目标”数据分表'!$F$2,1,AI221='“主要目标”数据分表'!$F$2,0,AI221&lt;'“主要目标”数据分表'!$F$2,-1)</f>
        <v>0</v>
      </c>
      <c r="AW221" cm="1">
        <f t="array" ref="AW221">_xlfn.IFS(AJ221&gt;'“主要目标”数据分表'!$G$2,1,AJ221='“主要目标”数据分表'!$G$2,0,AJ221&lt;'“主要目标”数据分表'!$G$2,-1)</f>
        <v>0</v>
      </c>
    </row>
    <row r="222" spans="1:49" ht="14.4" x14ac:dyDescent="0.25">
      <c r="A222" s="2">
        <v>30</v>
      </c>
      <c r="B222" s="2" t="s">
        <v>48</v>
      </c>
      <c r="C222" s="2">
        <v>2021</v>
      </c>
      <c r="D222" s="2">
        <v>19661.223108851202</v>
      </c>
      <c r="E222" s="19">
        <v>48279.494085315695</v>
      </c>
      <c r="F222" s="2">
        <v>15983.6469</v>
      </c>
      <c r="G222" s="3">
        <v>1.2300836743866759</v>
      </c>
      <c r="H222" s="2">
        <f t="shared" si="76"/>
        <v>-0.10587146831392212</v>
      </c>
      <c r="K222">
        <v>3.0205555958143506</v>
      </c>
      <c r="L222">
        <f t="shared" si="71"/>
        <v>-6.4946683398124358E-2</v>
      </c>
      <c r="M222" s="2">
        <v>0</v>
      </c>
      <c r="N222" s="2">
        <v>0</v>
      </c>
      <c r="O222" s="4">
        <v>1</v>
      </c>
      <c r="P222" s="4">
        <v>0.99999999580495169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0.2</v>
      </c>
      <c r="AG222">
        <v>0.13500000000000001</v>
      </c>
      <c r="AH222">
        <v>0.18</v>
      </c>
      <c r="AI222">
        <v>0.25</v>
      </c>
      <c r="AJ222">
        <v>0.65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f t="shared" si="66"/>
        <v>1</v>
      </c>
      <c r="AQ222">
        <f t="shared" si="67"/>
        <v>1</v>
      </c>
      <c r="AR222">
        <f t="shared" si="68"/>
        <v>1</v>
      </c>
      <c r="AS222" cm="1">
        <f t="array" ref="AS222">_xlfn.IFS(AF222&gt;'“主要目标”数据分表'!$C$2,1,AF222='“主要目标”数据分表'!$C$2,0,AF222&lt;'“主要目标”数据分表'!$C$2,-1)</f>
        <v>0</v>
      </c>
      <c r="AT222" cm="1">
        <f t="array" ref="AT222">_xlfn.IFS(AG222&gt;'“主要目标”数据分表'!$D$2,1,AG222='“主要目标”数据分表'!$D$2,0,AG222&lt;'“主要目标”数据分表'!$D$2,-1)</f>
        <v>0</v>
      </c>
      <c r="AU222" cm="1">
        <f t="array" ref="AU222">_xlfn.IFS(AH222&gt;'“主要目标”数据分表'!$E$2,1,AH222='“主要目标”数据分表'!$E$2,0,AH222&lt;'“主要目标”数据分表'!$E$2,-1)</f>
        <v>0</v>
      </c>
      <c r="AV222" cm="1">
        <f t="array" ref="AV222">_xlfn.IFS(AI222&gt;'“主要目标”数据分表'!$F$2,1,AI222='“主要目标”数据分表'!$F$2,0,AI222&lt;'“主要目标”数据分表'!$F$2,-1)</f>
        <v>0</v>
      </c>
      <c r="AW222" cm="1">
        <f t="array" ref="AW222">_xlfn.IFS(AJ222&gt;'“主要目标”数据分表'!$G$2,1,AJ222='“主要目标”数据分表'!$G$2,0,AJ222&lt;'“主要目标”数据分表'!$G$2,-1)</f>
        <v>0</v>
      </c>
    </row>
    <row r="223" spans="1:49" x14ac:dyDescent="0.25">
      <c r="E223" s="19"/>
    </row>
    <row r="224" spans="1:49" x14ac:dyDescent="0.25">
      <c r="E224" s="19"/>
    </row>
  </sheetData>
  <autoFilter ref="A1:O222" xr:uid="{1BBACB0B-A000-407F-B163-14ABA742E5CA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EBE0-1969-4D20-93BE-3A92B0FED7E1}">
  <dimension ref="A1:L32"/>
  <sheetViews>
    <sheetView workbookViewId="0">
      <selection activeCell="M29" sqref="M29"/>
    </sheetView>
  </sheetViews>
  <sheetFormatPr defaultRowHeight="13.8" x14ac:dyDescent="0.25"/>
  <cols>
    <col min="3" max="3" width="11.6640625" bestFit="1" customWidth="1"/>
    <col min="4" max="5" width="9.5546875" bestFit="1" customWidth="1"/>
    <col min="6" max="6" width="15.88671875" bestFit="1" customWidth="1"/>
    <col min="7" max="7" width="13.6640625" bestFit="1" customWidth="1"/>
    <col min="8" max="8" width="22.6640625" bestFit="1" customWidth="1"/>
    <col min="9" max="10" width="20.44140625" bestFit="1" customWidth="1"/>
    <col min="11" max="11" width="26.77734375" bestFit="1" customWidth="1"/>
    <col min="12" max="12" width="24.6640625" bestFit="1" customWidth="1"/>
  </cols>
  <sheetData>
    <row r="1" spans="1:12" ht="14.4" x14ac:dyDescent="0.25">
      <c r="A1" s="1" t="s">
        <v>2</v>
      </c>
      <c r="B1" s="1" t="s">
        <v>3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</row>
    <row r="2" spans="1:12" ht="14.4" x14ac:dyDescent="0.25">
      <c r="A2" s="26">
        <v>0</v>
      </c>
      <c r="B2" s="27" t="s">
        <v>117</v>
      </c>
      <c r="C2">
        <v>0.2</v>
      </c>
      <c r="D2">
        <v>0.13500000000000001</v>
      </c>
      <c r="E2">
        <v>0.18</v>
      </c>
      <c r="F2">
        <v>0.25</v>
      </c>
      <c r="G2">
        <v>0.65</v>
      </c>
      <c r="H2">
        <f>C2/C$2</f>
        <v>1</v>
      </c>
      <c r="I2">
        <f t="shared" ref="I2:L17" si="0">D2/D$2</f>
        <v>1</v>
      </c>
      <c r="J2">
        <f t="shared" si="0"/>
        <v>1</v>
      </c>
      <c r="K2">
        <f t="shared" si="0"/>
        <v>1</v>
      </c>
      <c r="L2">
        <f t="shared" si="0"/>
        <v>1</v>
      </c>
    </row>
    <row r="3" spans="1:12" ht="14.4" x14ac:dyDescent="0.25">
      <c r="A3" s="2">
        <v>1</v>
      </c>
      <c r="B3" s="2" t="s">
        <v>8</v>
      </c>
      <c r="C3">
        <v>0.14400000000000002</v>
      </c>
      <c r="D3">
        <v>0.14000000000000001</v>
      </c>
      <c r="E3">
        <v>0.18</v>
      </c>
      <c r="F3">
        <v>0.25</v>
      </c>
      <c r="G3">
        <v>0.65</v>
      </c>
      <c r="H3">
        <f t="shared" ref="H3:H32" si="1">C3/C$2</f>
        <v>0.72000000000000008</v>
      </c>
      <c r="I3">
        <f t="shared" si="0"/>
        <v>1.037037037037037</v>
      </c>
      <c r="J3">
        <f t="shared" si="0"/>
        <v>1</v>
      </c>
      <c r="K3">
        <f t="shared" si="0"/>
        <v>1</v>
      </c>
      <c r="L3">
        <f t="shared" si="0"/>
        <v>1</v>
      </c>
    </row>
    <row r="4" spans="1:12" ht="14.4" x14ac:dyDescent="0.25">
      <c r="A4" s="2">
        <v>2</v>
      </c>
      <c r="B4" s="2" t="s">
        <v>9</v>
      </c>
      <c r="C4">
        <v>0.11699999999999999</v>
      </c>
      <c r="D4">
        <v>0.13500000000000001</v>
      </c>
      <c r="E4">
        <v>0.18</v>
      </c>
      <c r="F4">
        <v>0.16</v>
      </c>
      <c r="G4">
        <v>0.65</v>
      </c>
      <c r="H4">
        <f t="shared" si="1"/>
        <v>0.58499999999999996</v>
      </c>
      <c r="I4">
        <f t="shared" si="0"/>
        <v>1</v>
      </c>
      <c r="J4">
        <f t="shared" si="0"/>
        <v>1</v>
      </c>
      <c r="K4">
        <f t="shared" si="0"/>
        <v>0.64</v>
      </c>
      <c r="L4">
        <f t="shared" si="0"/>
        <v>1</v>
      </c>
    </row>
    <row r="5" spans="1:12" ht="14.4" x14ac:dyDescent="0.25">
      <c r="A5" s="2">
        <v>3</v>
      </c>
      <c r="B5" s="2" t="s">
        <v>10</v>
      </c>
      <c r="C5">
        <v>0.13</v>
      </c>
      <c r="D5">
        <v>0.13500000000000001</v>
      </c>
      <c r="E5">
        <v>0.18</v>
      </c>
      <c r="F5">
        <v>0.19</v>
      </c>
      <c r="G5">
        <v>0.65</v>
      </c>
      <c r="H5">
        <f t="shared" si="1"/>
        <v>0.65</v>
      </c>
      <c r="I5">
        <f t="shared" si="0"/>
        <v>1</v>
      </c>
      <c r="J5">
        <f t="shared" si="0"/>
        <v>1</v>
      </c>
      <c r="K5">
        <f t="shared" si="0"/>
        <v>0.76</v>
      </c>
      <c r="L5">
        <f t="shared" si="0"/>
        <v>1</v>
      </c>
    </row>
    <row r="6" spans="1:12" ht="14.4" x14ac:dyDescent="0.25">
      <c r="A6" s="2">
        <v>4</v>
      </c>
      <c r="B6" s="2" t="s">
        <v>11</v>
      </c>
      <c r="C6">
        <v>0.12</v>
      </c>
      <c r="D6">
        <v>0.13500000000000001</v>
      </c>
      <c r="E6">
        <v>0.18</v>
      </c>
      <c r="F6">
        <v>0.18</v>
      </c>
      <c r="G6">
        <v>0.65</v>
      </c>
      <c r="H6">
        <f t="shared" si="1"/>
        <v>0.6</v>
      </c>
      <c r="I6">
        <f t="shared" si="0"/>
        <v>1</v>
      </c>
      <c r="J6">
        <f t="shared" si="0"/>
        <v>1</v>
      </c>
      <c r="K6">
        <f t="shared" si="0"/>
        <v>0.72</v>
      </c>
      <c r="L6">
        <f t="shared" si="0"/>
        <v>1</v>
      </c>
    </row>
    <row r="7" spans="1:12" ht="14.4" x14ac:dyDescent="0.25">
      <c r="A7" s="2">
        <v>5</v>
      </c>
      <c r="B7" s="2" t="s">
        <v>12</v>
      </c>
      <c r="C7">
        <v>0.18</v>
      </c>
      <c r="D7">
        <v>0.13500000000000001</v>
      </c>
      <c r="E7">
        <v>0.18</v>
      </c>
      <c r="F7">
        <v>0.25</v>
      </c>
      <c r="G7">
        <v>0.65</v>
      </c>
      <c r="H7">
        <f t="shared" si="1"/>
        <v>0.89999999999999991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</row>
    <row r="8" spans="1:12" ht="14.4" x14ac:dyDescent="0.25">
      <c r="A8" s="2">
        <v>6</v>
      </c>
      <c r="B8" s="2" t="s">
        <v>14</v>
      </c>
      <c r="C8">
        <v>0.13699999999999998</v>
      </c>
      <c r="D8">
        <v>0.14499999999999999</v>
      </c>
      <c r="E8">
        <v>0.18</v>
      </c>
      <c r="F8">
        <v>0.2</v>
      </c>
      <c r="G8">
        <v>0.65</v>
      </c>
      <c r="H8">
        <f t="shared" si="1"/>
        <v>0.68499999999999983</v>
      </c>
      <c r="I8">
        <f t="shared" si="0"/>
        <v>1.074074074074074</v>
      </c>
      <c r="J8">
        <f t="shared" si="0"/>
        <v>1</v>
      </c>
      <c r="K8">
        <f t="shared" si="0"/>
        <v>0.8</v>
      </c>
      <c r="L8">
        <f t="shared" si="0"/>
        <v>1</v>
      </c>
    </row>
    <row r="9" spans="1:12" ht="14.4" x14ac:dyDescent="0.25">
      <c r="A9" s="2">
        <v>7</v>
      </c>
      <c r="B9" s="2" t="s">
        <v>16</v>
      </c>
      <c r="C9">
        <v>0.17699999999999999</v>
      </c>
      <c r="D9">
        <v>0.13500000000000001</v>
      </c>
      <c r="E9">
        <v>0.18</v>
      </c>
      <c r="F9">
        <v>0.2</v>
      </c>
      <c r="G9">
        <v>0.65</v>
      </c>
      <c r="H9">
        <f t="shared" si="1"/>
        <v>0.8849999999999999</v>
      </c>
      <c r="I9">
        <f t="shared" si="0"/>
        <v>1</v>
      </c>
      <c r="J9">
        <f t="shared" si="0"/>
        <v>1</v>
      </c>
      <c r="K9">
        <f t="shared" si="0"/>
        <v>0.8</v>
      </c>
      <c r="L9">
        <f t="shared" si="0"/>
        <v>1</v>
      </c>
    </row>
    <row r="10" spans="1:12" ht="14.4" x14ac:dyDescent="0.25">
      <c r="A10" s="2">
        <v>8</v>
      </c>
      <c r="B10" s="2" t="s">
        <v>17</v>
      </c>
      <c r="C10">
        <v>0.2</v>
      </c>
      <c r="D10">
        <v>0.13500000000000001</v>
      </c>
      <c r="E10">
        <v>0.18</v>
      </c>
      <c r="F10">
        <v>0.25</v>
      </c>
      <c r="G10">
        <v>0.65</v>
      </c>
      <c r="H10">
        <f t="shared" si="1"/>
        <v>1</v>
      </c>
      <c r="I10">
        <f t="shared" si="0"/>
        <v>1</v>
      </c>
      <c r="J10">
        <f t="shared" si="0"/>
        <v>1</v>
      </c>
      <c r="K10">
        <f t="shared" si="0"/>
        <v>1</v>
      </c>
      <c r="L10">
        <f t="shared" si="0"/>
        <v>1</v>
      </c>
    </row>
    <row r="11" spans="1:12" ht="14.4" x14ac:dyDescent="0.25">
      <c r="A11" s="2">
        <v>9</v>
      </c>
      <c r="B11" s="2" t="s">
        <v>19</v>
      </c>
      <c r="C11">
        <v>0.2</v>
      </c>
      <c r="D11">
        <v>0.14000000000000001</v>
      </c>
      <c r="E11">
        <v>0.18</v>
      </c>
      <c r="F11">
        <v>0.25</v>
      </c>
      <c r="G11">
        <v>0.7</v>
      </c>
      <c r="H11">
        <f t="shared" si="1"/>
        <v>1</v>
      </c>
      <c r="I11">
        <f t="shared" si="0"/>
        <v>1.037037037037037</v>
      </c>
      <c r="J11">
        <f t="shared" si="0"/>
        <v>1</v>
      </c>
      <c r="K11">
        <f t="shared" si="0"/>
        <v>1</v>
      </c>
      <c r="L11">
        <f t="shared" si="0"/>
        <v>1.0769230769230769</v>
      </c>
    </row>
    <row r="12" spans="1:12" ht="14.4" x14ac:dyDescent="0.25">
      <c r="A12" s="2">
        <v>10</v>
      </c>
      <c r="B12" s="2" t="s">
        <v>20</v>
      </c>
      <c r="C12">
        <v>0.18</v>
      </c>
      <c r="D12">
        <v>0.14000000000000001</v>
      </c>
      <c r="E12">
        <v>0.18</v>
      </c>
      <c r="F12">
        <v>0.25</v>
      </c>
      <c r="G12">
        <v>0.65</v>
      </c>
      <c r="H12">
        <f t="shared" si="1"/>
        <v>0.89999999999999991</v>
      </c>
      <c r="I12">
        <f t="shared" si="0"/>
        <v>1.037037037037037</v>
      </c>
      <c r="J12">
        <f t="shared" si="0"/>
        <v>1</v>
      </c>
      <c r="K12">
        <f t="shared" si="0"/>
        <v>1</v>
      </c>
      <c r="L12">
        <f t="shared" si="0"/>
        <v>1</v>
      </c>
    </row>
    <row r="13" spans="1:12" ht="14.4" x14ac:dyDescent="0.25">
      <c r="A13" s="2">
        <v>11</v>
      </c>
      <c r="B13" s="2" t="s">
        <v>21</v>
      </c>
      <c r="C13">
        <v>0.2</v>
      </c>
      <c r="D13">
        <v>0.13500000000000001</v>
      </c>
      <c r="E13">
        <v>0.18</v>
      </c>
      <c r="F13">
        <v>0.25</v>
      </c>
      <c r="G13">
        <v>0.65</v>
      </c>
      <c r="H13">
        <f t="shared" si="1"/>
        <v>1</v>
      </c>
      <c r="I13">
        <f t="shared" si="0"/>
        <v>1</v>
      </c>
      <c r="J13">
        <f t="shared" si="0"/>
        <v>1</v>
      </c>
      <c r="K13">
        <f t="shared" si="0"/>
        <v>1</v>
      </c>
      <c r="L13">
        <f t="shared" si="0"/>
        <v>1</v>
      </c>
    </row>
    <row r="14" spans="1:12" ht="14.4" x14ac:dyDescent="0.25">
      <c r="A14" s="2">
        <v>12</v>
      </c>
      <c r="B14" s="2" t="s">
        <v>22</v>
      </c>
      <c r="C14">
        <v>0.155</v>
      </c>
      <c r="D14">
        <v>0.14000000000000001</v>
      </c>
      <c r="E14">
        <v>0.18</v>
      </c>
      <c r="F14">
        <v>0.22</v>
      </c>
      <c r="G14">
        <v>0.65</v>
      </c>
      <c r="H14">
        <f t="shared" si="1"/>
        <v>0.77499999999999991</v>
      </c>
      <c r="I14">
        <f t="shared" si="0"/>
        <v>1.037037037037037</v>
      </c>
      <c r="J14">
        <f t="shared" si="0"/>
        <v>1</v>
      </c>
      <c r="K14">
        <f t="shared" si="0"/>
        <v>0.88</v>
      </c>
      <c r="L14">
        <f t="shared" si="0"/>
        <v>1</v>
      </c>
    </row>
    <row r="15" spans="1:12" ht="14.4" x14ac:dyDescent="0.25">
      <c r="A15" s="2">
        <v>13</v>
      </c>
      <c r="B15" s="2" t="s">
        <v>23</v>
      </c>
      <c r="C15">
        <v>0.2</v>
      </c>
      <c r="D15">
        <v>0.13500000000000001</v>
      </c>
      <c r="E15">
        <v>0.18</v>
      </c>
      <c r="F15">
        <v>0.25</v>
      </c>
      <c r="G15">
        <v>0.65</v>
      </c>
      <c r="H15">
        <f t="shared" si="1"/>
        <v>1</v>
      </c>
      <c r="I15">
        <f t="shared" si="0"/>
        <v>1</v>
      </c>
      <c r="J15">
        <f t="shared" si="0"/>
        <v>1</v>
      </c>
      <c r="K15">
        <f t="shared" si="0"/>
        <v>1</v>
      </c>
      <c r="L15">
        <f t="shared" si="0"/>
        <v>1</v>
      </c>
    </row>
    <row r="16" spans="1:12" ht="14.4" x14ac:dyDescent="0.25">
      <c r="A16" s="2">
        <v>14</v>
      </c>
      <c r="B16" s="2" t="s">
        <v>24</v>
      </c>
      <c r="C16">
        <v>0.183</v>
      </c>
      <c r="D16">
        <v>0.13500000000000001</v>
      </c>
      <c r="E16">
        <v>0.18</v>
      </c>
      <c r="F16">
        <v>0.25</v>
      </c>
      <c r="G16">
        <v>0.65</v>
      </c>
      <c r="H16">
        <f t="shared" si="1"/>
        <v>0.91499999999999992</v>
      </c>
      <c r="I16">
        <f t="shared" si="0"/>
        <v>1</v>
      </c>
      <c r="J16">
        <f t="shared" si="0"/>
        <v>1</v>
      </c>
      <c r="K16">
        <f t="shared" si="0"/>
        <v>1</v>
      </c>
      <c r="L16">
        <f t="shared" si="0"/>
        <v>1</v>
      </c>
    </row>
    <row r="17" spans="1:12" ht="14.4" x14ac:dyDescent="0.25">
      <c r="A17" s="2">
        <v>15</v>
      </c>
      <c r="B17" s="2" t="s">
        <v>26</v>
      </c>
      <c r="C17">
        <v>0.13</v>
      </c>
      <c r="D17">
        <v>0.14499999999999999</v>
      </c>
      <c r="E17">
        <v>0.20499999999999999</v>
      </c>
      <c r="F17">
        <v>0.2</v>
      </c>
      <c r="G17">
        <v>0.68</v>
      </c>
      <c r="H17">
        <f t="shared" si="1"/>
        <v>0.65</v>
      </c>
      <c r="I17">
        <f t="shared" si="0"/>
        <v>1.074074074074074</v>
      </c>
      <c r="J17">
        <f t="shared" si="0"/>
        <v>1.1388888888888888</v>
      </c>
      <c r="K17">
        <f t="shared" si="0"/>
        <v>0.8</v>
      </c>
      <c r="L17">
        <f t="shared" si="0"/>
        <v>1.0461538461538462</v>
      </c>
    </row>
    <row r="18" spans="1:12" ht="14.4" x14ac:dyDescent="0.25">
      <c r="A18" s="2">
        <v>16</v>
      </c>
      <c r="B18" s="2" t="s">
        <v>28</v>
      </c>
      <c r="C18">
        <v>0.2</v>
      </c>
      <c r="D18">
        <v>0.13500000000000001</v>
      </c>
      <c r="E18">
        <v>0.18</v>
      </c>
      <c r="F18">
        <v>0.25</v>
      </c>
      <c r="G18">
        <v>0.65</v>
      </c>
      <c r="H18">
        <f t="shared" si="1"/>
        <v>1</v>
      </c>
      <c r="I18">
        <f t="shared" ref="I18:I32" si="2">D18/D$2</f>
        <v>1</v>
      </c>
      <c r="J18">
        <f t="shared" ref="J18:J32" si="3">E18/E$2</f>
        <v>1</v>
      </c>
      <c r="K18">
        <f t="shared" ref="K18:K32" si="4">F18/F$2</f>
        <v>1</v>
      </c>
      <c r="L18">
        <f t="shared" ref="L18:L32" si="5">G18/G$2</f>
        <v>1</v>
      </c>
    </row>
    <row r="19" spans="1:12" ht="14.4" x14ac:dyDescent="0.25">
      <c r="A19" s="2">
        <v>17</v>
      </c>
      <c r="B19" s="2" t="s">
        <v>29</v>
      </c>
      <c r="C19">
        <v>0.2</v>
      </c>
      <c r="D19">
        <v>0.13500000000000001</v>
      </c>
      <c r="E19">
        <v>0.18</v>
      </c>
      <c r="F19">
        <v>0.25</v>
      </c>
      <c r="G19">
        <v>0.65</v>
      </c>
      <c r="H19">
        <f t="shared" si="1"/>
        <v>1</v>
      </c>
      <c r="I19">
        <f t="shared" si="2"/>
        <v>1</v>
      </c>
      <c r="J19">
        <f t="shared" si="3"/>
        <v>1</v>
      </c>
      <c r="K19">
        <f t="shared" si="4"/>
        <v>1</v>
      </c>
      <c r="L19">
        <f t="shared" si="5"/>
        <v>1</v>
      </c>
    </row>
    <row r="20" spans="1:12" ht="14.4" x14ac:dyDescent="0.25">
      <c r="A20" s="2">
        <v>18</v>
      </c>
      <c r="B20" s="2" t="s">
        <v>30</v>
      </c>
      <c r="C20">
        <v>0.22</v>
      </c>
      <c r="D20">
        <v>0.13500000000000001</v>
      </c>
      <c r="E20">
        <v>0.18</v>
      </c>
      <c r="F20">
        <v>0.25</v>
      </c>
      <c r="G20">
        <v>0.65</v>
      </c>
      <c r="H20">
        <f t="shared" si="1"/>
        <v>1.0999999999999999</v>
      </c>
      <c r="I20">
        <f t="shared" si="2"/>
        <v>1</v>
      </c>
      <c r="J20">
        <f t="shared" si="3"/>
        <v>1</v>
      </c>
      <c r="K20">
        <f t="shared" si="4"/>
        <v>1</v>
      </c>
      <c r="L20">
        <f t="shared" si="5"/>
        <v>1</v>
      </c>
    </row>
    <row r="21" spans="1:12" ht="14.4" x14ac:dyDescent="0.25">
      <c r="A21" s="2">
        <v>19</v>
      </c>
      <c r="B21" s="2" t="s">
        <v>32</v>
      </c>
      <c r="C21">
        <v>0.32</v>
      </c>
      <c r="D21">
        <v>0.13500000000000001</v>
      </c>
      <c r="E21">
        <v>0.18</v>
      </c>
      <c r="F21">
        <v>0.35</v>
      </c>
      <c r="G21">
        <v>0.65</v>
      </c>
      <c r="H21">
        <f t="shared" si="1"/>
        <v>1.5999999999999999</v>
      </c>
      <c r="I21">
        <f t="shared" si="2"/>
        <v>1</v>
      </c>
      <c r="J21">
        <f t="shared" si="3"/>
        <v>1</v>
      </c>
      <c r="K21">
        <f t="shared" si="4"/>
        <v>1.4</v>
      </c>
      <c r="L21">
        <f t="shared" si="5"/>
        <v>1</v>
      </c>
    </row>
    <row r="22" spans="1:12" ht="14.4" x14ac:dyDescent="0.25">
      <c r="A22" s="2">
        <v>20</v>
      </c>
      <c r="B22" s="2" t="s">
        <v>33</v>
      </c>
      <c r="C22">
        <v>0.3</v>
      </c>
      <c r="D22">
        <v>0.13500000000000001</v>
      </c>
      <c r="E22">
        <v>0.18</v>
      </c>
      <c r="F22">
        <v>0.35</v>
      </c>
      <c r="G22">
        <v>0.65</v>
      </c>
      <c r="H22">
        <f t="shared" si="1"/>
        <v>1.4999999999999998</v>
      </c>
      <c r="I22">
        <f t="shared" si="2"/>
        <v>1</v>
      </c>
      <c r="J22">
        <f t="shared" si="3"/>
        <v>1</v>
      </c>
      <c r="K22">
        <f t="shared" si="4"/>
        <v>1.4</v>
      </c>
      <c r="L22">
        <f t="shared" si="5"/>
        <v>1</v>
      </c>
    </row>
    <row r="23" spans="1:12" ht="14.4" x14ac:dyDescent="0.25">
      <c r="A23" s="2">
        <v>21</v>
      </c>
      <c r="B23" s="2" t="s">
        <v>34</v>
      </c>
      <c r="C23">
        <v>0.22</v>
      </c>
      <c r="D23">
        <v>0.13500000000000001</v>
      </c>
      <c r="E23">
        <v>0.18</v>
      </c>
      <c r="F23">
        <v>0.54</v>
      </c>
      <c r="G23">
        <v>0.65</v>
      </c>
      <c r="H23">
        <f t="shared" si="1"/>
        <v>1.0999999999999999</v>
      </c>
      <c r="I23">
        <f t="shared" si="2"/>
        <v>1</v>
      </c>
      <c r="J23">
        <f t="shared" si="3"/>
        <v>1</v>
      </c>
      <c r="K23">
        <f t="shared" si="4"/>
        <v>2.16</v>
      </c>
      <c r="L23">
        <f t="shared" si="5"/>
        <v>1</v>
      </c>
    </row>
    <row r="24" spans="1:12" ht="14.4" x14ac:dyDescent="0.25">
      <c r="A24" s="2">
        <v>22</v>
      </c>
      <c r="B24" s="2" t="s">
        <v>36</v>
      </c>
      <c r="C24">
        <v>0.2</v>
      </c>
      <c r="D24">
        <v>0.13500000000000001</v>
      </c>
      <c r="E24">
        <v>0.18</v>
      </c>
      <c r="F24">
        <v>0.25</v>
      </c>
      <c r="G24">
        <v>0.65</v>
      </c>
      <c r="H24">
        <f t="shared" si="1"/>
        <v>1</v>
      </c>
      <c r="I24">
        <f t="shared" si="2"/>
        <v>1</v>
      </c>
      <c r="J24">
        <f t="shared" si="3"/>
        <v>1</v>
      </c>
      <c r="K24">
        <f t="shared" si="4"/>
        <v>1</v>
      </c>
      <c r="L24">
        <f t="shared" si="5"/>
        <v>1</v>
      </c>
    </row>
    <row r="25" spans="1:12" ht="14.4" x14ac:dyDescent="0.25">
      <c r="A25" s="2">
        <v>23</v>
      </c>
      <c r="B25" s="2" t="s">
        <v>37</v>
      </c>
      <c r="C25">
        <v>0.41499999999999998</v>
      </c>
      <c r="D25">
        <v>0.14000000000000001</v>
      </c>
      <c r="E25">
        <v>0.18</v>
      </c>
      <c r="F25">
        <v>0.435</v>
      </c>
      <c r="G25">
        <v>0.65</v>
      </c>
      <c r="H25">
        <f t="shared" si="1"/>
        <v>2.0749999999999997</v>
      </c>
      <c r="I25">
        <f t="shared" si="2"/>
        <v>1.037037037037037</v>
      </c>
      <c r="J25">
        <f t="shared" si="3"/>
        <v>1</v>
      </c>
      <c r="K25">
        <f t="shared" si="4"/>
        <v>1.74</v>
      </c>
      <c r="L25">
        <f t="shared" si="5"/>
        <v>1</v>
      </c>
    </row>
    <row r="26" spans="1:12" ht="14.4" x14ac:dyDescent="0.25">
      <c r="A26" s="2">
        <v>24</v>
      </c>
      <c r="B26" s="2" t="s">
        <v>38</v>
      </c>
      <c r="C26">
        <v>0.21600000000000003</v>
      </c>
      <c r="D26">
        <v>0.13500000000000001</v>
      </c>
      <c r="E26">
        <v>0.18</v>
      </c>
      <c r="F26">
        <v>0.25</v>
      </c>
      <c r="G26">
        <v>0.65</v>
      </c>
      <c r="H26">
        <f t="shared" si="1"/>
        <v>1.08</v>
      </c>
      <c r="I26">
        <f t="shared" si="2"/>
        <v>1</v>
      </c>
      <c r="J26">
        <f t="shared" si="3"/>
        <v>1</v>
      </c>
      <c r="K26">
        <f t="shared" si="4"/>
        <v>1</v>
      </c>
      <c r="L26">
        <f t="shared" si="5"/>
        <v>1</v>
      </c>
    </row>
    <row r="27" spans="1:12" ht="14.4" x14ac:dyDescent="0.25">
      <c r="A27" s="2">
        <v>25</v>
      </c>
      <c r="B27" s="2" t="s">
        <v>39</v>
      </c>
      <c r="C27">
        <v>0.2</v>
      </c>
      <c r="D27">
        <v>0.13500000000000001</v>
      </c>
      <c r="E27">
        <v>0.18</v>
      </c>
      <c r="F27">
        <v>0.25</v>
      </c>
      <c r="G27">
        <v>0.65</v>
      </c>
      <c r="H27">
        <f t="shared" si="1"/>
        <v>1</v>
      </c>
      <c r="I27">
        <f t="shared" si="2"/>
        <v>1</v>
      </c>
      <c r="J27">
        <f t="shared" si="3"/>
        <v>1</v>
      </c>
      <c r="K27">
        <f t="shared" si="4"/>
        <v>1</v>
      </c>
      <c r="L27">
        <f t="shared" si="5"/>
        <v>1</v>
      </c>
    </row>
    <row r="28" spans="1:12" ht="14.4" x14ac:dyDescent="0.25">
      <c r="A28" s="2">
        <v>26</v>
      </c>
      <c r="B28" s="2" t="s">
        <v>40</v>
      </c>
      <c r="C28">
        <v>0.16</v>
      </c>
      <c r="D28">
        <v>0.13500000000000001</v>
      </c>
      <c r="E28">
        <v>0.18</v>
      </c>
      <c r="F28">
        <v>0.2</v>
      </c>
      <c r="G28">
        <v>0.65</v>
      </c>
      <c r="H28">
        <f t="shared" si="1"/>
        <v>0.79999999999999993</v>
      </c>
      <c r="I28">
        <f t="shared" si="2"/>
        <v>1</v>
      </c>
      <c r="J28">
        <f t="shared" si="3"/>
        <v>1</v>
      </c>
      <c r="K28">
        <f t="shared" si="4"/>
        <v>0.8</v>
      </c>
      <c r="L28">
        <f t="shared" si="5"/>
        <v>1</v>
      </c>
    </row>
    <row r="29" spans="1:12" ht="14.4" x14ac:dyDescent="0.25">
      <c r="A29" s="2">
        <v>27</v>
      </c>
      <c r="B29" s="2" t="s">
        <v>42</v>
      </c>
      <c r="C29">
        <v>0.3</v>
      </c>
      <c r="D29">
        <v>0.125</v>
      </c>
      <c r="E29">
        <v>0.18</v>
      </c>
      <c r="F29">
        <v>0.35</v>
      </c>
      <c r="G29">
        <v>0.65</v>
      </c>
      <c r="H29">
        <f t="shared" si="1"/>
        <v>1.4999999999999998</v>
      </c>
      <c r="I29">
        <f t="shared" si="2"/>
        <v>0.92592592592592582</v>
      </c>
      <c r="J29">
        <f t="shared" si="3"/>
        <v>1</v>
      </c>
      <c r="K29">
        <f t="shared" si="4"/>
        <v>1.4</v>
      </c>
      <c r="L29">
        <f t="shared" si="5"/>
        <v>1</v>
      </c>
    </row>
    <row r="30" spans="1:12" ht="14.4" x14ac:dyDescent="0.25">
      <c r="A30" s="2">
        <v>28</v>
      </c>
      <c r="B30" s="2" t="s">
        <v>44</v>
      </c>
      <c r="C30">
        <v>0.52200000000000002</v>
      </c>
      <c r="D30">
        <v>0.13500000000000001</v>
      </c>
      <c r="E30">
        <v>0.18</v>
      </c>
      <c r="F30">
        <v>0.55000000000000004</v>
      </c>
      <c r="G30">
        <v>0.65</v>
      </c>
      <c r="H30">
        <f t="shared" si="1"/>
        <v>2.61</v>
      </c>
      <c r="I30">
        <f t="shared" si="2"/>
        <v>1</v>
      </c>
      <c r="J30">
        <f t="shared" si="3"/>
        <v>1</v>
      </c>
      <c r="K30">
        <f t="shared" si="4"/>
        <v>2.2000000000000002</v>
      </c>
      <c r="L30">
        <f t="shared" si="5"/>
        <v>1</v>
      </c>
    </row>
    <row r="31" spans="1:12" ht="14.4" x14ac:dyDescent="0.25">
      <c r="A31" s="2">
        <v>29</v>
      </c>
      <c r="B31" s="2" t="s">
        <v>46</v>
      </c>
      <c r="C31">
        <v>0.2</v>
      </c>
      <c r="D31">
        <v>0.13500000000000001</v>
      </c>
      <c r="E31">
        <v>0.18</v>
      </c>
      <c r="F31">
        <v>0.3</v>
      </c>
      <c r="G31">
        <v>0.65</v>
      </c>
      <c r="H31">
        <f t="shared" si="1"/>
        <v>1</v>
      </c>
      <c r="I31">
        <f t="shared" si="2"/>
        <v>1</v>
      </c>
      <c r="J31">
        <f t="shared" si="3"/>
        <v>1</v>
      </c>
      <c r="K31">
        <f t="shared" si="4"/>
        <v>1.2</v>
      </c>
      <c r="L31">
        <f t="shared" si="5"/>
        <v>1</v>
      </c>
    </row>
    <row r="32" spans="1:12" ht="14.4" x14ac:dyDescent="0.25">
      <c r="A32" s="2">
        <v>30</v>
      </c>
      <c r="B32" s="2" t="s">
        <v>48</v>
      </c>
      <c r="C32">
        <v>0.2</v>
      </c>
      <c r="D32">
        <v>0.13500000000000001</v>
      </c>
      <c r="E32">
        <v>0.18</v>
      </c>
      <c r="F32">
        <v>0.25</v>
      </c>
      <c r="G32">
        <v>0.65</v>
      </c>
      <c r="H32">
        <f t="shared" si="1"/>
        <v>1</v>
      </c>
      <c r="I32">
        <f t="shared" si="2"/>
        <v>1</v>
      </c>
      <c r="J32">
        <f t="shared" si="3"/>
        <v>1</v>
      </c>
      <c r="K32">
        <f t="shared" si="4"/>
        <v>1</v>
      </c>
      <c r="L32">
        <f t="shared" si="5"/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BF62-7B0E-4523-8E60-85C64074AD6D}">
  <dimension ref="A1:R26"/>
  <sheetViews>
    <sheetView tabSelected="1" workbookViewId="0">
      <selection activeCell="E44" sqref="E44"/>
    </sheetView>
  </sheetViews>
  <sheetFormatPr defaultRowHeight="13.8" x14ac:dyDescent="0.25"/>
  <cols>
    <col min="2" max="2" width="36.33203125" bestFit="1" customWidth="1"/>
    <col min="3" max="3" width="17.77734375" bestFit="1" customWidth="1"/>
    <col min="4" max="5" width="21.44140625" bestFit="1" customWidth="1"/>
    <col min="6" max="6" width="10" bestFit="1" customWidth="1"/>
    <col min="7" max="7" width="14.88671875" bestFit="1" customWidth="1"/>
    <col min="8" max="10" width="13.88671875" bestFit="1" customWidth="1"/>
    <col min="13" max="13" width="14.109375" bestFit="1" customWidth="1"/>
    <col min="14" max="14" width="14.88671875" bestFit="1" customWidth="1"/>
    <col min="15" max="15" width="19.77734375" bestFit="1" customWidth="1"/>
  </cols>
  <sheetData>
    <row r="1" spans="1:18" ht="14.4" x14ac:dyDescent="0.25">
      <c r="B1" s="12" t="s">
        <v>60</v>
      </c>
      <c r="C1" s="12" t="s">
        <v>61</v>
      </c>
      <c r="D1" s="12" t="s">
        <v>62</v>
      </c>
      <c r="E1" s="12" t="s">
        <v>63</v>
      </c>
      <c r="F1" s="21" t="s">
        <v>89</v>
      </c>
      <c r="G1" s="21" t="s">
        <v>90</v>
      </c>
      <c r="H1" s="12" t="s">
        <v>91</v>
      </c>
      <c r="I1" s="12" t="s">
        <v>92</v>
      </c>
      <c r="J1" s="12" t="s">
        <v>93</v>
      </c>
      <c r="K1" s="22" t="s">
        <v>94</v>
      </c>
      <c r="L1" s="22" t="s">
        <v>53</v>
      </c>
      <c r="M1" s="22" t="s">
        <v>95</v>
      </c>
      <c r="N1" s="22" t="s">
        <v>96</v>
      </c>
      <c r="O1" s="22" t="s">
        <v>97</v>
      </c>
      <c r="P1" s="22" t="s">
        <v>98</v>
      </c>
      <c r="Q1" s="22" t="s">
        <v>100</v>
      </c>
      <c r="R1" s="22" t="s">
        <v>102</v>
      </c>
    </row>
    <row r="2" spans="1:18" x14ac:dyDescent="0.25">
      <c r="A2">
        <v>0</v>
      </c>
      <c r="B2" t="s">
        <v>64</v>
      </c>
      <c r="C2">
        <v>0.99999999580495169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(C2-MIN(C:C))/(MAX(C:C)-MIN(C:C))</f>
        <v>1</v>
      </c>
      <c r="L2" s="23" cm="1">
        <f t="array" ref="L2">D2/MAX(ABS(D$2:D$26))</f>
        <v>0</v>
      </c>
      <c r="M2" s="23" cm="1">
        <f t="array" ref="M2">E2/MAX(ABS(E$2:E$26))</f>
        <v>0</v>
      </c>
      <c r="N2" s="23" cm="1">
        <f t="array" ref="N2">F2/MAX(ABS(F$2:F$26))</f>
        <v>0</v>
      </c>
      <c r="O2" s="23" cm="1">
        <f t="array" ref="O2">G2/MAX(ABS(G$2:G$26))</f>
        <v>0</v>
      </c>
      <c r="P2" s="23" cm="1">
        <f t="array" ref="P2">H2/MAX(ABS(H$2:H$26))</f>
        <v>0</v>
      </c>
      <c r="Q2" s="23" cm="1">
        <f t="array" ref="Q2">I2/MAX(ABS(I$2:I$26))</f>
        <v>0</v>
      </c>
      <c r="R2" s="23" cm="1">
        <f t="array" ref="R2">J2/MAX(ABS(J$2:J$26))</f>
        <v>0</v>
      </c>
    </row>
    <row r="3" spans="1:18" x14ac:dyDescent="0.25">
      <c r="A3">
        <v>1</v>
      </c>
      <c r="B3" t="s">
        <v>68</v>
      </c>
      <c r="C3">
        <v>0.75759066304852885</v>
      </c>
      <c r="D3">
        <v>0.49120234604105573</v>
      </c>
      <c r="E3">
        <v>0.19192210119629469</v>
      </c>
      <c r="F3">
        <v>1.1000000000000001</v>
      </c>
      <c r="G3">
        <v>-2.999999999999994E-2</v>
      </c>
      <c r="H3">
        <v>0.5178571428571429</v>
      </c>
      <c r="I3">
        <v>0.243801652892562</v>
      </c>
      <c r="J3">
        <v>0.8571428571428571</v>
      </c>
      <c r="K3">
        <f t="shared" ref="K3:K26" si="0">(C3-MIN(C:C))/(MAX(C:C)-MIN(C:C))</f>
        <v>0</v>
      </c>
      <c r="L3" s="23" cm="1">
        <f t="array" ref="L3">D3/MAX(ABS(D$2:D$26))</f>
        <v>0.35300316122233916</v>
      </c>
      <c r="M3" s="23" cm="1">
        <f t="array" ref="M3">E3/MAX(ABS(E$2:E$26))</f>
        <v>0.13763136932874845</v>
      </c>
      <c r="N3" s="23" cm="1">
        <f t="array" ref="N3">F3/MAX(ABS(F$2:F$26))</f>
        <v>0.31428571428571433</v>
      </c>
      <c r="O3" s="23" cm="1">
        <f t="array" ref="O3">G3/MAX(ABS(G$2:G$26))</f>
        <v>-1.7441860465116244E-2</v>
      </c>
      <c r="P3" s="23" cm="1">
        <f t="array" ref="P3">H3/MAX(ABS(H$2:H$26))</f>
        <v>0.41857142857142871</v>
      </c>
      <c r="Q3" s="23" cm="1">
        <f t="array" ref="Q3">I3/MAX(ABS(I$2:I$26))</f>
        <v>0.2606370611485701</v>
      </c>
      <c r="R3" s="23" cm="1">
        <f t="array" ref="R3">J3/MAX(ABS(J$2:J$26))</f>
        <v>1</v>
      </c>
    </row>
    <row r="4" spans="1:18" x14ac:dyDescent="0.25">
      <c r="A4">
        <v>2</v>
      </c>
      <c r="B4" t="s">
        <v>71</v>
      </c>
      <c r="C4">
        <v>0.83038969368529114</v>
      </c>
      <c r="D4">
        <v>1.3914956011730211</v>
      </c>
      <c r="E4">
        <v>1.3944648093841641</v>
      </c>
      <c r="F4">
        <v>2.5</v>
      </c>
      <c r="G4">
        <v>1.72</v>
      </c>
      <c r="H4">
        <v>1.237201365187713</v>
      </c>
      <c r="I4">
        <v>0.79904306220095689</v>
      </c>
      <c r="J4">
        <v>0.33505154639175261</v>
      </c>
      <c r="K4">
        <f t="shared" si="0"/>
        <v>0.30031447143131257</v>
      </c>
      <c r="L4" s="23" cm="1">
        <f t="array" ref="L4">D4/MAX(ABS(D$2:D$26))</f>
        <v>1</v>
      </c>
      <c r="M4" s="23" cm="1">
        <f t="array" ref="M4">E4/MAX(ABS(E$2:E$26))</f>
        <v>1</v>
      </c>
      <c r="N4" s="23" cm="1">
        <f t="array" ref="N4">F4/MAX(ABS(F$2:F$26))</f>
        <v>0.7142857142857143</v>
      </c>
      <c r="O4" s="23" cm="1">
        <f t="array" ref="O4">G4/MAX(ABS(G$2:G$26))</f>
        <v>1</v>
      </c>
      <c r="P4" s="23" cm="1">
        <f t="array" ref="P4">H4/MAX(ABS(H$2:H$26))</f>
        <v>1</v>
      </c>
      <c r="Q4" s="23" cm="1">
        <f t="array" ref="Q4">I4/MAX(ABS(I$2:I$26))</f>
        <v>0.85421994884910479</v>
      </c>
      <c r="R4" s="23" cm="1">
        <f t="array" ref="R4">J4/MAX(ABS(J$2:J$26))</f>
        <v>0.39089347079037806</v>
      </c>
    </row>
    <row r="5" spans="1:18" x14ac:dyDescent="0.25">
      <c r="A5">
        <v>3</v>
      </c>
      <c r="B5" t="s">
        <v>80</v>
      </c>
      <c r="C5">
        <v>0.86522323557358682</v>
      </c>
      <c r="D5">
        <v>3.2258064516129031E-2</v>
      </c>
      <c r="E5">
        <v>-0.2202695154308057</v>
      </c>
      <c r="F5">
        <v>1.3</v>
      </c>
      <c r="G5">
        <v>-0.15999999999999989</v>
      </c>
      <c r="H5">
        <v>-3.5143769968051117E-2</v>
      </c>
      <c r="I5">
        <v>-5.1999999999999998E-2</v>
      </c>
      <c r="J5">
        <v>-0.12949640287769781</v>
      </c>
      <c r="K5">
        <f t="shared" si="0"/>
        <v>0.44401166944017406</v>
      </c>
      <c r="L5" s="23" cm="1">
        <f t="array" ref="L5">D5/MAX(ABS(D$2:D$26))</f>
        <v>2.3182297154899886E-2</v>
      </c>
      <c r="M5" s="23" cm="1">
        <f t="array" ref="M5">E5/MAX(ABS(E$2:E$26))</f>
        <v>-0.15795989540107727</v>
      </c>
      <c r="N5" s="23" cm="1">
        <f t="array" ref="N5">F5/MAX(ABS(F$2:F$26))</f>
        <v>0.37142857142857144</v>
      </c>
      <c r="O5" s="23" cm="1">
        <f t="array" ref="O5">G5/MAX(ABS(G$2:G$26))</f>
        <v>-9.3023255813953432E-2</v>
      </c>
      <c r="P5" s="23" cm="1">
        <f t="array" ref="P5">H5/MAX(ABS(H$2:H$26))</f>
        <v>-2.8405860967279945E-2</v>
      </c>
      <c r="Q5" s="23" cm="1">
        <f t="array" ref="Q5">I5/MAX(ABS(I$2:I$26))</f>
        <v>-5.5590792838874678E-2</v>
      </c>
      <c r="R5" s="23" cm="1">
        <f t="array" ref="R5">J5/MAX(ABS(J$2:J$26))</f>
        <v>-0.15107913669064746</v>
      </c>
    </row>
    <row r="6" spans="1:18" x14ac:dyDescent="0.25">
      <c r="A6">
        <v>4</v>
      </c>
      <c r="B6" t="s">
        <v>75</v>
      </c>
      <c r="C6">
        <v>0.83606885814946419</v>
      </c>
      <c r="D6">
        <v>0.81818181818181823</v>
      </c>
      <c r="E6">
        <v>0.63020120560443138</v>
      </c>
      <c r="F6">
        <v>2.9</v>
      </c>
      <c r="G6">
        <v>0.82</v>
      </c>
      <c r="H6">
        <v>0.4726027397260274</v>
      </c>
      <c r="I6">
        <v>0.39013452914798208</v>
      </c>
      <c r="J6">
        <v>9.1743119266055051E-2</v>
      </c>
      <c r="K6">
        <f t="shared" si="0"/>
        <v>0.3237424657234283</v>
      </c>
      <c r="L6" s="23" cm="1">
        <f t="array" ref="L6">D6/MAX(ABS(D$2:D$26))</f>
        <v>0.5879873551106426</v>
      </c>
      <c r="M6" s="23" cm="1">
        <f t="array" ref="M6">E6/MAX(ABS(E$2:E$26))</f>
        <v>0.45193051941034384</v>
      </c>
      <c r="N6" s="23" cm="1">
        <f t="array" ref="N6">F6/MAX(ABS(F$2:F$26))</f>
        <v>0.82857142857142851</v>
      </c>
      <c r="O6" s="23" cm="1">
        <f t="array" ref="O6">G6/MAX(ABS(G$2:G$26))</f>
        <v>0.47674418604651159</v>
      </c>
      <c r="P6" s="23" cm="1">
        <f t="array" ref="P6">H6/MAX(ABS(H$2:H$26))</f>
        <v>0.38199338686820983</v>
      </c>
      <c r="Q6" s="23" cm="1">
        <f t="array" ref="Q6">I6/MAX(ABS(I$2:I$26))</f>
        <v>0.41707476517610359</v>
      </c>
      <c r="R6" s="23" cm="1">
        <f t="array" ref="R6">J6/MAX(ABS(J$2:J$26))</f>
        <v>0.1070336391437309</v>
      </c>
    </row>
    <row r="7" spans="1:18" x14ac:dyDescent="0.25">
      <c r="A7">
        <v>5</v>
      </c>
      <c r="B7" t="s">
        <v>67</v>
      </c>
      <c r="C7">
        <v>0.82466688184094916</v>
      </c>
      <c r="D7">
        <v>-0.76539589442815248</v>
      </c>
      <c r="E7">
        <v>-0.99324524042265971</v>
      </c>
      <c r="F7">
        <v>1.9</v>
      </c>
      <c r="G7">
        <v>-0.6</v>
      </c>
      <c r="H7">
        <v>-0.87123745819397991</v>
      </c>
      <c r="I7">
        <v>-0.93540669856459335</v>
      </c>
      <c r="J7">
        <v>-0.56914893617021278</v>
      </c>
      <c r="K7">
        <f t="shared" si="0"/>
        <v>0.27670642062209577</v>
      </c>
      <c r="L7" s="23" cm="1">
        <f t="array" ref="L7">D7/MAX(ABS(D$2:D$26))</f>
        <v>-0.55005268703898813</v>
      </c>
      <c r="M7" s="23" cm="1">
        <f t="array" ref="M7">E7/MAX(ABS(E$2:E$26))</f>
        <v>-0.71227702107542279</v>
      </c>
      <c r="N7" s="23" cm="1">
        <f t="array" ref="N7">F7/MAX(ABS(F$2:F$26))</f>
        <v>0.54285714285714282</v>
      </c>
      <c r="O7" s="23" cm="1">
        <f t="array" ref="O7">G7/MAX(ABS(G$2:G$26))</f>
        <v>-0.34883720930232559</v>
      </c>
      <c r="P7" s="23" cm="1">
        <f t="array" ref="P7">H7/MAX(ABS(H$2:H$26))</f>
        <v>-0.70420020758851365</v>
      </c>
      <c r="Q7" s="23" cm="1">
        <f t="array" ref="Q7">I7/MAX(ABS(I$2:I$26))</f>
        <v>-1</v>
      </c>
      <c r="R7" s="23" cm="1">
        <f t="array" ref="R7">J7/MAX(ABS(J$2:J$26))</f>
        <v>-0.66400709219858156</v>
      </c>
    </row>
    <row r="8" spans="1:18" x14ac:dyDescent="0.25">
      <c r="A8">
        <v>6</v>
      </c>
      <c r="B8" t="s">
        <v>86</v>
      </c>
      <c r="C8">
        <v>0.83076049715193134</v>
      </c>
      <c r="D8">
        <v>0.85190615835777128</v>
      </c>
      <c r="E8">
        <v>0.85626891030116836</v>
      </c>
      <c r="F8">
        <v>3.5</v>
      </c>
      <c r="G8">
        <v>1.5</v>
      </c>
      <c r="H8">
        <v>0.65066225165562919</v>
      </c>
      <c r="I8">
        <v>0.41855203619909498</v>
      </c>
      <c r="J8">
        <v>0.1741573033707865</v>
      </c>
      <c r="K8">
        <f t="shared" si="0"/>
        <v>0.30184412980883385</v>
      </c>
      <c r="L8" s="23" cm="1">
        <f t="array" ref="L8">D8/MAX(ABS(D$2:D$26))</f>
        <v>0.61222339304531059</v>
      </c>
      <c r="M8" s="23" cm="1">
        <f t="array" ref="M8">E8/MAX(ABS(E$2:E$26))</f>
        <v>0.61404841810193933</v>
      </c>
      <c r="N8" s="23" cm="1">
        <f t="array" ref="N8">F8/MAX(ABS(F$2:F$26))</f>
        <v>1</v>
      </c>
      <c r="O8" s="23" cm="1">
        <f t="array" ref="O8">G8/MAX(ABS(G$2:G$26))</f>
        <v>0.87209302325581395</v>
      </c>
      <c r="P8" s="23" cm="1">
        <f t="array" ref="P8">H8/MAX(ABS(H$2:H$26))</f>
        <v>0.52591459237268801</v>
      </c>
      <c r="Q8" s="23" cm="1">
        <f t="array" ref="Q8">I8/MAX(ABS(I$2:I$26))</f>
        <v>0.44745460647371277</v>
      </c>
      <c r="R8" s="23" cm="1">
        <f t="array" ref="R8">J8/MAX(ABS(J$2:J$26))</f>
        <v>0.20318352059925093</v>
      </c>
    </row>
    <row r="9" spans="1:18" x14ac:dyDescent="0.25">
      <c r="A9">
        <v>7</v>
      </c>
      <c r="B9" t="s">
        <v>69</v>
      </c>
      <c r="C9">
        <v>0.84762755656871624</v>
      </c>
      <c r="D9">
        <v>0.13196480938416419</v>
      </c>
      <c r="E9">
        <v>5.7812572731927581E-2</v>
      </c>
      <c r="F9">
        <v>0.4</v>
      </c>
      <c r="G9">
        <v>-0.54</v>
      </c>
      <c r="H9">
        <v>4.472843450479233E-2</v>
      </c>
      <c r="I9">
        <v>-0.10307017543859651</v>
      </c>
      <c r="J9">
        <v>-0.112</v>
      </c>
      <c r="K9">
        <f t="shared" si="0"/>
        <v>0.37142502929397547</v>
      </c>
      <c r="L9" s="23" cm="1">
        <f t="array" ref="L9">D9/MAX(ABS(D$2:D$26))</f>
        <v>9.4836670179135871E-2</v>
      </c>
      <c r="M9" s="23" cm="1">
        <f t="array" ref="M9">E9/MAX(ABS(E$2:E$26))</f>
        <v>4.1458610029362651E-2</v>
      </c>
      <c r="N9" s="23" cm="1">
        <f t="array" ref="N9">F9/MAX(ABS(F$2:F$26))</f>
        <v>0.1142857142857143</v>
      </c>
      <c r="O9" s="23" cm="1">
        <f t="array" ref="O9">G9/MAX(ABS(G$2:G$26))</f>
        <v>-0.31395348837209303</v>
      </c>
      <c r="P9" s="23" cm="1">
        <f t="array" ref="P9">H9/MAX(ABS(H$2:H$26))</f>
        <v>3.6152913958356292E-2</v>
      </c>
      <c r="Q9" s="23" cm="1">
        <f t="array" ref="Q9">I9/MAX(ABS(I$2:I$26))</f>
        <v>-0.11018755328218245</v>
      </c>
      <c r="R9" s="23" cm="1">
        <f t="array" ref="R9">J9/MAX(ABS(J$2:J$26))</f>
        <v>-0.13066666666666668</v>
      </c>
    </row>
    <row r="10" spans="1:18" x14ac:dyDescent="0.25">
      <c r="A10">
        <v>9</v>
      </c>
      <c r="B10" t="s">
        <v>65</v>
      </c>
      <c r="C10">
        <v>0.82522388104119959</v>
      </c>
      <c r="D10">
        <v>0.48093841642228741</v>
      </c>
      <c r="E10">
        <v>0.60962854349951123</v>
      </c>
      <c r="F10">
        <v>2.7</v>
      </c>
      <c r="G10">
        <v>0.51</v>
      </c>
      <c r="H10">
        <v>0.35084745762711872</v>
      </c>
      <c r="I10">
        <v>0.23809523809523811</v>
      </c>
      <c r="J10">
        <v>0.3641304347826087</v>
      </c>
      <c r="K10">
        <f t="shared" si="0"/>
        <v>0.27900418364102259</v>
      </c>
      <c r="L10" s="23" cm="1">
        <f t="array" ref="L10">D10/MAX(ABS(D$2:D$26))</f>
        <v>0.34562697576396195</v>
      </c>
      <c r="M10" s="23" cm="1">
        <f t="array" ref="M10">E10/MAX(ABS(E$2:E$26))</f>
        <v>0.4371774313679101</v>
      </c>
      <c r="N10" s="23" cm="1">
        <f t="array" ref="N10">F10/MAX(ABS(F$2:F$26))</f>
        <v>0.77142857142857146</v>
      </c>
      <c r="O10" s="23" cm="1">
        <f t="array" ref="O10">G10/MAX(ABS(G$2:G$26))</f>
        <v>0.29651162790697677</v>
      </c>
      <c r="P10" s="23" cm="1">
        <f t="array" ref="P10">H10/MAX(ABS(H$2:H$26))</f>
        <v>0.2835815312682643</v>
      </c>
      <c r="Q10" s="23" cm="1">
        <f t="array" ref="Q10">I10/MAX(ABS(I$2:I$26))</f>
        <v>0.2545365972475947</v>
      </c>
      <c r="R10" s="23" cm="1">
        <f t="array" ref="R10">J10/MAX(ABS(J$2:J$26))</f>
        <v>0.4248188405797102</v>
      </c>
    </row>
    <row r="11" spans="1:18" x14ac:dyDescent="0.25">
      <c r="A11">
        <v>10</v>
      </c>
      <c r="B11" t="s">
        <v>78</v>
      </c>
      <c r="C11">
        <v>0.79737595519012716</v>
      </c>
      <c r="D11">
        <v>0.68768328445747806</v>
      </c>
      <c r="E11">
        <v>0.64655599776567518</v>
      </c>
      <c r="F11">
        <v>0.2</v>
      </c>
      <c r="G11">
        <v>8.0000000000000016E-2</v>
      </c>
      <c r="H11">
        <v>0.48442906574394462</v>
      </c>
      <c r="I11">
        <v>0.34943181818181818</v>
      </c>
      <c r="J11">
        <v>2.222222222222222E-2</v>
      </c>
      <c r="K11">
        <f t="shared" si="0"/>
        <v>0.1641244241267529</v>
      </c>
      <c r="L11" s="23" cm="1">
        <f t="array" ref="L11">D11/MAX(ABS(D$2:D$26))</f>
        <v>0.49420442571127488</v>
      </c>
      <c r="M11" s="23" cm="1">
        <f t="array" ref="M11">E11/MAX(ABS(E$2:E$26))</f>
        <v>0.46365888433657426</v>
      </c>
      <c r="N11" s="23" cm="1">
        <f t="array" ref="N11">F11/MAX(ABS(F$2:F$26))</f>
        <v>5.7142857142857148E-2</v>
      </c>
      <c r="O11" s="23" cm="1">
        <f t="array" ref="O11">G11/MAX(ABS(G$2:G$26))</f>
        <v>4.651162790697675E-2</v>
      </c>
      <c r="P11" s="23" cm="1">
        <f t="array" ref="P11">H11/MAX(ABS(H$2:H$26))</f>
        <v>0.39155232072545054</v>
      </c>
      <c r="Q11" s="23" cm="1">
        <f t="array" ref="Q11">I11/MAX(ABS(I$2:I$26))</f>
        <v>0.37356138107416875</v>
      </c>
      <c r="R11" s="23" cm="1">
        <f t="array" ref="R11">J11/MAX(ABS(J$2:J$26))</f>
        <v>2.5925925925925925E-2</v>
      </c>
    </row>
    <row r="12" spans="1:18" x14ac:dyDescent="0.25">
      <c r="A12">
        <v>12</v>
      </c>
      <c r="B12" t="s">
        <v>73</v>
      </c>
      <c r="C12">
        <v>0.82532823278057965</v>
      </c>
      <c r="D12">
        <v>-2.1994134897360709E-2</v>
      </c>
      <c r="E12">
        <v>-0.1951188148768794</v>
      </c>
      <c r="F12">
        <v>1.1000000000000001</v>
      </c>
      <c r="G12">
        <v>-0.18999999999999989</v>
      </c>
      <c r="H12">
        <v>-4.2622950819672129E-2</v>
      </c>
      <c r="I12">
        <v>-0.22906403940886699</v>
      </c>
      <c r="J12">
        <v>-0.1136363636363636</v>
      </c>
      <c r="K12">
        <f t="shared" si="0"/>
        <v>0.27943466104134984</v>
      </c>
      <c r="L12" s="23" cm="1">
        <f t="array" ref="L12">D12/MAX(ABS(D$2:D$26))</f>
        <v>-1.5806111696522653E-2</v>
      </c>
      <c r="M12" s="23" cm="1">
        <f t="array" ref="M12">E12/MAX(ABS(E$2:E$26))</f>
        <v>-0.13992379984336034</v>
      </c>
      <c r="N12" s="23" cm="1">
        <f t="array" ref="N12">F12/MAX(ABS(F$2:F$26))</f>
        <v>0.31428571428571433</v>
      </c>
      <c r="O12" s="23" cm="1">
        <f t="array" ref="O12">G12/MAX(ABS(G$2:G$26))</f>
        <v>-0.1104651162790697</v>
      </c>
      <c r="P12" s="23" cm="1">
        <f t="array" ref="P12">H12/MAX(ABS(H$2:H$26))</f>
        <v>-3.4451102317693619E-2</v>
      </c>
      <c r="Q12" s="23" cm="1">
        <f t="array" ref="Q12">I12/MAX(ABS(I$2:I$26))</f>
        <v>-0.24488176080027213</v>
      </c>
      <c r="R12" s="23" cm="1">
        <f t="array" ref="R12">J12/MAX(ABS(J$2:J$26))</f>
        <v>-0.13257575757575754</v>
      </c>
    </row>
    <row r="13" spans="1:18" x14ac:dyDescent="0.25">
      <c r="A13">
        <v>14</v>
      </c>
      <c r="B13" t="s">
        <v>79</v>
      </c>
      <c r="C13">
        <v>0.83712559510186269</v>
      </c>
      <c r="D13">
        <v>0.36950146627565977</v>
      </c>
      <c r="E13">
        <v>0.3606316622445655</v>
      </c>
      <c r="F13">
        <v>-1.2</v>
      </c>
      <c r="G13">
        <v>-0.40999999999999992</v>
      </c>
      <c r="H13">
        <v>0.28501628664495121</v>
      </c>
      <c r="I13">
        <v>0.1373873873873874</v>
      </c>
      <c r="J13">
        <v>-0.15238095238095239</v>
      </c>
      <c r="K13">
        <f t="shared" si="0"/>
        <v>0.32810177375989041</v>
      </c>
      <c r="L13" s="23" cm="1">
        <f t="array" ref="L13">D13/MAX(ABS(D$2:D$26))</f>
        <v>0.26554267650158048</v>
      </c>
      <c r="M13" s="23" cm="1">
        <f t="array" ref="M13">E13/MAX(ABS(E$2:E$26))</f>
        <v>0.25861653863020811</v>
      </c>
      <c r="N13" s="23" cm="1">
        <f t="array" ref="N13">F13/MAX(ABS(F$2:F$26))</f>
        <v>-0.34285714285714286</v>
      </c>
      <c r="O13" s="23" cm="1">
        <f t="array" ref="O13">G13/MAX(ABS(G$2:G$26))</f>
        <v>-0.23837209302325577</v>
      </c>
      <c r="P13" s="23" cm="1">
        <f t="array" ref="P13">H13/MAX(ABS(H$2:H$26))</f>
        <v>0.23037178479164339</v>
      </c>
      <c r="Q13" s="23" cm="1">
        <f t="array" ref="Q13">I13/MAX(ABS(I$2:I$26))</f>
        <v>0.14687449597935531</v>
      </c>
      <c r="R13" s="23" cm="1">
        <f t="array" ref="R13">J13/MAX(ABS(J$2:J$26))</f>
        <v>-0.17777777777777781</v>
      </c>
    </row>
    <row r="14" spans="1:18" x14ac:dyDescent="0.25">
      <c r="A14">
        <v>15</v>
      </c>
      <c r="B14" t="s">
        <v>74</v>
      </c>
      <c r="C14">
        <v>0.8368478959256952</v>
      </c>
      <c r="D14">
        <v>-2.932551319648094E-2</v>
      </c>
      <c r="E14">
        <v>-0.2156169994879672</v>
      </c>
      <c r="F14">
        <v>1.9</v>
      </c>
      <c r="G14">
        <v>-0.49999999999999989</v>
      </c>
      <c r="H14">
        <v>-0.14638157894736839</v>
      </c>
      <c r="I14">
        <v>-0.26444444444444443</v>
      </c>
      <c r="J14">
        <v>-0.11926605504587159</v>
      </c>
      <c r="K14">
        <f t="shared" si="0"/>
        <v>0.32695619420233052</v>
      </c>
      <c r="L14" s="23" cm="1">
        <f t="array" ref="L14">D14/MAX(ABS(D$2:D$26))</f>
        <v>-2.1074815595363533E-2</v>
      </c>
      <c r="M14" s="23" cm="1">
        <f t="array" ref="M14">E14/MAX(ABS(E$2:E$26))</f>
        <v>-0.15462347851086317</v>
      </c>
      <c r="N14" s="23" cm="1">
        <f t="array" ref="N14">F14/MAX(ABS(F$2:F$26))</f>
        <v>0.54285714285714282</v>
      </c>
      <c r="O14" s="23" cm="1">
        <f t="array" ref="O14">G14/MAX(ABS(G$2:G$26))</f>
        <v>-0.29069767441860461</v>
      </c>
      <c r="P14" s="23" cm="1">
        <f t="array" ref="P14">H14/MAX(ABS(H$2:H$26))</f>
        <v>-0.11831669691470055</v>
      </c>
      <c r="Q14" s="23" cm="1">
        <f t="array" ref="Q14">I14/MAX(ABS(I$2:I$26))</f>
        <v>-0.28270531400966181</v>
      </c>
      <c r="R14" s="23" cm="1">
        <f t="array" ref="R14">J14/MAX(ABS(J$2:J$26))</f>
        <v>-0.1391437308868502</v>
      </c>
    </row>
    <row r="15" spans="1:18" x14ac:dyDescent="0.25">
      <c r="A15">
        <v>16</v>
      </c>
      <c r="B15" t="s">
        <v>81</v>
      </c>
      <c r="C15">
        <v>0.8532602306335203</v>
      </c>
      <c r="D15">
        <v>0.9296187683284457</v>
      </c>
      <c r="E15">
        <v>0.48746334310850442</v>
      </c>
      <c r="F15">
        <v>1.1000000000000001</v>
      </c>
      <c r="G15">
        <v>-1.0000000000000101E-2</v>
      </c>
      <c r="H15">
        <v>0.90445859872611467</v>
      </c>
      <c r="I15">
        <v>0.71311475409836067</v>
      </c>
      <c r="J15">
        <v>0.17037037037037039</v>
      </c>
      <c r="K15">
        <f t="shared" si="0"/>
        <v>0.39466123889347904</v>
      </c>
      <c r="L15" s="23" cm="1">
        <f t="array" ref="L15">D15/MAX(ABS(D$2:D$26))</f>
        <v>0.66807165437302396</v>
      </c>
      <c r="M15" s="23" cm="1">
        <f t="array" ref="M15">E15/MAX(ABS(E$2:E$26))</f>
        <v>0.34957020057306598</v>
      </c>
      <c r="N15" s="23" cm="1">
        <f t="array" ref="N15">F15/MAX(ABS(F$2:F$26))</f>
        <v>0.31428571428571433</v>
      </c>
      <c r="O15" s="23" cm="1">
        <f t="array" ref="O15">G15/MAX(ABS(G$2:G$26))</f>
        <v>-5.8139534883721519E-3</v>
      </c>
      <c r="P15" s="23" cm="1">
        <f t="array" ref="P15">H15/MAX(ABS(H$2:H$26))</f>
        <v>0.73105205359103909</v>
      </c>
      <c r="Q15" s="23" cm="1">
        <f t="array" ref="Q15">I15/MAX(ABS(I$2:I$26))</f>
        <v>0.76235797241205816</v>
      </c>
      <c r="R15" s="23" cm="1">
        <f t="array" ref="R15">J15/MAX(ABS(J$2:J$26))</f>
        <v>0.19876543209876546</v>
      </c>
    </row>
    <row r="16" spans="1:18" x14ac:dyDescent="0.25">
      <c r="A16">
        <v>18</v>
      </c>
      <c r="B16" t="s">
        <v>83</v>
      </c>
      <c r="C16">
        <v>0.83605737927372503</v>
      </c>
      <c r="D16">
        <v>-0.23460410557184749</v>
      </c>
      <c r="E16">
        <v>-0.39348961969929708</v>
      </c>
      <c r="F16">
        <v>2.2000000000000002</v>
      </c>
      <c r="G16">
        <v>-0.21999999999999989</v>
      </c>
      <c r="H16">
        <v>-0.3</v>
      </c>
      <c r="I16">
        <v>-0.29504504504504497</v>
      </c>
      <c r="J16">
        <v>-0.21649484536082481</v>
      </c>
      <c r="K16">
        <f t="shared" si="0"/>
        <v>0.32369511244866517</v>
      </c>
      <c r="L16" s="23" cm="1">
        <f t="array" ref="L16">D16/MAX(ABS(D$2:D$26))</f>
        <v>-0.16859852476290824</v>
      </c>
      <c r="M16" s="23" cm="1">
        <f t="array" ref="M16">E16/MAX(ABS(E$2:E$26))</f>
        <v>-0.282179669971789</v>
      </c>
      <c r="N16" s="23" cm="1">
        <f t="array" ref="N16">F16/MAX(ABS(F$2:F$26))</f>
        <v>0.62857142857142867</v>
      </c>
      <c r="O16" s="23" cm="1">
        <f t="array" ref="O16">G16/MAX(ABS(G$2:G$26))</f>
        <v>-0.127906976744186</v>
      </c>
      <c r="P16" s="23" cm="1">
        <f t="array" ref="P16">H16/MAX(ABS(H$2:H$26))</f>
        <v>-0.24248275862068971</v>
      </c>
      <c r="Q16" s="23" cm="1">
        <f t="array" ref="Q16">I16/MAX(ABS(I$2:I$26))</f>
        <v>-0.31541899956222197</v>
      </c>
      <c r="R16" s="23" cm="1">
        <f t="array" ref="R16">J16/MAX(ABS(J$2:J$26))</f>
        <v>-0.25257731958762897</v>
      </c>
    </row>
    <row r="17" spans="1:18" x14ac:dyDescent="0.25">
      <c r="A17">
        <v>19</v>
      </c>
      <c r="B17" t="s">
        <v>76</v>
      </c>
      <c r="C17">
        <v>0.84380792330437038</v>
      </c>
      <c r="D17">
        <v>7.6246334310850442E-2</v>
      </c>
      <c r="E17">
        <v>-0.10699099287808959</v>
      </c>
      <c r="F17">
        <v>-2.6</v>
      </c>
      <c r="G17">
        <v>-0.6100000000000001</v>
      </c>
      <c r="H17">
        <v>1.954397394136808E-2</v>
      </c>
      <c r="I17">
        <v>-0.17234042553191489</v>
      </c>
      <c r="J17">
        <v>-7.9207920792079209E-2</v>
      </c>
      <c r="K17">
        <f t="shared" si="0"/>
        <v>0.35566807298823827</v>
      </c>
      <c r="L17" s="23" cm="1">
        <f t="array" ref="L17">D17/MAX(ABS(D$2:D$26))</f>
        <v>5.4794520547945189E-2</v>
      </c>
      <c r="M17" s="23" cm="1">
        <f t="array" ref="M17">E17/MAX(ABS(E$2:E$26))</f>
        <v>-7.6725487913416698E-2</v>
      </c>
      <c r="N17" s="23" cm="1">
        <f t="array" ref="N17">F17/MAX(ABS(F$2:F$26))</f>
        <v>-0.74285714285714288</v>
      </c>
      <c r="O17" s="23" cm="1">
        <f t="array" ref="O17">G17/MAX(ABS(G$2:G$26))</f>
        <v>-0.35465116279069775</v>
      </c>
      <c r="P17" s="23" cm="1">
        <f t="array" ref="P17">H17/MAX(ABS(H$2:H$26))</f>
        <v>1.5796922385712685E-2</v>
      </c>
      <c r="Q17" s="23" cm="1">
        <f t="array" ref="Q17">I17/MAX(ABS(I$2:I$26))</f>
        <v>-0.18424117102900364</v>
      </c>
      <c r="R17" s="23" cm="1">
        <f t="array" ref="R17">J17/MAX(ABS(J$2:J$26))</f>
        <v>-9.2409240924092417E-2</v>
      </c>
    </row>
    <row r="18" spans="1:18" x14ac:dyDescent="0.25">
      <c r="A18">
        <v>20</v>
      </c>
      <c r="B18" t="s">
        <v>77</v>
      </c>
      <c r="C18">
        <v>0.9097529483680501</v>
      </c>
      <c r="D18">
        <v>0.64662756598240467</v>
      </c>
      <c r="E18">
        <v>0.31496532141693429</v>
      </c>
      <c r="F18">
        <v>3.3</v>
      </c>
      <c r="G18">
        <v>1.06</v>
      </c>
      <c r="H18">
        <v>0.6238670694864048</v>
      </c>
      <c r="I18">
        <v>0.41891891891891891</v>
      </c>
      <c r="J18">
        <v>0.2560386473429952</v>
      </c>
      <c r="K18">
        <f t="shared" si="0"/>
        <v>0.62770803248081453</v>
      </c>
      <c r="L18" s="23" cm="1">
        <f t="array" ref="L18">D18/MAX(ABS(D$2:D$26))</f>
        <v>0.46469968387776589</v>
      </c>
      <c r="M18" s="23" cm="1">
        <f t="array" ref="M18">E18/MAX(ABS(E$2:E$26))</f>
        <v>0.22586824658273885</v>
      </c>
      <c r="N18" s="23" cm="1">
        <f t="array" ref="N18">F18/MAX(ABS(F$2:F$26))</f>
        <v>0.94285714285714284</v>
      </c>
      <c r="O18" s="23" cm="1">
        <f t="array" ref="O18">G18/MAX(ABS(G$2:G$26))</f>
        <v>0.61627906976744196</v>
      </c>
      <c r="P18" s="23" cm="1">
        <f t="array" ref="P18">H18/MAX(ABS(H$2:H$26))</f>
        <v>0.50425669340556323</v>
      </c>
      <c r="Q18" s="23" cm="1">
        <f t="array" ref="Q18">I18/MAX(ABS(I$2:I$26))</f>
        <v>0.44784682380590307</v>
      </c>
      <c r="R18" s="23" cm="1">
        <f t="array" ref="R18">J18/MAX(ABS(J$2:J$26))</f>
        <v>0.29871175523349441</v>
      </c>
    </row>
    <row r="19" spans="1:18" x14ac:dyDescent="0.25">
      <c r="A19">
        <v>21</v>
      </c>
      <c r="B19" t="s">
        <v>82</v>
      </c>
      <c r="C19">
        <v>0.7793680866442817</v>
      </c>
      <c r="D19">
        <v>0.63489736070381231</v>
      </c>
      <c r="E19">
        <v>0.34899455383326361</v>
      </c>
      <c r="F19">
        <v>0.1</v>
      </c>
      <c r="G19">
        <v>0.38</v>
      </c>
      <c r="H19">
        <v>0.46715328467153278</v>
      </c>
      <c r="I19">
        <v>0.36792452830188682</v>
      </c>
      <c r="J19">
        <v>-0.23809523809523811</v>
      </c>
      <c r="K19">
        <f t="shared" si="0"/>
        <v>8.9837397546220679E-2</v>
      </c>
      <c r="L19" s="23" cm="1">
        <f t="array" ref="L19">D19/MAX(ABS(D$2:D$26))</f>
        <v>0.45626975763962047</v>
      </c>
      <c r="M19" s="23" cm="1">
        <f t="array" ref="M19">E19/MAX(ABS(E$2:E$26))</f>
        <v>0.25027132379725642</v>
      </c>
      <c r="N19" s="23" cm="1">
        <f t="array" ref="N19">F19/MAX(ABS(F$2:F$26))</f>
        <v>2.8571428571428574E-2</v>
      </c>
      <c r="O19" s="23" cm="1">
        <f t="array" ref="O19">G19/MAX(ABS(G$2:G$26))</f>
        <v>0.22093023255813954</v>
      </c>
      <c r="P19" s="23" cm="1">
        <f t="array" ref="P19">H19/MAX(ABS(H$2:H$26))</f>
        <v>0.3775887238862321</v>
      </c>
      <c r="Q19" s="23" cm="1">
        <f t="array" ref="Q19">I19/MAX(ABS(I$2:I$26))</f>
        <v>0.39333108140713219</v>
      </c>
      <c r="R19" s="23" cm="1">
        <f t="array" ref="R19">J19/MAX(ABS(J$2:J$26))</f>
        <v>-0.27777777777777779</v>
      </c>
    </row>
    <row r="20" spans="1:18" x14ac:dyDescent="0.25">
      <c r="A20">
        <v>23</v>
      </c>
      <c r="B20" t="s">
        <v>70</v>
      </c>
      <c r="C20">
        <v>0.87548603567559702</v>
      </c>
      <c r="D20">
        <v>0.43841642228738997</v>
      </c>
      <c r="E20">
        <v>0.17036784899688129</v>
      </c>
      <c r="F20">
        <v>0.1</v>
      </c>
      <c r="G20">
        <v>-0.13000000000000009</v>
      </c>
      <c r="H20">
        <v>0.40644171779141097</v>
      </c>
      <c r="I20">
        <v>0.2767527675276753</v>
      </c>
      <c r="J20">
        <v>7.5657894736842105E-2</v>
      </c>
      <c r="K20">
        <f t="shared" si="0"/>
        <v>0.48634832366595188</v>
      </c>
      <c r="L20" s="23" cm="1">
        <f t="array" ref="L20">D20/MAX(ABS(D$2:D$26))</f>
        <v>0.31506849315068475</v>
      </c>
      <c r="M20" s="23" cm="1">
        <f t="array" ref="M20">E20/MAX(ABS(E$2:E$26))</f>
        <v>0.12217436241515528</v>
      </c>
      <c r="N20" s="23" cm="1">
        <f t="array" ref="N20">F20/MAX(ABS(F$2:F$26))</f>
        <v>2.8571428571428574E-2</v>
      </c>
      <c r="O20" s="23" cm="1">
        <f t="array" ref="O20">G20/MAX(ABS(G$2:G$26))</f>
        <v>-7.558139534883726E-2</v>
      </c>
      <c r="P20" s="23" cm="1">
        <f t="array" ref="P20">H20/MAX(ABS(H$2:H$26))</f>
        <v>0.328517029828644</v>
      </c>
      <c r="Q20" s="23" cm="1">
        <f t="array" ref="Q20">I20/MAX(ABS(I$2:I$26))</f>
        <v>0.29586357244646616</v>
      </c>
      <c r="R20" s="23" cm="1">
        <f t="array" ref="R20">J20/MAX(ABS(J$2:J$26))</f>
        <v>8.8267543859649134E-2</v>
      </c>
    </row>
    <row r="21" spans="1:18" x14ac:dyDescent="0.25">
      <c r="A21">
        <v>24</v>
      </c>
      <c r="B21" t="s">
        <v>85</v>
      </c>
      <c r="C21">
        <v>0.86926660439835268</v>
      </c>
      <c r="D21">
        <v>0.64662756598240467</v>
      </c>
      <c r="E21">
        <v>0.65102173811851227</v>
      </c>
      <c r="F21">
        <v>1.3</v>
      </c>
      <c r="G21">
        <v>0.43999999999999989</v>
      </c>
      <c r="H21">
        <v>0.51869158878504673</v>
      </c>
      <c r="I21">
        <v>0.52272727272727271</v>
      </c>
      <c r="J21">
        <v>0.36267605633802819</v>
      </c>
      <c r="K21">
        <f t="shared" si="0"/>
        <v>0.46069159169724616</v>
      </c>
      <c r="L21" s="23" cm="1">
        <f t="array" ref="L21">D21/MAX(ABS(D$2:D$26))</f>
        <v>0.46469968387776589</v>
      </c>
      <c r="M21" s="23" cm="1">
        <f t="array" ref="M21">E21/MAX(ABS(E$2:E$26))</f>
        <v>0.46686136052871946</v>
      </c>
      <c r="N21" s="23" cm="1">
        <f t="array" ref="N21">F21/MAX(ABS(F$2:F$26))</f>
        <v>0.37142857142857144</v>
      </c>
      <c r="O21" s="23" cm="1">
        <f t="array" ref="O21">G21/MAX(ABS(G$2:G$26))</f>
        <v>0.25581395348837205</v>
      </c>
      <c r="P21" s="23" cm="1">
        <f t="array" ref="P21">H21/MAX(ABS(H$2:H$26))</f>
        <v>0.41924589107315513</v>
      </c>
      <c r="Q21" s="23" cm="1">
        <f t="array" ref="Q21">I21/MAX(ABS(I$2:I$26))</f>
        <v>0.55882352941176461</v>
      </c>
      <c r="R21" s="23" cm="1">
        <f t="array" ref="R21">J21/MAX(ABS(J$2:J$26))</f>
        <v>0.42312206572769956</v>
      </c>
    </row>
    <row r="22" spans="1:18" x14ac:dyDescent="0.25">
      <c r="A22">
        <v>25</v>
      </c>
      <c r="B22" t="s">
        <v>66</v>
      </c>
      <c r="C22">
        <v>0.79679411361294405</v>
      </c>
      <c r="D22">
        <v>0.91055718475073311</v>
      </c>
      <c r="E22">
        <v>0.65092631382953958</v>
      </c>
      <c r="F22">
        <v>1.2</v>
      </c>
      <c r="G22">
        <v>1.253333333333333</v>
      </c>
      <c r="H22">
        <v>0.65241635687732347</v>
      </c>
      <c r="I22">
        <v>0.48314606741573041</v>
      </c>
      <c r="J22">
        <v>-0.1818181818181818</v>
      </c>
      <c r="K22">
        <f t="shared" si="0"/>
        <v>0.16172418000014679</v>
      </c>
      <c r="L22" s="23" cm="1">
        <f t="array" ref="L22">D22/MAX(ABS(D$2:D$26))</f>
        <v>0.6543730242360376</v>
      </c>
      <c r="M22" s="23" cm="1">
        <f t="array" ref="M22">E22/MAX(ABS(E$2:E$26))</f>
        <v>0.46679292976708925</v>
      </c>
      <c r="N22" s="23" cm="1">
        <f t="array" ref="N22">F22/MAX(ABS(F$2:F$26))</f>
        <v>0.34285714285714286</v>
      </c>
      <c r="O22" s="23" cm="1">
        <f t="array" ref="O22">G22/MAX(ABS(G$2:G$26))</f>
        <v>0.72868217054263551</v>
      </c>
      <c r="P22" s="23" cm="1">
        <f t="array" ref="P22">H22/MAX(ABS(H$2:H$26))</f>
        <v>0.52733239328291259</v>
      </c>
      <c r="Q22" s="23" cm="1">
        <f t="array" ref="Q22">I22/MAX(ABS(I$2:I$26))</f>
        <v>0.51650909508893939</v>
      </c>
      <c r="R22" s="23" cm="1">
        <f t="array" ref="R22">J22/MAX(ABS(J$2:J$26))</f>
        <v>-0.2121212121212121</v>
      </c>
    </row>
    <row r="23" spans="1:18" x14ac:dyDescent="0.25">
      <c r="A23">
        <v>26</v>
      </c>
      <c r="B23" t="s">
        <v>87</v>
      </c>
      <c r="C23">
        <v>0.82696144182311471</v>
      </c>
      <c r="D23">
        <v>0.49706744868035191</v>
      </c>
      <c r="E23">
        <v>0.19442640692640689</v>
      </c>
      <c r="F23">
        <v>0.8</v>
      </c>
      <c r="G23">
        <v>0.46555555555555561</v>
      </c>
      <c r="H23">
        <v>0.38118811881188119</v>
      </c>
      <c r="I23">
        <v>-0.12561576354679799</v>
      </c>
      <c r="J23">
        <v>-0.21022727272727271</v>
      </c>
      <c r="K23">
        <f t="shared" si="0"/>
        <v>0.28617206270804285</v>
      </c>
      <c r="L23" s="23" cm="1">
        <f t="array" ref="L23">D23/MAX(ABS(D$2:D$26))</f>
        <v>0.35721812434141187</v>
      </c>
      <c r="M23" s="23" cm="1">
        <f t="array" ref="M23">E23/MAX(ABS(E$2:E$26))</f>
        <v>0.13942725956079968</v>
      </c>
      <c r="N23" s="23" cm="1">
        <f t="array" ref="N23">F23/MAX(ABS(F$2:F$26))</f>
        <v>0.22857142857142859</v>
      </c>
      <c r="O23" s="23" cm="1">
        <f t="array" ref="O23">G23/MAX(ABS(G$2:G$26))</f>
        <v>0.27067183462532302</v>
      </c>
      <c r="P23" s="23" cm="1">
        <f t="array" ref="P23">H23/MAX(ABS(H$2:H$26))</f>
        <v>0.30810515534312061</v>
      </c>
      <c r="Q23" s="23" cm="1">
        <f t="array" ref="Q23">I23/MAX(ABS(I$2:I$26))</f>
        <v>-0.13428999785821369</v>
      </c>
      <c r="R23" s="23" cm="1">
        <f t="array" ref="R23">J23/MAX(ABS(J$2:J$26))</f>
        <v>-0.24526515151515149</v>
      </c>
    </row>
    <row r="24" spans="1:18" x14ac:dyDescent="0.25">
      <c r="A24">
        <v>27</v>
      </c>
      <c r="B24" t="s">
        <v>84</v>
      </c>
      <c r="C24">
        <v>0.88683592469111916</v>
      </c>
      <c r="D24">
        <v>0.70967741935483875</v>
      </c>
      <c r="E24">
        <v>0.66182155657962116</v>
      </c>
      <c r="F24">
        <v>1.2</v>
      </c>
      <c r="G24">
        <v>0.40000000000000019</v>
      </c>
      <c r="H24">
        <v>0.661993769470405</v>
      </c>
      <c r="I24">
        <v>0.5529197080291971</v>
      </c>
      <c r="J24">
        <v>0.44324324324324332</v>
      </c>
      <c r="K24">
        <f t="shared" si="0"/>
        <v>0.53316949546846959</v>
      </c>
      <c r="L24" s="23" cm="1">
        <f t="array" ref="L24">D24/MAX(ABS(D$2:D$26))</f>
        <v>0.51001053740779756</v>
      </c>
      <c r="M24" s="23" cm="1">
        <f t="array" ref="M24">E24/MAX(ABS(E$2:E$26))</f>
        <v>0.47460613715444039</v>
      </c>
      <c r="N24" s="23" cm="1">
        <f t="array" ref="N24">F24/MAX(ABS(F$2:F$26))</f>
        <v>0.34285714285714286</v>
      </c>
      <c r="O24" s="23" cm="1">
        <f t="array" ref="O24">G24/MAX(ABS(G$2:G$26))</f>
        <v>0.23255813953488383</v>
      </c>
      <c r="P24" s="23" cm="1">
        <f t="array" ref="P24">H24/MAX(ABS(H$2:H$26))</f>
        <v>0.53507358470297584</v>
      </c>
      <c r="Q24" s="23" cm="1">
        <f t="array" ref="Q24">I24/MAX(ABS(I$2:I$26))</f>
        <v>0.59110086433811859</v>
      </c>
      <c r="R24" s="23" cm="1">
        <f t="array" ref="R24">J24/MAX(ABS(J$2:J$26))</f>
        <v>0.51711711711711728</v>
      </c>
    </row>
    <row r="25" spans="1:18" x14ac:dyDescent="0.25">
      <c r="A25">
        <v>28</v>
      </c>
      <c r="B25" t="s">
        <v>88</v>
      </c>
      <c r="C25">
        <v>0.79741336951507502</v>
      </c>
      <c r="D25">
        <v>0.99853372434017595</v>
      </c>
      <c r="E25">
        <v>0.61287180561374111</v>
      </c>
      <c r="F25">
        <v>0.6</v>
      </c>
      <c r="G25">
        <v>0.62999999999999989</v>
      </c>
      <c r="H25">
        <v>0.83910034602076122</v>
      </c>
      <c r="I25">
        <v>0.42134831460674149</v>
      </c>
      <c r="J25">
        <v>0.2608695652173913</v>
      </c>
      <c r="K25">
        <f t="shared" si="0"/>
        <v>0.16427876770966046</v>
      </c>
      <c r="L25" s="23" cm="1">
        <f t="array" ref="L25">D25/MAX(ABS(D$2:D$26))</f>
        <v>0.71759747102212823</v>
      </c>
      <c r="M25" s="23" cm="1">
        <f t="array" ref="M25">E25/MAX(ABS(E$2:E$26))</f>
        <v>0.43950324274185376</v>
      </c>
      <c r="N25" s="23" cm="1">
        <f t="array" ref="N25">F25/MAX(ABS(F$2:F$26))</f>
        <v>0.17142857142857143</v>
      </c>
      <c r="O25" s="23" cm="1">
        <f t="array" ref="O25">G25/MAX(ABS(G$2:G$26))</f>
        <v>0.36627906976744179</v>
      </c>
      <c r="P25" s="23" cm="1">
        <f t="array" ref="P25">H25/MAX(ABS(H$2:H$26))</f>
        <v>0.67822455554229821</v>
      </c>
      <c r="Q25" s="23" cm="1">
        <f t="array" ref="Q25">I25/MAX(ABS(I$2:I$26))</f>
        <v>0.45044397827523769</v>
      </c>
      <c r="R25" s="23" cm="1">
        <f t="array" ref="R25">J25/MAX(ABS(J$2:J$26))</f>
        <v>0.30434782608695654</v>
      </c>
    </row>
    <row r="26" spans="1:18" x14ac:dyDescent="0.25">
      <c r="A26">
        <v>29</v>
      </c>
      <c r="B26" t="s">
        <v>72</v>
      </c>
      <c r="C26">
        <v>0.84429188251844944</v>
      </c>
      <c r="D26">
        <v>0.54985337243401755</v>
      </c>
      <c r="E26">
        <v>0.35931957827119121</v>
      </c>
      <c r="F26">
        <v>0.4</v>
      </c>
      <c r="G26">
        <v>0.98000000000000009</v>
      </c>
      <c r="H26">
        <v>0.34294871794871801</v>
      </c>
      <c r="I26">
        <v>0.23605150214592269</v>
      </c>
      <c r="J26">
        <v>8.0357142857142863E-2</v>
      </c>
      <c r="K26">
        <f t="shared" si="0"/>
        <v>0.35766452753301997</v>
      </c>
      <c r="L26" s="23" cm="1">
        <f t="array" ref="L26">D26/MAX(ABS(D$2:D$26))</f>
        <v>0.39515279241306622</v>
      </c>
      <c r="M26" s="23" cm="1">
        <f t="array" ref="M26">E26/MAX(ABS(E$2:E$26))</f>
        <v>0.25767561565779284</v>
      </c>
      <c r="N26" s="23" cm="1">
        <f t="array" ref="N26">F26/MAX(ABS(F$2:F$26))</f>
        <v>0.1142857142857143</v>
      </c>
      <c r="O26" s="23" cm="1">
        <f t="array" ref="O26">G26/MAX(ABS(G$2:G$26))</f>
        <v>0.56976744186046513</v>
      </c>
      <c r="P26" s="23" cm="1">
        <f t="array" ref="P26">H26/MAX(ABS(H$2:H$26))</f>
        <v>0.27719717064544663</v>
      </c>
      <c r="Q26" s="23" cm="1">
        <f t="array" ref="Q26">I26/MAX(ABS(I$2:I$26))</f>
        <v>0.25235173375190711</v>
      </c>
      <c r="R26" s="23" cm="1">
        <f t="array" ref="R26">J26/MAX(ABS(J$2:J$26))</f>
        <v>9.3750000000000014E-2</v>
      </c>
    </row>
  </sheetData>
  <sortState xmlns:xlrd2="http://schemas.microsoft.com/office/spreadsheetml/2017/richdata2" ref="A2:J31">
    <sortCondition ref="A1:A3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09C6-D1A2-4FE7-9BAE-2B5454F8304F}">
  <dimension ref="A1:B45"/>
  <sheetViews>
    <sheetView zoomScale="115" zoomScaleNormal="115" workbookViewId="0">
      <selection activeCell="B45" sqref="A1:B45"/>
    </sheetView>
  </sheetViews>
  <sheetFormatPr defaultRowHeight="13.8" x14ac:dyDescent="0.25"/>
  <cols>
    <col min="1" max="1" width="22.44140625" bestFit="1" customWidth="1"/>
    <col min="2" max="2" width="44.6640625" style="15" bestFit="1" customWidth="1"/>
  </cols>
  <sheetData>
    <row r="1" spans="1:2" x14ac:dyDescent="0.25">
      <c r="A1" s="29" t="s">
        <v>142</v>
      </c>
      <c r="B1" s="28" t="s">
        <v>141</v>
      </c>
    </row>
    <row r="2" spans="1:2" x14ac:dyDescent="0.25">
      <c r="A2" s="14" t="s">
        <v>0</v>
      </c>
      <c r="B2" s="15" t="s">
        <v>145</v>
      </c>
    </row>
    <row r="3" spans="1:2" x14ac:dyDescent="0.25">
      <c r="A3" s="14" t="s">
        <v>7</v>
      </c>
      <c r="B3" s="15" t="s">
        <v>144</v>
      </c>
    </row>
    <row r="4" spans="1:2" x14ac:dyDescent="0.25">
      <c r="A4" s="14" t="s">
        <v>1</v>
      </c>
      <c r="B4" s="15" t="s">
        <v>143</v>
      </c>
    </row>
    <row r="5" spans="1:2" x14ac:dyDescent="0.25">
      <c r="A5" s="14" t="s">
        <v>109</v>
      </c>
      <c r="B5" s="15" t="s">
        <v>146</v>
      </c>
    </row>
    <row r="6" spans="1:2" x14ac:dyDescent="0.25">
      <c r="A6" s="14" t="s">
        <v>110</v>
      </c>
      <c r="B6" s="15" t="s">
        <v>147</v>
      </c>
    </row>
    <row r="7" spans="1:2" x14ac:dyDescent="0.25">
      <c r="A7" s="14" t="s">
        <v>111</v>
      </c>
      <c r="B7" s="15" t="s">
        <v>148</v>
      </c>
    </row>
    <row r="8" spans="1:2" x14ac:dyDescent="0.25">
      <c r="A8" s="25" t="s">
        <v>103</v>
      </c>
      <c r="B8" s="15" t="s">
        <v>149</v>
      </c>
    </row>
    <row r="9" spans="1:2" x14ac:dyDescent="0.25">
      <c r="A9" s="25" t="s">
        <v>112</v>
      </c>
      <c r="B9" s="15" t="s">
        <v>150</v>
      </c>
    </row>
    <row r="10" spans="1:2" ht="14.4" x14ac:dyDescent="0.25">
      <c r="A10" s="24" t="s">
        <v>105</v>
      </c>
      <c r="B10" s="15" t="s">
        <v>151</v>
      </c>
    </row>
    <row r="11" spans="1:2" ht="14.4" x14ac:dyDescent="0.25">
      <c r="A11" s="24" t="s">
        <v>106</v>
      </c>
      <c r="B11" s="15" t="s">
        <v>152</v>
      </c>
    </row>
    <row r="12" spans="1:2" ht="14.4" x14ac:dyDescent="0.25">
      <c r="A12" s="24" t="s">
        <v>104</v>
      </c>
      <c r="B12" s="15" t="s">
        <v>153</v>
      </c>
    </row>
    <row r="13" spans="1:2" x14ac:dyDescent="0.25">
      <c r="A13" s="14" t="s">
        <v>94</v>
      </c>
      <c r="B13" s="15" t="s">
        <v>154</v>
      </c>
    </row>
    <row r="14" spans="1:2" x14ac:dyDescent="0.25">
      <c r="A14" s="14" t="s">
        <v>53</v>
      </c>
      <c r="B14" s="15" t="s">
        <v>155</v>
      </c>
    </row>
    <row r="15" spans="1:2" x14ac:dyDescent="0.25">
      <c r="A15" s="14" t="s">
        <v>95</v>
      </c>
      <c r="B15" s="15" t="s">
        <v>156</v>
      </c>
    </row>
    <row r="16" spans="1:2" x14ac:dyDescent="0.25">
      <c r="A16" s="14" t="s">
        <v>107</v>
      </c>
      <c r="B16" s="15" t="s">
        <v>160</v>
      </c>
    </row>
    <row r="17" spans="1:2" x14ac:dyDescent="0.25">
      <c r="A17" s="14" t="s">
        <v>108</v>
      </c>
      <c r="B17" s="15" t="s">
        <v>161</v>
      </c>
    </row>
    <row r="18" spans="1:2" x14ac:dyDescent="0.25">
      <c r="A18" s="14" t="s">
        <v>98</v>
      </c>
      <c r="B18" s="15" t="s">
        <v>157</v>
      </c>
    </row>
    <row r="19" spans="1:2" x14ac:dyDescent="0.25">
      <c r="A19" s="14" t="s">
        <v>99</v>
      </c>
      <c r="B19" s="15" t="s">
        <v>158</v>
      </c>
    </row>
    <row r="20" spans="1:2" x14ac:dyDescent="0.25">
      <c r="A20" s="14" t="s">
        <v>101</v>
      </c>
      <c r="B20" s="15" t="s">
        <v>159</v>
      </c>
    </row>
    <row r="21" spans="1:2" x14ac:dyDescent="0.25">
      <c r="A21" s="14" t="s">
        <v>123</v>
      </c>
      <c r="B21" s="15" t="s">
        <v>164</v>
      </c>
    </row>
    <row r="22" spans="1:2" x14ac:dyDescent="0.25">
      <c r="A22" s="14" t="s">
        <v>124</v>
      </c>
      <c r="B22" s="15" t="s">
        <v>162</v>
      </c>
    </row>
    <row r="23" spans="1:2" x14ac:dyDescent="0.25">
      <c r="A23" s="14" t="s">
        <v>125</v>
      </c>
      <c r="B23" s="15" t="s">
        <v>163</v>
      </c>
    </row>
    <row r="24" spans="1:2" x14ac:dyDescent="0.25">
      <c r="A24" s="14" t="s">
        <v>126</v>
      </c>
      <c r="B24" s="15" t="s">
        <v>165</v>
      </c>
    </row>
    <row r="25" spans="1:2" x14ac:dyDescent="0.25">
      <c r="A25" s="14" t="s">
        <v>127</v>
      </c>
      <c r="B25" s="15" t="s">
        <v>166</v>
      </c>
    </row>
    <row r="26" spans="1:2" x14ac:dyDescent="0.25">
      <c r="A26" s="14" t="s">
        <v>128</v>
      </c>
      <c r="B26" s="15" t="s">
        <v>167</v>
      </c>
    </row>
    <row r="27" spans="1:2" x14ac:dyDescent="0.25">
      <c r="A27" s="14" t="s">
        <v>129</v>
      </c>
      <c r="B27" s="15" t="s">
        <v>167</v>
      </c>
    </row>
    <row r="28" spans="1:2" x14ac:dyDescent="0.25">
      <c r="A28" s="14" t="s">
        <v>130</v>
      </c>
      <c r="B28" s="15" t="s">
        <v>167</v>
      </c>
    </row>
    <row r="29" spans="1:2" x14ac:dyDescent="0.25">
      <c r="A29" s="14" t="s">
        <v>131</v>
      </c>
      <c r="B29" s="15" t="s">
        <v>167</v>
      </c>
    </row>
    <row r="30" spans="1:2" x14ac:dyDescent="0.25">
      <c r="A30" s="14" t="s">
        <v>132</v>
      </c>
      <c r="B30" s="15" t="s">
        <v>167</v>
      </c>
    </row>
    <row r="31" spans="1:2" x14ac:dyDescent="0.25">
      <c r="A31" s="14" t="s">
        <v>133</v>
      </c>
      <c r="B31" s="15" t="s">
        <v>168</v>
      </c>
    </row>
    <row r="32" spans="1:2" x14ac:dyDescent="0.25">
      <c r="A32" s="14" t="s">
        <v>134</v>
      </c>
      <c r="B32" s="15" t="s">
        <v>168</v>
      </c>
    </row>
    <row r="33" spans="1:2" x14ac:dyDescent="0.25">
      <c r="A33" s="14" t="s">
        <v>135</v>
      </c>
      <c r="B33" s="15" t="s">
        <v>168</v>
      </c>
    </row>
    <row r="34" spans="1:2" x14ac:dyDescent="0.25">
      <c r="A34" s="14" t="s">
        <v>136</v>
      </c>
      <c r="B34" s="15" t="s">
        <v>169</v>
      </c>
    </row>
    <row r="35" spans="1:2" x14ac:dyDescent="0.25">
      <c r="A35" s="14" t="s">
        <v>137</v>
      </c>
      <c r="B35" s="15" t="s">
        <v>170</v>
      </c>
    </row>
    <row r="36" spans="1:2" x14ac:dyDescent="0.25">
      <c r="A36" s="14" t="s">
        <v>138</v>
      </c>
      <c r="B36" s="15" t="s">
        <v>171</v>
      </c>
    </row>
    <row r="37" spans="1:2" x14ac:dyDescent="0.25">
      <c r="A37" s="14" t="s">
        <v>139</v>
      </c>
      <c r="B37" s="15" t="s">
        <v>172</v>
      </c>
    </row>
    <row r="38" spans="1:2" x14ac:dyDescent="0.25">
      <c r="A38" s="14" t="s">
        <v>140</v>
      </c>
      <c r="B38" s="15" t="s">
        <v>173</v>
      </c>
    </row>
    <row r="39" spans="1:2" x14ac:dyDescent="0.25">
      <c r="A39" s="29" t="s">
        <v>174</v>
      </c>
      <c r="B39" s="28" t="s">
        <v>141</v>
      </c>
    </row>
    <row r="40" spans="1:2" ht="14.4" x14ac:dyDescent="0.25">
      <c r="A40" s="13" t="s">
        <v>49</v>
      </c>
      <c r="B40" s="15" t="s">
        <v>175</v>
      </c>
    </row>
    <row r="41" spans="1:2" ht="14.4" x14ac:dyDescent="0.25">
      <c r="A41" s="13" t="s">
        <v>54</v>
      </c>
      <c r="B41" s="15" t="s">
        <v>175</v>
      </c>
    </row>
    <row r="42" spans="1:2" x14ac:dyDescent="0.25">
      <c r="A42" s="17" t="s">
        <v>55</v>
      </c>
      <c r="B42" s="15" t="s">
        <v>175</v>
      </c>
    </row>
    <row r="43" spans="1:2" x14ac:dyDescent="0.25">
      <c r="A43" s="17" t="s">
        <v>57</v>
      </c>
      <c r="B43" s="15" t="s">
        <v>175</v>
      </c>
    </row>
    <row r="44" spans="1:2" x14ac:dyDescent="0.25">
      <c r="A44" s="20" t="s">
        <v>58</v>
      </c>
      <c r="B44" s="15" t="s">
        <v>175</v>
      </c>
    </row>
    <row r="45" spans="1:2" x14ac:dyDescent="0.25">
      <c r="A45" s="20" t="s">
        <v>59</v>
      </c>
      <c r="B45" s="15" t="s">
        <v>175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面板数据</vt:lpstr>
      <vt:lpstr>“主要目标”数据分表</vt:lpstr>
      <vt:lpstr>部分解释变量分表</vt:lpstr>
      <vt:lpstr>变量说明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zch</dc:creator>
  <cp:lastModifiedBy>超涵 章</cp:lastModifiedBy>
  <dcterms:created xsi:type="dcterms:W3CDTF">2015-06-05T18:19:34Z</dcterms:created>
  <dcterms:modified xsi:type="dcterms:W3CDTF">2025-10-20T02:27:37Z</dcterms:modified>
</cp:coreProperties>
</file>